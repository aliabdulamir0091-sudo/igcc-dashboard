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:\My Drive\1- Profit and Lose\2026\Spent Report\"/>
    </mc:Choice>
  </mc:AlternateContent>
  <xr:revisionPtr revIDLastSave="0" documentId="13_ncr:1_{E69C6C25-EF64-41C1-8387-C4212AAD73FF}" xr6:coauthVersionLast="47" xr6:coauthVersionMax="47" xr10:uidLastSave="{00000000-0000-0000-0000-000000000000}"/>
  <bookViews>
    <workbookView xWindow="-98" yWindow="-98" windowWidth="21795" windowHeight="11625" tabRatio="766" xr2:uid="{00000000-000D-0000-FFFF-FFFF00000000}"/>
  </bookViews>
  <sheets>
    <sheet name="Summay" sheetId="36" r:id="rId1"/>
    <sheet name="Master" sheetId="9" r:id="rId2"/>
    <sheet name="Payroll" sheetId="2" r:id="rId3"/>
    <sheet name="Shipping" sheetId="14" r:id="rId4"/>
    <sheet name="Petty Cash" sheetId="5" r:id="rId5"/>
    <sheet name="Fuel &amp; Lubricant" sheetId="18" r:id="rId6"/>
    <sheet name="Charitable Contributions" sheetId="17" r:id="rId7"/>
    <sheet name="Accommodation" sheetId="19" r:id="rId8"/>
    <sheet name="Logistic" sheetId="4" r:id="rId9"/>
    <sheet name="Security" sheetId="21" r:id="rId10"/>
    <sheet name="Lease &amp; Rent" sheetId="20" r:id="rId11"/>
    <sheet name="Communication &amp; internet" sheetId="22" r:id="rId12"/>
    <sheet name="Social security" sheetId="25" r:id="rId13"/>
    <sheet name="Amman Expenses" sheetId="23" r:id="rId14"/>
    <sheet name="Air ticket &amp; travel" sheetId="26" r:id="rId15"/>
    <sheet name="Materials" sheetId="1" r:id="rId16"/>
    <sheet name="Third party Services" sheetId="6" r:id="rId17"/>
    <sheet name="Third party manpower" sheetId="15" r:id="rId18"/>
    <sheet name="Subcontractors" sheetId="3" r:id="rId19"/>
    <sheet name="Tax" sheetId="7" state="hidden" r:id="rId20"/>
    <sheet name="FA" sheetId="31" r:id="rId21"/>
    <sheet name="Sheet1" sheetId="11" state="hidden" r:id="rId22"/>
    <sheet name="List" sheetId="10" state="hidden" r:id="rId23"/>
  </sheets>
  <externalReferences>
    <externalReference r:id="rId24"/>
  </externalReferences>
  <definedNames>
    <definedName name="_xlnm._FilterDatabase" localSheetId="8" hidden="1">Logistic!$A$1:$N$83</definedName>
    <definedName name="_xlnm._FilterDatabase" localSheetId="1" hidden="1">Master!$A$1:$N$610</definedName>
    <definedName name="_xlnm._FilterDatabase" localSheetId="15" hidden="1">Materials!$A$1:$N$284</definedName>
    <definedName name="_xlnm._FilterDatabase" localSheetId="2" hidden="1">Payroll!$A$1:$N$1</definedName>
    <definedName name="_xlnm._FilterDatabase" localSheetId="4" hidden="1">'Petty Cash'!$A$1:$N$83</definedName>
    <definedName name="_xlnm._FilterDatabase" localSheetId="17" hidden="1">'Third party manpower'!$A$1:$N$5</definedName>
    <definedName name="_xlnm._FilterDatabase" localSheetId="16" hidden="1">'Third party Services'!$A$1:$N$1</definedName>
    <definedName name="Level_2">[1]List!$G$2:$G$37</definedName>
  </definedNames>
  <calcPr calcId="191029"/>
  <pivotCaches>
    <pivotCache cacheId="0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4" i="9" l="1"/>
  <c r="I87" i="9"/>
  <c r="I86" i="9"/>
  <c r="I85" i="9"/>
  <c r="I83" i="9"/>
  <c r="I68" i="9"/>
  <c r="I72" i="9"/>
  <c r="I71" i="9"/>
  <c r="I532" i="9"/>
  <c r="I40" i="6"/>
  <c r="I39" i="6"/>
  <c r="I38" i="6"/>
  <c r="I35" i="6"/>
  <c r="I34" i="6"/>
  <c r="I33" i="6"/>
  <c r="I37" i="6"/>
  <c r="I36" i="6"/>
  <c r="I32" i="6"/>
  <c r="I8" i="3" l="1"/>
  <c r="I3" i="3"/>
  <c r="I9" i="31" l="1"/>
  <c r="I8" i="31"/>
  <c r="I4" i="31"/>
  <c r="I3" i="31"/>
  <c r="I5" i="26"/>
  <c r="I6" i="26"/>
  <c r="I2" i="21"/>
  <c r="I6" i="18"/>
  <c r="I5" i="18"/>
  <c r="I4" i="18"/>
  <c r="I3" i="18"/>
  <c r="I8" i="19"/>
  <c r="I4" i="17"/>
  <c r="I3" i="17"/>
  <c r="I2" i="17"/>
  <c r="I30" i="2"/>
  <c r="I2" i="18"/>
  <c r="I6" i="14" l="1"/>
  <c r="I5" i="14"/>
  <c r="I2" i="14"/>
  <c r="I2" i="22"/>
  <c r="I5" i="15" l="1"/>
  <c r="I2" i="4" l="1"/>
  <c r="I5" i="19" l="1"/>
  <c r="I3" i="19"/>
  <c r="I2" i="19"/>
</calcChain>
</file>

<file path=xl/sharedStrings.xml><?xml version="1.0" encoding="utf-8"?>
<sst xmlns="http://schemas.openxmlformats.org/spreadsheetml/2006/main" count="11256" uniqueCount="744">
  <si>
    <t>Serial</t>
  </si>
  <si>
    <t xml:space="preserve">Level 1 </t>
  </si>
  <si>
    <t>Level 2</t>
  </si>
  <si>
    <t>Cost Type</t>
  </si>
  <si>
    <t>GL Name</t>
  </si>
  <si>
    <t>GL Account</t>
  </si>
  <si>
    <t>Vendor</t>
  </si>
  <si>
    <t>Description</t>
  </si>
  <si>
    <t>Invoice Amount USD</t>
  </si>
  <si>
    <t>Invoice No.</t>
  </si>
  <si>
    <t>Invoice Date</t>
  </si>
  <si>
    <t>PO Number</t>
  </si>
  <si>
    <t>Month</t>
  </si>
  <si>
    <t>Year</t>
  </si>
  <si>
    <t>N/A</t>
  </si>
  <si>
    <t>Sep</t>
  </si>
  <si>
    <t>Amount USD</t>
  </si>
  <si>
    <t>BGC_23</t>
  </si>
  <si>
    <t>BNGL-25</t>
  </si>
  <si>
    <t>Accrual</t>
  </si>
  <si>
    <t>Staff Salary &amp; Compensation</t>
  </si>
  <si>
    <t>IGCC</t>
  </si>
  <si>
    <t>KAZ_23</t>
  </si>
  <si>
    <t>QUR_23</t>
  </si>
  <si>
    <t>SPAS_23</t>
  </si>
  <si>
    <t>UQ_23</t>
  </si>
  <si>
    <t>ZBR_23</t>
  </si>
  <si>
    <t>BGCG_23</t>
  </si>
  <si>
    <t>GRLBG_23</t>
  </si>
  <si>
    <t>1 MITAS</t>
  </si>
  <si>
    <t>MITASOHTL</t>
  </si>
  <si>
    <t>ROOESP_23</t>
  </si>
  <si>
    <t>EIESP_23</t>
  </si>
  <si>
    <t>ROOG_23</t>
  </si>
  <si>
    <t>GRLRO_23</t>
  </si>
  <si>
    <t>ROOM_23</t>
  </si>
  <si>
    <t>EIMNT_23</t>
  </si>
  <si>
    <t>EISP_23</t>
  </si>
  <si>
    <t>EITAR_23</t>
  </si>
  <si>
    <t>MPMNT_23</t>
  </si>
  <si>
    <t>MPSP_23</t>
  </si>
  <si>
    <t>MPTAR_23</t>
  </si>
  <si>
    <t>ROOP_23</t>
  </si>
  <si>
    <t>E&amp;I-MAJ</t>
  </si>
  <si>
    <t>FFF_23</t>
  </si>
  <si>
    <t>FLWLN_23</t>
  </si>
  <si>
    <t>KBR_23</t>
  </si>
  <si>
    <t>MWP_23</t>
  </si>
  <si>
    <t>OHTL_25</t>
  </si>
  <si>
    <t>PWRI_23</t>
  </si>
  <si>
    <t>PWRI2_23</t>
  </si>
  <si>
    <t>QAWPT_23</t>
  </si>
  <si>
    <t>TOTAL_25</t>
  </si>
  <si>
    <t>GRLTOT_25</t>
  </si>
  <si>
    <t>Camp_23</t>
  </si>
  <si>
    <t>CmpSB_23</t>
  </si>
  <si>
    <t>DHL / Courier Fees / Shipping</t>
  </si>
  <si>
    <t>Shipping</t>
  </si>
  <si>
    <t>HO_23</t>
  </si>
  <si>
    <t>HO_SB_23</t>
  </si>
  <si>
    <t>Actual</t>
  </si>
  <si>
    <t>Total_25</t>
  </si>
  <si>
    <t>GRLTOT</t>
  </si>
  <si>
    <t>Charitable Contributions</t>
  </si>
  <si>
    <t>Petty Cash</t>
  </si>
  <si>
    <t>اكراميات وعشائر</t>
  </si>
  <si>
    <t xml:space="preserve">KAZ-Check point salary </t>
  </si>
  <si>
    <t>##</t>
  </si>
  <si>
    <t xml:space="preserve">Total-Check point salary </t>
  </si>
  <si>
    <t>CPSs_23</t>
  </si>
  <si>
    <t>Material &amp; Supplies</t>
  </si>
  <si>
    <t>Petty Cash for KAZ</t>
  </si>
  <si>
    <t>WOD_23</t>
  </si>
  <si>
    <t>EX_23</t>
  </si>
  <si>
    <t>Petty Cash for CAMP</t>
  </si>
  <si>
    <t>RTPFL_23</t>
  </si>
  <si>
    <t>Third party manpower</t>
  </si>
  <si>
    <t>WQ1_23</t>
  </si>
  <si>
    <t>WQ1SB_23</t>
  </si>
  <si>
    <t>Third party services</t>
  </si>
  <si>
    <t>Fuel &amp; Lubricant</t>
  </si>
  <si>
    <t>Cleaner Materials</t>
  </si>
  <si>
    <t>Air Ticket / Travel</t>
  </si>
  <si>
    <t>Accommodation</t>
  </si>
  <si>
    <t>Al Majal Business Park (AMBP)</t>
  </si>
  <si>
    <t>Light &amp; Heavy Equipment’s Rental</t>
  </si>
  <si>
    <t>Taqadm Albasrah</t>
  </si>
  <si>
    <t>NAC Logistic</t>
  </si>
  <si>
    <t>Border Transportaion / Al Hodod</t>
  </si>
  <si>
    <t>Light equipment rental</t>
  </si>
  <si>
    <t>MANPR_23</t>
  </si>
  <si>
    <t>Al-Zubair Gate</t>
  </si>
  <si>
    <t>Neema Abdul Hassan</t>
  </si>
  <si>
    <t>MWS_23</t>
  </si>
  <si>
    <t>Security</t>
  </si>
  <si>
    <t>LARSA Security</t>
  </si>
  <si>
    <t>Guards</t>
  </si>
  <si>
    <t>Derraa Al Rumaila Security</t>
  </si>
  <si>
    <t>Lease &amp; Rent</t>
  </si>
  <si>
    <t>Diesel tanker rental</t>
  </si>
  <si>
    <t>Communication &amp; internet</t>
  </si>
  <si>
    <t>Hulum Telecom</t>
  </si>
  <si>
    <t>Internet</t>
  </si>
  <si>
    <t>Zain Telecom</t>
  </si>
  <si>
    <t>Zain Telecom Services</t>
  </si>
  <si>
    <t>HO_SP_23</t>
  </si>
  <si>
    <t>Social security</t>
  </si>
  <si>
    <t>Third party Manpower</t>
  </si>
  <si>
    <t>labourers</t>
  </si>
  <si>
    <t>Third party Servcies</t>
  </si>
  <si>
    <t>Basra Galvanizing Co.</t>
  </si>
  <si>
    <t>Subcontractors</t>
  </si>
  <si>
    <t>Welding</t>
  </si>
  <si>
    <t>Abdullah Gallery</t>
  </si>
  <si>
    <t>Materials/Safety</t>
  </si>
  <si>
    <t>Materials</t>
  </si>
  <si>
    <t>AL MUSTAFA INDUSTRIAL IRON TRADING</t>
  </si>
  <si>
    <t>Al-Ghadeer Print</t>
  </si>
  <si>
    <t>AL-Wajeeh Company</t>
  </si>
  <si>
    <t>BLUE LINE</t>
  </si>
  <si>
    <t>Mohammed Abdulraheem Office</t>
  </si>
  <si>
    <t>ZUMZUM ALFAYHAA INSAAT</t>
  </si>
  <si>
    <t>Subcontracters</t>
  </si>
  <si>
    <t>Third party Services</t>
  </si>
  <si>
    <t>Lease &amp; rent</t>
  </si>
  <si>
    <t>Materiales</t>
  </si>
  <si>
    <t>Air ticket &amp; travel</t>
  </si>
  <si>
    <t>Comunication</t>
  </si>
  <si>
    <t>Logistics</t>
  </si>
  <si>
    <t>Charitable</t>
  </si>
  <si>
    <t>Petty Cash Sadeq</t>
  </si>
  <si>
    <t>Payroll</t>
  </si>
  <si>
    <t>Al Ajdar</t>
  </si>
  <si>
    <t>Tohama</t>
  </si>
  <si>
    <t>Machine Al Ajdar</t>
  </si>
  <si>
    <t>Al Taher</t>
  </si>
  <si>
    <t>Jabal Qandeel</t>
  </si>
  <si>
    <t>Burj/ Hamza</t>
  </si>
  <si>
    <t>Desial/ Farooq,Mustafa</t>
  </si>
  <si>
    <t>Haider Khazar</t>
  </si>
  <si>
    <t>Derra Al Rumila</t>
  </si>
  <si>
    <t>Logistic express</t>
  </si>
  <si>
    <t>TB</t>
  </si>
  <si>
    <t>RENT Offices</t>
  </si>
  <si>
    <t>Ashair</t>
  </si>
  <si>
    <t>Sadeq</t>
  </si>
  <si>
    <t>HR</t>
  </si>
  <si>
    <t>Marabaa</t>
  </si>
  <si>
    <t>NAYCO</t>
  </si>
  <si>
    <t>Rent Generators</t>
  </si>
  <si>
    <t>Al jaber</t>
  </si>
  <si>
    <t>Visa fees</t>
  </si>
  <si>
    <t>TB/ MANPOWER</t>
  </si>
  <si>
    <t>Desial/ IGCC</t>
  </si>
  <si>
    <t>HULUM</t>
  </si>
  <si>
    <t>Larsa</t>
  </si>
  <si>
    <t>Qaswa</t>
  </si>
  <si>
    <t>NAC</t>
  </si>
  <si>
    <t>Al Ebdaa</t>
  </si>
  <si>
    <t>Arajeez</t>
  </si>
  <si>
    <t>Civll devices</t>
  </si>
  <si>
    <t>Al Bashair</t>
  </si>
  <si>
    <t>ZQ/قرينات</t>
  </si>
  <si>
    <t>Desial/ Nemma</t>
  </si>
  <si>
    <t>ZAIN</t>
  </si>
  <si>
    <t>Al Huria</t>
  </si>
  <si>
    <t>Al Nahrain</t>
  </si>
  <si>
    <t>Border Heavy</t>
  </si>
  <si>
    <t>Jafar</t>
  </si>
  <si>
    <t>Enjaz</t>
  </si>
  <si>
    <t>Mustafa iron</t>
  </si>
  <si>
    <t>Nypton</t>
  </si>
  <si>
    <t>ZQ</t>
  </si>
  <si>
    <t>Haider</t>
  </si>
  <si>
    <t>Southren servcies</t>
  </si>
  <si>
    <t>KHAN</t>
  </si>
  <si>
    <t>Nemma</t>
  </si>
  <si>
    <t>AlShiraq/ STX</t>
  </si>
  <si>
    <t>SAP Fees</t>
  </si>
  <si>
    <t>JANAAN</t>
  </si>
  <si>
    <t>Ibrahim Abdul QAHAR</t>
  </si>
  <si>
    <t>Yassen</t>
  </si>
  <si>
    <t>ZumZum</t>
  </si>
  <si>
    <t>Al Aqeeda</t>
  </si>
  <si>
    <t>Blue line</t>
  </si>
  <si>
    <t>Al-Ameer</t>
  </si>
  <si>
    <t>Al Mammas Company for Engineering Test</t>
  </si>
  <si>
    <t>Al-Wajeeh</t>
  </si>
  <si>
    <t>Miqias Inspection instrumentation Calibration</t>
  </si>
  <si>
    <t>TB/ SAND</t>
  </si>
  <si>
    <t>NAYA Co</t>
  </si>
  <si>
    <t>Ammar sharif</t>
  </si>
  <si>
    <t>Al-Haram</t>
  </si>
  <si>
    <t>Border HYDROVAC</t>
  </si>
  <si>
    <t>WECO</t>
  </si>
  <si>
    <t xml:space="preserve">Level_1 </t>
  </si>
  <si>
    <t>Level_2</t>
  </si>
  <si>
    <t>Cost_Type</t>
  </si>
  <si>
    <t>GL_Name</t>
  </si>
  <si>
    <t>Level_1</t>
  </si>
  <si>
    <t xml:space="preserve">Jan </t>
  </si>
  <si>
    <t>Third Party Services</t>
  </si>
  <si>
    <t>Feb</t>
  </si>
  <si>
    <t>Mar</t>
  </si>
  <si>
    <t>DG02_PWD</t>
  </si>
  <si>
    <t>Apr</t>
  </si>
  <si>
    <t>May</t>
  </si>
  <si>
    <t>Insurance Fees</t>
  </si>
  <si>
    <t>Jun</t>
  </si>
  <si>
    <t>CMNT_23 </t>
  </si>
  <si>
    <t>Accommodation rental</t>
  </si>
  <si>
    <t>Jul</t>
  </si>
  <si>
    <t>Aug</t>
  </si>
  <si>
    <t>Medical Fees</t>
  </si>
  <si>
    <t>Oct</t>
  </si>
  <si>
    <t>CMSN_23</t>
  </si>
  <si>
    <t>Nov</t>
  </si>
  <si>
    <t>Dec</t>
  </si>
  <si>
    <t>Personal Expense</t>
  </si>
  <si>
    <t>E&amp;I-MAJ_24</t>
  </si>
  <si>
    <t>Training &amp; Development</t>
  </si>
  <si>
    <t>fixed assets</t>
  </si>
  <si>
    <t>Third Party Manpower</t>
  </si>
  <si>
    <t>Amman Expenses</t>
  </si>
  <si>
    <t>Jabal Qendil BRS</t>
  </si>
  <si>
    <t>Ras Al Khaimah Advanced Businees Solutions</t>
  </si>
  <si>
    <t>GULF PEARL GROUP</t>
  </si>
  <si>
    <t>Khan Alhadded Company</t>
  </si>
  <si>
    <t>Rawat Emaar AL-Iraq Co. (JOTUN)</t>
  </si>
  <si>
    <t>Al-Karar Gallery for Wood &amp; MDF</t>
  </si>
  <si>
    <t>Advance Welding Solutions Co</t>
  </si>
  <si>
    <t>Al-Janaeen Al-Mualaka for Water</t>
  </si>
  <si>
    <t>#</t>
  </si>
  <si>
    <t>Materials/Paint</t>
  </si>
  <si>
    <t>Materials/Water</t>
  </si>
  <si>
    <t>Materials/Wood</t>
  </si>
  <si>
    <t>Al Ajdar For General Trading and General Purchasing Ltd</t>
  </si>
  <si>
    <t>Row Labels</t>
  </si>
  <si>
    <t>Grand Total</t>
  </si>
  <si>
    <t>Sum of Invoice Amount USD</t>
  </si>
  <si>
    <t>Column Labels</t>
  </si>
  <si>
    <t>GRLBG</t>
  </si>
  <si>
    <t>GRLRO</t>
  </si>
  <si>
    <t>Materials/wire</t>
  </si>
  <si>
    <t>PSD</t>
  </si>
  <si>
    <t>Al Hurea Security Services</t>
  </si>
  <si>
    <t xml:space="preserve">Visa &amp; Traveling Expense  </t>
  </si>
  <si>
    <t>تصاريح امنية</t>
  </si>
  <si>
    <t>Petty Cash for FFF</t>
  </si>
  <si>
    <t>Petty Cash for OHTL</t>
  </si>
  <si>
    <t>Petty Cash for PWRI2</t>
  </si>
  <si>
    <t>Petty Cash for UQ</t>
  </si>
  <si>
    <t>Petty Cash for WOD</t>
  </si>
  <si>
    <t>Maintenance for basra office &amp; Staff residence</t>
  </si>
  <si>
    <t>AL JUTHOOR WORKSHOP</t>
  </si>
  <si>
    <t>Heavy  equipment rental</t>
  </si>
  <si>
    <t>camp_23</t>
  </si>
  <si>
    <t>OHTL _25</t>
  </si>
  <si>
    <t>DMC FOR PETROLEUM SERVICES &amp; CONTRACTING</t>
  </si>
  <si>
    <t>Tiqaneyat Al-Taqaddum Co. (ATC)</t>
  </si>
  <si>
    <t>Al-Usool Genral Trading LTD</t>
  </si>
  <si>
    <t>Fixed Assets</t>
  </si>
  <si>
    <t>Al-Ghader Gallary</t>
  </si>
  <si>
    <t>Asia</t>
  </si>
  <si>
    <t>Radix General Trading Co</t>
  </si>
  <si>
    <t>NR-NGL_25</t>
  </si>
  <si>
    <t>Zamzam Land Construction Trading</t>
  </si>
  <si>
    <t>EPT LLC (SIKA)</t>
  </si>
  <si>
    <t>Fasco LLC FZ</t>
  </si>
  <si>
    <t>Materials/Iron</t>
  </si>
  <si>
    <t>Al Faw Company For Engineering Testing</t>
  </si>
  <si>
    <t>KRK-BP-25</t>
  </si>
  <si>
    <t>GRL-KR-BP-25</t>
  </si>
  <si>
    <t>Jan</t>
  </si>
  <si>
    <t>25/1/2026</t>
  </si>
  <si>
    <t>Management</t>
  </si>
  <si>
    <t>Management Payroll</t>
  </si>
  <si>
    <t>Managemnt</t>
  </si>
  <si>
    <t xml:space="preserve"> Heavy equipment rental</t>
  </si>
  <si>
    <t>Alaq Al Abraj Co.</t>
  </si>
  <si>
    <t>Al Eman Computers Networks &amp; Communication</t>
  </si>
  <si>
    <t>Al Miayar Inspection service and rtaining</t>
  </si>
  <si>
    <t>RAYAT AL-SHARQ COMPANY For Inspection Services</t>
  </si>
  <si>
    <t>Hydrovac</t>
  </si>
  <si>
    <t>Testing/Calibration</t>
  </si>
  <si>
    <t>SAP</t>
  </si>
  <si>
    <t>SOUTH DEEP JEWEL</t>
  </si>
  <si>
    <t>AL AZIL AL EMIRATI</t>
  </si>
  <si>
    <t>DCP IRAQ</t>
  </si>
  <si>
    <t>Rwad Alenjaz Co.</t>
  </si>
  <si>
    <t>Al Ghasak Office</t>
  </si>
  <si>
    <t>AL FATEEM CO</t>
  </si>
  <si>
    <t>Maraba Al Rafidain</t>
  </si>
  <si>
    <t>Jafar Mohammed shawa</t>
  </si>
  <si>
    <t>Civil works</t>
  </si>
  <si>
    <t>Asia Company For Inspection</t>
  </si>
  <si>
    <t>Kiosk-25</t>
  </si>
  <si>
    <t>TMS_26</t>
  </si>
  <si>
    <t>Off Payroll Feb</t>
  </si>
  <si>
    <t>Feb 26 transport allowance</t>
  </si>
  <si>
    <t>Payroll Feb</t>
  </si>
  <si>
    <t>LOGISTIC EXPRESS</t>
  </si>
  <si>
    <t>NEPTUNE ALKAWKAB ALAZRAK FOR GENERAL TRANSPORTATION</t>
  </si>
  <si>
    <t>310</t>
  </si>
  <si>
    <t>309</t>
  </si>
  <si>
    <t>VLV_26</t>
  </si>
  <si>
    <t> GRL_VLV </t>
  </si>
  <si>
    <t>ROOG_24</t>
  </si>
  <si>
    <t>GRLRO_24</t>
  </si>
  <si>
    <t xml:space="preserve">Rental for ( Feb.26 </t>
  </si>
  <si>
    <t>TKT for Aya &amp; Rawan Basra - amman</t>
  </si>
  <si>
    <t>ROOG-Check point salary</t>
  </si>
  <si>
    <t xml:space="preserve"> ( Feb.26 ) اكراميات وعشائر</t>
  </si>
  <si>
    <t>تبرعات</t>
  </si>
  <si>
    <t>تبرعات لعائلة المرحوم السائق ابو سارة</t>
  </si>
  <si>
    <t>عزاء ( والدعادل العطبي )</t>
  </si>
  <si>
    <t>تبرعات للايتام والفقراء</t>
  </si>
  <si>
    <t>اكراميات وعشائر - BGCA</t>
  </si>
  <si>
    <t>UQ-CHECK POINT SALARY -Feb.26 &amp; Road Safety</t>
  </si>
  <si>
    <t>Toner 635 x 2ea</t>
  </si>
  <si>
    <t>Petty Cash for CPSs</t>
  </si>
  <si>
    <t>Petty Cash for ROO-FL</t>
  </si>
  <si>
    <t>Expens Claim for ( Nawar, Shaiban, Fadi Ahmed Alwan) - KRK</t>
  </si>
  <si>
    <t>Petty Cash for KRK Office</t>
  </si>
  <si>
    <t xml:space="preserve">مواد تنظيف مكتب + جرزات + فواكه +عصايرالعزيمه  + عمل ختم للشركة </t>
  </si>
  <si>
    <t>قطع اكرلك50*60 عدد14</t>
  </si>
  <si>
    <t>قطع اكرلك / قواعد توتال الذهبية عدد14 &amp; ستيكر تدريب عدد 3 رولة</t>
  </si>
  <si>
    <t>Petty Cash for Total- FL</t>
  </si>
  <si>
    <t>Petty Cash for Total</t>
  </si>
  <si>
    <t>Tape x 19ea for FF</t>
  </si>
  <si>
    <t>رولة لوكو الشركة - أسبوع الريادة</t>
  </si>
  <si>
    <t>Petty cCash fro Lifting team</t>
  </si>
  <si>
    <t>هوز لصهريج الوقود 2" عدد 30م</t>
  </si>
  <si>
    <t>Abandonment Kits 55mm &amp; 35mm x 10ea</t>
  </si>
  <si>
    <t>Gap Cutting Disc 1mm, 115mm, /(Rhodius) x 300ea</t>
  </si>
  <si>
    <t>Petty Cash for PWRI</t>
  </si>
  <si>
    <t>Transportation for Feb.26 &amp; Consumable tools</t>
  </si>
  <si>
    <t>Concrete C40 x 16M3</t>
  </si>
  <si>
    <t>Feb.26 Salary</t>
  </si>
  <si>
    <t>OV for Sep.25</t>
  </si>
  <si>
    <t xml:space="preserve">Top Three Logistics KPI's – Performance Motivation Scheme-January Ali Shihab </t>
  </si>
  <si>
    <t>OV from HA</t>
  </si>
  <si>
    <t>Shipping basra - dubai ( Govinda )</t>
  </si>
  <si>
    <t>بريد بصرة - بغداد</t>
  </si>
  <si>
    <t xml:space="preserve">أجور طعام غداء (عزيمه) لضيوف مكتب كركوك </t>
  </si>
  <si>
    <t>Food &amp; Meal for FL</t>
  </si>
  <si>
    <t>Diesel 1000ltr for Feb.26 - Jenena</t>
  </si>
  <si>
    <t xml:space="preserve"> Feb.26</t>
  </si>
  <si>
    <t>Hotel ( Hussein Alshaib x 8days , Aya &amp; Rawan x 2days)</t>
  </si>
  <si>
    <t>Tensile test</t>
  </si>
  <si>
    <t>Chemical composition analysis</t>
  </si>
  <si>
    <t>Maintenace printer &amp; toner</t>
  </si>
  <si>
    <t xml:space="preserve">قرطاسية + اطار صور عدد/10  سيار كهربائي / عدد8 </t>
  </si>
  <si>
    <t>محجر مع دنكه + عمال عدد/4 مع الطعام والنقل + شراء منظفات</t>
  </si>
  <si>
    <t>Reactive internet</t>
  </si>
  <si>
    <t>أجور المولد لشهر شباط 2 / 2026</t>
  </si>
  <si>
    <t>Expens Claim for KRK - Hotel 5 days</t>
  </si>
  <si>
    <t>Visa fees for ( omer Jamal Kamal &amp; Ahmed Mohammed AlSaid Salah)</t>
  </si>
  <si>
    <t>Expense Claim</t>
  </si>
  <si>
    <t>Expens Claim for Amman</t>
  </si>
  <si>
    <t>Expens Claim for Baghdad &amp; ُErbil</t>
  </si>
  <si>
    <t>travel pocket money</t>
  </si>
  <si>
    <t>16/2/2026</t>
  </si>
  <si>
    <t>19/2/2026</t>
  </si>
  <si>
    <t>15/2/2026</t>
  </si>
  <si>
    <t>24/2/2026</t>
  </si>
  <si>
    <t>17/2/2026</t>
  </si>
  <si>
    <t>23/2/2026</t>
  </si>
  <si>
    <t>14/2/2026</t>
  </si>
  <si>
    <t>26/1/2025</t>
  </si>
  <si>
    <t>20/12/2026</t>
  </si>
  <si>
    <t>21/2/2026</t>
  </si>
  <si>
    <t>26/2/2026</t>
  </si>
  <si>
    <t>22/2/2026</t>
  </si>
  <si>
    <t>28/2/2026</t>
  </si>
  <si>
    <t>25/2/2026</t>
  </si>
  <si>
    <t>18/2/2026</t>
  </si>
  <si>
    <t>Diesel Official Feb 25</t>
  </si>
  <si>
    <t>Diesel Sites Feb 25</t>
  </si>
  <si>
    <t>KRK Feb</t>
  </si>
  <si>
    <t>2026000484</t>
  </si>
  <si>
    <t xml:space="preserve">Rent Amal Feb 25 </t>
  </si>
  <si>
    <t xml:space="preserve">Rent Academy Feb 25 </t>
  </si>
  <si>
    <t xml:space="preserve">Rent Al Jazair office Feb 25 </t>
  </si>
  <si>
    <t xml:space="preserve">Rent Southren Services Feb 25 </t>
  </si>
  <si>
    <t>Rent Jazair Accommodation Feb 25</t>
  </si>
  <si>
    <t xml:space="preserve">Rent Junaina Feb 25 </t>
  </si>
  <si>
    <t>Al Majal Business Park (AMBP) Feb 25</t>
  </si>
  <si>
    <t>BNGL_25</t>
  </si>
  <si>
    <t>ROESP_23</t>
  </si>
  <si>
    <t>IGCC-012026-5</t>
  </si>
  <si>
    <t>IGCC-022026-3</t>
  </si>
  <si>
    <t>INV-IGCC-24-02-020</t>
  </si>
  <si>
    <t>INV-IGCC-25-02-029</t>
  </si>
  <si>
    <t>INV-IGCC-26-02-017</t>
  </si>
  <si>
    <t>INV-IGCC-NORTH RUMILA -26-02-021</t>
  </si>
  <si>
    <t>INV-IGCC-SOUTH RUMILA -26-02-022</t>
  </si>
  <si>
    <t>INV-IGCC-UM QASIR ADHOC -26-02-023</t>
  </si>
  <si>
    <t>INV-IGCC-UM QASIR -26-02-024</t>
  </si>
  <si>
    <t>IGCC-BSR-260201</t>
  </si>
  <si>
    <t>2806400226</t>
  </si>
  <si>
    <t>GRL_VLV</t>
  </si>
  <si>
    <t>Ali Hamed For Excort Tools</t>
  </si>
  <si>
    <t>Al Khaleej Company</t>
  </si>
  <si>
    <t>AL-GHASAQ OFFICE FOR TRADING AND ELECTRICAL CONSTRUCTION MATERIALS</t>
  </si>
  <si>
    <t>Tech Corner IT Solution LLC</t>
  </si>
  <si>
    <t>Sahba Technnnology</t>
  </si>
  <si>
    <t>Ataa Al Khalid Co.</t>
  </si>
  <si>
    <t>Al Etimad Stores</t>
  </si>
  <si>
    <t>Al-Sard Company (Dewalt)</t>
  </si>
  <si>
    <t>Al-qanaat Altijaria shops</t>
  </si>
  <si>
    <t>YAQOUT PAINTS</t>
  </si>
  <si>
    <t>IBRAHIM ALUMINIUM</t>
  </si>
  <si>
    <t>Al SALAM BUREAU FOR COMPUTERS</t>
  </si>
  <si>
    <t>Ali Hadi</t>
  </si>
  <si>
    <t>LIFE NATURAL SPRING WATER</t>
  </si>
  <si>
    <t>IZMIR COMPANY FOR GENERAL TRADING</t>
  </si>
  <si>
    <t>Cargo Ship Company</t>
  </si>
  <si>
    <t>SGE COMPANY IRAQ</t>
  </si>
  <si>
    <t>JUSOR AL-FAIHAA</t>
  </si>
  <si>
    <t>000133</t>
  </si>
  <si>
    <t>02233</t>
  </si>
  <si>
    <t>GH-2026-088781</t>
  </si>
  <si>
    <t>4359</t>
  </si>
  <si>
    <t>03200</t>
  </si>
  <si>
    <t>3523</t>
  </si>
  <si>
    <t>02289</t>
  </si>
  <si>
    <t>3460</t>
  </si>
  <si>
    <t>3559</t>
  </si>
  <si>
    <t>00846</t>
  </si>
  <si>
    <t>005007</t>
  </si>
  <si>
    <t>005051</t>
  </si>
  <si>
    <t>3437</t>
  </si>
  <si>
    <t>3560</t>
  </si>
  <si>
    <t>000444</t>
  </si>
  <si>
    <t>00831</t>
  </si>
  <si>
    <t>INV/2026/00675</t>
  </si>
  <si>
    <t>GH-2026-088774</t>
  </si>
  <si>
    <t>02297</t>
  </si>
  <si>
    <t>00836</t>
  </si>
  <si>
    <t>101-2356</t>
  </si>
  <si>
    <t>8896</t>
  </si>
  <si>
    <t>INV/2026/00430</t>
  </si>
  <si>
    <t>INV0000257</t>
  </si>
  <si>
    <t>00837</t>
  </si>
  <si>
    <t>00841</t>
  </si>
  <si>
    <t>INV/2026/01756</t>
  </si>
  <si>
    <t>00031</t>
  </si>
  <si>
    <t>00834</t>
  </si>
  <si>
    <t>4783</t>
  </si>
  <si>
    <t>00844</t>
  </si>
  <si>
    <t>17/2</t>
  </si>
  <si>
    <t>001577</t>
  </si>
  <si>
    <t>GH-2026-088743</t>
  </si>
  <si>
    <t>178</t>
  </si>
  <si>
    <t>0000283</t>
  </si>
  <si>
    <t>0000282</t>
  </si>
  <si>
    <t>2349</t>
  </si>
  <si>
    <t>001</t>
  </si>
  <si>
    <t>8949</t>
  </si>
  <si>
    <t>111104</t>
  </si>
  <si>
    <t>524744</t>
  </si>
  <si>
    <t>2901</t>
  </si>
  <si>
    <t>8823</t>
  </si>
  <si>
    <t>0616</t>
  </si>
  <si>
    <t>0001706</t>
  </si>
  <si>
    <t>4219</t>
  </si>
  <si>
    <t>0226</t>
  </si>
  <si>
    <t>00832</t>
  </si>
  <si>
    <t>5603</t>
  </si>
  <si>
    <t>8990</t>
  </si>
  <si>
    <t>8897</t>
  </si>
  <si>
    <t>1704</t>
  </si>
  <si>
    <t>INV/2026/01884</t>
  </si>
  <si>
    <t>2718</t>
  </si>
  <si>
    <t>0001703</t>
  </si>
  <si>
    <t>0218</t>
  </si>
  <si>
    <t>26750023</t>
  </si>
  <si>
    <t>INV/2026/01770</t>
  </si>
  <si>
    <t>8957</t>
  </si>
  <si>
    <t>0001705</t>
  </si>
  <si>
    <t>8898</t>
  </si>
  <si>
    <t>1702</t>
  </si>
  <si>
    <t>03219</t>
  </si>
  <si>
    <t>0225</t>
  </si>
  <si>
    <t>34531</t>
  </si>
  <si>
    <t>8958</t>
  </si>
  <si>
    <t>8900</t>
  </si>
  <si>
    <t>0210</t>
  </si>
  <si>
    <t>177</t>
  </si>
  <si>
    <t>0068</t>
  </si>
  <si>
    <t>0215</t>
  </si>
  <si>
    <t>0220</t>
  </si>
  <si>
    <t>0223</t>
  </si>
  <si>
    <t>0217</t>
  </si>
  <si>
    <t>13230</t>
  </si>
  <si>
    <t>13228</t>
  </si>
  <si>
    <t>13226</t>
  </si>
  <si>
    <t>13220</t>
  </si>
  <si>
    <t>13222</t>
  </si>
  <si>
    <t>13216</t>
  </si>
  <si>
    <t>13214</t>
  </si>
  <si>
    <t>13212</t>
  </si>
  <si>
    <t>13210</t>
  </si>
  <si>
    <t>28552026</t>
  </si>
  <si>
    <t>285402026</t>
  </si>
  <si>
    <t>13218</t>
  </si>
  <si>
    <t>28502026</t>
  </si>
  <si>
    <t>291-1</t>
  </si>
  <si>
    <t>488</t>
  </si>
  <si>
    <t>IGCC02</t>
  </si>
  <si>
    <t>13268</t>
  </si>
  <si>
    <t>28442026</t>
  </si>
  <si>
    <t>13234</t>
  </si>
  <si>
    <t>13250</t>
  </si>
  <si>
    <t>13246</t>
  </si>
  <si>
    <t>13244</t>
  </si>
  <si>
    <t>13240</t>
  </si>
  <si>
    <t>13238</t>
  </si>
  <si>
    <t>13236</t>
  </si>
  <si>
    <t>13206</t>
  </si>
  <si>
    <t>1015</t>
  </si>
  <si>
    <t>492</t>
  </si>
  <si>
    <t>28432026</t>
  </si>
  <si>
    <t>478</t>
  </si>
  <si>
    <t>26-024-R1</t>
  </si>
  <si>
    <t>500</t>
  </si>
  <si>
    <t>506</t>
  </si>
  <si>
    <t>508</t>
  </si>
  <si>
    <t>000313</t>
  </si>
  <si>
    <t>498</t>
  </si>
  <si>
    <t>2026000007</t>
  </si>
  <si>
    <t>13406</t>
  </si>
  <si>
    <t>504</t>
  </si>
  <si>
    <t>518</t>
  </si>
  <si>
    <t>28652026</t>
  </si>
  <si>
    <t>13404</t>
  </si>
  <si>
    <t>13408</t>
  </si>
  <si>
    <t>13402</t>
  </si>
  <si>
    <t>1012</t>
  </si>
  <si>
    <t>13440</t>
  </si>
  <si>
    <t>13284</t>
  </si>
  <si>
    <t>2935</t>
  </si>
  <si>
    <t>28612026</t>
  </si>
  <si>
    <t>1034</t>
  </si>
  <si>
    <t>1029</t>
  </si>
  <si>
    <t>1022</t>
  </si>
  <si>
    <t>13434</t>
  </si>
  <si>
    <t>13438</t>
  </si>
  <si>
    <t>13430</t>
  </si>
  <si>
    <t>13432</t>
  </si>
  <si>
    <t>13428</t>
  </si>
  <si>
    <t>13298</t>
  </si>
  <si>
    <t>514</t>
  </si>
  <si>
    <t>13436</t>
  </si>
  <si>
    <t>13394</t>
  </si>
  <si>
    <t>28632026</t>
  </si>
  <si>
    <t>IGCC06</t>
  </si>
  <si>
    <t>IGCC04</t>
  </si>
  <si>
    <t>1031</t>
  </si>
  <si>
    <t>1030</t>
  </si>
  <si>
    <t>134444</t>
  </si>
  <si>
    <t>13456</t>
  </si>
  <si>
    <t>13454</t>
  </si>
  <si>
    <t>13558</t>
  </si>
  <si>
    <t>1026</t>
  </si>
  <si>
    <t>1040</t>
  </si>
  <si>
    <t>13450</t>
  </si>
  <si>
    <t>16141</t>
  </si>
  <si>
    <t>13276</t>
  </si>
  <si>
    <t>13278</t>
  </si>
  <si>
    <t>13294</t>
  </si>
  <si>
    <t>28592026</t>
  </si>
  <si>
    <t>13318</t>
  </si>
  <si>
    <t>13388</t>
  </si>
  <si>
    <t>13392</t>
  </si>
  <si>
    <t>1006</t>
  </si>
  <si>
    <t>516</t>
  </si>
  <si>
    <t>1014</t>
  </si>
  <si>
    <t>13304</t>
  </si>
  <si>
    <t>13376</t>
  </si>
  <si>
    <t>13398</t>
  </si>
  <si>
    <t>13372</t>
  </si>
  <si>
    <t>13400</t>
  </si>
  <si>
    <t>512</t>
  </si>
  <si>
    <t>502</t>
  </si>
  <si>
    <t>13396</t>
  </si>
  <si>
    <t>13338</t>
  </si>
  <si>
    <t>13282</t>
  </si>
  <si>
    <t>13390</t>
  </si>
  <si>
    <t>13232</t>
  </si>
  <si>
    <t>13316</t>
  </si>
  <si>
    <t>13364</t>
  </si>
  <si>
    <t>13352</t>
  </si>
  <si>
    <t>13356</t>
  </si>
  <si>
    <t>13358</t>
  </si>
  <si>
    <t>13348</t>
  </si>
  <si>
    <t>13374</t>
  </si>
  <si>
    <t>13386</t>
  </si>
  <si>
    <t>13362</t>
  </si>
  <si>
    <t>13370</t>
  </si>
  <si>
    <t>13344</t>
  </si>
  <si>
    <t>13350</t>
  </si>
  <si>
    <t>13346</t>
  </si>
  <si>
    <t>13368</t>
  </si>
  <si>
    <t>13378</t>
  </si>
  <si>
    <t>13366</t>
  </si>
  <si>
    <t>13360</t>
  </si>
  <si>
    <t>13354</t>
  </si>
  <si>
    <t>13248</t>
  </si>
  <si>
    <t>13286</t>
  </si>
  <si>
    <t>13288</t>
  </si>
  <si>
    <t>13292</t>
  </si>
  <si>
    <t>13262</t>
  </si>
  <si>
    <t>13260</t>
  </si>
  <si>
    <t>13296</t>
  </si>
  <si>
    <t>13258</t>
  </si>
  <si>
    <t>13264</t>
  </si>
  <si>
    <t>13336</t>
  </si>
  <si>
    <t>13332</t>
  </si>
  <si>
    <t>522</t>
  </si>
  <si>
    <t>13518</t>
  </si>
  <si>
    <t>530</t>
  </si>
  <si>
    <t>13462</t>
  </si>
  <si>
    <t>13468</t>
  </si>
  <si>
    <t>13504</t>
  </si>
  <si>
    <t>13560</t>
  </si>
  <si>
    <t>13548</t>
  </si>
  <si>
    <t>13494</t>
  </si>
  <si>
    <t>13478</t>
  </si>
  <si>
    <t>13542</t>
  </si>
  <si>
    <t>13530</t>
  </si>
  <si>
    <t>13526</t>
  </si>
  <si>
    <t>13554</t>
  </si>
  <si>
    <t>13562</t>
  </si>
  <si>
    <t>13512</t>
  </si>
  <si>
    <t>13524</t>
  </si>
  <si>
    <t>13532</t>
  </si>
  <si>
    <t>13496</t>
  </si>
  <si>
    <t>13492</t>
  </si>
  <si>
    <t>13528</t>
  </si>
  <si>
    <t>13514</t>
  </si>
  <si>
    <t>13510</t>
  </si>
  <si>
    <t>13534</t>
  </si>
  <si>
    <t>13480</t>
  </si>
  <si>
    <t>13522</t>
  </si>
  <si>
    <t>13516</t>
  </si>
  <si>
    <t>13506</t>
  </si>
  <si>
    <t>13508</t>
  </si>
  <si>
    <t>13482</t>
  </si>
  <si>
    <t>13476</t>
  </si>
  <si>
    <t>13502</t>
  </si>
  <si>
    <t>13486</t>
  </si>
  <si>
    <t>13488</t>
  </si>
  <si>
    <t>13484</t>
  </si>
  <si>
    <t>13498</t>
  </si>
  <si>
    <t>13500</t>
  </si>
  <si>
    <t>13490</t>
  </si>
  <si>
    <t>13536</t>
  </si>
  <si>
    <t>13448</t>
  </si>
  <si>
    <t>6779</t>
  </si>
  <si>
    <t>6776</t>
  </si>
  <si>
    <t>6777</t>
  </si>
  <si>
    <t>6782</t>
  </si>
  <si>
    <t>6780</t>
  </si>
  <si>
    <t>6785</t>
  </si>
  <si>
    <t>6783</t>
  </si>
  <si>
    <t>6781</t>
  </si>
  <si>
    <t>6788</t>
  </si>
  <si>
    <t>6801</t>
  </si>
  <si>
    <t>6798</t>
  </si>
  <si>
    <t>6796</t>
  </si>
  <si>
    <t>6795</t>
  </si>
  <si>
    <t>6804</t>
  </si>
  <si>
    <t>6799</t>
  </si>
  <si>
    <t>6802</t>
  </si>
  <si>
    <t>6797</t>
  </si>
  <si>
    <t>6791</t>
  </si>
  <si>
    <t>13242</t>
  </si>
  <si>
    <t>494</t>
  </si>
  <si>
    <t>528</t>
  </si>
  <si>
    <t>6800</t>
  </si>
  <si>
    <t>13520</t>
  </si>
  <si>
    <t>1023</t>
  </si>
  <si>
    <t>13460</t>
  </si>
  <si>
    <t>13224</t>
  </si>
  <si>
    <t>13190</t>
  </si>
  <si>
    <t>NR_NGL_25</t>
  </si>
  <si>
    <t>GRL_KRK</t>
  </si>
  <si>
    <t>OHTL_23</t>
  </si>
  <si>
    <t>Materials/Wire</t>
  </si>
  <si>
    <t>Materials/IT</t>
  </si>
  <si>
    <t>ALI HAMDANI OFFICE FOR COMPUTERS</t>
  </si>
  <si>
    <t>AWI</t>
  </si>
  <si>
    <t>SMART TOUCH FOR COMPUTERS &amp; TECHNOLOGY</t>
  </si>
  <si>
    <t>000443</t>
  </si>
  <si>
    <t>44-30</t>
  </si>
  <si>
    <t>167</t>
  </si>
  <si>
    <t>000446</t>
  </si>
  <si>
    <t>000449</t>
  </si>
  <si>
    <t>A1-260019</t>
  </si>
  <si>
    <t>1795</t>
  </si>
  <si>
    <t>0968</t>
  </si>
  <si>
    <t>Haider Ali Abd</t>
  </si>
  <si>
    <t xml:space="preserve"> Hydrovac TT-DC-FL-GRE-UR</t>
  </si>
  <si>
    <t>TT-DC-AG25-CV-UR</t>
  </si>
  <si>
    <t>TT-DC-FL-UR</t>
  </si>
  <si>
    <t>Abraj Alshareq</t>
  </si>
  <si>
    <t>Al Shams Lab</t>
  </si>
  <si>
    <t>GAMMA PETROLEUM SERVICES</t>
  </si>
  <si>
    <t>THE CPD CERTIFICATION SERVICE</t>
  </si>
  <si>
    <t>FAS General Contracting</t>
  </si>
  <si>
    <t>000692</t>
  </si>
  <si>
    <t>B.G.B.I.099</t>
  </si>
  <si>
    <t>000690</t>
  </si>
  <si>
    <t>B.G.B.I.098</t>
  </si>
  <si>
    <t>787</t>
  </si>
  <si>
    <t>B.G.B.I.101</t>
  </si>
  <si>
    <t>20260223/01</t>
  </si>
  <si>
    <t>INV.26-008</t>
  </si>
  <si>
    <t>19-15/26</t>
  </si>
  <si>
    <t>INV.26-74</t>
  </si>
  <si>
    <t>INV.26-009</t>
  </si>
  <si>
    <t>24-8/26</t>
  </si>
  <si>
    <t>28-12/26</t>
  </si>
  <si>
    <t>26-10/26</t>
  </si>
  <si>
    <t>DMC-IGCC-INV-26-0110</t>
  </si>
  <si>
    <t>B.G.B.I.102</t>
  </si>
  <si>
    <t>DMC-IGCC-INV-26-0107</t>
  </si>
  <si>
    <t>000659</t>
  </si>
  <si>
    <t>DMC-IGCC-INV-26-0103</t>
  </si>
  <si>
    <t>TR26-11613</t>
  </si>
  <si>
    <t>TR26-11586</t>
  </si>
  <si>
    <t>TR26-11593</t>
  </si>
  <si>
    <t>22272</t>
  </si>
  <si>
    <t>2026000005</t>
  </si>
  <si>
    <t>IGCC-AIC-INVOICE-  039</t>
  </si>
  <si>
    <t>2026000362</t>
  </si>
  <si>
    <t>2026000361</t>
  </si>
  <si>
    <t>ACC-SINV-2026-00405</t>
  </si>
  <si>
    <t>ACC-SINV-2026-00406</t>
  </si>
  <si>
    <t>General services</t>
  </si>
  <si>
    <t>TT-DC-FL-UR Hydrovac</t>
  </si>
  <si>
    <t>TT-DC-AG25-CV-UR Hydrovac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</si>
</sst>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[$$-409]* #,##0.00_ ;_-[$$-409]* \-#,##0.00\ ;_-[$$-409]* &quot;-&quot;??_ ;_-@_ "/>
    <numFmt numFmtId="167" formatCode="_([$$-409]* #,##0.00_);_([$$-409]* \(#,##0.00\);_([$$-409]* &quot;-&quot;??_);_(@_)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0" fillId="0" borderId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57">
    <xf numFmtId="0" fontId="0" fillId="0" borderId="0" xfId="0"/>
    <xf numFmtId="0" fontId="0" fillId="2" borderId="0" xfId="0" applyFill="1"/>
    <xf numFmtId="0" fontId="0" fillId="3" borderId="0" xfId="0" applyFill="1"/>
    <xf numFmtId="165" fontId="0" fillId="3" borderId="0" xfId="1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0" fontId="18" fillId="2" borderId="0" xfId="0" applyFont="1" applyFill="1"/>
    <xf numFmtId="0" fontId="18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66" fontId="0" fillId="0" borderId="1" xfId="1" applyNumberFormat="1" applyFont="1" applyBorder="1"/>
    <xf numFmtId="14" fontId="0" fillId="0" borderId="0" xfId="0" applyNumberFormat="1" applyAlignment="1">
      <alignment horizontal="left"/>
    </xf>
    <xf numFmtId="0" fontId="18" fillId="4" borderId="1" xfId="0" applyFont="1" applyFill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6" fontId="0" fillId="0" borderId="1" xfId="2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6" fontId="0" fillId="0" borderId="1" xfId="2" applyNumberFormat="1" applyFont="1" applyBorder="1"/>
    <xf numFmtId="166" fontId="0" fillId="0" borderId="1" xfId="2" applyNumberFormat="1" applyFont="1" applyFill="1" applyBorder="1"/>
    <xf numFmtId="167" fontId="0" fillId="0" borderId="1" xfId="1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 vertical="center"/>
    </xf>
    <xf numFmtId="166" fontId="0" fillId="0" borderId="0" xfId="2" applyNumberFormat="1" applyFont="1"/>
    <xf numFmtId="0" fontId="16" fillId="0" borderId="1" xfId="0" applyFont="1" applyBorder="1"/>
    <xf numFmtId="0" fontId="0" fillId="0" borderId="1" xfId="0" applyBorder="1" applyAlignment="1">
      <alignment horizontal="left" vertical="top"/>
    </xf>
    <xf numFmtId="0" fontId="14" fillId="0" borderId="0" xfId="0" applyFont="1" applyAlignment="1">
      <alignment horizontal="left"/>
    </xf>
    <xf numFmtId="167" fontId="0" fillId="0" borderId="0" xfId="0" applyNumberFormat="1"/>
    <xf numFmtId="167" fontId="0" fillId="0" borderId="1" xfId="2" applyNumberFormat="1" applyFont="1" applyBorder="1"/>
    <xf numFmtId="0" fontId="13" fillId="0" borderId="0" xfId="0" applyFont="1" applyAlignment="1">
      <alignment horizontal="left"/>
    </xf>
    <xf numFmtId="167" fontId="0" fillId="0" borderId="0" xfId="1" applyNumberFormat="1" applyFont="1"/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6" borderId="0" xfId="0" applyFill="1"/>
    <xf numFmtId="0" fontId="12" fillId="0" borderId="0" xfId="0" applyFont="1"/>
    <xf numFmtId="0" fontId="12" fillId="0" borderId="0" xfId="0" applyFont="1" applyAlignment="1">
      <alignment horizontal="left"/>
    </xf>
    <xf numFmtId="14" fontId="0" fillId="0" borderId="0" xfId="0" applyNumberFormat="1"/>
    <xf numFmtId="10" fontId="18" fillId="0" borderId="0" xfId="0" applyNumberFormat="1" applyFont="1"/>
    <xf numFmtId="9" fontId="0" fillId="0" borderId="0" xfId="3" applyFont="1"/>
    <xf numFmtId="167" fontId="0" fillId="0" borderId="0" xfId="2" applyNumberFormat="1" applyFont="1"/>
    <xf numFmtId="0" fontId="11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167" fontId="0" fillId="0" borderId="1" xfId="2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167" fontId="0" fillId="0" borderId="1" xfId="1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9" fillId="5" borderId="1" xfId="0" applyFont="1" applyFill="1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14" fontId="16" fillId="0" borderId="1" xfId="0" applyNumberFormat="1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167" fontId="0" fillId="0" borderId="1" xfId="2" applyNumberFormat="1" applyFont="1" applyFill="1" applyBorder="1" applyAlignment="1">
      <alignment horizontal="left" vertical="top"/>
    </xf>
    <xf numFmtId="167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left" vertical="top"/>
    </xf>
    <xf numFmtId="14" fontId="8" fillId="0" borderId="1" xfId="0" applyNumberFormat="1" applyFont="1" applyBorder="1"/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14" fontId="0" fillId="7" borderId="1" xfId="0" applyNumberForma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167" fontId="0" fillId="7" borderId="1" xfId="0" applyNumberForma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/>
    </xf>
    <xf numFmtId="0" fontId="18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166" fontId="0" fillId="0" borderId="0" xfId="2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165" fontId="0" fillId="0" borderId="0" xfId="1" applyFont="1"/>
    <xf numFmtId="167" fontId="18" fillId="0" borderId="0" xfId="0" applyNumberFormat="1" applyFont="1"/>
    <xf numFmtId="43" fontId="0" fillId="0" borderId="0" xfId="0" applyNumberFormat="1"/>
    <xf numFmtId="0" fontId="0" fillId="0" borderId="0" xfId="0" applyAlignment="1">
      <alignment horizontal="center" vertical="center"/>
    </xf>
    <xf numFmtId="0" fontId="13" fillId="0" borderId="0" xfId="0" applyFont="1"/>
    <xf numFmtId="167" fontId="0" fillId="0" borderId="0" xfId="2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167" fontId="3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8" fillId="2" borderId="0" xfId="0" applyFont="1" applyFill="1" applyAlignment="1">
      <alignment vertical="top"/>
    </xf>
    <xf numFmtId="0" fontId="0" fillId="0" borderId="0" xfId="0" applyAlignment="1">
      <alignment vertical="top"/>
    </xf>
    <xf numFmtId="167" fontId="0" fillId="0" borderId="0" xfId="0" applyNumberFormat="1" applyAlignment="1">
      <alignment vertical="top"/>
    </xf>
    <xf numFmtId="0" fontId="4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4" fontId="4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166" fontId="0" fillId="0" borderId="0" xfId="0" applyNumberFormat="1" applyAlignment="1">
      <alignment horizontal="left" vertical="top"/>
    </xf>
    <xf numFmtId="167" fontId="3" fillId="0" borderId="0" xfId="0" applyNumberFormat="1" applyFont="1" applyAlignment="1">
      <alignment horizontal="left"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167" fontId="0" fillId="0" borderId="1" xfId="2" applyNumberFormat="1" applyFont="1" applyBorder="1" applyAlignment="1">
      <alignment vertical="top"/>
    </xf>
    <xf numFmtId="167" fontId="0" fillId="0" borderId="1" xfId="0" applyNumberFormat="1" applyBorder="1" applyAlignment="1">
      <alignment vertical="top"/>
    </xf>
    <xf numFmtId="0" fontId="18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vertical="top"/>
    </xf>
    <xf numFmtId="0" fontId="8" fillId="0" borderId="0" xfId="0" applyFont="1" applyAlignment="1">
      <alignment vertical="top"/>
    </xf>
    <xf numFmtId="165" fontId="18" fillId="2" borderId="0" xfId="1" applyFont="1" applyFill="1" applyAlignment="1">
      <alignment vertical="top"/>
    </xf>
    <xf numFmtId="165" fontId="0" fillId="0" borderId="0" xfId="1" applyFont="1" applyAlignment="1">
      <alignment vertical="top"/>
    </xf>
    <xf numFmtId="0" fontId="17" fillId="0" borderId="0" xfId="0" applyFont="1" applyAlignment="1">
      <alignment vertical="top"/>
    </xf>
    <xf numFmtId="14" fontId="16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18" fillId="4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166" fontId="2" fillId="0" borderId="0" xfId="2" applyNumberFormat="1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167" fontId="0" fillId="0" borderId="1" xfId="0" applyNumberFormat="1" applyBorder="1"/>
    <xf numFmtId="166" fontId="0" fillId="0" borderId="1" xfId="0" applyNumberFormat="1" applyBorder="1"/>
    <xf numFmtId="0" fontId="2" fillId="0" borderId="0" xfId="0" applyFont="1" applyAlignment="1">
      <alignment vertical="top"/>
    </xf>
    <xf numFmtId="167" fontId="0" fillId="0" borderId="0" xfId="1" applyNumberFormat="1" applyFont="1" applyAlignment="1">
      <alignment vertical="top"/>
    </xf>
    <xf numFmtId="0" fontId="2" fillId="0" borderId="1" xfId="0" applyFont="1" applyBorder="1" applyAlignment="1">
      <alignment vertical="top"/>
    </xf>
    <xf numFmtId="49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0" fontId="1" fillId="0" borderId="0" xfId="0" applyFont="1" applyAlignment="1">
      <alignment vertical="top"/>
    </xf>
    <xf numFmtId="0" fontId="18" fillId="2" borderId="2" xfId="0" applyFont="1" applyFill="1" applyBorder="1" applyAlignment="1">
      <alignment horizontal="left" vertical="top"/>
    </xf>
    <xf numFmtId="167" fontId="18" fillId="2" borderId="2" xfId="0" applyNumberFormat="1" applyFont="1" applyFill="1" applyBorder="1" applyAlignment="1">
      <alignment horizontal="left" vertical="top"/>
    </xf>
    <xf numFmtId="14" fontId="18" fillId="2" borderId="2" xfId="0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7" fontId="2" fillId="0" borderId="1" xfId="2" applyNumberFormat="1" applyFont="1" applyBorder="1" applyAlignment="1">
      <alignment horizontal="left" vertical="top"/>
    </xf>
    <xf numFmtId="2" fontId="0" fillId="0" borderId="0" xfId="0" pivotButton="1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left" indent="1"/>
    </xf>
    <xf numFmtId="2" fontId="0" fillId="7" borderId="0" xfId="0" applyNumberFormat="1" applyFill="1" applyAlignment="1">
      <alignment horizontal="left" indent="1"/>
    </xf>
    <xf numFmtId="2" fontId="0" fillId="7" borderId="0" xfId="0" applyNumberFormat="1" applyFill="1"/>
  </cellXfs>
  <cellStyles count="11">
    <cellStyle name="Comma" xfId="1" builtinId="3"/>
    <cellStyle name="Comma 2" xfId="4" xr:uid="{464C4397-2485-4457-8F46-FE59BBF41F79}"/>
    <cellStyle name="Comma 3" xfId="7" xr:uid="{B21D510C-DCCE-4453-A8A4-00A427BDB343}"/>
    <cellStyle name="Comma 4" xfId="9" xr:uid="{081CE2A3-DB24-4DBF-A671-427D44B85948}"/>
    <cellStyle name="Currency" xfId="2" builtinId="4"/>
    <cellStyle name="Currency 2" xfId="5" xr:uid="{D371D1B3-F073-4168-990C-FADB29ABD862}"/>
    <cellStyle name="Currency 3" xfId="8" xr:uid="{89E87401-D048-46B6-8D5F-D755C0958EAF}"/>
    <cellStyle name="Currency 4" xfId="10" xr:uid="{2B2D9D01-A2E7-4496-96D0-1BAEF05A3E3C}"/>
    <cellStyle name="Normal" xfId="0" builtinId="0"/>
    <cellStyle name="Normal 2" xfId="6" xr:uid="{AB200364-B986-4E08-9B8E-35106E581AD5}"/>
    <cellStyle name="Percent" xfId="3" builtinId="5"/>
  </cellStyles>
  <dxfs count="4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losing/Petty%20Cash%20Tracker/2024/Oct.24/Petty%20Cash%20Tracker%20For%20Oct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Master data"/>
      <sheetName val="List"/>
      <sheetName val="JAN 24"/>
      <sheetName val="FEB 24"/>
      <sheetName val="MAR 24"/>
      <sheetName val="APR 24"/>
      <sheetName val="MAY 24"/>
      <sheetName val="JUN 24"/>
      <sheetName val="PC"/>
      <sheetName val="AUG 24"/>
      <sheetName val="SEP 24"/>
      <sheetName val="Oct.24"/>
      <sheetName val="Nov.24"/>
      <sheetName val="JUL 24"/>
      <sheetName val="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8.623916666664" createdVersion="8" refreshedVersion="8" minRefreshableVersion="3" recordCount="609" xr:uid="{3241B6F8-A99F-44FD-AFAC-F203F94675F3}">
  <cacheSource type="worksheet">
    <worksheetSource ref="A1:N610" sheet="Master"/>
  </cacheSource>
  <cacheFields count="14">
    <cacheField name="Serial" numFmtId="0">
      <sharedItems containsSemiMixedTypes="0" containsString="0" containsNumber="1" containsInteger="1" minValue="1" maxValue="611"/>
    </cacheField>
    <cacheField name="Level 1 " numFmtId="0">
      <sharedItems count="14">
        <s v="HO_23"/>
        <s v="Management"/>
        <s v="ROOP_23"/>
        <s v="VLV_26"/>
        <s v="TOTAL_25"/>
        <s v="BGC_23"/>
        <s v="ROOG_23"/>
        <s v="ROOM_23"/>
        <s v="Camp_23"/>
        <s v="KRK-BP-25"/>
        <s v="ROESP_23"/>
        <s v="BGCG_23"/>
        <s v="MWS_23"/>
        <s v="1 MITAS" u="1"/>
      </sharedItems>
    </cacheField>
    <cacheField name="Level 2" numFmtId="0">
      <sharedItems count="39">
        <s v="HO_SB_23"/>
        <s v="Management"/>
        <s v="PWRI2_23"/>
        <s v="GRL_VLV"/>
        <s v="GRLTOT"/>
        <s v="UQ_23"/>
        <s v="KAZ_23"/>
        <s v="GRLRO_23"/>
        <s v="ROOP_23"/>
        <s v="GRLBG"/>
        <s v="ROOM_23"/>
        <s v="CPSs_23"/>
        <s v="OHTL _25"/>
        <s v="BNGL-25"/>
        <s v="CmpSB_23"/>
        <s v="QUR_23"/>
        <s v="GRL-KR-BP-25"/>
        <s v="FLWLN_23"/>
        <s v="QAWPT_23"/>
        <s v="EIMNT_23"/>
        <s v="MWP_23"/>
        <s v="SPAS_23"/>
        <s v="EISP_23"/>
        <s v="NR-NGL_25"/>
        <s v="FFF_23"/>
        <s v="E&amp;I-MAJ"/>
        <s v="KBR_23"/>
        <s v="MANPR_23"/>
        <s v="PWRI_23"/>
        <s v="MPTAR_23"/>
        <s v="EIESP_23"/>
        <s v="MPMNT_23"/>
        <s v="MWS_23"/>
        <s v="WOD_23"/>
        <s v="EITAR_23"/>
        <s v="GRLBG_23"/>
        <s v="TMS_26"/>
        <s v="Kiosk-25"/>
        <s v="MITSOHTL" u="1"/>
      </sharedItems>
    </cacheField>
    <cacheField name="Cost Type" numFmtId="0">
      <sharedItems/>
    </cacheField>
    <cacheField name="GL Name" numFmtId="0">
      <sharedItems count="18">
        <s v="Accommodation"/>
        <s v="Air Ticket / Travel"/>
        <s v="Amman Expenses"/>
        <s v="Charitable Contributions"/>
        <s v="Communication &amp; internet"/>
        <s v="DHL / Courier Fees / Shipping"/>
        <s v="Fixed Assets"/>
        <s v="Fuel &amp; Lubricant"/>
        <s v="Lease &amp; Rent"/>
        <s v="Light &amp; Heavy Equipment’s Rental"/>
        <s v="Material &amp; Supplies"/>
        <s v="Security"/>
        <s v="Social security"/>
        <s v="Staff Salary &amp; Compensation"/>
        <s v="Subcontractors"/>
        <s v="Third party Manpower"/>
        <s v="Third party services"/>
        <s v="Visa &amp; Traveling Expense  "/>
      </sharedItems>
    </cacheField>
    <cacheField name="GL Account" numFmtId="0">
      <sharedItems containsNonDate="0" containsString="0" containsBlank="1"/>
    </cacheField>
    <cacheField name="Vendor" numFmtId="0">
      <sharedItems/>
    </cacheField>
    <cacheField name="Description" numFmtId="0">
      <sharedItems/>
    </cacheField>
    <cacheField name="Invoice Amount USD" numFmtId="167">
      <sharedItems containsSemiMixedTypes="0" containsString="0" containsNumber="1" minValue="23.48993288590604" maxValue="817000"/>
    </cacheField>
    <cacheField name="Invoice No." numFmtId="0">
      <sharedItems containsMixedTypes="1" containsNumber="1" containsInteger="1" minValue="61" maxValue="3801069064"/>
    </cacheField>
    <cacheField name="Invoice Date" numFmtId="0">
      <sharedItems containsDate="1" containsMixedTypes="1" minDate="2025-02-09T00:00:00" maxDate="2026-12-03T00:00:00"/>
    </cacheField>
    <cacheField name="PO Number" numFmtId="0">
      <sharedItems containsMixedTypes="1" containsNumber="1" containsInteger="1" minValue="2025400651" maxValue="2026403333"/>
    </cacheField>
    <cacheField name="Month" numFmtId="0">
      <sharedItems/>
    </cacheField>
    <cacheField name="Year" numFmtId="0">
      <sharedItems containsSemiMixedTypes="0" containsString="0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">
  <r>
    <n v="1"/>
    <x v="0"/>
    <x v="0"/>
    <s v="Actual"/>
    <x v="0"/>
    <m/>
    <s v="IGCC"/>
    <s v="Rent Junaina Feb 25 "/>
    <n v="6000"/>
    <s v="N/A"/>
    <s v="N/A"/>
    <s v="N/A"/>
    <s v="Feb"/>
    <n v="2026"/>
  </r>
  <r>
    <n v="2"/>
    <x v="0"/>
    <x v="0"/>
    <s v="Actual"/>
    <x v="0"/>
    <m/>
    <s v="IGCC"/>
    <s v="Rent Jazair Accommodation Feb 25"/>
    <n v="4500"/>
    <s v="N/A"/>
    <s v="N/A"/>
    <s v="N/A"/>
    <s v="Feb"/>
    <n v="2026"/>
  </r>
  <r>
    <n v="3"/>
    <x v="0"/>
    <x v="0"/>
    <s v="Actual"/>
    <x v="0"/>
    <m/>
    <s v="IGCC"/>
    <s v="Rent Academy Feb 25 "/>
    <n v="3496.5034965034965"/>
    <s v="N/A"/>
    <s v="N/A"/>
    <s v="N/A"/>
    <s v="Feb"/>
    <n v="2026"/>
  </r>
  <r>
    <n v="4"/>
    <x v="0"/>
    <x v="0"/>
    <s v="Actual"/>
    <x v="0"/>
    <m/>
    <s v="Al Majal Business Park (AMBP)"/>
    <s v="Al Majal Business Park (AMBP) Feb 25"/>
    <n v="2520"/>
    <s v="2026000484"/>
    <d v="2026-02-28T00:00:00"/>
    <s v="N/A"/>
    <s v="Feb"/>
    <n v="2026"/>
  </r>
  <r>
    <n v="5"/>
    <x v="0"/>
    <x v="0"/>
    <s v="Actual"/>
    <x v="0"/>
    <m/>
    <s v="Petty Cash"/>
    <s v="Hotel ( Hussein Alshaib x 8days , Aya &amp; Rawan x 2days)"/>
    <n v="2248.9932885906042"/>
    <s v="##"/>
    <s v="17/2/2026"/>
    <s v="N/A"/>
    <s v="Feb"/>
    <n v="2026"/>
  </r>
  <r>
    <n v="6"/>
    <x v="0"/>
    <x v="0"/>
    <s v="Actual"/>
    <x v="0"/>
    <m/>
    <s v="IGCC"/>
    <s v="Rent Amal Feb 25 "/>
    <n v="2097.9020979020979"/>
    <s v="N/A"/>
    <s v="N/A"/>
    <s v="N/A"/>
    <s v="Feb"/>
    <n v="2026"/>
  </r>
  <r>
    <n v="7"/>
    <x v="0"/>
    <x v="0"/>
    <s v="Actual"/>
    <x v="0"/>
    <m/>
    <s v="IGCC"/>
    <s v="Rent Al Jazair office Feb 25 "/>
    <n v="2000"/>
    <s v="N/A"/>
    <s v="N/A"/>
    <s v="N/A"/>
    <s v="Feb"/>
    <n v="2026"/>
  </r>
  <r>
    <n v="8"/>
    <x v="0"/>
    <x v="0"/>
    <s v="Actual"/>
    <x v="0"/>
    <m/>
    <s v="IGCC"/>
    <s v="KRK Feb"/>
    <n v="1677.8523489932886"/>
    <s v="N/A"/>
    <s v="N/A"/>
    <s v="N/A"/>
    <s v="Feb"/>
    <n v="2026"/>
  </r>
  <r>
    <n v="9"/>
    <x v="0"/>
    <x v="0"/>
    <s v="Actual"/>
    <x v="0"/>
    <m/>
    <s v="IGCC"/>
    <s v="Rent Southren Services Feb 25 "/>
    <n v="874.12587412587413"/>
    <s v="N/A"/>
    <s v="N/A"/>
    <s v="N/A"/>
    <s v="Feb"/>
    <n v="2026"/>
  </r>
  <r>
    <n v="10"/>
    <x v="0"/>
    <x v="0"/>
    <s v="Actual"/>
    <x v="0"/>
    <m/>
    <s v="Petty Cash"/>
    <s v="Rental for ( Feb.26 "/>
    <n v="453.02013422818794"/>
    <s v="##"/>
    <s v="16/2/2026"/>
    <s v="N/A"/>
    <s v="Feb"/>
    <n v="2026"/>
  </r>
  <r>
    <n v="11"/>
    <x v="1"/>
    <x v="1"/>
    <s v="Actual"/>
    <x v="1"/>
    <m/>
    <s v="Jabal Qendil BRS"/>
    <s v="Air ticket &amp; travel"/>
    <n v="3470"/>
    <n v="82"/>
    <d v="2026-03-04T00:00:00"/>
    <s v="N/A"/>
    <s v="Feb"/>
    <n v="2026"/>
  </r>
  <r>
    <n v="12"/>
    <x v="1"/>
    <x v="1"/>
    <s v="Actual"/>
    <x v="1"/>
    <m/>
    <s v="Jabal Qendil BRS"/>
    <s v="Air ticket &amp; travel"/>
    <n v="2562.0682758620692"/>
    <n v="83"/>
    <d v="2026-03-04T00:00:00"/>
    <s v="N/A"/>
    <s v="Feb"/>
    <n v="2026"/>
  </r>
  <r>
    <n v="13"/>
    <x v="2"/>
    <x v="2"/>
    <s v="Actual"/>
    <x v="1"/>
    <m/>
    <s v="Jabal Qendil BRS"/>
    <s v="Air ticket &amp; travel"/>
    <n v="1350"/>
    <n v="82"/>
    <d v="2026-03-04T00:00:00"/>
    <s v="N/A"/>
    <s v="Feb"/>
    <n v="2026"/>
  </r>
  <r>
    <n v="14"/>
    <x v="0"/>
    <x v="0"/>
    <s v="Actual"/>
    <x v="1"/>
    <m/>
    <s v="Petty Cash"/>
    <s v="TKT for Aya &amp; Rawan Basra - amman"/>
    <n v="328.85906040268458"/>
    <s v="##"/>
    <d v="2026-12-02T00:00:00"/>
    <s v="N/A"/>
    <s v="Feb"/>
    <n v="2026"/>
  </r>
  <r>
    <n v="15"/>
    <x v="3"/>
    <x v="3"/>
    <s v="Actual"/>
    <x v="1"/>
    <m/>
    <s v="Jabal Qendil BRS"/>
    <s v="Air ticket &amp; travel"/>
    <n v="312.08053691275165"/>
    <n v="83"/>
    <d v="2026-03-04T00:00:00"/>
    <s v="N/A"/>
    <s v="Feb"/>
    <n v="2026"/>
  </r>
  <r>
    <n v="16"/>
    <x v="3"/>
    <x v="3"/>
    <s v="Actual"/>
    <x v="1"/>
    <m/>
    <s v="Jabal Qendil BRS"/>
    <s v="Air ticket &amp; travel"/>
    <n v="278"/>
    <n v="82"/>
    <d v="2026-03-04T00:00:00"/>
    <s v="N/A"/>
    <s v="Feb"/>
    <n v="2026"/>
  </r>
  <r>
    <n v="17"/>
    <x v="0"/>
    <x v="0"/>
    <s v="Actual"/>
    <x v="2"/>
    <m/>
    <s v="IGCC"/>
    <s v="Amman Expenses"/>
    <n v="817000"/>
    <s v="N/A"/>
    <s v="N/A"/>
    <s v="N/A"/>
    <s v="Feb"/>
    <n v="2026"/>
  </r>
  <r>
    <n v="18"/>
    <x v="0"/>
    <x v="0"/>
    <s v="Actual"/>
    <x v="3"/>
    <m/>
    <s v="IGCC"/>
    <s v="Charitable Contributions"/>
    <n v="26845.637583892618"/>
    <s v="N/A"/>
    <s v="N/A"/>
    <s v="N/A"/>
    <s v="Feb"/>
    <n v="2026"/>
  </r>
  <r>
    <n v="19"/>
    <x v="0"/>
    <x v="0"/>
    <s v="Actual"/>
    <x v="3"/>
    <m/>
    <s v="IGCC"/>
    <s v="Charitable Contributions"/>
    <n v="10738.255033557047"/>
    <s v="N/A"/>
    <s v="N/A"/>
    <s v="N/A"/>
    <s v="Feb"/>
    <n v="2026"/>
  </r>
  <r>
    <n v="20"/>
    <x v="4"/>
    <x v="4"/>
    <s v="Actual"/>
    <x v="3"/>
    <m/>
    <s v="IGCC"/>
    <s v="Charitable Contributions"/>
    <n v="6711.4093959731545"/>
    <s v="N/A"/>
    <s v="N/A"/>
    <s v="N/A"/>
    <s v="Feb"/>
    <n v="2026"/>
  </r>
  <r>
    <n v="21"/>
    <x v="0"/>
    <x v="0"/>
    <s v="Actual"/>
    <x v="3"/>
    <m/>
    <s v="Petty Cash"/>
    <s v="اكراميات وعشائر"/>
    <n v="5841.6107382550335"/>
    <s v="##"/>
    <s v="24/2/2026"/>
    <s v="N/A"/>
    <s v="Feb"/>
    <n v="2026"/>
  </r>
  <r>
    <n v="22"/>
    <x v="0"/>
    <x v="0"/>
    <s v="Actual"/>
    <x v="3"/>
    <m/>
    <s v="Petty Cash"/>
    <s v="تصاريح امنية"/>
    <n v="4889.9328859060406"/>
    <s v="##"/>
    <d v="2026-05-02T00:00:00"/>
    <s v="N/A"/>
    <s v="Feb"/>
    <n v="2026"/>
  </r>
  <r>
    <n v="23"/>
    <x v="5"/>
    <x v="5"/>
    <s v="Actual"/>
    <x v="3"/>
    <m/>
    <s v="Petty Cash"/>
    <s v="UQ-CHECK POINT SALARY -Feb.26 &amp; Road Safety"/>
    <n v="1342.2818791946308"/>
    <s v="##"/>
    <s v="15/2/2026"/>
    <s v="N/A"/>
    <s v="Feb"/>
    <n v="2026"/>
  </r>
  <r>
    <n v="24"/>
    <x v="5"/>
    <x v="6"/>
    <s v="Actual"/>
    <x v="3"/>
    <m/>
    <s v="Petty Cash"/>
    <s v="اكراميات وعشائر - BGCA"/>
    <n v="1073.8255033557048"/>
    <s v="##"/>
    <s v="16/2/2026"/>
    <s v="N/A"/>
    <s v="Feb"/>
    <n v="2026"/>
  </r>
  <r>
    <n v="25"/>
    <x v="5"/>
    <x v="6"/>
    <s v="Actual"/>
    <x v="3"/>
    <m/>
    <s v="Petty Cash"/>
    <s v="KAZ-Check point salary "/>
    <n v="872.48322147651004"/>
    <s v="##"/>
    <d v="2026-02-02T00:00:00"/>
    <s v="N/A"/>
    <s v="Feb"/>
    <n v="2026"/>
  </r>
  <r>
    <n v="26"/>
    <x v="0"/>
    <x v="0"/>
    <s v="Actual"/>
    <x v="3"/>
    <m/>
    <s v="Petty Cash"/>
    <s v="عزاء ( والدعادل العطبي )"/>
    <n v="671.14093959731542"/>
    <s v="##"/>
    <s v="16/2/2026"/>
    <s v="N/A"/>
    <s v="Feb"/>
    <n v="2026"/>
  </r>
  <r>
    <n v="27"/>
    <x v="0"/>
    <x v="0"/>
    <s v="Actual"/>
    <x v="3"/>
    <m/>
    <s v="Petty Cash"/>
    <s v="اكراميات وعشائر"/>
    <n v="671.14093959731542"/>
    <s v="##"/>
    <s v="23/2/2026"/>
    <s v="N/A"/>
    <s v="Feb"/>
    <n v="2026"/>
  </r>
  <r>
    <n v="28"/>
    <x v="6"/>
    <x v="7"/>
    <s v="Actual"/>
    <x v="3"/>
    <m/>
    <s v="Petty Cash"/>
    <s v="اكراميات وعشائر"/>
    <n v="671.14093959731542"/>
    <s v="##"/>
    <d v="2026-08-02T00:00:00"/>
    <s v="N/A"/>
    <s v="Feb"/>
    <n v="2026"/>
  </r>
  <r>
    <n v="29"/>
    <x v="0"/>
    <x v="0"/>
    <s v="Actual"/>
    <x v="3"/>
    <m/>
    <s v="Petty Cash"/>
    <s v="تبرعات"/>
    <n v="503.3557046979866"/>
    <s v="##"/>
    <d v="2026-03-02T00:00:00"/>
    <s v="N/A"/>
    <s v="Feb"/>
    <n v="2026"/>
  </r>
  <r>
    <n v="30"/>
    <x v="0"/>
    <x v="0"/>
    <s v="Actual"/>
    <x v="3"/>
    <m/>
    <s v="Petty Cash"/>
    <s v="تبرعات للايتام والفقراء"/>
    <n v="503.3557046979866"/>
    <s v="##"/>
    <s v="17/2/2026"/>
    <s v="N/A"/>
    <s v="Feb"/>
    <n v="2026"/>
  </r>
  <r>
    <n v="31"/>
    <x v="6"/>
    <x v="7"/>
    <s v="Actual"/>
    <x v="3"/>
    <m/>
    <s v="Petty Cash"/>
    <s v="ROOG-Check point salary"/>
    <n v="503.3557046979866"/>
    <s v="##"/>
    <d v="2026-02-02T00:00:00"/>
    <s v="N/A"/>
    <s v="Feb"/>
    <n v="2026"/>
  </r>
  <r>
    <n v="32"/>
    <x v="6"/>
    <x v="7"/>
    <s v="Actual"/>
    <x v="3"/>
    <m/>
    <s v="Petty Cash"/>
    <s v="ROOG-Check point salary"/>
    <n v="335.57046979865771"/>
    <s v="##"/>
    <d v="2026-02-02T00:00:00"/>
    <s v="N/A"/>
    <s v="Feb"/>
    <n v="2026"/>
  </r>
  <r>
    <n v="33"/>
    <x v="4"/>
    <x v="4"/>
    <s v="Actual"/>
    <x v="3"/>
    <m/>
    <s v="Petty Cash"/>
    <s v="Total-Check point salary "/>
    <n v="335.57046979865771"/>
    <s v="##"/>
    <d v="2026-02-02T00:00:00"/>
    <s v="N/A"/>
    <s v="Feb"/>
    <n v="2026"/>
  </r>
  <r>
    <n v="34"/>
    <x v="4"/>
    <x v="4"/>
    <s v="Actual"/>
    <x v="3"/>
    <m/>
    <s v="Petty Cash"/>
    <s v=" ( Feb.26 ) اكراميات وعشائر"/>
    <n v="335.57046979865771"/>
    <s v="##"/>
    <s v="15/2/2026"/>
    <s v="N/A"/>
    <s v="Feb"/>
    <n v="2026"/>
  </r>
  <r>
    <n v="35"/>
    <x v="0"/>
    <x v="0"/>
    <s v="Actual"/>
    <x v="3"/>
    <m/>
    <s v="Petty Cash"/>
    <s v="اكراميات وعشائر"/>
    <n v="271.81208053691273"/>
    <s v="##"/>
    <d v="2026-12-02T00:00:00"/>
    <s v="N/A"/>
    <s v="Feb"/>
    <n v="2026"/>
  </r>
  <r>
    <n v="36"/>
    <x v="0"/>
    <x v="0"/>
    <s v="Actual"/>
    <x v="3"/>
    <m/>
    <s v="Petty Cash"/>
    <s v="تبرعات لعائلة المرحوم السائق ابو سارة"/>
    <n v="201.34228187919464"/>
    <s v="##"/>
    <d v="2026-10-02T00:00:00"/>
    <s v="N/A"/>
    <s v="Feb"/>
    <n v="2026"/>
  </r>
  <r>
    <n v="37"/>
    <x v="2"/>
    <x v="8"/>
    <s v="Actual"/>
    <x v="4"/>
    <m/>
    <s v="Zain Telecom"/>
    <s v="Zain Telecom Services"/>
    <n v="1893.7599388168089"/>
    <n v="63"/>
    <d v="2026-01-03T00:00:00"/>
    <s v="N/A"/>
    <s v="Feb"/>
    <n v="2026"/>
  </r>
  <r>
    <n v="38"/>
    <x v="5"/>
    <x v="9"/>
    <s v="Actual"/>
    <x v="4"/>
    <m/>
    <s v="Zain Telecom"/>
    <s v="Zain Telecom Services"/>
    <n v="1784.4673664634199"/>
    <n v="63"/>
    <d v="2026-01-03T00:00:00"/>
    <s v="N/A"/>
    <s v="Feb"/>
    <n v="2026"/>
  </r>
  <r>
    <n v="39"/>
    <x v="4"/>
    <x v="4"/>
    <s v="Actual"/>
    <x v="4"/>
    <m/>
    <s v="Zain Telecom"/>
    <s v="Zain Telecom Services"/>
    <n v="1222.93370160108"/>
    <n v="63"/>
    <d v="2026-01-03T00:00:00"/>
    <s v="N/A"/>
    <s v="Feb"/>
    <n v="2026"/>
  </r>
  <r>
    <n v="40"/>
    <x v="5"/>
    <x v="6"/>
    <s v="Accrual"/>
    <x v="4"/>
    <m/>
    <s v="Hulum Telecom"/>
    <s v="Internet"/>
    <n v="1129.5302013422818"/>
    <s v="N/A"/>
    <d v="2026-02-01T00:00:00"/>
    <s v="N/A"/>
    <s v="Feb"/>
    <n v="2026"/>
  </r>
  <r>
    <n v="41"/>
    <x v="0"/>
    <x v="0"/>
    <s v="Actual"/>
    <x v="4"/>
    <m/>
    <s v="Petty Cash"/>
    <s v="Reactive internet"/>
    <n v="1035.5704697986578"/>
    <s v="##"/>
    <s v="28/2/2026"/>
    <s v="N/A"/>
    <s v="Feb"/>
    <n v="2026"/>
  </r>
  <r>
    <n v="42"/>
    <x v="4"/>
    <x v="4"/>
    <s v="Actual"/>
    <x v="4"/>
    <m/>
    <s v="Petty Cash"/>
    <s v="Reactive internet"/>
    <n v="747.65100671140942"/>
    <s v="##"/>
    <s v="28/2/2026"/>
    <s v="N/A"/>
    <s v="Feb"/>
    <n v="2026"/>
  </r>
  <r>
    <n v="43"/>
    <x v="7"/>
    <x v="10"/>
    <s v="Actual"/>
    <x v="4"/>
    <m/>
    <s v="Zain Telecom"/>
    <s v="Zain Telecom Services"/>
    <n v="600"/>
    <n v="63"/>
    <d v="2026-01-03T00:00:00"/>
    <s v="N/A"/>
    <s v="Feb"/>
    <n v="2026"/>
  </r>
  <r>
    <n v="44"/>
    <x v="2"/>
    <x v="11"/>
    <s v="Actual"/>
    <x v="4"/>
    <m/>
    <s v="Petty Cash"/>
    <s v="Reactive internet"/>
    <n v="587.24832214765104"/>
    <s v="##"/>
    <s v="28/2/2026"/>
    <s v="N/A"/>
    <s v="Feb"/>
    <n v="2026"/>
  </r>
  <r>
    <n v="45"/>
    <x v="5"/>
    <x v="5"/>
    <s v="Actual"/>
    <x v="4"/>
    <m/>
    <s v="Petty Cash"/>
    <s v="Reactive internet"/>
    <n v="516.77852348993292"/>
    <s v="##"/>
    <s v="28/2/2026"/>
    <s v="N/A"/>
    <s v="Feb"/>
    <n v="2026"/>
  </r>
  <r>
    <n v="46"/>
    <x v="6"/>
    <x v="7"/>
    <s v="Actual"/>
    <x v="4"/>
    <m/>
    <s v="Petty Cash"/>
    <s v="Reactive internet"/>
    <n v="516.10738255033561"/>
    <s v="##"/>
    <s v="28/2/2026"/>
    <s v="N/A"/>
    <s v="Feb"/>
    <n v="2026"/>
  </r>
  <r>
    <n v="47"/>
    <x v="2"/>
    <x v="12"/>
    <s v="Actual"/>
    <x v="4"/>
    <m/>
    <s v="Petty Cash"/>
    <s v="Reactive internet"/>
    <n v="373.82550335570471"/>
    <s v="##"/>
    <s v="28/2/2026"/>
    <s v="N/A"/>
    <s v="Feb"/>
    <n v="2026"/>
  </r>
  <r>
    <n v="48"/>
    <x v="5"/>
    <x v="13"/>
    <s v="Actual"/>
    <x v="4"/>
    <m/>
    <s v="Petty Cash"/>
    <s v="Reactive internet"/>
    <n v="355.70469798657717"/>
    <s v="##"/>
    <s v="28/2/2026"/>
    <s v="N/A"/>
    <s v="Feb"/>
    <n v="2026"/>
  </r>
  <r>
    <n v="49"/>
    <x v="2"/>
    <x v="2"/>
    <s v="Actual"/>
    <x v="4"/>
    <m/>
    <s v="Petty Cash"/>
    <s v="Reactive internet"/>
    <n v="302.68456375838929"/>
    <s v="##"/>
    <s v="28/2/2026"/>
    <s v="N/A"/>
    <s v="Feb"/>
    <n v="2026"/>
  </r>
  <r>
    <n v="50"/>
    <x v="8"/>
    <x v="14"/>
    <s v="Actual"/>
    <x v="4"/>
    <m/>
    <s v="Petty Cash"/>
    <s v="Reactive internet"/>
    <n v="267.11409395973152"/>
    <s v="##"/>
    <s v="28/2/2026"/>
    <s v="N/A"/>
    <s v="Feb"/>
    <n v="2026"/>
  </r>
  <r>
    <n v="51"/>
    <x v="5"/>
    <x v="15"/>
    <s v="Actual"/>
    <x v="4"/>
    <m/>
    <s v="Petty Cash"/>
    <s v="Reactive internet"/>
    <n v="248.99328859060404"/>
    <s v="##"/>
    <s v="28/2/2026"/>
    <s v="N/A"/>
    <s v="Feb"/>
    <n v="2026"/>
  </r>
  <r>
    <n v="52"/>
    <x v="3"/>
    <x v="3"/>
    <s v="Actual"/>
    <x v="4"/>
    <m/>
    <s v="Petty Cash"/>
    <s v="Reactive internet"/>
    <n v="244.96644295302013"/>
    <s v="##"/>
    <s v="28/2/2026"/>
    <s v="N/A"/>
    <s v="Feb"/>
    <n v="2026"/>
  </r>
  <r>
    <n v="53"/>
    <x v="9"/>
    <x v="16"/>
    <s v="Actual"/>
    <x v="4"/>
    <m/>
    <s v="Petty Cash"/>
    <s v="أجور المولد لشهر شباط 2 / 2026"/>
    <n v="201.34228187919464"/>
    <n v="224"/>
    <d v="2026-06-02T00:00:00"/>
    <s v="N/A"/>
    <s v="Feb"/>
    <n v="2026"/>
  </r>
  <r>
    <n v="54"/>
    <x v="6"/>
    <x v="7"/>
    <s v="Actual"/>
    <x v="4"/>
    <m/>
    <s v="Zain Telecom"/>
    <s v="Zain Telecom Services"/>
    <n v="194.55655993425449"/>
    <n v="63"/>
    <d v="2026-01-03T00:00:00"/>
    <s v="N/A"/>
    <s v="Feb"/>
    <n v="2026"/>
  </r>
  <r>
    <n v="55"/>
    <x v="2"/>
    <x v="17"/>
    <s v="Actual"/>
    <x v="4"/>
    <m/>
    <s v="Petty Cash"/>
    <s v="Reactive internet"/>
    <n v="177.85234899328859"/>
    <s v="##"/>
    <s v="28/2/2026"/>
    <s v="N/A"/>
    <s v="Feb"/>
    <n v="2026"/>
  </r>
  <r>
    <n v="56"/>
    <x v="2"/>
    <x v="18"/>
    <s v="Actual"/>
    <x v="4"/>
    <m/>
    <s v="Petty Cash"/>
    <s v="Reactive internet"/>
    <n v="142.28187919463087"/>
    <s v="##"/>
    <s v="28/2/2026"/>
    <s v="N/A"/>
    <s v="Feb"/>
    <n v="2026"/>
  </r>
  <r>
    <n v="57"/>
    <x v="4"/>
    <x v="4"/>
    <s v="Actual"/>
    <x v="4"/>
    <m/>
    <s v="Petty Cash"/>
    <s v="Reactive internet"/>
    <n v="117.4496644295302"/>
    <s v="##"/>
    <s v="28/2/2026"/>
    <s v="N/A"/>
    <s v="Feb"/>
    <n v="2026"/>
  </r>
  <r>
    <n v="58"/>
    <x v="7"/>
    <x v="19"/>
    <s v="Actual"/>
    <x v="4"/>
    <m/>
    <s v="Petty Cash"/>
    <s v="Reactive internet"/>
    <n v="106.71140939597315"/>
    <s v="##"/>
    <s v="28/2/2026"/>
    <s v="N/A"/>
    <s v="Feb"/>
    <n v="2026"/>
  </r>
  <r>
    <n v="59"/>
    <x v="6"/>
    <x v="7"/>
    <s v="Actual"/>
    <x v="4"/>
    <m/>
    <s v="Petty Cash"/>
    <s v="Reactive internet"/>
    <n v="100.67114093959732"/>
    <s v="##"/>
    <s v="28/2/2026"/>
    <s v="N/A"/>
    <s v="Feb"/>
    <n v="2026"/>
  </r>
  <r>
    <n v="60"/>
    <x v="0"/>
    <x v="0"/>
    <s v="Actual"/>
    <x v="4"/>
    <m/>
    <s v="Petty Cash"/>
    <s v="Cleaner Materials"/>
    <n v="88.758389261744966"/>
    <s v="##"/>
    <s v="28/2/2026"/>
    <s v="N/A"/>
    <s v="Feb"/>
    <n v="2026"/>
  </r>
  <r>
    <n v="61"/>
    <x v="2"/>
    <x v="20"/>
    <s v="Actual"/>
    <x v="4"/>
    <m/>
    <s v="Petty Cash"/>
    <s v="Reactive internet"/>
    <n v="71.140939597315437"/>
    <s v="##"/>
    <s v="28/2/2026"/>
    <s v="N/A"/>
    <s v="Feb"/>
    <n v="2026"/>
  </r>
  <r>
    <n v="62"/>
    <x v="2"/>
    <x v="17"/>
    <s v="Actual"/>
    <x v="4"/>
    <m/>
    <s v="Petty Cash"/>
    <s v="Reactive internet"/>
    <n v="60.402684563758392"/>
    <s v="##"/>
    <s v="28/2/2026"/>
    <s v="N/A"/>
    <s v="Feb"/>
    <n v="2026"/>
  </r>
  <r>
    <n v="63"/>
    <x v="5"/>
    <x v="6"/>
    <s v="Actual"/>
    <x v="4"/>
    <m/>
    <s v="Petty Cash"/>
    <s v="Reactive internet"/>
    <n v="44.29530201342282"/>
    <s v="##"/>
    <s v="28/2/2026"/>
    <s v="N/A"/>
    <s v="Feb"/>
    <n v="2026"/>
  </r>
  <r>
    <n v="64"/>
    <x v="5"/>
    <x v="21"/>
    <s v="Actual"/>
    <x v="4"/>
    <m/>
    <s v="Petty Cash"/>
    <s v="Reactive internet"/>
    <n v="35.570469798657719"/>
    <s v="##"/>
    <s v="28/2/2026"/>
    <s v="N/A"/>
    <s v="Feb"/>
    <n v="2026"/>
  </r>
  <r>
    <n v="65"/>
    <x v="7"/>
    <x v="22"/>
    <s v="Actual"/>
    <x v="4"/>
    <m/>
    <s v="Petty Cash"/>
    <s v="Reactive internet"/>
    <n v="35.570469798657719"/>
    <s v="##"/>
    <s v="28/2/2026"/>
    <s v="N/A"/>
    <s v="Feb"/>
    <n v="2026"/>
  </r>
  <r>
    <n v="66"/>
    <x v="0"/>
    <x v="0"/>
    <s v="Actual"/>
    <x v="4"/>
    <m/>
    <s v="Zain Telecom"/>
    <s v="Zain Telecom Services"/>
    <n v="32.078853799667073"/>
    <n v="63"/>
    <d v="2026-01-03T00:00:00"/>
    <s v="N/A"/>
    <s v="Feb"/>
    <n v="2026"/>
  </r>
  <r>
    <n v="67"/>
    <x v="2"/>
    <x v="20"/>
    <s v="Actual"/>
    <x v="5"/>
    <m/>
    <s v="Radix General Trading Co"/>
    <s v="DHL / Courier Fees / Shipping"/>
    <n v="44563.758389261748"/>
    <s v="N/A"/>
    <d v="2026-02-15T00:00:00"/>
    <s v="N/A"/>
    <s v="Feb"/>
    <n v="2026"/>
  </r>
  <r>
    <n v="68"/>
    <x v="4"/>
    <x v="4"/>
    <s v="Actual"/>
    <x v="5"/>
    <m/>
    <s v="NEPTUNE ALKAWKAB ALAZRAK FOR GENERAL TRANSPORTATION"/>
    <s v="DHL / Courier Fees / Shipping"/>
    <n v="41250"/>
    <s v="310"/>
    <d v="2026-02-08T00:00:00"/>
    <n v="2026400779"/>
    <s v="Feb"/>
    <n v="2026"/>
  </r>
  <r>
    <n v="69"/>
    <x v="4"/>
    <x v="4"/>
    <s v="Actual"/>
    <x v="5"/>
    <m/>
    <s v="NEPTUNE ALKAWKAB ALAZRAK FOR GENERAL TRANSPORTATION"/>
    <s v="DHL / Courier Fees / Shipping"/>
    <n v="8250"/>
    <s v="309"/>
    <d v="2026-02-08T00:00:00"/>
    <n v="2026400832"/>
    <s v="Feb"/>
    <n v="2026"/>
  </r>
  <r>
    <n v="70"/>
    <x v="4"/>
    <x v="4"/>
    <s v="Actual"/>
    <x v="5"/>
    <m/>
    <s v="LOGISTIC EXPRESS"/>
    <s v="DHL / Courier Fees / Shipping"/>
    <n v="2617.44966442953"/>
    <n v="1601"/>
    <d v="2026-02-01T00:00:00"/>
    <s v="N/A"/>
    <s v="Feb"/>
    <n v="2026"/>
  </r>
  <r>
    <n v="71"/>
    <x v="6"/>
    <x v="7"/>
    <s v="Actual"/>
    <x v="5"/>
    <m/>
    <s v="LOGISTIC EXPRESS"/>
    <s v="DHL / Courier Fees / Shipping"/>
    <n v="2013.4228187919464"/>
    <s v="N/A"/>
    <d v="2026-02-09T00:00:00"/>
    <s v="N/A"/>
    <s v="Feb"/>
    <n v="2026"/>
  </r>
  <r>
    <n v="72"/>
    <x v="4"/>
    <x v="4"/>
    <s v="Actual"/>
    <x v="5"/>
    <m/>
    <s v="Petty Cash"/>
    <s v="Shipping basra - dubai ( Govinda )"/>
    <n v="1681.2080536912752"/>
    <n v="3801069064"/>
    <d v="2026-08-02T00:00:00"/>
    <s v="N/A"/>
    <s v="Feb"/>
    <n v="2026"/>
  </r>
  <r>
    <n v="73"/>
    <x v="0"/>
    <x v="0"/>
    <s v="Actual"/>
    <x v="5"/>
    <m/>
    <s v="Petty Cash"/>
    <s v="بريد بصرة - بغداد"/>
    <n v="23.48993288590604"/>
    <s v="##"/>
    <d v="2026-09-02T00:00:00"/>
    <s v="N/A"/>
    <s v="Feb"/>
    <n v="2026"/>
  </r>
  <r>
    <n v="74"/>
    <x v="8"/>
    <x v="14"/>
    <s v="Actual"/>
    <x v="6"/>
    <m/>
    <s v="AWI"/>
    <s v="Fixed Assets"/>
    <n v="37097.5"/>
    <s v="A1-260019"/>
    <d v="2026-02-12T00:00:00"/>
    <n v="2025403688"/>
    <s v="Feb"/>
    <n v="2026"/>
  </r>
  <r>
    <n v="75"/>
    <x v="8"/>
    <x v="14"/>
    <s v="Actual"/>
    <x v="6"/>
    <m/>
    <s v="Mohammed Abdulraheem Office"/>
    <s v="Fixed Assets"/>
    <n v="16500"/>
    <s v="000449"/>
    <d v="2026-02-22T00:00:00"/>
    <n v="2026400697"/>
    <s v="Feb"/>
    <n v="2026"/>
  </r>
  <r>
    <n v="76"/>
    <x v="8"/>
    <x v="14"/>
    <s v="Actual"/>
    <x v="6"/>
    <m/>
    <s v="SMART TOUCH FOR COMPUTERS &amp; TECHNOLOGY"/>
    <s v="Fixed Assets"/>
    <n v="6375.8389261744969"/>
    <s v="1795"/>
    <d v="2026-02-12T00:00:00"/>
    <n v="2026400446"/>
    <s v="Feb"/>
    <n v="2026"/>
  </r>
  <r>
    <n v="77"/>
    <x v="8"/>
    <x v="14"/>
    <s v="Actual"/>
    <x v="6"/>
    <m/>
    <s v="Al Eman Computers Networks &amp; Communication"/>
    <s v="Fixed Assets"/>
    <n v="1812.0805369127518"/>
    <s v="44-30"/>
    <d v="2026-02-04T00:00:00"/>
    <n v="2026400524"/>
    <s v="Feb"/>
    <n v="2026"/>
  </r>
  <r>
    <n v="78"/>
    <x v="8"/>
    <x v="14"/>
    <s v="Actual"/>
    <x v="6"/>
    <m/>
    <s v="Mohammed Abdulraheem Office"/>
    <s v="Fixed Assets"/>
    <n v="1700"/>
    <s v="000443"/>
    <d v="2026-01-31T00:00:00"/>
    <n v="2026400411"/>
    <s v="Feb"/>
    <n v="2026"/>
  </r>
  <r>
    <n v="79"/>
    <x v="8"/>
    <x v="14"/>
    <s v="Actual"/>
    <x v="6"/>
    <m/>
    <s v="ALI HAMDANI OFFICE FOR COMPUTERS"/>
    <s v="Fixed Assets"/>
    <n v="1510.0671140939598"/>
    <s v="167"/>
    <d v="2026-01-26T00:00:00"/>
    <n v="2026400500"/>
    <s v="Feb"/>
    <n v="2026"/>
  </r>
  <r>
    <n v="80"/>
    <x v="8"/>
    <x v="14"/>
    <s v="Actual"/>
    <x v="6"/>
    <m/>
    <s v="Mohammed Abdulraheem Office"/>
    <s v="Fixed Assets"/>
    <n v="1400"/>
    <s v="000446"/>
    <d v="2026-02-22T00:00:00"/>
    <n v="2026400734"/>
    <s v="Feb"/>
    <n v="2026"/>
  </r>
  <r>
    <n v="81"/>
    <x v="8"/>
    <x v="14"/>
    <s v="Actual"/>
    <x v="6"/>
    <m/>
    <s v="Ali Hadi"/>
    <s v="Fixed Assets"/>
    <n v="352.34899328859058"/>
    <s v="0968"/>
    <d v="2026-02-16T00:00:00"/>
    <n v="2026400603"/>
    <s v="Feb"/>
    <n v="2026"/>
  </r>
  <r>
    <n v="82"/>
    <x v="8"/>
    <x v="14"/>
    <s v="Actual"/>
    <x v="7"/>
    <m/>
    <s v="IGCC"/>
    <s v="Diesel Official Feb 25"/>
    <n v="43624.161073825504"/>
    <s v="N/A"/>
    <s v="N/A"/>
    <s v="N/A"/>
    <s v="Feb"/>
    <n v="2026"/>
  </r>
  <r>
    <n v="83"/>
    <x v="4"/>
    <x v="4"/>
    <s v="Accrual"/>
    <x v="7"/>
    <m/>
    <s v="IGCC"/>
    <s v="Diesel Sites Feb 25"/>
    <n v="4026.8456375838928"/>
    <s v="N/A"/>
    <s v="N/A"/>
    <s v="N/A"/>
    <s v="Feb"/>
    <n v="2026"/>
  </r>
  <r>
    <n v="84"/>
    <x v="5"/>
    <x v="5"/>
    <s v="Accrual"/>
    <x v="7"/>
    <m/>
    <s v="IGCC"/>
    <s v="Diesel Sites Feb 25"/>
    <n v="3691.2751677852348"/>
    <s v="N/A"/>
    <s v="N/A"/>
    <s v="N/A"/>
    <s v="Feb"/>
    <n v="2026"/>
  </r>
  <r>
    <n v="85"/>
    <x v="5"/>
    <x v="6"/>
    <s v="Accrual"/>
    <x v="7"/>
    <m/>
    <s v="IGCC"/>
    <s v="Diesel Sites Feb 25"/>
    <n v="2013.4228187919464"/>
    <s v="N/A"/>
    <s v="N/A"/>
    <s v="N/A"/>
    <s v="Feb"/>
    <n v="2026"/>
  </r>
  <r>
    <n v="86"/>
    <x v="2"/>
    <x v="2"/>
    <s v="Accrual"/>
    <x v="7"/>
    <m/>
    <s v="IGCC"/>
    <s v="Diesel Sites Feb 25"/>
    <n v="2013.4228187919464"/>
    <s v="N/A"/>
    <s v="N/A"/>
    <s v="N/A"/>
    <s v="Feb"/>
    <n v="2026"/>
  </r>
  <r>
    <n v="87"/>
    <x v="0"/>
    <x v="0"/>
    <s v="Actual"/>
    <x v="7"/>
    <m/>
    <s v="Petty Cash"/>
    <s v="Diesel 1000ltr for Feb.26 - Jenena"/>
    <n v="469.79865771812081"/>
    <s v="##"/>
    <d v="2026-10-02T00:00:00"/>
    <s v="N/A"/>
    <s v="Feb"/>
    <n v="2026"/>
  </r>
  <r>
    <n v="88"/>
    <x v="0"/>
    <x v="0"/>
    <s v="Actual"/>
    <x v="7"/>
    <m/>
    <s v="Petty Cash"/>
    <s v=" Feb.26"/>
    <n v="241.61073825503357"/>
    <s v="##"/>
    <d v="2026-12-02T00:00:00"/>
    <s v="N/A"/>
    <s v="Feb"/>
    <n v="2026"/>
  </r>
  <r>
    <n v="89"/>
    <x v="5"/>
    <x v="5"/>
    <s v="Accrual"/>
    <x v="8"/>
    <m/>
    <s v="Al Ajdar For General Trading and General Purchasing Ltd"/>
    <s v="Lease &amp; Rent"/>
    <n v="4500"/>
    <s v="N/A"/>
    <s v="N/A"/>
    <s v="N/A"/>
    <s v="Feb"/>
    <n v="2026"/>
  </r>
  <r>
    <n v="90"/>
    <x v="4"/>
    <x v="4"/>
    <s v="Accrual"/>
    <x v="8"/>
    <m/>
    <s v="Al Ajdar For General Trading and General Purchasing Ltd"/>
    <s v="Lease &amp; Rent"/>
    <n v="4000"/>
    <s v="N/A"/>
    <s v="N/A"/>
    <s v="N/A"/>
    <s v="Feb"/>
    <n v="2026"/>
  </r>
  <r>
    <n v="91"/>
    <x v="2"/>
    <x v="17"/>
    <s v="Accrual"/>
    <x v="8"/>
    <m/>
    <s v="Al Ajdar For General Trading and General Purchasing Ltd"/>
    <s v="Lease &amp; Rent"/>
    <n v="4000"/>
    <s v="N/A"/>
    <s v="N/A"/>
    <s v="N/A"/>
    <s v="Feb"/>
    <n v="2026"/>
  </r>
  <r>
    <n v="92"/>
    <x v="8"/>
    <x v="14"/>
    <s v="Actual"/>
    <x v="8"/>
    <m/>
    <s v="IGCC"/>
    <s v="Diesel tanker rental"/>
    <n v="2500"/>
    <s v="N/A"/>
    <s v="N/A"/>
    <s v="N/A"/>
    <s v="Feb"/>
    <n v="2026"/>
  </r>
  <r>
    <n v="93"/>
    <x v="4"/>
    <x v="4"/>
    <s v="Accrual"/>
    <x v="8"/>
    <m/>
    <s v="Al Ajdar For General Trading and General Purchasing Ltd"/>
    <s v="Lease &amp; Rent"/>
    <n v="800"/>
    <s v="N/A"/>
    <s v="N/A"/>
    <s v="N/A"/>
    <s v="Feb"/>
    <n v="2026"/>
  </r>
  <r>
    <n v="94"/>
    <x v="4"/>
    <x v="4"/>
    <s v="Accrual"/>
    <x v="9"/>
    <m/>
    <s v="Taqadm Albasrah"/>
    <s v="Heavy  equipment rental"/>
    <n v="152036.86370469799"/>
    <s v="N/A"/>
    <s v="N/A"/>
    <s v="N/A"/>
    <s v="Feb"/>
    <n v="2026"/>
  </r>
  <r>
    <n v="95"/>
    <x v="5"/>
    <x v="5"/>
    <s v="Accrual"/>
    <x v="9"/>
    <m/>
    <s v="NAC Logistic"/>
    <s v="Heavy  equipment rental"/>
    <n v="138982.66732214767"/>
    <s v="N/A"/>
    <s v="N/A"/>
    <s v="N/A"/>
    <s v="Feb"/>
    <n v="2026"/>
  </r>
  <r>
    <n v="96"/>
    <x v="4"/>
    <x v="4"/>
    <s v="Accrual"/>
    <x v="9"/>
    <m/>
    <s v="NAC Logistic"/>
    <s v=" Heavy equipment rental"/>
    <n v="98576.078604026843"/>
    <s v="N/A"/>
    <s v="N/A"/>
    <s v="N/A"/>
    <s v="Feb"/>
    <n v="2026"/>
  </r>
  <r>
    <n v="97"/>
    <x v="4"/>
    <x v="4"/>
    <s v="Accrual"/>
    <x v="9"/>
    <m/>
    <s v="Taqadm Albasrah"/>
    <s v="Light equipment rental"/>
    <n v="97731.54392617449"/>
    <s v="N/A"/>
    <s v="N/A"/>
    <s v="N/A"/>
    <s v="Feb"/>
    <n v="2026"/>
  </r>
  <r>
    <n v="98"/>
    <x v="5"/>
    <x v="5"/>
    <s v="Actual"/>
    <x v="9"/>
    <m/>
    <s v="Alaq Al Abraj Co."/>
    <s v="Heavy  equipment rental"/>
    <n v="90350"/>
    <s v="IGCC-012026-5"/>
    <d v="2026-02-05T00:00:00"/>
    <s v="N/A"/>
    <s v="Feb"/>
    <n v="2026"/>
  </r>
  <r>
    <n v="99"/>
    <x v="2"/>
    <x v="2"/>
    <s v="Accrual"/>
    <x v="9"/>
    <m/>
    <s v="Taqadm Albasrah"/>
    <s v="Heavy  equipment rental"/>
    <n v="58779.648765100668"/>
    <s v="N/A"/>
    <s v="N/A"/>
    <s v="N/A"/>
    <s v="Feb"/>
    <n v="2026"/>
  </r>
  <r>
    <n v="100"/>
    <x v="5"/>
    <x v="6"/>
    <s v="Accrual"/>
    <x v="9"/>
    <m/>
    <s v="NAC Logistic"/>
    <s v=" Heavy equipment rental"/>
    <n v="52089.168691275161"/>
    <s v="N/A"/>
    <s v="N/A"/>
    <s v="N/A"/>
    <s v="Feb"/>
    <n v="2026"/>
  </r>
  <r>
    <n v="101"/>
    <x v="2"/>
    <x v="12"/>
    <s v="Accrual"/>
    <x v="9"/>
    <m/>
    <s v="Taqadm Albasrah"/>
    <s v="Heavy  equipment rental"/>
    <n v="49147.754214765104"/>
    <s v="N/A"/>
    <s v="N/A"/>
    <s v="N/A"/>
    <s v="Feb"/>
    <n v="2026"/>
  </r>
  <r>
    <n v="102"/>
    <x v="2"/>
    <x v="12"/>
    <s v="Accrual"/>
    <x v="9"/>
    <m/>
    <s v="Taqadm Albasrah"/>
    <s v="Light equipment rental"/>
    <n v="47694.181778523489"/>
    <s v="N/A"/>
    <s v="N/A"/>
    <s v="N/A"/>
    <s v="Feb"/>
    <n v="2026"/>
  </r>
  <r>
    <n v="103"/>
    <x v="4"/>
    <x v="4"/>
    <s v="Accrual"/>
    <x v="9"/>
    <m/>
    <s v="NAC Logistic"/>
    <s v="Light equipment rental"/>
    <n v="37066.081570469796"/>
    <s v="N/A"/>
    <s v="N/A"/>
    <s v="N/A"/>
    <s v="Feb"/>
    <n v="2026"/>
  </r>
  <r>
    <n v="104"/>
    <x v="4"/>
    <x v="4"/>
    <s v="Accrual"/>
    <x v="9"/>
    <m/>
    <s v="Border Transportaion / Al Hodod"/>
    <s v=" Heavy equipment rental"/>
    <n v="35306.337288590599"/>
    <s v="N/A"/>
    <s v="N/A"/>
    <s v="N/A"/>
    <s v="Feb"/>
    <n v="2026"/>
  </r>
  <r>
    <n v="105"/>
    <x v="2"/>
    <x v="17"/>
    <s v="Accrual"/>
    <x v="9"/>
    <m/>
    <s v="Taqadm Albasrah"/>
    <s v="Heavy  equipment rental"/>
    <n v="34946.308604026846"/>
    <s v="N/A"/>
    <s v="N/A"/>
    <s v="N/A"/>
    <s v="Feb"/>
    <n v="2026"/>
  </r>
  <r>
    <n v="106"/>
    <x v="2"/>
    <x v="2"/>
    <s v="Accrual"/>
    <x v="9"/>
    <m/>
    <s v="NAC Logistic"/>
    <s v="Heavy  equipment rental"/>
    <n v="32020.265751677853"/>
    <s v="N/A"/>
    <s v="N/A"/>
    <s v="N/A"/>
    <s v="Feb"/>
    <n v="2026"/>
  </r>
  <r>
    <n v="107"/>
    <x v="2"/>
    <x v="2"/>
    <s v="Accrual"/>
    <x v="9"/>
    <m/>
    <s v="NAC Logistic"/>
    <s v="Light equipment rental"/>
    <n v="31084.31811409396"/>
    <s v="N/A"/>
    <s v="N/A"/>
    <s v="N/A"/>
    <s v="Feb"/>
    <n v="2026"/>
  </r>
  <r>
    <n v="108"/>
    <x v="5"/>
    <x v="13"/>
    <s v="Accrual"/>
    <x v="9"/>
    <m/>
    <s v="NAC Logistic"/>
    <s v="Light equipment rental"/>
    <n v="27796.979073825503"/>
    <s v="N/A"/>
    <s v="N/A"/>
    <s v="N/A"/>
    <s v="Feb"/>
    <n v="2026"/>
  </r>
  <r>
    <n v="109"/>
    <x v="5"/>
    <x v="23"/>
    <s v="Accrual"/>
    <x v="9"/>
    <m/>
    <s v="NAC Logistic"/>
    <s v=" Heavy equipment rental"/>
    <n v="26967.08822818792"/>
    <s v="N/A"/>
    <s v="N/A"/>
    <s v="N/A"/>
    <s v="Feb"/>
    <n v="2026"/>
  </r>
  <r>
    <n v="110"/>
    <x v="2"/>
    <x v="2"/>
    <s v="Accrual"/>
    <x v="9"/>
    <m/>
    <s v="Border Transportaion / Al Hodod"/>
    <s v=" Heavy equipment rental"/>
    <n v="26938.758523489934"/>
    <s v="N/A"/>
    <s v="N/A"/>
    <s v="N/A"/>
    <s v="Feb"/>
    <n v="2026"/>
  </r>
  <r>
    <n v="111"/>
    <x v="8"/>
    <x v="14"/>
    <s v="Accrual"/>
    <x v="9"/>
    <m/>
    <s v="Taqadm Albasrah"/>
    <s v="Light equipment rental"/>
    <n v="26144.66500671141"/>
    <s v="N/A"/>
    <s v="N/A"/>
    <s v="N/A"/>
    <s v="Feb"/>
    <n v="2026"/>
  </r>
  <r>
    <n v="112"/>
    <x v="2"/>
    <x v="2"/>
    <s v="Accrual"/>
    <x v="9"/>
    <m/>
    <s v="Taqadm Albasrah"/>
    <s v="Light equipment rental"/>
    <n v="23040.84051677852"/>
    <s v="N/A"/>
    <s v="N/A"/>
    <s v="N/A"/>
    <s v="Feb"/>
    <n v="2026"/>
  </r>
  <r>
    <n v="113"/>
    <x v="2"/>
    <x v="24"/>
    <s v="Accrual"/>
    <x v="9"/>
    <m/>
    <s v="Taqadm Albasrah"/>
    <s v="Heavy  equipment rental"/>
    <n v="22819.67988590604"/>
    <s v="N/A"/>
    <s v="N/A"/>
    <s v="N/A"/>
    <s v="Feb"/>
    <n v="2026"/>
  </r>
  <r>
    <n v="114"/>
    <x v="8"/>
    <x v="14"/>
    <s v="Accrual"/>
    <x v="9"/>
    <m/>
    <s v="Taqadm Albasrah"/>
    <s v="Heavy  equipment rental"/>
    <n v="22627.813516778522"/>
    <s v="N/A"/>
    <s v="N/A"/>
    <s v="N/A"/>
    <s v="Feb"/>
    <n v="2026"/>
  </r>
  <r>
    <n v="115"/>
    <x v="6"/>
    <x v="7"/>
    <s v="Accrual"/>
    <x v="9"/>
    <m/>
    <s v="Taqadm Albasrah"/>
    <s v="Light equipment rental"/>
    <n v="22134.302697986575"/>
    <s v="N/A"/>
    <s v="N/A"/>
    <s v="N/A"/>
    <s v="Feb"/>
    <n v="2026"/>
  </r>
  <r>
    <n v="116"/>
    <x v="5"/>
    <x v="5"/>
    <s v="Accrual"/>
    <x v="9"/>
    <m/>
    <s v="NAC Logistic"/>
    <s v="Light equipment rental"/>
    <n v="20939.704724832212"/>
    <s v="N/A"/>
    <s v="N/A"/>
    <s v="N/A"/>
    <s v="Feb"/>
    <n v="2026"/>
  </r>
  <r>
    <n v="117"/>
    <x v="5"/>
    <x v="23"/>
    <s v="Accrual"/>
    <x v="9"/>
    <m/>
    <s v="Taqadm Albasrah"/>
    <s v="Light equipment rental"/>
    <n v="19116.675302013424"/>
    <s v="N/A"/>
    <s v="N/A"/>
    <s v="N/A"/>
    <s v="Feb"/>
    <n v="2026"/>
  </r>
  <r>
    <n v="118"/>
    <x v="2"/>
    <x v="17"/>
    <s v="Accrual"/>
    <x v="9"/>
    <m/>
    <s v="Taqadm Albasrah"/>
    <s v="Light equipment rental"/>
    <n v="19106.091953020135"/>
    <s v="N/A"/>
    <s v="N/A"/>
    <s v="N/A"/>
    <s v="Feb"/>
    <n v="2026"/>
  </r>
  <r>
    <n v="119"/>
    <x v="5"/>
    <x v="13"/>
    <s v="Accrual"/>
    <x v="9"/>
    <m/>
    <s v="Taqadm Albasrah"/>
    <s v="Heavy  equipment rental"/>
    <n v="18999.137738255034"/>
    <s v="N/A"/>
    <s v="N/A"/>
    <s v="N/A"/>
    <s v="Feb"/>
    <n v="2026"/>
  </r>
  <r>
    <n v="120"/>
    <x v="8"/>
    <x v="14"/>
    <s v="Accrual"/>
    <x v="9"/>
    <m/>
    <s v="Border Transportaion / Al Hodod"/>
    <s v=" Heavy equipment rental"/>
    <n v="18660.944724832214"/>
    <s v="N/A"/>
    <s v="N/A"/>
    <s v="N/A"/>
    <s v="Feb"/>
    <n v="2026"/>
  </r>
  <r>
    <n v="121"/>
    <x v="5"/>
    <x v="5"/>
    <s v="Accrual"/>
    <x v="9"/>
    <m/>
    <s v="Taqadm Albasrah"/>
    <s v="Heavy  equipment rental"/>
    <n v="16572.01846308725"/>
    <s v="N/A"/>
    <s v="N/A"/>
    <s v="N/A"/>
    <s v="Feb"/>
    <n v="2026"/>
  </r>
  <r>
    <n v="122"/>
    <x v="7"/>
    <x v="22"/>
    <s v="Accrual"/>
    <x v="9"/>
    <m/>
    <s v="Taqadm Albasrah"/>
    <s v="Heavy  equipment rental"/>
    <n v="16366.411919463088"/>
    <s v="N/A"/>
    <s v="N/A"/>
    <s v="N/A"/>
    <s v="Feb"/>
    <n v="2026"/>
  </r>
  <r>
    <n v="123"/>
    <x v="2"/>
    <x v="20"/>
    <s v="Accrual"/>
    <x v="9"/>
    <m/>
    <s v="Taqadm Albasrah"/>
    <s v="Heavy  equipment rental"/>
    <n v="14251.584825503356"/>
    <s v="N/A"/>
    <s v="N/A"/>
    <s v="N/A"/>
    <s v="Feb"/>
    <n v="2026"/>
  </r>
  <r>
    <n v="124"/>
    <x v="5"/>
    <x v="5"/>
    <s v="Accrual"/>
    <x v="9"/>
    <m/>
    <s v="Taqadm Albasrah"/>
    <s v="Light equipment rental"/>
    <n v="14064.532818791946"/>
    <s v="N/A"/>
    <s v="N/A"/>
    <s v="N/A"/>
    <s v="Feb"/>
    <n v="2026"/>
  </r>
  <r>
    <n v="125"/>
    <x v="5"/>
    <x v="5"/>
    <s v="Accrual"/>
    <x v="9"/>
    <m/>
    <s v="Border Transportaion / Al Hodod"/>
    <s v=" Heavy equipment rental"/>
    <n v="13341.442953020134"/>
    <s v="N/A"/>
    <s v="N/A"/>
    <s v="N/A"/>
    <s v="Feb"/>
    <n v="2026"/>
  </r>
  <r>
    <n v="126"/>
    <x v="5"/>
    <x v="6"/>
    <s v="Accrual"/>
    <x v="9"/>
    <m/>
    <s v="NAC Logistic"/>
    <s v="Light equipment rental"/>
    <n v="13062.007241610738"/>
    <s v="N/A"/>
    <s v="N/A"/>
    <s v="N/A"/>
    <s v="Feb"/>
    <n v="2026"/>
  </r>
  <r>
    <n v="127"/>
    <x v="5"/>
    <x v="13"/>
    <s v="Accrual"/>
    <x v="9"/>
    <m/>
    <s v="Taqadm Albasrah"/>
    <s v="Light equipment rental"/>
    <n v="11937.79044966443"/>
    <s v="N/A"/>
    <s v="N/A"/>
    <s v="N/A"/>
    <s v="Feb"/>
    <n v="2026"/>
  </r>
  <r>
    <n v="128"/>
    <x v="5"/>
    <x v="23"/>
    <s v="Accrual"/>
    <x v="9"/>
    <m/>
    <s v="NAC Logistic"/>
    <s v="Light equipment rental"/>
    <n v="11412.294308724831"/>
    <s v="N/A"/>
    <s v="N/A"/>
    <s v="N/A"/>
    <s v="Feb"/>
    <n v="2026"/>
  </r>
  <r>
    <n v="129"/>
    <x v="2"/>
    <x v="17"/>
    <s v="Accrual"/>
    <x v="9"/>
    <m/>
    <s v="NAC Logistic"/>
    <s v=" Heavy equipment rental"/>
    <n v="10620.676208053692"/>
    <s v="N/A"/>
    <s v="N/A"/>
    <s v="N/A"/>
    <s v="Feb"/>
    <n v="2026"/>
  </r>
  <r>
    <n v="130"/>
    <x v="7"/>
    <x v="22"/>
    <s v="Accrual"/>
    <x v="9"/>
    <m/>
    <s v="Taqadm Albasrah"/>
    <s v="Light equipment rental"/>
    <n v="10069.695422818791"/>
    <s v="N/A"/>
    <s v="N/A"/>
    <s v="N/A"/>
    <s v="Feb"/>
    <n v="2026"/>
  </r>
  <r>
    <n v="131"/>
    <x v="7"/>
    <x v="22"/>
    <s v="Accrual"/>
    <x v="9"/>
    <m/>
    <s v="NAC Logistic"/>
    <s v=" Heavy equipment rental"/>
    <n v="9994.8374026845649"/>
    <s v="N/A"/>
    <s v="N/A"/>
    <s v="N/A"/>
    <s v="Feb"/>
    <n v="2026"/>
  </r>
  <r>
    <n v="132"/>
    <x v="2"/>
    <x v="17"/>
    <s v="Accrual"/>
    <x v="9"/>
    <m/>
    <s v="Border Transportaion / Al Hodod"/>
    <s v=" Heavy equipment rental"/>
    <n v="9759.2927516778527"/>
    <s v="N/A"/>
    <s v="N/A"/>
    <s v="N/A"/>
    <s v="Feb"/>
    <n v="2026"/>
  </r>
  <r>
    <n v="133"/>
    <x v="2"/>
    <x v="20"/>
    <s v="Accrual"/>
    <x v="9"/>
    <m/>
    <s v="NAC Logistic"/>
    <s v=" Heavy equipment rental"/>
    <n v="9616.0298926174491"/>
    <s v="N/A"/>
    <s v="N/A"/>
    <s v="N/A"/>
    <s v="Feb"/>
    <n v="2026"/>
  </r>
  <r>
    <n v="134"/>
    <x v="2"/>
    <x v="25"/>
    <s v="Accrual"/>
    <x v="9"/>
    <m/>
    <s v="Taqadm Albasrah"/>
    <s v="Light equipment rental"/>
    <n v="9264.326295302013"/>
    <s v="N/A"/>
    <s v="N/A"/>
    <s v="N/A"/>
    <s v="Feb"/>
    <n v="2026"/>
  </r>
  <r>
    <n v="135"/>
    <x v="5"/>
    <x v="13"/>
    <s v="Accrual"/>
    <x v="9"/>
    <m/>
    <s v="NAC Logistic"/>
    <s v=" Heavy equipment rental"/>
    <n v="9174.3210134228193"/>
    <s v="N/A"/>
    <s v="N/A"/>
    <s v="N/A"/>
    <s v="Feb"/>
    <n v="2026"/>
  </r>
  <r>
    <n v="136"/>
    <x v="6"/>
    <x v="7"/>
    <s v="Accrual"/>
    <x v="9"/>
    <m/>
    <s v="NAC Logistic"/>
    <s v="Light equipment rental"/>
    <n v="8786.7837315436245"/>
    <s v="N/A"/>
    <s v="N/A"/>
    <s v="N/A"/>
    <s v="Feb"/>
    <n v="2026"/>
  </r>
  <r>
    <n v="137"/>
    <x v="2"/>
    <x v="12"/>
    <s v="Accrual"/>
    <x v="9"/>
    <m/>
    <s v="NAC Logistic"/>
    <s v="Light equipment rental"/>
    <n v="8507.4858053691278"/>
    <s v="N/A"/>
    <s v="N/A"/>
    <s v="N/A"/>
    <s v="Feb"/>
    <n v="2026"/>
  </r>
  <r>
    <n v="138"/>
    <x v="2"/>
    <x v="25"/>
    <s v="Accrual"/>
    <x v="9"/>
    <m/>
    <s v="Taqadm Albasrah"/>
    <s v="Heavy  equipment rental"/>
    <n v="7934.8166442953025"/>
    <s v="N/A"/>
    <s v="N/A"/>
    <s v="N/A"/>
    <s v="Feb"/>
    <n v="2026"/>
  </r>
  <r>
    <n v="139"/>
    <x v="8"/>
    <x v="14"/>
    <s v="Accrual"/>
    <x v="9"/>
    <m/>
    <s v="NAC Logistic"/>
    <s v="Light equipment rental"/>
    <n v="7416.1073825503354"/>
    <s v="N/A"/>
    <s v="N/A"/>
    <s v="N/A"/>
    <s v="Feb"/>
    <n v="2026"/>
  </r>
  <r>
    <n v="140"/>
    <x v="5"/>
    <x v="6"/>
    <s v="Accrual"/>
    <x v="9"/>
    <m/>
    <s v="Taqadm Albasrah"/>
    <s v="Heavy  equipment rental"/>
    <n v="7053.0200469798656"/>
    <s v="N/A"/>
    <s v="N/A"/>
    <s v="N/A"/>
    <s v="Feb"/>
    <n v="2026"/>
  </r>
  <r>
    <n v="141"/>
    <x v="5"/>
    <x v="23"/>
    <s v="Accrual"/>
    <x v="9"/>
    <m/>
    <s v="Taqadm Albasrah"/>
    <s v="Heavy  equipment rental"/>
    <n v="6969.0242080536918"/>
    <s v="N/A"/>
    <s v="N/A"/>
    <s v="N/A"/>
    <s v="Feb"/>
    <n v="2026"/>
  </r>
  <r>
    <n v="142"/>
    <x v="6"/>
    <x v="7"/>
    <s v="Accrual"/>
    <x v="9"/>
    <m/>
    <s v="Taqadm Albasrah"/>
    <s v="Heavy  equipment rental"/>
    <n v="6782.1373221476506"/>
    <s v="N/A"/>
    <s v="N/A"/>
    <s v="N/A"/>
    <s v="Feb"/>
    <n v="2026"/>
  </r>
  <r>
    <n v="143"/>
    <x v="2"/>
    <x v="26"/>
    <s v="Accrual"/>
    <x v="9"/>
    <m/>
    <s v="Taqadm Albasrah"/>
    <s v="Light equipment rental"/>
    <n v="5967.991758389262"/>
    <s v="N/A"/>
    <s v="N/A"/>
    <s v="N/A"/>
    <s v="Feb"/>
    <n v="2026"/>
  </r>
  <r>
    <n v="144"/>
    <x v="2"/>
    <x v="24"/>
    <s v="Accrual"/>
    <x v="9"/>
    <m/>
    <s v="Taqadm Albasrah"/>
    <s v="Light equipment rental"/>
    <n v="5785.2349261744957"/>
    <s v="N/A"/>
    <s v="N/A"/>
    <s v="N/A"/>
    <s v="Feb"/>
    <n v="2026"/>
  </r>
  <r>
    <n v="145"/>
    <x v="5"/>
    <x v="6"/>
    <s v="Accrual"/>
    <x v="9"/>
    <m/>
    <s v="Taqadm Albasrah"/>
    <s v="Light equipment rental"/>
    <n v="5660.8157181208053"/>
    <s v="N/A"/>
    <s v="N/A"/>
    <s v="N/A"/>
    <s v="Feb"/>
    <n v="2026"/>
  </r>
  <r>
    <n v="146"/>
    <x v="7"/>
    <x v="22"/>
    <s v="Accrual"/>
    <x v="9"/>
    <m/>
    <s v="NAC Logistic"/>
    <s v="Light equipment rental"/>
    <n v="5570.4697986577185"/>
    <s v="N/A"/>
    <s v="N/A"/>
    <s v="N/A"/>
    <s v="Feb"/>
    <n v="2026"/>
  </r>
  <r>
    <n v="147"/>
    <x v="4"/>
    <x v="4"/>
    <s v="Actual"/>
    <x v="9"/>
    <m/>
    <s v="Alaq Al Abraj Co."/>
    <s v="Heavy  equipment rental"/>
    <n v="5150"/>
    <s v="IGCC-022026-3"/>
    <d v="2026-02-05T00:00:00"/>
    <s v="N/A"/>
    <s v="Feb"/>
    <n v="2026"/>
  </r>
  <r>
    <n v="148"/>
    <x v="2"/>
    <x v="20"/>
    <s v="Accrual"/>
    <x v="9"/>
    <m/>
    <s v="Taqadm Albasrah"/>
    <s v="Light equipment rental"/>
    <n v="4912.7516778523486"/>
    <s v="N/A"/>
    <s v="N/A"/>
    <s v="N/A"/>
    <s v="Feb"/>
    <n v="2026"/>
  </r>
  <r>
    <n v="149"/>
    <x v="2"/>
    <x v="17"/>
    <s v="Accrual"/>
    <x v="9"/>
    <m/>
    <s v="NAC Logistic"/>
    <s v="Light equipment rental"/>
    <n v="4907.0728187919467"/>
    <s v="N/A"/>
    <s v="N/A"/>
    <s v="N/A"/>
    <s v="Feb"/>
    <n v="2026"/>
  </r>
  <r>
    <n v="150"/>
    <x v="6"/>
    <x v="7"/>
    <s v="Accrual"/>
    <x v="9"/>
    <m/>
    <s v="Border Transportaion / Al Hodod"/>
    <s v=" Heavy equipment rental"/>
    <n v="4303.6912751677855"/>
    <s v="N/A"/>
    <s v="N/A"/>
    <s v="N/A"/>
    <s v="Feb"/>
    <n v="2026"/>
  </r>
  <r>
    <n v="151"/>
    <x v="0"/>
    <x v="0"/>
    <s v="Accrual"/>
    <x v="9"/>
    <m/>
    <s v="Taqadm Albasrah"/>
    <s v="Light equipment rental"/>
    <n v="3621.5798255033546"/>
    <s v="N/A"/>
    <s v="N/A"/>
    <s v="N/A"/>
    <s v="Feb"/>
    <n v="2026"/>
  </r>
  <r>
    <n v="152"/>
    <x v="2"/>
    <x v="20"/>
    <s v="Accrual"/>
    <x v="9"/>
    <m/>
    <s v="NAC Logistic"/>
    <s v="Light equipment rental"/>
    <n v="3577.1812080536911"/>
    <s v="N/A"/>
    <s v="N/A"/>
    <s v="N/A"/>
    <s v="Feb"/>
    <n v="2026"/>
  </r>
  <r>
    <n v="153"/>
    <x v="7"/>
    <x v="19"/>
    <s v="Accrual"/>
    <x v="9"/>
    <m/>
    <s v="NAC Logistic"/>
    <s v="Light equipment rental"/>
    <n v="3489.9328859060402"/>
    <s v="N/A"/>
    <s v="N/A"/>
    <s v="N/A"/>
    <s v="Feb"/>
    <n v="2026"/>
  </r>
  <r>
    <n v="154"/>
    <x v="5"/>
    <x v="27"/>
    <s v="Accrual"/>
    <x v="9"/>
    <m/>
    <s v="NAC Logistic"/>
    <s v="Light equipment rental"/>
    <n v="3489.9328859060402"/>
    <s v="N/A"/>
    <s v="N/A"/>
    <s v="N/A"/>
    <s v="Feb"/>
    <n v="2026"/>
  </r>
  <r>
    <n v="155"/>
    <x v="7"/>
    <x v="19"/>
    <s v="Accrual"/>
    <x v="9"/>
    <m/>
    <s v="Taqadm Albasrah"/>
    <s v="Light equipment rental"/>
    <n v="3422.8187919463089"/>
    <s v="N/A"/>
    <s v="N/A"/>
    <s v="N/A"/>
    <s v="Feb"/>
    <n v="2026"/>
  </r>
  <r>
    <n v="156"/>
    <x v="2"/>
    <x v="12"/>
    <s v="Accrual"/>
    <x v="9"/>
    <m/>
    <s v="NAC Logistic"/>
    <s v="Heavy  equipment rental"/>
    <n v="3138.8745369127528"/>
    <s v="N/A"/>
    <s v="N/A"/>
    <s v="N/A"/>
    <s v="Feb"/>
    <n v="2026"/>
  </r>
  <r>
    <n v="157"/>
    <x v="2"/>
    <x v="28"/>
    <s v="Accrual"/>
    <x v="9"/>
    <m/>
    <s v="NAC Logistic"/>
    <s v="Light equipment rental"/>
    <n v="2885.9060402684563"/>
    <s v="N/A"/>
    <s v="N/A"/>
    <s v="N/A"/>
    <s v="Feb"/>
    <n v="2026"/>
  </r>
  <r>
    <n v="158"/>
    <x v="2"/>
    <x v="25"/>
    <s v="Accrual"/>
    <x v="9"/>
    <m/>
    <s v="Border Transportaion / Al Hodod"/>
    <s v=" Heavy equipment rental"/>
    <n v="2485.8027986577181"/>
    <s v="N/A"/>
    <s v="N/A"/>
    <s v="N/A"/>
    <s v="Feb"/>
    <n v="2026"/>
  </r>
  <r>
    <n v="159"/>
    <x v="7"/>
    <x v="19"/>
    <s v="Accrual"/>
    <x v="9"/>
    <m/>
    <s v="Taqadm Albasrah"/>
    <s v="Heavy  equipment rental"/>
    <n v="2369.6437315436242"/>
    <s v="N/A"/>
    <s v="N/A"/>
    <s v="N/A"/>
    <s v="Feb"/>
    <n v="2026"/>
  </r>
  <r>
    <n v="160"/>
    <x v="4"/>
    <x v="4"/>
    <s v="Accrual"/>
    <x v="9"/>
    <m/>
    <s v="Neema Abdul Hassan"/>
    <s v="Light equipment rental"/>
    <n v="2080"/>
    <s v="N/A"/>
    <s v="N/A"/>
    <s v="N/A"/>
    <s v="Feb"/>
    <n v="2026"/>
  </r>
  <r>
    <n v="161"/>
    <x v="2"/>
    <x v="28"/>
    <s v="Accrual"/>
    <x v="9"/>
    <m/>
    <s v="Taqadm Albasrah"/>
    <s v="Heavy  equipment rental"/>
    <n v="1916.6236308724831"/>
    <s v="N/A"/>
    <s v="N/A"/>
    <s v="N/A"/>
    <s v="Feb"/>
    <n v="2026"/>
  </r>
  <r>
    <n v="162"/>
    <x v="7"/>
    <x v="29"/>
    <s v="Accrual"/>
    <x v="9"/>
    <m/>
    <s v="Taqadm Albasrah"/>
    <s v="Light equipment rental"/>
    <n v="1897.2638255033557"/>
    <s v="N/A"/>
    <s v="N/A"/>
    <s v="N/A"/>
    <s v="Feb"/>
    <n v="2026"/>
  </r>
  <r>
    <n v="163"/>
    <x v="0"/>
    <x v="0"/>
    <s v="Accrual"/>
    <x v="9"/>
    <m/>
    <s v="Taqadm Albasrah"/>
    <s v="Heavy  equipment rental"/>
    <n v="1784.2023422818793"/>
    <s v="N/A"/>
    <s v="N/A"/>
    <s v="N/A"/>
    <s v="Feb"/>
    <n v="2026"/>
  </r>
  <r>
    <n v="164"/>
    <x v="5"/>
    <x v="15"/>
    <s v="Accrual"/>
    <x v="9"/>
    <m/>
    <s v="Neema Abdul Hassan"/>
    <s v="Light equipment rental"/>
    <n v="1620"/>
    <s v="N/A"/>
    <s v="N/A"/>
    <s v="N/A"/>
    <s v="Feb"/>
    <n v="2026"/>
  </r>
  <r>
    <n v="165"/>
    <x v="10"/>
    <x v="30"/>
    <s v="Accrual"/>
    <x v="9"/>
    <m/>
    <s v="Taqadm Albasrah"/>
    <s v="Heavy  equipment rental"/>
    <n v="1548.7867919463085"/>
    <s v="N/A"/>
    <s v="N/A"/>
    <s v="N/A"/>
    <s v="Feb"/>
    <n v="2026"/>
  </r>
  <r>
    <n v="166"/>
    <x v="0"/>
    <x v="0"/>
    <s v="Accrual"/>
    <x v="9"/>
    <m/>
    <s v="NAC Logistic"/>
    <s v="Light equipment rental"/>
    <n v="1543.6241879194631"/>
    <s v="N/A"/>
    <s v="N/A"/>
    <s v="N/A"/>
    <s v="Feb"/>
    <n v="2026"/>
  </r>
  <r>
    <n v="167"/>
    <x v="2"/>
    <x v="25"/>
    <s v="Accrual"/>
    <x v="9"/>
    <m/>
    <s v="NAC Logistic"/>
    <s v="Light equipment rental"/>
    <n v="1409.3959731543623"/>
    <s v="N/A"/>
    <s v="N/A"/>
    <s v="N/A"/>
    <s v="Feb"/>
    <n v="2026"/>
  </r>
  <r>
    <n v="168"/>
    <x v="2"/>
    <x v="18"/>
    <s v="Actual"/>
    <x v="9"/>
    <m/>
    <s v="Al-Zubair Gate"/>
    <s v="Light equipment rental"/>
    <n v="1324.1379310344828"/>
    <s v="N/A"/>
    <s v="N/A"/>
    <s v="N/A"/>
    <s v="Feb"/>
    <n v="2026"/>
  </r>
  <r>
    <n v="169"/>
    <x v="7"/>
    <x v="31"/>
    <s v="Accrual"/>
    <x v="9"/>
    <m/>
    <s v="Taqadm Albasrah"/>
    <s v="Light equipment rental"/>
    <n v="1208.0536912751677"/>
    <s v="N/A"/>
    <s v="N/A"/>
    <s v="N/A"/>
    <s v="Feb"/>
    <n v="2026"/>
  </r>
  <r>
    <n v="170"/>
    <x v="2"/>
    <x v="20"/>
    <s v="Accrual"/>
    <x v="9"/>
    <m/>
    <s v="Border Transportaion / Al Hodod"/>
    <s v=" Heavy equipment rental"/>
    <n v="798.78679194630877"/>
    <s v="N/A"/>
    <s v="N/A"/>
    <s v="N/A"/>
    <s v="Feb"/>
    <n v="2026"/>
  </r>
  <r>
    <n v="171"/>
    <x v="2"/>
    <x v="12"/>
    <s v="Accrual"/>
    <x v="9"/>
    <m/>
    <s v="Border Transportaion / Al Hodod"/>
    <s v=" Heavy equipment rental"/>
    <n v="714.66830201342282"/>
    <s v="N/A"/>
    <s v="N/A"/>
    <s v="N/A"/>
    <s v="Feb"/>
    <n v="2026"/>
  </r>
  <r>
    <n v="172"/>
    <x v="2"/>
    <x v="28"/>
    <s v="Accrual"/>
    <x v="9"/>
    <m/>
    <s v="Taqadm Albasrah"/>
    <s v="Light equipment rental"/>
    <n v="604.02684563758385"/>
    <s v="N/A"/>
    <s v="N/A"/>
    <s v="N/A"/>
    <s v="Feb"/>
    <n v="2026"/>
  </r>
  <r>
    <n v="173"/>
    <x v="2"/>
    <x v="18"/>
    <s v="Accrual"/>
    <x v="9"/>
    <m/>
    <s v="Taqadm Albasrah"/>
    <s v="Light equipment rental"/>
    <n v="534.33144966442956"/>
    <s v="N/A"/>
    <s v="N/A"/>
    <s v="N/A"/>
    <s v="Feb"/>
    <n v="2026"/>
  </r>
  <r>
    <n v="174"/>
    <x v="7"/>
    <x v="19"/>
    <s v="Accrual"/>
    <x v="9"/>
    <m/>
    <s v="Border Transportaion / Al Hodod"/>
    <s v=" Heavy equipment rental"/>
    <n v="495.61177181208058"/>
    <s v="N/A"/>
    <s v="N/A"/>
    <s v="N/A"/>
    <s v="Feb"/>
    <n v="2026"/>
  </r>
  <r>
    <n v="175"/>
    <x v="8"/>
    <x v="14"/>
    <s v="Accrual"/>
    <x v="9"/>
    <m/>
    <s v="NAC Logistic"/>
    <s v=" Heavy equipment rental"/>
    <n v="203.53639597315436"/>
    <s v="N/A"/>
    <s v="N/A"/>
    <s v="N/A"/>
    <s v="Feb"/>
    <n v="2026"/>
  </r>
  <r>
    <n v="176"/>
    <x v="2"/>
    <x v="24"/>
    <s v="Accrual"/>
    <x v="9"/>
    <m/>
    <s v="NAC Logistic"/>
    <s v=" Heavy equipment rental"/>
    <n v="203.53639597315436"/>
    <s v="N/A"/>
    <s v="N/A"/>
    <s v="N/A"/>
    <s v="Feb"/>
    <n v="2026"/>
  </r>
  <r>
    <n v="177"/>
    <x v="2"/>
    <x v="26"/>
    <s v="Accrual"/>
    <x v="9"/>
    <m/>
    <s v="Taqadm Albasrah"/>
    <s v="Heavy  equipment rental"/>
    <n v="165.20391946308726"/>
    <s v="N/A"/>
    <s v="N/A"/>
    <s v="N/A"/>
    <s v="Feb"/>
    <n v="2026"/>
  </r>
  <r>
    <n v="178"/>
    <x v="2"/>
    <x v="2"/>
    <s v="Actual"/>
    <x v="10"/>
    <m/>
    <s v="Fasco LLC FZ"/>
    <s v="Materials"/>
    <n v="143669.75476839236"/>
    <s v="N/A"/>
    <s v="N/A"/>
    <n v="2026400276"/>
    <s v="Feb"/>
    <n v="2026"/>
  </r>
  <r>
    <n v="179"/>
    <x v="4"/>
    <x v="4"/>
    <s v="Actual"/>
    <x v="10"/>
    <m/>
    <s v="Fasco LLC FZ"/>
    <s v="Materials"/>
    <n v="125535.81471389646"/>
    <s v="N/A"/>
    <s v="N/A"/>
    <s v="N/A"/>
    <s v="Feb"/>
    <n v="2026"/>
  </r>
  <r>
    <n v="180"/>
    <x v="2"/>
    <x v="2"/>
    <s v="Actual"/>
    <x v="10"/>
    <m/>
    <s v="Fasco LLC FZ"/>
    <s v="Materials"/>
    <n v="71534.059945504094"/>
    <s v="N/A"/>
    <s v="N/A"/>
    <s v="N/A"/>
    <s v="Feb"/>
    <n v="2026"/>
  </r>
  <r>
    <n v="181"/>
    <x v="4"/>
    <x v="4"/>
    <s v="Actual"/>
    <x v="10"/>
    <m/>
    <s v="AL MUSTAFA INDUSTRIAL IRON TRADING"/>
    <s v="Materials/Iron"/>
    <n v="71200"/>
    <s v="488"/>
    <d v="2026-02-08T00:00:00"/>
    <n v="2026400399"/>
    <s v="Feb"/>
    <n v="2026"/>
  </r>
  <r>
    <n v="182"/>
    <x v="2"/>
    <x v="2"/>
    <s v="Actual"/>
    <x v="10"/>
    <m/>
    <s v="GULF PEARL GROUP"/>
    <s v="Materials/Paint"/>
    <n v="51817"/>
    <s v="28552026"/>
    <d v="2026-02-02T00:00:00"/>
    <n v="2026400030"/>
    <s v="Feb"/>
    <n v="2026"/>
  </r>
  <r>
    <n v="183"/>
    <x v="4"/>
    <x v="4"/>
    <s v="Actual"/>
    <x v="10"/>
    <m/>
    <s v="AL MUSTAFA INDUSTRIAL IRON TRADING"/>
    <s v="Materials/Iron"/>
    <n v="33200"/>
    <s v="518"/>
    <d v="2026-02-22T00:00:00"/>
    <n v="2026400585"/>
    <s v="Feb"/>
    <n v="2026"/>
  </r>
  <r>
    <n v="184"/>
    <x v="4"/>
    <x v="4"/>
    <s v="Actual"/>
    <x v="10"/>
    <m/>
    <s v="Fasco LLC FZ"/>
    <s v="Materials"/>
    <n v="27652.043596730247"/>
    <s v="N/A"/>
    <s v="N/A"/>
    <n v="2025404329"/>
    <s v="Feb"/>
    <n v="2026"/>
  </r>
  <r>
    <n v="185"/>
    <x v="5"/>
    <x v="5"/>
    <s v="Actual"/>
    <x v="10"/>
    <m/>
    <s v="Khan Alhadded Company"/>
    <s v="Materials/Iron"/>
    <n v="14365"/>
    <s v="1006"/>
    <d v="2026-01-28T00:00:00"/>
    <n v="2026400375"/>
    <s v="Feb"/>
    <n v="2026"/>
  </r>
  <r>
    <n v="186"/>
    <x v="8"/>
    <x v="14"/>
    <s v="Actual"/>
    <x v="10"/>
    <m/>
    <s v="Ali Hamed For Excort Tools"/>
    <s v="Materials/Safety"/>
    <n v="14093.959731543624"/>
    <s v="000133"/>
    <d v="2026-02-02T00:00:00"/>
    <n v="2026400593"/>
    <s v="Feb"/>
    <n v="2026"/>
  </r>
  <r>
    <n v="187"/>
    <x v="2"/>
    <x v="12"/>
    <s v="Actual"/>
    <x v="10"/>
    <m/>
    <s v="AL MUSTAFA INDUSTRIAL IRON TRADING"/>
    <s v="Materials/Iron"/>
    <n v="13950"/>
    <n v="490"/>
    <d v="2026-02-08T00:00:00"/>
    <n v="2026400398"/>
    <s v="Feb"/>
    <n v="2026"/>
  </r>
  <r>
    <n v="188"/>
    <x v="5"/>
    <x v="13"/>
    <s v="Actual"/>
    <x v="10"/>
    <m/>
    <s v="Rwad Alenjaz Co."/>
    <s v="Materials"/>
    <n v="13708.053691275169"/>
    <s v="02233"/>
    <d v="2026-02-11T00:00:00"/>
    <n v="2026400643"/>
    <s v="Feb"/>
    <n v="2026"/>
  </r>
  <r>
    <n v="189"/>
    <x v="5"/>
    <x v="5"/>
    <s v="Actual"/>
    <x v="10"/>
    <m/>
    <s v="AL MUSTAFA INDUSTRIAL IRON TRADING"/>
    <s v="Materials/Iron"/>
    <n v="13696.5"/>
    <s v="508"/>
    <d v="2026-02-12T00:00:00"/>
    <n v="2025403470"/>
    <s v="Feb"/>
    <n v="2026"/>
  </r>
  <r>
    <n v="190"/>
    <x v="4"/>
    <x v="4"/>
    <s v="Actual"/>
    <x v="10"/>
    <m/>
    <s v="Fasco LLC FZ"/>
    <s v="Materials"/>
    <n v="12777.929155313352"/>
    <s v="2026000007"/>
    <d v="2026-02-08T00:00:00"/>
    <n v="2025404041"/>
    <s v="Feb"/>
    <n v="2026"/>
  </r>
  <r>
    <n v="191"/>
    <x v="2"/>
    <x v="25"/>
    <s v="Actual"/>
    <x v="10"/>
    <m/>
    <s v="Al Ghasak Office"/>
    <s v="Materials/wire"/>
    <n v="11409.395973154362"/>
    <s v="GH-2026-088781"/>
    <d v="2026-02-22T00:00:00"/>
    <n v="2026400705"/>
    <s v="Feb"/>
    <n v="2026"/>
  </r>
  <r>
    <n v="192"/>
    <x v="5"/>
    <x v="13"/>
    <s v="Actual"/>
    <x v="10"/>
    <m/>
    <s v="Al-Ghader Gallary"/>
    <s v="Materials/wire"/>
    <n v="11220.469798657718"/>
    <s v="4359"/>
    <d v="2026-02-12T00:00:00"/>
    <n v="2026400642"/>
    <s v="Feb"/>
    <n v="2026"/>
  </r>
  <r>
    <n v="193"/>
    <x v="5"/>
    <x v="6"/>
    <s v="Actual"/>
    <x v="10"/>
    <m/>
    <s v="AL MUSTAFA INDUSTRIAL IRON TRADING"/>
    <s v="Materials/Iron"/>
    <n v="9050"/>
    <s v="500"/>
    <d v="2026-02-11T00:00:00"/>
    <n v="2026400479"/>
    <s v="Feb"/>
    <n v="2026"/>
  </r>
  <r>
    <n v="194"/>
    <x v="4"/>
    <x v="4"/>
    <s v="Actual"/>
    <x v="10"/>
    <m/>
    <s v="Cargo Ship Company"/>
    <s v="Materials"/>
    <n v="8698"/>
    <s v="291-1"/>
    <d v="2026-02-08T00:00:00"/>
    <n v="2026400441"/>
    <s v="Feb"/>
    <n v="2026"/>
  </r>
  <r>
    <n v="195"/>
    <x v="2"/>
    <x v="2"/>
    <s v="Actual"/>
    <x v="10"/>
    <m/>
    <s v="SOUTH DEEP JEWEL"/>
    <s v="Materials"/>
    <n v="8617"/>
    <s v="IGCC02"/>
    <d v="2026-02-08T00:00:00"/>
    <n v="2026400431"/>
    <s v="Feb"/>
    <n v="2026"/>
  </r>
  <r>
    <n v="196"/>
    <x v="2"/>
    <x v="17"/>
    <s v="Actual"/>
    <x v="10"/>
    <m/>
    <s v="Khan Alhadded Company"/>
    <s v="Materials/Iron"/>
    <n v="7970"/>
    <s v="1022"/>
    <d v="2026-02-09T00:00:00"/>
    <n v="2026400532"/>
    <s v="Feb"/>
    <n v="2026"/>
  </r>
  <r>
    <n v="197"/>
    <x v="8"/>
    <x v="14"/>
    <s v="Actual"/>
    <x v="10"/>
    <m/>
    <s v="GULF PEARL GROUP"/>
    <s v="Materials/Paint"/>
    <n v="7800"/>
    <s v="28632026"/>
    <d v="2026-02-15T00:00:00"/>
    <n v="2026400374"/>
    <s v="Feb"/>
    <n v="2026"/>
  </r>
  <r>
    <n v="198"/>
    <x v="8"/>
    <x v="32"/>
    <s v="Actual"/>
    <x v="10"/>
    <m/>
    <s v="Advance Welding Solutions Co"/>
    <s v="Materials/Wire"/>
    <n v="7214.7651006711412"/>
    <s v="03200"/>
    <d v="2026-02-08T00:00:00"/>
    <n v="2026400496"/>
    <s v="Feb"/>
    <n v="2026"/>
  </r>
  <r>
    <n v="199"/>
    <x v="8"/>
    <x v="14"/>
    <s v="Actual"/>
    <x v="10"/>
    <m/>
    <s v="Al-Janaeen Al-Mualaka for Water"/>
    <s v="Materials/Water"/>
    <n v="7014.7651006711412"/>
    <s v="3523"/>
    <d v="2026-02-10T00:00:00"/>
    <n v="2026400590"/>
    <s v="Feb"/>
    <n v="2026"/>
  </r>
  <r>
    <n v="200"/>
    <x v="2"/>
    <x v="25"/>
    <s v="Actual"/>
    <x v="10"/>
    <m/>
    <s v="Rwad Alenjaz Co."/>
    <s v="Materials"/>
    <n v="5838.9261744966443"/>
    <s v="02289"/>
    <d v="2026-02-21T00:00:00"/>
    <n v="2026400806"/>
    <s v="Feb"/>
    <n v="2026"/>
  </r>
  <r>
    <n v="201"/>
    <x v="8"/>
    <x v="14"/>
    <s v="Actual"/>
    <x v="10"/>
    <m/>
    <s v="Al-Janaeen Al-Mualaka for Water"/>
    <s v="Materials/Water"/>
    <n v="5444.2953020134228"/>
    <s v="3460"/>
    <d v="2026-02-01T00:00:00"/>
    <n v="2026400444"/>
    <s v="Feb"/>
    <n v="2026"/>
  </r>
  <r>
    <n v="202"/>
    <x v="4"/>
    <x v="4"/>
    <s v="Actual"/>
    <x v="10"/>
    <m/>
    <s v="Al-Janaeen Al-Mualaka for Water"/>
    <s v="Materials/Water"/>
    <n v="5444.2953020134228"/>
    <s v="3559"/>
    <d v="2026-02-15T00:00:00"/>
    <n v="2026400504"/>
    <s v="Feb"/>
    <n v="2026"/>
  </r>
  <r>
    <n v="203"/>
    <x v="4"/>
    <x v="4"/>
    <s v="Actual"/>
    <x v="10"/>
    <m/>
    <s v="Abdullah Gallery"/>
    <s v="Materials/Safety"/>
    <n v="5362.4161073825508"/>
    <s v="00846"/>
    <d v="2026-02-23T00:00:00"/>
    <n v="2026400219"/>
    <s v="Feb"/>
    <n v="2026"/>
  </r>
  <r>
    <n v="204"/>
    <x v="5"/>
    <x v="6"/>
    <s v="Actual"/>
    <x v="10"/>
    <m/>
    <s v="Khan Alhadded Company"/>
    <s v="Materials/Iron"/>
    <n v="5360"/>
    <s v="1034"/>
    <d v="2026-02-17T00:00:00"/>
    <n v="2026400618"/>
    <s v="Feb"/>
    <n v="2026"/>
  </r>
  <r>
    <n v="205"/>
    <x v="2"/>
    <x v="12"/>
    <s v="Actual"/>
    <x v="10"/>
    <m/>
    <s v="Khan Alhadded Company"/>
    <s v="Materials/Iron"/>
    <n v="5238"/>
    <s v="1030"/>
    <d v="2026-02-16T00:00:00"/>
    <n v="2026400613"/>
    <s v="Feb"/>
    <n v="2026"/>
  </r>
  <r>
    <n v="206"/>
    <x v="6"/>
    <x v="7"/>
    <s v="Actual"/>
    <x v="10"/>
    <m/>
    <s v="Al Khaleej Company"/>
    <s v="Materials/IT"/>
    <n v="4664.4295302013425"/>
    <s v="005007"/>
    <d v="2026-02-20T00:00:00"/>
    <n v="2025400651"/>
    <s v="Feb"/>
    <n v="2026"/>
  </r>
  <r>
    <n v="207"/>
    <x v="2"/>
    <x v="25"/>
    <s v="Actual"/>
    <x v="10"/>
    <m/>
    <s v="Al Khaleej Company"/>
    <s v="Materials/IT"/>
    <n v="4664.4295302013425"/>
    <s v="005051"/>
    <d v="2026-02-25T00:00:00"/>
    <n v="2026403333"/>
    <s v="Feb"/>
    <n v="2026"/>
  </r>
  <r>
    <n v="208"/>
    <x v="5"/>
    <x v="5"/>
    <s v="Actual"/>
    <x v="10"/>
    <m/>
    <s v="ZUMZUM ALFAYHAA INSAAT"/>
    <s v="Materials"/>
    <n v="4650.2"/>
    <s v="13298"/>
    <d v="2026-02-22T00:00:00"/>
    <n v="2026400422"/>
    <s v="Feb"/>
    <n v="2026"/>
  </r>
  <r>
    <n v="209"/>
    <x v="4"/>
    <x v="4"/>
    <s v="Actual"/>
    <x v="10"/>
    <m/>
    <s v="AL MUSTAFA INDUSTRIAL IRON TRADING"/>
    <s v="Materials/Iron"/>
    <n v="4627.8"/>
    <s v="504"/>
    <d v="2026-02-19T00:00:00"/>
    <n v="2026400476"/>
    <s v="Feb"/>
    <n v="2026"/>
  </r>
  <r>
    <n v="210"/>
    <x v="4"/>
    <x v="4"/>
    <s v="Actual"/>
    <x v="10"/>
    <m/>
    <s v="Fasco LLC FZ"/>
    <s v="Materials"/>
    <n v="4340.0544959128065"/>
    <s v="N/A"/>
    <s v="N/A"/>
    <n v="2025404329"/>
    <s v="Feb"/>
    <n v="2026"/>
  </r>
  <r>
    <n v="211"/>
    <x v="2"/>
    <x v="20"/>
    <s v="Actual"/>
    <x v="10"/>
    <m/>
    <s v="AL MUSTAFA INDUSTRIAL IRON TRADING"/>
    <s v="Materials/Iron"/>
    <n v="4260"/>
    <s v="522"/>
    <d v="2026-02-26T00:00:00"/>
    <n v="2026400673"/>
    <s v="Feb"/>
    <n v="2026"/>
  </r>
  <r>
    <n v="212"/>
    <x v="5"/>
    <x v="5"/>
    <s v="Actual"/>
    <x v="10"/>
    <m/>
    <s v="Al-Janaeen Al-Mualaka for Water"/>
    <s v="Materials/Water"/>
    <n v="3926.1744966442952"/>
    <s v="3437"/>
    <d v="2026-01-28T00:00:00"/>
    <n v="2026400507"/>
    <s v="Feb"/>
    <n v="2026"/>
  </r>
  <r>
    <n v="213"/>
    <x v="2"/>
    <x v="2"/>
    <s v="Actual"/>
    <x v="10"/>
    <m/>
    <s v="Al-Janaeen Al-Mualaka for Water"/>
    <s v="Materials/Water"/>
    <n v="3926.1744966442952"/>
    <s v="3560"/>
    <d v="2026-02-15T00:00:00"/>
    <n v="2026400600"/>
    <s v="Feb"/>
    <n v="2026"/>
  </r>
  <r>
    <n v="214"/>
    <x v="2"/>
    <x v="2"/>
    <s v="Actual"/>
    <x v="10"/>
    <m/>
    <s v="GULF PEARL GROUP"/>
    <s v="Materials/Paint"/>
    <n v="3856"/>
    <s v="285402026"/>
    <d v="2026-02-02T00:00:00"/>
    <n v="2026400004"/>
    <s v="Feb"/>
    <n v="2026"/>
  </r>
  <r>
    <n v="215"/>
    <x v="2"/>
    <x v="28"/>
    <s v="Actual"/>
    <x v="10"/>
    <m/>
    <s v="ZUMZUM ALFAYHAA INSAAT"/>
    <s v="Materials"/>
    <n v="3497"/>
    <s v="13368"/>
    <d v="2026-02-15T00:00:00"/>
    <n v="2026400461"/>
    <s v="Feb"/>
    <n v="2026"/>
  </r>
  <r>
    <n v="216"/>
    <x v="5"/>
    <x v="6"/>
    <s v="Actual"/>
    <x v="10"/>
    <m/>
    <s v="GULF PEARL GROUP"/>
    <s v="Materials/Paint"/>
    <n v="3436"/>
    <s v="28442026"/>
    <d v="2026-01-27T00:00:00"/>
    <n v="2026400143"/>
    <s v="Feb"/>
    <n v="2026"/>
  </r>
  <r>
    <n v="217"/>
    <x v="4"/>
    <x v="4"/>
    <s v="Actual"/>
    <x v="10"/>
    <m/>
    <s v="ZUMZUM ALFAYHAA INSAAT"/>
    <s v="Materials"/>
    <n v="3370"/>
    <s v="13490"/>
    <d v="2026-02-28T00:00:00"/>
    <n v="2026400627"/>
    <s v="Feb"/>
    <n v="2026"/>
  </r>
  <r>
    <n v="218"/>
    <x v="7"/>
    <x v="19"/>
    <s v="Actual"/>
    <x v="10"/>
    <m/>
    <s v="SGE COMPANY IRAQ"/>
    <s v="Materials"/>
    <n v="3300"/>
    <s v="26-024-R1"/>
    <d v="2026-02-02T00:00:00"/>
    <n v="2026400449"/>
    <s v="Feb"/>
    <n v="2026"/>
  </r>
  <r>
    <n v="219"/>
    <x v="2"/>
    <x v="2"/>
    <s v="Actual"/>
    <x v="10"/>
    <m/>
    <s v="ZUMZUM ALFAYHAA INSAAT"/>
    <s v="Materials"/>
    <n v="3247.5"/>
    <s v="13348"/>
    <d v="2026-02-16T00:00:00"/>
    <n v="2026400463"/>
    <s v="Feb"/>
    <n v="2026"/>
  </r>
  <r>
    <n v="220"/>
    <x v="8"/>
    <x v="32"/>
    <s v="Actual"/>
    <x v="10"/>
    <m/>
    <s v="Mohammed Abdulraheem Office"/>
    <s v="Materials"/>
    <n v="3221.4765100671143"/>
    <s v="000444"/>
    <d v="2026-02-01T00:00:00"/>
    <n v="2026400465"/>
    <s v="Feb"/>
    <n v="2026"/>
  </r>
  <r>
    <n v="221"/>
    <x v="5"/>
    <x v="23"/>
    <s v="Actual"/>
    <x v="10"/>
    <m/>
    <s v="Abdullah Gallery"/>
    <s v="Materials/Safety"/>
    <n v="3154.3624161073826"/>
    <s v="00831"/>
    <d v="2026-02-02T00:00:00"/>
    <n v="2026400506"/>
    <s v="Feb"/>
    <n v="2026"/>
  </r>
  <r>
    <n v="222"/>
    <x v="4"/>
    <x v="4"/>
    <s v="Actual"/>
    <x v="10"/>
    <m/>
    <s v="ZUMZUM ALFAYHAA INSAAT"/>
    <s v="Materials"/>
    <n v="3125.8"/>
    <s v="13284"/>
    <d v="2026-02-22T00:00:00"/>
    <n v="2026400409"/>
    <s v="Feb"/>
    <n v="2026"/>
  </r>
  <r>
    <n v="223"/>
    <x v="2"/>
    <x v="24"/>
    <s v="Actual"/>
    <x v="10"/>
    <m/>
    <s v="AL MUSTAFA INDUSTRIAL IRON TRADING"/>
    <s v="Materials/Iron"/>
    <n v="3100"/>
    <s v="478"/>
    <d v="2026-02-10T00:00:00"/>
    <n v="2026400206"/>
    <s v="Feb"/>
    <n v="2026"/>
  </r>
  <r>
    <n v="224"/>
    <x v="2"/>
    <x v="2"/>
    <s v="Actual"/>
    <x v="10"/>
    <m/>
    <s v="BLUE LINE"/>
    <s v="Materials"/>
    <n v="3092.54"/>
    <s v="6779"/>
    <d v="2026-02-20T00:00:00"/>
    <n v="2026400741"/>
    <s v="Feb"/>
    <n v="2026"/>
  </r>
  <r>
    <n v="225"/>
    <x v="8"/>
    <x v="14"/>
    <s v="Actual"/>
    <x v="10"/>
    <m/>
    <s v="Petty Cash"/>
    <s v="Petty Cash for CAMP"/>
    <n v="3048.8255033557048"/>
    <s v="##"/>
    <d v="2026-07-02T00:00:00"/>
    <s v="N/A"/>
    <s v="Feb"/>
    <n v="2026"/>
  </r>
  <r>
    <n v="226"/>
    <x v="8"/>
    <x v="32"/>
    <s v="Actual"/>
    <x v="10"/>
    <m/>
    <s v="Al-Usool Genral Trading LTD"/>
    <s v="Materials"/>
    <n v="3020.1342281879197"/>
    <s v="INV/2026/00675"/>
    <d v="2026-02-15T00:00:00"/>
    <n v="2026400527"/>
    <s v="Feb"/>
    <n v="2026"/>
  </r>
  <r>
    <n v="227"/>
    <x v="5"/>
    <x v="5"/>
    <s v="Actual"/>
    <x v="10"/>
    <m/>
    <s v="ZUMZUM ALFAYHAA INSAAT"/>
    <s v="Materials"/>
    <n v="2990"/>
    <s v="13356"/>
    <d v="2026-02-16T00:00:00"/>
    <n v="2026400459"/>
    <s v="Feb"/>
    <n v="2026"/>
  </r>
  <r>
    <n v="228"/>
    <x v="8"/>
    <x v="32"/>
    <s v="Actual"/>
    <x v="10"/>
    <m/>
    <s v="Khan Alhadded Company"/>
    <s v="Materials/Iron"/>
    <n v="2960"/>
    <s v="1015"/>
    <d v="2026-02-04T00:00:00"/>
    <n v="2026400482"/>
    <s v="Feb"/>
    <n v="2026"/>
  </r>
  <r>
    <n v="229"/>
    <x v="7"/>
    <x v="22"/>
    <s v="Actual"/>
    <x v="10"/>
    <m/>
    <s v="AL-GHASAQ OFFICE FOR TRADING AND ELECTRICAL CONSTRUCTION MATERIALS"/>
    <s v="Materials/Iron"/>
    <n v="2912.7516778523491"/>
    <s v="GH-2026-088774"/>
    <d v="2026-02-23T00:00:00"/>
    <n v="2026400909"/>
    <s v="Feb"/>
    <n v="2026"/>
  </r>
  <r>
    <n v="230"/>
    <x v="8"/>
    <x v="32"/>
    <s v="Actual"/>
    <x v="10"/>
    <m/>
    <s v="JUSOR AL-FAIHAA"/>
    <s v="Materials"/>
    <n v="2870"/>
    <s v="000313"/>
    <d v="2026-02-10T00:00:00"/>
    <n v="2026400518"/>
    <s v="Feb"/>
    <n v="2026"/>
  </r>
  <r>
    <n v="231"/>
    <x v="4"/>
    <x v="4"/>
    <s v="Actual"/>
    <x v="10"/>
    <m/>
    <s v="ZUMZUM ALFAYHAA INSAAT"/>
    <s v="Materials"/>
    <n v="2816.2"/>
    <s v="13350"/>
    <d v="2026-02-15T00:00:00"/>
    <n v="2026400448"/>
    <s v="Feb"/>
    <n v="2026"/>
  </r>
  <r>
    <n v="232"/>
    <x v="2"/>
    <x v="20"/>
    <s v="Actual"/>
    <x v="10"/>
    <m/>
    <s v="AL MUSTAFA INDUSTRIAL IRON TRADING"/>
    <s v="Materials/Iron"/>
    <n v="2749.4"/>
    <s v="494"/>
    <d v="2026-02-14T00:00:00"/>
    <n v="2026400428"/>
    <s v="Feb"/>
    <n v="2026"/>
  </r>
  <r>
    <n v="233"/>
    <x v="5"/>
    <x v="23"/>
    <s v="Actual"/>
    <x v="10"/>
    <m/>
    <s v="Khan Alhadded Company"/>
    <s v="Materials/Iron"/>
    <n v="2680"/>
    <s v="1014"/>
    <d v="2026-02-04T00:00:00"/>
    <n v="2026400481"/>
    <s v="Feb"/>
    <n v="2026"/>
  </r>
  <r>
    <n v="234"/>
    <x v="2"/>
    <x v="20"/>
    <s v="Actual"/>
    <x v="10"/>
    <m/>
    <s v="Fasco LLC FZ"/>
    <s v="Materials"/>
    <n v="2654.4959128065398"/>
    <s v="N/A"/>
    <s v="N/A"/>
    <n v="2025404040"/>
    <s v="Feb"/>
    <n v="2026"/>
  </r>
  <r>
    <n v="235"/>
    <x v="5"/>
    <x v="6"/>
    <s v="Actual"/>
    <x v="10"/>
    <m/>
    <s v="Rwad Alenjaz Co."/>
    <s v="Materials"/>
    <n v="2620.8053691275168"/>
    <s v="02297"/>
    <d v="2026-02-23T00:00:00"/>
    <n v="2026400957"/>
    <s v="Feb"/>
    <n v="2026"/>
  </r>
  <r>
    <n v="236"/>
    <x v="4"/>
    <x v="4"/>
    <s v="Actual"/>
    <x v="10"/>
    <m/>
    <s v="Abdullah Gallery"/>
    <s v="Materials/Safety"/>
    <n v="2600.6711409395975"/>
    <s v="00836"/>
    <d v="2026-02-11T00:00:00"/>
    <n v="2026400521"/>
    <s v="Feb"/>
    <n v="2026"/>
  </r>
  <r>
    <n v="237"/>
    <x v="8"/>
    <x v="14"/>
    <s v="Actual"/>
    <x v="10"/>
    <m/>
    <s v="SOUTH DEEP JEWEL"/>
    <s v="Materials"/>
    <n v="2580"/>
    <s v="IGCC06"/>
    <d v="2026-02-23T00:00:00"/>
    <n v="2026400698"/>
    <s v="Feb"/>
    <n v="2026"/>
  </r>
  <r>
    <n v="238"/>
    <x v="3"/>
    <x v="3"/>
    <s v="Actual"/>
    <x v="10"/>
    <m/>
    <s v="Tech Corner IT Solution LLC"/>
    <s v="Materials/IT"/>
    <n v="2570.469798657718"/>
    <s v="101-2356"/>
    <d v="2026-02-21T00:00:00"/>
    <n v="2026400644"/>
    <s v="Feb"/>
    <n v="2026"/>
  </r>
  <r>
    <n v="239"/>
    <x v="8"/>
    <x v="32"/>
    <s v="Actual"/>
    <x v="10"/>
    <m/>
    <s v="Sahba Technnnology"/>
    <s v="Materials"/>
    <n v="2567.1140939597317"/>
    <s v="8896"/>
    <d v="2026-02-15T00:00:00"/>
    <n v="2026400565"/>
    <s v="Feb"/>
    <n v="2026"/>
  </r>
  <r>
    <n v="240"/>
    <x v="5"/>
    <x v="23"/>
    <s v="Actual"/>
    <x v="10"/>
    <m/>
    <s v="ZUMZUM ALFAYHAA INSAAT"/>
    <s v="Materials"/>
    <n v="2521.9"/>
    <s v="13372"/>
    <d v="2026-02-17T00:00:00"/>
    <n v="2026400440"/>
    <s v="Feb"/>
    <n v="2026"/>
  </r>
  <r>
    <n v="241"/>
    <x v="5"/>
    <x v="5"/>
    <s v="Actual"/>
    <x v="10"/>
    <m/>
    <s v="Petty Cash"/>
    <s v="Petty Cash for UQ"/>
    <n v="2446.979865771812"/>
    <s v="##"/>
    <d v="2026-02-02T00:00:00"/>
    <s v="N/A"/>
    <s v="Feb"/>
    <n v="2026"/>
  </r>
  <r>
    <n v="242"/>
    <x v="5"/>
    <x v="5"/>
    <s v="Actual"/>
    <x v="10"/>
    <m/>
    <s v="Al-Usool Genral Trading LTD"/>
    <s v="Materials"/>
    <n v="2416.1073825503354"/>
    <s v="INV/2026/00430"/>
    <d v="2026-01-29T00:00:00"/>
    <n v="2026400351"/>
    <s v="Feb"/>
    <n v="2026"/>
  </r>
  <r>
    <n v="243"/>
    <x v="4"/>
    <x v="4"/>
    <s v="Actual"/>
    <x v="10"/>
    <m/>
    <s v="ZUMZUM ALFAYHAA INSAAT"/>
    <s v="Materials"/>
    <n v="2412.1"/>
    <s v="13352"/>
    <d v="2026-02-16T00:00:00"/>
    <n v="2026400450"/>
    <s v="Feb"/>
    <n v="2026"/>
  </r>
  <r>
    <n v="244"/>
    <x v="8"/>
    <x v="32"/>
    <s v="Actual"/>
    <x v="10"/>
    <m/>
    <s v="AL MUSTAFA INDUSTRIAL IRON TRADING"/>
    <s v="Materials/Iron"/>
    <n v="2400"/>
    <s v="492"/>
    <d v="2026-02-09T00:00:00"/>
    <n v="2026400403"/>
    <s v="Feb"/>
    <n v="2026"/>
  </r>
  <r>
    <n v="245"/>
    <x v="4"/>
    <x v="4"/>
    <s v="Actual"/>
    <x v="10"/>
    <m/>
    <s v="ZUMZUM ALFAYHAA INSAAT"/>
    <s v="Materials"/>
    <n v="2339.1999999999998"/>
    <s v="13232"/>
    <d v="2026-02-15T00:00:00"/>
    <n v="2026400307"/>
    <s v="Feb"/>
    <n v="2026"/>
  </r>
  <r>
    <n v="246"/>
    <x v="2"/>
    <x v="2"/>
    <s v="Actual"/>
    <x v="10"/>
    <m/>
    <s v="Ataa Al Khalid Co."/>
    <s v="Materials"/>
    <n v="2302.0134228187922"/>
    <s v="INV0000257"/>
    <d v="2026-02-21T00:00:00"/>
    <n v="2026400645"/>
    <s v="Feb"/>
    <n v="2026"/>
  </r>
  <r>
    <n v="247"/>
    <x v="2"/>
    <x v="2"/>
    <s v="Actual"/>
    <x v="10"/>
    <m/>
    <s v="ZUMZUM ALFAYHAA INSAAT"/>
    <s v="Materials"/>
    <n v="2288.6999999999998"/>
    <s v="13268"/>
    <d v="2026-02-07T00:00:00"/>
    <n v="2026400388"/>
    <s v="Feb"/>
    <n v="2026"/>
  </r>
  <r>
    <n v="248"/>
    <x v="2"/>
    <x v="2"/>
    <s v="Actual"/>
    <x v="10"/>
    <m/>
    <s v="AL MUSTAFA INDUSTRIAL IRON TRADING"/>
    <s v="Materials/Iron"/>
    <n v="2286"/>
    <s v="530"/>
    <d v="2026-02-26T00:00:00"/>
    <n v="2026400684"/>
    <s v="Feb"/>
    <n v="2026"/>
  </r>
  <r>
    <n v="249"/>
    <x v="2"/>
    <x v="2"/>
    <s v="Actual"/>
    <x v="10"/>
    <m/>
    <s v="ZUMZUM ALFAYHAA INSAAT"/>
    <s v="Materials"/>
    <n v="2255"/>
    <s v="13492"/>
    <d v="2026-02-28T00:00:00"/>
    <n v="2026400635"/>
    <s v="Feb"/>
    <n v="2026"/>
  </r>
  <r>
    <n v="250"/>
    <x v="2"/>
    <x v="2"/>
    <s v="Actual"/>
    <x v="10"/>
    <m/>
    <s v="ZUMZUM ALFAYHAA INSAAT"/>
    <s v="Materials"/>
    <n v="2240"/>
    <s v="13376"/>
    <d v="2026-02-15T00:00:00"/>
    <n v="2026400490"/>
    <s v="Feb"/>
    <n v="2026"/>
  </r>
  <r>
    <n v="251"/>
    <x v="5"/>
    <x v="5"/>
    <s v="Actual"/>
    <x v="10"/>
    <m/>
    <s v="AL MUSTAFA INDUSTRIAL IRON TRADING"/>
    <s v="Materials/Iron"/>
    <n v="2218.5"/>
    <s v="506"/>
    <d v="2026-02-12T00:00:00"/>
    <n v="2026400493"/>
    <s v="Feb"/>
    <n v="2026"/>
  </r>
  <r>
    <n v="252"/>
    <x v="2"/>
    <x v="2"/>
    <s v="Actual"/>
    <x v="10"/>
    <m/>
    <s v="Abdullah Gallery"/>
    <s v="Materials/Safety"/>
    <n v="2181.2080536912754"/>
    <s v="00837"/>
    <d v="2026-02-11T00:00:00"/>
    <n v="2026400599"/>
    <s v="Feb"/>
    <n v="2026"/>
  </r>
  <r>
    <n v="253"/>
    <x v="2"/>
    <x v="2"/>
    <s v="Actual"/>
    <x v="10"/>
    <m/>
    <s v="Abdullah Gallery"/>
    <s v="Materials/Safety"/>
    <n v="2181.2080536912754"/>
    <s v="00841"/>
    <d v="2026-02-16T00:00:00"/>
    <n v="2026400664"/>
    <s v="Feb"/>
    <n v="2026"/>
  </r>
  <r>
    <n v="254"/>
    <x v="5"/>
    <x v="5"/>
    <s v="Actual"/>
    <x v="10"/>
    <m/>
    <s v="ZUMZUM ALFAYHAA INSAAT"/>
    <s v="Materials"/>
    <n v="2100"/>
    <s v="13288"/>
    <d v="2026-02-15T00:00:00"/>
    <n v="2026400397"/>
    <s v="Feb"/>
    <n v="2026"/>
  </r>
  <r>
    <n v="255"/>
    <x v="5"/>
    <x v="23"/>
    <s v="Actual"/>
    <x v="10"/>
    <m/>
    <s v="Zamzam Land Construction Trading"/>
    <s v="Materials"/>
    <n v="2093.959731543624"/>
    <s v="INV/2026/01756"/>
    <d v="2026-02-23T00:00:00"/>
    <n v="2026400604"/>
    <s v="Feb"/>
    <n v="2026"/>
  </r>
  <r>
    <n v="256"/>
    <x v="2"/>
    <x v="2"/>
    <s v="Actual"/>
    <x v="10"/>
    <m/>
    <s v="ZUMZUM ALFAYHAA INSAAT"/>
    <s v="Materials"/>
    <n v="2018.5"/>
    <s v="13246"/>
    <d v="2026-02-05T00:00:00"/>
    <n v="2026400347"/>
    <s v="Feb"/>
    <n v="2026"/>
  </r>
  <r>
    <n v="257"/>
    <x v="5"/>
    <x v="6"/>
    <s v="Actual"/>
    <x v="10"/>
    <m/>
    <s v="Al Etimad Stores"/>
    <s v="Materials"/>
    <n v="1997.3154362416108"/>
    <s v="00031"/>
    <d v="2026-02-21T00:00:00"/>
    <n v="2026400746"/>
    <s v="Feb"/>
    <n v="2026"/>
  </r>
  <r>
    <n v="258"/>
    <x v="2"/>
    <x v="33"/>
    <s v="Actual"/>
    <x v="10"/>
    <m/>
    <s v="Petty Cash"/>
    <s v="Petty Cash for WOD"/>
    <n v="1991.275167785235"/>
    <s v="##"/>
    <s v="15/2/2026"/>
    <s v="N/A"/>
    <s v="Feb"/>
    <n v="2026"/>
  </r>
  <r>
    <n v="259"/>
    <x v="4"/>
    <x v="4"/>
    <s v="Actual"/>
    <x v="10"/>
    <m/>
    <s v="Abdullah Gallery"/>
    <s v="Materials/Safety"/>
    <n v="1986.5771812080536"/>
    <s v="00834"/>
    <d v="2026-02-08T00:00:00"/>
    <n v="2026400520"/>
    <s v="Feb"/>
    <n v="2026"/>
  </r>
  <r>
    <n v="260"/>
    <x v="2"/>
    <x v="17"/>
    <s v="Actual"/>
    <x v="10"/>
    <m/>
    <s v="Khan Alhadded Company"/>
    <s v="Materials/Iron"/>
    <n v="1980"/>
    <s v="1023"/>
    <d v="2026-02-11T00:00:00"/>
    <n v="2026400534"/>
    <s v="Feb"/>
    <n v="2026"/>
  </r>
  <r>
    <n v="261"/>
    <x v="2"/>
    <x v="2"/>
    <s v="Actual"/>
    <x v="10"/>
    <m/>
    <s v="ZUMZUM ALFAYHAA INSAAT"/>
    <s v="Materials"/>
    <n v="1972.7"/>
    <s v="13244"/>
    <d v="2026-02-07T00:00:00"/>
    <n v="2026400346"/>
    <s v="Feb"/>
    <n v="2026"/>
  </r>
  <r>
    <n v="262"/>
    <x v="4"/>
    <x v="4"/>
    <s v="Actual"/>
    <x v="10"/>
    <m/>
    <s v="ZUMZUM ALFAYHAA INSAAT"/>
    <s v="Materials"/>
    <n v="1904"/>
    <s v="13236"/>
    <d v="2026-02-05T00:00:00"/>
    <n v="2026400341"/>
    <s v="Feb"/>
    <n v="2026"/>
  </r>
  <r>
    <n v="263"/>
    <x v="2"/>
    <x v="2"/>
    <s v="Actual"/>
    <x v="10"/>
    <m/>
    <s v="AL MUSTAFA INDUSTRIAL IRON TRADING"/>
    <s v="Materials/Iron"/>
    <n v="1901.8"/>
    <s v="512"/>
    <d v="2026-02-14T00:00:00"/>
    <n v="2026400530"/>
    <s v="Feb"/>
    <n v="2026"/>
  </r>
  <r>
    <n v="264"/>
    <x v="5"/>
    <x v="23"/>
    <s v="Actual"/>
    <x v="10"/>
    <m/>
    <s v="ZUMZUM ALFAYHAA INSAAT"/>
    <s v="Materials"/>
    <n v="1867"/>
    <s v="13542"/>
    <d v="2026-02-28T00:00:00"/>
    <n v="2026400660"/>
    <s v="Feb"/>
    <n v="2026"/>
  </r>
  <r>
    <n v="265"/>
    <x v="4"/>
    <x v="4"/>
    <s v="Actual"/>
    <x v="10"/>
    <m/>
    <s v="ZUMZUM ALFAYHAA INSAAT"/>
    <s v="Materials"/>
    <n v="1854.5"/>
    <s v="13508"/>
    <d v="2026-03-01T00:00:00"/>
    <n v="2026400615"/>
    <s v="Feb"/>
    <n v="2026"/>
  </r>
  <r>
    <n v="266"/>
    <x v="2"/>
    <x v="20"/>
    <s v="Actual"/>
    <x v="10"/>
    <m/>
    <s v="Rawat Emaar AL-Iraq Co. (JOTUN)"/>
    <s v="Materials/Paint"/>
    <n v="1845.6375838926174"/>
    <s v="4783"/>
    <d v="2026-02-24T00:00:00"/>
    <n v="2026400663"/>
    <s v="Feb"/>
    <n v="2026"/>
  </r>
  <r>
    <n v="267"/>
    <x v="5"/>
    <x v="5"/>
    <s v="Actual"/>
    <x v="10"/>
    <m/>
    <s v="Petty Cash"/>
    <s v="Petty Cash for UQ"/>
    <n v="1829.5302013422818"/>
    <s v="##"/>
    <s v="23/2/2026"/>
    <s v="N/A"/>
    <s v="Feb"/>
    <n v="2026"/>
  </r>
  <r>
    <n v="268"/>
    <x v="4"/>
    <x v="4"/>
    <s v="Actual"/>
    <x v="10"/>
    <m/>
    <s v="ZUMZUM ALFAYHAA INSAAT"/>
    <s v="Materials"/>
    <n v="1800"/>
    <s v="13362"/>
    <d v="2026-02-15T00:00:00"/>
    <n v="2026400451"/>
    <s v="Feb"/>
    <n v="2026"/>
  </r>
  <r>
    <n v="269"/>
    <x v="2"/>
    <x v="20"/>
    <s v="Actual"/>
    <x v="10"/>
    <m/>
    <s v="Abdullah Gallery"/>
    <s v="Materials/Safety"/>
    <n v="1786.9127516778524"/>
    <s v="00844"/>
    <d v="2026-02-15T00:00:00"/>
    <n v="2026400720"/>
    <s v="Feb"/>
    <n v="2026"/>
  </r>
  <r>
    <n v="270"/>
    <x v="4"/>
    <x v="4"/>
    <s v="Actual"/>
    <x v="10"/>
    <m/>
    <s v="ZUMZUM ALFAYHAA INSAAT"/>
    <s v="Materials"/>
    <n v="1781"/>
    <s v="134444"/>
    <d v="2026-02-25T00:00:00"/>
    <n v="2026400580"/>
    <s v="Feb"/>
    <n v="2026"/>
  </r>
  <r>
    <n v="271"/>
    <x v="5"/>
    <x v="6"/>
    <s v="Actual"/>
    <x v="10"/>
    <m/>
    <s v="Rwad Alenjaz Co."/>
    <s v="Materials"/>
    <n v="1771.8120805369128"/>
    <s v="17/2"/>
    <d v="2026-02-17T00:00:00"/>
    <n v="2026400656"/>
    <s v="Feb"/>
    <n v="2026"/>
  </r>
  <r>
    <n v="272"/>
    <x v="4"/>
    <x v="4"/>
    <s v="Actual"/>
    <x v="10"/>
    <m/>
    <s v="Petty Cash"/>
    <s v="Petty Cash for Total"/>
    <n v="1766.7785234899329"/>
    <s v="##"/>
    <s v="21/2/2026"/>
    <s v="N/A"/>
    <s v="Feb"/>
    <n v="2026"/>
  </r>
  <r>
    <n v="273"/>
    <x v="5"/>
    <x v="5"/>
    <s v="Actual"/>
    <x v="10"/>
    <m/>
    <s v="Petty Cash"/>
    <s v="Petty Cash for UQ"/>
    <n v="1725.5033557046979"/>
    <s v="##"/>
    <d v="2026-11-02T00:00:00"/>
    <s v="N/A"/>
    <s v="Feb"/>
    <n v="2026"/>
  </r>
  <r>
    <n v="274"/>
    <x v="2"/>
    <x v="2"/>
    <s v="Actual"/>
    <x v="10"/>
    <m/>
    <s v="ZUMZUM ALFAYHAA INSAAT"/>
    <s v="Materials"/>
    <n v="1707.6"/>
    <s v="13364"/>
    <d v="2026-02-15T00:00:00"/>
    <n v="2026400458"/>
    <s v="Feb"/>
    <n v="2026"/>
  </r>
  <r>
    <n v="275"/>
    <x v="5"/>
    <x v="23"/>
    <s v="Actual"/>
    <x v="10"/>
    <m/>
    <s v="ZUMZUM ALFAYHAA INSAAT"/>
    <s v="Materials"/>
    <n v="1680.9"/>
    <s v="13496"/>
    <d v="2026-03-01T00:00:00"/>
    <n v="2026400637"/>
    <s v="Feb"/>
    <n v="2026"/>
  </r>
  <r>
    <n v="276"/>
    <x v="8"/>
    <x v="14"/>
    <s v="Actual"/>
    <x v="10"/>
    <m/>
    <s v="Al-Sard Company (Dewalt)"/>
    <s v="Materials"/>
    <n v="1667.7852348993288"/>
    <s v="001577"/>
    <d v="2026-02-08T00:00:00"/>
    <n v="2026400376"/>
    <s v="Feb"/>
    <n v="2026"/>
  </r>
  <r>
    <n v="277"/>
    <x v="5"/>
    <x v="13"/>
    <s v="Actual"/>
    <x v="10"/>
    <m/>
    <s v="ZUMZUM ALFAYHAA INSAAT"/>
    <s v="Materials"/>
    <n v="1620"/>
    <s v="13406"/>
    <d v="2026-02-22T00:00:00"/>
    <n v="2026400558"/>
    <s v="Feb"/>
    <n v="2026"/>
  </r>
  <r>
    <n v="278"/>
    <x v="4"/>
    <x v="4"/>
    <s v="Actual"/>
    <x v="10"/>
    <m/>
    <s v="Fasco LLC FZ"/>
    <s v="Materials"/>
    <n v="1614.2888283378745"/>
    <s v="N/A"/>
    <s v="N/A"/>
    <s v="N/A"/>
    <s v="Feb"/>
    <n v="2026"/>
  </r>
  <r>
    <n v="279"/>
    <x v="4"/>
    <x v="4"/>
    <s v="Actual"/>
    <x v="10"/>
    <m/>
    <s v="ZUMZUM ALFAYHAA INSAAT"/>
    <s v="Materials"/>
    <n v="1602.2"/>
    <s v="13488"/>
    <d v="2026-02-28T00:00:00"/>
    <n v="2026400626"/>
    <s v="Feb"/>
    <n v="2026"/>
  </r>
  <r>
    <n v="280"/>
    <x v="8"/>
    <x v="14"/>
    <s v="Actual"/>
    <x v="10"/>
    <m/>
    <s v="ZUMZUM ALFAYHAA INSAAT"/>
    <s v="Materials"/>
    <n v="1601"/>
    <s v="13242"/>
    <d v="2026-02-07T00:00:00"/>
    <n v="2026400344"/>
    <s v="Feb"/>
    <n v="2026"/>
  </r>
  <r>
    <n v="281"/>
    <x v="2"/>
    <x v="12"/>
    <s v="Actual"/>
    <x v="10"/>
    <m/>
    <s v="BLUE LINE"/>
    <s v="Materials"/>
    <n v="1600.2"/>
    <s v="6804"/>
    <d v="2026-02-20T00:00:00"/>
    <n v="2026400804"/>
    <s v="Feb"/>
    <n v="2026"/>
  </r>
  <r>
    <n v="282"/>
    <x v="2"/>
    <x v="17"/>
    <s v="Actual"/>
    <x v="10"/>
    <m/>
    <s v="ZUMZUM ALFAYHAA INSAAT"/>
    <s v="Materials"/>
    <n v="1571.4"/>
    <s v="13434"/>
    <d v="2026-02-23T00:00:00"/>
    <n v="2026400569"/>
    <s v="Feb"/>
    <n v="2026"/>
  </r>
  <r>
    <n v="283"/>
    <x v="5"/>
    <x v="6"/>
    <s v="Actual"/>
    <x v="10"/>
    <m/>
    <s v="AL MUSTAFA INDUSTRIAL IRON TRADING"/>
    <s v="Materials/Iron"/>
    <n v="1565.6"/>
    <s v="514"/>
    <d v="2026-02-17T00:00:00"/>
    <n v="2026400531"/>
    <s v="Feb"/>
    <n v="2026"/>
  </r>
  <r>
    <n v="284"/>
    <x v="2"/>
    <x v="18"/>
    <s v="Actual"/>
    <x v="10"/>
    <m/>
    <s v="Petty Cash"/>
    <s v="Concrete C40 x 16M3"/>
    <n v="1557.0469798657718"/>
    <s v="##"/>
    <d v="2026-03-02T00:00:00"/>
    <s v="N/A"/>
    <s v="Feb"/>
    <n v="2026"/>
  </r>
  <r>
    <n v="285"/>
    <x v="5"/>
    <x v="5"/>
    <s v="Actual"/>
    <x v="10"/>
    <m/>
    <s v="ZUMZUM ALFAYHAA INSAAT"/>
    <s v="Materials"/>
    <n v="1500"/>
    <s v="13218"/>
    <d v="2026-02-01T00:00:00"/>
    <n v="2026400282"/>
    <s v="Feb"/>
    <n v="2026"/>
  </r>
  <r>
    <n v="286"/>
    <x v="2"/>
    <x v="2"/>
    <s v="Actual"/>
    <x v="10"/>
    <m/>
    <s v="ZUMZUM ALFAYHAA INSAAT"/>
    <s v="Materials"/>
    <n v="1483"/>
    <s v="13378"/>
    <d v="2026-02-22T00:00:00"/>
    <n v="2026400485"/>
    <s v="Feb"/>
    <n v="2026"/>
  </r>
  <r>
    <n v="287"/>
    <x v="4"/>
    <x v="4"/>
    <s v="Actual"/>
    <x v="10"/>
    <m/>
    <s v="ZUMZUM ALFAYHAA INSAAT"/>
    <s v="Materials"/>
    <n v="1440"/>
    <s v="13484"/>
    <d v="2026-02-28T00:00:00"/>
    <n v="2026400648"/>
    <s v="Feb"/>
    <n v="2026"/>
  </r>
  <r>
    <n v="288"/>
    <x v="4"/>
    <x v="4"/>
    <s v="Actual"/>
    <x v="10"/>
    <m/>
    <s v="Petty Cash"/>
    <s v="Petty Cash for Total"/>
    <n v="1426.8456375838925"/>
    <s v="##"/>
    <s v="26/2/2026"/>
    <s v="N/A"/>
    <s v="Feb"/>
    <n v="2026"/>
  </r>
  <r>
    <n v="289"/>
    <x v="5"/>
    <x v="6"/>
    <s v="Actual"/>
    <x v="10"/>
    <m/>
    <s v="Al Ghasak Office"/>
    <s v="Materials/Water"/>
    <n v="1426.1744966442952"/>
    <s v="GH-2026-088743"/>
    <d v="2026-02-15T00:00:00"/>
    <n v="2026400562"/>
    <s v="Feb"/>
    <n v="2026"/>
  </r>
  <r>
    <n v="290"/>
    <x v="8"/>
    <x v="14"/>
    <s v="Actual"/>
    <x v="10"/>
    <m/>
    <s v="EPT LLC (SIKA)"/>
    <s v="Materials"/>
    <n v="1409.3959731543623"/>
    <s v="178"/>
    <d v="2026-01-31T00:00:00"/>
    <n v="2026400407"/>
    <s v="Feb"/>
    <n v="2026"/>
  </r>
  <r>
    <n v="291"/>
    <x v="2"/>
    <x v="2"/>
    <s v="Actual"/>
    <x v="10"/>
    <m/>
    <s v="ZUMZUM ALFAYHAA INSAAT"/>
    <s v="Materials"/>
    <n v="1396.1"/>
    <s v="13374"/>
    <d v="2026-02-16T00:00:00"/>
    <n v="2026400430"/>
    <s v="Feb"/>
    <n v="2026"/>
  </r>
  <r>
    <n v="292"/>
    <x v="2"/>
    <x v="2"/>
    <s v="Actual"/>
    <x v="10"/>
    <m/>
    <s v="RAYAT AL-SHARQ COMPANY For Inspection Services"/>
    <s v="Materials"/>
    <n v="1396"/>
    <s v="2935"/>
    <d v="2026-02-23T00:00:00"/>
    <n v="2026400542"/>
    <s v="Feb"/>
    <n v="2026"/>
  </r>
  <r>
    <n v="293"/>
    <x v="2"/>
    <x v="2"/>
    <s v="Actual"/>
    <x v="10"/>
    <m/>
    <s v="Al-qanaat Altijaria shops"/>
    <s v="Materials/Water"/>
    <n v="1385.234899328859"/>
    <s v="0000283"/>
    <d v="2026-02-25T00:00:00"/>
    <n v="2026400946"/>
    <s v="Feb"/>
    <n v="2026"/>
  </r>
  <r>
    <n v="294"/>
    <x v="8"/>
    <x v="14"/>
    <s v="Actual"/>
    <x v="10"/>
    <m/>
    <s v="AL FATEEM CO"/>
    <s v="Materials"/>
    <n v="1375.8389261744967"/>
    <s v="#"/>
    <d v="2026-02-07T00:00:00"/>
    <n v="2026400243"/>
    <s v="Feb"/>
    <n v="2026"/>
  </r>
  <r>
    <n v="295"/>
    <x v="5"/>
    <x v="5"/>
    <s v="Actual"/>
    <x v="10"/>
    <m/>
    <s v="Khan Alhadded Company"/>
    <s v="Materials/Iron"/>
    <n v="1375"/>
    <s v="1040"/>
    <d v="2026-02-21T00:00:00"/>
    <n v="2026400695"/>
    <s v="Feb"/>
    <n v="2026"/>
  </r>
  <r>
    <n v="296"/>
    <x v="4"/>
    <x v="4"/>
    <s v="Actual"/>
    <x v="10"/>
    <m/>
    <s v="ZUMZUM ALFAYHAA INSAAT"/>
    <s v="Materials"/>
    <n v="1358"/>
    <s v="13248"/>
    <d v="2026-02-15T00:00:00"/>
    <n v="2026400336"/>
    <s v="Feb"/>
    <n v="2026"/>
  </r>
  <r>
    <n v="297"/>
    <x v="2"/>
    <x v="2"/>
    <s v="Actual"/>
    <x v="10"/>
    <m/>
    <s v="Al-qanaat Altijaria shops"/>
    <s v="Materials/Wood"/>
    <n v="1348.9932885906039"/>
    <s v="0000282"/>
    <d v="2026-02-25T00:00:00"/>
    <n v="2026400945"/>
    <s v="Feb"/>
    <n v="2026"/>
  </r>
  <r>
    <n v="298"/>
    <x v="4"/>
    <x v="4"/>
    <s v="Actual"/>
    <x v="10"/>
    <m/>
    <s v="Petty Cash"/>
    <s v="Petty Cash for Total"/>
    <n v="1318.7919463087248"/>
    <s v="##"/>
    <d v="2026-12-02T00:00:00"/>
    <s v="N/A"/>
    <s v="Feb"/>
    <n v="2026"/>
  </r>
  <r>
    <n v="299"/>
    <x v="2"/>
    <x v="17"/>
    <s v="Actual"/>
    <x v="10"/>
    <m/>
    <s v="Petty Cash"/>
    <s v="Petty Cash for ROO-FL"/>
    <n v="1313.7583892617449"/>
    <s v="##"/>
    <s v="25/1/2026"/>
    <s v="N/A"/>
    <s v="Feb"/>
    <n v="2026"/>
  </r>
  <r>
    <n v="300"/>
    <x v="2"/>
    <x v="2"/>
    <s v="Actual"/>
    <x v="10"/>
    <m/>
    <s v="ZUMZUM ALFAYHAA INSAAT"/>
    <s v="Materials"/>
    <n v="1296.8"/>
    <s v="13394"/>
    <d v="2026-02-15T00:00:00"/>
    <n v="2026400492"/>
    <s v="Feb"/>
    <n v="2026"/>
  </r>
  <r>
    <n v="301"/>
    <x v="7"/>
    <x v="22"/>
    <s v="Actual"/>
    <x v="10"/>
    <m/>
    <s v="ZUMZUM ALFAYHAA INSAAT"/>
    <s v="Materials"/>
    <n v="1290"/>
    <s v="13530"/>
    <d v="2026-02-28T00:00:00"/>
    <n v="2026400628"/>
    <s v="Feb"/>
    <n v="2026"/>
  </r>
  <r>
    <n v="302"/>
    <x v="4"/>
    <x v="4"/>
    <s v="Actual"/>
    <x v="10"/>
    <m/>
    <s v="Petty Cash"/>
    <s v="Petty Cash for Total- FL"/>
    <n v="1276.510067114094"/>
    <s v="##"/>
    <s v="20/12/2026"/>
    <s v="N/A"/>
    <s v="Feb"/>
    <n v="2026"/>
  </r>
  <r>
    <n v="303"/>
    <x v="2"/>
    <x v="2"/>
    <s v="Actual"/>
    <x v="10"/>
    <m/>
    <s v="YAQOUT PAINTS"/>
    <s v="Materials"/>
    <n v="1275.1677852348994"/>
    <s v="2349"/>
    <d v="2026-01-28T00:00:00"/>
    <n v="2026400300"/>
    <s v="Feb"/>
    <n v="2026"/>
  </r>
  <r>
    <n v="304"/>
    <x v="2"/>
    <x v="2"/>
    <s v="Actual"/>
    <x v="10"/>
    <m/>
    <s v="BLUE LINE"/>
    <s v="Materials"/>
    <n v="1269.23"/>
    <s v="6796"/>
    <d v="2026-02-20T00:00:00"/>
    <n v="2026400802"/>
    <s v="Feb"/>
    <n v="2026"/>
  </r>
  <r>
    <n v="305"/>
    <x v="5"/>
    <x v="6"/>
    <s v="Actual"/>
    <x v="10"/>
    <m/>
    <s v="ZUMZUM ALFAYHAA INSAAT"/>
    <s v="Materials"/>
    <n v="1262.2"/>
    <s v="13532"/>
    <d v="2026-02-28T00:00:00"/>
    <n v="2026400629"/>
    <s v="Feb"/>
    <n v="2026"/>
  </r>
  <r>
    <n v="306"/>
    <x v="4"/>
    <x v="4"/>
    <s v="Actual"/>
    <x v="10"/>
    <m/>
    <s v="Petty Cash"/>
    <s v="Petty Cash for Total"/>
    <n v="1259.7315436241611"/>
    <s v="##"/>
    <d v="2026-03-02T00:00:00"/>
    <s v="N/A"/>
    <s v="Feb"/>
    <n v="2026"/>
  </r>
  <r>
    <n v="307"/>
    <x v="0"/>
    <x v="0"/>
    <s v="Actual"/>
    <x v="10"/>
    <m/>
    <s v="IBRAHIM ALUMINIUM"/>
    <s v="Materials"/>
    <n v="1258.3892617449665"/>
    <s v="001"/>
    <d v="2026-02-17T00:00:00"/>
    <n v="2026400714"/>
    <s v="Feb"/>
    <n v="2026"/>
  </r>
  <r>
    <n v="308"/>
    <x v="4"/>
    <x v="4"/>
    <s v="Actual"/>
    <x v="10"/>
    <m/>
    <s v="ZUMZUM ALFAYHAA INSAAT"/>
    <s v="Materials"/>
    <n v="1250"/>
    <s v="13432"/>
    <d v="2026-02-23T00:00:00"/>
    <n v="2026400570"/>
    <s v="Feb"/>
    <n v="2026"/>
  </r>
  <r>
    <n v="309"/>
    <x v="2"/>
    <x v="2"/>
    <s v="Actual"/>
    <x v="10"/>
    <m/>
    <s v="BLUE LINE"/>
    <s v="Materials"/>
    <n v="1210"/>
    <s v="6800"/>
    <d v="2026-02-20T00:00:00"/>
    <n v="2026400742"/>
    <s v="Feb"/>
    <n v="2026"/>
  </r>
  <r>
    <n v="310"/>
    <x v="5"/>
    <x v="6"/>
    <s v="Actual"/>
    <x v="10"/>
    <m/>
    <s v="AL MUSTAFA INDUSTRIAL IRON TRADING"/>
    <s v="Materials/Iron"/>
    <n v="1200"/>
    <s v="516"/>
    <d v="2026-02-17T00:00:00"/>
    <n v="2026400533"/>
    <s v="Feb"/>
    <n v="2026"/>
  </r>
  <r>
    <n v="311"/>
    <x v="7"/>
    <x v="31"/>
    <s v="Actual"/>
    <x v="10"/>
    <m/>
    <s v="Sahba Technnnology"/>
    <s v="Materials"/>
    <n v="1197.9865771812081"/>
    <s v="8949"/>
    <d v="2026-02-22T00:00:00"/>
    <n v="2026400624"/>
    <s v="Feb"/>
    <n v="2026"/>
  </r>
  <r>
    <n v="312"/>
    <x v="9"/>
    <x v="16"/>
    <s v="Actual"/>
    <x v="10"/>
    <m/>
    <s v="Al SALAM BUREAU FOR COMPUTERS"/>
    <s v="Materials"/>
    <n v="1179.1946308724832"/>
    <s v="111104"/>
    <d v="2026-02-16T00:00:00"/>
    <n v="2026400789"/>
    <s v="Feb"/>
    <n v="2026"/>
  </r>
  <r>
    <n v="313"/>
    <x v="4"/>
    <x v="4"/>
    <s v="Actual"/>
    <x v="10"/>
    <m/>
    <s v="ZUMZUM ALFAYHAA INSAAT"/>
    <s v="Materials"/>
    <n v="1166"/>
    <s v="13370"/>
    <d v="2026-02-15T00:00:00"/>
    <n v="2026400452"/>
    <s v="Feb"/>
    <n v="2026"/>
  </r>
  <r>
    <n v="314"/>
    <x v="4"/>
    <x v="4"/>
    <s v="Actual"/>
    <x v="10"/>
    <m/>
    <s v="Petty Cash"/>
    <s v="Food &amp; Meal for FL"/>
    <n v="1124.1610738255033"/>
    <s v="##"/>
    <d v="2026-12-02T00:00:00"/>
    <s v="N/A"/>
    <s v="Feb"/>
    <n v="2026"/>
  </r>
  <r>
    <n v="315"/>
    <x v="4"/>
    <x v="4"/>
    <s v="Actual"/>
    <x v="10"/>
    <m/>
    <s v="Petty Cash"/>
    <s v="Food &amp; Meal for FL"/>
    <n v="1098.8255033557048"/>
    <s v="##"/>
    <s v="18/2/2026"/>
    <s v="N/A"/>
    <s v="Feb"/>
    <n v="2026"/>
  </r>
  <r>
    <n v="316"/>
    <x v="5"/>
    <x v="13"/>
    <s v="Actual"/>
    <x v="10"/>
    <m/>
    <s v="ZUMZUM ALFAYHAA INSAAT"/>
    <s v="Materials"/>
    <n v="1090"/>
    <s v="13480"/>
    <d v="2026-03-01T00:00:00"/>
    <n v="2026400646"/>
    <s v="Feb"/>
    <n v="2026"/>
  </r>
  <r>
    <n v="317"/>
    <x v="4"/>
    <x v="4"/>
    <s v="Actual"/>
    <x v="10"/>
    <m/>
    <s v="Zamzam Land Construction Trading"/>
    <s v="Materials"/>
    <n v="1087.2483221476509"/>
    <s v="524744"/>
    <d v="2026-02-23T00:00:00"/>
    <n v="2026400661"/>
    <s v="Feb"/>
    <n v="2026"/>
  </r>
  <r>
    <n v="318"/>
    <x v="8"/>
    <x v="14"/>
    <s v="Actual"/>
    <x v="10"/>
    <m/>
    <s v="Al-Ghader Gallary"/>
    <s v="Materials"/>
    <n v="1073.8255033557048"/>
    <s v="2901"/>
    <d v="2026-02-21T00:00:00"/>
    <n v="2026400727"/>
    <s v="Feb"/>
    <n v="2026"/>
  </r>
  <r>
    <n v="319"/>
    <x v="4"/>
    <x v="4"/>
    <s v="Actual"/>
    <x v="10"/>
    <m/>
    <s v="ZUMZUM ALFAYHAA INSAAT"/>
    <s v="Materials"/>
    <n v="1066.3"/>
    <s v="13224"/>
    <d v="2026-03-11T00:00:00"/>
    <n v="2026400290"/>
    <s v="Feb"/>
    <n v="2026"/>
  </r>
  <r>
    <n v="320"/>
    <x v="2"/>
    <x v="20"/>
    <s v="Actual"/>
    <x v="10"/>
    <m/>
    <s v="ZUMZUM ALFAYHAA INSAAT"/>
    <s v="Materials"/>
    <n v="1059"/>
    <s v="13354"/>
    <d v="2026-02-15T00:00:00"/>
    <n v="2026400457"/>
    <s v="Feb"/>
    <n v="2026"/>
  </r>
  <r>
    <n v="321"/>
    <x v="2"/>
    <x v="2"/>
    <s v="Actual"/>
    <x v="10"/>
    <m/>
    <s v="Petty Cash"/>
    <s v="Petty Cash for PWRI"/>
    <n v="1052.3489932885907"/>
    <s v="##"/>
    <s v="21/2/2026"/>
    <s v="N/A"/>
    <s v="Feb"/>
    <n v="2026"/>
  </r>
  <r>
    <n v="322"/>
    <x v="4"/>
    <x v="4"/>
    <s v="Actual"/>
    <x v="10"/>
    <m/>
    <s v="ZUMZUM ALFAYHAA INSAAT"/>
    <s v="Materials"/>
    <n v="1050"/>
    <s v="13238"/>
    <d v="2026-02-05T00:00:00"/>
    <n v="2026400340"/>
    <s v="Feb"/>
    <n v="2026"/>
  </r>
  <r>
    <n v="323"/>
    <x v="5"/>
    <x v="13"/>
    <s v="Actual"/>
    <x v="10"/>
    <m/>
    <s v="ZUMZUM ALFAYHAA INSAAT"/>
    <s v="Materials"/>
    <n v="1039"/>
    <s v="13344"/>
    <d v="2026-02-16T00:00:00"/>
    <n v="2026400460"/>
    <s v="Feb"/>
    <n v="2026"/>
  </r>
  <r>
    <n v="324"/>
    <x v="5"/>
    <x v="6"/>
    <s v="Actual"/>
    <x v="10"/>
    <m/>
    <s v="ZUMZUM ALFAYHAA INSAAT"/>
    <s v="Materials"/>
    <n v="1030"/>
    <s v="13454"/>
    <d v="2026-02-25T00:00:00"/>
    <n v="2026400588"/>
    <s v="Feb"/>
    <n v="2026"/>
  </r>
  <r>
    <n v="325"/>
    <x v="7"/>
    <x v="22"/>
    <s v="Actual"/>
    <x v="10"/>
    <m/>
    <s v="ZUMZUM ALFAYHAA INSAAT"/>
    <s v="Materials"/>
    <n v="1020"/>
    <s v="13346"/>
    <d v="2026-02-16T00:00:00"/>
    <n v="2026400462"/>
    <s v="Feb"/>
    <n v="2026"/>
  </r>
  <r>
    <n v="326"/>
    <x v="9"/>
    <x v="16"/>
    <s v="Actual"/>
    <x v="10"/>
    <m/>
    <s v="Petty Cash"/>
    <s v="Expens Claim for ( Nawar, Shaiban, Fadi Ahmed Alwan) - KRK"/>
    <n v="1006.7114093959732"/>
    <s v="##"/>
    <s v="14/2/2026"/>
    <s v="N/A"/>
    <s v="Feb"/>
    <n v="2026"/>
  </r>
  <r>
    <n v="327"/>
    <x v="2"/>
    <x v="2"/>
    <s v="Actual"/>
    <x v="10"/>
    <m/>
    <s v="Petty Cash"/>
    <s v="Petty Cash for PWRI"/>
    <n v="1006.7114093959732"/>
    <s v="##"/>
    <d v="2026-08-02T00:00:00"/>
    <s v="N/A"/>
    <s v="Feb"/>
    <n v="2026"/>
  </r>
  <r>
    <n v="328"/>
    <x v="2"/>
    <x v="2"/>
    <s v="Actual"/>
    <x v="10"/>
    <m/>
    <s v="Ali Hadi"/>
    <s v="Materials"/>
    <n v="1006.7114093959732"/>
    <s v="0616"/>
    <d v="2026-02-22T00:00:00"/>
    <n v="2026400662"/>
    <s v="Feb"/>
    <n v="2026"/>
  </r>
  <r>
    <n v="329"/>
    <x v="2"/>
    <x v="12"/>
    <s v="Actual"/>
    <x v="10"/>
    <m/>
    <s v="Al-Karar Gallery for Wood &amp; MDF"/>
    <s v="Materials/Wood"/>
    <n v="1006.7114093959732"/>
    <s v="0001706"/>
    <d v="2026-02-23T00:00:00"/>
    <n v="2026400683"/>
    <s v="Feb"/>
    <n v="2026"/>
  </r>
  <r>
    <n v="330"/>
    <x v="8"/>
    <x v="32"/>
    <s v="Actual"/>
    <x v="10"/>
    <m/>
    <s v="Sahba Technnnology"/>
    <s v="Materials"/>
    <n v="1006.7114093959732"/>
    <s v="8823"/>
    <d v="2026-02-09T00:00:00"/>
    <n v="2026400497"/>
    <s v="Feb"/>
    <n v="2026"/>
  </r>
  <r>
    <n v="331"/>
    <x v="4"/>
    <x v="4"/>
    <s v="Actual"/>
    <x v="10"/>
    <m/>
    <s v="ZUMZUM ALFAYHAA INSAAT"/>
    <s v="Materials"/>
    <n v="1000"/>
    <s v="13476"/>
    <d v="2026-02-28T00:00:00"/>
    <n v="2026400639"/>
    <s v="Feb"/>
    <n v="2026"/>
  </r>
  <r>
    <n v="332"/>
    <x v="2"/>
    <x v="2"/>
    <s v="Actual"/>
    <x v="10"/>
    <m/>
    <s v="Rawat Emaar AL-Iraq Co. (JOTUN)"/>
    <s v="Materials/Paint"/>
    <n v="994.63087248322142"/>
    <s v="4219"/>
    <d v="2026-02-17T00:00:00"/>
    <n v="2026400561"/>
    <s v="Feb"/>
    <n v="2026"/>
  </r>
  <r>
    <n v="333"/>
    <x v="4"/>
    <x v="4"/>
    <s v="Actual"/>
    <x v="10"/>
    <m/>
    <s v="Petty Cash"/>
    <s v="قطع اكرلك / قواعد توتال الذهبية عدد14 &amp; ستيكر تدريب عدد 3 رولة"/>
    <n v="993.28859060402681"/>
    <n v="2430"/>
    <s v="26/1/2025"/>
    <s v="N/A"/>
    <s v="Feb"/>
    <n v="2026"/>
  </r>
  <r>
    <n v="334"/>
    <x v="2"/>
    <x v="20"/>
    <s v="Actual"/>
    <x v="10"/>
    <m/>
    <s v="ZUMZUM ALFAYHAA INSAAT"/>
    <s v="Materials"/>
    <n v="989.4"/>
    <s v="13220"/>
    <d v="2026-02-01T00:00:00"/>
    <n v="2026400297"/>
    <s v="Feb"/>
    <n v="2026"/>
  </r>
  <r>
    <n v="335"/>
    <x v="8"/>
    <x v="32"/>
    <s v="Actual"/>
    <x v="10"/>
    <m/>
    <s v="AL FATEEM CO"/>
    <s v="Materials"/>
    <n v="973.15436241610735"/>
    <s v="#"/>
    <d v="2026-03-02T00:00:00"/>
    <n v="2026400566"/>
    <s v="Feb"/>
    <n v="2026"/>
  </r>
  <r>
    <n v="336"/>
    <x v="2"/>
    <x v="20"/>
    <s v="Actual"/>
    <x v="10"/>
    <m/>
    <s v="AL MUSTAFA INDUSTRIAL IRON TRADING"/>
    <s v="Materials/Iron"/>
    <n v="971.6"/>
    <s v="528"/>
    <d v="2026-02-26T00:00:00"/>
    <n v="2026400682"/>
    <s v="Feb"/>
    <n v="2026"/>
  </r>
  <r>
    <n v="337"/>
    <x v="8"/>
    <x v="32"/>
    <s v="Actual"/>
    <x v="10"/>
    <m/>
    <s v="ZUMZUM ALFAYHAA INSAAT"/>
    <s v="Materials"/>
    <n v="965"/>
    <s v="13450"/>
    <d v="2026-02-23T00:00:00"/>
    <n v="2026400577"/>
    <s v="Feb"/>
    <n v="2026"/>
  </r>
  <r>
    <n v="338"/>
    <x v="2"/>
    <x v="2"/>
    <s v="Actual"/>
    <x v="10"/>
    <m/>
    <s v="Khan Alhadded Company"/>
    <s v="Materials/Iron"/>
    <n v="950"/>
    <s v="1012"/>
    <d v="2026-02-01T00:00:00"/>
    <n v="2026400495"/>
    <s v="Feb"/>
    <n v="2026"/>
  </r>
  <r>
    <n v="339"/>
    <x v="0"/>
    <x v="0"/>
    <s v="Actual"/>
    <x v="10"/>
    <m/>
    <s v="ZUMZUM ALFAYHAA INSAAT"/>
    <s v="Materials"/>
    <n v="948"/>
    <s v="13286"/>
    <d v="2026-02-15T00:00:00"/>
    <n v="2026400396"/>
    <s v="Feb"/>
    <n v="2026"/>
  </r>
  <r>
    <n v="340"/>
    <x v="5"/>
    <x v="6"/>
    <s v="Actual"/>
    <x v="10"/>
    <m/>
    <s v="Al-Ghadeer Print"/>
    <s v="Materials"/>
    <n v="939.59731543624162"/>
    <s v="0226"/>
    <d v="2026-02-18T00:00:00"/>
    <n v="2026400670"/>
    <s v="Feb"/>
    <n v="2026"/>
  </r>
  <r>
    <n v="341"/>
    <x v="2"/>
    <x v="20"/>
    <s v="Actual"/>
    <x v="10"/>
    <m/>
    <s v="GULF PEARL GROUP"/>
    <s v="Materials/Paint"/>
    <n v="916"/>
    <s v="28432026"/>
    <d v="2026-01-27T00:00:00"/>
    <n v="2026400108"/>
    <s v="Feb"/>
    <n v="2026"/>
  </r>
  <r>
    <n v="342"/>
    <x v="4"/>
    <x v="4"/>
    <s v="Actual"/>
    <x v="10"/>
    <m/>
    <s v="ZUMZUM ALFAYHAA INSAAT"/>
    <s v="Materials"/>
    <n v="914.6"/>
    <s v="13536"/>
    <d v="2026-03-01T00:00:00"/>
    <n v="2026400631"/>
    <s v="Feb"/>
    <n v="2026"/>
  </r>
  <r>
    <n v="343"/>
    <x v="6"/>
    <x v="7"/>
    <s v="Actual"/>
    <x v="10"/>
    <m/>
    <s v="Abdullah Gallery"/>
    <s v="Materials/Safety"/>
    <n v="906.04026845637588"/>
    <s v="00832"/>
    <d v="2026-02-03T00:00:00"/>
    <n v="2026400503"/>
    <s v="Feb"/>
    <n v="2026"/>
  </r>
  <r>
    <n v="344"/>
    <x v="2"/>
    <x v="33"/>
    <s v="Actual"/>
    <x v="10"/>
    <m/>
    <s v="AL-Wajeeh Company"/>
    <s v="Materials"/>
    <n v="884"/>
    <s v="16141"/>
    <d v="2026-02-16T00:00:00"/>
    <n v="2026400539"/>
    <s v="Feb"/>
    <n v="2026"/>
  </r>
  <r>
    <n v="345"/>
    <x v="2"/>
    <x v="12"/>
    <s v="Actual"/>
    <x v="10"/>
    <m/>
    <s v="ZUMZUM ALFAYHAA INSAAT"/>
    <s v="Materials"/>
    <n v="872.8"/>
    <s v="13430"/>
    <d v="2026-02-23T00:00:00"/>
    <n v="2026400571"/>
    <s v="Feb"/>
    <n v="2026"/>
  </r>
  <r>
    <n v="346"/>
    <x v="2"/>
    <x v="12"/>
    <s v="Actual"/>
    <x v="10"/>
    <m/>
    <s v="Khan Alhadded Company"/>
    <s v="Materials/Iron"/>
    <n v="866"/>
    <s v="1031"/>
    <d v="2026-02-16T00:00:00"/>
    <n v="2026400616"/>
    <s v="Feb"/>
    <n v="2026"/>
  </r>
  <r>
    <n v="347"/>
    <x v="5"/>
    <x v="6"/>
    <s v="Actual"/>
    <x v="10"/>
    <m/>
    <s v="ZUMZUM ALFAYHAA INSAAT"/>
    <s v="Materials"/>
    <n v="860.4"/>
    <s v="13512"/>
    <d v="2026-02-28T00:00:00"/>
    <n v="2026400611"/>
    <s v="Feb"/>
    <n v="2026"/>
  </r>
  <r>
    <n v="348"/>
    <x v="8"/>
    <x v="14"/>
    <s v="Actual"/>
    <x v="10"/>
    <m/>
    <s v="ZUMZUM ALFAYHAA INSAAT"/>
    <s v="Materials"/>
    <n v="860"/>
    <s v="13318"/>
    <d v="2026-02-15T00:00:00"/>
    <n v="2026400445"/>
    <s v="Feb"/>
    <n v="2026"/>
  </r>
  <r>
    <n v="349"/>
    <x v="5"/>
    <x v="13"/>
    <s v="Actual"/>
    <x v="10"/>
    <m/>
    <s v="ZUMZUM ALFAYHAA INSAAT"/>
    <s v="Materials"/>
    <n v="855"/>
    <s v="13296"/>
    <d v="2026-02-16T00:00:00"/>
    <n v="2026400421"/>
    <s v="Feb"/>
    <n v="2026"/>
  </r>
  <r>
    <n v="350"/>
    <x v="2"/>
    <x v="20"/>
    <s v="Actual"/>
    <x v="10"/>
    <m/>
    <s v="EPT LLC (SIKA)"/>
    <s v="Materials"/>
    <n v="845.6375838926175"/>
    <s v="5603"/>
    <d v="2026-02-11T00:00:00"/>
    <n v="2026400559"/>
    <s v="Feb"/>
    <n v="2026"/>
  </r>
  <r>
    <n v="351"/>
    <x v="8"/>
    <x v="32"/>
    <s v="Actual"/>
    <x v="10"/>
    <m/>
    <s v="ZUMZUM ALFAYHAA INSAAT"/>
    <s v="Materials"/>
    <n v="838.5"/>
    <s v="13526"/>
    <d v="2026-02-28T00:00:00"/>
    <n v="2026400640"/>
    <s v="Feb"/>
    <n v="2026"/>
  </r>
  <r>
    <n v="352"/>
    <x v="8"/>
    <x v="32"/>
    <s v="Actual"/>
    <x v="10"/>
    <m/>
    <s v="BLUE LINE"/>
    <s v="Materials"/>
    <n v="830.7"/>
    <s v="6785"/>
    <d v="2026-02-20T00:00:00"/>
    <n v="2026400810"/>
    <s v="Feb"/>
    <n v="2026"/>
  </r>
  <r>
    <n v="353"/>
    <x v="4"/>
    <x v="4"/>
    <s v="Actual"/>
    <x v="10"/>
    <m/>
    <s v="ZUMZUM ALFAYHAA INSAAT"/>
    <s v="Materials"/>
    <n v="830"/>
    <s v="13518"/>
    <d v="2026-02-28T00:00:00"/>
    <n v="2026400621"/>
    <s v="Feb"/>
    <n v="2026"/>
  </r>
  <r>
    <n v="354"/>
    <x v="5"/>
    <x v="5"/>
    <s v="Actual"/>
    <x v="10"/>
    <m/>
    <s v="Sahba Technnnology"/>
    <s v="Materials"/>
    <n v="825.50335570469804"/>
    <s v="8990"/>
    <d v="2026-02-25T00:00:00"/>
    <n v="2026400711"/>
    <s v="Feb"/>
    <n v="2026"/>
  </r>
  <r>
    <n v="355"/>
    <x v="2"/>
    <x v="12"/>
    <s v="Actual"/>
    <x v="10"/>
    <m/>
    <s v="ZUMZUM ALFAYHAA INSAAT"/>
    <s v="Materials"/>
    <n v="817.6"/>
    <s v="13462"/>
    <d v="2026-02-28T00:00:00"/>
    <n v="2026400619"/>
    <s v="Feb"/>
    <n v="2026"/>
  </r>
  <r>
    <n v="356"/>
    <x v="5"/>
    <x v="6"/>
    <s v="Actual"/>
    <x v="10"/>
    <m/>
    <s v="ZUMZUM ALFAYHAA INSAAT"/>
    <s v="Materials"/>
    <n v="817"/>
    <s v="13396"/>
    <d v="2026-02-16T00:00:00"/>
    <n v="2026400494"/>
    <s v="Feb"/>
    <n v="2026"/>
  </r>
  <r>
    <n v="357"/>
    <x v="2"/>
    <x v="12"/>
    <s v="Actual"/>
    <x v="10"/>
    <m/>
    <s v="ZUMZUM ALFAYHAA INSAAT"/>
    <s v="Materials"/>
    <n v="810"/>
    <s v="13336"/>
    <d v="2026-02-15T00:00:00"/>
    <n v="2026400072"/>
    <s v="Feb"/>
    <n v="2026"/>
  </r>
  <r>
    <n v="358"/>
    <x v="8"/>
    <x v="32"/>
    <s v="Actual"/>
    <x v="10"/>
    <m/>
    <s v="Sahba Technnnology"/>
    <s v="Materials"/>
    <n v="771.81208053691273"/>
    <s v="8897"/>
    <d v="2026-02-15T00:00:00"/>
    <n v="2026400541"/>
    <s v="Feb"/>
    <n v="2026"/>
  </r>
  <r>
    <n v="359"/>
    <x v="5"/>
    <x v="6"/>
    <s v="Actual"/>
    <x v="10"/>
    <m/>
    <s v="ZUMZUM ALFAYHAA INSAAT"/>
    <s v="Materials"/>
    <n v="750"/>
    <s v="13216"/>
    <d v="2026-02-01T00:00:00"/>
    <n v="2026400312"/>
    <s v="Feb"/>
    <n v="2026"/>
  </r>
  <r>
    <n v="360"/>
    <x v="2"/>
    <x v="12"/>
    <s v="Actual"/>
    <x v="10"/>
    <m/>
    <s v="ZUMZUM ALFAYHAA INSAAT"/>
    <s v="Materials"/>
    <n v="748.5"/>
    <s v="13408"/>
    <d v="2026-02-22T00:00:00"/>
    <n v="2026400560"/>
    <s v="Feb"/>
    <n v="2026"/>
  </r>
  <r>
    <n v="361"/>
    <x v="4"/>
    <x v="4"/>
    <s v="Actual"/>
    <x v="10"/>
    <m/>
    <s v="ZUMZUM ALFAYHAA INSAAT"/>
    <s v="Materials"/>
    <n v="737.5"/>
    <s v="13278"/>
    <d v="2026-02-15T00:00:00"/>
    <n v="2026400401"/>
    <s v="Feb"/>
    <n v="2026"/>
  </r>
  <r>
    <n v="362"/>
    <x v="8"/>
    <x v="32"/>
    <s v="Actual"/>
    <x v="10"/>
    <m/>
    <s v="ZUMZUM ALFAYHAA INSAAT"/>
    <s v="Materials"/>
    <n v="730"/>
    <s v="13388"/>
    <d v="2026-02-16T00:00:00"/>
    <n v="2026400505"/>
    <s v="Feb"/>
    <n v="2026"/>
  </r>
  <r>
    <n v="363"/>
    <x v="2"/>
    <x v="25"/>
    <s v="Actual"/>
    <x v="10"/>
    <m/>
    <s v="ZUMZUM ALFAYHAA INSAAT"/>
    <s v="Materials"/>
    <n v="727.7"/>
    <s v="13460"/>
    <d v="2026-03-01T00:00:00"/>
    <n v="2026400623"/>
    <s v="Feb"/>
    <n v="2026"/>
  </r>
  <r>
    <n v="364"/>
    <x v="5"/>
    <x v="23"/>
    <s v="Actual"/>
    <x v="10"/>
    <m/>
    <s v="Al-Karar Gallery for Wood &amp; MDF"/>
    <s v="Materials/Wood"/>
    <n v="724.83221476510062"/>
    <s v="1704"/>
    <d v="2026-02-04T00:00:00"/>
    <n v="2026400477"/>
    <s v="Feb"/>
    <n v="2026"/>
  </r>
  <r>
    <n v="365"/>
    <x v="2"/>
    <x v="20"/>
    <s v="Actual"/>
    <x v="10"/>
    <m/>
    <s v="ZUMZUM ALFAYHAA INSAAT"/>
    <s v="Materials"/>
    <n v="720"/>
    <s v="13304"/>
    <d v="2026-02-15T00:00:00"/>
    <n v="2026400429"/>
    <s v="Feb"/>
    <n v="2026"/>
  </r>
  <r>
    <n v="366"/>
    <x v="2"/>
    <x v="2"/>
    <s v="Actual"/>
    <x v="10"/>
    <m/>
    <s v="ZUMZUM ALFAYHAA INSAAT"/>
    <s v="Materials"/>
    <n v="708"/>
    <s v="13436"/>
    <d v="2026-02-23T00:00:00"/>
    <n v="2026400568"/>
    <s v="Feb"/>
    <n v="2026"/>
  </r>
  <r>
    <n v="367"/>
    <x v="2"/>
    <x v="2"/>
    <s v="Actual"/>
    <x v="10"/>
    <m/>
    <s v="ZUMZUM ALFAYHAA INSAAT"/>
    <s v="Materials"/>
    <n v="707.5"/>
    <s v="13528"/>
    <d v="2026-02-28T00:00:00"/>
    <n v="2026400641"/>
    <s v="Feb"/>
    <n v="2026"/>
  </r>
  <r>
    <n v="368"/>
    <x v="5"/>
    <x v="6"/>
    <s v="Actual"/>
    <x v="10"/>
    <m/>
    <s v="AL MUSTAFA INDUSTRIAL IRON TRADING"/>
    <s v="Materials/Iron"/>
    <n v="696"/>
    <s v="502"/>
    <d v="2026-02-14T00:00:00"/>
    <n v="2026400478"/>
    <s v="Feb"/>
    <n v="2026"/>
  </r>
  <r>
    <n v="369"/>
    <x v="7"/>
    <x v="19"/>
    <s v="Actual"/>
    <x v="10"/>
    <m/>
    <s v="BLUE LINE"/>
    <s v="Materials"/>
    <n v="686.76"/>
    <s v="6795"/>
    <d v="2026-02-20T00:00:00"/>
    <n v="2026400803"/>
    <s v="Feb"/>
    <n v="2026"/>
  </r>
  <r>
    <n v="370"/>
    <x v="2"/>
    <x v="11"/>
    <s v="Actual"/>
    <x v="10"/>
    <m/>
    <s v="Petty Cash"/>
    <s v="Petty Cash for CPSs"/>
    <n v="671.14093959731542"/>
    <s v="##"/>
    <d v="2026-03-02T00:00:00"/>
    <s v="N/A"/>
    <s v="Feb"/>
    <n v="2026"/>
  </r>
  <r>
    <n v="371"/>
    <x v="2"/>
    <x v="2"/>
    <s v="Actual"/>
    <x v="10"/>
    <m/>
    <s v="Petty Cash"/>
    <s v="Petty Cash for PWRI2"/>
    <n v="671.14093959731542"/>
    <s v="##"/>
    <d v="2026-05-02T00:00:00"/>
    <s v="N/A"/>
    <s v="Feb"/>
    <n v="2026"/>
  </r>
  <r>
    <n v="372"/>
    <x v="4"/>
    <x v="4"/>
    <s v="Actual"/>
    <x v="10"/>
    <m/>
    <s v="Zamzam Land Construction Trading"/>
    <s v="Materials"/>
    <n v="671.14093959731542"/>
    <s v="INV/2026/01884"/>
    <d v="2026-02-25T00:00:00"/>
    <n v="2026400712"/>
    <s v="Feb"/>
    <n v="2026"/>
  </r>
  <r>
    <n v="373"/>
    <x v="2"/>
    <x v="2"/>
    <s v="Actual"/>
    <x v="10"/>
    <m/>
    <s v="ZUMZUM ALFAYHAA INSAAT"/>
    <s v="Materials"/>
    <n v="664.2"/>
    <s v="13402"/>
    <d v="2026-02-22T00:00:00"/>
    <n v="2026400382"/>
    <s v="Feb"/>
    <n v="2026"/>
  </r>
  <r>
    <n v="374"/>
    <x v="8"/>
    <x v="14"/>
    <s v="Actual"/>
    <x v="10"/>
    <m/>
    <s v="GULF PEARL GROUP"/>
    <s v="Materials/Paint"/>
    <n v="660"/>
    <s v="28502026"/>
    <d v="2026-02-01T00:00:00"/>
    <n v="2026400298"/>
    <s v="Feb"/>
    <n v="2026"/>
  </r>
  <r>
    <n v="375"/>
    <x v="8"/>
    <x v="14"/>
    <s v="Actual"/>
    <x v="10"/>
    <m/>
    <s v="Petty Cash"/>
    <s v="Toner 635 x 2ea"/>
    <n v="657.71812080536915"/>
    <n v="329"/>
    <d v="2026-01-02T00:00:00"/>
    <s v="N/A"/>
    <s v="Feb"/>
    <n v="2026"/>
  </r>
  <r>
    <n v="376"/>
    <x v="5"/>
    <x v="5"/>
    <s v="Actual"/>
    <x v="10"/>
    <m/>
    <s v="ZUMZUM ALFAYHAA INSAAT"/>
    <s v="Materials"/>
    <n v="653"/>
    <s v="13510"/>
    <d v="2026-03-01T00:00:00"/>
    <n v="2026400612"/>
    <s v="Feb"/>
    <n v="2026"/>
  </r>
  <r>
    <n v="377"/>
    <x v="5"/>
    <x v="13"/>
    <s v="Actual"/>
    <x v="10"/>
    <m/>
    <s v="ZUMZUM ALFAYHAA INSAAT"/>
    <s v="Materials"/>
    <n v="650"/>
    <s v="13456"/>
    <d v="2026-02-25T00:00:00"/>
    <n v="2026400605"/>
    <s v="Feb"/>
    <n v="2026"/>
  </r>
  <r>
    <n v="378"/>
    <x v="2"/>
    <x v="12"/>
    <s v="Actual"/>
    <x v="10"/>
    <m/>
    <s v="BLUE LINE"/>
    <s v="Materials"/>
    <n v="646.20000000000005"/>
    <s v="6798"/>
    <d v="2026-02-20T00:00:00"/>
    <n v="2026400801"/>
    <s v="Feb"/>
    <n v="2026"/>
  </r>
  <r>
    <n v="379"/>
    <x v="2"/>
    <x v="2"/>
    <s v="Actual"/>
    <x v="10"/>
    <m/>
    <s v="AL MUSTAFA INDUSTRIAL IRON TRADING"/>
    <s v="Materials/Iron"/>
    <n v="642.6"/>
    <s v="498"/>
    <d v="2026-02-17T00:00:00"/>
    <n v="2026400392"/>
    <s v="Feb"/>
    <n v="2026"/>
  </r>
  <r>
    <n v="380"/>
    <x v="8"/>
    <x v="32"/>
    <s v="Actual"/>
    <x v="10"/>
    <m/>
    <s v="Al Miayar Inspection service and rtaining"/>
    <s v="Materials"/>
    <n v="637.58389261744969"/>
    <s v="2718"/>
    <d v="2026-02-14T00:00:00"/>
    <n v="2026400587"/>
    <s v="Feb"/>
    <n v="2026"/>
  </r>
  <r>
    <n v="381"/>
    <x v="4"/>
    <x v="4"/>
    <s v="Actual"/>
    <x v="10"/>
    <m/>
    <s v="Petty Cash"/>
    <s v="Food &amp; Meal for FL"/>
    <n v="636.91275167785238"/>
    <s v="##"/>
    <d v="2026-04-02T00:00:00"/>
    <s v="N/A"/>
    <s v="Feb"/>
    <n v="2026"/>
  </r>
  <r>
    <n v="382"/>
    <x v="5"/>
    <x v="6"/>
    <s v="Actual"/>
    <x v="10"/>
    <m/>
    <s v="Petty Cash"/>
    <s v="Petty Cash for KAZ"/>
    <n v="636.24161073825508"/>
    <s v="##"/>
    <d v="2026-03-02T00:00:00"/>
    <s v="N/A"/>
    <s v="Feb"/>
    <n v="2026"/>
  </r>
  <r>
    <n v="383"/>
    <x v="2"/>
    <x v="2"/>
    <s v="Actual"/>
    <x v="10"/>
    <m/>
    <s v="ZUMZUM ALFAYHAA INSAAT"/>
    <s v="Materials"/>
    <n v="609"/>
    <s v="13332"/>
    <d v="2026-02-16T00:00:00"/>
    <n v="2026400229"/>
    <s v="Feb"/>
    <n v="2026"/>
  </r>
  <r>
    <n v="384"/>
    <x v="5"/>
    <x v="6"/>
    <s v="Actual"/>
    <x v="10"/>
    <m/>
    <s v="Petty Cash"/>
    <s v="Abandonment Kits 55mm &amp; 35mm x 10ea"/>
    <n v="604.02684563758385"/>
    <n v="7020"/>
    <s v="25/1/2026"/>
    <s v="N/A"/>
    <s v="Feb"/>
    <n v="2026"/>
  </r>
  <r>
    <n v="385"/>
    <x v="5"/>
    <x v="6"/>
    <s v="Actual"/>
    <x v="10"/>
    <m/>
    <s v="Al-Karar Gallery for Wood &amp; MDF"/>
    <s v="Materials/Wood"/>
    <n v="604.02684563758385"/>
    <s v="0001703"/>
    <d v="2026-02-02T00:00:00"/>
    <n v="2026400414"/>
    <s v="Feb"/>
    <n v="2026"/>
  </r>
  <r>
    <n v="386"/>
    <x v="2"/>
    <x v="2"/>
    <s v="Actual"/>
    <x v="10"/>
    <m/>
    <s v="ZUMZUM ALFAYHAA INSAAT"/>
    <s v="Materials"/>
    <n v="541.5"/>
    <s v="13230"/>
    <d v="2026-02-01T00:00:00"/>
    <n v="2026400358"/>
    <s v="Feb"/>
    <n v="2026"/>
  </r>
  <r>
    <n v="387"/>
    <x v="7"/>
    <x v="19"/>
    <s v="Actual"/>
    <x v="10"/>
    <m/>
    <s v="Al-Ghadeer Print"/>
    <s v="Materials"/>
    <n v="536.91275167785238"/>
    <s v="0218"/>
    <d v="2026-02-01T00:00:00"/>
    <n v="2026400404"/>
    <s v="Feb"/>
    <n v="2026"/>
  </r>
  <r>
    <n v="388"/>
    <x v="2"/>
    <x v="2"/>
    <s v="Actual"/>
    <x v="10"/>
    <m/>
    <s v="DCP IRAQ"/>
    <s v="Materials"/>
    <n v="536.91275167785238"/>
    <s v="#"/>
    <d v="2026-02-08T00:00:00"/>
    <n v="2026400378"/>
    <s v="Feb"/>
    <n v="2026"/>
  </r>
  <r>
    <n v="389"/>
    <x v="2"/>
    <x v="2"/>
    <s v="Actual"/>
    <x v="10"/>
    <m/>
    <s v="DCP IRAQ"/>
    <s v="Materials"/>
    <n v="536.91275167785238"/>
    <s v="26750023"/>
    <d v="2026-02-28T00:00:00"/>
    <n v="2026400601"/>
    <s v="Feb"/>
    <n v="2026"/>
  </r>
  <r>
    <n v="390"/>
    <x v="8"/>
    <x v="14"/>
    <s v="Actual"/>
    <x v="10"/>
    <m/>
    <s v="ZUMZUM ALFAYHAA INSAAT"/>
    <s v="Materials"/>
    <n v="520"/>
    <s v="13282"/>
    <d v="2026-02-17T00:00:00"/>
    <n v="2026400408"/>
    <s v="Feb"/>
    <n v="2026"/>
  </r>
  <r>
    <n v="391"/>
    <x v="2"/>
    <x v="2"/>
    <s v="Actual"/>
    <x v="10"/>
    <m/>
    <s v="ZUMZUM ALFAYHAA INSAAT"/>
    <s v="Materials"/>
    <n v="520"/>
    <s v="13264"/>
    <d v="2026-02-15T00:00:00"/>
    <n v="2026400380"/>
    <s v="Feb"/>
    <n v="2026"/>
  </r>
  <r>
    <n v="392"/>
    <x v="8"/>
    <x v="32"/>
    <s v="Actual"/>
    <x v="10"/>
    <m/>
    <s v="ZUMZUM ALFAYHAA INSAAT"/>
    <s v="Materials"/>
    <n v="510"/>
    <s v="13392"/>
    <d v="2026-02-16T00:00:00"/>
    <n v="2026400501"/>
    <s v="Feb"/>
    <n v="2026"/>
  </r>
  <r>
    <n v="393"/>
    <x v="0"/>
    <x v="0"/>
    <s v="Actual"/>
    <x v="10"/>
    <m/>
    <s v="Petty Cash"/>
    <s v="Petty cCash fro Lifting team"/>
    <n v="503.3557046979866"/>
    <s v="##"/>
    <s v="21/2/2026"/>
    <s v="N/A"/>
    <s v="Feb"/>
    <n v="2026"/>
  </r>
  <r>
    <n v="394"/>
    <x v="9"/>
    <x v="16"/>
    <s v="Actual"/>
    <x v="10"/>
    <m/>
    <s v="Petty Cash"/>
    <s v="أجور طعام غداء (عزيمه) لضيوف مكتب كركوك "/>
    <n v="503.3557046979866"/>
    <n v="71"/>
    <s v="16/2/2026"/>
    <s v="N/A"/>
    <s v="Feb"/>
    <n v="2026"/>
  </r>
  <r>
    <n v="395"/>
    <x v="2"/>
    <x v="12"/>
    <s v="Actual"/>
    <x v="10"/>
    <m/>
    <s v="Petty Cash"/>
    <s v="Petty Cash for OHTL"/>
    <n v="492.95302013422821"/>
    <s v="##"/>
    <s v="17/2/2026"/>
    <s v="N/A"/>
    <s v="Feb"/>
    <n v="2026"/>
  </r>
  <r>
    <n v="396"/>
    <x v="5"/>
    <x v="5"/>
    <s v="Actual"/>
    <x v="10"/>
    <m/>
    <s v="Zamzam Land Construction Trading"/>
    <s v="Materials"/>
    <n v="483.22147651006713"/>
    <s v="INV/2026/01770"/>
    <d v="2026-02-23T00:00:00"/>
    <n v="2026400699"/>
    <s v="Feb"/>
    <n v="2026"/>
  </r>
  <r>
    <n v="397"/>
    <x v="2"/>
    <x v="24"/>
    <s v="Actual"/>
    <x v="10"/>
    <m/>
    <s v="ZUMZUM ALFAYHAA INSAAT"/>
    <s v="Materials"/>
    <n v="475.8"/>
    <s v="13262"/>
    <d v="2026-02-15T00:00:00"/>
    <n v="2026400373"/>
    <s v="Feb"/>
    <n v="2026"/>
  </r>
  <r>
    <n v="398"/>
    <x v="4"/>
    <x v="4"/>
    <s v="Actual"/>
    <x v="10"/>
    <m/>
    <s v="Petty Cash"/>
    <s v="قطع اكرلك50*60 عدد14"/>
    <n v="469.79865771812081"/>
    <n v="2431"/>
    <d v="2026-03-02T00:00:00"/>
    <s v="N/A"/>
    <s v="Feb"/>
    <n v="2026"/>
  </r>
  <r>
    <n v="399"/>
    <x v="2"/>
    <x v="12"/>
    <s v="Actual"/>
    <x v="10"/>
    <m/>
    <s v="AL AZIL AL EMIRATI"/>
    <s v="Materials"/>
    <n v="469.79865771812081"/>
    <s v="8957"/>
    <d v="2026-02-23T00:00:00"/>
    <n v="2026400667"/>
    <s v="Feb"/>
    <n v="2026"/>
  </r>
  <r>
    <n v="400"/>
    <x v="5"/>
    <x v="6"/>
    <s v="Actual"/>
    <x v="10"/>
    <m/>
    <s v="BLUE LINE"/>
    <s v="Materials"/>
    <n v="466.14"/>
    <s v="6791"/>
    <d v="2026-02-20T00:00:00"/>
    <n v="2026400815"/>
    <s v="Feb"/>
    <n v="2026"/>
  </r>
  <r>
    <n v="401"/>
    <x v="4"/>
    <x v="4"/>
    <s v="Actual"/>
    <x v="10"/>
    <m/>
    <s v="ZUMZUM ALFAYHAA INSAAT"/>
    <s v="Materials"/>
    <n v="465"/>
    <s v="13250"/>
    <d v="2026-02-05T00:00:00"/>
    <n v="2026400338"/>
    <s v="Feb"/>
    <n v="2026"/>
  </r>
  <r>
    <n v="402"/>
    <x v="4"/>
    <x v="4"/>
    <s v="Actual"/>
    <x v="10"/>
    <m/>
    <s v="ZUMZUM ALFAYHAA INSAAT"/>
    <s v="Materials"/>
    <n v="462"/>
    <s v="13316"/>
    <d v="2026-02-15T00:00:00"/>
    <n v="2026400442"/>
    <s v="Feb"/>
    <n v="2026"/>
  </r>
  <r>
    <n v="403"/>
    <x v="5"/>
    <x v="23"/>
    <s v="Actual"/>
    <x v="10"/>
    <m/>
    <s v="BLUE LINE"/>
    <s v="Materials"/>
    <n v="461.55"/>
    <s v="6797"/>
    <d v="2026-02-20T00:00:00"/>
    <n v="2026400814"/>
    <s v="Feb"/>
    <n v="2026"/>
  </r>
  <r>
    <n v="404"/>
    <x v="5"/>
    <x v="23"/>
    <s v="Actual"/>
    <x v="10"/>
    <m/>
    <s v="BLUE LINE"/>
    <s v="Materials"/>
    <n v="461.54"/>
    <s v="6781"/>
    <d v="2026-02-20T00:00:00"/>
    <n v="2026400819"/>
    <s v="Feb"/>
    <n v="2026"/>
  </r>
  <r>
    <n v="405"/>
    <x v="5"/>
    <x v="5"/>
    <s v="Actual"/>
    <x v="10"/>
    <m/>
    <s v="ZUMZUM ALFAYHAA INSAAT"/>
    <s v="Materials"/>
    <n v="454.1"/>
    <s v="13206"/>
    <d v="2026-02-07T00:00:00"/>
    <n v="2026400352"/>
    <s v="Feb"/>
    <n v="2026"/>
  </r>
  <r>
    <n v="406"/>
    <x v="2"/>
    <x v="2"/>
    <s v="Actual"/>
    <x v="10"/>
    <m/>
    <s v="GULF PEARL GROUP"/>
    <s v="Materials/Paint"/>
    <n v="450"/>
    <s v="28592026"/>
    <d v="2026-02-09T00:00:00"/>
    <n v="2026400432"/>
    <s v="Feb"/>
    <n v="2026"/>
  </r>
  <r>
    <n v="407"/>
    <x v="4"/>
    <x v="4"/>
    <s v="Actual"/>
    <x v="10"/>
    <m/>
    <s v="ZUMZUM ALFAYHAA INSAAT"/>
    <s v="Materials"/>
    <n v="428.6"/>
    <s v="13504"/>
    <d v="2026-02-28T00:00:00"/>
    <n v="2026400620"/>
    <s v="Feb"/>
    <n v="2026"/>
  </r>
  <r>
    <n v="408"/>
    <x v="4"/>
    <x v="4"/>
    <s v="Actual"/>
    <x v="10"/>
    <m/>
    <s v="ZUMZUM ALFAYHAA INSAAT"/>
    <s v="Materials"/>
    <n v="424.2"/>
    <s v="13240"/>
    <d v="2026-02-05T00:00:00"/>
    <n v="2026400339"/>
    <s v="Feb"/>
    <n v="2026"/>
  </r>
  <r>
    <n v="409"/>
    <x v="5"/>
    <x v="5"/>
    <s v="Actual"/>
    <x v="10"/>
    <m/>
    <s v="SOUTH DEEP JEWEL"/>
    <s v="Materials"/>
    <n v="405"/>
    <s v="IGCC04"/>
    <d v="2026-02-26T00:00:00"/>
    <n v="2026400700"/>
    <s v="Feb"/>
    <n v="2026"/>
  </r>
  <r>
    <n v="410"/>
    <x v="5"/>
    <x v="6"/>
    <s v="Actual"/>
    <x v="10"/>
    <m/>
    <s v="ZUMZUM ALFAYHAA INSAAT"/>
    <s v="Materials"/>
    <n v="393"/>
    <s v="13228"/>
    <d v="2026-02-01T00:00:00"/>
    <n v="2026400355"/>
    <s v="Feb"/>
    <n v="2026"/>
  </r>
  <r>
    <n v="411"/>
    <x v="5"/>
    <x v="6"/>
    <s v="Actual"/>
    <x v="10"/>
    <m/>
    <s v="ZUMZUM ALFAYHAA INSAAT"/>
    <s v="Materials"/>
    <n v="390"/>
    <s v="13292"/>
    <d v="2026-02-15T00:00:00"/>
    <n v="2026400420"/>
    <s v="Feb"/>
    <n v="2026"/>
  </r>
  <r>
    <n v="412"/>
    <x v="7"/>
    <x v="19"/>
    <s v="Actual"/>
    <x v="10"/>
    <m/>
    <s v="ZUMZUM ALFAYHAA INSAAT"/>
    <s v="Materials"/>
    <n v="390"/>
    <s v="13500"/>
    <d v="2026-02-28T00:00:00"/>
    <n v="2026400633"/>
    <s v="Feb"/>
    <n v="2026"/>
  </r>
  <r>
    <n v="413"/>
    <x v="2"/>
    <x v="2"/>
    <s v="Actual"/>
    <x v="10"/>
    <m/>
    <s v="ZUMZUM ALFAYHAA INSAAT"/>
    <s v="Materials"/>
    <n v="380"/>
    <s v="13482"/>
    <d v="2026-03-01T00:00:00"/>
    <n v="2026400652"/>
    <s v="Feb"/>
    <n v="2026"/>
  </r>
  <r>
    <n v="414"/>
    <x v="2"/>
    <x v="2"/>
    <s v="Actual"/>
    <x v="10"/>
    <m/>
    <s v="Petty Cash"/>
    <s v="Gap Cutting Disc 1mm, 115mm, /(Rhodius) x 300ea"/>
    <n v="372.48322147651004"/>
    <n v="507"/>
    <s v="17/2/2026"/>
    <s v="N/A"/>
    <s v="Feb"/>
    <n v="2026"/>
  </r>
  <r>
    <n v="415"/>
    <x v="2"/>
    <x v="12"/>
    <s v="Actual"/>
    <x v="10"/>
    <m/>
    <s v="Al-Karar Gallery for Wood &amp; MDF"/>
    <s v="Materials/Wood"/>
    <n v="372.48322147651004"/>
    <s v="0001705"/>
    <d v="2026-02-19T00:00:00"/>
    <n v="2026400672"/>
    <s v="Feb"/>
    <n v="2026"/>
  </r>
  <r>
    <n v="416"/>
    <x v="5"/>
    <x v="13"/>
    <s v="Actual"/>
    <x v="10"/>
    <m/>
    <s v="ZUMZUM ALFAYHAA INSAAT"/>
    <s v="Materials"/>
    <n v="369.2"/>
    <s v="13360"/>
    <d v="2026-02-16T00:00:00"/>
    <n v="2026400456"/>
    <s v="Feb"/>
    <n v="2026"/>
  </r>
  <r>
    <n v="417"/>
    <x v="2"/>
    <x v="12"/>
    <s v="Actual"/>
    <x v="10"/>
    <m/>
    <s v="Khan Alhadded Company"/>
    <s v="Materials/Iron"/>
    <n v="360"/>
    <s v="1026"/>
    <d v="2026-02-16T00:00:00"/>
    <n v="2026400606"/>
    <s v="Feb"/>
    <n v="2026"/>
  </r>
  <r>
    <n v="418"/>
    <x v="7"/>
    <x v="19"/>
    <s v="Actual"/>
    <x v="10"/>
    <m/>
    <s v="ZUMZUM ALFAYHAA INSAAT"/>
    <s v="Materials"/>
    <n v="340"/>
    <s v="13428"/>
    <d v="2026-02-23T00:00:00"/>
    <n v="2026400573"/>
    <s v="Feb"/>
    <n v="2026"/>
  </r>
  <r>
    <n v="419"/>
    <x v="7"/>
    <x v="22"/>
    <s v="Actual"/>
    <x v="10"/>
    <m/>
    <s v="Sahba Technnnology"/>
    <s v="Materials"/>
    <n v="330.20134228187919"/>
    <s v="8898"/>
    <d v="2026-02-15T00:00:00"/>
    <n v="2026400529"/>
    <s v="Feb"/>
    <n v="2026"/>
  </r>
  <r>
    <n v="420"/>
    <x v="5"/>
    <x v="23"/>
    <s v="Actual"/>
    <x v="10"/>
    <m/>
    <s v="Khan Alhadded Company"/>
    <s v="Materials/Iron"/>
    <n v="330"/>
    <s v="1029"/>
    <d v="2026-02-16T00:00:00"/>
    <n v="2026400610"/>
    <s v="Feb"/>
    <n v="2026"/>
  </r>
  <r>
    <n v="421"/>
    <x v="4"/>
    <x v="4"/>
    <s v="Actual"/>
    <x v="10"/>
    <m/>
    <s v="Al-Karar Gallery for Wood &amp; MDF"/>
    <s v="Materials/Wood"/>
    <n v="328.85906040268458"/>
    <s v="1702"/>
    <d v="2026-01-26T00:00:00"/>
    <n v="2026400722"/>
    <s v="Feb"/>
    <n v="2026"/>
  </r>
  <r>
    <n v="422"/>
    <x v="8"/>
    <x v="32"/>
    <s v="Actual"/>
    <x v="10"/>
    <m/>
    <s v="Advance Welding Solutions Co"/>
    <s v="Materials/Wire"/>
    <n v="323.22147651006713"/>
    <s v="03219"/>
    <d v="2026-02-16T00:00:00"/>
    <n v="2026400622"/>
    <s v="Feb"/>
    <n v="2026"/>
  </r>
  <r>
    <n v="423"/>
    <x v="7"/>
    <x v="19"/>
    <s v="Actual"/>
    <x v="10"/>
    <m/>
    <s v="ZUMZUM ALFAYHAA INSAAT"/>
    <s v="Materials"/>
    <n v="321"/>
    <s v="13390"/>
    <d v="2026-02-15T00:00:00"/>
    <n v="2026400502"/>
    <s v="Feb"/>
    <n v="2026"/>
  </r>
  <r>
    <n v="424"/>
    <x v="2"/>
    <x v="2"/>
    <s v="Actual"/>
    <x v="10"/>
    <m/>
    <s v="ZUMZUM ALFAYHAA INSAAT"/>
    <s v="Materials"/>
    <n v="305"/>
    <s v="13212"/>
    <d v="2026-02-01T00:00:00"/>
    <n v="2026400313"/>
    <s v="Feb"/>
    <n v="2026"/>
  </r>
  <r>
    <n v="425"/>
    <x v="2"/>
    <x v="2"/>
    <s v="Actual"/>
    <x v="10"/>
    <m/>
    <s v="ZUMZUM ALFAYHAA INSAAT"/>
    <s v="Materials"/>
    <n v="300"/>
    <s v="13440"/>
    <d v="2026-02-23T00:00:00"/>
    <n v="2026400574"/>
    <s v="Feb"/>
    <n v="2026"/>
  </r>
  <r>
    <n v="426"/>
    <x v="4"/>
    <x v="4"/>
    <s v="Actual"/>
    <x v="10"/>
    <m/>
    <s v="ZUMZUM ALFAYHAA INSAAT"/>
    <s v="Materials"/>
    <n v="300"/>
    <s v="13486"/>
    <d v="2026-02-28T00:00:00"/>
    <n v="2026400625"/>
    <s v="Feb"/>
    <n v="2026"/>
  </r>
  <r>
    <n v="427"/>
    <x v="7"/>
    <x v="19"/>
    <s v="Actual"/>
    <x v="10"/>
    <m/>
    <s v="ZUMZUM ALFAYHAA INSAAT"/>
    <s v="Materials"/>
    <n v="298"/>
    <s v="13386"/>
    <d v="2026-02-16T00:00:00"/>
    <n v="2026400512"/>
    <s v="Feb"/>
    <n v="2026"/>
  </r>
  <r>
    <n v="428"/>
    <x v="9"/>
    <x v="16"/>
    <s v="Actual"/>
    <x v="10"/>
    <m/>
    <s v="Petty Cash"/>
    <s v="مواد تنظيف مكتب + جرزات + فواكه +عصايرالعزيمه  + عمل ختم للشركة "/>
    <n v="295.9731543624161"/>
    <s v="##"/>
    <s v="23/2/2026"/>
    <s v="N/A"/>
    <s v="Feb"/>
    <n v="2026"/>
  </r>
  <r>
    <n v="429"/>
    <x v="9"/>
    <x v="16"/>
    <s v="Actual"/>
    <x v="10"/>
    <m/>
    <s v="Petty Cash"/>
    <s v="Petty Cash for KRK Office"/>
    <n v="290.60402684563758"/>
    <s v="##"/>
    <d v="2026-09-02T00:00:00"/>
    <s v="N/A"/>
    <s v="Feb"/>
    <n v="2026"/>
  </r>
  <r>
    <n v="430"/>
    <x v="5"/>
    <x v="6"/>
    <s v="Actual"/>
    <x v="10"/>
    <m/>
    <s v="ZUMZUM ALFAYHAA INSAAT"/>
    <s v="Materials"/>
    <n v="290"/>
    <s v="13524"/>
    <d v="2026-02-28T00:00:00"/>
    <n v="2026400638"/>
    <s v="Feb"/>
    <n v="2026"/>
  </r>
  <r>
    <n v="431"/>
    <x v="5"/>
    <x v="6"/>
    <s v="Actual"/>
    <x v="10"/>
    <m/>
    <s v="ZUMZUM ALFAYHAA INSAAT"/>
    <s v="Materials"/>
    <n v="288"/>
    <s v="13190"/>
    <d v="2026-01-28T00:00:00"/>
    <n v="2026400246"/>
    <s v="Feb"/>
    <n v="2026"/>
  </r>
  <r>
    <n v="432"/>
    <x v="2"/>
    <x v="20"/>
    <s v="Actual"/>
    <x v="10"/>
    <m/>
    <s v="BLUE LINE"/>
    <s v="Materials"/>
    <n v="281.26"/>
    <s v="6801"/>
    <d v="2026-02-20T00:00:00"/>
    <n v="2026400800"/>
    <s v="Feb"/>
    <n v="2026"/>
  </r>
  <r>
    <n v="433"/>
    <x v="8"/>
    <x v="14"/>
    <s v="Actual"/>
    <x v="10"/>
    <m/>
    <s v="GULF PEARL GROUP"/>
    <s v="Materials/Paint"/>
    <n v="278"/>
    <s v="28612026"/>
    <d v="2026-02-10T00:00:00"/>
    <n v="2026400443"/>
    <s v="Feb"/>
    <n v="2026"/>
  </r>
  <r>
    <n v="434"/>
    <x v="5"/>
    <x v="5"/>
    <s v="Actual"/>
    <x v="10"/>
    <m/>
    <s v="ZUMZUM ALFAYHAA INSAAT"/>
    <s v="Materials"/>
    <n v="275"/>
    <s v="13514"/>
    <d v="2026-03-01T00:00:00"/>
    <n v="2026400609"/>
    <s v="Feb"/>
    <n v="2026"/>
  </r>
  <r>
    <n v="435"/>
    <x v="2"/>
    <x v="18"/>
    <s v="Actual"/>
    <x v="10"/>
    <m/>
    <s v="Petty Cash"/>
    <s v="Transportation for Feb.26 &amp; Consumable tools"/>
    <n v="268.45637583892619"/>
    <s v="##"/>
    <s v="19/2/2026"/>
    <s v="N/A"/>
    <s v="Feb"/>
    <n v="2026"/>
  </r>
  <r>
    <n v="436"/>
    <x v="2"/>
    <x v="2"/>
    <s v="Actual"/>
    <x v="10"/>
    <m/>
    <s v="Al-Ghadeer Print"/>
    <s v="Materials"/>
    <n v="268.45637583892619"/>
    <s v="0225"/>
    <d v="2026-02-12T00:00:00"/>
    <n v="2026400536"/>
    <s v="Feb"/>
    <n v="2026"/>
  </r>
  <r>
    <n v="437"/>
    <x v="8"/>
    <x v="14"/>
    <s v="Actual"/>
    <x v="10"/>
    <m/>
    <s v="ZUMZUM ALFAYHAA INSAAT"/>
    <s v="Materials"/>
    <n v="267.60000000000002"/>
    <s v="13498"/>
    <d v="2026-03-01T00:00:00"/>
    <n v="2026400634"/>
    <s v="Feb"/>
    <n v="2026"/>
  </r>
  <r>
    <n v="438"/>
    <x v="2"/>
    <x v="24"/>
    <s v="Actual"/>
    <x v="10"/>
    <m/>
    <s v="Petty Cash"/>
    <s v="Petty Cash for FFF"/>
    <n v="263.42281879194633"/>
    <s v="##"/>
    <s v="17/2/2026"/>
    <s v="N/A"/>
    <s v="Feb"/>
    <n v="2026"/>
  </r>
  <r>
    <n v="439"/>
    <x v="2"/>
    <x v="18"/>
    <s v="Actual"/>
    <x v="10"/>
    <m/>
    <s v="BLUE LINE"/>
    <s v="Materials"/>
    <n v="262.14"/>
    <s v="6782"/>
    <d v="2026-02-20T00:00:00"/>
    <n v="2026400805"/>
    <s v="Feb"/>
    <n v="2026"/>
  </r>
  <r>
    <n v="440"/>
    <x v="2"/>
    <x v="12"/>
    <s v="Actual"/>
    <x v="10"/>
    <m/>
    <s v="ZUMZUM ALFAYHAA INSAAT"/>
    <s v="Materials"/>
    <n v="257.2"/>
    <s v="13548"/>
    <d v="2026-02-28T00:00:00"/>
    <n v="2026400665"/>
    <s v="Feb"/>
    <n v="2026"/>
  </r>
  <r>
    <n v="441"/>
    <x v="5"/>
    <x v="5"/>
    <s v="Actual"/>
    <x v="10"/>
    <m/>
    <s v="ZUMZUM ALFAYHAA INSAAT"/>
    <s v="Materials"/>
    <n v="247.7"/>
    <s v="13358"/>
    <d v="2026-02-16T00:00:00"/>
    <n v="2026400454"/>
    <s v="Feb"/>
    <n v="2026"/>
  </r>
  <r>
    <n v="442"/>
    <x v="5"/>
    <x v="5"/>
    <s v="Actual"/>
    <x v="10"/>
    <m/>
    <s v="ZUMZUM ALFAYHAA INSAAT"/>
    <s v="Materials"/>
    <n v="247.5"/>
    <s v="13494"/>
    <d v="2026-03-01T00:00:00"/>
    <n v="2026400636"/>
    <s v="Feb"/>
    <n v="2026"/>
  </r>
  <r>
    <n v="443"/>
    <x v="5"/>
    <x v="6"/>
    <s v="Actual"/>
    <x v="10"/>
    <m/>
    <s v="BLUE LINE"/>
    <s v="Materials"/>
    <n v="244.3"/>
    <s v="6802"/>
    <d v="2026-02-20T00:00:00"/>
    <n v="2026400813"/>
    <s v="Feb"/>
    <n v="2026"/>
  </r>
  <r>
    <n v="444"/>
    <x v="5"/>
    <x v="5"/>
    <s v="Actual"/>
    <x v="10"/>
    <m/>
    <s v="ZUMZUM ALFAYHAA INSAAT"/>
    <s v="Materials"/>
    <n v="238.3"/>
    <s v="13234"/>
    <d v="2026-02-07T00:00:00"/>
    <n v="2026400363"/>
    <s v="Feb"/>
    <n v="2026"/>
  </r>
  <r>
    <n v="445"/>
    <x v="4"/>
    <x v="4"/>
    <s v="Actual"/>
    <x v="10"/>
    <m/>
    <s v="ZUMZUM ALFAYHAA INSAAT"/>
    <s v="Materials"/>
    <n v="236"/>
    <s v="13506"/>
    <d v="2026-02-28T00:00:00"/>
    <n v="2026400617"/>
    <s v="Feb"/>
    <n v="2026"/>
  </r>
  <r>
    <n v="446"/>
    <x v="4"/>
    <x v="4"/>
    <s v="Actual"/>
    <x v="10"/>
    <m/>
    <s v="ZUMZUM ALFAYHAA INSAAT"/>
    <s v="Materials"/>
    <n v="225"/>
    <s v="13534"/>
    <d v="2026-03-01T00:00:00"/>
    <n v="2026400630"/>
    <s v="Feb"/>
    <n v="2026"/>
  </r>
  <r>
    <n v="447"/>
    <x v="9"/>
    <x v="16"/>
    <s v="Actual"/>
    <x v="10"/>
    <m/>
    <s v="LIFE NATURAL SPRING WATER"/>
    <s v="Materials"/>
    <n v="222.48322147651007"/>
    <s v="34531"/>
    <d v="2026-02-09T00:00:00"/>
    <n v="2026400419"/>
    <s v="Feb"/>
    <n v="2026"/>
  </r>
  <r>
    <n v="448"/>
    <x v="2"/>
    <x v="2"/>
    <s v="Actual"/>
    <x v="10"/>
    <m/>
    <s v="AL AZIL AL EMIRATI"/>
    <s v="Materials"/>
    <n v="221.47651006711411"/>
    <s v="8958"/>
    <d v="2026-02-23T00:00:00"/>
    <n v="2026400666"/>
    <s v="Feb"/>
    <n v="2026"/>
  </r>
  <r>
    <n v="449"/>
    <x v="5"/>
    <x v="5"/>
    <s v="Actual"/>
    <x v="10"/>
    <m/>
    <s v="GULF PEARL GROUP"/>
    <s v="Materials/Paint"/>
    <n v="220"/>
    <s v="28652026"/>
    <d v="2026-02-21T00:00:00"/>
    <n v="2026400425"/>
    <s v="Feb"/>
    <n v="2026"/>
  </r>
  <r>
    <n v="450"/>
    <x v="5"/>
    <x v="23"/>
    <s v="Actual"/>
    <x v="10"/>
    <m/>
    <s v="Sahba Technnnology"/>
    <s v="Materials"/>
    <n v="218.12080536912751"/>
    <s v="8900"/>
    <d v="2026-02-15T00:00:00"/>
    <n v="2026400498"/>
    <s v="Feb"/>
    <n v="2026"/>
  </r>
  <r>
    <n v="451"/>
    <x v="2"/>
    <x v="12"/>
    <s v="Actual"/>
    <x v="10"/>
    <m/>
    <s v="ZUMZUM ALFAYHAA INSAAT"/>
    <s v="Materials"/>
    <n v="214"/>
    <s v="13404"/>
    <d v="2026-02-22T00:00:00"/>
    <n v="2026400557"/>
    <s v="Feb"/>
    <n v="2026"/>
  </r>
  <r>
    <n v="452"/>
    <x v="8"/>
    <x v="32"/>
    <s v="Actual"/>
    <x v="10"/>
    <m/>
    <s v="Fasco LLC FZ"/>
    <s v="Materials"/>
    <n v="209.26430517711171"/>
    <s v="N/A"/>
    <s v="N/A"/>
    <n v="2025404811"/>
    <s v="Feb"/>
    <n v="2026"/>
  </r>
  <r>
    <n v="453"/>
    <x v="2"/>
    <x v="12"/>
    <s v="Actual"/>
    <x v="10"/>
    <m/>
    <s v="ZUMZUM ALFAYHAA INSAAT"/>
    <s v="Materials"/>
    <n v="205.5"/>
    <s v="13400"/>
    <d v="2026-02-17T00:00:00"/>
    <n v="2026400535"/>
    <s v="Feb"/>
    <n v="2026"/>
  </r>
  <r>
    <n v="454"/>
    <x v="0"/>
    <x v="0"/>
    <s v="Actual"/>
    <x v="10"/>
    <m/>
    <s v="Petty Cash"/>
    <s v="Tape x 19ea for FF"/>
    <n v="201.34228187919464"/>
    <s v="##"/>
    <s v="14/2/2026"/>
    <s v="N/A"/>
    <s v="Feb"/>
    <n v="2026"/>
  </r>
  <r>
    <n v="455"/>
    <x v="2"/>
    <x v="2"/>
    <s v="Actual"/>
    <x v="10"/>
    <m/>
    <s v="ZUMZUM ALFAYHAA INSAAT"/>
    <s v="Materials"/>
    <n v="195"/>
    <s v="13258"/>
    <d v="2026-02-15T00:00:00"/>
    <n v="2026400381"/>
    <s v="Feb"/>
    <n v="2026"/>
  </r>
  <r>
    <n v="456"/>
    <x v="5"/>
    <x v="6"/>
    <s v="Actual"/>
    <x v="10"/>
    <m/>
    <s v="ZUMZUM ALFAYHAA INSAAT"/>
    <s v="Materials"/>
    <n v="185"/>
    <s v="13554"/>
    <d v="2026-02-28T00:00:00"/>
    <n v="2026400679"/>
    <s v="Feb"/>
    <n v="2026"/>
  </r>
  <r>
    <n v="457"/>
    <x v="5"/>
    <x v="6"/>
    <s v="Actual"/>
    <x v="10"/>
    <m/>
    <s v="Abdullah Gallery"/>
    <s v="Materials/Safety"/>
    <n v="167.78523489932886"/>
    <s v="#"/>
    <d v="2026-02-26T00:00:00"/>
    <n v="2026400780"/>
    <s v="Feb"/>
    <n v="2026"/>
  </r>
  <r>
    <n v="458"/>
    <x v="2"/>
    <x v="20"/>
    <s v="Actual"/>
    <x v="10"/>
    <m/>
    <s v="BLUE LINE"/>
    <s v="Materials"/>
    <n v="166.14"/>
    <s v="6780"/>
    <d v="2026-02-20T00:00:00"/>
    <n v="2026400807"/>
    <s v="Feb"/>
    <n v="2026"/>
  </r>
  <r>
    <n v="459"/>
    <x v="2"/>
    <x v="20"/>
    <s v="Actual"/>
    <x v="10"/>
    <m/>
    <s v="ZUMZUM ALFAYHAA INSAAT"/>
    <s v="Materials"/>
    <n v="165"/>
    <s v="13468"/>
    <d v="2026-02-25T00:00:00"/>
    <n v="2026400658"/>
    <s v="Feb"/>
    <n v="2026"/>
  </r>
  <r>
    <n v="460"/>
    <x v="7"/>
    <x v="29"/>
    <s v="Actual"/>
    <x v="10"/>
    <m/>
    <s v="ZUMZUM ALFAYHAA INSAAT"/>
    <s v="Materials"/>
    <n v="160"/>
    <s v="13502"/>
    <d v="2026-02-28T00:00:00"/>
    <n v="2026400576"/>
    <s v="Feb"/>
    <n v="2026"/>
  </r>
  <r>
    <n v="461"/>
    <x v="7"/>
    <x v="19"/>
    <s v="Actual"/>
    <x v="10"/>
    <m/>
    <s v="ZUMZUM ALFAYHAA INSAAT"/>
    <s v="Materials"/>
    <n v="157.1"/>
    <s v="13210"/>
    <d v="2026-02-01T00:00:00"/>
    <n v="2026400315"/>
    <s v="Feb"/>
    <n v="2026"/>
  </r>
  <r>
    <n v="462"/>
    <x v="0"/>
    <x v="0"/>
    <s v="Actual"/>
    <x v="10"/>
    <m/>
    <s v="Petty Cash"/>
    <s v="هوز لصهريج الوقود 2&quot; عدد 30م"/>
    <n v="130.8724832214765"/>
    <n v="660"/>
    <s v="22/2/2026"/>
    <s v="N/A"/>
    <s v="Feb"/>
    <n v="2026"/>
  </r>
  <r>
    <n v="463"/>
    <x v="4"/>
    <x v="4"/>
    <s v="Actual"/>
    <x v="10"/>
    <m/>
    <s v="ZUMZUM ALFAYHAA INSAAT"/>
    <s v="Materials"/>
    <n v="120"/>
    <s v="13222"/>
    <d v="2026-02-01T00:00:00"/>
    <n v="2026400316"/>
    <s v="Feb"/>
    <n v="2026"/>
  </r>
  <r>
    <n v="464"/>
    <x v="2"/>
    <x v="12"/>
    <s v="Actual"/>
    <x v="10"/>
    <m/>
    <s v="ZUMZUM ALFAYHAA INSAAT"/>
    <s v="Materials"/>
    <n v="120"/>
    <s v="13438"/>
    <d v="2026-02-23T00:00:00"/>
    <n v="2026400567"/>
    <s v="Feb"/>
    <n v="2026"/>
  </r>
  <r>
    <n v="465"/>
    <x v="7"/>
    <x v="34"/>
    <s v="Actual"/>
    <x v="10"/>
    <m/>
    <s v="Al-Ghadeer Print"/>
    <s v="Materials"/>
    <n v="117.11409395973155"/>
    <s v="0210"/>
    <d v="2026-01-29T00:00:00"/>
    <n v="2026400385"/>
    <s v="Feb"/>
    <n v="2026"/>
  </r>
  <r>
    <n v="466"/>
    <x v="7"/>
    <x v="19"/>
    <s v="Actual"/>
    <x v="10"/>
    <m/>
    <s v="ZUMZUM ALFAYHAA INSAAT"/>
    <s v="Materials"/>
    <n v="105.6"/>
    <s v="13214"/>
    <d v="2026-02-01T00:00:00"/>
    <n v="2026400314"/>
    <s v="Feb"/>
    <n v="2026"/>
  </r>
  <r>
    <n v="467"/>
    <x v="5"/>
    <x v="6"/>
    <s v="Actual"/>
    <x v="10"/>
    <m/>
    <s v="ZUMZUM ALFAYHAA INSAAT"/>
    <s v="Materials"/>
    <n v="104"/>
    <s v="13516"/>
    <d v="2026-03-01T00:00:00"/>
    <n v="2026400608"/>
    <s v="Feb"/>
    <n v="2026"/>
  </r>
  <r>
    <n v="468"/>
    <x v="9"/>
    <x v="16"/>
    <s v="Actual"/>
    <x v="10"/>
    <m/>
    <s v="Petty Cash"/>
    <s v="قرطاسية + اطار صور عدد/10  سيار كهربائي / عدد8 "/>
    <n v="103.35570469798658"/>
    <s v="##"/>
    <d v="2026-10-02T00:00:00"/>
    <s v="N/A"/>
    <s v="Feb"/>
    <n v="2026"/>
  </r>
  <r>
    <n v="469"/>
    <x v="8"/>
    <x v="32"/>
    <s v="Actual"/>
    <x v="10"/>
    <m/>
    <s v="ZUMZUM ALFAYHAA INSAAT"/>
    <s v="Materials"/>
    <n v="94"/>
    <s v="13338"/>
    <d v="2026-02-16T00:00:00"/>
    <n v="2026400483"/>
    <s v="Feb"/>
    <n v="2026"/>
  </r>
  <r>
    <n v="470"/>
    <x v="8"/>
    <x v="14"/>
    <s v="Actual"/>
    <x v="10"/>
    <m/>
    <s v="AL FATEEM CO"/>
    <s v="Materials"/>
    <n v="93.959731543624159"/>
    <s v="#"/>
    <d v="2026-02-07T00:00:00"/>
    <n v="2026400243"/>
    <s v="Feb"/>
    <n v="2026"/>
  </r>
  <r>
    <n v="471"/>
    <x v="5"/>
    <x v="6"/>
    <s v="Actual"/>
    <x v="10"/>
    <m/>
    <s v="EPT LLC (SIKA)"/>
    <s v="Materials"/>
    <n v="93.959731543624159"/>
    <s v="177"/>
    <d v="2026-01-31T00:00:00"/>
    <n v="2026400423"/>
    <s v="Feb"/>
    <n v="2026"/>
  </r>
  <r>
    <n v="472"/>
    <x v="2"/>
    <x v="2"/>
    <s v="Actual"/>
    <x v="10"/>
    <m/>
    <s v="BLUE LINE"/>
    <s v="Materials"/>
    <n v="92.25"/>
    <s v="6776"/>
    <d v="2026-02-25T00:00:00"/>
    <n v="2026400772"/>
    <s v="Feb"/>
    <n v="2026"/>
  </r>
  <r>
    <n v="473"/>
    <x v="5"/>
    <x v="23"/>
    <s v="Actual"/>
    <x v="10"/>
    <m/>
    <s v="ZUMZUM ALFAYHAA INSAAT"/>
    <s v="Materials"/>
    <n v="90"/>
    <s v="13294"/>
    <d v="2026-02-15T00:00:00"/>
    <n v="2026400424"/>
    <s v="Feb"/>
    <n v="2026"/>
  </r>
  <r>
    <n v="474"/>
    <x v="5"/>
    <x v="5"/>
    <s v="Actual"/>
    <x v="10"/>
    <m/>
    <s v="ZUMZUM ALFAYHAA INSAAT"/>
    <s v="Materials"/>
    <n v="90"/>
    <s v="13478"/>
    <d v="2026-02-28T00:00:00"/>
    <n v="2026400647"/>
    <s v="Feb"/>
    <n v="2026"/>
  </r>
  <r>
    <n v="475"/>
    <x v="7"/>
    <x v="22"/>
    <s v="Actual"/>
    <x v="10"/>
    <m/>
    <s v="Al-Ghadeer Print"/>
    <s v="Materials"/>
    <n v="83.892617449664428"/>
    <s v="0068"/>
    <d v="2026-02-01T00:00:00"/>
    <n v="2026400390"/>
    <s v="Feb"/>
    <n v="2026"/>
  </r>
  <r>
    <n v="476"/>
    <x v="2"/>
    <x v="12"/>
    <s v="Actual"/>
    <x v="10"/>
    <m/>
    <s v="ZUMZUM ALFAYHAA INSAAT"/>
    <s v="Materials"/>
    <n v="82.4"/>
    <s v="13260"/>
    <d v="2026-02-15T00:00:00"/>
    <n v="2026400372"/>
    <s v="Feb"/>
    <n v="2026"/>
  </r>
  <r>
    <n v="477"/>
    <x v="5"/>
    <x v="13"/>
    <s v="Actual"/>
    <x v="10"/>
    <m/>
    <s v="ZUMZUM ALFAYHAA INSAAT"/>
    <s v="Materials"/>
    <n v="80"/>
    <s v="13558"/>
    <d v="2026-02-28T00:00:00"/>
    <n v="2026400677"/>
    <s v="Feb"/>
    <n v="2026"/>
  </r>
  <r>
    <n v="478"/>
    <x v="2"/>
    <x v="12"/>
    <s v="Actual"/>
    <x v="10"/>
    <m/>
    <s v="ZUMZUM ALFAYHAA INSAAT"/>
    <s v="Materials"/>
    <n v="80"/>
    <s v="13522"/>
    <d v="2026-03-01T00:00:00"/>
    <n v="2026400653"/>
    <s v="Feb"/>
    <n v="2026"/>
  </r>
  <r>
    <n v="479"/>
    <x v="8"/>
    <x v="14"/>
    <s v="Actual"/>
    <x v="10"/>
    <m/>
    <s v="BLUE LINE"/>
    <s v="Materials"/>
    <n v="73.8"/>
    <s v="6799"/>
    <d v="2026-02-20T00:00:00"/>
    <n v="2026400808"/>
    <s v="Feb"/>
    <n v="2026"/>
  </r>
  <r>
    <n v="480"/>
    <x v="7"/>
    <x v="29"/>
    <s v="Actual"/>
    <x v="10"/>
    <m/>
    <s v="Al-Ghadeer Print"/>
    <s v="Materials"/>
    <n v="72.818791946308721"/>
    <s v="0215"/>
    <d v="2026-01-31T00:00:00"/>
    <n v="2026400386"/>
    <s v="Feb"/>
    <n v="2026"/>
  </r>
  <r>
    <n v="481"/>
    <x v="8"/>
    <x v="32"/>
    <s v="Actual"/>
    <x v="10"/>
    <m/>
    <s v="ZUMZUM ALFAYHAA INSAAT"/>
    <s v="Materials"/>
    <n v="72"/>
    <s v="13520"/>
    <d v="2026-03-01T00:00:00"/>
    <n v="2026400654"/>
    <s v="Feb"/>
    <n v="2026"/>
  </r>
  <r>
    <n v="482"/>
    <x v="7"/>
    <x v="22"/>
    <s v="Actual"/>
    <x v="10"/>
    <m/>
    <s v="ZUMZUM ALFAYHAA INSAAT"/>
    <s v="Materials"/>
    <n v="70"/>
    <s v="13366"/>
    <d v="2026-02-16T00:00:00"/>
    <n v="2026400464"/>
    <s v="Feb"/>
    <n v="2026"/>
  </r>
  <r>
    <n v="483"/>
    <x v="8"/>
    <x v="32"/>
    <s v="Actual"/>
    <x v="10"/>
    <m/>
    <s v="ZUMZUM ALFAYHAA INSAAT"/>
    <s v="Materials"/>
    <n v="70"/>
    <s v="13448"/>
    <d v="2026-02-23T00:00:00"/>
    <n v="2026400578"/>
    <s v="Feb"/>
    <n v="2026"/>
  </r>
  <r>
    <n v="484"/>
    <x v="2"/>
    <x v="2"/>
    <s v="Actual"/>
    <x v="10"/>
    <m/>
    <s v="ZUMZUM ALFAYHAA INSAAT"/>
    <s v="Materials"/>
    <n v="67.599999999999994"/>
    <s v="13560"/>
    <d v="2026-02-28T00:00:00"/>
    <n v="2026400678"/>
    <s v="Feb"/>
    <n v="2026"/>
  </r>
  <r>
    <n v="485"/>
    <x v="8"/>
    <x v="32"/>
    <s v="Actual"/>
    <x v="10"/>
    <m/>
    <s v="BLUE LINE"/>
    <s v="Materials"/>
    <n v="64.599999999999994"/>
    <s v="6783"/>
    <d v="2026-02-20T00:00:00"/>
    <n v="2026400812"/>
    <s v="Feb"/>
    <n v="2026"/>
  </r>
  <r>
    <n v="486"/>
    <x v="5"/>
    <x v="6"/>
    <s v="Actual"/>
    <x v="10"/>
    <m/>
    <s v="BLUE LINE"/>
    <s v="Materials"/>
    <n v="64.599999999999994"/>
    <s v="6788"/>
    <d v="2026-02-20T00:00:00"/>
    <n v="2026400823"/>
    <s v="Feb"/>
    <n v="2026"/>
  </r>
  <r>
    <n v="487"/>
    <x v="8"/>
    <x v="14"/>
    <s v="Actual"/>
    <x v="10"/>
    <m/>
    <s v="ZUMZUM ALFAYHAA INSAAT"/>
    <s v="Materials"/>
    <n v="64"/>
    <s v="13276"/>
    <d v="2026-02-15T00:00:00"/>
    <n v="2026400402"/>
    <s v="Feb"/>
    <n v="2026"/>
  </r>
  <r>
    <n v="488"/>
    <x v="4"/>
    <x v="4"/>
    <s v="Actual"/>
    <x v="10"/>
    <m/>
    <s v="ZUMZUM ALFAYHAA INSAAT"/>
    <s v="Materials"/>
    <n v="60"/>
    <s v="13226"/>
    <d v="2026-02-01T00:00:00"/>
    <n v="2026400353"/>
    <s v="Feb"/>
    <n v="2026"/>
  </r>
  <r>
    <n v="489"/>
    <x v="2"/>
    <x v="24"/>
    <s v="Actual"/>
    <x v="10"/>
    <m/>
    <s v="Al-Ghadeer Print"/>
    <s v="Materials"/>
    <n v="53.691275167785236"/>
    <s v="0220"/>
    <d v="2026-02-07T00:00:00"/>
    <n v="2026400484"/>
    <s v="Feb"/>
    <n v="2026"/>
  </r>
  <r>
    <n v="490"/>
    <x v="0"/>
    <x v="0"/>
    <s v="Actual"/>
    <x v="10"/>
    <m/>
    <s v="Petty Cash"/>
    <s v="رولة لوكو الشركة - أسبوع الريادة"/>
    <n v="50.335570469798661"/>
    <n v="2444"/>
    <d v="2026-12-02T00:00:00"/>
    <s v="N/A"/>
    <s v="Feb"/>
    <n v="2026"/>
  </r>
  <r>
    <n v="491"/>
    <x v="9"/>
    <x v="16"/>
    <s v="Actual"/>
    <x v="10"/>
    <m/>
    <s v="IZMIR COMPANY FOR GENERAL TRADING"/>
    <s v="Materials"/>
    <n v="44.966442953020135"/>
    <n v="18334"/>
    <d v="2026-01-28T00:00:00"/>
    <n v="2026400394"/>
    <s v="Feb"/>
    <n v="2026"/>
  </r>
  <r>
    <n v="492"/>
    <x v="7"/>
    <x v="22"/>
    <s v="Actual"/>
    <x v="10"/>
    <m/>
    <s v="BLUE LINE"/>
    <s v="Materials"/>
    <n v="42.47"/>
    <s v="6777"/>
    <d v="2026-02-22T00:00:00"/>
    <n v="2026400774"/>
    <s v="Feb"/>
    <n v="2026"/>
  </r>
  <r>
    <n v="493"/>
    <x v="5"/>
    <x v="6"/>
    <s v="Actual"/>
    <x v="10"/>
    <m/>
    <s v="ZUMZUM ALFAYHAA INSAAT"/>
    <s v="Materials"/>
    <n v="40"/>
    <s v="13562"/>
    <d v="2026-02-28T00:00:00"/>
    <n v="2026400675"/>
    <s v="Feb"/>
    <n v="2026"/>
  </r>
  <r>
    <n v="494"/>
    <x v="7"/>
    <x v="34"/>
    <s v="Actual"/>
    <x v="10"/>
    <m/>
    <s v="Al-Ghadeer Print"/>
    <s v="Materials"/>
    <n v="34.899328859060404"/>
    <s v="0223"/>
    <d v="2026-02-10T00:00:00"/>
    <n v="2026400526"/>
    <s v="Feb"/>
    <n v="2026"/>
  </r>
  <r>
    <n v="495"/>
    <x v="7"/>
    <x v="34"/>
    <s v="Actual"/>
    <x v="10"/>
    <m/>
    <s v="Al-Ghadeer Print"/>
    <s v="Materials"/>
    <n v="32.214765100671144"/>
    <s v="0217"/>
    <d v="2026-01-31T00:00:00"/>
    <n v="2026400389"/>
    <s v="Feb"/>
    <n v="2026"/>
  </r>
  <r>
    <n v="496"/>
    <x v="5"/>
    <x v="23"/>
    <s v="Actual"/>
    <x v="10"/>
    <m/>
    <s v="ZUMZUM ALFAYHAA INSAAT"/>
    <s v="Materials"/>
    <n v="31.5"/>
    <s v="13398"/>
    <d v="2026-02-17T00:00:00"/>
    <n v="2026400528"/>
    <s v="Feb"/>
    <n v="2026"/>
  </r>
  <r>
    <n v="497"/>
    <x v="4"/>
    <x v="4"/>
    <s v="Actual"/>
    <x v="11"/>
    <m/>
    <s v="Al Hurea Security Services"/>
    <s v="Guards"/>
    <n v="19119.52"/>
    <s v="IGCC-BSR-260201"/>
    <d v="2026-02-28T00:00:00"/>
    <s v="N/A"/>
    <s v="Feb"/>
    <n v="2026"/>
  </r>
  <r>
    <n v="498"/>
    <x v="5"/>
    <x v="5"/>
    <s v="Actual"/>
    <x v="11"/>
    <m/>
    <s v="LARSA Security"/>
    <s v="PSD"/>
    <n v="14000"/>
    <s v="INV-IGCC-UM QASIR ADHOC -26-02-023"/>
    <d v="2026-03-01T00:00:00"/>
    <s v="N/A"/>
    <s v="Feb"/>
    <n v="2026"/>
  </r>
  <r>
    <n v="499"/>
    <x v="6"/>
    <x v="7"/>
    <s v="Actual"/>
    <x v="11"/>
    <m/>
    <s v="LARSA Security"/>
    <s v="Guards"/>
    <n v="12360"/>
    <s v="INV-IGCC-SOUTH RUMILA -26-02-022"/>
    <d v="2026-03-01T00:00:00"/>
    <s v="N/A"/>
    <s v="Feb"/>
    <n v="2026"/>
  </r>
  <r>
    <n v="500"/>
    <x v="8"/>
    <x v="14"/>
    <s v="Actual"/>
    <x v="11"/>
    <m/>
    <s v="Derraa Al Rumaila Security"/>
    <s v="Guards"/>
    <n v="11520"/>
    <s v="2806400226"/>
    <d v="2026-02-28T00:00:00"/>
    <s v="N/A"/>
    <s v="Feb"/>
    <n v="2026"/>
  </r>
  <r>
    <n v="501"/>
    <x v="6"/>
    <x v="7"/>
    <s v="Actual"/>
    <x v="11"/>
    <m/>
    <s v="LARSA Security"/>
    <s v="PSD"/>
    <n v="6000"/>
    <s v="INV-IGCC-24-02-020"/>
    <d v="2025-02-09T00:00:00"/>
    <s v="N/A"/>
    <s v="Feb"/>
    <n v="2026"/>
  </r>
  <r>
    <n v="502"/>
    <x v="6"/>
    <x v="7"/>
    <s v="Actual"/>
    <x v="11"/>
    <m/>
    <s v="LARSA Security"/>
    <s v="PSD"/>
    <n v="5250"/>
    <s v="INV-IGCC-25-02-029"/>
    <d v="2025-03-01T00:00:00"/>
    <s v="N/A"/>
    <s v="Feb"/>
    <n v="2026"/>
  </r>
  <r>
    <n v="503"/>
    <x v="6"/>
    <x v="7"/>
    <s v="Actual"/>
    <x v="11"/>
    <m/>
    <s v="LARSA Security"/>
    <s v="Guards"/>
    <n v="5040"/>
    <s v="INV-IGCC-NORTH RUMILA -26-02-021"/>
    <d v="2026-03-01T00:00:00"/>
    <s v="N/A"/>
    <s v="Feb"/>
    <n v="2026"/>
  </r>
  <r>
    <n v="504"/>
    <x v="5"/>
    <x v="15"/>
    <s v="Actual"/>
    <x v="11"/>
    <m/>
    <s v="Derraa Al Rumaila Security"/>
    <s v="Guards"/>
    <n v="4500"/>
    <s v="2806400226"/>
    <d v="2026-02-28T00:00:00"/>
    <s v="N/A"/>
    <s v="Feb"/>
    <n v="2026"/>
  </r>
  <r>
    <n v="505"/>
    <x v="5"/>
    <x v="5"/>
    <s v="Actual"/>
    <x v="11"/>
    <m/>
    <s v="LARSA Security"/>
    <s v="Guards"/>
    <n v="3360"/>
    <s v="INV-IGCC-UM QASIR -26-02-024"/>
    <d v="2026-03-01T00:00:00"/>
    <s v="N/A"/>
    <s v="Feb"/>
    <n v="2026"/>
  </r>
  <r>
    <n v="506"/>
    <x v="2"/>
    <x v="18"/>
    <s v="Accrual"/>
    <x v="11"/>
    <m/>
    <s v="Al-Zubair Gate"/>
    <s v="Guards"/>
    <n v="1342.2818791946308"/>
    <s v="N/A"/>
    <s v="N/A"/>
    <s v="N/A"/>
    <s v="Feb"/>
    <n v="2026"/>
  </r>
  <r>
    <n v="507"/>
    <x v="5"/>
    <x v="15"/>
    <s v="Actual"/>
    <x v="11"/>
    <m/>
    <s v="Derraa Al Rumaila Security"/>
    <s v="Guards"/>
    <n v="1000"/>
    <s v="2806400226"/>
    <d v="2026-02-28T00:00:00"/>
    <s v="N/A"/>
    <s v="Feb"/>
    <n v="2026"/>
  </r>
  <r>
    <n v="508"/>
    <x v="11"/>
    <x v="35"/>
    <s v="Actual"/>
    <x v="11"/>
    <m/>
    <s v="LARSA Security"/>
    <s v="PSD"/>
    <n v="500"/>
    <s v="INV-IGCC-26-02-017"/>
    <d v="2026-02-15T00:00:00"/>
    <s v="N/A"/>
    <s v="Feb"/>
    <n v="2026"/>
  </r>
  <r>
    <n v="509"/>
    <x v="0"/>
    <x v="0"/>
    <s v="Accrual"/>
    <x v="12"/>
    <m/>
    <s v="IGCC"/>
    <s v="Social security"/>
    <n v="25000"/>
    <s v="N/A"/>
    <s v="N/A"/>
    <s v="N/A"/>
    <s v="Feb"/>
    <n v="2026"/>
  </r>
  <r>
    <n v="510"/>
    <x v="4"/>
    <x v="4"/>
    <s v="Actual"/>
    <x v="13"/>
    <m/>
    <s v="IGCC"/>
    <s v="Payroll Feb"/>
    <n v="433997"/>
    <s v="N/A"/>
    <s v="N/A"/>
    <s v="N/A"/>
    <s v="Feb"/>
    <n v="2026"/>
  </r>
  <r>
    <n v="511"/>
    <x v="2"/>
    <x v="2"/>
    <s v="Actual"/>
    <x v="13"/>
    <m/>
    <s v="IGCC"/>
    <s v="Payroll Feb"/>
    <n v="251771"/>
    <s v="N/A"/>
    <s v="N/A"/>
    <s v="N/A"/>
    <s v="Feb"/>
    <n v="2026"/>
  </r>
  <r>
    <n v="512"/>
    <x v="5"/>
    <x v="5"/>
    <s v="Actual"/>
    <x v="13"/>
    <m/>
    <s v="IGCC"/>
    <s v="Payroll Feb"/>
    <n v="243010"/>
    <s v="N/A"/>
    <s v="N/A"/>
    <s v="N/A"/>
    <s v="Feb"/>
    <n v="2026"/>
  </r>
  <r>
    <n v="513"/>
    <x v="5"/>
    <x v="6"/>
    <s v="Actual"/>
    <x v="13"/>
    <m/>
    <s v="IGCC"/>
    <s v="Payroll Feb"/>
    <n v="158317"/>
    <s v="N/A"/>
    <s v="N/A"/>
    <s v="N/A"/>
    <s v="Feb"/>
    <n v="2026"/>
  </r>
  <r>
    <n v="514"/>
    <x v="8"/>
    <x v="14"/>
    <s v="Actual"/>
    <x v="13"/>
    <m/>
    <s v="IGCC"/>
    <s v="Payroll Feb"/>
    <n v="133868"/>
    <s v="N/A"/>
    <s v="N/A"/>
    <s v="N/A"/>
    <s v="Feb"/>
    <n v="2026"/>
  </r>
  <r>
    <n v="515"/>
    <x v="2"/>
    <x v="12"/>
    <s v="Actual"/>
    <x v="13"/>
    <m/>
    <s v="IGCC"/>
    <s v="Payroll Feb"/>
    <n v="131846"/>
    <s v="N/A"/>
    <s v="N/A"/>
    <s v="N/A"/>
    <s v="Feb"/>
    <n v="2026"/>
  </r>
  <r>
    <n v="516"/>
    <x v="5"/>
    <x v="13"/>
    <s v="Actual"/>
    <x v="13"/>
    <m/>
    <s v="IGCC"/>
    <s v="Payroll Feb"/>
    <n v="119417"/>
    <s v="N/A"/>
    <s v="N/A"/>
    <s v="N/A"/>
    <s v="Feb"/>
    <n v="2026"/>
  </r>
  <r>
    <n v="517"/>
    <x v="5"/>
    <x v="23"/>
    <s v="Actual"/>
    <x v="13"/>
    <m/>
    <s v="IGCC"/>
    <s v="Payroll Feb"/>
    <n v="111481"/>
    <s v="N/A"/>
    <s v="N/A"/>
    <s v="N/A"/>
    <s v="Feb"/>
    <n v="2026"/>
  </r>
  <r>
    <n v="518"/>
    <x v="0"/>
    <x v="0"/>
    <s v="Actual"/>
    <x v="13"/>
    <m/>
    <s v="IGCC"/>
    <s v="Payroll Feb"/>
    <n v="106368"/>
    <s v="N/A"/>
    <s v="N/A"/>
    <s v="N/A"/>
    <s v="Feb"/>
    <n v="2026"/>
  </r>
  <r>
    <n v="519"/>
    <x v="2"/>
    <x v="25"/>
    <s v="Actual"/>
    <x v="13"/>
    <m/>
    <s v="IGCC"/>
    <s v="Payroll Feb"/>
    <n v="103315"/>
    <s v="N/A"/>
    <s v="N/A"/>
    <s v="N/A"/>
    <s v="Feb"/>
    <n v="2026"/>
  </r>
  <r>
    <n v="520"/>
    <x v="1"/>
    <x v="1"/>
    <s v="Actual"/>
    <x v="13"/>
    <m/>
    <s v="IGCC"/>
    <s v="Management Payroll"/>
    <n v="83000"/>
    <s v="N/A"/>
    <s v="N/A"/>
    <s v="N/A"/>
    <s v="Feb"/>
    <n v="2026"/>
  </r>
  <r>
    <n v="521"/>
    <x v="12"/>
    <x v="32"/>
    <s v="Actual"/>
    <x v="13"/>
    <m/>
    <s v="IGCC"/>
    <s v="Payroll Feb"/>
    <n v="78723"/>
    <s v="N/A"/>
    <s v="N/A"/>
    <s v="N/A"/>
    <s v="Feb"/>
    <n v="2026"/>
  </r>
  <r>
    <n v="522"/>
    <x v="7"/>
    <x v="22"/>
    <s v="Actual"/>
    <x v="13"/>
    <m/>
    <s v="IGCC"/>
    <s v="Payroll Feb"/>
    <n v="76387"/>
    <s v="N/A"/>
    <s v="N/A"/>
    <s v="N/A"/>
    <s v="Feb"/>
    <n v="2026"/>
  </r>
  <r>
    <n v="523"/>
    <x v="6"/>
    <x v="7"/>
    <s v="Actual"/>
    <x v="13"/>
    <m/>
    <s v="IGCC"/>
    <s v="Payroll Feb"/>
    <n v="72887"/>
    <s v="N/A"/>
    <s v="N/A"/>
    <s v="N/A"/>
    <s v="Feb"/>
    <n v="2026"/>
  </r>
  <r>
    <n v="524"/>
    <x v="2"/>
    <x v="20"/>
    <s v="Actual"/>
    <x v="13"/>
    <m/>
    <s v="IGCC"/>
    <s v="Payroll Feb"/>
    <n v="52997"/>
    <s v="N/A"/>
    <s v="N/A"/>
    <s v="N/A"/>
    <s v="Feb"/>
    <n v="2026"/>
  </r>
  <r>
    <n v="525"/>
    <x v="2"/>
    <x v="17"/>
    <s v="Actual"/>
    <x v="13"/>
    <m/>
    <s v="IGCC"/>
    <s v="Payroll Feb"/>
    <n v="48283"/>
    <s v="N/A"/>
    <s v="N/A"/>
    <s v="N/A"/>
    <s v="Feb"/>
    <n v="2026"/>
  </r>
  <r>
    <n v="526"/>
    <x v="7"/>
    <x v="19"/>
    <s v="Actual"/>
    <x v="13"/>
    <m/>
    <s v="IGCC"/>
    <s v="Payroll Feb"/>
    <n v="34423"/>
    <s v="N/A"/>
    <s v="N/A"/>
    <s v="N/A"/>
    <s v="Feb"/>
    <n v="2026"/>
  </r>
  <r>
    <n v="527"/>
    <x v="2"/>
    <x v="36"/>
    <s v="Actual"/>
    <x v="13"/>
    <m/>
    <s v="IGCC"/>
    <s v="Payroll Feb"/>
    <n v="27842"/>
    <s v="N/A"/>
    <s v="N/A"/>
    <s v="N/A"/>
    <s v="Feb"/>
    <n v="2026"/>
  </r>
  <r>
    <n v="528"/>
    <x v="11"/>
    <x v="35"/>
    <s v="Actual"/>
    <x v="13"/>
    <m/>
    <s v="IGCC"/>
    <s v="Payroll Feb"/>
    <n v="23495"/>
    <s v="N/A"/>
    <s v="N/A"/>
    <s v="N/A"/>
    <s v="Feb"/>
    <n v="2026"/>
  </r>
  <r>
    <n v="529"/>
    <x v="2"/>
    <x v="28"/>
    <s v="Actual"/>
    <x v="13"/>
    <m/>
    <s v="IGCC"/>
    <s v="Payroll Feb"/>
    <n v="23259"/>
    <s v="N/A"/>
    <s v="N/A"/>
    <s v="N/A"/>
    <s v="Feb"/>
    <n v="2026"/>
  </r>
  <r>
    <n v="530"/>
    <x v="2"/>
    <x v="24"/>
    <s v="Actual"/>
    <x v="13"/>
    <m/>
    <s v="IGCC"/>
    <s v="Payroll Feb"/>
    <n v="20533"/>
    <s v="N/A"/>
    <s v="N/A"/>
    <s v="N/A"/>
    <s v="Feb"/>
    <n v="2026"/>
  </r>
  <r>
    <n v="531"/>
    <x v="0"/>
    <x v="0"/>
    <s v="Actual"/>
    <x v="13"/>
    <m/>
    <s v="IGCC"/>
    <s v="Feb 26 transport allowance"/>
    <n v="18027.027027027027"/>
    <s v="N/A"/>
    <s v="N/A"/>
    <s v="N/A"/>
    <s v="Feb"/>
    <n v="2026"/>
  </r>
  <r>
    <n v="532"/>
    <x v="5"/>
    <x v="27"/>
    <s v="Actual"/>
    <x v="13"/>
    <m/>
    <s v="IGCC"/>
    <s v="Payroll Feb"/>
    <n v="16120"/>
    <s v="N/A"/>
    <s v="N/A"/>
    <s v="N/A"/>
    <s v="Feb"/>
    <n v="2026"/>
  </r>
  <r>
    <n v="533"/>
    <x v="7"/>
    <x v="34"/>
    <s v="Actual"/>
    <x v="13"/>
    <m/>
    <s v="IGCC"/>
    <s v="Payroll Feb"/>
    <n v="15162"/>
    <s v="N/A"/>
    <s v="N/A"/>
    <s v="N/A"/>
    <s v="Feb"/>
    <n v="2026"/>
  </r>
  <r>
    <n v="534"/>
    <x v="0"/>
    <x v="0"/>
    <s v="Actual"/>
    <x v="13"/>
    <m/>
    <s v="IGCC"/>
    <s v="Off Payroll Feb"/>
    <n v="9500"/>
    <s v="N/A"/>
    <s v="N/A"/>
    <s v="N/A"/>
    <s v="Feb"/>
    <n v="2026"/>
  </r>
  <r>
    <n v="535"/>
    <x v="2"/>
    <x v="37"/>
    <s v="Actual"/>
    <x v="13"/>
    <m/>
    <s v="IGCC"/>
    <s v="Payroll Feb"/>
    <n v="3782"/>
    <s v="N/A"/>
    <s v="N/A"/>
    <s v="N/A"/>
    <s v="Feb"/>
    <n v="2026"/>
  </r>
  <r>
    <n v="536"/>
    <x v="2"/>
    <x v="33"/>
    <s v="Actual"/>
    <x v="13"/>
    <m/>
    <s v="IGCC"/>
    <s v="Payroll Feb"/>
    <n v="2354"/>
    <s v="N/A"/>
    <s v="N/A"/>
    <s v="N/A"/>
    <s v="Feb"/>
    <n v="2026"/>
  </r>
  <r>
    <n v="537"/>
    <x v="2"/>
    <x v="18"/>
    <s v="Actual"/>
    <x v="13"/>
    <m/>
    <s v="IGCC"/>
    <s v="Payroll Feb"/>
    <n v="2228"/>
    <s v="N/A"/>
    <s v="N/A"/>
    <s v="N/A"/>
    <s v="Feb"/>
    <n v="2026"/>
  </r>
  <r>
    <n v="538"/>
    <x v="2"/>
    <x v="26"/>
    <s v="Actual"/>
    <x v="13"/>
    <m/>
    <s v="IGCC"/>
    <s v="Payroll Feb"/>
    <n v="1694"/>
    <s v="N/A"/>
    <s v="N/A"/>
    <s v="N/A"/>
    <s v="Feb"/>
    <n v="2026"/>
  </r>
  <r>
    <n v="539"/>
    <x v="7"/>
    <x v="29"/>
    <s v="Actual"/>
    <x v="13"/>
    <m/>
    <s v="IGCC"/>
    <s v="Payroll Feb"/>
    <n v="215"/>
    <s v="N/A"/>
    <s v="N/A"/>
    <s v="N/A"/>
    <s v="Feb"/>
    <n v="2026"/>
  </r>
  <r>
    <n v="540"/>
    <x v="4"/>
    <x v="4"/>
    <s v="Actual"/>
    <x v="14"/>
    <m/>
    <s v="Al Ajdar For General Trading and General Purchasing Ltd"/>
    <s v="Welding"/>
    <n v="564239.24"/>
    <s v="N/A"/>
    <s v="N/A"/>
    <s v="N/A"/>
    <s v="Feb"/>
    <n v="2026"/>
  </r>
  <r>
    <n v="542"/>
    <x v="8"/>
    <x v="14"/>
    <s v="Accrual"/>
    <x v="14"/>
    <m/>
    <s v="Maraba Al Rafidain"/>
    <s v="Welding"/>
    <n v="238369.09"/>
    <s v="N/A"/>
    <s v="N/A"/>
    <s v="N/A"/>
    <s v="Feb"/>
    <n v="2026"/>
  </r>
  <r>
    <n v="543"/>
    <x v="2"/>
    <x v="17"/>
    <s v="Accrual"/>
    <x v="14"/>
    <m/>
    <s v="Al Ajdar For General Trading and General Purchasing Ltd"/>
    <s v="Welding"/>
    <n v="79296"/>
    <s v="N/A"/>
    <s v="N/A"/>
    <s v="N/A"/>
    <s v="Feb"/>
    <n v="2026"/>
  </r>
  <r>
    <n v="545"/>
    <x v="4"/>
    <x v="4"/>
    <s v="Accrual"/>
    <x v="14"/>
    <m/>
    <s v="Taqadm Albasrah"/>
    <s v="Civil works"/>
    <n v="53520.6"/>
    <s v="N/A"/>
    <s v="N/A"/>
    <s v="N/A"/>
    <s v="Feb"/>
    <n v="2026"/>
  </r>
  <r>
    <n v="546"/>
    <x v="4"/>
    <x v="4"/>
    <s v="Accrual"/>
    <x v="14"/>
    <m/>
    <s v="NAC Logistic"/>
    <s v="Civil works"/>
    <n v="49531.8"/>
    <s v="N/A"/>
    <s v="N/A"/>
    <s v="N/A"/>
    <s v="Feb"/>
    <n v="2026"/>
  </r>
  <r>
    <n v="547"/>
    <x v="2"/>
    <x v="24"/>
    <s v="Accrual"/>
    <x v="14"/>
    <m/>
    <s v="Jafar Mohammed shawa"/>
    <s v="Welding"/>
    <n v="47328.859060402683"/>
    <s v="N/A"/>
    <s v="N/A"/>
    <s v="N/A"/>
    <s v="Feb"/>
    <n v="2026"/>
  </r>
  <r>
    <n v="548"/>
    <x v="5"/>
    <x v="5"/>
    <s v="Accrual"/>
    <x v="14"/>
    <m/>
    <s v="Haider Ali Abd"/>
    <s v="Civil works"/>
    <n v="6551.0067114093963"/>
    <s v="N/A"/>
    <s v="N/A"/>
    <s v="N/A"/>
    <s v="Feb"/>
    <n v="2026"/>
  </r>
  <r>
    <n v="549"/>
    <x v="9"/>
    <x v="16"/>
    <s v="Actual"/>
    <x v="14"/>
    <m/>
    <s v="Petty Cash"/>
    <s v="محجر مع دنكه + عمال عدد/4 مع الطعام والنقل + شراء منظفات"/>
    <n v="377.18120805369125"/>
    <n v="163"/>
    <s v="19/2/2026"/>
    <s v="N/A"/>
    <s v="Feb"/>
    <n v="2026"/>
  </r>
  <r>
    <n v="550"/>
    <x v="5"/>
    <x v="5"/>
    <s v="Accrual"/>
    <x v="15"/>
    <m/>
    <s v="Taqadm Albasrah"/>
    <s v="labourers"/>
    <n v="15330.20134228188"/>
    <s v="N/A"/>
    <s v="N/A"/>
    <s v="N/A"/>
    <s v="Feb"/>
    <n v="2026"/>
  </r>
  <r>
    <n v="551"/>
    <x v="5"/>
    <x v="6"/>
    <s v="Accrual"/>
    <x v="15"/>
    <m/>
    <s v="Taqadm Albasrah"/>
    <s v="labourers"/>
    <n v="5907.3825503355702"/>
    <s v="N/A"/>
    <s v="N/A"/>
    <s v="N/A"/>
    <s v="Feb"/>
    <n v="2026"/>
  </r>
  <r>
    <n v="552"/>
    <x v="0"/>
    <x v="0"/>
    <s v="Actual"/>
    <x v="15"/>
    <m/>
    <s v="Petty Cash"/>
    <s v="OV for Sep.25"/>
    <n v="2979.8657718120803"/>
    <s v="##"/>
    <d v="2026-04-02T00:00:00"/>
    <s v="N/A"/>
    <s v="Feb"/>
    <n v="2026"/>
  </r>
  <r>
    <n v="553"/>
    <x v="2"/>
    <x v="17"/>
    <s v="Accrual"/>
    <x v="15"/>
    <m/>
    <s v="Al-Zubair Gate"/>
    <s v="labourers"/>
    <n v="2620.6896551724139"/>
    <s v="N/A"/>
    <s v="N/A"/>
    <s v="N/A"/>
    <s v="Feb"/>
    <n v="2026"/>
  </r>
  <r>
    <n v="554"/>
    <x v="0"/>
    <x v="0"/>
    <s v="Actual"/>
    <x v="15"/>
    <m/>
    <s v="Petty Cash"/>
    <s v="Top Three Logistics KPI's – Performance Motivation Scheme-January Ali Shihab "/>
    <n v="1006.7114093959732"/>
    <s v="##"/>
    <s v="25/2/2026"/>
    <s v="N/A"/>
    <s v="Feb"/>
    <n v="2026"/>
  </r>
  <r>
    <n v="555"/>
    <x v="5"/>
    <x v="21"/>
    <s v="Accrual"/>
    <x v="15"/>
    <m/>
    <s v="Taqadm Albasrah"/>
    <s v="labourers"/>
    <n v="797.31543624161077"/>
    <s v="N/A"/>
    <s v="N/A"/>
    <s v="N/A"/>
    <s v="Feb"/>
    <n v="2026"/>
  </r>
  <r>
    <n v="556"/>
    <x v="0"/>
    <x v="0"/>
    <s v="Actual"/>
    <x v="15"/>
    <m/>
    <s v="Petty Cash"/>
    <s v="Feb.26 Salary"/>
    <n v="402.68456375838929"/>
    <s v="##"/>
    <s v="28/2/2026"/>
    <s v="N/A"/>
    <s v="Feb"/>
    <n v="2026"/>
  </r>
  <r>
    <n v="557"/>
    <x v="0"/>
    <x v="0"/>
    <s v="Actual"/>
    <x v="15"/>
    <m/>
    <s v="Petty Cash"/>
    <s v="OV from HA"/>
    <n v="151.00671140939596"/>
    <n v="2353"/>
    <s v="23/2/2026"/>
    <s v="N/A"/>
    <s v="Feb"/>
    <n v="2026"/>
  </r>
  <r>
    <n v="558"/>
    <x v="4"/>
    <x v="4"/>
    <s v="Accrual"/>
    <x v="16"/>
    <m/>
    <s v="Border Transportaion / Al Hodod"/>
    <s v="TT-DC-FL-UR Hydrovac"/>
    <n v="160020.30201342283"/>
    <s v="N/A"/>
    <s v="N/A"/>
    <s v="N/A"/>
    <s v="Feb"/>
    <n v="2026"/>
  </r>
  <r>
    <n v="559"/>
    <x v="4"/>
    <x v="4"/>
    <s v="Accrual"/>
    <x v="16"/>
    <m/>
    <s v="Border Transportaion / Al Hodod"/>
    <s v="TT-DC-AG25-CV-UR Hydrovac"/>
    <n v="61320.80536912752"/>
    <s v="N/A"/>
    <s v="N/A"/>
    <s v="N/A"/>
    <s v="Feb"/>
    <n v="2026"/>
  </r>
  <r>
    <n v="560"/>
    <x v="2"/>
    <x v="12"/>
    <s v="Actual"/>
    <x v="16"/>
    <m/>
    <s v="FAS General Contracting"/>
    <s v="Testing/Calibration"/>
    <n v="26000"/>
    <s v="2026000005"/>
    <d v="2026-01-28T00:00:00"/>
    <n v="2026400655"/>
    <s v="Feb"/>
    <n v="2026"/>
  </r>
  <r>
    <n v="561"/>
    <x v="5"/>
    <x v="6"/>
    <s v="Accrual"/>
    <x v="16"/>
    <m/>
    <s v="Border Transportaion / Al Hodod"/>
    <s v="Hydrovac"/>
    <n v="23629.167785234898"/>
    <s v="N/A"/>
    <s v="N/A"/>
    <s v="N/A"/>
    <s v="Feb"/>
    <n v="2026"/>
  </r>
  <r>
    <n v="562"/>
    <x v="5"/>
    <x v="13"/>
    <s v="Accrual"/>
    <x v="16"/>
    <m/>
    <s v="Border Transportaion / Al Hodod"/>
    <s v="Hydrovac"/>
    <n v="17613.422818791947"/>
    <s v="N/A"/>
    <s v="N/A"/>
    <s v="N/A"/>
    <s v="Feb"/>
    <n v="2026"/>
  </r>
  <r>
    <n v="563"/>
    <x v="4"/>
    <x v="4"/>
    <s v="Accrual"/>
    <x v="16"/>
    <m/>
    <s v="Border Transportaion / Al Hodod"/>
    <s v=" Hydrovac TT-DC-FL-GRE-UR"/>
    <n v="11872.75167785235"/>
    <s v="N/A"/>
    <s v="N/A"/>
    <s v="N/A"/>
    <s v="Feb"/>
    <n v="2026"/>
  </r>
  <r>
    <n v="564"/>
    <x v="6"/>
    <x v="7"/>
    <s v="Accrual"/>
    <x v="16"/>
    <m/>
    <s v="Fasco LLC FZ"/>
    <s v="General services"/>
    <n v="10354.223433242507"/>
    <s v="N/A"/>
    <s v="N/A"/>
    <s v="N/A"/>
    <s v="Feb"/>
    <n v="2026"/>
  </r>
  <r>
    <n v="565"/>
    <x v="2"/>
    <x v="12"/>
    <s v="Accrual"/>
    <x v="16"/>
    <m/>
    <s v="Border Transportaion / Al Hodod"/>
    <s v="Hydrovac"/>
    <n v="9002.4161073825508"/>
    <s v="N/A"/>
    <s v="N/A"/>
    <s v="N/A"/>
    <s v="Feb"/>
    <n v="2026"/>
  </r>
  <r>
    <n v="566"/>
    <x v="5"/>
    <x v="5"/>
    <s v="Accrual"/>
    <x v="16"/>
    <m/>
    <s v="Border Transportaion / Al Hodod"/>
    <s v="Hydrovac"/>
    <n v="7991.2751677852348"/>
    <s v="N/A"/>
    <s v="N/A"/>
    <s v="N/A"/>
    <s v="Feb"/>
    <n v="2026"/>
  </r>
  <r>
    <n v="567"/>
    <x v="2"/>
    <x v="12"/>
    <s v="Actual"/>
    <x v="16"/>
    <m/>
    <s v="AL JUTHOOR WORKSHOP"/>
    <s v="Testing/Calibration"/>
    <n v="6880.5369127516778"/>
    <s v="000692"/>
    <d v="2026-02-23T00:00:00"/>
    <n v="2026400696"/>
    <s v="Feb"/>
    <n v="2026"/>
  </r>
  <r>
    <n v="568"/>
    <x v="7"/>
    <x v="22"/>
    <s v="Actual"/>
    <x v="16"/>
    <m/>
    <s v="NAYA Co"/>
    <s v="Testing/Calibration"/>
    <n v="6250"/>
    <s v="TR26-11593"/>
    <d v="2026-02-06T00:00:00"/>
    <n v="2026400362"/>
    <s v="Feb"/>
    <n v="2026"/>
  </r>
  <r>
    <n v="569"/>
    <x v="7"/>
    <x v="19"/>
    <s v="Accrual"/>
    <x v="16"/>
    <m/>
    <s v="Border Transportaion / Al Hodod"/>
    <s v="Hydrovac"/>
    <n v="5391.6644295302012"/>
    <s v="N/A"/>
    <s v="N/A"/>
    <s v="N/A"/>
    <s v="Feb"/>
    <n v="2026"/>
  </r>
  <r>
    <n v="570"/>
    <x v="7"/>
    <x v="22"/>
    <s v="Accrual"/>
    <x v="16"/>
    <m/>
    <s v="Border Transportaion / Al Hodod"/>
    <s v="Hydrovac"/>
    <n v="5039.3959731543628"/>
    <s v="N/A"/>
    <s v="N/A"/>
    <s v="N/A"/>
    <s v="Feb"/>
    <n v="2026"/>
  </r>
  <r>
    <n v="571"/>
    <x v="4"/>
    <x v="4"/>
    <s v="Actual"/>
    <x v="16"/>
    <m/>
    <s v="Tiqaneyat Al-Taqaddum Co. (ATC)"/>
    <s v="Testing/Calibration"/>
    <n v="4500"/>
    <s v="ACC-SINV-2026-00405"/>
    <d v="2026-02-14T00:00:00"/>
    <n v="2026400880"/>
    <s v="Feb"/>
    <n v="2026"/>
  </r>
  <r>
    <n v="572"/>
    <x v="8"/>
    <x v="14"/>
    <s v="Actual"/>
    <x v="16"/>
    <m/>
    <s v="Basra Galvanizing Co."/>
    <s v="Testing/Calibration"/>
    <n v="4372.1476510067114"/>
    <s v="B.G.B.I.099"/>
    <d v="2026-02-11T00:00:00"/>
    <n v="2026400584"/>
    <s v="Feb"/>
    <n v="2026"/>
  </r>
  <r>
    <n v="573"/>
    <x v="8"/>
    <x v="32"/>
    <s v="Actual"/>
    <x v="16"/>
    <m/>
    <s v="Asia Company For Inspection"/>
    <s v="Testing/Calibration"/>
    <n v="2730"/>
    <s v="IGCC-AIC-INVOICE-  039"/>
    <d v="2026-01-26T00:00:00"/>
    <n v="2026400555"/>
    <s v="Feb"/>
    <n v="2026"/>
  </r>
  <r>
    <n v="574"/>
    <x v="2"/>
    <x v="2"/>
    <s v="Actual"/>
    <x v="16"/>
    <m/>
    <s v="AL JUTHOOR WORKSHOP"/>
    <s v="Testing/Calibration"/>
    <n v="2697.9865771812078"/>
    <s v="000690"/>
    <d v="2026-02-10T00:00:00"/>
    <n v="2026400586"/>
    <s v="Feb"/>
    <n v="2026"/>
  </r>
  <r>
    <n v="575"/>
    <x v="5"/>
    <x v="21"/>
    <s v="Actual"/>
    <x v="16"/>
    <m/>
    <s v="NAYA Co"/>
    <s v="Testing/Calibration"/>
    <n v="2650"/>
    <s v="TR26-11586"/>
    <d v="2026-02-02T00:00:00"/>
    <n v="2026400308"/>
    <s v="Feb"/>
    <n v="2026"/>
  </r>
  <r>
    <n v="576"/>
    <x v="8"/>
    <x v="14"/>
    <s v="Actual"/>
    <x v="16"/>
    <m/>
    <s v="Basra Galvanizing Co."/>
    <s v="Testing/Calibration"/>
    <n v="2587.4161073825503"/>
    <s v="B.G.B.I.098"/>
    <d v="2026-01-25T00:00:00"/>
    <n v="2026400584"/>
    <s v="Feb"/>
    <n v="2026"/>
  </r>
  <r>
    <n v="577"/>
    <x v="0"/>
    <x v="0"/>
    <s v="Actual"/>
    <x v="16"/>
    <m/>
    <s v="Petty Cash"/>
    <s v="Maintenance for basra office &amp; Staff residence"/>
    <n v="2439.5973154362414"/>
    <s v="##"/>
    <s v="28/2/2026"/>
    <s v="N/A"/>
    <s v="Feb"/>
    <n v="2026"/>
  </r>
  <r>
    <n v="578"/>
    <x v="2"/>
    <x v="2"/>
    <s v="Actual"/>
    <x v="16"/>
    <m/>
    <s v="Petty Cash"/>
    <s v="Chemical composition analysis"/>
    <n v="2080.5369127516778"/>
    <n v="23798"/>
    <s v="15/2/2026"/>
    <s v="N/A"/>
    <s v="Feb"/>
    <n v="2026"/>
  </r>
  <r>
    <n v="579"/>
    <x v="2"/>
    <x v="24"/>
    <s v="Actual"/>
    <x v="16"/>
    <m/>
    <s v="Abraj Alshareq"/>
    <s v="Testing/Calibration"/>
    <n v="2013.4228187919464"/>
    <s v="##"/>
    <d v="2026-03-02T00:00:00"/>
    <n v="2026400544"/>
    <s v="Feb"/>
    <n v="2026"/>
  </r>
  <r>
    <n v="580"/>
    <x v="0"/>
    <x v="0"/>
    <s v="Actual"/>
    <x v="16"/>
    <m/>
    <s v="THE CPD CERTIFICATION SERVICE"/>
    <s v="Testing/Calibration"/>
    <n v="1838.77"/>
    <s v="22272"/>
    <d v="2026-01-27T00:00:00"/>
    <n v="2026400395"/>
    <s v="Feb"/>
    <n v="2026"/>
  </r>
  <r>
    <n v="581"/>
    <x v="8"/>
    <x v="14"/>
    <s v="Actual"/>
    <x v="16"/>
    <m/>
    <s v="Al Shams Lab"/>
    <s v="Testing/Calibration"/>
    <n v="1812.0805369127518"/>
    <s v="787"/>
    <d v="2026-02-17T00:00:00"/>
    <n v="2026401028"/>
    <s v="Feb"/>
    <n v="2026"/>
  </r>
  <r>
    <n v="582"/>
    <x v="4"/>
    <x v="4"/>
    <s v="Actual"/>
    <x v="16"/>
    <m/>
    <s v="Tiqaneyat Al-Taqaddum Co. (ATC)"/>
    <s v="Testing/Calibration"/>
    <n v="1800"/>
    <s v="ACC-SINV-2026-00406"/>
    <d v="2026-02-14T00:00:00"/>
    <n v="2026400880"/>
    <s v="Feb"/>
    <n v="2026"/>
  </r>
  <r>
    <n v="583"/>
    <x v="8"/>
    <x v="14"/>
    <s v="Actual"/>
    <x v="16"/>
    <m/>
    <s v="Basra Galvanizing Co."/>
    <s v="Testing/Calibration"/>
    <n v="1430.5369127516778"/>
    <s v="B.G.B.I.101"/>
    <d v="2026-02-23T00:00:00"/>
    <n v="2026400794"/>
    <s v="Feb"/>
    <n v="2026"/>
  </r>
  <r>
    <n v="584"/>
    <x v="4"/>
    <x v="4"/>
    <s v="Actual"/>
    <x v="16"/>
    <m/>
    <s v="GAMMA PETROLEUM SERVICES"/>
    <s v="Testing/Calibration"/>
    <n v="1349.6644295302012"/>
    <s v="20260223/01"/>
    <d v="2026-02-23T00:00:00"/>
    <n v="2026400657"/>
    <s v="Feb"/>
    <n v="2026"/>
  </r>
  <r>
    <n v="585"/>
    <x v="2"/>
    <x v="12"/>
    <s v="Actual"/>
    <x v="16"/>
    <m/>
    <s v="NAYA Co"/>
    <s v="Testing/Calibration"/>
    <n v="1200"/>
    <s v="TR26-11613"/>
    <d v="2026-02-11T00:00:00"/>
    <n v="2026400416"/>
    <s v="Feb"/>
    <n v="2026"/>
  </r>
  <r>
    <n v="586"/>
    <x v="5"/>
    <x v="13"/>
    <s v="Actual"/>
    <x v="16"/>
    <m/>
    <s v="Miqias Inspection instrumentation Calibration"/>
    <s v="Testing/Calibration"/>
    <n v="1057.0469798657718"/>
    <s v="INV.26-008"/>
    <d v="2026-01-31T00:00:00"/>
    <n v="2026400554"/>
    <s v="Feb"/>
    <n v="2026"/>
  </r>
  <r>
    <n v="587"/>
    <x v="5"/>
    <x v="13"/>
    <s v="Actual"/>
    <x v="16"/>
    <m/>
    <s v="Al Faw Company For Engineering Testing"/>
    <s v="Testing/Calibration"/>
    <n v="976.510067114094"/>
    <s v="19-15/26"/>
    <d v="2026-02-24T00:00:00"/>
    <n v="2026400796"/>
    <s v="Feb"/>
    <n v="2026"/>
  </r>
  <r>
    <n v="588"/>
    <x v="2"/>
    <x v="2"/>
    <s v="Actual"/>
    <x v="16"/>
    <m/>
    <s v="Petty Cash"/>
    <s v="Tensile test"/>
    <n v="939.59731543624162"/>
    <n v="61"/>
    <s v="15/2/2026"/>
    <s v="N/A"/>
    <s v="Feb"/>
    <n v="2026"/>
  </r>
  <r>
    <n v="589"/>
    <x v="4"/>
    <x v="4"/>
    <s v="Actual"/>
    <x v="16"/>
    <m/>
    <s v="Petty Cash"/>
    <s v="Maintenace printer &amp; toner"/>
    <n v="785.23489932885911"/>
    <s v="##"/>
    <s v="14/2/2026"/>
    <s v="N/A"/>
    <s v="Feb"/>
    <n v="2026"/>
  </r>
  <r>
    <n v="590"/>
    <x v="5"/>
    <x v="13"/>
    <s v="Actual"/>
    <x v="16"/>
    <m/>
    <s v="Miqias Inspection instrumentation Calibration"/>
    <s v="Testing/Calibration"/>
    <n v="704.69798657718115"/>
    <s v="INV.26-74"/>
    <d v="2026-01-31T00:00:00"/>
    <n v="2026400548"/>
    <s v="Feb"/>
    <n v="2026"/>
  </r>
  <r>
    <n v="591"/>
    <x v="5"/>
    <x v="13"/>
    <s v="Actual"/>
    <x v="16"/>
    <m/>
    <s v="Miqias Inspection instrumentation Calibration"/>
    <s v="Testing/Calibration"/>
    <n v="704.69798657718115"/>
    <s v="INV.26-009"/>
    <d v="2026-01-31T00:00:00"/>
    <n v="2026400553"/>
    <s v="Feb"/>
    <n v="2026"/>
  </r>
  <r>
    <n v="592"/>
    <x v="5"/>
    <x v="5"/>
    <s v="Actual"/>
    <x v="16"/>
    <m/>
    <s v="Petty Cash"/>
    <s v="Maintenace printer &amp; toner"/>
    <n v="671.14093959731542"/>
    <s v="##"/>
    <s v="14/2/2026"/>
    <s v="N/A"/>
    <s v="Feb"/>
    <n v="2026"/>
  </r>
  <r>
    <n v="593"/>
    <x v="5"/>
    <x v="13"/>
    <s v="Actual"/>
    <x v="16"/>
    <m/>
    <s v="Al Faw Company For Engineering Testing"/>
    <s v="Testing/Calibration"/>
    <n v="651.00671140939596"/>
    <s v="24-8/26"/>
    <d v="2026-01-29T00:00:00"/>
    <n v="2026400552"/>
    <s v="Feb"/>
    <n v="2026"/>
  </r>
  <r>
    <n v="594"/>
    <x v="5"/>
    <x v="13"/>
    <s v="Actual"/>
    <x v="16"/>
    <m/>
    <s v="Al Faw Company For Engineering Testing"/>
    <s v="Testing/Calibration"/>
    <n v="651.00671140939596"/>
    <s v="28-12/26"/>
    <d v="2026-02-02T00:00:00"/>
    <n v="2026400547"/>
    <s v="Feb"/>
    <n v="2026"/>
  </r>
  <r>
    <n v="595"/>
    <x v="5"/>
    <x v="13"/>
    <s v="Actual"/>
    <x v="16"/>
    <m/>
    <s v="Al Faw Company For Engineering Testing"/>
    <s v="Testing/Calibration"/>
    <n v="651.00671140939596"/>
    <s v="26-10/26"/>
    <d v="2026-01-31T00:00:00"/>
    <n v="2026400551"/>
    <s v="Feb"/>
    <n v="2026"/>
  </r>
  <r>
    <n v="596"/>
    <x v="5"/>
    <x v="13"/>
    <s v="Actual"/>
    <x v="16"/>
    <m/>
    <s v="Petty Cash"/>
    <s v="Maintenace printer &amp; toner"/>
    <n v="496.6442953020134"/>
    <s v="##"/>
    <s v="14/2/2026"/>
    <s v="N/A"/>
    <s v="Feb"/>
    <n v="2026"/>
  </r>
  <r>
    <n v="597"/>
    <x v="2"/>
    <x v="17"/>
    <s v="Actual"/>
    <x v="16"/>
    <m/>
    <s v="DMC FOR PETROLEUM SERVICES &amp; CONTRACTING"/>
    <s v="Testing/Calibration"/>
    <n v="490.60402684563758"/>
    <s v="DMC-IGCC-INV-26-0110"/>
    <d v="2026-01-28T00:00:00"/>
    <n v="2026400797"/>
    <s v="Feb"/>
    <n v="2026"/>
  </r>
  <r>
    <n v="598"/>
    <x v="5"/>
    <x v="6"/>
    <s v="Actual"/>
    <x v="16"/>
    <m/>
    <s v="Basra Galvanizing Co."/>
    <s v="Testing/Calibration"/>
    <n v="453.3557046979866"/>
    <s v="B.G.B.I.102"/>
    <d v="2026-02-24T00:00:00"/>
    <n v="2026400793"/>
    <s v="Feb"/>
    <n v="2026"/>
  </r>
  <r>
    <n v="599"/>
    <x v="4"/>
    <x v="4"/>
    <s v="Actual"/>
    <x v="16"/>
    <m/>
    <s v="DMC FOR PETROLEUM SERVICES &amp; CONTRACTING"/>
    <s v="Testing/Calibration"/>
    <n v="322.14765100671138"/>
    <s v="DMC-IGCC-INV-26-0107"/>
    <d v="2026-01-27T00:00:00"/>
    <n v="2026400438"/>
    <s v="Feb"/>
    <n v="2026"/>
  </r>
  <r>
    <n v="600"/>
    <x v="4"/>
    <x v="4"/>
    <s v="Actual"/>
    <x v="16"/>
    <m/>
    <s v="AL JUTHOOR WORKSHOP"/>
    <s v="Testing/Calibration"/>
    <n v="281.87919463087246"/>
    <s v="000659"/>
    <d v="2026-02-02T00:00:00"/>
    <n v="2026400890"/>
    <s v="Feb"/>
    <n v="2026"/>
  </r>
  <r>
    <n v="601"/>
    <x v="0"/>
    <x v="0"/>
    <s v="Actual"/>
    <x v="16"/>
    <m/>
    <s v="Ras Al Khaimah Advanced Businees Solutions"/>
    <s v="SAP"/>
    <n v="180"/>
    <s v="2026000361"/>
    <d v="2026-02-28T00:00:00"/>
    <s v="N/A"/>
    <s v="Feb"/>
    <n v="2026"/>
  </r>
  <r>
    <n v="602"/>
    <x v="0"/>
    <x v="0"/>
    <s v="Actual"/>
    <x v="16"/>
    <m/>
    <s v="Ras Al Khaimah Advanced Businees Solutions"/>
    <s v="SAP"/>
    <n v="120"/>
    <s v="2026000362"/>
    <d v="2026-02-28T00:00:00"/>
    <s v="N/A"/>
    <s v="Feb"/>
    <n v="2026"/>
  </r>
  <r>
    <n v="603"/>
    <x v="5"/>
    <x v="21"/>
    <s v="Actual"/>
    <x v="16"/>
    <m/>
    <s v="DMC FOR PETROLEUM SERVICES &amp; CONTRACTING"/>
    <s v="Testing/Calibration"/>
    <n v="67.114093959731548"/>
    <s v="DMC-IGCC-INV-26-0103"/>
    <d v="2026-01-26T00:00:00"/>
    <n v="2026400319"/>
    <s v="Feb"/>
    <n v="2026"/>
  </r>
  <r>
    <n v="604"/>
    <x v="0"/>
    <x v="0"/>
    <s v="Actual"/>
    <x v="17"/>
    <m/>
    <s v="Petty Cash"/>
    <s v="Expens Claim for Baghdad &amp; ُErbil"/>
    <n v="1006.7114093959732"/>
    <s v="##"/>
    <d v="2026-08-02T00:00:00"/>
    <s v="N/A"/>
    <s v="Feb"/>
    <n v="2026"/>
  </r>
  <r>
    <n v="605"/>
    <x v="9"/>
    <x v="16"/>
    <s v="Actual"/>
    <x v="17"/>
    <m/>
    <s v="Petty Cash"/>
    <s v="Expens Claim for KRK - Hotel 5 days"/>
    <n v="822.14765100671138"/>
    <s v="##"/>
    <s v="14/2/2026"/>
    <s v="N/A"/>
    <s v="Feb"/>
    <n v="2026"/>
  </r>
  <r>
    <n v="606"/>
    <x v="0"/>
    <x v="0"/>
    <s v="Actual"/>
    <x v="17"/>
    <m/>
    <s v="Petty Cash"/>
    <s v="Visa fees for ( omer Jamal Kamal &amp; Ahmed Mohammed AlSaid Salah)"/>
    <n v="712.75167785234896"/>
    <s v="##"/>
    <d v="2026-01-02T00:00:00"/>
    <s v="N/A"/>
    <s v="Feb"/>
    <n v="2026"/>
  </r>
  <r>
    <n v="607"/>
    <x v="0"/>
    <x v="0"/>
    <s v="Actual"/>
    <x v="17"/>
    <m/>
    <s v="Petty Cash"/>
    <s v="travel pocket money"/>
    <n v="704.69798657718115"/>
    <n v="2346"/>
    <s v="17/2/2026"/>
    <s v="N/A"/>
    <s v="Feb"/>
    <n v="2026"/>
  </r>
  <r>
    <n v="608"/>
    <x v="0"/>
    <x v="0"/>
    <s v="Actual"/>
    <x v="17"/>
    <m/>
    <s v="Petty Cash"/>
    <s v="Expens Claim for Amman"/>
    <n v="654.3624161073825"/>
    <s v="##"/>
    <s v="14/2/2026"/>
    <s v="N/A"/>
    <s v="Feb"/>
    <n v="2026"/>
  </r>
  <r>
    <n v="609"/>
    <x v="0"/>
    <x v="0"/>
    <s v="Actual"/>
    <x v="17"/>
    <m/>
    <s v="Petty Cash"/>
    <s v="Expense Claim"/>
    <n v="550.33557046979865"/>
    <s v="##"/>
    <s v="16/2/2026"/>
    <s v="N/A"/>
    <s v="Feb"/>
    <n v="2026"/>
  </r>
  <r>
    <n v="610"/>
    <x v="0"/>
    <x v="0"/>
    <s v="Actual"/>
    <x v="17"/>
    <m/>
    <s v="Petty Cash"/>
    <s v="Expense Claim"/>
    <n v="211.40939597315437"/>
    <s v="##"/>
    <s v="15/2/2026"/>
    <s v="N/A"/>
    <s v="Feb"/>
    <n v="2026"/>
  </r>
  <r>
    <n v="611"/>
    <x v="0"/>
    <x v="0"/>
    <s v="Actual"/>
    <x v="17"/>
    <m/>
    <s v="Petty Cash"/>
    <s v="Expense Claim"/>
    <n v="208.05369127516778"/>
    <s v="##"/>
    <s v="25/1/2026"/>
    <s v="N/A"/>
    <s v="Feb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0497A-4810-4CF9-8A00-617713106B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57" firstHeaderRow="1" firstDataRow="2" firstDataCol="1"/>
  <pivotFields count="14">
    <pivotField showAll="0"/>
    <pivotField axis="axisRow" showAll="0">
      <items count="15">
        <item m="1" x="13"/>
        <item x="5"/>
        <item x="11"/>
        <item x="8"/>
        <item x="0"/>
        <item x="9"/>
        <item x="1"/>
        <item x="12"/>
        <item x="10"/>
        <item x="6"/>
        <item x="7"/>
        <item x="2"/>
        <item x="4"/>
        <item x="3"/>
        <item t="default"/>
      </items>
    </pivotField>
    <pivotField axis="axisRow" showAll="0">
      <items count="40">
        <item x="13"/>
        <item x="14"/>
        <item x="11"/>
        <item x="25"/>
        <item x="30"/>
        <item x="19"/>
        <item x="22"/>
        <item x="34"/>
        <item x="24"/>
        <item x="17"/>
        <item x="3"/>
        <item x="9"/>
        <item x="35"/>
        <item x="16"/>
        <item x="7"/>
        <item x="4"/>
        <item x="0"/>
        <item x="6"/>
        <item x="26"/>
        <item x="37"/>
        <item x="1"/>
        <item x="27"/>
        <item m="1" x="38"/>
        <item x="31"/>
        <item x="29"/>
        <item x="20"/>
        <item x="32"/>
        <item x="23"/>
        <item x="12"/>
        <item x="28"/>
        <item x="2"/>
        <item x="18"/>
        <item x="15"/>
        <item x="10"/>
        <item x="8"/>
        <item x="21"/>
        <item x="36"/>
        <item x="5"/>
        <item x="33"/>
        <item t="default"/>
      </items>
    </pivotField>
    <pivotField showAll="0"/>
    <pivotField axis="axisCol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</pivotFields>
  <rowFields count="2">
    <field x="1"/>
    <field x="2"/>
  </rowFields>
  <rowItems count="53">
    <i>
      <x v="1"/>
    </i>
    <i r="1">
      <x/>
    </i>
    <i r="1">
      <x v="11"/>
    </i>
    <i r="1">
      <x v="17"/>
    </i>
    <i r="1">
      <x v="21"/>
    </i>
    <i r="1">
      <x v="27"/>
    </i>
    <i r="1">
      <x v="32"/>
    </i>
    <i r="1">
      <x v="35"/>
    </i>
    <i r="1">
      <x v="37"/>
    </i>
    <i>
      <x v="2"/>
    </i>
    <i r="1">
      <x v="12"/>
    </i>
    <i>
      <x v="3"/>
    </i>
    <i r="1">
      <x v="1"/>
    </i>
    <i r="1">
      <x v="26"/>
    </i>
    <i>
      <x v="4"/>
    </i>
    <i r="1">
      <x v="16"/>
    </i>
    <i>
      <x v="5"/>
    </i>
    <i r="1">
      <x v="13"/>
    </i>
    <i>
      <x v="6"/>
    </i>
    <i r="1">
      <x v="20"/>
    </i>
    <i>
      <x v="7"/>
    </i>
    <i r="1">
      <x v="26"/>
    </i>
    <i>
      <x v="8"/>
    </i>
    <i r="1">
      <x v="4"/>
    </i>
    <i>
      <x v="9"/>
    </i>
    <i r="1">
      <x v="14"/>
    </i>
    <i>
      <x v="10"/>
    </i>
    <i r="1">
      <x v="5"/>
    </i>
    <i r="1">
      <x v="6"/>
    </i>
    <i r="1">
      <x v="7"/>
    </i>
    <i r="1">
      <x v="23"/>
    </i>
    <i r="1">
      <x v="24"/>
    </i>
    <i r="1">
      <x v="33"/>
    </i>
    <i>
      <x v="11"/>
    </i>
    <i r="1">
      <x v="2"/>
    </i>
    <i r="1">
      <x v="3"/>
    </i>
    <i r="1">
      <x v="8"/>
    </i>
    <i r="1">
      <x v="9"/>
    </i>
    <i r="1">
      <x v="18"/>
    </i>
    <i r="1">
      <x v="19"/>
    </i>
    <i r="1">
      <x v="25"/>
    </i>
    <i r="1">
      <x v="28"/>
    </i>
    <i r="1">
      <x v="29"/>
    </i>
    <i r="1">
      <x v="30"/>
    </i>
    <i r="1">
      <x v="31"/>
    </i>
    <i r="1">
      <x v="34"/>
    </i>
    <i r="1">
      <x v="36"/>
    </i>
    <i r="1">
      <x v="38"/>
    </i>
    <i>
      <x v="12"/>
    </i>
    <i r="1">
      <x v="15"/>
    </i>
    <i>
      <x v="13"/>
    </i>
    <i r="1">
      <x v="10"/>
    </i>
    <i t="grand">
      <x/>
    </i>
  </rowItems>
  <colFields count="1">
    <field x="4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Invoice Amount USD" fld="8" baseField="0" baseItem="0" numFmtId="2"/>
  </dataFields>
  <formats count="27"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4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1" count="1" selected="0">
            <x v="1"/>
          </reference>
          <reference field="2" count="8">
            <x v="0"/>
            <x v="11"/>
            <x v="17"/>
            <x v="21"/>
            <x v="27"/>
            <x v="32"/>
            <x v="35"/>
            <x v="37"/>
          </reference>
        </references>
      </pivotArea>
    </format>
    <format dxfId="17">
      <pivotArea dataOnly="0" labelOnly="1" fieldPosition="0">
        <references count="2">
          <reference field="1" count="1" selected="0">
            <x v="2"/>
          </reference>
          <reference field="2" count="1">
            <x v="12"/>
          </reference>
        </references>
      </pivotArea>
    </format>
    <format dxfId="16">
      <pivotArea dataOnly="0" labelOnly="1" fieldPosition="0">
        <references count="2">
          <reference field="1" count="1" selected="0">
            <x v="3"/>
          </reference>
          <reference field="2" count="2">
            <x v="1"/>
            <x v="26"/>
          </reference>
        </references>
      </pivotArea>
    </format>
    <format dxfId="15">
      <pivotArea dataOnly="0" labelOnly="1" fieldPosition="0">
        <references count="2">
          <reference field="1" count="1" selected="0">
            <x v="4"/>
          </reference>
          <reference field="2" count="1">
            <x v="16"/>
          </reference>
        </references>
      </pivotArea>
    </format>
    <format dxfId="14">
      <pivotArea dataOnly="0" labelOnly="1" fieldPosition="0">
        <references count="2">
          <reference field="1" count="1" selected="0">
            <x v="5"/>
          </reference>
          <reference field="2" count="1">
            <x v="13"/>
          </reference>
        </references>
      </pivotArea>
    </format>
    <format dxfId="13">
      <pivotArea dataOnly="0" labelOnly="1" fieldPosition="0">
        <references count="2">
          <reference field="1" count="1" selected="0">
            <x v="6"/>
          </reference>
          <reference field="2" count="1">
            <x v="20"/>
          </reference>
        </references>
      </pivotArea>
    </format>
    <format dxfId="12">
      <pivotArea dataOnly="0" labelOnly="1" fieldPosition="0">
        <references count="2">
          <reference field="1" count="1" selected="0">
            <x v="7"/>
          </reference>
          <reference field="2" count="1">
            <x v="26"/>
          </reference>
        </references>
      </pivotArea>
    </format>
    <format dxfId="11">
      <pivotArea dataOnly="0" labelOnly="1" fieldPosition="0">
        <references count="2">
          <reference field="1" count="1" selected="0">
            <x v="8"/>
          </reference>
          <reference field="2" count="1">
            <x v="4"/>
          </reference>
        </references>
      </pivotArea>
    </format>
    <format dxfId="10">
      <pivotArea dataOnly="0" labelOnly="1" fieldPosition="0">
        <references count="2">
          <reference field="1" count="1" selected="0">
            <x v="9"/>
          </reference>
          <reference field="2" count="1">
            <x v="14"/>
          </reference>
        </references>
      </pivotArea>
    </format>
    <format dxfId="9">
      <pivotArea dataOnly="0" labelOnly="1" fieldPosition="0">
        <references count="2">
          <reference field="1" count="1" selected="0">
            <x v="10"/>
          </reference>
          <reference field="2" count="6">
            <x v="5"/>
            <x v="6"/>
            <x v="7"/>
            <x v="23"/>
            <x v="24"/>
            <x v="33"/>
          </reference>
        </references>
      </pivotArea>
    </format>
    <format dxfId="8">
      <pivotArea dataOnly="0" labelOnly="1" fieldPosition="0">
        <references count="2">
          <reference field="1" count="1" selected="0">
            <x v="11"/>
          </reference>
          <reference field="2" count="14">
            <x v="2"/>
            <x v="3"/>
            <x v="8"/>
            <x v="9"/>
            <x v="18"/>
            <x v="19"/>
            <x v="25"/>
            <x v="28"/>
            <x v="29"/>
            <x v="30"/>
            <x v="31"/>
            <x v="34"/>
            <x v="36"/>
            <x v="38"/>
          </reference>
        </references>
      </pivotArea>
    </format>
    <format dxfId="7">
      <pivotArea dataOnly="0" labelOnly="1" fieldPosition="0">
        <references count="2">
          <reference field="1" count="1" selected="0">
            <x v="12"/>
          </reference>
          <reference field="2" count="1">
            <x v="15"/>
          </reference>
        </references>
      </pivotArea>
    </format>
    <format dxfId="6">
      <pivotArea dataOnly="0" labelOnly="1" fieldPosition="0">
        <references count="2">
          <reference field="1" count="1" selected="0">
            <x v="13"/>
          </reference>
          <reference field="2" count="1">
            <x v="10"/>
          </reference>
        </references>
      </pivotArea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Col="1" outline="0" fieldPosition="0"/>
    </format>
    <format dxfId="3">
      <pivotArea collapsedLevelsAreSubtotals="1" fieldPosition="0">
        <references count="2">
          <reference field="1" count="1" selected="0">
            <x v="1"/>
          </reference>
          <reference field="2" count="1">
            <x v="21"/>
          </reference>
        </references>
      </pivotArea>
    </format>
    <format dxfId="2">
      <pivotArea dataOnly="0" labelOnly="1" fieldPosition="0">
        <references count="2">
          <reference field="1" count="1" selected="0">
            <x v="1"/>
          </reference>
          <reference field="2" count="1">
            <x v="21"/>
          </reference>
        </references>
      </pivotArea>
    </format>
    <format dxfId="1">
      <pivotArea collapsedLevelsAreSubtotals="1" fieldPosition="0">
        <references count="2">
          <reference field="1" count="1" selected="0">
            <x v="1"/>
          </reference>
          <reference field="2" count="1">
            <x v="35"/>
          </reference>
        </references>
      </pivotArea>
    </format>
    <format dxfId="0">
      <pivotArea dataOnly="0" labelOnly="1" fieldPosition="0">
        <references count="2">
          <reference field="1" count="1" selected="0">
            <x v="1"/>
          </reference>
          <reference field="2" count="1">
            <x v="3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GCG_23" displayName="BGCG_23" ref="R1:R2" totalsRowShown="0">
  <autoFilter ref="R1:R2" xr:uid="{00000000-0009-0000-0100-000002000000}"/>
  <tableColumns count="1">
    <tableColumn id="1" xr3:uid="{00000000-0010-0000-0000-000001000000}" name="BGCG_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GC_23" displayName="BGC_23" ref="T1:T8" totalsRowShown="0">
  <autoFilter ref="T1:T8" xr:uid="{00000000-0009-0000-0100-000001000000}"/>
  <tableColumns count="1">
    <tableColumn id="1" xr3:uid="{00000000-0010-0000-0100-000001000000}" name="BGC_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OG_23" displayName="ROOG_23" ref="V1:V2" totalsRowShown="0">
  <autoFilter ref="V1:V2" xr:uid="{00000000-0009-0000-0100-000003000000}"/>
  <tableColumns count="1">
    <tableColumn id="1" xr3:uid="{00000000-0010-0000-0200-000001000000}" name="ROOG_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OM_23" displayName="ROOM_23" ref="X1:X8" totalsRowShown="0">
  <autoFilter ref="X1:X8" xr:uid="{00000000-0009-0000-0100-000004000000}"/>
  <tableColumns count="1">
    <tableColumn id="1" xr3:uid="{00000000-0010-0000-0300-000001000000}" name="ROOM_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OESP_23" displayName="ROOESP_23" ref="Z1:Z2" totalsRowShown="0">
  <autoFilter ref="Z1:Z2" xr:uid="{00000000-0009-0000-0100-000005000000}"/>
  <tableColumns count="1">
    <tableColumn id="1" xr3:uid="{00000000-0010-0000-0400-000001000000}" name="ROOESP_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OP_23" displayName="ROOP_23" ref="AB1:AB14" totalsRowShown="0">
  <autoFilter ref="AB1:AB14" xr:uid="{00000000-0009-0000-0100-000006000000}"/>
  <tableColumns count="1">
    <tableColumn id="1" xr3:uid="{00000000-0010-0000-0500-000001000000}" name="ROOP_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mp_23" displayName="Camp_23" ref="AD1:AD3" totalsRowShown="0">
  <autoFilter ref="AD1:AD3" xr:uid="{00000000-0009-0000-0100-000007000000}"/>
  <tableColumns count="1">
    <tableColumn id="1" xr3:uid="{00000000-0010-0000-0600-000001000000}" name="Camp_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O_23" displayName="HO_23" ref="AF1:AF2" totalsRowShown="0">
  <autoFilter ref="AF1:AF2" xr:uid="{00000000-0009-0000-0100-000008000000}"/>
  <tableColumns count="1">
    <tableColumn id="1" xr3:uid="{00000000-0010-0000-0700-000001000000}" name="HO_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Q1_23" displayName="WQ1_23" ref="AH1:AH2" totalsRowShown="0">
  <autoFilter ref="AH1:AH2" xr:uid="{00000000-0009-0000-0100-000009000000}"/>
  <tableColumns count="1">
    <tableColumn id="1" xr3:uid="{00000000-0010-0000-0800-000001000000}" name="WQ1_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evel_1" displayName="Level_1" ref="P1:P11" totalsRowShown="0">
  <autoFilter ref="P1:P11" xr:uid="{00000000-0009-0000-0100-00000A000000}"/>
  <tableColumns count="1">
    <tableColumn id="1" xr3:uid="{00000000-0010-0000-0900-000001000000}" name="Level_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st_Type" displayName="Cost_Type" ref="C1:C3" totalsRowShown="0">
  <autoFilter ref="C1:C3" xr:uid="{00000000-0009-0000-0100-00000B000000}"/>
  <tableColumns count="1">
    <tableColumn id="1" xr3:uid="{00000000-0010-0000-0A00-000001000000}" name="Cost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L_Name" displayName="GL_Name" ref="E1:E38" totalsRowShown="0">
  <autoFilter ref="E1:E38" xr:uid="{00000000-0009-0000-0100-00000C000000}"/>
  <tableColumns count="1">
    <tableColumn id="1" xr3:uid="{00000000-0010-0000-0B00-000001000000}" name="GL_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Month" displayName="Month" ref="H1:H13" totalsRowShown="0">
  <autoFilter ref="H1:H13" xr:uid="{00000000-0009-0000-0100-00000E000000}"/>
  <tableColumns count="1">
    <tableColumn id="1" xr3:uid="{00000000-0010-0000-0C00-000001000000}" name="Mon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Year" displayName="Year" ref="J1:J4" totalsRowShown="0">
  <autoFilter ref="J1:J4" xr:uid="{00000000-0009-0000-0100-00000F000000}"/>
  <tableColumns count="1">
    <tableColumn id="1" xr3:uid="{00000000-0010-0000-0D00-000001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685D-5DB0-4792-88EF-6A287E21D1D9}">
  <dimension ref="A3:T57"/>
  <sheetViews>
    <sheetView tabSelected="1" zoomScale="85" zoomScaleNormal="85" workbookViewId="0"/>
  </sheetViews>
  <sheetFormatPr defaultRowHeight="14.25"/>
  <cols>
    <col min="1" max="1" width="24.46484375" style="152" bestFit="1" customWidth="1"/>
    <col min="2" max="2" width="15.265625" style="152" bestFit="1" customWidth="1"/>
    <col min="3" max="3" width="15.53125" style="152" bestFit="1" customWidth="1"/>
    <col min="4" max="4" width="15.59765625" style="152" bestFit="1" customWidth="1"/>
    <col min="5" max="5" width="21.73046875" style="152" bestFit="1" customWidth="1"/>
    <col min="6" max="6" width="23.53125" style="152" bestFit="1" customWidth="1"/>
    <col min="7" max="7" width="25.46484375" style="152" bestFit="1" customWidth="1"/>
    <col min="8" max="8" width="11.19921875" style="152" bestFit="1" customWidth="1"/>
    <col min="9" max="9" width="14.53125" style="152" bestFit="1" customWidth="1"/>
    <col min="10" max="10" width="11.73046875" style="152" bestFit="1" customWidth="1"/>
    <col min="11" max="11" width="29.53125" style="152" bestFit="1" customWidth="1"/>
    <col min="12" max="12" width="17.33203125" style="152" bestFit="1" customWidth="1"/>
    <col min="13" max="13" width="11.19921875" style="152" bestFit="1" customWidth="1"/>
    <col min="14" max="14" width="12.53125" style="152" bestFit="1" customWidth="1"/>
    <col min="15" max="15" width="25" style="152" bestFit="1" customWidth="1"/>
    <col min="16" max="16" width="13.796875" style="152" bestFit="1" customWidth="1"/>
    <col min="17" max="17" width="19.9296875" style="152" bestFit="1" customWidth="1"/>
    <col min="18" max="18" width="17.265625" style="152" bestFit="1" customWidth="1"/>
    <col min="19" max="19" width="22.73046875" style="152" bestFit="1" customWidth="1"/>
    <col min="20" max="20" width="13.796875" style="152" bestFit="1" customWidth="1"/>
    <col min="21" max="16384" width="9.06640625" style="152"/>
  </cols>
  <sheetData>
    <row r="3" spans="1:20">
      <c r="A3" s="151" t="s">
        <v>239</v>
      </c>
      <c r="B3" s="151" t="s">
        <v>240</v>
      </c>
    </row>
    <row r="4" spans="1:20">
      <c r="A4" s="151" t="s">
        <v>237</v>
      </c>
      <c r="B4" s="152" t="s">
        <v>83</v>
      </c>
      <c r="C4" s="152" t="s">
        <v>82</v>
      </c>
      <c r="D4" s="152" t="s">
        <v>223</v>
      </c>
      <c r="E4" s="152" t="s">
        <v>63</v>
      </c>
      <c r="F4" s="152" t="s">
        <v>100</v>
      </c>
      <c r="G4" s="152" t="s">
        <v>56</v>
      </c>
      <c r="H4" s="152" t="s">
        <v>261</v>
      </c>
      <c r="I4" s="152" t="s">
        <v>80</v>
      </c>
      <c r="J4" s="152" t="s">
        <v>98</v>
      </c>
      <c r="K4" s="152" t="s">
        <v>85</v>
      </c>
      <c r="L4" s="152" t="s">
        <v>70</v>
      </c>
      <c r="M4" s="152" t="s">
        <v>94</v>
      </c>
      <c r="N4" s="152" t="s">
        <v>106</v>
      </c>
      <c r="O4" s="152" t="s">
        <v>20</v>
      </c>
      <c r="P4" s="152" t="s">
        <v>111</v>
      </c>
      <c r="Q4" s="152" t="s">
        <v>107</v>
      </c>
      <c r="R4" s="152" t="s">
        <v>79</v>
      </c>
      <c r="S4" s="152" t="s">
        <v>246</v>
      </c>
      <c r="T4" s="152" t="s">
        <v>238</v>
      </c>
    </row>
    <row r="5" spans="1:20">
      <c r="A5" s="153" t="s">
        <v>17</v>
      </c>
      <c r="E5" s="152">
        <v>3288.5906040268455</v>
      </c>
      <c r="F5" s="152">
        <v>4115.3398496848968</v>
      </c>
      <c r="I5" s="152">
        <v>5704.6979865771809</v>
      </c>
      <c r="J5" s="152">
        <v>4500</v>
      </c>
      <c r="K5" s="152">
        <v>509598.62118791946</v>
      </c>
      <c r="L5" s="152">
        <v>145680.19375838927</v>
      </c>
      <c r="M5" s="152">
        <v>22860</v>
      </c>
      <c r="O5" s="152">
        <v>648345</v>
      </c>
      <c r="P5" s="152">
        <v>6551.0067114093963</v>
      </c>
      <c r="Q5" s="152">
        <v>22034.899328859061</v>
      </c>
      <c r="R5" s="152">
        <v>58968.093959731545</v>
      </c>
      <c r="T5" s="152">
        <v>1431646.4433865976</v>
      </c>
    </row>
    <row r="6" spans="1:20">
      <c r="A6" s="154" t="s">
        <v>18</v>
      </c>
      <c r="F6" s="152">
        <v>355.70469798657717</v>
      </c>
      <c r="K6" s="152">
        <v>67908.228275167785</v>
      </c>
      <c r="L6" s="152">
        <v>30631.723489932887</v>
      </c>
      <c r="O6" s="152">
        <v>119417</v>
      </c>
      <c r="R6" s="152">
        <v>23506.040268456374</v>
      </c>
      <c r="T6" s="152">
        <v>241818.69673154363</v>
      </c>
    </row>
    <row r="7" spans="1:20">
      <c r="A7" s="154" t="s">
        <v>241</v>
      </c>
      <c r="F7" s="152">
        <v>1784.4673664634199</v>
      </c>
      <c r="T7" s="152">
        <v>1784.4673664634199</v>
      </c>
    </row>
    <row r="8" spans="1:20">
      <c r="A8" s="154" t="s">
        <v>22</v>
      </c>
      <c r="E8" s="152">
        <v>1946.3087248322149</v>
      </c>
      <c r="F8" s="152">
        <v>1173.8255033557045</v>
      </c>
      <c r="I8" s="152">
        <v>2013.4228187919464</v>
      </c>
      <c r="K8" s="152">
        <v>77865.011697986571</v>
      </c>
      <c r="L8" s="152">
        <v>39353.984966442957</v>
      </c>
      <c r="O8" s="152">
        <v>158317</v>
      </c>
      <c r="Q8" s="152">
        <v>5907.3825503355702</v>
      </c>
      <c r="R8" s="152">
        <v>24082.523489932886</v>
      </c>
      <c r="T8" s="152">
        <v>310659.45975167782</v>
      </c>
    </row>
    <row r="9" spans="1:20" s="156" customFormat="1">
      <c r="A9" s="155" t="s">
        <v>90</v>
      </c>
      <c r="K9" s="156">
        <v>3489.9328859060402</v>
      </c>
      <c r="O9" s="156">
        <v>16120</v>
      </c>
      <c r="T9" s="156">
        <v>19609.932885906041</v>
      </c>
    </row>
    <row r="10" spans="1:20">
      <c r="A10" s="154" t="s">
        <v>265</v>
      </c>
      <c r="K10" s="152">
        <v>64465.082046979871</v>
      </c>
      <c r="L10" s="152">
        <v>16315.665167785233</v>
      </c>
      <c r="O10" s="152">
        <v>111481</v>
      </c>
      <c r="T10" s="152">
        <v>192261.74721476511</v>
      </c>
    </row>
    <row r="11" spans="1:20">
      <c r="A11" s="154" t="s">
        <v>23</v>
      </c>
      <c r="F11" s="152">
        <v>248.99328859060404</v>
      </c>
      <c r="K11" s="152">
        <v>1620</v>
      </c>
      <c r="M11" s="152">
        <v>5500</v>
      </c>
      <c r="T11" s="152">
        <v>7368.9932885906037</v>
      </c>
    </row>
    <row r="12" spans="1:20" s="156" customFormat="1">
      <c r="A12" s="155" t="s">
        <v>24</v>
      </c>
      <c r="F12" s="156">
        <v>35.570469798657719</v>
      </c>
      <c r="Q12" s="156">
        <v>797.31543624161077</v>
      </c>
      <c r="R12" s="156">
        <v>2717.1140939597317</v>
      </c>
      <c r="T12" s="156">
        <v>3550</v>
      </c>
    </row>
    <row r="13" spans="1:20">
      <c r="A13" s="154" t="s">
        <v>25</v>
      </c>
      <c r="E13" s="152">
        <v>1342.2818791946308</v>
      </c>
      <c r="F13" s="152">
        <v>516.77852348993292</v>
      </c>
      <c r="I13" s="152">
        <v>3691.2751677852348</v>
      </c>
      <c r="J13" s="152">
        <v>4500</v>
      </c>
      <c r="K13" s="152">
        <v>294250.36628187919</v>
      </c>
      <c r="L13" s="152">
        <v>59378.82013422819</v>
      </c>
      <c r="M13" s="152">
        <v>17360</v>
      </c>
      <c r="O13" s="152">
        <v>243010</v>
      </c>
      <c r="P13" s="152">
        <v>6551.0067114093963</v>
      </c>
      <c r="Q13" s="152">
        <v>15330.20134228188</v>
      </c>
      <c r="R13" s="152">
        <v>8662.4161073825508</v>
      </c>
      <c r="T13" s="152">
        <v>654593.14614765102</v>
      </c>
    </row>
    <row r="14" spans="1:20">
      <c r="A14" s="153" t="s">
        <v>27</v>
      </c>
      <c r="M14" s="152">
        <v>500</v>
      </c>
      <c r="O14" s="152">
        <v>23495</v>
      </c>
      <c r="T14" s="152">
        <v>23995</v>
      </c>
    </row>
    <row r="15" spans="1:20">
      <c r="A15" s="154" t="s">
        <v>28</v>
      </c>
      <c r="M15" s="152">
        <v>500</v>
      </c>
      <c r="O15" s="152">
        <v>23495</v>
      </c>
      <c r="T15" s="152">
        <v>23995</v>
      </c>
    </row>
    <row r="16" spans="1:20">
      <c r="A16" s="153" t="s">
        <v>54</v>
      </c>
      <c r="F16" s="152">
        <v>267.11409395973152</v>
      </c>
      <c r="H16" s="152">
        <v>66747.83557046979</v>
      </c>
      <c r="I16" s="152">
        <v>43624.161073825504</v>
      </c>
      <c r="J16" s="152">
        <v>2500</v>
      </c>
      <c r="K16" s="152">
        <v>75053.067026845631</v>
      </c>
      <c r="L16" s="152">
        <v>82934.806587056315</v>
      </c>
      <c r="M16" s="152">
        <v>11520</v>
      </c>
      <c r="O16" s="152">
        <v>133868</v>
      </c>
      <c r="P16" s="152">
        <v>238369.09</v>
      </c>
      <c r="R16" s="152">
        <v>12932.181208053691</v>
      </c>
      <c r="T16" s="152">
        <v>667816.25556021067</v>
      </c>
    </row>
    <row r="17" spans="1:20">
      <c r="A17" s="154" t="s">
        <v>55</v>
      </c>
      <c r="F17" s="152">
        <v>267.11409395973152</v>
      </c>
      <c r="H17" s="152">
        <v>66747.83557046979</v>
      </c>
      <c r="I17" s="152">
        <v>43624.161073825504</v>
      </c>
      <c r="J17" s="152">
        <v>2500</v>
      </c>
      <c r="K17" s="152">
        <v>75053.067026845631</v>
      </c>
      <c r="L17" s="152">
        <v>50584.769127516789</v>
      </c>
      <c r="M17" s="152">
        <v>11520</v>
      </c>
      <c r="O17" s="152">
        <v>133868</v>
      </c>
      <c r="P17" s="152">
        <v>238369.09</v>
      </c>
      <c r="R17" s="152">
        <v>10202.181208053691</v>
      </c>
      <c r="T17" s="152">
        <v>632736.21810067119</v>
      </c>
    </row>
    <row r="18" spans="1:20">
      <c r="A18" s="154" t="s">
        <v>93</v>
      </c>
      <c r="L18" s="152">
        <v>32350.03745953953</v>
      </c>
      <c r="R18" s="152">
        <v>2730</v>
      </c>
      <c r="T18" s="152">
        <v>35080.037459539526</v>
      </c>
    </row>
    <row r="19" spans="1:20">
      <c r="A19" s="153" t="s">
        <v>58</v>
      </c>
      <c r="B19" s="152">
        <v>25868.397240343551</v>
      </c>
      <c r="C19" s="152">
        <v>328.85906040268458</v>
      </c>
      <c r="D19" s="152">
        <v>817000</v>
      </c>
      <c r="E19" s="152">
        <v>51137.583892617447</v>
      </c>
      <c r="F19" s="152">
        <v>1156.4077128600698</v>
      </c>
      <c r="G19" s="152">
        <v>23.48993288590604</v>
      </c>
      <c r="I19" s="152">
        <v>711.40939597315435</v>
      </c>
      <c r="K19" s="152">
        <v>6949.4063557046966</v>
      </c>
      <c r="L19" s="152">
        <v>3092.2953020134232</v>
      </c>
      <c r="N19" s="152">
        <v>25000</v>
      </c>
      <c r="O19" s="152">
        <v>133895.02702702704</v>
      </c>
      <c r="Q19" s="152">
        <v>4540.2684563758394</v>
      </c>
      <c r="R19" s="152">
        <v>4578.3673154362414</v>
      </c>
      <c r="S19" s="152">
        <v>4048.3221476510066</v>
      </c>
      <c r="T19" s="152">
        <v>1078329.8338392912</v>
      </c>
    </row>
    <row r="20" spans="1:20">
      <c r="A20" s="154" t="s">
        <v>59</v>
      </c>
      <c r="B20" s="152">
        <v>25868.397240343551</v>
      </c>
      <c r="C20" s="152">
        <v>328.85906040268458</v>
      </c>
      <c r="D20" s="152">
        <v>817000</v>
      </c>
      <c r="E20" s="152">
        <v>51137.583892617447</v>
      </c>
      <c r="F20" s="152">
        <v>1156.4077128600698</v>
      </c>
      <c r="G20" s="152">
        <v>23.48993288590604</v>
      </c>
      <c r="I20" s="152">
        <v>711.40939597315435</v>
      </c>
      <c r="K20" s="152">
        <v>6949.4063557046966</v>
      </c>
      <c r="L20" s="152">
        <v>3092.2953020134232</v>
      </c>
      <c r="N20" s="152">
        <v>25000</v>
      </c>
      <c r="O20" s="152">
        <v>133895.02702702704</v>
      </c>
      <c r="Q20" s="152">
        <v>4540.2684563758394</v>
      </c>
      <c r="R20" s="152">
        <v>4578.3673154362414</v>
      </c>
      <c r="S20" s="152">
        <v>4048.3221476510066</v>
      </c>
      <c r="T20" s="152">
        <v>1078329.8338392912</v>
      </c>
    </row>
    <row r="21" spans="1:20">
      <c r="A21" s="153" t="s">
        <v>271</v>
      </c>
      <c r="F21" s="152">
        <v>201.34228187919464</v>
      </c>
      <c r="L21" s="152">
        <v>3646.6442953020141</v>
      </c>
      <c r="P21" s="152">
        <v>377.18120805369125</v>
      </c>
      <c r="S21" s="152">
        <v>822.14765100671138</v>
      </c>
      <c r="T21" s="152">
        <v>5047.3154362416117</v>
      </c>
    </row>
    <row r="22" spans="1:20">
      <c r="A22" s="154" t="s">
        <v>272</v>
      </c>
      <c r="F22" s="152">
        <v>201.34228187919464</v>
      </c>
      <c r="L22" s="152">
        <v>3646.6442953020141</v>
      </c>
      <c r="P22" s="152">
        <v>377.18120805369125</v>
      </c>
      <c r="S22" s="152">
        <v>822.14765100671138</v>
      </c>
      <c r="T22" s="152">
        <v>5047.3154362416117</v>
      </c>
    </row>
    <row r="23" spans="1:20">
      <c r="A23" s="153" t="s">
        <v>275</v>
      </c>
      <c r="C23" s="152">
        <v>6032.0682758620696</v>
      </c>
      <c r="O23" s="152">
        <v>83000</v>
      </c>
      <c r="T23" s="152">
        <v>89032.068275862068</v>
      </c>
    </row>
    <row r="24" spans="1:20">
      <c r="A24" s="154" t="s">
        <v>275</v>
      </c>
      <c r="C24" s="152">
        <v>6032.0682758620696</v>
      </c>
      <c r="O24" s="152">
        <v>83000</v>
      </c>
      <c r="T24" s="152">
        <v>89032.068275862068</v>
      </c>
    </row>
    <row r="25" spans="1:20">
      <c r="A25" s="153" t="s">
        <v>93</v>
      </c>
      <c r="O25" s="152">
        <v>78723</v>
      </c>
      <c r="T25" s="152">
        <v>78723</v>
      </c>
    </row>
    <row r="26" spans="1:20">
      <c r="A26" s="154" t="s">
        <v>93</v>
      </c>
      <c r="O26" s="152">
        <v>78723</v>
      </c>
      <c r="T26" s="152">
        <v>78723</v>
      </c>
    </row>
    <row r="27" spans="1:20">
      <c r="A27" s="153" t="s">
        <v>389</v>
      </c>
      <c r="K27" s="152">
        <v>1548.7867919463085</v>
      </c>
      <c r="T27" s="152">
        <v>1548.7867919463085</v>
      </c>
    </row>
    <row r="28" spans="1:20">
      <c r="A28" s="154" t="s">
        <v>32</v>
      </c>
      <c r="K28" s="152">
        <v>1548.7867919463085</v>
      </c>
      <c r="T28" s="152">
        <v>1548.7867919463085</v>
      </c>
    </row>
    <row r="29" spans="1:20">
      <c r="A29" s="153" t="s">
        <v>33</v>
      </c>
      <c r="E29" s="152">
        <v>1510.0671140939598</v>
      </c>
      <c r="F29" s="152">
        <v>811.33508342418736</v>
      </c>
      <c r="G29" s="152">
        <v>2013.4228187919464</v>
      </c>
      <c r="K29" s="152">
        <v>42006.915026845643</v>
      </c>
      <c r="L29" s="152">
        <v>5570.4697986577185</v>
      </c>
      <c r="M29" s="152">
        <v>28650</v>
      </c>
      <c r="O29" s="152">
        <v>72887</v>
      </c>
      <c r="R29" s="152">
        <v>10354.223433242507</v>
      </c>
      <c r="T29" s="152">
        <v>163803.43327505596</v>
      </c>
    </row>
    <row r="30" spans="1:20">
      <c r="A30" s="154" t="s">
        <v>34</v>
      </c>
      <c r="E30" s="152">
        <v>1510.0671140939598</v>
      </c>
      <c r="F30" s="152">
        <v>811.33508342418736</v>
      </c>
      <c r="G30" s="152">
        <v>2013.4228187919464</v>
      </c>
      <c r="K30" s="152">
        <v>42006.915026845643</v>
      </c>
      <c r="L30" s="152">
        <v>5570.4697986577185</v>
      </c>
      <c r="M30" s="152">
        <v>28650</v>
      </c>
      <c r="O30" s="152">
        <v>72887</v>
      </c>
      <c r="R30" s="152">
        <v>10354.223433242507</v>
      </c>
      <c r="T30" s="152">
        <v>163803.43327505596</v>
      </c>
    </row>
    <row r="31" spans="1:20">
      <c r="A31" s="153" t="s">
        <v>35</v>
      </c>
      <c r="F31" s="152">
        <v>742.28187919463085</v>
      </c>
      <c r="K31" s="152">
        <v>54884.739241610732</v>
      </c>
      <c r="L31" s="152">
        <v>13499.721946308728</v>
      </c>
      <c r="O31" s="152">
        <v>126187</v>
      </c>
      <c r="R31" s="152">
        <v>16681.060402684561</v>
      </c>
      <c r="T31" s="152">
        <v>211994.80346979867</v>
      </c>
    </row>
    <row r="32" spans="1:20">
      <c r="A32" s="154" t="s">
        <v>36</v>
      </c>
      <c r="F32" s="152">
        <v>106.71140939597315</v>
      </c>
      <c r="K32" s="152">
        <v>9778.0071812080532</v>
      </c>
      <c r="L32" s="152">
        <v>6135.3727516778536</v>
      </c>
      <c r="O32" s="152">
        <v>34423</v>
      </c>
      <c r="R32" s="152">
        <v>5391.6644295302012</v>
      </c>
      <c r="T32" s="152">
        <v>55834.755771812088</v>
      </c>
    </row>
    <row r="33" spans="1:20">
      <c r="A33" s="154" t="s">
        <v>37</v>
      </c>
      <c r="F33" s="152">
        <v>35.570469798657719</v>
      </c>
      <c r="K33" s="152">
        <v>42001.41454362416</v>
      </c>
      <c r="L33" s="152">
        <v>5749.3156375838935</v>
      </c>
      <c r="O33" s="152">
        <v>76387</v>
      </c>
      <c r="R33" s="152">
        <v>11289.395973154362</v>
      </c>
      <c r="T33" s="152">
        <v>135462.69662416109</v>
      </c>
    </row>
    <row r="34" spans="1:20">
      <c r="A34" s="154" t="s">
        <v>38</v>
      </c>
      <c r="L34" s="152">
        <v>184.2281879194631</v>
      </c>
      <c r="O34" s="152">
        <v>15162</v>
      </c>
      <c r="T34" s="152">
        <v>15346.228187919463</v>
      </c>
    </row>
    <row r="35" spans="1:20">
      <c r="A35" s="154" t="s">
        <v>39</v>
      </c>
      <c r="K35" s="152">
        <v>1208.0536912751677</v>
      </c>
      <c r="L35" s="152">
        <v>1197.9865771812081</v>
      </c>
      <c r="T35" s="152">
        <v>2406.040268456376</v>
      </c>
    </row>
    <row r="36" spans="1:20">
      <c r="A36" s="154" t="s">
        <v>41</v>
      </c>
      <c r="K36" s="152">
        <v>1897.2638255033557</v>
      </c>
      <c r="L36" s="152">
        <v>232.81879194630872</v>
      </c>
      <c r="O36" s="152">
        <v>215</v>
      </c>
      <c r="T36" s="152">
        <v>2345.0826174496647</v>
      </c>
    </row>
    <row r="37" spans="1:20">
      <c r="A37" s="154" t="s">
        <v>35</v>
      </c>
      <c r="F37" s="152">
        <v>600</v>
      </c>
      <c r="T37" s="152">
        <v>600</v>
      </c>
    </row>
    <row r="38" spans="1:20">
      <c r="A38" s="153" t="s">
        <v>42</v>
      </c>
      <c r="C38" s="152">
        <v>1350</v>
      </c>
      <c r="F38" s="152">
        <v>3609.196180427547</v>
      </c>
      <c r="G38" s="152">
        <v>44563.758389261748</v>
      </c>
      <c r="I38" s="152">
        <v>2013.4228187919464</v>
      </c>
      <c r="J38" s="152">
        <v>4000</v>
      </c>
      <c r="K38" s="152">
        <v>456863.58753506135</v>
      </c>
      <c r="L38" s="152">
        <v>436076.13371395116</v>
      </c>
      <c r="M38" s="152">
        <v>1342.2818791946308</v>
      </c>
      <c r="O38" s="152">
        <v>669904</v>
      </c>
      <c r="P38" s="152">
        <v>126624.85906040268</v>
      </c>
      <c r="Q38" s="152">
        <v>2620.6896551724139</v>
      </c>
      <c r="R38" s="152">
        <v>51305.100671140943</v>
      </c>
      <c r="T38" s="152">
        <v>1800273.0299034044</v>
      </c>
    </row>
    <row r="39" spans="1:20">
      <c r="A39" s="154" t="s">
        <v>69</v>
      </c>
      <c r="F39" s="152">
        <v>587.24832214765104</v>
      </c>
      <c r="L39" s="152">
        <v>671.14093959731542</v>
      </c>
      <c r="T39" s="152">
        <v>1258.3892617449665</v>
      </c>
    </row>
    <row r="40" spans="1:20">
      <c r="A40" s="154" t="s">
        <v>43</v>
      </c>
      <c r="K40" s="152">
        <v>21094.341711409397</v>
      </c>
      <c r="L40" s="152">
        <v>22640.45167785235</v>
      </c>
      <c r="O40" s="152">
        <v>103315</v>
      </c>
      <c r="T40" s="152">
        <v>147049.79338926176</v>
      </c>
    </row>
    <row r="41" spans="1:20">
      <c r="A41" s="154" t="s">
        <v>44</v>
      </c>
      <c r="K41" s="152">
        <v>28808.451208053692</v>
      </c>
      <c r="L41" s="152">
        <v>3892.9140939597314</v>
      </c>
      <c r="O41" s="152">
        <v>20533</v>
      </c>
      <c r="P41" s="152">
        <v>47328.859060402683</v>
      </c>
      <c r="R41" s="152">
        <v>2013.4228187919464</v>
      </c>
      <c r="T41" s="152">
        <v>102576.64718120806</v>
      </c>
    </row>
    <row r="42" spans="1:20">
      <c r="A42" s="154" t="s">
        <v>45</v>
      </c>
      <c r="F42" s="152">
        <v>238.25503355704697</v>
      </c>
      <c r="J42" s="152">
        <v>4000</v>
      </c>
      <c r="K42" s="152">
        <v>79339.442335570478</v>
      </c>
      <c r="L42" s="152">
        <v>12835.158389261745</v>
      </c>
      <c r="O42" s="152">
        <v>48283</v>
      </c>
      <c r="P42" s="152">
        <v>79296</v>
      </c>
      <c r="Q42" s="152">
        <v>2620.6896551724139</v>
      </c>
      <c r="R42" s="152">
        <v>490.60402684563758</v>
      </c>
      <c r="T42" s="152">
        <v>227103.14944040732</v>
      </c>
    </row>
    <row r="43" spans="1:20">
      <c r="A43" s="154" t="s">
        <v>46</v>
      </c>
      <c r="K43" s="152">
        <v>6133.195677852349</v>
      </c>
      <c r="O43" s="152">
        <v>1694</v>
      </c>
      <c r="T43" s="152">
        <v>7827.195677852349</v>
      </c>
    </row>
    <row r="44" spans="1:20">
      <c r="A44" s="154" t="s">
        <v>296</v>
      </c>
      <c r="O44" s="152">
        <v>3782</v>
      </c>
      <c r="T44" s="152">
        <v>3782</v>
      </c>
    </row>
    <row r="45" spans="1:20">
      <c r="A45" s="154" t="s">
        <v>47</v>
      </c>
      <c r="F45" s="152">
        <v>71.140939597315437</v>
      </c>
      <c r="G45" s="152">
        <v>44563.758389261748</v>
      </c>
      <c r="K45" s="152">
        <v>33156.334395973157</v>
      </c>
      <c r="L45" s="152">
        <v>19410.483832269627</v>
      </c>
      <c r="O45" s="152">
        <v>52997</v>
      </c>
      <c r="T45" s="152">
        <v>150198.71755710186</v>
      </c>
    </row>
    <row r="46" spans="1:20">
      <c r="A46" s="154" t="s">
        <v>257</v>
      </c>
      <c r="F46" s="152">
        <v>373.82550335570471</v>
      </c>
      <c r="K46" s="152">
        <v>109202.96463758389</v>
      </c>
      <c r="L46" s="152">
        <v>29210.346308724831</v>
      </c>
      <c r="O46" s="152">
        <v>131846</v>
      </c>
      <c r="R46" s="152">
        <v>43082.953020134228</v>
      </c>
      <c r="T46" s="152">
        <v>313716.08946979867</v>
      </c>
    </row>
    <row r="47" spans="1:20">
      <c r="A47" s="154" t="s">
        <v>49</v>
      </c>
      <c r="K47" s="152">
        <v>5406.5565167785226</v>
      </c>
      <c r="L47" s="152">
        <v>3497</v>
      </c>
      <c r="O47" s="152">
        <v>23259</v>
      </c>
      <c r="T47" s="152">
        <v>32162.556516778524</v>
      </c>
    </row>
    <row r="48" spans="1:20">
      <c r="A48" s="154" t="s">
        <v>50</v>
      </c>
      <c r="C48" s="152">
        <v>1350</v>
      </c>
      <c r="F48" s="152">
        <v>302.68456375838929</v>
      </c>
      <c r="I48" s="152">
        <v>2013.4228187919464</v>
      </c>
      <c r="K48" s="152">
        <v>171863.83167114094</v>
      </c>
      <c r="L48" s="152">
        <v>338955.71994879568</v>
      </c>
      <c r="O48" s="152">
        <v>251771</v>
      </c>
      <c r="R48" s="152">
        <v>5718.120805369128</v>
      </c>
      <c r="T48" s="152">
        <v>771974.77980785607</v>
      </c>
    </row>
    <row r="49" spans="1:20">
      <c r="A49" s="154" t="s">
        <v>51</v>
      </c>
      <c r="F49" s="152">
        <v>142.28187919463087</v>
      </c>
      <c r="K49" s="152">
        <v>1858.4693806989123</v>
      </c>
      <c r="L49" s="152">
        <v>2087.643355704698</v>
      </c>
      <c r="M49" s="152">
        <v>1342.2818791946308</v>
      </c>
      <c r="O49" s="152">
        <v>2228</v>
      </c>
      <c r="T49" s="152">
        <v>7658.6764947928723</v>
      </c>
    </row>
    <row r="50" spans="1:20">
      <c r="A50" s="154" t="s">
        <v>42</v>
      </c>
      <c r="F50" s="152">
        <v>1893.7599388168089</v>
      </c>
      <c r="T50" s="152">
        <v>1893.7599388168089</v>
      </c>
    </row>
    <row r="51" spans="1:20">
      <c r="A51" s="154" t="s">
        <v>297</v>
      </c>
      <c r="O51" s="152">
        <v>27842</v>
      </c>
      <c r="T51" s="152">
        <v>27842</v>
      </c>
    </row>
    <row r="52" spans="1:20">
      <c r="A52" s="154" t="s">
        <v>72</v>
      </c>
      <c r="L52" s="152">
        <v>2875.2751677852348</v>
      </c>
      <c r="O52" s="152">
        <v>2354</v>
      </c>
      <c r="T52" s="152">
        <v>5229.2751677852348</v>
      </c>
    </row>
    <row r="53" spans="1:20">
      <c r="A53" s="153" t="s">
        <v>52</v>
      </c>
      <c r="E53" s="152">
        <v>7382.5503355704695</v>
      </c>
      <c r="F53" s="152">
        <v>2088.0343727420195</v>
      </c>
      <c r="G53" s="152">
        <v>53798.657718120805</v>
      </c>
      <c r="I53" s="152">
        <v>4026.8456375838928</v>
      </c>
      <c r="J53" s="152">
        <v>4800</v>
      </c>
      <c r="K53" s="152">
        <v>427946.90509395971</v>
      </c>
      <c r="L53" s="152">
        <v>355036.9831391839</v>
      </c>
      <c r="M53" s="152">
        <v>19119.52</v>
      </c>
      <c r="O53" s="152">
        <v>433997</v>
      </c>
      <c r="P53" s="152">
        <v>667291.64</v>
      </c>
      <c r="R53" s="152">
        <v>242252.78523489932</v>
      </c>
      <c r="T53" s="152">
        <v>2217740.92153206</v>
      </c>
    </row>
    <row r="54" spans="1:20">
      <c r="A54" s="154" t="s">
        <v>62</v>
      </c>
      <c r="E54" s="152">
        <v>7382.5503355704695</v>
      </c>
      <c r="F54" s="152">
        <v>2088.0343727420195</v>
      </c>
      <c r="G54" s="152">
        <v>53798.657718120805</v>
      </c>
      <c r="I54" s="152">
        <v>4026.8456375838928</v>
      </c>
      <c r="J54" s="152">
        <v>4800</v>
      </c>
      <c r="K54" s="152">
        <v>427946.90509395971</v>
      </c>
      <c r="L54" s="152">
        <v>355036.9831391839</v>
      </c>
      <c r="M54" s="152">
        <v>19119.52</v>
      </c>
      <c r="O54" s="152">
        <v>433997</v>
      </c>
      <c r="P54" s="152">
        <v>667291.64</v>
      </c>
      <c r="R54" s="152">
        <v>242252.78523489932</v>
      </c>
      <c r="T54" s="152">
        <v>2217740.92153206</v>
      </c>
    </row>
    <row r="55" spans="1:20">
      <c r="A55" s="153" t="s">
        <v>305</v>
      </c>
      <c r="C55" s="152">
        <v>590.08053691275165</v>
      </c>
      <c r="F55" s="152">
        <v>244.96644295302013</v>
      </c>
      <c r="L55" s="152">
        <v>2570.469798657718</v>
      </c>
      <c r="T55" s="152">
        <v>3405.5167785234898</v>
      </c>
    </row>
    <row r="56" spans="1:20">
      <c r="A56" s="154" t="s">
        <v>401</v>
      </c>
      <c r="C56" s="152">
        <v>590.08053691275165</v>
      </c>
      <c r="F56" s="152">
        <v>244.96644295302013</v>
      </c>
      <c r="L56" s="152">
        <v>2570.469798657718</v>
      </c>
      <c r="T56" s="152">
        <v>3405.5167785234898</v>
      </c>
    </row>
    <row r="57" spans="1:20">
      <c r="A57" s="153" t="s">
        <v>238</v>
      </c>
      <c r="B57" s="152">
        <v>25868.397240343551</v>
      </c>
      <c r="C57" s="152">
        <v>8301.0078731775066</v>
      </c>
      <c r="D57" s="152">
        <v>817000</v>
      </c>
      <c r="E57" s="152">
        <v>63318.791946308724</v>
      </c>
      <c r="F57" s="152">
        <v>13236.017897125297</v>
      </c>
      <c r="G57" s="152">
        <v>100399.32885906041</v>
      </c>
      <c r="H57" s="152">
        <v>66747.83557046979</v>
      </c>
      <c r="I57" s="152">
        <v>56080.536912751675</v>
      </c>
      <c r="J57" s="152">
        <v>15800</v>
      </c>
      <c r="K57" s="152">
        <v>1574852.0282598934</v>
      </c>
      <c r="L57" s="152">
        <v>1048107.7183395202</v>
      </c>
      <c r="M57" s="152">
        <v>83991.801879194638</v>
      </c>
      <c r="N57" s="152">
        <v>25000</v>
      </c>
      <c r="O57" s="152">
        <v>2404301.0270270268</v>
      </c>
      <c r="P57" s="152">
        <v>1039213.7769798657</v>
      </c>
      <c r="Q57" s="152">
        <v>29195.857440407315</v>
      </c>
      <c r="R57" s="152">
        <v>397071.81222518883</v>
      </c>
      <c r="S57" s="152">
        <v>4870.4697986577175</v>
      </c>
      <c r="T57" s="152">
        <v>7773356.4082489926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0"/>
  <sheetViews>
    <sheetView workbookViewId="0">
      <selection activeCell="A12" sqref="A12"/>
    </sheetView>
  </sheetViews>
  <sheetFormatPr defaultColWidth="9" defaultRowHeight="14.25"/>
  <cols>
    <col min="1" max="1" width="7.59765625" style="43" bestFit="1" customWidth="1"/>
    <col min="2" max="2" width="11.9296875" style="43" bestFit="1" customWidth="1"/>
    <col min="3" max="3" width="12.06640625" style="43" bestFit="1" customWidth="1"/>
    <col min="4" max="4" width="11.265625" style="43" bestFit="1" customWidth="1"/>
    <col min="5" max="5" width="29" style="43" bestFit="1" customWidth="1"/>
    <col min="6" max="6" width="12.46484375" style="43" bestFit="1" customWidth="1"/>
    <col min="7" max="7" width="48.19921875" style="43" bestFit="1" customWidth="1"/>
    <col min="8" max="8" width="72.06640625" style="43" customWidth="1"/>
    <col min="9" max="9" width="21.59765625" style="61" bestFit="1" customWidth="1"/>
    <col min="10" max="10" width="34.06640625" style="43" bestFit="1" customWidth="1"/>
    <col min="11" max="11" width="13.46484375" style="62" bestFit="1" customWidth="1"/>
    <col min="12" max="12" width="12.796875" style="43" bestFit="1" customWidth="1"/>
    <col min="13" max="13" width="8.796875" style="43" bestFit="1" customWidth="1"/>
    <col min="14" max="14" width="6.796875" style="43" bestFit="1" customWidth="1"/>
    <col min="15" max="16384" width="9" style="43"/>
  </cols>
  <sheetData>
    <row r="1" spans="1:14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7" t="s">
        <v>8</v>
      </c>
      <c r="J1" s="146" t="s">
        <v>9</v>
      </c>
      <c r="K1" s="148" t="s">
        <v>10</v>
      </c>
      <c r="L1" s="146" t="s">
        <v>11</v>
      </c>
      <c r="M1" s="146" t="s">
        <v>12</v>
      </c>
      <c r="N1" s="146" t="s">
        <v>13</v>
      </c>
    </row>
    <row r="2" spans="1:14">
      <c r="A2" s="26">
        <v>1</v>
      </c>
      <c r="B2" s="26" t="s">
        <v>58</v>
      </c>
      <c r="C2" s="26" t="s">
        <v>59</v>
      </c>
      <c r="D2" s="26" t="s">
        <v>60</v>
      </c>
      <c r="E2" s="57" t="s">
        <v>83</v>
      </c>
      <c r="F2" s="26"/>
      <c r="G2" s="26" t="s">
        <v>21</v>
      </c>
      <c r="H2" s="26" t="s">
        <v>386</v>
      </c>
      <c r="I2" s="53">
        <v>6000</v>
      </c>
      <c r="J2" s="26" t="s">
        <v>14</v>
      </c>
      <c r="K2" s="48" t="s">
        <v>14</v>
      </c>
      <c r="L2" s="26" t="s">
        <v>14</v>
      </c>
      <c r="M2" s="26" t="s">
        <v>202</v>
      </c>
      <c r="N2" s="26">
        <v>2026</v>
      </c>
    </row>
    <row r="3" spans="1:14">
      <c r="A3" s="26">
        <v>2</v>
      </c>
      <c r="B3" s="26" t="s">
        <v>58</v>
      </c>
      <c r="C3" s="76" t="s">
        <v>59</v>
      </c>
      <c r="D3" s="26" t="s">
        <v>60</v>
      </c>
      <c r="E3" s="57" t="s">
        <v>83</v>
      </c>
      <c r="F3" s="26"/>
      <c r="G3" s="26" t="s">
        <v>21</v>
      </c>
      <c r="H3" s="26" t="s">
        <v>385</v>
      </c>
      <c r="I3" s="53">
        <v>4500</v>
      </c>
      <c r="J3" s="26" t="s">
        <v>14</v>
      </c>
      <c r="K3" s="48" t="s">
        <v>14</v>
      </c>
      <c r="L3" s="26" t="s">
        <v>14</v>
      </c>
      <c r="M3" s="26" t="s">
        <v>202</v>
      </c>
      <c r="N3" s="26">
        <v>2026</v>
      </c>
    </row>
    <row r="4" spans="1:14">
      <c r="A4" s="26">
        <v>3</v>
      </c>
      <c r="B4" s="57" t="s">
        <v>58</v>
      </c>
      <c r="C4" s="57" t="s">
        <v>59</v>
      </c>
      <c r="D4" s="26" t="s">
        <v>60</v>
      </c>
      <c r="E4" s="57" t="s">
        <v>83</v>
      </c>
      <c r="F4" s="26"/>
      <c r="G4" s="57" t="s">
        <v>21</v>
      </c>
      <c r="H4" s="26" t="s">
        <v>382</v>
      </c>
      <c r="I4" s="53">
        <v>3496.5034965034965</v>
      </c>
      <c r="J4" s="26" t="s">
        <v>14</v>
      </c>
      <c r="K4" s="48" t="s">
        <v>14</v>
      </c>
      <c r="L4" s="26" t="s">
        <v>14</v>
      </c>
      <c r="M4" s="26" t="s">
        <v>202</v>
      </c>
      <c r="N4" s="26">
        <v>2026</v>
      </c>
    </row>
    <row r="5" spans="1:14">
      <c r="A5" s="26">
        <v>4</v>
      </c>
      <c r="B5" s="26" t="s">
        <v>58</v>
      </c>
      <c r="C5" s="26" t="s">
        <v>59</v>
      </c>
      <c r="D5" s="26" t="s">
        <v>60</v>
      </c>
      <c r="E5" s="57" t="s">
        <v>83</v>
      </c>
      <c r="F5" s="26"/>
      <c r="G5" s="26" t="s">
        <v>84</v>
      </c>
      <c r="H5" s="26" t="s">
        <v>387</v>
      </c>
      <c r="I5" s="53">
        <v>2520</v>
      </c>
      <c r="J5" s="26" t="s">
        <v>380</v>
      </c>
      <c r="K5" s="48">
        <v>46081</v>
      </c>
      <c r="L5" s="26" t="s">
        <v>14</v>
      </c>
      <c r="M5" s="26" t="s">
        <v>202</v>
      </c>
      <c r="N5" s="26">
        <v>2026</v>
      </c>
    </row>
    <row r="6" spans="1:14">
      <c r="A6" s="26">
        <v>5</v>
      </c>
      <c r="B6" s="26" t="s">
        <v>58</v>
      </c>
      <c r="C6" s="48" t="s">
        <v>59</v>
      </c>
      <c r="D6" s="26" t="s">
        <v>60</v>
      </c>
      <c r="E6" s="26" t="s">
        <v>83</v>
      </c>
      <c r="F6" s="26"/>
      <c r="G6" s="26" t="s">
        <v>64</v>
      </c>
      <c r="H6" s="49" t="s">
        <v>348</v>
      </c>
      <c r="I6" s="50">
        <v>2248.9932885906042</v>
      </c>
      <c r="J6" s="26" t="s">
        <v>67</v>
      </c>
      <c r="K6" s="48" t="s">
        <v>366</v>
      </c>
      <c r="L6" s="67" t="s">
        <v>14</v>
      </c>
      <c r="M6" s="98" t="s">
        <v>202</v>
      </c>
      <c r="N6" s="26">
        <v>2026</v>
      </c>
    </row>
    <row r="7" spans="1:14">
      <c r="A7" s="26">
        <v>6</v>
      </c>
      <c r="B7" s="26" t="s">
        <v>58</v>
      </c>
      <c r="C7" s="26" t="s">
        <v>59</v>
      </c>
      <c r="D7" s="26" t="s">
        <v>60</v>
      </c>
      <c r="E7" s="57" t="s">
        <v>83</v>
      </c>
      <c r="F7" s="26"/>
      <c r="G7" s="26" t="s">
        <v>21</v>
      </c>
      <c r="H7" s="26" t="s">
        <v>381</v>
      </c>
      <c r="I7" s="53">
        <v>2097.9020979020979</v>
      </c>
      <c r="J7" s="26" t="s">
        <v>14</v>
      </c>
      <c r="K7" s="48" t="s">
        <v>14</v>
      </c>
      <c r="L7" s="26" t="s">
        <v>14</v>
      </c>
      <c r="M7" s="26" t="s">
        <v>202</v>
      </c>
      <c r="N7" s="26">
        <v>2026</v>
      </c>
    </row>
    <row r="8" spans="1:14">
      <c r="A8" s="26">
        <v>7</v>
      </c>
      <c r="B8" s="26" t="s">
        <v>58</v>
      </c>
      <c r="C8" s="76" t="s">
        <v>59</v>
      </c>
      <c r="D8" s="26" t="s">
        <v>60</v>
      </c>
      <c r="E8" s="57" t="s">
        <v>83</v>
      </c>
      <c r="F8" s="26"/>
      <c r="G8" s="26" t="s">
        <v>21</v>
      </c>
      <c r="H8" s="26" t="s">
        <v>383</v>
      </c>
      <c r="I8" s="53">
        <v>2000</v>
      </c>
      <c r="J8" s="26" t="s">
        <v>14</v>
      </c>
      <c r="K8" s="48" t="s">
        <v>14</v>
      </c>
      <c r="L8" s="26" t="s">
        <v>14</v>
      </c>
      <c r="M8" s="26" t="s">
        <v>202</v>
      </c>
      <c r="N8" s="26">
        <v>2026</v>
      </c>
    </row>
    <row r="9" spans="1:14">
      <c r="A9" s="26">
        <v>8</v>
      </c>
      <c r="B9" s="26" t="s">
        <v>58</v>
      </c>
      <c r="C9" s="76" t="s">
        <v>59</v>
      </c>
      <c r="D9" s="26" t="s">
        <v>60</v>
      </c>
      <c r="E9" s="57" t="s">
        <v>83</v>
      </c>
      <c r="F9" s="26"/>
      <c r="G9" s="26" t="s">
        <v>21</v>
      </c>
      <c r="H9" s="26" t="s">
        <v>379</v>
      </c>
      <c r="I9" s="53">
        <v>1677.8523489932886</v>
      </c>
      <c r="J9" s="26" t="s">
        <v>14</v>
      </c>
      <c r="K9" s="48" t="s">
        <v>14</v>
      </c>
      <c r="L9" s="26" t="s">
        <v>14</v>
      </c>
      <c r="M9" s="26" t="s">
        <v>202</v>
      </c>
      <c r="N9" s="26">
        <v>2026</v>
      </c>
    </row>
    <row r="10" spans="1:14">
      <c r="A10" s="26">
        <v>9</v>
      </c>
      <c r="B10" s="26" t="s">
        <v>58</v>
      </c>
      <c r="C10" s="76" t="s">
        <v>59</v>
      </c>
      <c r="D10" s="26" t="s">
        <v>60</v>
      </c>
      <c r="E10" s="26" t="s">
        <v>83</v>
      </c>
      <c r="F10" s="26"/>
      <c r="G10" s="26" t="s">
        <v>21</v>
      </c>
      <c r="H10" s="26" t="s">
        <v>384</v>
      </c>
      <c r="I10" s="53">
        <v>874.12587412587413</v>
      </c>
      <c r="J10" s="26" t="s">
        <v>14</v>
      </c>
      <c r="K10" s="48" t="s">
        <v>14</v>
      </c>
      <c r="L10" s="26" t="s">
        <v>14</v>
      </c>
      <c r="M10" s="26" t="s">
        <v>202</v>
      </c>
      <c r="N10" s="26">
        <v>2026</v>
      </c>
    </row>
    <row r="11" spans="1:14">
      <c r="A11" s="26">
        <v>10</v>
      </c>
      <c r="B11" s="26" t="s">
        <v>58</v>
      </c>
      <c r="C11" s="48" t="s">
        <v>59</v>
      </c>
      <c r="D11" s="26" t="s">
        <v>60</v>
      </c>
      <c r="E11" s="26" t="s">
        <v>83</v>
      </c>
      <c r="F11" s="26"/>
      <c r="G11" s="26" t="s">
        <v>64</v>
      </c>
      <c r="H11" s="49" t="s">
        <v>309</v>
      </c>
      <c r="I11" s="50">
        <v>453.02013422818794</v>
      </c>
      <c r="J11" s="48" t="s">
        <v>67</v>
      </c>
      <c r="K11" s="48" t="s">
        <v>362</v>
      </c>
      <c r="L11" s="67" t="s">
        <v>14</v>
      </c>
      <c r="M11" s="98" t="s">
        <v>202</v>
      </c>
      <c r="N11" s="26">
        <v>2026</v>
      </c>
    </row>
    <row r="12" spans="1:14">
      <c r="A12" s="26">
        <v>11</v>
      </c>
      <c r="B12" s="63" t="s">
        <v>275</v>
      </c>
      <c r="C12" s="26" t="s">
        <v>275</v>
      </c>
      <c r="D12" s="26" t="s">
        <v>60</v>
      </c>
      <c r="E12" s="26" t="s">
        <v>82</v>
      </c>
      <c r="F12" s="26"/>
      <c r="G12" s="26" t="s">
        <v>224</v>
      </c>
      <c r="H12" s="100" t="s">
        <v>126</v>
      </c>
      <c r="I12" s="53">
        <v>3470</v>
      </c>
      <c r="J12" s="26">
        <v>82</v>
      </c>
      <c r="K12" s="48">
        <v>46085</v>
      </c>
      <c r="L12" s="26" t="s">
        <v>14</v>
      </c>
      <c r="M12" s="26" t="s">
        <v>202</v>
      </c>
      <c r="N12" s="26">
        <v>2026</v>
      </c>
    </row>
    <row r="13" spans="1:14">
      <c r="A13" s="26">
        <v>12</v>
      </c>
      <c r="B13" s="63" t="s">
        <v>275</v>
      </c>
      <c r="C13" s="26" t="s">
        <v>275</v>
      </c>
      <c r="D13" s="26" t="s">
        <v>60</v>
      </c>
      <c r="E13" s="26" t="s">
        <v>82</v>
      </c>
      <c r="F13" s="26"/>
      <c r="G13" s="26" t="s">
        <v>224</v>
      </c>
      <c r="H13" s="100" t="s">
        <v>126</v>
      </c>
      <c r="I13" s="53">
        <v>2562.0682758620692</v>
      </c>
      <c r="J13" s="26">
        <v>83</v>
      </c>
      <c r="K13" s="48">
        <v>46085</v>
      </c>
      <c r="L13" s="26" t="s">
        <v>14</v>
      </c>
      <c r="M13" s="26" t="s">
        <v>202</v>
      </c>
      <c r="N13" s="26">
        <v>2026</v>
      </c>
    </row>
    <row r="14" spans="1:14">
      <c r="A14" s="26">
        <v>13</v>
      </c>
      <c r="B14" s="26" t="s">
        <v>42</v>
      </c>
      <c r="C14" s="47" t="s">
        <v>50</v>
      </c>
      <c r="D14" s="26" t="s">
        <v>60</v>
      </c>
      <c r="E14" s="26" t="s">
        <v>82</v>
      </c>
      <c r="F14" s="26"/>
      <c r="G14" s="26" t="s">
        <v>224</v>
      </c>
      <c r="H14" s="100" t="s">
        <v>126</v>
      </c>
      <c r="I14" s="53">
        <v>1350</v>
      </c>
      <c r="J14" s="26">
        <v>82</v>
      </c>
      <c r="K14" s="48">
        <v>46085</v>
      </c>
      <c r="L14" s="51" t="s">
        <v>14</v>
      </c>
      <c r="M14" s="26" t="s">
        <v>202</v>
      </c>
      <c r="N14" s="26">
        <v>2026</v>
      </c>
    </row>
    <row r="15" spans="1:14">
      <c r="A15" s="26">
        <v>14</v>
      </c>
      <c r="B15" s="26" t="s">
        <v>58</v>
      </c>
      <c r="C15" s="48" t="s">
        <v>59</v>
      </c>
      <c r="D15" s="26" t="s">
        <v>60</v>
      </c>
      <c r="E15" s="26" t="s">
        <v>82</v>
      </c>
      <c r="F15" s="26"/>
      <c r="G15" s="26" t="s">
        <v>64</v>
      </c>
      <c r="H15" s="49" t="s">
        <v>310</v>
      </c>
      <c r="I15" s="50">
        <v>328.85906040268458</v>
      </c>
      <c r="J15" s="26" t="s">
        <v>67</v>
      </c>
      <c r="K15" s="48">
        <v>46358</v>
      </c>
      <c r="L15" s="67" t="s">
        <v>14</v>
      </c>
      <c r="M15" s="98" t="s">
        <v>202</v>
      </c>
      <c r="N15" s="26">
        <v>2026</v>
      </c>
    </row>
    <row r="16" spans="1:14">
      <c r="A16" s="26">
        <v>15</v>
      </c>
      <c r="B16" s="63" t="s">
        <v>305</v>
      </c>
      <c r="C16" s="26" t="s">
        <v>401</v>
      </c>
      <c r="D16" s="26" t="s">
        <v>60</v>
      </c>
      <c r="E16" s="26" t="s">
        <v>82</v>
      </c>
      <c r="F16" s="26"/>
      <c r="G16" s="26" t="s">
        <v>224</v>
      </c>
      <c r="H16" s="100" t="s">
        <v>126</v>
      </c>
      <c r="I16" s="53">
        <v>312.08053691275165</v>
      </c>
      <c r="J16" s="26">
        <v>83</v>
      </c>
      <c r="K16" s="48">
        <v>46085</v>
      </c>
      <c r="L16" s="26" t="s">
        <v>14</v>
      </c>
      <c r="M16" s="26" t="s">
        <v>202</v>
      </c>
      <c r="N16" s="26">
        <v>2026</v>
      </c>
    </row>
    <row r="17" spans="1:14">
      <c r="A17" s="26">
        <v>16</v>
      </c>
      <c r="B17" s="26" t="s">
        <v>305</v>
      </c>
      <c r="C17" s="26" t="s">
        <v>401</v>
      </c>
      <c r="D17" s="26" t="s">
        <v>60</v>
      </c>
      <c r="E17" s="26" t="s">
        <v>82</v>
      </c>
      <c r="F17" s="26"/>
      <c r="G17" s="26" t="s">
        <v>224</v>
      </c>
      <c r="H17" s="100" t="s">
        <v>126</v>
      </c>
      <c r="I17" s="50">
        <v>278</v>
      </c>
      <c r="J17" s="26">
        <v>82</v>
      </c>
      <c r="K17" s="48">
        <v>46085</v>
      </c>
      <c r="L17" s="67" t="s">
        <v>14</v>
      </c>
      <c r="M17" s="26" t="s">
        <v>202</v>
      </c>
      <c r="N17" s="26">
        <v>2026</v>
      </c>
    </row>
    <row r="18" spans="1:14">
      <c r="A18" s="26">
        <v>17</v>
      </c>
      <c r="B18" s="26" t="s">
        <v>58</v>
      </c>
      <c r="C18" s="26" t="s">
        <v>59</v>
      </c>
      <c r="D18" s="26" t="s">
        <v>60</v>
      </c>
      <c r="E18" s="26" t="s">
        <v>223</v>
      </c>
      <c r="F18" s="26"/>
      <c r="G18" s="26" t="s">
        <v>21</v>
      </c>
      <c r="H18" s="100" t="s">
        <v>223</v>
      </c>
      <c r="I18" s="53">
        <v>817000</v>
      </c>
      <c r="J18" s="26" t="s">
        <v>14</v>
      </c>
      <c r="K18" s="48" t="s">
        <v>14</v>
      </c>
      <c r="L18" s="26" t="s">
        <v>14</v>
      </c>
      <c r="M18" s="26" t="s">
        <v>202</v>
      </c>
      <c r="N18" s="26">
        <v>2026</v>
      </c>
    </row>
    <row r="19" spans="1:14">
      <c r="A19" s="26">
        <v>18</v>
      </c>
      <c r="B19" s="26" t="s">
        <v>58</v>
      </c>
      <c r="C19" s="76" t="s">
        <v>59</v>
      </c>
      <c r="D19" s="26" t="s">
        <v>60</v>
      </c>
      <c r="E19" s="57" t="s">
        <v>63</v>
      </c>
      <c r="F19" s="26"/>
      <c r="G19" s="26" t="s">
        <v>21</v>
      </c>
      <c r="H19" s="26" t="s">
        <v>63</v>
      </c>
      <c r="I19" s="53">
        <v>26845.637583892618</v>
      </c>
      <c r="J19" s="26" t="s">
        <v>14</v>
      </c>
      <c r="K19" s="48" t="s">
        <v>14</v>
      </c>
      <c r="L19" s="26" t="s">
        <v>14</v>
      </c>
      <c r="M19" s="26" t="s">
        <v>202</v>
      </c>
      <c r="N19" s="26">
        <v>2026</v>
      </c>
    </row>
    <row r="20" spans="1:14">
      <c r="A20" s="26">
        <v>19</v>
      </c>
      <c r="B20" s="26" t="s">
        <v>58</v>
      </c>
      <c r="C20" s="26" t="s">
        <v>59</v>
      </c>
      <c r="D20" s="26" t="s">
        <v>60</v>
      </c>
      <c r="E20" s="57" t="s">
        <v>63</v>
      </c>
      <c r="F20" s="26"/>
      <c r="G20" s="26" t="s">
        <v>21</v>
      </c>
      <c r="H20" s="26" t="s">
        <v>63</v>
      </c>
      <c r="I20" s="53">
        <v>10738.255033557047</v>
      </c>
      <c r="J20" s="26" t="s">
        <v>14</v>
      </c>
      <c r="K20" s="48" t="s">
        <v>14</v>
      </c>
      <c r="L20" s="26" t="s">
        <v>14</v>
      </c>
      <c r="M20" s="26" t="s">
        <v>202</v>
      </c>
      <c r="N20" s="26">
        <v>2026</v>
      </c>
    </row>
    <row r="21" spans="1:14">
      <c r="A21" s="26">
        <v>20</v>
      </c>
      <c r="B21" s="26" t="s">
        <v>52</v>
      </c>
      <c r="C21" s="70" t="s">
        <v>62</v>
      </c>
      <c r="D21" s="26" t="s">
        <v>60</v>
      </c>
      <c r="E21" s="57" t="s">
        <v>63</v>
      </c>
      <c r="F21" s="26"/>
      <c r="G21" s="26" t="s">
        <v>21</v>
      </c>
      <c r="H21" s="26" t="s">
        <v>63</v>
      </c>
      <c r="I21" s="53">
        <v>6711.4093959731545</v>
      </c>
      <c r="J21" s="26" t="s">
        <v>14</v>
      </c>
      <c r="K21" s="48" t="s">
        <v>14</v>
      </c>
      <c r="L21" s="26" t="s">
        <v>14</v>
      </c>
      <c r="M21" s="26" t="s">
        <v>202</v>
      </c>
      <c r="N21" s="26">
        <v>2026</v>
      </c>
    </row>
    <row r="22" spans="1:14">
      <c r="A22" s="26">
        <v>21</v>
      </c>
      <c r="B22" s="26" t="s">
        <v>58</v>
      </c>
      <c r="C22" s="48" t="s">
        <v>59</v>
      </c>
      <c r="D22" s="26" t="s">
        <v>60</v>
      </c>
      <c r="E22" s="26" t="s">
        <v>63</v>
      </c>
      <c r="F22" s="26"/>
      <c r="G22" s="26" t="s">
        <v>64</v>
      </c>
      <c r="H22" s="49" t="s">
        <v>65</v>
      </c>
      <c r="I22" s="50">
        <v>5841.6107382550335</v>
      </c>
      <c r="J22" s="26" t="s">
        <v>67</v>
      </c>
      <c r="K22" s="48" t="s">
        <v>365</v>
      </c>
      <c r="L22" s="67" t="s">
        <v>14</v>
      </c>
      <c r="M22" s="98" t="s">
        <v>202</v>
      </c>
      <c r="N22" s="26">
        <v>2026</v>
      </c>
    </row>
    <row r="23" spans="1:14">
      <c r="A23" s="26">
        <v>22</v>
      </c>
      <c r="B23" s="26" t="s">
        <v>58</v>
      </c>
      <c r="C23" s="48" t="s">
        <v>59</v>
      </c>
      <c r="D23" s="26" t="s">
        <v>60</v>
      </c>
      <c r="E23" s="26" t="s">
        <v>63</v>
      </c>
      <c r="F23" s="26"/>
      <c r="G23" s="26" t="s">
        <v>64</v>
      </c>
      <c r="H23" s="49" t="s">
        <v>247</v>
      </c>
      <c r="I23" s="50">
        <v>4889.9328859060406</v>
      </c>
      <c r="J23" s="49" t="s">
        <v>67</v>
      </c>
      <c r="K23" s="48">
        <v>46144</v>
      </c>
      <c r="L23" s="67" t="s">
        <v>14</v>
      </c>
      <c r="M23" s="98" t="s">
        <v>202</v>
      </c>
      <c r="N23" s="26">
        <v>2026</v>
      </c>
    </row>
    <row r="24" spans="1:14">
      <c r="A24" s="26">
        <v>23</v>
      </c>
      <c r="B24" s="26" t="s">
        <v>17</v>
      </c>
      <c r="C24" s="26" t="s">
        <v>25</v>
      </c>
      <c r="D24" s="26" t="s">
        <v>60</v>
      </c>
      <c r="E24" s="26" t="s">
        <v>63</v>
      </c>
      <c r="F24" s="26"/>
      <c r="G24" s="26" t="s">
        <v>64</v>
      </c>
      <c r="H24" s="26" t="s">
        <v>318</v>
      </c>
      <c r="I24" s="50">
        <v>1342.2818791946308</v>
      </c>
      <c r="J24" s="26" t="s">
        <v>67</v>
      </c>
      <c r="K24" s="48" t="s">
        <v>364</v>
      </c>
      <c r="L24" s="67" t="s">
        <v>14</v>
      </c>
      <c r="M24" s="98" t="s">
        <v>202</v>
      </c>
      <c r="N24" s="26">
        <v>2026</v>
      </c>
    </row>
    <row r="25" spans="1:14">
      <c r="A25" s="26">
        <v>24</v>
      </c>
      <c r="B25" s="26" t="s">
        <v>17</v>
      </c>
      <c r="C25" s="26" t="s">
        <v>22</v>
      </c>
      <c r="D25" s="26" t="s">
        <v>60</v>
      </c>
      <c r="E25" s="26" t="s">
        <v>63</v>
      </c>
      <c r="F25" s="26"/>
      <c r="G25" s="26" t="s">
        <v>64</v>
      </c>
      <c r="H25" s="26" t="s">
        <v>317</v>
      </c>
      <c r="I25" s="50">
        <v>1073.8255033557048</v>
      </c>
      <c r="J25" s="26" t="s">
        <v>67</v>
      </c>
      <c r="K25" s="48" t="s">
        <v>362</v>
      </c>
      <c r="L25" s="67" t="s">
        <v>14</v>
      </c>
      <c r="M25" s="98" t="s">
        <v>202</v>
      </c>
      <c r="N25" s="26">
        <v>2026</v>
      </c>
    </row>
    <row r="26" spans="1:14">
      <c r="A26" s="26">
        <v>25</v>
      </c>
      <c r="B26" s="26" t="s">
        <v>17</v>
      </c>
      <c r="C26" s="48" t="s">
        <v>22</v>
      </c>
      <c r="D26" s="26" t="s">
        <v>60</v>
      </c>
      <c r="E26" s="26" t="s">
        <v>63</v>
      </c>
      <c r="F26" s="26"/>
      <c r="G26" s="26" t="s">
        <v>64</v>
      </c>
      <c r="H26" s="49" t="s">
        <v>66</v>
      </c>
      <c r="I26" s="50">
        <v>872.48322147651004</v>
      </c>
      <c r="J26" s="26" t="s">
        <v>67</v>
      </c>
      <c r="K26" s="48">
        <v>46055</v>
      </c>
      <c r="L26" s="67" t="s">
        <v>14</v>
      </c>
      <c r="M26" s="98" t="s">
        <v>202</v>
      </c>
      <c r="N26" s="26">
        <v>2026</v>
      </c>
    </row>
    <row r="27" spans="1:14">
      <c r="A27" s="26">
        <v>26</v>
      </c>
      <c r="B27" s="26" t="s">
        <v>58</v>
      </c>
      <c r="C27" s="26" t="s">
        <v>59</v>
      </c>
      <c r="D27" s="26" t="s">
        <v>60</v>
      </c>
      <c r="E27" s="26" t="s">
        <v>63</v>
      </c>
      <c r="F27" s="26"/>
      <c r="G27" s="26" t="s">
        <v>64</v>
      </c>
      <c r="H27" s="49" t="s">
        <v>315</v>
      </c>
      <c r="I27" s="50">
        <v>671.14093959731542</v>
      </c>
      <c r="J27" s="26" t="s">
        <v>67</v>
      </c>
      <c r="K27" s="48" t="s">
        <v>362</v>
      </c>
      <c r="L27" s="67" t="s">
        <v>14</v>
      </c>
      <c r="M27" s="98" t="s">
        <v>202</v>
      </c>
      <c r="N27" s="26">
        <v>2026</v>
      </c>
    </row>
    <row r="28" spans="1:14">
      <c r="A28" s="26">
        <v>27</v>
      </c>
      <c r="B28" s="26" t="s">
        <v>58</v>
      </c>
      <c r="C28" s="48" t="s">
        <v>59</v>
      </c>
      <c r="D28" s="26" t="s">
        <v>60</v>
      </c>
      <c r="E28" s="26" t="s">
        <v>63</v>
      </c>
      <c r="F28" s="26"/>
      <c r="G28" s="26" t="s">
        <v>64</v>
      </c>
      <c r="H28" s="49" t="s">
        <v>65</v>
      </c>
      <c r="I28" s="50">
        <v>671.14093959731542</v>
      </c>
      <c r="J28" s="26" t="s">
        <v>67</v>
      </c>
      <c r="K28" s="48" t="s">
        <v>367</v>
      </c>
      <c r="L28" s="67" t="s">
        <v>14</v>
      </c>
      <c r="M28" s="98" t="s">
        <v>202</v>
      </c>
      <c r="N28" s="26">
        <v>2026</v>
      </c>
    </row>
    <row r="29" spans="1:14">
      <c r="A29" s="26">
        <v>28</v>
      </c>
      <c r="B29" s="26" t="s">
        <v>33</v>
      </c>
      <c r="C29" s="48" t="s">
        <v>34</v>
      </c>
      <c r="D29" s="26" t="s">
        <v>60</v>
      </c>
      <c r="E29" s="26" t="s">
        <v>63</v>
      </c>
      <c r="F29" s="26"/>
      <c r="G29" s="26" t="s">
        <v>64</v>
      </c>
      <c r="H29" s="49" t="s">
        <v>65</v>
      </c>
      <c r="I29" s="50">
        <v>671.14093959731542</v>
      </c>
      <c r="J29" s="26" t="s">
        <v>67</v>
      </c>
      <c r="K29" s="48">
        <v>46236</v>
      </c>
      <c r="L29" s="67" t="s">
        <v>14</v>
      </c>
      <c r="M29" s="98" t="s">
        <v>202</v>
      </c>
      <c r="N29" s="26">
        <v>2026</v>
      </c>
    </row>
    <row r="30" spans="1:14">
      <c r="A30" s="26">
        <v>29</v>
      </c>
      <c r="B30" s="26" t="s">
        <v>58</v>
      </c>
      <c r="C30" s="48" t="s">
        <v>59</v>
      </c>
      <c r="D30" s="26" t="s">
        <v>60</v>
      </c>
      <c r="E30" s="26" t="s">
        <v>63</v>
      </c>
      <c r="F30" s="26"/>
      <c r="G30" s="26" t="s">
        <v>64</v>
      </c>
      <c r="H30" s="49" t="s">
        <v>313</v>
      </c>
      <c r="I30" s="50">
        <v>503.3557046979866</v>
      </c>
      <c r="J30" s="26" t="s">
        <v>67</v>
      </c>
      <c r="K30" s="48">
        <v>46083</v>
      </c>
      <c r="L30" s="67" t="s">
        <v>14</v>
      </c>
      <c r="M30" s="98" t="s">
        <v>202</v>
      </c>
      <c r="N30" s="26">
        <v>2026</v>
      </c>
    </row>
    <row r="31" spans="1:14">
      <c r="A31" s="26">
        <v>30</v>
      </c>
      <c r="B31" s="26" t="s">
        <v>58</v>
      </c>
      <c r="C31" s="48" t="s">
        <v>59</v>
      </c>
      <c r="D31" s="26" t="s">
        <v>60</v>
      </c>
      <c r="E31" s="26" t="s">
        <v>63</v>
      </c>
      <c r="F31" s="26"/>
      <c r="G31" s="26" t="s">
        <v>64</v>
      </c>
      <c r="H31" s="49" t="s">
        <v>316</v>
      </c>
      <c r="I31" s="50">
        <v>503.3557046979866</v>
      </c>
      <c r="J31" s="26" t="s">
        <v>67</v>
      </c>
      <c r="K31" s="48" t="s">
        <v>366</v>
      </c>
      <c r="L31" s="67" t="s">
        <v>14</v>
      </c>
      <c r="M31" s="98" t="s">
        <v>202</v>
      </c>
      <c r="N31" s="26">
        <v>2026</v>
      </c>
    </row>
    <row r="32" spans="1:14">
      <c r="A32" s="26">
        <v>31</v>
      </c>
      <c r="B32" s="26" t="s">
        <v>33</v>
      </c>
      <c r="C32" s="48" t="s">
        <v>34</v>
      </c>
      <c r="D32" s="26" t="s">
        <v>60</v>
      </c>
      <c r="E32" s="26" t="s">
        <v>63</v>
      </c>
      <c r="F32" s="26"/>
      <c r="G32" s="26" t="s">
        <v>64</v>
      </c>
      <c r="H32" s="49" t="s">
        <v>311</v>
      </c>
      <c r="I32" s="50">
        <v>503.3557046979866</v>
      </c>
      <c r="J32" s="26" t="s">
        <v>67</v>
      </c>
      <c r="K32" s="48">
        <v>46055</v>
      </c>
      <c r="L32" s="67" t="s">
        <v>14</v>
      </c>
      <c r="M32" s="98" t="s">
        <v>202</v>
      </c>
      <c r="N32" s="26">
        <v>2026</v>
      </c>
    </row>
    <row r="33" spans="1:14">
      <c r="A33" s="26">
        <v>32</v>
      </c>
      <c r="B33" s="26" t="s">
        <v>33</v>
      </c>
      <c r="C33" s="48" t="s">
        <v>34</v>
      </c>
      <c r="D33" s="26" t="s">
        <v>60</v>
      </c>
      <c r="E33" s="26" t="s">
        <v>63</v>
      </c>
      <c r="F33" s="26"/>
      <c r="G33" s="26" t="s">
        <v>64</v>
      </c>
      <c r="H33" s="49" t="s">
        <v>311</v>
      </c>
      <c r="I33" s="50">
        <v>335.57046979865771</v>
      </c>
      <c r="J33" s="26" t="s">
        <v>67</v>
      </c>
      <c r="K33" s="48">
        <v>46055</v>
      </c>
      <c r="L33" s="67" t="s">
        <v>14</v>
      </c>
      <c r="M33" s="98" t="s">
        <v>202</v>
      </c>
      <c r="N33" s="26">
        <v>2026</v>
      </c>
    </row>
    <row r="34" spans="1:14">
      <c r="A34" s="26">
        <v>33</v>
      </c>
      <c r="B34" s="26" t="s">
        <v>52</v>
      </c>
      <c r="C34" s="70" t="s">
        <v>62</v>
      </c>
      <c r="D34" s="26" t="s">
        <v>60</v>
      </c>
      <c r="E34" s="26" t="s">
        <v>63</v>
      </c>
      <c r="F34" s="26"/>
      <c r="G34" s="26" t="s">
        <v>64</v>
      </c>
      <c r="H34" s="49" t="s">
        <v>68</v>
      </c>
      <c r="I34" s="50">
        <v>335.57046979865771</v>
      </c>
      <c r="J34" s="26" t="s">
        <v>67</v>
      </c>
      <c r="K34" s="48">
        <v>46055</v>
      </c>
      <c r="L34" s="67" t="s">
        <v>14</v>
      </c>
      <c r="M34" s="98" t="s">
        <v>202</v>
      </c>
      <c r="N34" s="26">
        <v>2026</v>
      </c>
    </row>
    <row r="35" spans="1:14">
      <c r="A35" s="26">
        <v>34</v>
      </c>
      <c r="B35" s="26" t="s">
        <v>52</v>
      </c>
      <c r="C35" s="70" t="s">
        <v>62</v>
      </c>
      <c r="D35" s="26" t="s">
        <v>60</v>
      </c>
      <c r="E35" s="26" t="s">
        <v>63</v>
      </c>
      <c r="F35" s="26"/>
      <c r="G35" s="26" t="s">
        <v>64</v>
      </c>
      <c r="H35" s="49" t="s">
        <v>312</v>
      </c>
      <c r="I35" s="50">
        <v>335.57046979865771</v>
      </c>
      <c r="J35" s="26" t="s">
        <v>67</v>
      </c>
      <c r="K35" s="48" t="s">
        <v>364</v>
      </c>
      <c r="L35" s="67" t="s">
        <v>14</v>
      </c>
      <c r="M35" s="98" t="s">
        <v>202</v>
      </c>
      <c r="N35" s="26">
        <v>2026</v>
      </c>
    </row>
    <row r="36" spans="1:14">
      <c r="A36" s="26">
        <v>35</v>
      </c>
      <c r="B36" s="26" t="s">
        <v>58</v>
      </c>
      <c r="C36" s="48" t="s">
        <v>59</v>
      </c>
      <c r="D36" s="26" t="s">
        <v>60</v>
      </c>
      <c r="E36" s="26" t="s">
        <v>63</v>
      </c>
      <c r="F36" s="26"/>
      <c r="G36" s="26" t="s">
        <v>64</v>
      </c>
      <c r="H36" s="49" t="s">
        <v>65</v>
      </c>
      <c r="I36" s="50">
        <v>271.81208053691273</v>
      </c>
      <c r="J36" s="26" t="s">
        <v>67</v>
      </c>
      <c r="K36" s="48">
        <v>46358</v>
      </c>
      <c r="L36" s="67" t="s">
        <v>14</v>
      </c>
      <c r="M36" s="98" t="s">
        <v>202</v>
      </c>
      <c r="N36" s="26">
        <v>2026</v>
      </c>
    </row>
    <row r="37" spans="1:14">
      <c r="A37" s="26">
        <v>36</v>
      </c>
      <c r="B37" s="26" t="s">
        <v>58</v>
      </c>
      <c r="C37" s="48" t="s">
        <v>59</v>
      </c>
      <c r="D37" s="26" t="s">
        <v>60</v>
      </c>
      <c r="E37" s="26" t="s">
        <v>63</v>
      </c>
      <c r="F37" s="26"/>
      <c r="G37" s="26" t="s">
        <v>64</v>
      </c>
      <c r="H37" s="49" t="s">
        <v>314</v>
      </c>
      <c r="I37" s="50">
        <v>201.34228187919464</v>
      </c>
      <c r="J37" s="26" t="s">
        <v>67</v>
      </c>
      <c r="K37" s="48">
        <v>46297</v>
      </c>
      <c r="L37" s="67" t="s">
        <v>14</v>
      </c>
      <c r="M37" s="98" t="s">
        <v>202</v>
      </c>
      <c r="N37" s="26">
        <v>2026</v>
      </c>
    </row>
    <row r="38" spans="1:14">
      <c r="A38" s="26">
        <v>37</v>
      </c>
      <c r="B38" s="26" t="s">
        <v>42</v>
      </c>
      <c r="C38" s="26" t="s">
        <v>42</v>
      </c>
      <c r="D38" s="26" t="s">
        <v>60</v>
      </c>
      <c r="E38" s="26" t="s">
        <v>100</v>
      </c>
      <c r="F38" s="26"/>
      <c r="G38" s="26" t="s">
        <v>103</v>
      </c>
      <c r="H38" s="26" t="s">
        <v>104</v>
      </c>
      <c r="I38" s="46">
        <v>1893.7599388168089</v>
      </c>
      <c r="J38" s="26">
        <v>63</v>
      </c>
      <c r="K38" s="48">
        <v>46025</v>
      </c>
      <c r="L38" s="26" t="s">
        <v>14</v>
      </c>
      <c r="M38" s="26" t="s">
        <v>202</v>
      </c>
      <c r="N38" s="26">
        <v>2026</v>
      </c>
    </row>
    <row r="39" spans="1:14">
      <c r="A39" s="26">
        <v>38</v>
      </c>
      <c r="B39" s="26" t="s">
        <v>17</v>
      </c>
      <c r="C39" s="26" t="s">
        <v>241</v>
      </c>
      <c r="D39" s="26" t="s">
        <v>60</v>
      </c>
      <c r="E39" s="26" t="s">
        <v>100</v>
      </c>
      <c r="F39" s="26"/>
      <c r="G39" s="26" t="s">
        <v>103</v>
      </c>
      <c r="H39" s="26" t="s">
        <v>104</v>
      </c>
      <c r="I39" s="50">
        <v>1784.4673664634199</v>
      </c>
      <c r="J39" s="26">
        <v>63</v>
      </c>
      <c r="K39" s="48">
        <v>46025</v>
      </c>
      <c r="L39" s="67" t="s">
        <v>14</v>
      </c>
      <c r="M39" s="26" t="s">
        <v>202</v>
      </c>
      <c r="N39" s="26">
        <v>2026</v>
      </c>
    </row>
    <row r="40" spans="1:14">
      <c r="A40" s="26">
        <v>39</v>
      </c>
      <c r="B40" s="26" t="s">
        <v>52</v>
      </c>
      <c r="C40" s="76" t="s">
        <v>62</v>
      </c>
      <c r="D40" s="26" t="s">
        <v>60</v>
      </c>
      <c r="E40" s="26" t="s">
        <v>100</v>
      </c>
      <c r="F40" s="26"/>
      <c r="G40" s="26" t="s">
        <v>103</v>
      </c>
      <c r="H40" s="26" t="s">
        <v>104</v>
      </c>
      <c r="I40" s="46">
        <v>1222.93370160108</v>
      </c>
      <c r="J40" s="26">
        <v>63</v>
      </c>
      <c r="K40" s="48">
        <v>46025</v>
      </c>
      <c r="L40" s="26" t="s">
        <v>14</v>
      </c>
      <c r="M40" s="26" t="s">
        <v>202</v>
      </c>
      <c r="N40" s="26">
        <v>2026</v>
      </c>
    </row>
    <row r="41" spans="1:14">
      <c r="A41" s="26">
        <v>40</v>
      </c>
      <c r="B41" s="26" t="s">
        <v>17</v>
      </c>
      <c r="C41" s="48" t="s">
        <v>22</v>
      </c>
      <c r="D41" s="26" t="s">
        <v>19</v>
      </c>
      <c r="E41" s="26" t="s">
        <v>100</v>
      </c>
      <c r="F41" s="26"/>
      <c r="G41" s="26" t="s">
        <v>101</v>
      </c>
      <c r="H41" s="49" t="s">
        <v>102</v>
      </c>
      <c r="I41" s="50">
        <v>1129.5302013422818</v>
      </c>
      <c r="J41" s="26" t="s">
        <v>14</v>
      </c>
      <c r="K41" s="48">
        <v>46054</v>
      </c>
      <c r="L41" s="67" t="s">
        <v>14</v>
      </c>
      <c r="M41" s="26" t="s">
        <v>202</v>
      </c>
      <c r="N41" s="26">
        <v>2026</v>
      </c>
    </row>
    <row r="42" spans="1:14">
      <c r="A42" s="26">
        <v>41</v>
      </c>
      <c r="B42" s="26" t="s">
        <v>58</v>
      </c>
      <c r="C42" s="26" t="s">
        <v>59</v>
      </c>
      <c r="D42" s="26" t="s">
        <v>60</v>
      </c>
      <c r="E42" s="26" t="s">
        <v>100</v>
      </c>
      <c r="F42" s="26"/>
      <c r="G42" s="26" t="s">
        <v>64</v>
      </c>
      <c r="H42" s="26" t="s">
        <v>354</v>
      </c>
      <c r="I42" s="53">
        <v>1035.5704697986578</v>
      </c>
      <c r="J42" s="26" t="s">
        <v>67</v>
      </c>
      <c r="K42" s="48" t="s">
        <v>374</v>
      </c>
      <c r="L42" s="67" t="s">
        <v>14</v>
      </c>
      <c r="M42" s="98" t="s">
        <v>202</v>
      </c>
      <c r="N42" s="26">
        <v>2026</v>
      </c>
    </row>
    <row r="43" spans="1:14">
      <c r="A43" s="26">
        <v>42</v>
      </c>
      <c r="B43" s="26" t="s">
        <v>52</v>
      </c>
      <c r="C43" s="70" t="s">
        <v>62</v>
      </c>
      <c r="D43" s="26" t="s">
        <v>60</v>
      </c>
      <c r="E43" s="26" t="s">
        <v>100</v>
      </c>
      <c r="F43" s="26"/>
      <c r="G43" s="26" t="s">
        <v>64</v>
      </c>
      <c r="H43" s="26" t="s">
        <v>354</v>
      </c>
      <c r="I43" s="53">
        <v>747.65100671140942</v>
      </c>
      <c r="J43" s="26" t="s">
        <v>67</v>
      </c>
      <c r="K43" s="48" t="s">
        <v>374</v>
      </c>
      <c r="L43" s="67" t="s">
        <v>14</v>
      </c>
      <c r="M43" s="98" t="s">
        <v>202</v>
      </c>
      <c r="N43" s="26">
        <v>2026</v>
      </c>
    </row>
    <row r="44" spans="1:14">
      <c r="A44" s="26">
        <v>43</v>
      </c>
      <c r="B44" s="26" t="s">
        <v>35</v>
      </c>
      <c r="C44" s="26" t="s">
        <v>35</v>
      </c>
      <c r="D44" s="26" t="s">
        <v>60</v>
      </c>
      <c r="E44" s="26" t="s">
        <v>100</v>
      </c>
      <c r="F44" s="26"/>
      <c r="G44" s="26" t="s">
        <v>103</v>
      </c>
      <c r="H44" s="26" t="s">
        <v>104</v>
      </c>
      <c r="I44" s="53">
        <v>600</v>
      </c>
      <c r="J44" s="26">
        <v>63</v>
      </c>
      <c r="K44" s="48">
        <v>46025</v>
      </c>
      <c r="L44" s="26" t="s">
        <v>14</v>
      </c>
      <c r="M44" s="26" t="s">
        <v>202</v>
      </c>
      <c r="N44" s="26">
        <v>2026</v>
      </c>
    </row>
    <row r="45" spans="1:14">
      <c r="A45" s="26">
        <v>44</v>
      </c>
      <c r="B45" s="26" t="s">
        <v>42</v>
      </c>
      <c r="C45" s="48" t="s">
        <v>69</v>
      </c>
      <c r="D45" s="26" t="s">
        <v>60</v>
      </c>
      <c r="E45" s="26" t="s">
        <v>100</v>
      </c>
      <c r="F45" s="26"/>
      <c r="G45" s="26" t="s">
        <v>64</v>
      </c>
      <c r="H45" s="49" t="s">
        <v>354</v>
      </c>
      <c r="I45" s="50">
        <v>587.24832214765104</v>
      </c>
      <c r="J45" s="26" t="s">
        <v>67</v>
      </c>
      <c r="K45" s="48" t="s">
        <v>374</v>
      </c>
      <c r="L45" s="67" t="s">
        <v>14</v>
      </c>
      <c r="M45" s="98" t="s">
        <v>202</v>
      </c>
      <c r="N45" s="26">
        <v>2026</v>
      </c>
    </row>
    <row r="46" spans="1:14">
      <c r="A46" s="26">
        <v>45</v>
      </c>
      <c r="B46" s="26" t="s">
        <v>17</v>
      </c>
      <c r="C46" s="26" t="s">
        <v>25</v>
      </c>
      <c r="D46" s="26" t="s">
        <v>60</v>
      </c>
      <c r="E46" s="26" t="s">
        <v>100</v>
      </c>
      <c r="F46" s="26"/>
      <c r="G46" s="26" t="s">
        <v>64</v>
      </c>
      <c r="H46" s="26" t="s">
        <v>354</v>
      </c>
      <c r="I46" s="53">
        <v>516.77852348993292</v>
      </c>
      <c r="J46" s="26" t="s">
        <v>67</v>
      </c>
      <c r="K46" s="48" t="s">
        <v>374</v>
      </c>
      <c r="L46" s="67" t="s">
        <v>14</v>
      </c>
      <c r="M46" s="98" t="s">
        <v>202</v>
      </c>
      <c r="N46" s="26">
        <v>2026</v>
      </c>
    </row>
    <row r="47" spans="1:14">
      <c r="A47" s="26">
        <v>46</v>
      </c>
      <c r="B47" s="26" t="s">
        <v>33</v>
      </c>
      <c r="C47" s="26" t="s">
        <v>34</v>
      </c>
      <c r="D47" s="26" t="s">
        <v>60</v>
      </c>
      <c r="E47" s="26" t="s">
        <v>100</v>
      </c>
      <c r="F47" s="26"/>
      <c r="G47" s="26" t="s">
        <v>64</v>
      </c>
      <c r="H47" s="26" t="s">
        <v>354</v>
      </c>
      <c r="I47" s="53">
        <v>516.10738255033561</v>
      </c>
      <c r="J47" s="26" t="s">
        <v>67</v>
      </c>
      <c r="K47" s="48" t="s">
        <v>374</v>
      </c>
      <c r="L47" s="67" t="s">
        <v>14</v>
      </c>
      <c r="M47" s="98" t="s">
        <v>202</v>
      </c>
      <c r="N47" s="26">
        <v>2026</v>
      </c>
    </row>
    <row r="48" spans="1:14">
      <c r="A48" s="26">
        <v>47</v>
      </c>
      <c r="B48" s="26" t="s">
        <v>42</v>
      </c>
      <c r="C48" s="26" t="s">
        <v>257</v>
      </c>
      <c r="D48" s="26" t="s">
        <v>60</v>
      </c>
      <c r="E48" s="26" t="s">
        <v>100</v>
      </c>
      <c r="F48" s="26"/>
      <c r="G48" s="26" t="s">
        <v>64</v>
      </c>
      <c r="H48" s="26" t="s">
        <v>354</v>
      </c>
      <c r="I48" s="53">
        <v>373.82550335570471</v>
      </c>
      <c r="J48" s="26" t="s">
        <v>67</v>
      </c>
      <c r="K48" s="48" t="s">
        <v>374</v>
      </c>
      <c r="L48" s="67" t="s">
        <v>14</v>
      </c>
      <c r="M48" s="98" t="s">
        <v>202</v>
      </c>
      <c r="N48" s="26">
        <v>2026</v>
      </c>
    </row>
    <row r="49" spans="1:14">
      <c r="A49" s="26">
        <v>48</v>
      </c>
      <c r="B49" s="26" t="s">
        <v>17</v>
      </c>
      <c r="C49" s="48" t="s">
        <v>18</v>
      </c>
      <c r="D49" s="26" t="s">
        <v>60</v>
      </c>
      <c r="E49" s="26" t="s">
        <v>100</v>
      </c>
      <c r="F49" s="26"/>
      <c r="G49" s="26" t="s">
        <v>64</v>
      </c>
      <c r="H49" s="49" t="s">
        <v>354</v>
      </c>
      <c r="I49" s="50">
        <v>355.70469798657717</v>
      </c>
      <c r="J49" s="26" t="s">
        <v>67</v>
      </c>
      <c r="K49" s="48" t="s">
        <v>374</v>
      </c>
      <c r="L49" s="67" t="s">
        <v>14</v>
      </c>
      <c r="M49" s="98" t="s">
        <v>202</v>
      </c>
      <c r="N49" s="26">
        <v>2026</v>
      </c>
    </row>
    <row r="50" spans="1:14">
      <c r="A50" s="26">
        <v>49</v>
      </c>
      <c r="B50" s="26" t="s">
        <v>42</v>
      </c>
      <c r="C50" s="26" t="s">
        <v>50</v>
      </c>
      <c r="D50" s="26" t="s">
        <v>60</v>
      </c>
      <c r="E50" s="26" t="s">
        <v>100</v>
      </c>
      <c r="F50" s="26"/>
      <c r="G50" s="26" t="s">
        <v>64</v>
      </c>
      <c r="H50" s="26" t="s">
        <v>354</v>
      </c>
      <c r="I50" s="53">
        <v>302.68456375838929</v>
      </c>
      <c r="J50" s="26" t="s">
        <v>67</v>
      </c>
      <c r="K50" s="48" t="s">
        <v>374</v>
      </c>
      <c r="L50" s="67" t="s">
        <v>14</v>
      </c>
      <c r="M50" s="98" t="s">
        <v>202</v>
      </c>
      <c r="N50" s="26">
        <v>2026</v>
      </c>
    </row>
    <row r="51" spans="1:14">
      <c r="A51" s="26">
        <v>50</v>
      </c>
      <c r="B51" s="26" t="s">
        <v>54</v>
      </c>
      <c r="C51" s="48" t="s">
        <v>55</v>
      </c>
      <c r="D51" s="26" t="s">
        <v>60</v>
      </c>
      <c r="E51" s="26" t="s">
        <v>100</v>
      </c>
      <c r="F51" s="26"/>
      <c r="G51" s="26" t="s">
        <v>64</v>
      </c>
      <c r="H51" s="49" t="s">
        <v>354</v>
      </c>
      <c r="I51" s="50">
        <v>267.11409395973152</v>
      </c>
      <c r="J51" s="26" t="s">
        <v>67</v>
      </c>
      <c r="K51" s="48" t="s">
        <v>374</v>
      </c>
      <c r="L51" s="67" t="s">
        <v>14</v>
      </c>
      <c r="M51" s="98" t="s">
        <v>202</v>
      </c>
      <c r="N51" s="26">
        <v>2026</v>
      </c>
    </row>
    <row r="52" spans="1:14">
      <c r="A52" s="26">
        <v>51</v>
      </c>
      <c r="B52" s="26" t="s">
        <v>17</v>
      </c>
      <c r="C52" s="26" t="s">
        <v>23</v>
      </c>
      <c r="D52" s="26" t="s">
        <v>60</v>
      </c>
      <c r="E52" s="26" t="s">
        <v>100</v>
      </c>
      <c r="F52" s="26"/>
      <c r="G52" s="26" t="s">
        <v>64</v>
      </c>
      <c r="H52" s="26" t="s">
        <v>354</v>
      </c>
      <c r="I52" s="53">
        <v>248.99328859060404</v>
      </c>
      <c r="J52" s="26" t="s">
        <v>67</v>
      </c>
      <c r="K52" s="48" t="s">
        <v>374</v>
      </c>
      <c r="L52" s="67" t="s">
        <v>14</v>
      </c>
      <c r="M52" s="98" t="s">
        <v>202</v>
      </c>
      <c r="N52" s="26">
        <v>2026</v>
      </c>
    </row>
    <row r="53" spans="1:14">
      <c r="A53" s="26">
        <v>52</v>
      </c>
      <c r="B53" s="26" t="s">
        <v>305</v>
      </c>
      <c r="C53" s="26" t="s">
        <v>401</v>
      </c>
      <c r="D53" s="26" t="s">
        <v>60</v>
      </c>
      <c r="E53" s="26" t="s">
        <v>100</v>
      </c>
      <c r="F53" s="26"/>
      <c r="G53" s="26" t="s">
        <v>64</v>
      </c>
      <c r="H53" s="49" t="s">
        <v>354</v>
      </c>
      <c r="I53" s="50">
        <v>244.96644295302013</v>
      </c>
      <c r="J53" s="26" t="s">
        <v>67</v>
      </c>
      <c r="K53" s="48" t="s">
        <v>374</v>
      </c>
      <c r="L53" s="67" t="s">
        <v>14</v>
      </c>
      <c r="M53" s="98" t="s">
        <v>202</v>
      </c>
      <c r="N53" s="26">
        <v>2026</v>
      </c>
    </row>
    <row r="54" spans="1:14">
      <c r="A54" s="26">
        <v>53</v>
      </c>
      <c r="B54" s="26" t="s">
        <v>271</v>
      </c>
      <c r="C54" s="26" t="s">
        <v>272</v>
      </c>
      <c r="D54" s="26" t="s">
        <v>60</v>
      </c>
      <c r="E54" s="26" t="s">
        <v>100</v>
      </c>
      <c r="F54" s="26"/>
      <c r="G54" s="26" t="s">
        <v>64</v>
      </c>
      <c r="H54" s="49" t="s">
        <v>355</v>
      </c>
      <c r="I54" s="50">
        <v>201.34228187919464</v>
      </c>
      <c r="J54" s="49">
        <v>224</v>
      </c>
      <c r="K54" s="48">
        <v>46175</v>
      </c>
      <c r="L54" s="67" t="s">
        <v>14</v>
      </c>
      <c r="M54" s="98" t="s">
        <v>202</v>
      </c>
      <c r="N54" s="26">
        <v>2026</v>
      </c>
    </row>
    <row r="55" spans="1:14">
      <c r="A55" s="26">
        <v>54</v>
      </c>
      <c r="B55" s="26" t="s">
        <v>33</v>
      </c>
      <c r="C55" s="26" t="s">
        <v>34</v>
      </c>
      <c r="D55" s="26" t="s">
        <v>60</v>
      </c>
      <c r="E55" s="26" t="s">
        <v>100</v>
      </c>
      <c r="F55" s="26"/>
      <c r="G55" s="26" t="s">
        <v>103</v>
      </c>
      <c r="H55" s="26" t="s">
        <v>104</v>
      </c>
      <c r="I55" s="53">
        <v>194.55655993425449</v>
      </c>
      <c r="J55" s="26">
        <v>63</v>
      </c>
      <c r="K55" s="48">
        <v>46025</v>
      </c>
      <c r="L55" s="26" t="s">
        <v>14</v>
      </c>
      <c r="M55" s="26" t="s">
        <v>202</v>
      </c>
      <c r="N55" s="26">
        <v>2026</v>
      </c>
    </row>
    <row r="56" spans="1:14">
      <c r="A56" s="26">
        <v>55</v>
      </c>
      <c r="B56" s="26" t="s">
        <v>42</v>
      </c>
      <c r="C56" s="26" t="s">
        <v>45</v>
      </c>
      <c r="D56" s="26" t="s">
        <v>60</v>
      </c>
      <c r="E56" s="26" t="s">
        <v>100</v>
      </c>
      <c r="F56" s="26"/>
      <c r="G56" s="26" t="s">
        <v>64</v>
      </c>
      <c r="H56" s="26" t="s">
        <v>354</v>
      </c>
      <c r="I56" s="50">
        <v>177.85234899328859</v>
      </c>
      <c r="J56" s="26" t="s">
        <v>67</v>
      </c>
      <c r="K56" s="48" t="s">
        <v>374</v>
      </c>
      <c r="L56" s="67" t="s">
        <v>14</v>
      </c>
      <c r="M56" s="98" t="s">
        <v>202</v>
      </c>
      <c r="N56" s="26">
        <v>2026</v>
      </c>
    </row>
    <row r="57" spans="1:14">
      <c r="A57" s="26">
        <v>56</v>
      </c>
      <c r="B57" s="26" t="s">
        <v>42</v>
      </c>
      <c r="C57" s="26" t="s">
        <v>51</v>
      </c>
      <c r="D57" s="26" t="s">
        <v>60</v>
      </c>
      <c r="E57" s="26" t="s">
        <v>100</v>
      </c>
      <c r="F57" s="26"/>
      <c r="G57" s="26" t="s">
        <v>64</v>
      </c>
      <c r="H57" s="26" t="s">
        <v>354</v>
      </c>
      <c r="I57" s="53">
        <v>142.28187919463087</v>
      </c>
      <c r="J57" s="26" t="s">
        <v>67</v>
      </c>
      <c r="K57" s="48" t="s">
        <v>374</v>
      </c>
      <c r="L57" s="67" t="s">
        <v>14</v>
      </c>
      <c r="M57" s="98" t="s">
        <v>202</v>
      </c>
      <c r="N57" s="26">
        <v>2026</v>
      </c>
    </row>
    <row r="58" spans="1:14">
      <c r="A58" s="26">
        <v>57</v>
      </c>
      <c r="B58" s="26" t="s">
        <v>52</v>
      </c>
      <c r="C58" s="70" t="s">
        <v>62</v>
      </c>
      <c r="D58" s="26" t="s">
        <v>60</v>
      </c>
      <c r="E58" s="26" t="s">
        <v>100</v>
      </c>
      <c r="F58" s="26"/>
      <c r="G58" s="26" t="s">
        <v>64</v>
      </c>
      <c r="H58" s="26" t="s">
        <v>354</v>
      </c>
      <c r="I58" s="53">
        <v>117.4496644295302</v>
      </c>
      <c r="J58" s="26" t="s">
        <v>67</v>
      </c>
      <c r="K58" s="48" t="s">
        <v>374</v>
      </c>
      <c r="L58" s="67" t="s">
        <v>14</v>
      </c>
      <c r="M58" s="98" t="s">
        <v>202</v>
      </c>
      <c r="N58" s="26">
        <v>2026</v>
      </c>
    </row>
    <row r="59" spans="1:14">
      <c r="A59" s="26">
        <v>58</v>
      </c>
      <c r="B59" s="26" t="s">
        <v>35</v>
      </c>
      <c r="C59" s="26" t="s">
        <v>36</v>
      </c>
      <c r="D59" s="26" t="s">
        <v>60</v>
      </c>
      <c r="E59" s="26" t="s">
        <v>100</v>
      </c>
      <c r="F59" s="26"/>
      <c r="G59" s="26" t="s">
        <v>64</v>
      </c>
      <c r="H59" s="26" t="s">
        <v>354</v>
      </c>
      <c r="I59" s="50">
        <v>106.71140939597315</v>
      </c>
      <c r="J59" s="26" t="s">
        <v>67</v>
      </c>
      <c r="K59" s="48" t="s">
        <v>374</v>
      </c>
      <c r="L59" s="67" t="s">
        <v>14</v>
      </c>
      <c r="M59" s="98" t="s">
        <v>202</v>
      </c>
      <c r="N59" s="26">
        <v>2026</v>
      </c>
    </row>
    <row r="60" spans="1:14">
      <c r="A60" s="26">
        <v>59</v>
      </c>
      <c r="B60" s="26" t="s">
        <v>33</v>
      </c>
      <c r="C60" s="26" t="s">
        <v>34</v>
      </c>
      <c r="D60" s="26" t="s">
        <v>60</v>
      </c>
      <c r="E60" s="26" t="s">
        <v>100</v>
      </c>
      <c r="F60" s="26"/>
      <c r="G60" s="26" t="s">
        <v>64</v>
      </c>
      <c r="H60" s="26" t="s">
        <v>354</v>
      </c>
      <c r="I60" s="53">
        <v>100.67114093959732</v>
      </c>
      <c r="J60" s="26" t="s">
        <v>67</v>
      </c>
      <c r="K60" s="48" t="s">
        <v>374</v>
      </c>
      <c r="L60" s="67" t="s">
        <v>14</v>
      </c>
      <c r="M60" s="98" t="s">
        <v>202</v>
      </c>
      <c r="N60" s="26">
        <v>2026</v>
      </c>
    </row>
    <row r="61" spans="1:14">
      <c r="A61" s="26">
        <v>60</v>
      </c>
      <c r="B61" s="26" t="s">
        <v>58</v>
      </c>
      <c r="C61" s="26" t="s">
        <v>59</v>
      </c>
      <c r="D61" s="26" t="s">
        <v>60</v>
      </c>
      <c r="E61" s="26" t="s">
        <v>100</v>
      </c>
      <c r="F61" s="26"/>
      <c r="G61" s="26" t="s">
        <v>64</v>
      </c>
      <c r="H61" s="26" t="s">
        <v>81</v>
      </c>
      <c r="I61" s="53">
        <v>88.758389261744966</v>
      </c>
      <c r="J61" s="26" t="s">
        <v>67</v>
      </c>
      <c r="K61" s="48" t="s">
        <v>374</v>
      </c>
      <c r="L61" s="67" t="s">
        <v>14</v>
      </c>
      <c r="M61" s="98" t="s">
        <v>202</v>
      </c>
      <c r="N61" s="26">
        <v>2026</v>
      </c>
    </row>
    <row r="62" spans="1:14">
      <c r="A62" s="26">
        <v>61</v>
      </c>
      <c r="B62" s="26" t="s">
        <v>42</v>
      </c>
      <c r="C62" s="26" t="s">
        <v>47</v>
      </c>
      <c r="D62" s="26" t="s">
        <v>60</v>
      </c>
      <c r="E62" s="26" t="s">
        <v>100</v>
      </c>
      <c r="F62" s="26"/>
      <c r="G62" s="26" t="s">
        <v>64</v>
      </c>
      <c r="H62" s="26" t="s">
        <v>354</v>
      </c>
      <c r="I62" s="53">
        <v>71.140939597315437</v>
      </c>
      <c r="J62" s="26" t="s">
        <v>67</v>
      </c>
      <c r="K62" s="48" t="s">
        <v>374</v>
      </c>
      <c r="L62" s="67" t="s">
        <v>14</v>
      </c>
      <c r="M62" s="98" t="s">
        <v>202</v>
      </c>
      <c r="N62" s="26">
        <v>2026</v>
      </c>
    </row>
    <row r="63" spans="1:14">
      <c r="A63" s="26">
        <v>62</v>
      </c>
      <c r="B63" s="26" t="s">
        <v>42</v>
      </c>
      <c r="C63" s="26" t="s">
        <v>45</v>
      </c>
      <c r="D63" s="26" t="s">
        <v>60</v>
      </c>
      <c r="E63" s="26" t="s">
        <v>100</v>
      </c>
      <c r="F63" s="26"/>
      <c r="G63" s="26" t="s">
        <v>64</v>
      </c>
      <c r="H63" s="49" t="s">
        <v>354</v>
      </c>
      <c r="I63" s="50">
        <v>60.402684563758392</v>
      </c>
      <c r="J63" s="49" t="s">
        <v>67</v>
      </c>
      <c r="K63" s="48" t="s">
        <v>374</v>
      </c>
      <c r="L63" s="67" t="s">
        <v>14</v>
      </c>
      <c r="M63" s="98" t="s">
        <v>202</v>
      </c>
      <c r="N63" s="26">
        <v>2026</v>
      </c>
    </row>
    <row r="64" spans="1:14">
      <c r="A64" s="26">
        <v>63</v>
      </c>
      <c r="B64" s="26" t="s">
        <v>17</v>
      </c>
      <c r="C64" s="26" t="s">
        <v>22</v>
      </c>
      <c r="D64" s="26" t="s">
        <v>60</v>
      </c>
      <c r="E64" s="26" t="s">
        <v>100</v>
      </c>
      <c r="F64" s="26"/>
      <c r="G64" s="26" t="s">
        <v>64</v>
      </c>
      <c r="H64" s="26" t="s">
        <v>354</v>
      </c>
      <c r="I64" s="53">
        <v>44.29530201342282</v>
      </c>
      <c r="J64" s="26" t="s">
        <v>67</v>
      </c>
      <c r="K64" s="48" t="s">
        <v>374</v>
      </c>
      <c r="L64" s="67" t="s">
        <v>14</v>
      </c>
      <c r="M64" s="98" t="s">
        <v>202</v>
      </c>
      <c r="N64" s="26">
        <v>2026</v>
      </c>
    </row>
    <row r="65" spans="1:14">
      <c r="A65" s="26">
        <v>64</v>
      </c>
      <c r="B65" s="26" t="s">
        <v>17</v>
      </c>
      <c r="C65" s="26" t="s">
        <v>24</v>
      </c>
      <c r="D65" s="26" t="s">
        <v>60</v>
      </c>
      <c r="E65" s="26" t="s">
        <v>100</v>
      </c>
      <c r="F65" s="26"/>
      <c r="G65" s="26" t="s">
        <v>64</v>
      </c>
      <c r="H65" s="26" t="s">
        <v>354</v>
      </c>
      <c r="I65" s="53">
        <v>35.570469798657719</v>
      </c>
      <c r="J65" s="26" t="s">
        <v>67</v>
      </c>
      <c r="K65" s="48" t="s">
        <v>374</v>
      </c>
      <c r="L65" s="67" t="s">
        <v>14</v>
      </c>
      <c r="M65" s="98" t="s">
        <v>202</v>
      </c>
      <c r="N65" s="26">
        <v>2026</v>
      </c>
    </row>
    <row r="66" spans="1:14">
      <c r="A66" s="26">
        <v>65</v>
      </c>
      <c r="B66" s="26" t="s">
        <v>35</v>
      </c>
      <c r="C66" s="26" t="s">
        <v>37</v>
      </c>
      <c r="D66" s="26" t="s">
        <v>60</v>
      </c>
      <c r="E66" s="26" t="s">
        <v>100</v>
      </c>
      <c r="F66" s="26"/>
      <c r="G66" s="26" t="s">
        <v>64</v>
      </c>
      <c r="H66" s="26" t="s">
        <v>354</v>
      </c>
      <c r="I66" s="50">
        <v>35.570469798657719</v>
      </c>
      <c r="J66" s="26" t="s">
        <v>67</v>
      </c>
      <c r="K66" s="48" t="s">
        <v>374</v>
      </c>
      <c r="L66" s="67" t="s">
        <v>14</v>
      </c>
      <c r="M66" s="98" t="s">
        <v>202</v>
      </c>
      <c r="N66" s="26">
        <v>2026</v>
      </c>
    </row>
    <row r="67" spans="1:14">
      <c r="A67" s="26">
        <v>66</v>
      </c>
      <c r="B67" s="26" t="s">
        <v>58</v>
      </c>
      <c r="C67" s="77" t="s">
        <v>59</v>
      </c>
      <c r="D67" s="26" t="s">
        <v>60</v>
      </c>
      <c r="E67" s="26" t="s">
        <v>100</v>
      </c>
      <c r="F67" s="26"/>
      <c r="G67" s="26" t="s">
        <v>103</v>
      </c>
      <c r="H67" s="49" t="s">
        <v>104</v>
      </c>
      <c r="I67" s="50">
        <v>32.078853799667073</v>
      </c>
      <c r="J67" s="26">
        <v>63</v>
      </c>
      <c r="K67" s="48">
        <v>46025</v>
      </c>
      <c r="L67" s="67" t="s">
        <v>14</v>
      </c>
      <c r="M67" s="26" t="s">
        <v>202</v>
      </c>
      <c r="N67" s="26">
        <v>2026</v>
      </c>
    </row>
    <row r="68" spans="1:14">
      <c r="A68" s="26">
        <v>67</v>
      </c>
      <c r="B68" s="149" t="s">
        <v>42</v>
      </c>
      <c r="C68" s="149" t="s">
        <v>47</v>
      </c>
      <c r="D68" s="149" t="s">
        <v>60</v>
      </c>
      <c r="E68" s="26" t="s">
        <v>56</v>
      </c>
      <c r="F68" s="26"/>
      <c r="G68" s="149" t="s">
        <v>264</v>
      </c>
      <c r="H68" s="26" t="s">
        <v>56</v>
      </c>
      <c r="I68" s="53">
        <f>66400000/1490</f>
        <v>44563.758389261748</v>
      </c>
      <c r="J68" s="149" t="s">
        <v>14</v>
      </c>
      <c r="K68" s="48">
        <v>46068</v>
      </c>
      <c r="L68" s="149" t="s">
        <v>14</v>
      </c>
      <c r="M68" s="149" t="s">
        <v>202</v>
      </c>
      <c r="N68" s="26">
        <v>2026</v>
      </c>
    </row>
    <row r="69" spans="1:14">
      <c r="A69" s="26">
        <v>68</v>
      </c>
      <c r="B69" s="45" t="s">
        <v>52</v>
      </c>
      <c r="C69" s="45" t="s">
        <v>62</v>
      </c>
      <c r="D69" s="26" t="s">
        <v>60</v>
      </c>
      <c r="E69" s="26" t="s">
        <v>56</v>
      </c>
      <c r="F69" s="26"/>
      <c r="G69" s="26" t="s">
        <v>302</v>
      </c>
      <c r="H69" s="26" t="s">
        <v>56</v>
      </c>
      <c r="I69" s="46">
        <v>41250</v>
      </c>
      <c r="J69" s="26" t="s">
        <v>303</v>
      </c>
      <c r="K69" s="48">
        <v>46061</v>
      </c>
      <c r="L69" s="98">
        <v>2026400779</v>
      </c>
      <c r="M69" s="149" t="s">
        <v>202</v>
      </c>
      <c r="N69" s="26">
        <v>2026</v>
      </c>
    </row>
    <row r="70" spans="1:14">
      <c r="A70" s="26">
        <v>69</v>
      </c>
      <c r="B70" s="70" t="s">
        <v>52</v>
      </c>
      <c r="C70" s="70" t="s">
        <v>62</v>
      </c>
      <c r="D70" s="26" t="s">
        <v>60</v>
      </c>
      <c r="E70" s="26" t="s">
        <v>56</v>
      </c>
      <c r="F70" s="26"/>
      <c r="G70" s="26" t="s">
        <v>302</v>
      </c>
      <c r="H70" s="26" t="s">
        <v>56</v>
      </c>
      <c r="I70" s="46">
        <v>8250</v>
      </c>
      <c r="J70" s="26" t="s">
        <v>304</v>
      </c>
      <c r="K70" s="48">
        <v>46061</v>
      </c>
      <c r="L70" s="26">
        <v>2026400832</v>
      </c>
      <c r="M70" s="149" t="s">
        <v>202</v>
      </c>
      <c r="N70" s="26">
        <v>2026</v>
      </c>
    </row>
    <row r="71" spans="1:14">
      <c r="A71" s="26">
        <v>70</v>
      </c>
      <c r="B71" s="45" t="s">
        <v>52</v>
      </c>
      <c r="C71" s="45" t="s">
        <v>62</v>
      </c>
      <c r="D71" s="26" t="s">
        <v>60</v>
      </c>
      <c r="E71" s="26" t="s">
        <v>56</v>
      </c>
      <c r="F71" s="26"/>
      <c r="G71" s="26" t="s">
        <v>301</v>
      </c>
      <c r="H71" s="26" t="s">
        <v>56</v>
      </c>
      <c r="I71" s="46">
        <f>3900000/1490</f>
        <v>2617.44966442953</v>
      </c>
      <c r="J71" s="26">
        <v>1601</v>
      </c>
      <c r="K71" s="48">
        <v>46054</v>
      </c>
      <c r="L71" s="149" t="s">
        <v>14</v>
      </c>
      <c r="M71" s="149" t="s">
        <v>202</v>
      </c>
      <c r="N71" s="26">
        <v>2026</v>
      </c>
    </row>
    <row r="72" spans="1:14">
      <c r="A72" s="26">
        <v>71</v>
      </c>
      <c r="B72" s="149" t="s">
        <v>33</v>
      </c>
      <c r="C72" s="149" t="s">
        <v>34</v>
      </c>
      <c r="D72" s="26" t="s">
        <v>60</v>
      </c>
      <c r="E72" s="26" t="s">
        <v>56</v>
      </c>
      <c r="F72" s="26"/>
      <c r="G72" s="26" t="s">
        <v>301</v>
      </c>
      <c r="H72" s="26" t="s">
        <v>56</v>
      </c>
      <c r="I72" s="150">
        <f>3000000/1490</f>
        <v>2013.4228187919464</v>
      </c>
      <c r="J72" s="149" t="s">
        <v>14</v>
      </c>
      <c r="K72" s="48">
        <v>46062</v>
      </c>
      <c r="L72" s="149" t="s">
        <v>14</v>
      </c>
      <c r="M72" s="149" t="s">
        <v>202</v>
      </c>
      <c r="N72" s="26">
        <v>2026</v>
      </c>
    </row>
    <row r="73" spans="1:14">
      <c r="A73" s="26">
        <v>72</v>
      </c>
      <c r="B73" s="26" t="s">
        <v>52</v>
      </c>
      <c r="C73" s="70" t="s">
        <v>62</v>
      </c>
      <c r="D73" s="26" t="s">
        <v>60</v>
      </c>
      <c r="E73" s="26" t="s">
        <v>56</v>
      </c>
      <c r="F73" s="26"/>
      <c r="G73" s="26" t="s">
        <v>64</v>
      </c>
      <c r="H73" s="49" t="s">
        <v>342</v>
      </c>
      <c r="I73" s="50">
        <v>1681.2080536912752</v>
      </c>
      <c r="J73" s="48">
        <v>3801069064</v>
      </c>
      <c r="K73" s="48">
        <v>46236</v>
      </c>
      <c r="L73" s="67" t="s">
        <v>14</v>
      </c>
      <c r="M73" s="98" t="s">
        <v>202</v>
      </c>
      <c r="N73" s="26">
        <v>2026</v>
      </c>
    </row>
    <row r="74" spans="1:14">
      <c r="A74" s="26">
        <v>73</v>
      </c>
      <c r="B74" s="26" t="s">
        <v>58</v>
      </c>
      <c r="C74" s="48" t="s">
        <v>59</v>
      </c>
      <c r="D74" s="26" t="s">
        <v>60</v>
      </c>
      <c r="E74" s="26" t="s">
        <v>56</v>
      </c>
      <c r="F74" s="26"/>
      <c r="G74" s="26" t="s">
        <v>64</v>
      </c>
      <c r="H74" s="49" t="s">
        <v>343</v>
      </c>
      <c r="I74" s="50">
        <v>23.48993288590604</v>
      </c>
      <c r="J74" s="26" t="s">
        <v>67</v>
      </c>
      <c r="K74" s="48">
        <v>46267</v>
      </c>
      <c r="L74" s="67" t="s">
        <v>14</v>
      </c>
      <c r="M74" s="98" t="s">
        <v>202</v>
      </c>
      <c r="N74" s="26">
        <v>2026</v>
      </c>
    </row>
    <row r="75" spans="1:14">
      <c r="A75" s="26">
        <v>74</v>
      </c>
      <c r="B75" s="26" t="s">
        <v>54</v>
      </c>
      <c r="C75" s="26" t="s">
        <v>55</v>
      </c>
      <c r="D75" s="26" t="s">
        <v>60</v>
      </c>
      <c r="E75" s="26" t="s">
        <v>261</v>
      </c>
      <c r="F75" s="26"/>
      <c r="G75" s="26" t="s">
        <v>693</v>
      </c>
      <c r="H75" s="26" t="s">
        <v>261</v>
      </c>
      <c r="I75" s="53">
        <v>37097.5</v>
      </c>
      <c r="J75" s="26" t="s">
        <v>700</v>
      </c>
      <c r="K75" s="48">
        <v>46065</v>
      </c>
      <c r="L75" s="26">
        <v>2025403688</v>
      </c>
      <c r="M75" s="26" t="s">
        <v>202</v>
      </c>
      <c r="N75" s="26">
        <v>2026</v>
      </c>
    </row>
    <row r="76" spans="1:14">
      <c r="A76" s="26">
        <v>75</v>
      </c>
      <c r="B76" s="26" t="s">
        <v>54</v>
      </c>
      <c r="C76" s="26" t="s">
        <v>55</v>
      </c>
      <c r="D76" s="26" t="s">
        <v>60</v>
      </c>
      <c r="E76" s="26" t="s">
        <v>261</v>
      </c>
      <c r="F76" s="26"/>
      <c r="G76" s="26" t="s">
        <v>120</v>
      </c>
      <c r="H76" s="26" t="s">
        <v>261</v>
      </c>
      <c r="I76" s="53">
        <v>16500</v>
      </c>
      <c r="J76" s="26" t="s">
        <v>699</v>
      </c>
      <c r="K76" s="48">
        <v>46075</v>
      </c>
      <c r="L76" s="26">
        <v>2026400697</v>
      </c>
      <c r="M76" s="26" t="s">
        <v>202</v>
      </c>
      <c r="N76" s="26">
        <v>2026</v>
      </c>
    </row>
    <row r="77" spans="1:14">
      <c r="A77" s="26">
        <v>76</v>
      </c>
      <c r="B77" s="26" t="s">
        <v>54</v>
      </c>
      <c r="C77" s="26" t="s">
        <v>55</v>
      </c>
      <c r="D77" s="26" t="s">
        <v>60</v>
      </c>
      <c r="E77" s="26" t="s">
        <v>261</v>
      </c>
      <c r="F77" s="26"/>
      <c r="G77" s="26" t="s">
        <v>694</v>
      </c>
      <c r="H77" s="26" t="s">
        <v>261</v>
      </c>
      <c r="I77" s="53">
        <v>6375.8389261744969</v>
      </c>
      <c r="J77" s="26" t="s">
        <v>701</v>
      </c>
      <c r="K77" s="48">
        <v>46065</v>
      </c>
      <c r="L77" s="26">
        <v>2026400446</v>
      </c>
      <c r="M77" s="26" t="s">
        <v>202</v>
      </c>
      <c r="N77" s="26">
        <v>2026</v>
      </c>
    </row>
    <row r="78" spans="1:14">
      <c r="A78" s="26">
        <v>77</v>
      </c>
      <c r="B78" s="26" t="s">
        <v>54</v>
      </c>
      <c r="C78" s="26" t="s">
        <v>55</v>
      </c>
      <c r="D78" s="26" t="s">
        <v>60</v>
      </c>
      <c r="E78" s="26" t="s">
        <v>261</v>
      </c>
      <c r="F78" s="26"/>
      <c r="G78" s="26" t="s">
        <v>280</v>
      </c>
      <c r="H78" s="26" t="s">
        <v>261</v>
      </c>
      <c r="I78" s="53">
        <v>1812.0805369127518</v>
      </c>
      <c r="J78" s="26" t="s">
        <v>696</v>
      </c>
      <c r="K78" s="48">
        <v>46057</v>
      </c>
      <c r="L78" s="26">
        <v>2026400524</v>
      </c>
      <c r="M78" s="26" t="s">
        <v>202</v>
      </c>
      <c r="N78" s="26">
        <v>2026</v>
      </c>
    </row>
    <row r="79" spans="1:14">
      <c r="A79" s="26">
        <v>78</v>
      </c>
      <c r="B79" s="26" t="s">
        <v>54</v>
      </c>
      <c r="C79" s="26" t="s">
        <v>55</v>
      </c>
      <c r="D79" s="26" t="s">
        <v>60</v>
      </c>
      <c r="E79" s="26" t="s">
        <v>261</v>
      </c>
      <c r="F79" s="26"/>
      <c r="G79" s="26" t="s">
        <v>120</v>
      </c>
      <c r="H79" s="26" t="s">
        <v>261</v>
      </c>
      <c r="I79" s="53">
        <v>1700</v>
      </c>
      <c r="J79" s="26" t="s">
        <v>695</v>
      </c>
      <c r="K79" s="48">
        <v>46053</v>
      </c>
      <c r="L79" s="26">
        <v>2026400411</v>
      </c>
      <c r="M79" s="26" t="s">
        <v>202</v>
      </c>
      <c r="N79" s="26">
        <v>2026</v>
      </c>
    </row>
    <row r="80" spans="1:14">
      <c r="A80" s="26">
        <v>79</v>
      </c>
      <c r="B80" s="26" t="s">
        <v>54</v>
      </c>
      <c r="C80" s="26" t="s">
        <v>55</v>
      </c>
      <c r="D80" s="26" t="s">
        <v>60</v>
      </c>
      <c r="E80" s="26" t="s">
        <v>261</v>
      </c>
      <c r="F80" s="26"/>
      <c r="G80" s="26" t="s">
        <v>692</v>
      </c>
      <c r="H80" s="26" t="s">
        <v>261</v>
      </c>
      <c r="I80" s="53">
        <v>1510.0671140939598</v>
      </c>
      <c r="J80" s="26" t="s">
        <v>697</v>
      </c>
      <c r="K80" s="48">
        <v>46048</v>
      </c>
      <c r="L80" s="26">
        <v>2026400500</v>
      </c>
      <c r="M80" s="26" t="s">
        <v>202</v>
      </c>
      <c r="N80" s="26">
        <v>2026</v>
      </c>
    </row>
    <row r="81" spans="1:14">
      <c r="A81" s="26">
        <v>80</v>
      </c>
      <c r="B81" s="26" t="s">
        <v>54</v>
      </c>
      <c r="C81" s="26" t="s">
        <v>55</v>
      </c>
      <c r="D81" s="26" t="s">
        <v>60</v>
      </c>
      <c r="E81" s="26" t="s">
        <v>261</v>
      </c>
      <c r="F81" s="26"/>
      <c r="G81" s="26" t="s">
        <v>120</v>
      </c>
      <c r="H81" s="26" t="s">
        <v>261</v>
      </c>
      <c r="I81" s="53">
        <v>1400</v>
      </c>
      <c r="J81" s="26" t="s">
        <v>698</v>
      </c>
      <c r="K81" s="48">
        <v>46075</v>
      </c>
      <c r="L81" s="26">
        <v>2026400734</v>
      </c>
      <c r="M81" s="26" t="s">
        <v>202</v>
      </c>
      <c r="N81" s="26">
        <v>2026</v>
      </c>
    </row>
    <row r="82" spans="1:14">
      <c r="A82" s="26">
        <v>81</v>
      </c>
      <c r="B82" s="26" t="s">
        <v>54</v>
      </c>
      <c r="C82" s="26" t="s">
        <v>55</v>
      </c>
      <c r="D82" s="26" t="s">
        <v>60</v>
      </c>
      <c r="E82" s="26" t="s">
        <v>261</v>
      </c>
      <c r="F82" s="26"/>
      <c r="G82" s="26" t="s">
        <v>414</v>
      </c>
      <c r="H82" s="26" t="s">
        <v>261</v>
      </c>
      <c r="I82" s="53">
        <v>352.34899328859058</v>
      </c>
      <c r="J82" s="26" t="s">
        <v>702</v>
      </c>
      <c r="K82" s="48">
        <v>46069</v>
      </c>
      <c r="L82" s="26">
        <v>2026400603</v>
      </c>
      <c r="M82" s="26" t="s">
        <v>202</v>
      </c>
      <c r="N82" s="26">
        <v>2026</v>
      </c>
    </row>
    <row r="83" spans="1:14">
      <c r="A83" s="26">
        <v>82</v>
      </c>
      <c r="B83" s="26" t="s">
        <v>54</v>
      </c>
      <c r="C83" s="26" t="s">
        <v>55</v>
      </c>
      <c r="D83" s="98" t="s">
        <v>60</v>
      </c>
      <c r="E83" s="26" t="s">
        <v>80</v>
      </c>
      <c r="F83" s="26"/>
      <c r="G83" s="26" t="s">
        <v>21</v>
      </c>
      <c r="H83" s="49" t="s">
        <v>377</v>
      </c>
      <c r="I83" s="50">
        <f>65000000/1490</f>
        <v>43624.161073825504</v>
      </c>
      <c r="J83" s="26" t="s">
        <v>14</v>
      </c>
      <c r="K83" s="48" t="s">
        <v>14</v>
      </c>
      <c r="L83" s="51" t="s">
        <v>14</v>
      </c>
      <c r="M83" s="98" t="s">
        <v>202</v>
      </c>
      <c r="N83" s="26">
        <v>2026</v>
      </c>
    </row>
    <row r="84" spans="1:14">
      <c r="A84" s="26">
        <v>83</v>
      </c>
      <c r="B84" s="149" t="s">
        <v>52</v>
      </c>
      <c r="C84" s="70" t="s">
        <v>62</v>
      </c>
      <c r="D84" s="26" t="s">
        <v>19</v>
      </c>
      <c r="E84" s="26" t="s">
        <v>80</v>
      </c>
      <c r="F84" s="26"/>
      <c r="G84" s="26" t="s">
        <v>21</v>
      </c>
      <c r="H84" s="49" t="s">
        <v>378</v>
      </c>
      <c r="I84" s="53">
        <f>6000000/1490</f>
        <v>4026.8456375838928</v>
      </c>
      <c r="J84" s="26" t="s">
        <v>14</v>
      </c>
      <c r="K84" s="48" t="s">
        <v>14</v>
      </c>
      <c r="L84" s="51" t="s">
        <v>14</v>
      </c>
      <c r="M84" s="98" t="s">
        <v>202</v>
      </c>
      <c r="N84" s="26">
        <v>2026</v>
      </c>
    </row>
    <row r="85" spans="1:14">
      <c r="A85" s="26">
        <v>84</v>
      </c>
      <c r="B85" s="149" t="s">
        <v>17</v>
      </c>
      <c r="C85" s="149" t="s">
        <v>25</v>
      </c>
      <c r="D85" s="26" t="s">
        <v>19</v>
      </c>
      <c r="E85" s="26" t="s">
        <v>80</v>
      </c>
      <c r="F85" s="26"/>
      <c r="G85" s="26" t="s">
        <v>21</v>
      </c>
      <c r="H85" s="49" t="s">
        <v>378</v>
      </c>
      <c r="I85" s="53">
        <f>5500000/1490</f>
        <v>3691.2751677852348</v>
      </c>
      <c r="J85" s="26" t="s">
        <v>14</v>
      </c>
      <c r="K85" s="48" t="s">
        <v>14</v>
      </c>
      <c r="L85" s="51" t="s">
        <v>14</v>
      </c>
      <c r="M85" s="98" t="s">
        <v>202</v>
      </c>
      <c r="N85" s="26">
        <v>2026</v>
      </c>
    </row>
    <row r="86" spans="1:14">
      <c r="A86" s="26">
        <v>85</v>
      </c>
      <c r="B86" s="149" t="s">
        <v>17</v>
      </c>
      <c r="C86" s="149" t="s">
        <v>22</v>
      </c>
      <c r="D86" s="26" t="s">
        <v>19</v>
      </c>
      <c r="E86" s="26" t="s">
        <v>80</v>
      </c>
      <c r="F86" s="26"/>
      <c r="G86" s="26" t="s">
        <v>21</v>
      </c>
      <c r="H86" s="49" t="s">
        <v>378</v>
      </c>
      <c r="I86" s="53">
        <f>3000000/1490</f>
        <v>2013.4228187919464</v>
      </c>
      <c r="J86" s="26" t="s">
        <v>14</v>
      </c>
      <c r="K86" s="48" t="s">
        <v>14</v>
      </c>
      <c r="L86" s="51" t="s">
        <v>14</v>
      </c>
      <c r="M86" s="98" t="s">
        <v>202</v>
      </c>
      <c r="N86" s="26">
        <v>2026</v>
      </c>
    </row>
    <row r="87" spans="1:14">
      <c r="A87" s="26">
        <v>86</v>
      </c>
      <c r="B87" s="149" t="s">
        <v>42</v>
      </c>
      <c r="C87" s="149" t="s">
        <v>50</v>
      </c>
      <c r="D87" s="26" t="s">
        <v>19</v>
      </c>
      <c r="E87" s="26" t="s">
        <v>80</v>
      </c>
      <c r="F87" s="26"/>
      <c r="G87" s="26" t="s">
        <v>21</v>
      </c>
      <c r="H87" s="49" t="s">
        <v>378</v>
      </c>
      <c r="I87" s="53">
        <f>3000000/1490</f>
        <v>2013.4228187919464</v>
      </c>
      <c r="J87" s="26" t="s">
        <v>14</v>
      </c>
      <c r="K87" s="48" t="s">
        <v>14</v>
      </c>
      <c r="L87" s="51" t="s">
        <v>14</v>
      </c>
      <c r="M87" s="98" t="s">
        <v>202</v>
      </c>
      <c r="N87" s="26">
        <v>2026</v>
      </c>
    </row>
    <row r="88" spans="1:14">
      <c r="A88" s="26">
        <v>87</v>
      </c>
      <c r="B88" s="26" t="s">
        <v>58</v>
      </c>
      <c r="C88" s="48" t="s">
        <v>59</v>
      </c>
      <c r="D88" s="26" t="s">
        <v>60</v>
      </c>
      <c r="E88" s="26" t="s">
        <v>80</v>
      </c>
      <c r="F88" s="26"/>
      <c r="G88" s="26" t="s">
        <v>64</v>
      </c>
      <c r="H88" s="49" t="s">
        <v>346</v>
      </c>
      <c r="I88" s="50">
        <v>469.79865771812081</v>
      </c>
      <c r="J88" s="26" t="s">
        <v>67</v>
      </c>
      <c r="K88" s="48">
        <v>46297</v>
      </c>
      <c r="L88" s="67" t="s">
        <v>14</v>
      </c>
      <c r="M88" s="98" t="s">
        <v>202</v>
      </c>
      <c r="N88" s="26">
        <v>2026</v>
      </c>
    </row>
    <row r="89" spans="1:14">
      <c r="A89" s="26">
        <v>88</v>
      </c>
      <c r="B89" s="26" t="s">
        <v>58</v>
      </c>
      <c r="C89" s="48" t="s">
        <v>59</v>
      </c>
      <c r="D89" s="26" t="s">
        <v>60</v>
      </c>
      <c r="E89" s="26" t="s">
        <v>80</v>
      </c>
      <c r="F89" s="26"/>
      <c r="G89" s="26" t="s">
        <v>64</v>
      </c>
      <c r="H89" s="49" t="s">
        <v>347</v>
      </c>
      <c r="I89" s="50">
        <v>241.61073825503357</v>
      </c>
      <c r="J89" s="26" t="s">
        <v>67</v>
      </c>
      <c r="K89" s="48">
        <v>46358</v>
      </c>
      <c r="L89" s="67" t="s">
        <v>14</v>
      </c>
      <c r="M89" s="98" t="s">
        <v>202</v>
      </c>
      <c r="N89" s="26">
        <v>2026</v>
      </c>
    </row>
    <row r="90" spans="1:14">
      <c r="A90" s="26">
        <v>89</v>
      </c>
      <c r="B90" s="26" t="s">
        <v>17</v>
      </c>
      <c r="C90" s="48" t="s">
        <v>25</v>
      </c>
      <c r="D90" s="26" t="s">
        <v>19</v>
      </c>
      <c r="E90" s="26" t="s">
        <v>98</v>
      </c>
      <c r="F90" s="26"/>
      <c r="G90" s="26" t="s">
        <v>236</v>
      </c>
      <c r="H90" s="49" t="s">
        <v>98</v>
      </c>
      <c r="I90" s="50">
        <v>4500</v>
      </c>
      <c r="J90" s="26" t="s">
        <v>14</v>
      </c>
      <c r="K90" s="48" t="s">
        <v>14</v>
      </c>
      <c r="L90" s="67" t="s">
        <v>14</v>
      </c>
      <c r="M90" s="26" t="s">
        <v>202</v>
      </c>
      <c r="N90" s="26">
        <v>2026</v>
      </c>
    </row>
    <row r="91" spans="1:14">
      <c r="A91" s="26">
        <v>90</v>
      </c>
      <c r="B91" s="26" t="s">
        <v>52</v>
      </c>
      <c r="C91" s="26" t="s">
        <v>62</v>
      </c>
      <c r="D91" s="26" t="s">
        <v>19</v>
      </c>
      <c r="E91" s="26" t="s">
        <v>98</v>
      </c>
      <c r="F91" s="26"/>
      <c r="G91" s="26" t="s">
        <v>236</v>
      </c>
      <c r="H91" s="49" t="s">
        <v>98</v>
      </c>
      <c r="I91" s="50">
        <v>4000</v>
      </c>
      <c r="J91" s="26" t="s">
        <v>14</v>
      </c>
      <c r="K91" s="48" t="s">
        <v>14</v>
      </c>
      <c r="L91" s="67" t="s">
        <v>14</v>
      </c>
      <c r="M91" s="26" t="s">
        <v>202</v>
      </c>
      <c r="N91" s="26">
        <v>2026</v>
      </c>
    </row>
    <row r="92" spans="1:14">
      <c r="A92" s="26">
        <v>91</v>
      </c>
      <c r="B92" s="26" t="s">
        <v>42</v>
      </c>
      <c r="C92" s="100" t="s">
        <v>45</v>
      </c>
      <c r="D92" s="26" t="s">
        <v>19</v>
      </c>
      <c r="E92" s="26" t="s">
        <v>98</v>
      </c>
      <c r="F92" s="26"/>
      <c r="G92" s="26" t="s">
        <v>236</v>
      </c>
      <c r="H92" s="26" t="s">
        <v>98</v>
      </c>
      <c r="I92" s="50">
        <v>4000</v>
      </c>
      <c r="J92" s="26" t="s">
        <v>14</v>
      </c>
      <c r="K92" s="48" t="s">
        <v>14</v>
      </c>
      <c r="L92" s="67" t="s">
        <v>14</v>
      </c>
      <c r="M92" s="26" t="s">
        <v>202</v>
      </c>
      <c r="N92" s="26">
        <v>2026</v>
      </c>
    </row>
    <row r="93" spans="1:14">
      <c r="A93" s="26">
        <v>92</v>
      </c>
      <c r="B93" s="26" t="s">
        <v>54</v>
      </c>
      <c r="C93" s="76" t="s">
        <v>55</v>
      </c>
      <c r="D93" s="26" t="s">
        <v>60</v>
      </c>
      <c r="E93" s="26" t="s">
        <v>98</v>
      </c>
      <c r="F93" s="26"/>
      <c r="G93" s="26" t="s">
        <v>21</v>
      </c>
      <c r="H93" s="26" t="s">
        <v>99</v>
      </c>
      <c r="I93" s="50">
        <v>2500</v>
      </c>
      <c r="J93" s="26" t="s">
        <v>14</v>
      </c>
      <c r="K93" s="48" t="s">
        <v>14</v>
      </c>
      <c r="L93" s="67" t="s">
        <v>14</v>
      </c>
      <c r="M93" s="26" t="s">
        <v>202</v>
      </c>
      <c r="N93" s="26">
        <v>2026</v>
      </c>
    </row>
    <row r="94" spans="1:14">
      <c r="A94" s="26">
        <v>93</v>
      </c>
      <c r="B94" s="26" t="s">
        <v>52</v>
      </c>
      <c r="C94" s="48" t="s">
        <v>62</v>
      </c>
      <c r="D94" s="26" t="s">
        <v>19</v>
      </c>
      <c r="E94" s="26" t="s">
        <v>98</v>
      </c>
      <c r="F94" s="26"/>
      <c r="G94" s="26" t="s">
        <v>236</v>
      </c>
      <c r="H94" s="49" t="s">
        <v>98</v>
      </c>
      <c r="I94" s="50">
        <v>800</v>
      </c>
      <c r="J94" s="48" t="s">
        <v>14</v>
      </c>
      <c r="K94" s="48" t="s">
        <v>14</v>
      </c>
      <c r="L94" s="67" t="s">
        <v>14</v>
      </c>
      <c r="M94" s="26" t="s">
        <v>202</v>
      </c>
      <c r="N94" s="26">
        <v>2026</v>
      </c>
    </row>
    <row r="95" spans="1:14">
      <c r="A95" s="26">
        <v>94</v>
      </c>
      <c r="B95" s="45" t="s">
        <v>52</v>
      </c>
      <c r="C95" s="70" t="s">
        <v>62</v>
      </c>
      <c r="D95" s="26" t="s">
        <v>19</v>
      </c>
      <c r="E95" s="26" t="s">
        <v>85</v>
      </c>
      <c r="F95" s="26"/>
      <c r="G95" s="45" t="s">
        <v>86</v>
      </c>
      <c r="H95" s="45" t="s">
        <v>255</v>
      </c>
      <c r="I95" s="53">
        <v>152036.86370469799</v>
      </c>
      <c r="J95" s="26" t="s">
        <v>14</v>
      </c>
      <c r="K95" s="48" t="s">
        <v>14</v>
      </c>
      <c r="L95" s="26" t="s">
        <v>14</v>
      </c>
      <c r="M95" s="26" t="s">
        <v>202</v>
      </c>
      <c r="N95" s="26">
        <v>2026</v>
      </c>
    </row>
    <row r="96" spans="1:14">
      <c r="A96" s="26">
        <v>95</v>
      </c>
      <c r="B96" s="26" t="s">
        <v>17</v>
      </c>
      <c r="C96" s="26" t="s">
        <v>25</v>
      </c>
      <c r="D96" s="26" t="s">
        <v>19</v>
      </c>
      <c r="E96" s="26" t="s">
        <v>85</v>
      </c>
      <c r="F96" s="26"/>
      <c r="G96" s="26" t="s">
        <v>87</v>
      </c>
      <c r="H96" s="26" t="s">
        <v>255</v>
      </c>
      <c r="I96" s="53">
        <v>138982.66732214767</v>
      </c>
      <c r="J96" s="26" t="s">
        <v>14</v>
      </c>
      <c r="K96" s="48" t="s">
        <v>14</v>
      </c>
      <c r="L96" s="26" t="s">
        <v>14</v>
      </c>
      <c r="M96" s="26" t="s">
        <v>202</v>
      </c>
      <c r="N96" s="26">
        <v>2026</v>
      </c>
    </row>
    <row r="97" spans="1:14">
      <c r="A97" s="26">
        <v>96</v>
      </c>
      <c r="B97" s="26" t="s">
        <v>52</v>
      </c>
      <c r="C97" s="70" t="s">
        <v>62</v>
      </c>
      <c r="D97" s="26" t="s">
        <v>19</v>
      </c>
      <c r="E97" s="26" t="s">
        <v>85</v>
      </c>
      <c r="F97" s="26"/>
      <c r="G97" s="26" t="s">
        <v>87</v>
      </c>
      <c r="H97" s="26" t="s">
        <v>278</v>
      </c>
      <c r="I97" s="53">
        <v>98576.078604026843</v>
      </c>
      <c r="J97" s="26" t="s">
        <v>14</v>
      </c>
      <c r="K97" s="48" t="s">
        <v>14</v>
      </c>
      <c r="L97" s="26" t="s">
        <v>14</v>
      </c>
      <c r="M97" s="26" t="s">
        <v>202</v>
      </c>
      <c r="N97" s="26">
        <v>2026</v>
      </c>
    </row>
    <row r="98" spans="1:14">
      <c r="A98" s="26">
        <v>97</v>
      </c>
      <c r="B98" s="26" t="s">
        <v>52</v>
      </c>
      <c r="C98" s="70" t="s">
        <v>62</v>
      </c>
      <c r="D98" s="26" t="s">
        <v>19</v>
      </c>
      <c r="E98" s="26" t="s">
        <v>85</v>
      </c>
      <c r="F98" s="26"/>
      <c r="G98" s="26" t="s">
        <v>86</v>
      </c>
      <c r="H98" s="49" t="s">
        <v>89</v>
      </c>
      <c r="I98" s="50">
        <v>97731.54392617449</v>
      </c>
      <c r="J98" s="26" t="s">
        <v>14</v>
      </c>
      <c r="K98" s="48" t="s">
        <v>14</v>
      </c>
      <c r="L98" s="51" t="s">
        <v>14</v>
      </c>
      <c r="M98" s="26" t="s">
        <v>202</v>
      </c>
      <c r="N98" s="26">
        <v>2026</v>
      </c>
    </row>
    <row r="99" spans="1:14">
      <c r="A99" s="26">
        <v>98</v>
      </c>
      <c r="B99" s="26" t="s">
        <v>17</v>
      </c>
      <c r="C99" s="100" t="s">
        <v>25</v>
      </c>
      <c r="D99" s="26" t="s">
        <v>60</v>
      </c>
      <c r="E99" s="26" t="s">
        <v>85</v>
      </c>
      <c r="F99" s="26"/>
      <c r="G99" s="26" t="s">
        <v>279</v>
      </c>
      <c r="H99" s="45" t="s">
        <v>255</v>
      </c>
      <c r="I99" s="50">
        <v>90350</v>
      </c>
      <c r="J99" s="26" t="s">
        <v>390</v>
      </c>
      <c r="K99" s="48">
        <v>46058</v>
      </c>
      <c r="L99" s="51" t="s">
        <v>14</v>
      </c>
      <c r="M99" s="26" t="s">
        <v>202</v>
      </c>
      <c r="N99" s="26">
        <v>2026</v>
      </c>
    </row>
    <row r="100" spans="1:14">
      <c r="A100" s="26">
        <v>99</v>
      </c>
      <c r="B100" s="26" t="s">
        <v>42</v>
      </c>
      <c r="C100" s="26" t="s">
        <v>50</v>
      </c>
      <c r="D100" s="26" t="s">
        <v>19</v>
      </c>
      <c r="E100" s="26" t="s">
        <v>85</v>
      </c>
      <c r="F100" s="26"/>
      <c r="G100" s="26" t="s">
        <v>86</v>
      </c>
      <c r="H100" s="26" t="s">
        <v>255</v>
      </c>
      <c r="I100" s="53">
        <v>58779.648765100668</v>
      </c>
      <c r="J100" s="26" t="s">
        <v>14</v>
      </c>
      <c r="K100" s="48" t="s">
        <v>14</v>
      </c>
      <c r="L100" s="26" t="s">
        <v>14</v>
      </c>
      <c r="M100" s="26" t="s">
        <v>202</v>
      </c>
      <c r="N100" s="26">
        <v>2026</v>
      </c>
    </row>
    <row r="101" spans="1:14">
      <c r="A101" s="26">
        <v>100</v>
      </c>
      <c r="B101" s="26" t="s">
        <v>17</v>
      </c>
      <c r="C101" s="26" t="s">
        <v>22</v>
      </c>
      <c r="D101" s="26" t="s">
        <v>19</v>
      </c>
      <c r="E101" s="26" t="s">
        <v>85</v>
      </c>
      <c r="F101" s="26"/>
      <c r="G101" s="26" t="s">
        <v>87</v>
      </c>
      <c r="H101" s="26" t="s">
        <v>278</v>
      </c>
      <c r="I101" s="53">
        <v>52089.168691275161</v>
      </c>
      <c r="J101" s="26" t="s">
        <v>14</v>
      </c>
      <c r="K101" s="48" t="s">
        <v>14</v>
      </c>
      <c r="L101" s="26" t="s">
        <v>14</v>
      </c>
      <c r="M101" s="26" t="s">
        <v>202</v>
      </c>
      <c r="N101" s="26">
        <v>2026</v>
      </c>
    </row>
    <row r="102" spans="1:14">
      <c r="A102" s="26">
        <v>101</v>
      </c>
      <c r="B102" s="26" t="s">
        <v>42</v>
      </c>
      <c r="C102" s="26" t="s">
        <v>257</v>
      </c>
      <c r="D102" s="26" t="s">
        <v>19</v>
      </c>
      <c r="E102" s="26" t="s">
        <v>85</v>
      </c>
      <c r="F102" s="26"/>
      <c r="G102" s="26" t="s">
        <v>86</v>
      </c>
      <c r="H102" s="26" t="s">
        <v>255</v>
      </c>
      <c r="I102" s="53">
        <v>49147.754214765104</v>
      </c>
      <c r="J102" s="26" t="s">
        <v>14</v>
      </c>
      <c r="K102" s="48" t="s">
        <v>14</v>
      </c>
      <c r="L102" s="26" t="s">
        <v>14</v>
      </c>
      <c r="M102" s="26" t="s">
        <v>202</v>
      </c>
      <c r="N102" s="26">
        <v>2026</v>
      </c>
    </row>
    <row r="103" spans="1:14">
      <c r="A103" s="26">
        <v>102</v>
      </c>
      <c r="B103" s="26" t="s">
        <v>42</v>
      </c>
      <c r="C103" s="26" t="s">
        <v>257</v>
      </c>
      <c r="D103" s="26" t="s">
        <v>19</v>
      </c>
      <c r="E103" s="26" t="s">
        <v>85</v>
      </c>
      <c r="F103" s="26"/>
      <c r="G103" s="26" t="s">
        <v>86</v>
      </c>
      <c r="H103" s="49" t="s">
        <v>89</v>
      </c>
      <c r="I103" s="50">
        <v>47694.181778523489</v>
      </c>
      <c r="J103" s="26" t="s">
        <v>14</v>
      </c>
      <c r="K103" s="48" t="s">
        <v>14</v>
      </c>
      <c r="L103" s="51" t="s">
        <v>14</v>
      </c>
      <c r="M103" s="26" t="s">
        <v>202</v>
      </c>
      <c r="N103" s="26">
        <v>2026</v>
      </c>
    </row>
    <row r="104" spans="1:14">
      <c r="A104" s="26">
        <v>103</v>
      </c>
      <c r="B104" s="26" t="s">
        <v>52</v>
      </c>
      <c r="C104" s="70" t="s">
        <v>62</v>
      </c>
      <c r="D104" s="26" t="s">
        <v>19</v>
      </c>
      <c r="E104" s="26" t="s">
        <v>85</v>
      </c>
      <c r="F104" s="26"/>
      <c r="G104" s="26" t="s">
        <v>87</v>
      </c>
      <c r="H104" s="100" t="s">
        <v>89</v>
      </c>
      <c r="I104" s="53">
        <v>37066.081570469796</v>
      </c>
      <c r="J104" s="26" t="s">
        <v>14</v>
      </c>
      <c r="K104" s="48" t="s">
        <v>14</v>
      </c>
      <c r="L104" s="26" t="s">
        <v>14</v>
      </c>
      <c r="M104" s="26" t="s">
        <v>202</v>
      </c>
      <c r="N104" s="26">
        <v>2026</v>
      </c>
    </row>
    <row r="105" spans="1:14">
      <c r="A105" s="26">
        <v>104</v>
      </c>
      <c r="B105" s="26" t="s">
        <v>52</v>
      </c>
      <c r="C105" s="70" t="s">
        <v>62</v>
      </c>
      <c r="D105" s="26" t="s">
        <v>19</v>
      </c>
      <c r="E105" s="57" t="s">
        <v>85</v>
      </c>
      <c r="F105" s="26"/>
      <c r="G105" s="26" t="s">
        <v>88</v>
      </c>
      <c r="H105" s="26" t="s">
        <v>278</v>
      </c>
      <c r="I105" s="53">
        <v>35306.337288590599</v>
      </c>
      <c r="J105" s="26" t="s">
        <v>14</v>
      </c>
      <c r="K105" s="48" t="s">
        <v>14</v>
      </c>
      <c r="L105" s="26" t="s">
        <v>14</v>
      </c>
      <c r="M105" s="26" t="s">
        <v>202</v>
      </c>
      <c r="N105" s="26">
        <v>2026</v>
      </c>
    </row>
    <row r="106" spans="1:14">
      <c r="A106" s="26">
        <v>105</v>
      </c>
      <c r="B106" s="26" t="s">
        <v>42</v>
      </c>
      <c r="C106" s="48" t="s">
        <v>45</v>
      </c>
      <c r="D106" s="26" t="s">
        <v>19</v>
      </c>
      <c r="E106" s="26" t="s">
        <v>85</v>
      </c>
      <c r="F106" s="26"/>
      <c r="G106" s="26" t="s">
        <v>86</v>
      </c>
      <c r="H106" s="49" t="s">
        <v>255</v>
      </c>
      <c r="I106" s="50">
        <v>34946.308604026846</v>
      </c>
      <c r="J106" s="26" t="s">
        <v>14</v>
      </c>
      <c r="K106" s="48" t="s">
        <v>14</v>
      </c>
      <c r="L106" s="51" t="s">
        <v>14</v>
      </c>
      <c r="M106" s="26" t="s">
        <v>202</v>
      </c>
      <c r="N106" s="26">
        <v>2026</v>
      </c>
    </row>
    <row r="107" spans="1:14">
      <c r="A107" s="26">
        <v>106</v>
      </c>
      <c r="B107" s="26" t="s">
        <v>42</v>
      </c>
      <c r="C107" s="26" t="s">
        <v>50</v>
      </c>
      <c r="D107" s="26" t="s">
        <v>19</v>
      </c>
      <c r="E107" s="26" t="s">
        <v>85</v>
      </c>
      <c r="F107" s="26"/>
      <c r="G107" s="26" t="s">
        <v>87</v>
      </c>
      <c r="H107" s="26" t="s">
        <v>255</v>
      </c>
      <c r="I107" s="53">
        <v>32020.265751677853</v>
      </c>
      <c r="J107" s="26" t="s">
        <v>14</v>
      </c>
      <c r="K107" s="48" t="s">
        <v>14</v>
      </c>
      <c r="L107" s="26" t="s">
        <v>14</v>
      </c>
      <c r="M107" s="26" t="s">
        <v>202</v>
      </c>
      <c r="N107" s="26">
        <v>2026</v>
      </c>
    </row>
    <row r="108" spans="1:14">
      <c r="A108" s="26">
        <v>107</v>
      </c>
      <c r="B108" s="26" t="s">
        <v>42</v>
      </c>
      <c r="C108" s="26" t="s">
        <v>50</v>
      </c>
      <c r="D108" s="26" t="s">
        <v>19</v>
      </c>
      <c r="E108" s="26" t="s">
        <v>85</v>
      </c>
      <c r="F108" s="26"/>
      <c r="G108" s="26" t="s">
        <v>87</v>
      </c>
      <c r="H108" s="26" t="s">
        <v>89</v>
      </c>
      <c r="I108" s="46">
        <v>31084.31811409396</v>
      </c>
      <c r="J108" s="26" t="s">
        <v>14</v>
      </c>
      <c r="K108" s="48" t="s">
        <v>14</v>
      </c>
      <c r="L108" s="26" t="s">
        <v>14</v>
      </c>
      <c r="M108" s="26" t="s">
        <v>202</v>
      </c>
      <c r="N108" s="26">
        <v>2026</v>
      </c>
    </row>
    <row r="109" spans="1:14">
      <c r="A109" s="26">
        <v>108</v>
      </c>
      <c r="B109" s="26" t="s">
        <v>17</v>
      </c>
      <c r="C109" s="26" t="s">
        <v>18</v>
      </c>
      <c r="D109" s="26" t="s">
        <v>19</v>
      </c>
      <c r="E109" s="26" t="s">
        <v>85</v>
      </c>
      <c r="F109" s="26"/>
      <c r="G109" s="26" t="s">
        <v>87</v>
      </c>
      <c r="H109" s="49" t="s">
        <v>89</v>
      </c>
      <c r="I109" s="50">
        <v>27796.979073825503</v>
      </c>
      <c r="J109" s="26" t="s">
        <v>14</v>
      </c>
      <c r="K109" s="48" t="s">
        <v>14</v>
      </c>
      <c r="L109" s="51" t="s">
        <v>14</v>
      </c>
      <c r="M109" s="26" t="s">
        <v>202</v>
      </c>
      <c r="N109" s="26">
        <v>2026</v>
      </c>
    </row>
    <row r="110" spans="1:14">
      <c r="A110" s="26">
        <v>109</v>
      </c>
      <c r="B110" s="26" t="s">
        <v>17</v>
      </c>
      <c r="C110" s="26" t="s">
        <v>265</v>
      </c>
      <c r="D110" s="26" t="s">
        <v>19</v>
      </c>
      <c r="E110" s="26" t="s">
        <v>85</v>
      </c>
      <c r="F110" s="26"/>
      <c r="G110" s="26" t="s">
        <v>87</v>
      </c>
      <c r="H110" s="26" t="s">
        <v>278</v>
      </c>
      <c r="I110" s="53">
        <v>26967.08822818792</v>
      </c>
      <c r="J110" s="26" t="s">
        <v>14</v>
      </c>
      <c r="K110" s="48" t="s">
        <v>14</v>
      </c>
      <c r="L110" s="26" t="s">
        <v>14</v>
      </c>
      <c r="M110" s="26" t="s">
        <v>202</v>
      </c>
      <c r="N110" s="26">
        <v>2026</v>
      </c>
    </row>
    <row r="111" spans="1:14">
      <c r="A111" s="26">
        <v>110</v>
      </c>
      <c r="B111" s="26" t="s">
        <v>42</v>
      </c>
      <c r="C111" s="76" t="s">
        <v>50</v>
      </c>
      <c r="D111" s="26" t="s">
        <v>19</v>
      </c>
      <c r="E111" s="57" t="s">
        <v>85</v>
      </c>
      <c r="F111" s="26"/>
      <c r="G111" s="26" t="s">
        <v>88</v>
      </c>
      <c r="H111" s="26" t="s">
        <v>278</v>
      </c>
      <c r="I111" s="53">
        <v>26938.758523489934</v>
      </c>
      <c r="J111" s="26" t="s">
        <v>14</v>
      </c>
      <c r="K111" s="48" t="s">
        <v>14</v>
      </c>
      <c r="L111" s="26" t="s">
        <v>14</v>
      </c>
      <c r="M111" s="26" t="s">
        <v>202</v>
      </c>
      <c r="N111" s="26">
        <v>2026</v>
      </c>
    </row>
    <row r="112" spans="1:14">
      <c r="A112" s="26">
        <v>111</v>
      </c>
      <c r="B112" s="26" t="s">
        <v>54</v>
      </c>
      <c r="C112" s="48" t="s">
        <v>55</v>
      </c>
      <c r="D112" s="26" t="s">
        <v>19</v>
      </c>
      <c r="E112" s="26" t="s">
        <v>85</v>
      </c>
      <c r="F112" s="26"/>
      <c r="G112" s="26" t="s">
        <v>86</v>
      </c>
      <c r="H112" s="49" t="s">
        <v>89</v>
      </c>
      <c r="I112" s="50">
        <v>26144.66500671141</v>
      </c>
      <c r="J112" s="26" t="s">
        <v>14</v>
      </c>
      <c r="K112" s="48" t="s">
        <v>14</v>
      </c>
      <c r="L112" s="67" t="s">
        <v>14</v>
      </c>
      <c r="M112" s="26" t="s">
        <v>202</v>
      </c>
      <c r="N112" s="26">
        <v>2026</v>
      </c>
    </row>
    <row r="113" spans="1:14">
      <c r="A113" s="26">
        <v>112</v>
      </c>
      <c r="B113" s="26" t="s">
        <v>42</v>
      </c>
      <c r="C113" s="26" t="s">
        <v>50</v>
      </c>
      <c r="D113" s="26" t="s">
        <v>19</v>
      </c>
      <c r="E113" s="44" t="s">
        <v>85</v>
      </c>
      <c r="F113" s="26"/>
      <c r="G113" s="26" t="s">
        <v>86</v>
      </c>
      <c r="H113" s="26" t="s">
        <v>89</v>
      </c>
      <c r="I113" s="46">
        <v>23040.84051677852</v>
      </c>
      <c r="J113" s="26" t="s">
        <v>14</v>
      </c>
      <c r="K113" s="48" t="s">
        <v>14</v>
      </c>
      <c r="L113" s="26" t="s">
        <v>14</v>
      </c>
      <c r="M113" s="26" t="s">
        <v>202</v>
      </c>
      <c r="N113" s="26">
        <v>2026</v>
      </c>
    </row>
    <row r="114" spans="1:14">
      <c r="A114" s="26">
        <v>113</v>
      </c>
      <c r="B114" s="26" t="s">
        <v>42</v>
      </c>
      <c r="C114" s="77" t="s">
        <v>44</v>
      </c>
      <c r="D114" s="26" t="s">
        <v>19</v>
      </c>
      <c r="E114" s="26" t="s">
        <v>85</v>
      </c>
      <c r="F114" s="26"/>
      <c r="G114" s="26" t="s">
        <v>86</v>
      </c>
      <c r="H114" s="49" t="s">
        <v>255</v>
      </c>
      <c r="I114" s="50">
        <v>22819.67988590604</v>
      </c>
      <c r="J114" s="26" t="s">
        <v>14</v>
      </c>
      <c r="K114" s="48" t="s">
        <v>14</v>
      </c>
      <c r="L114" s="67" t="s">
        <v>14</v>
      </c>
      <c r="M114" s="26" t="s">
        <v>202</v>
      </c>
      <c r="N114" s="26">
        <v>2026</v>
      </c>
    </row>
    <row r="115" spans="1:14">
      <c r="A115" s="26">
        <v>114</v>
      </c>
      <c r="B115" s="26" t="s">
        <v>54</v>
      </c>
      <c r="C115" s="77" t="s">
        <v>55</v>
      </c>
      <c r="D115" s="26" t="s">
        <v>19</v>
      </c>
      <c r="E115" s="26" t="s">
        <v>85</v>
      </c>
      <c r="F115" s="26"/>
      <c r="G115" s="26" t="s">
        <v>86</v>
      </c>
      <c r="H115" s="49" t="s">
        <v>255</v>
      </c>
      <c r="I115" s="50">
        <v>22627.813516778522</v>
      </c>
      <c r="J115" s="26" t="s">
        <v>14</v>
      </c>
      <c r="K115" s="48" t="s">
        <v>14</v>
      </c>
      <c r="L115" s="67" t="s">
        <v>14</v>
      </c>
      <c r="M115" s="26" t="s">
        <v>202</v>
      </c>
      <c r="N115" s="26">
        <v>2026</v>
      </c>
    </row>
    <row r="116" spans="1:14">
      <c r="A116" s="26">
        <v>115</v>
      </c>
      <c r="B116" s="26" t="s">
        <v>33</v>
      </c>
      <c r="C116" s="48" t="s">
        <v>34</v>
      </c>
      <c r="D116" s="26" t="s">
        <v>19</v>
      </c>
      <c r="E116" s="26" t="s">
        <v>85</v>
      </c>
      <c r="F116" s="26"/>
      <c r="G116" s="26" t="s">
        <v>86</v>
      </c>
      <c r="H116" s="49" t="s">
        <v>89</v>
      </c>
      <c r="I116" s="50">
        <v>22134.302697986575</v>
      </c>
      <c r="J116" s="26" t="s">
        <v>14</v>
      </c>
      <c r="K116" s="48" t="s">
        <v>14</v>
      </c>
      <c r="L116" s="51" t="s">
        <v>14</v>
      </c>
      <c r="M116" s="26" t="s">
        <v>202</v>
      </c>
      <c r="N116" s="26">
        <v>2026</v>
      </c>
    </row>
    <row r="117" spans="1:14">
      <c r="A117" s="26">
        <v>116</v>
      </c>
      <c r="B117" s="26" t="s">
        <v>17</v>
      </c>
      <c r="C117" s="48" t="s">
        <v>25</v>
      </c>
      <c r="D117" s="26" t="s">
        <v>19</v>
      </c>
      <c r="E117" s="26" t="s">
        <v>85</v>
      </c>
      <c r="F117" s="26"/>
      <c r="G117" s="26" t="s">
        <v>87</v>
      </c>
      <c r="H117" s="49" t="s">
        <v>89</v>
      </c>
      <c r="I117" s="50">
        <v>20939.704724832212</v>
      </c>
      <c r="J117" s="26" t="s">
        <v>14</v>
      </c>
      <c r="K117" s="48" t="s">
        <v>14</v>
      </c>
      <c r="L117" s="51" t="s">
        <v>14</v>
      </c>
      <c r="M117" s="26" t="s">
        <v>202</v>
      </c>
      <c r="N117" s="26">
        <v>2026</v>
      </c>
    </row>
    <row r="118" spans="1:14">
      <c r="A118" s="26">
        <v>117</v>
      </c>
      <c r="B118" s="26" t="s">
        <v>17</v>
      </c>
      <c r="C118" s="26" t="s">
        <v>265</v>
      </c>
      <c r="D118" s="26" t="s">
        <v>19</v>
      </c>
      <c r="E118" s="26" t="s">
        <v>85</v>
      </c>
      <c r="F118" s="26"/>
      <c r="G118" s="26" t="s">
        <v>86</v>
      </c>
      <c r="H118" s="26" t="s">
        <v>89</v>
      </c>
      <c r="I118" s="53">
        <v>19116.675302013424</v>
      </c>
      <c r="J118" s="26" t="s">
        <v>14</v>
      </c>
      <c r="K118" s="48" t="s">
        <v>14</v>
      </c>
      <c r="L118" s="26" t="s">
        <v>14</v>
      </c>
      <c r="M118" s="26" t="s">
        <v>202</v>
      </c>
      <c r="N118" s="26">
        <v>2026</v>
      </c>
    </row>
    <row r="119" spans="1:14">
      <c r="A119" s="26">
        <v>118</v>
      </c>
      <c r="B119" s="26" t="s">
        <v>42</v>
      </c>
      <c r="C119" s="26" t="s">
        <v>45</v>
      </c>
      <c r="D119" s="26" t="s">
        <v>19</v>
      </c>
      <c r="E119" s="26" t="s">
        <v>85</v>
      </c>
      <c r="F119" s="26"/>
      <c r="G119" s="26" t="s">
        <v>86</v>
      </c>
      <c r="H119" s="49" t="s">
        <v>89</v>
      </c>
      <c r="I119" s="53">
        <v>19106.091953020135</v>
      </c>
      <c r="J119" s="26" t="s">
        <v>14</v>
      </c>
      <c r="K119" s="48" t="s">
        <v>14</v>
      </c>
      <c r="L119" s="26" t="s">
        <v>14</v>
      </c>
      <c r="M119" s="26" t="s">
        <v>202</v>
      </c>
      <c r="N119" s="26">
        <v>2026</v>
      </c>
    </row>
    <row r="120" spans="1:14">
      <c r="A120" s="26">
        <v>119</v>
      </c>
      <c r="B120" s="26" t="s">
        <v>17</v>
      </c>
      <c r="C120" s="26" t="s">
        <v>18</v>
      </c>
      <c r="D120" s="26" t="s">
        <v>19</v>
      </c>
      <c r="E120" s="26" t="s">
        <v>85</v>
      </c>
      <c r="F120" s="26"/>
      <c r="G120" s="26" t="s">
        <v>86</v>
      </c>
      <c r="H120" s="26" t="s">
        <v>255</v>
      </c>
      <c r="I120" s="53">
        <v>18999.137738255034</v>
      </c>
      <c r="J120" s="26" t="s">
        <v>14</v>
      </c>
      <c r="K120" s="48" t="s">
        <v>14</v>
      </c>
      <c r="L120" s="26" t="s">
        <v>14</v>
      </c>
      <c r="M120" s="26" t="s">
        <v>202</v>
      </c>
      <c r="N120" s="26">
        <v>2026</v>
      </c>
    </row>
    <row r="121" spans="1:14">
      <c r="A121" s="26">
        <v>120</v>
      </c>
      <c r="B121" s="26" t="s">
        <v>54</v>
      </c>
      <c r="C121" s="26" t="s">
        <v>55</v>
      </c>
      <c r="D121" s="26" t="s">
        <v>19</v>
      </c>
      <c r="E121" s="26" t="s">
        <v>85</v>
      </c>
      <c r="F121" s="26"/>
      <c r="G121" s="26" t="s">
        <v>88</v>
      </c>
      <c r="H121" s="26" t="s">
        <v>278</v>
      </c>
      <c r="I121" s="53">
        <v>18660.944724832214</v>
      </c>
      <c r="J121" s="26" t="s">
        <v>14</v>
      </c>
      <c r="K121" s="48" t="s">
        <v>14</v>
      </c>
      <c r="L121" s="26" t="s">
        <v>14</v>
      </c>
      <c r="M121" s="26" t="s">
        <v>202</v>
      </c>
      <c r="N121" s="26">
        <v>2026</v>
      </c>
    </row>
    <row r="122" spans="1:14">
      <c r="A122" s="26">
        <v>121</v>
      </c>
      <c r="B122" s="26" t="s">
        <v>17</v>
      </c>
      <c r="C122" s="48" t="s">
        <v>25</v>
      </c>
      <c r="D122" s="26" t="s">
        <v>19</v>
      </c>
      <c r="E122" s="26" t="s">
        <v>85</v>
      </c>
      <c r="F122" s="26"/>
      <c r="G122" s="26" t="s">
        <v>86</v>
      </c>
      <c r="H122" s="49" t="s">
        <v>255</v>
      </c>
      <c r="I122" s="50">
        <v>16572.01846308725</v>
      </c>
      <c r="J122" s="26" t="s">
        <v>14</v>
      </c>
      <c r="K122" s="48" t="s">
        <v>14</v>
      </c>
      <c r="L122" s="67" t="s">
        <v>14</v>
      </c>
      <c r="M122" s="26" t="s">
        <v>202</v>
      </c>
      <c r="N122" s="26">
        <v>2026</v>
      </c>
    </row>
    <row r="123" spans="1:14">
      <c r="A123" s="26">
        <v>122</v>
      </c>
      <c r="B123" s="26" t="s">
        <v>35</v>
      </c>
      <c r="C123" s="26" t="s">
        <v>37</v>
      </c>
      <c r="D123" s="26" t="s">
        <v>19</v>
      </c>
      <c r="E123" s="26" t="s">
        <v>85</v>
      </c>
      <c r="F123" s="26"/>
      <c r="G123" s="26" t="s">
        <v>86</v>
      </c>
      <c r="H123" s="26" t="s">
        <v>255</v>
      </c>
      <c r="I123" s="50">
        <v>16366.411919463088</v>
      </c>
      <c r="J123" s="26" t="s">
        <v>14</v>
      </c>
      <c r="K123" s="48" t="s">
        <v>14</v>
      </c>
      <c r="L123" s="51" t="s">
        <v>14</v>
      </c>
      <c r="M123" s="26" t="s">
        <v>202</v>
      </c>
      <c r="N123" s="26">
        <v>2026</v>
      </c>
    </row>
    <row r="124" spans="1:14">
      <c r="A124" s="26">
        <v>123</v>
      </c>
      <c r="B124" s="45" t="s">
        <v>42</v>
      </c>
      <c r="C124" s="76" t="s">
        <v>47</v>
      </c>
      <c r="D124" s="26" t="s">
        <v>19</v>
      </c>
      <c r="E124" s="26" t="s">
        <v>85</v>
      </c>
      <c r="F124" s="26"/>
      <c r="G124" s="45" t="s">
        <v>86</v>
      </c>
      <c r="H124" s="26" t="s">
        <v>255</v>
      </c>
      <c r="I124" s="46">
        <v>14251.584825503356</v>
      </c>
      <c r="J124" s="26" t="s">
        <v>14</v>
      </c>
      <c r="K124" s="48" t="s">
        <v>14</v>
      </c>
      <c r="L124" s="26" t="s">
        <v>14</v>
      </c>
      <c r="M124" s="26" t="s">
        <v>202</v>
      </c>
      <c r="N124" s="26">
        <v>2026</v>
      </c>
    </row>
    <row r="125" spans="1:14">
      <c r="A125" s="26">
        <v>124</v>
      </c>
      <c r="B125" s="26" t="s">
        <v>17</v>
      </c>
      <c r="C125" s="48" t="s">
        <v>25</v>
      </c>
      <c r="D125" s="26" t="s">
        <v>19</v>
      </c>
      <c r="E125" s="26" t="s">
        <v>85</v>
      </c>
      <c r="F125" s="26"/>
      <c r="G125" s="26" t="s">
        <v>86</v>
      </c>
      <c r="H125" s="45" t="s">
        <v>89</v>
      </c>
      <c r="I125" s="50">
        <v>14064.532818791946</v>
      </c>
      <c r="J125" s="48" t="s">
        <v>14</v>
      </c>
      <c r="K125" s="48" t="s">
        <v>14</v>
      </c>
      <c r="L125" s="51" t="s">
        <v>14</v>
      </c>
      <c r="M125" s="26" t="s">
        <v>202</v>
      </c>
      <c r="N125" s="26">
        <v>2026</v>
      </c>
    </row>
    <row r="126" spans="1:14">
      <c r="A126" s="26">
        <v>125</v>
      </c>
      <c r="B126" s="26" t="s">
        <v>17</v>
      </c>
      <c r="C126" s="76" t="s">
        <v>25</v>
      </c>
      <c r="D126" s="26" t="s">
        <v>19</v>
      </c>
      <c r="E126" s="57" t="s">
        <v>85</v>
      </c>
      <c r="F126" s="26"/>
      <c r="G126" s="26" t="s">
        <v>88</v>
      </c>
      <c r="H126" s="26" t="s">
        <v>278</v>
      </c>
      <c r="I126" s="53">
        <v>13341.442953020134</v>
      </c>
      <c r="J126" s="26" t="s">
        <v>14</v>
      </c>
      <c r="K126" s="48" t="s">
        <v>14</v>
      </c>
      <c r="L126" s="26" t="s">
        <v>14</v>
      </c>
      <c r="M126" s="26" t="s">
        <v>202</v>
      </c>
      <c r="N126" s="26">
        <v>2026</v>
      </c>
    </row>
    <row r="127" spans="1:14">
      <c r="A127" s="26">
        <v>126</v>
      </c>
      <c r="B127" s="26" t="s">
        <v>17</v>
      </c>
      <c r="C127" s="76" t="s">
        <v>22</v>
      </c>
      <c r="D127" s="26" t="s">
        <v>19</v>
      </c>
      <c r="E127" s="26" t="s">
        <v>85</v>
      </c>
      <c r="F127" s="26"/>
      <c r="G127" s="26" t="s">
        <v>87</v>
      </c>
      <c r="H127" s="49" t="s">
        <v>89</v>
      </c>
      <c r="I127" s="50">
        <v>13062.007241610738</v>
      </c>
      <c r="J127" s="26" t="s">
        <v>14</v>
      </c>
      <c r="K127" s="48" t="s">
        <v>14</v>
      </c>
      <c r="L127" s="67" t="s">
        <v>14</v>
      </c>
      <c r="M127" s="26" t="s">
        <v>202</v>
      </c>
      <c r="N127" s="26">
        <v>2026</v>
      </c>
    </row>
    <row r="128" spans="1:14">
      <c r="A128" s="26">
        <v>127</v>
      </c>
      <c r="B128" s="26" t="s">
        <v>17</v>
      </c>
      <c r="C128" s="26" t="s">
        <v>18</v>
      </c>
      <c r="D128" s="26" t="s">
        <v>19</v>
      </c>
      <c r="E128" s="26" t="s">
        <v>85</v>
      </c>
      <c r="F128" s="26"/>
      <c r="G128" s="26" t="s">
        <v>86</v>
      </c>
      <c r="H128" s="26" t="s">
        <v>89</v>
      </c>
      <c r="I128" s="46">
        <v>11937.79044966443</v>
      </c>
      <c r="J128" s="26" t="s">
        <v>14</v>
      </c>
      <c r="K128" s="48" t="s">
        <v>14</v>
      </c>
      <c r="L128" s="26" t="s">
        <v>14</v>
      </c>
      <c r="M128" s="26" t="s">
        <v>202</v>
      </c>
      <c r="N128" s="26">
        <v>2026</v>
      </c>
    </row>
    <row r="129" spans="1:14">
      <c r="A129" s="26">
        <v>128</v>
      </c>
      <c r="B129" s="26" t="s">
        <v>17</v>
      </c>
      <c r="C129" s="26" t="s">
        <v>265</v>
      </c>
      <c r="D129" s="26" t="s">
        <v>19</v>
      </c>
      <c r="E129" s="26" t="s">
        <v>85</v>
      </c>
      <c r="F129" s="26"/>
      <c r="G129" s="26" t="s">
        <v>87</v>
      </c>
      <c r="H129" s="26" t="s">
        <v>89</v>
      </c>
      <c r="I129" s="46">
        <v>11412.294308724831</v>
      </c>
      <c r="J129" s="26" t="s">
        <v>14</v>
      </c>
      <c r="K129" s="48" t="s">
        <v>14</v>
      </c>
      <c r="L129" s="26" t="s">
        <v>14</v>
      </c>
      <c r="M129" s="26" t="s">
        <v>202</v>
      </c>
      <c r="N129" s="26">
        <v>2026</v>
      </c>
    </row>
    <row r="130" spans="1:14">
      <c r="A130" s="26">
        <v>129</v>
      </c>
      <c r="B130" s="26" t="s">
        <v>42</v>
      </c>
      <c r="C130" s="26" t="s">
        <v>45</v>
      </c>
      <c r="D130" s="26" t="s">
        <v>19</v>
      </c>
      <c r="E130" s="26" t="s">
        <v>85</v>
      </c>
      <c r="F130" s="26"/>
      <c r="G130" s="26" t="s">
        <v>87</v>
      </c>
      <c r="H130" s="26" t="s">
        <v>278</v>
      </c>
      <c r="I130" s="53">
        <v>10620.676208053692</v>
      </c>
      <c r="J130" s="26" t="s">
        <v>14</v>
      </c>
      <c r="K130" s="48" t="s">
        <v>14</v>
      </c>
      <c r="L130" s="26" t="s">
        <v>14</v>
      </c>
      <c r="M130" s="26" t="s">
        <v>202</v>
      </c>
      <c r="N130" s="26">
        <v>2026</v>
      </c>
    </row>
    <row r="131" spans="1:14">
      <c r="A131" s="26">
        <v>130</v>
      </c>
      <c r="B131" s="47" t="s">
        <v>35</v>
      </c>
      <c r="C131" s="76" t="s">
        <v>37</v>
      </c>
      <c r="D131" s="26" t="s">
        <v>19</v>
      </c>
      <c r="E131" s="26" t="s">
        <v>85</v>
      </c>
      <c r="F131" s="26"/>
      <c r="G131" s="26" t="s">
        <v>86</v>
      </c>
      <c r="H131" s="49" t="s">
        <v>89</v>
      </c>
      <c r="I131" s="53">
        <v>10069.695422818791</v>
      </c>
      <c r="J131" s="26" t="s">
        <v>14</v>
      </c>
      <c r="K131" s="48" t="s">
        <v>14</v>
      </c>
      <c r="L131" s="26" t="s">
        <v>14</v>
      </c>
      <c r="M131" s="26" t="s">
        <v>202</v>
      </c>
      <c r="N131" s="26">
        <v>2026</v>
      </c>
    </row>
    <row r="132" spans="1:14">
      <c r="A132" s="26">
        <v>131</v>
      </c>
      <c r="B132" s="26" t="s">
        <v>35</v>
      </c>
      <c r="C132" s="26" t="s">
        <v>37</v>
      </c>
      <c r="D132" s="26" t="s">
        <v>19</v>
      </c>
      <c r="E132" s="26" t="s">
        <v>85</v>
      </c>
      <c r="F132" s="26"/>
      <c r="G132" s="26" t="s">
        <v>87</v>
      </c>
      <c r="H132" s="26" t="s">
        <v>278</v>
      </c>
      <c r="I132" s="53">
        <v>9994.8374026845649</v>
      </c>
      <c r="J132" s="26" t="s">
        <v>14</v>
      </c>
      <c r="K132" s="48" t="s">
        <v>14</v>
      </c>
      <c r="L132" s="26" t="s">
        <v>14</v>
      </c>
      <c r="M132" s="26" t="s">
        <v>202</v>
      </c>
      <c r="N132" s="26">
        <v>2026</v>
      </c>
    </row>
    <row r="133" spans="1:14">
      <c r="A133" s="26">
        <v>132</v>
      </c>
      <c r="B133" s="57" t="s">
        <v>42</v>
      </c>
      <c r="C133" s="57" t="s">
        <v>45</v>
      </c>
      <c r="D133" s="26" t="s">
        <v>19</v>
      </c>
      <c r="E133" s="57" t="s">
        <v>85</v>
      </c>
      <c r="F133" s="26"/>
      <c r="G133" s="57" t="s">
        <v>88</v>
      </c>
      <c r="H133" s="26" t="s">
        <v>278</v>
      </c>
      <c r="I133" s="53">
        <v>9759.2927516778527</v>
      </c>
      <c r="J133" s="26" t="s">
        <v>14</v>
      </c>
      <c r="K133" s="48" t="s">
        <v>14</v>
      </c>
      <c r="L133" s="26" t="s">
        <v>14</v>
      </c>
      <c r="M133" s="26" t="s">
        <v>202</v>
      </c>
      <c r="N133" s="26">
        <v>2026</v>
      </c>
    </row>
    <row r="134" spans="1:14">
      <c r="A134" s="26">
        <v>133</v>
      </c>
      <c r="B134" s="26" t="s">
        <v>42</v>
      </c>
      <c r="C134" s="26" t="s">
        <v>47</v>
      </c>
      <c r="D134" s="26" t="s">
        <v>19</v>
      </c>
      <c r="E134" s="26" t="s">
        <v>85</v>
      </c>
      <c r="F134" s="26"/>
      <c r="G134" s="26" t="s">
        <v>87</v>
      </c>
      <c r="H134" s="26" t="s">
        <v>278</v>
      </c>
      <c r="I134" s="53">
        <v>9616.0298926174491</v>
      </c>
      <c r="J134" s="26" t="s">
        <v>14</v>
      </c>
      <c r="K134" s="48" t="s">
        <v>14</v>
      </c>
      <c r="L134" s="26" t="s">
        <v>14</v>
      </c>
      <c r="M134" s="26" t="s">
        <v>202</v>
      </c>
      <c r="N134" s="26">
        <v>2026</v>
      </c>
    </row>
    <row r="135" spans="1:14">
      <c r="A135" s="26">
        <v>134</v>
      </c>
      <c r="B135" s="26" t="s">
        <v>42</v>
      </c>
      <c r="C135" s="77" t="s">
        <v>43</v>
      </c>
      <c r="D135" s="26" t="s">
        <v>19</v>
      </c>
      <c r="E135" s="26" t="s">
        <v>85</v>
      </c>
      <c r="F135" s="26"/>
      <c r="G135" s="26" t="s">
        <v>86</v>
      </c>
      <c r="H135" s="49" t="s">
        <v>89</v>
      </c>
      <c r="I135" s="50">
        <v>9264.326295302013</v>
      </c>
      <c r="J135" s="26" t="s">
        <v>14</v>
      </c>
      <c r="K135" s="48" t="s">
        <v>14</v>
      </c>
      <c r="L135" s="67" t="s">
        <v>14</v>
      </c>
      <c r="M135" s="26" t="s">
        <v>202</v>
      </c>
      <c r="N135" s="26">
        <v>2026</v>
      </c>
    </row>
    <row r="136" spans="1:14">
      <c r="A136" s="26">
        <v>135</v>
      </c>
      <c r="B136" s="26" t="s">
        <v>17</v>
      </c>
      <c r="C136" s="26" t="s">
        <v>18</v>
      </c>
      <c r="D136" s="26" t="s">
        <v>19</v>
      </c>
      <c r="E136" s="57" t="s">
        <v>85</v>
      </c>
      <c r="F136" s="26"/>
      <c r="G136" s="26" t="s">
        <v>87</v>
      </c>
      <c r="H136" s="26" t="s">
        <v>278</v>
      </c>
      <c r="I136" s="53">
        <v>9174.3210134228193</v>
      </c>
      <c r="J136" s="26" t="s">
        <v>14</v>
      </c>
      <c r="K136" s="48" t="s">
        <v>14</v>
      </c>
      <c r="L136" s="26" t="s">
        <v>14</v>
      </c>
      <c r="M136" s="26" t="s">
        <v>202</v>
      </c>
      <c r="N136" s="26">
        <v>2026</v>
      </c>
    </row>
    <row r="137" spans="1:14">
      <c r="A137" s="26">
        <v>136</v>
      </c>
      <c r="B137" s="26" t="s">
        <v>33</v>
      </c>
      <c r="C137" s="26" t="s">
        <v>34</v>
      </c>
      <c r="D137" s="26" t="s">
        <v>19</v>
      </c>
      <c r="E137" s="26" t="s">
        <v>85</v>
      </c>
      <c r="F137" s="26"/>
      <c r="G137" s="26" t="s">
        <v>87</v>
      </c>
      <c r="H137" s="26" t="s">
        <v>89</v>
      </c>
      <c r="I137" s="50">
        <v>8786.7837315436245</v>
      </c>
      <c r="J137" s="26" t="s">
        <v>14</v>
      </c>
      <c r="K137" s="48" t="s">
        <v>14</v>
      </c>
      <c r="L137" s="67" t="s">
        <v>14</v>
      </c>
      <c r="M137" s="26" t="s">
        <v>202</v>
      </c>
      <c r="N137" s="26">
        <v>2026</v>
      </c>
    </row>
    <row r="138" spans="1:14">
      <c r="A138" s="26">
        <v>137</v>
      </c>
      <c r="B138" s="26" t="s">
        <v>42</v>
      </c>
      <c r="C138" s="26" t="s">
        <v>257</v>
      </c>
      <c r="D138" s="26" t="s">
        <v>19</v>
      </c>
      <c r="E138" s="26" t="s">
        <v>85</v>
      </c>
      <c r="F138" s="26"/>
      <c r="G138" s="26" t="s">
        <v>87</v>
      </c>
      <c r="H138" s="26" t="s">
        <v>89</v>
      </c>
      <c r="I138" s="46">
        <v>8507.4858053691278</v>
      </c>
      <c r="J138" s="26" t="s">
        <v>14</v>
      </c>
      <c r="K138" s="48" t="s">
        <v>14</v>
      </c>
      <c r="L138" s="26" t="s">
        <v>14</v>
      </c>
      <c r="M138" s="26" t="s">
        <v>202</v>
      </c>
      <c r="N138" s="26">
        <v>2026</v>
      </c>
    </row>
    <row r="139" spans="1:14">
      <c r="A139" s="26">
        <v>138</v>
      </c>
      <c r="B139" s="26" t="s">
        <v>42</v>
      </c>
      <c r="C139" s="26" t="s">
        <v>43</v>
      </c>
      <c r="D139" s="26" t="s">
        <v>19</v>
      </c>
      <c r="E139" s="26" t="s">
        <v>85</v>
      </c>
      <c r="F139" s="26"/>
      <c r="G139" s="26" t="s">
        <v>86</v>
      </c>
      <c r="H139" s="49" t="s">
        <v>255</v>
      </c>
      <c r="I139" s="53">
        <v>7934.8166442953025</v>
      </c>
      <c r="J139" s="26" t="s">
        <v>14</v>
      </c>
      <c r="K139" s="48" t="s">
        <v>14</v>
      </c>
      <c r="L139" s="26" t="s">
        <v>14</v>
      </c>
      <c r="M139" s="26" t="s">
        <v>202</v>
      </c>
      <c r="N139" s="26">
        <v>2026</v>
      </c>
    </row>
    <row r="140" spans="1:14">
      <c r="A140" s="26">
        <v>139</v>
      </c>
      <c r="B140" s="26" t="s">
        <v>54</v>
      </c>
      <c r="C140" s="26" t="s">
        <v>55</v>
      </c>
      <c r="D140" s="26" t="s">
        <v>19</v>
      </c>
      <c r="E140" s="26" t="s">
        <v>85</v>
      </c>
      <c r="F140" s="26"/>
      <c r="G140" s="26" t="s">
        <v>87</v>
      </c>
      <c r="H140" s="49" t="s">
        <v>89</v>
      </c>
      <c r="I140" s="53">
        <v>7416.1073825503354</v>
      </c>
      <c r="J140" s="26" t="s">
        <v>14</v>
      </c>
      <c r="K140" s="48" t="s">
        <v>14</v>
      </c>
      <c r="L140" s="51" t="s">
        <v>14</v>
      </c>
      <c r="M140" s="26" t="s">
        <v>202</v>
      </c>
      <c r="N140" s="26">
        <v>2026</v>
      </c>
    </row>
    <row r="141" spans="1:14">
      <c r="A141" s="26">
        <v>140</v>
      </c>
      <c r="B141" s="26" t="s">
        <v>17</v>
      </c>
      <c r="C141" s="77" t="s">
        <v>22</v>
      </c>
      <c r="D141" s="26" t="s">
        <v>19</v>
      </c>
      <c r="E141" s="26" t="s">
        <v>85</v>
      </c>
      <c r="F141" s="26"/>
      <c r="G141" s="26" t="s">
        <v>86</v>
      </c>
      <c r="H141" s="49" t="s">
        <v>255</v>
      </c>
      <c r="I141" s="50">
        <v>7053.0200469798656</v>
      </c>
      <c r="J141" s="26" t="s">
        <v>14</v>
      </c>
      <c r="K141" s="48" t="s">
        <v>14</v>
      </c>
      <c r="L141" s="67" t="s">
        <v>14</v>
      </c>
      <c r="M141" s="26" t="s">
        <v>202</v>
      </c>
      <c r="N141" s="26">
        <v>2026</v>
      </c>
    </row>
    <row r="142" spans="1:14">
      <c r="A142" s="26">
        <v>141</v>
      </c>
      <c r="B142" s="26" t="s">
        <v>17</v>
      </c>
      <c r="C142" s="26" t="s">
        <v>265</v>
      </c>
      <c r="D142" s="26" t="s">
        <v>19</v>
      </c>
      <c r="E142" s="26" t="s">
        <v>85</v>
      </c>
      <c r="F142" s="26"/>
      <c r="G142" s="26" t="s">
        <v>86</v>
      </c>
      <c r="H142" s="26" t="s">
        <v>255</v>
      </c>
      <c r="I142" s="50">
        <v>6969.0242080536918</v>
      </c>
      <c r="J142" s="26" t="s">
        <v>14</v>
      </c>
      <c r="K142" s="48" t="s">
        <v>14</v>
      </c>
      <c r="L142" s="67" t="s">
        <v>14</v>
      </c>
      <c r="M142" s="26" t="s">
        <v>202</v>
      </c>
      <c r="N142" s="26">
        <v>2026</v>
      </c>
    </row>
    <row r="143" spans="1:14">
      <c r="A143" s="26">
        <v>142</v>
      </c>
      <c r="B143" s="26" t="s">
        <v>33</v>
      </c>
      <c r="C143" s="76" t="s">
        <v>34</v>
      </c>
      <c r="D143" s="26" t="s">
        <v>19</v>
      </c>
      <c r="E143" s="26" t="s">
        <v>85</v>
      </c>
      <c r="F143" s="26"/>
      <c r="G143" s="26" t="s">
        <v>86</v>
      </c>
      <c r="H143" s="26" t="s">
        <v>255</v>
      </c>
      <c r="I143" s="53">
        <v>6782.1373221476506</v>
      </c>
      <c r="J143" s="26" t="s">
        <v>14</v>
      </c>
      <c r="K143" s="48" t="s">
        <v>14</v>
      </c>
      <c r="L143" s="26" t="s">
        <v>14</v>
      </c>
      <c r="M143" s="26" t="s">
        <v>202</v>
      </c>
      <c r="N143" s="26">
        <v>2026</v>
      </c>
    </row>
    <row r="144" spans="1:14">
      <c r="A144" s="26">
        <v>143</v>
      </c>
      <c r="B144" s="63" t="s">
        <v>42</v>
      </c>
      <c r="C144" s="26" t="s">
        <v>46</v>
      </c>
      <c r="D144" s="26" t="s">
        <v>19</v>
      </c>
      <c r="E144" s="26" t="s">
        <v>85</v>
      </c>
      <c r="F144" s="26"/>
      <c r="G144" s="26" t="s">
        <v>86</v>
      </c>
      <c r="H144" s="26" t="s">
        <v>89</v>
      </c>
      <c r="I144" s="53">
        <v>5967.991758389262</v>
      </c>
      <c r="J144" s="26" t="s">
        <v>14</v>
      </c>
      <c r="K144" s="48" t="s">
        <v>14</v>
      </c>
      <c r="L144" s="26" t="s">
        <v>14</v>
      </c>
      <c r="M144" s="26" t="s">
        <v>202</v>
      </c>
      <c r="N144" s="26">
        <v>2026</v>
      </c>
    </row>
    <row r="145" spans="1:14">
      <c r="A145" s="26">
        <v>144</v>
      </c>
      <c r="B145" s="26" t="s">
        <v>42</v>
      </c>
      <c r="C145" s="26" t="s">
        <v>44</v>
      </c>
      <c r="D145" s="26" t="s">
        <v>19</v>
      </c>
      <c r="E145" s="26" t="s">
        <v>85</v>
      </c>
      <c r="F145" s="26"/>
      <c r="G145" s="26" t="s">
        <v>86</v>
      </c>
      <c r="H145" s="49" t="s">
        <v>89</v>
      </c>
      <c r="I145" s="53">
        <v>5785.2349261744957</v>
      </c>
      <c r="J145" s="26" t="s">
        <v>14</v>
      </c>
      <c r="K145" s="48" t="s">
        <v>14</v>
      </c>
      <c r="L145" s="26" t="s">
        <v>14</v>
      </c>
      <c r="M145" s="26" t="s">
        <v>202</v>
      </c>
      <c r="N145" s="26">
        <v>2026</v>
      </c>
    </row>
    <row r="146" spans="1:14">
      <c r="A146" s="26">
        <v>145</v>
      </c>
      <c r="B146" s="63" t="s">
        <v>17</v>
      </c>
      <c r="C146" s="26" t="s">
        <v>22</v>
      </c>
      <c r="D146" s="26" t="s">
        <v>19</v>
      </c>
      <c r="E146" s="57" t="s">
        <v>85</v>
      </c>
      <c r="F146" s="26"/>
      <c r="G146" s="26" t="s">
        <v>86</v>
      </c>
      <c r="H146" s="26" t="s">
        <v>89</v>
      </c>
      <c r="I146" s="53">
        <v>5660.8157181208053</v>
      </c>
      <c r="J146" s="26" t="s">
        <v>14</v>
      </c>
      <c r="K146" s="48" t="s">
        <v>14</v>
      </c>
      <c r="L146" s="26" t="s">
        <v>14</v>
      </c>
      <c r="M146" s="26" t="s">
        <v>202</v>
      </c>
      <c r="N146" s="26">
        <v>2026</v>
      </c>
    </row>
    <row r="147" spans="1:14">
      <c r="A147" s="26">
        <v>146</v>
      </c>
      <c r="B147" s="63" t="s">
        <v>35</v>
      </c>
      <c r="C147" s="76" t="s">
        <v>37</v>
      </c>
      <c r="D147" s="26" t="s">
        <v>19</v>
      </c>
      <c r="E147" s="57" t="s">
        <v>85</v>
      </c>
      <c r="F147" s="26"/>
      <c r="G147" s="26" t="s">
        <v>87</v>
      </c>
      <c r="H147" s="49" t="s">
        <v>89</v>
      </c>
      <c r="I147" s="53">
        <v>5570.4697986577185</v>
      </c>
      <c r="J147" s="26" t="s">
        <v>14</v>
      </c>
      <c r="K147" s="48" t="s">
        <v>14</v>
      </c>
      <c r="L147" s="26" t="s">
        <v>14</v>
      </c>
      <c r="M147" s="26" t="s">
        <v>202</v>
      </c>
      <c r="N147" s="26">
        <v>2026</v>
      </c>
    </row>
    <row r="148" spans="1:14">
      <c r="A148" s="26">
        <v>147</v>
      </c>
      <c r="B148" s="45" t="s">
        <v>52</v>
      </c>
      <c r="C148" s="26" t="s">
        <v>62</v>
      </c>
      <c r="D148" s="26" t="s">
        <v>60</v>
      </c>
      <c r="E148" s="26" t="s">
        <v>85</v>
      </c>
      <c r="F148" s="26"/>
      <c r="G148" s="45" t="s">
        <v>279</v>
      </c>
      <c r="H148" s="45" t="s">
        <v>255</v>
      </c>
      <c r="I148" s="53">
        <v>5150</v>
      </c>
      <c r="J148" s="26" t="s">
        <v>391</v>
      </c>
      <c r="K148" s="48">
        <v>46058</v>
      </c>
      <c r="L148" s="26" t="s">
        <v>14</v>
      </c>
      <c r="M148" s="26" t="s">
        <v>202</v>
      </c>
      <c r="N148" s="26">
        <v>2026</v>
      </c>
    </row>
    <row r="149" spans="1:14">
      <c r="A149" s="26">
        <v>148</v>
      </c>
      <c r="B149" s="26" t="s">
        <v>42</v>
      </c>
      <c r="C149" s="100" t="s">
        <v>47</v>
      </c>
      <c r="D149" s="26" t="s">
        <v>19</v>
      </c>
      <c r="E149" s="26" t="s">
        <v>85</v>
      </c>
      <c r="F149" s="26"/>
      <c r="G149" s="26" t="s">
        <v>86</v>
      </c>
      <c r="H149" s="100" t="s">
        <v>89</v>
      </c>
      <c r="I149" s="50">
        <v>4912.7516778523486</v>
      </c>
      <c r="J149" s="26" t="s">
        <v>14</v>
      </c>
      <c r="K149" s="48" t="s">
        <v>14</v>
      </c>
      <c r="L149" s="51" t="s">
        <v>14</v>
      </c>
      <c r="M149" s="26" t="s">
        <v>202</v>
      </c>
      <c r="N149" s="26">
        <v>2026</v>
      </c>
    </row>
    <row r="150" spans="1:14">
      <c r="A150" s="26">
        <v>149</v>
      </c>
      <c r="B150" s="26" t="s">
        <v>42</v>
      </c>
      <c r="C150" s="26" t="s">
        <v>45</v>
      </c>
      <c r="D150" s="26" t="s">
        <v>19</v>
      </c>
      <c r="E150" s="26" t="s">
        <v>85</v>
      </c>
      <c r="F150" s="26"/>
      <c r="G150" s="26" t="s">
        <v>87</v>
      </c>
      <c r="H150" s="26" t="s">
        <v>89</v>
      </c>
      <c r="I150" s="46">
        <v>4907.0728187919467</v>
      </c>
      <c r="J150" s="26" t="s">
        <v>14</v>
      </c>
      <c r="K150" s="48" t="s">
        <v>14</v>
      </c>
      <c r="L150" s="26" t="s">
        <v>14</v>
      </c>
      <c r="M150" s="26" t="s">
        <v>202</v>
      </c>
      <c r="N150" s="26">
        <v>2026</v>
      </c>
    </row>
    <row r="151" spans="1:14">
      <c r="A151" s="26">
        <v>150</v>
      </c>
      <c r="B151" s="26" t="s">
        <v>33</v>
      </c>
      <c r="C151" s="76" t="s">
        <v>34</v>
      </c>
      <c r="D151" s="26" t="s">
        <v>19</v>
      </c>
      <c r="E151" s="57" t="s">
        <v>85</v>
      </c>
      <c r="F151" s="26"/>
      <c r="G151" s="26" t="s">
        <v>88</v>
      </c>
      <c r="H151" s="26" t="s">
        <v>278</v>
      </c>
      <c r="I151" s="53">
        <v>4303.6912751677855</v>
      </c>
      <c r="J151" s="26" t="s">
        <v>14</v>
      </c>
      <c r="K151" s="48" t="s">
        <v>14</v>
      </c>
      <c r="L151" s="26" t="s">
        <v>14</v>
      </c>
      <c r="M151" s="26" t="s">
        <v>202</v>
      </c>
      <c r="N151" s="26">
        <v>2026</v>
      </c>
    </row>
    <row r="152" spans="1:14">
      <c r="A152" s="26">
        <v>151</v>
      </c>
      <c r="B152" s="63" t="s">
        <v>58</v>
      </c>
      <c r="C152" s="26" t="s">
        <v>59</v>
      </c>
      <c r="D152" s="26" t="s">
        <v>19</v>
      </c>
      <c r="E152" s="57" t="s">
        <v>85</v>
      </c>
      <c r="F152" s="26"/>
      <c r="G152" s="26" t="s">
        <v>86</v>
      </c>
      <c r="H152" s="26" t="s">
        <v>89</v>
      </c>
      <c r="I152" s="50">
        <v>3621.5798255033546</v>
      </c>
      <c r="J152" s="26" t="s">
        <v>14</v>
      </c>
      <c r="K152" s="48" t="s">
        <v>14</v>
      </c>
      <c r="L152" s="26" t="s">
        <v>14</v>
      </c>
      <c r="M152" s="26" t="s">
        <v>202</v>
      </c>
      <c r="N152" s="26">
        <v>2026</v>
      </c>
    </row>
    <row r="153" spans="1:14">
      <c r="A153" s="26">
        <v>152</v>
      </c>
      <c r="B153" s="47" t="s">
        <v>42</v>
      </c>
      <c r="C153" s="47" t="s">
        <v>47</v>
      </c>
      <c r="D153" s="26" t="s">
        <v>19</v>
      </c>
      <c r="E153" s="26" t="s">
        <v>85</v>
      </c>
      <c r="F153" s="26"/>
      <c r="G153" s="26" t="s">
        <v>87</v>
      </c>
      <c r="H153" s="26" t="s">
        <v>89</v>
      </c>
      <c r="I153" s="53">
        <v>3577.1812080536911</v>
      </c>
      <c r="J153" s="26" t="s">
        <v>14</v>
      </c>
      <c r="K153" s="48" t="s">
        <v>14</v>
      </c>
      <c r="L153" s="26" t="s">
        <v>14</v>
      </c>
      <c r="M153" s="26" t="s">
        <v>202</v>
      </c>
      <c r="N153" s="26">
        <v>2026</v>
      </c>
    </row>
    <row r="154" spans="1:14">
      <c r="A154" s="26">
        <v>153</v>
      </c>
      <c r="B154" s="63" t="s">
        <v>35</v>
      </c>
      <c r="C154" s="26" t="s">
        <v>36</v>
      </c>
      <c r="D154" s="26" t="s">
        <v>19</v>
      </c>
      <c r="E154" s="26" t="s">
        <v>85</v>
      </c>
      <c r="F154" s="26"/>
      <c r="G154" s="26" t="s">
        <v>87</v>
      </c>
      <c r="H154" s="49" t="s">
        <v>89</v>
      </c>
      <c r="I154" s="53">
        <v>3489.9328859060402</v>
      </c>
      <c r="J154" s="26" t="s">
        <v>14</v>
      </c>
      <c r="K154" s="48" t="s">
        <v>14</v>
      </c>
      <c r="L154" s="26" t="s">
        <v>14</v>
      </c>
      <c r="M154" s="26" t="s">
        <v>202</v>
      </c>
      <c r="N154" s="26">
        <v>2026</v>
      </c>
    </row>
    <row r="155" spans="1:14">
      <c r="A155" s="26">
        <v>154</v>
      </c>
      <c r="B155" s="26" t="s">
        <v>17</v>
      </c>
      <c r="C155" s="26" t="s">
        <v>90</v>
      </c>
      <c r="D155" s="26" t="s">
        <v>19</v>
      </c>
      <c r="E155" s="26" t="s">
        <v>85</v>
      </c>
      <c r="F155" s="26"/>
      <c r="G155" s="26" t="s">
        <v>87</v>
      </c>
      <c r="H155" s="26" t="s">
        <v>89</v>
      </c>
      <c r="I155" s="53">
        <v>3489.9328859060402</v>
      </c>
      <c r="J155" s="26" t="s">
        <v>14</v>
      </c>
      <c r="K155" s="48" t="s">
        <v>14</v>
      </c>
      <c r="L155" s="26" t="s">
        <v>14</v>
      </c>
      <c r="M155" s="26" t="s">
        <v>202</v>
      </c>
      <c r="N155" s="26">
        <v>2026</v>
      </c>
    </row>
    <row r="156" spans="1:14">
      <c r="A156" s="26">
        <v>155</v>
      </c>
      <c r="B156" s="26" t="s">
        <v>35</v>
      </c>
      <c r="C156" s="26" t="s">
        <v>36</v>
      </c>
      <c r="D156" s="26" t="s">
        <v>19</v>
      </c>
      <c r="E156" s="26" t="s">
        <v>85</v>
      </c>
      <c r="F156" s="26"/>
      <c r="G156" s="26" t="s">
        <v>86</v>
      </c>
      <c r="H156" s="49" t="s">
        <v>89</v>
      </c>
      <c r="I156" s="53">
        <v>3422.8187919463089</v>
      </c>
      <c r="J156" s="26" t="s">
        <v>14</v>
      </c>
      <c r="K156" s="48" t="s">
        <v>14</v>
      </c>
      <c r="L156" s="26" t="s">
        <v>14</v>
      </c>
      <c r="M156" s="26" t="s">
        <v>202</v>
      </c>
      <c r="N156" s="26">
        <v>2026</v>
      </c>
    </row>
    <row r="157" spans="1:14">
      <c r="A157" s="26">
        <v>156</v>
      </c>
      <c r="B157" s="26" t="s">
        <v>42</v>
      </c>
      <c r="C157" s="26" t="s">
        <v>257</v>
      </c>
      <c r="D157" s="26" t="s">
        <v>19</v>
      </c>
      <c r="E157" s="26" t="s">
        <v>85</v>
      </c>
      <c r="F157" s="26"/>
      <c r="G157" s="26" t="s">
        <v>87</v>
      </c>
      <c r="H157" s="26" t="s">
        <v>255</v>
      </c>
      <c r="I157" s="53">
        <v>3138.8745369127528</v>
      </c>
      <c r="J157" s="26" t="s">
        <v>14</v>
      </c>
      <c r="K157" s="48" t="s">
        <v>14</v>
      </c>
      <c r="L157" s="26" t="s">
        <v>14</v>
      </c>
      <c r="M157" s="26" t="s">
        <v>202</v>
      </c>
      <c r="N157" s="26">
        <v>2026</v>
      </c>
    </row>
    <row r="158" spans="1:14">
      <c r="A158" s="26">
        <v>157</v>
      </c>
      <c r="B158" s="26" t="s">
        <v>42</v>
      </c>
      <c r="C158" s="48" t="s">
        <v>49</v>
      </c>
      <c r="D158" s="26" t="s">
        <v>19</v>
      </c>
      <c r="E158" s="26" t="s">
        <v>85</v>
      </c>
      <c r="F158" s="26"/>
      <c r="G158" s="26" t="s">
        <v>87</v>
      </c>
      <c r="H158" s="49" t="s">
        <v>89</v>
      </c>
      <c r="I158" s="50">
        <v>2885.9060402684563</v>
      </c>
      <c r="J158" s="26" t="s">
        <v>14</v>
      </c>
      <c r="K158" s="48" t="s">
        <v>14</v>
      </c>
      <c r="L158" s="51" t="s">
        <v>14</v>
      </c>
      <c r="M158" s="26" t="s">
        <v>202</v>
      </c>
      <c r="N158" s="26">
        <v>2026</v>
      </c>
    </row>
    <row r="159" spans="1:14">
      <c r="A159" s="26">
        <v>158</v>
      </c>
      <c r="B159" s="26" t="s">
        <v>42</v>
      </c>
      <c r="C159" s="26" t="s">
        <v>43</v>
      </c>
      <c r="D159" s="26" t="s">
        <v>19</v>
      </c>
      <c r="E159" s="57" t="s">
        <v>85</v>
      </c>
      <c r="F159" s="26"/>
      <c r="G159" s="26" t="s">
        <v>88</v>
      </c>
      <c r="H159" s="26" t="s">
        <v>278</v>
      </c>
      <c r="I159" s="53">
        <v>2485.8027986577181</v>
      </c>
      <c r="J159" s="26" t="s">
        <v>14</v>
      </c>
      <c r="K159" s="48" t="s">
        <v>14</v>
      </c>
      <c r="L159" s="26" t="s">
        <v>14</v>
      </c>
      <c r="M159" s="26" t="s">
        <v>202</v>
      </c>
      <c r="N159" s="26">
        <v>2026</v>
      </c>
    </row>
    <row r="160" spans="1:14">
      <c r="A160" s="26">
        <v>159</v>
      </c>
      <c r="B160" s="26" t="s">
        <v>35</v>
      </c>
      <c r="C160" s="76" t="s">
        <v>36</v>
      </c>
      <c r="D160" s="26" t="s">
        <v>19</v>
      </c>
      <c r="E160" s="26" t="s">
        <v>85</v>
      </c>
      <c r="F160" s="26"/>
      <c r="G160" s="26" t="s">
        <v>86</v>
      </c>
      <c r="H160" s="100" t="s">
        <v>255</v>
      </c>
      <c r="I160" s="46">
        <v>2369.6437315436242</v>
      </c>
      <c r="J160" s="26" t="s">
        <v>14</v>
      </c>
      <c r="K160" s="48" t="s">
        <v>14</v>
      </c>
      <c r="L160" s="26" t="s">
        <v>14</v>
      </c>
      <c r="M160" s="26" t="s">
        <v>202</v>
      </c>
      <c r="N160" s="26">
        <v>2026</v>
      </c>
    </row>
    <row r="161" spans="1:14">
      <c r="A161" s="26">
        <v>160</v>
      </c>
      <c r="B161" s="57" t="s">
        <v>61</v>
      </c>
      <c r="C161" s="70" t="s">
        <v>62</v>
      </c>
      <c r="D161" s="26" t="s">
        <v>19</v>
      </c>
      <c r="E161" s="57" t="s">
        <v>85</v>
      </c>
      <c r="F161" s="26"/>
      <c r="G161" s="57" t="s">
        <v>92</v>
      </c>
      <c r="H161" s="26" t="s">
        <v>89</v>
      </c>
      <c r="I161" s="53">
        <v>2080</v>
      </c>
      <c r="J161" s="26" t="s">
        <v>14</v>
      </c>
      <c r="K161" s="48" t="s">
        <v>14</v>
      </c>
      <c r="L161" s="26" t="s">
        <v>14</v>
      </c>
      <c r="M161" s="26" t="s">
        <v>202</v>
      </c>
      <c r="N161" s="26">
        <v>2026</v>
      </c>
    </row>
    <row r="162" spans="1:14">
      <c r="A162" s="26">
        <v>161</v>
      </c>
      <c r="B162" s="26" t="s">
        <v>42</v>
      </c>
      <c r="C162" s="48" t="s">
        <v>49</v>
      </c>
      <c r="D162" s="26" t="s">
        <v>19</v>
      </c>
      <c r="E162" s="26" t="s">
        <v>85</v>
      </c>
      <c r="F162" s="26"/>
      <c r="G162" s="26" t="s">
        <v>86</v>
      </c>
      <c r="H162" s="49" t="s">
        <v>255</v>
      </c>
      <c r="I162" s="50">
        <v>1916.6236308724831</v>
      </c>
      <c r="J162" s="26" t="s">
        <v>14</v>
      </c>
      <c r="K162" s="48" t="s">
        <v>14</v>
      </c>
      <c r="L162" s="67" t="s">
        <v>14</v>
      </c>
      <c r="M162" s="26" t="s">
        <v>202</v>
      </c>
      <c r="N162" s="26">
        <v>2026</v>
      </c>
    </row>
    <row r="163" spans="1:14">
      <c r="A163" s="26">
        <v>162</v>
      </c>
      <c r="B163" s="26" t="s">
        <v>35</v>
      </c>
      <c r="C163" s="100" t="s">
        <v>41</v>
      </c>
      <c r="D163" s="26" t="s">
        <v>19</v>
      </c>
      <c r="E163" s="26" t="s">
        <v>85</v>
      </c>
      <c r="F163" s="26"/>
      <c r="G163" s="26" t="s">
        <v>86</v>
      </c>
      <c r="H163" s="100" t="s">
        <v>89</v>
      </c>
      <c r="I163" s="50">
        <v>1897.2638255033557</v>
      </c>
      <c r="J163" s="26" t="s">
        <v>14</v>
      </c>
      <c r="K163" s="48" t="s">
        <v>14</v>
      </c>
      <c r="L163" s="51" t="s">
        <v>14</v>
      </c>
      <c r="M163" s="26" t="s">
        <v>202</v>
      </c>
      <c r="N163" s="26">
        <v>2026</v>
      </c>
    </row>
    <row r="164" spans="1:14">
      <c r="A164" s="26">
        <v>163</v>
      </c>
      <c r="B164" s="45" t="s">
        <v>58</v>
      </c>
      <c r="C164" s="76" t="s">
        <v>59</v>
      </c>
      <c r="D164" s="26" t="s">
        <v>19</v>
      </c>
      <c r="E164" s="26" t="s">
        <v>85</v>
      </c>
      <c r="F164" s="26"/>
      <c r="G164" s="45" t="s">
        <v>86</v>
      </c>
      <c r="H164" s="26" t="s">
        <v>255</v>
      </c>
      <c r="I164" s="46">
        <v>1784.2023422818793</v>
      </c>
      <c r="J164" s="26" t="s">
        <v>14</v>
      </c>
      <c r="K164" s="48" t="s">
        <v>14</v>
      </c>
      <c r="L164" s="26" t="s">
        <v>14</v>
      </c>
      <c r="M164" s="26" t="s">
        <v>202</v>
      </c>
      <c r="N164" s="26">
        <v>2026</v>
      </c>
    </row>
    <row r="165" spans="1:14">
      <c r="A165" s="26">
        <v>164</v>
      </c>
      <c r="B165" s="26" t="s">
        <v>17</v>
      </c>
      <c r="C165" s="26" t="s">
        <v>23</v>
      </c>
      <c r="D165" s="26" t="s">
        <v>19</v>
      </c>
      <c r="E165" s="57" t="s">
        <v>85</v>
      </c>
      <c r="F165" s="26"/>
      <c r="G165" s="26" t="s">
        <v>92</v>
      </c>
      <c r="H165" s="26" t="s">
        <v>89</v>
      </c>
      <c r="I165" s="53">
        <v>1620</v>
      </c>
      <c r="J165" s="26" t="s">
        <v>14</v>
      </c>
      <c r="K165" s="48" t="s">
        <v>14</v>
      </c>
      <c r="L165" s="26" t="s">
        <v>14</v>
      </c>
      <c r="M165" s="26" t="s">
        <v>202</v>
      </c>
      <c r="N165" s="26">
        <v>2026</v>
      </c>
    </row>
    <row r="166" spans="1:14">
      <c r="A166" s="26">
        <v>165</v>
      </c>
      <c r="B166" s="26" t="s">
        <v>389</v>
      </c>
      <c r="C166" s="48" t="s">
        <v>32</v>
      </c>
      <c r="D166" s="26" t="s">
        <v>19</v>
      </c>
      <c r="E166" s="26" t="s">
        <v>85</v>
      </c>
      <c r="F166" s="26"/>
      <c r="G166" s="26" t="s">
        <v>86</v>
      </c>
      <c r="H166" s="49" t="s">
        <v>255</v>
      </c>
      <c r="I166" s="50">
        <v>1548.7867919463085</v>
      </c>
      <c r="J166" s="26" t="s">
        <v>14</v>
      </c>
      <c r="K166" s="48" t="s">
        <v>14</v>
      </c>
      <c r="L166" s="51" t="s">
        <v>14</v>
      </c>
      <c r="M166" s="26" t="s">
        <v>202</v>
      </c>
      <c r="N166" s="26">
        <v>2026</v>
      </c>
    </row>
    <row r="167" spans="1:14">
      <c r="A167" s="26">
        <v>166</v>
      </c>
      <c r="B167" s="26" t="s">
        <v>58</v>
      </c>
      <c r="C167" s="77" t="s">
        <v>59</v>
      </c>
      <c r="D167" s="26" t="s">
        <v>19</v>
      </c>
      <c r="E167" s="26" t="s">
        <v>85</v>
      </c>
      <c r="F167" s="26"/>
      <c r="G167" s="26" t="s">
        <v>87</v>
      </c>
      <c r="H167" s="49" t="s">
        <v>89</v>
      </c>
      <c r="I167" s="50">
        <v>1543.6241879194631</v>
      </c>
      <c r="J167" s="26" t="s">
        <v>14</v>
      </c>
      <c r="K167" s="48" t="s">
        <v>14</v>
      </c>
      <c r="L167" s="67" t="s">
        <v>14</v>
      </c>
      <c r="M167" s="26" t="s">
        <v>202</v>
      </c>
      <c r="N167" s="26">
        <v>2026</v>
      </c>
    </row>
    <row r="168" spans="1:14">
      <c r="A168" s="26">
        <v>167</v>
      </c>
      <c r="B168" s="26" t="s">
        <v>42</v>
      </c>
      <c r="C168" s="48" t="s">
        <v>43</v>
      </c>
      <c r="D168" s="26" t="s">
        <v>19</v>
      </c>
      <c r="E168" s="26" t="s">
        <v>85</v>
      </c>
      <c r="F168" s="26"/>
      <c r="G168" s="26" t="s">
        <v>87</v>
      </c>
      <c r="H168" s="49" t="s">
        <v>89</v>
      </c>
      <c r="I168" s="50">
        <v>1409.3959731543623</v>
      </c>
      <c r="J168" s="26" t="s">
        <v>14</v>
      </c>
      <c r="K168" s="48" t="s">
        <v>14</v>
      </c>
      <c r="L168" s="67" t="s">
        <v>14</v>
      </c>
      <c r="M168" s="26" t="s">
        <v>202</v>
      </c>
      <c r="N168" s="26">
        <v>2026</v>
      </c>
    </row>
    <row r="169" spans="1:14">
      <c r="A169" s="26">
        <v>168</v>
      </c>
      <c r="B169" s="26" t="s">
        <v>42</v>
      </c>
      <c r="C169" s="76" t="s">
        <v>51</v>
      </c>
      <c r="D169" s="26" t="s">
        <v>60</v>
      </c>
      <c r="E169" s="57" t="s">
        <v>85</v>
      </c>
      <c r="F169" s="26"/>
      <c r="G169" s="26" t="s">
        <v>91</v>
      </c>
      <c r="H169" s="26" t="s">
        <v>89</v>
      </c>
      <c r="I169" s="53">
        <v>1324.1379310344828</v>
      </c>
      <c r="J169" s="26" t="s">
        <v>14</v>
      </c>
      <c r="K169" s="48" t="s">
        <v>14</v>
      </c>
      <c r="L169" s="26" t="s">
        <v>14</v>
      </c>
      <c r="M169" s="26" t="s">
        <v>202</v>
      </c>
      <c r="N169" s="26">
        <v>2026</v>
      </c>
    </row>
    <row r="170" spans="1:14">
      <c r="A170" s="26">
        <v>169</v>
      </c>
      <c r="B170" s="26" t="s">
        <v>35</v>
      </c>
      <c r="C170" s="26" t="s">
        <v>39</v>
      </c>
      <c r="D170" s="26" t="s">
        <v>19</v>
      </c>
      <c r="E170" s="26" t="s">
        <v>85</v>
      </c>
      <c r="F170" s="26"/>
      <c r="G170" s="26" t="s">
        <v>86</v>
      </c>
      <c r="H170" s="100" t="s">
        <v>89</v>
      </c>
      <c r="I170" s="46">
        <v>1208.0536912751677</v>
      </c>
      <c r="J170" s="26" t="s">
        <v>14</v>
      </c>
      <c r="K170" s="48" t="s">
        <v>14</v>
      </c>
      <c r="L170" s="26" t="s">
        <v>14</v>
      </c>
      <c r="M170" s="26" t="s">
        <v>202</v>
      </c>
      <c r="N170" s="26">
        <v>2026</v>
      </c>
    </row>
    <row r="171" spans="1:14">
      <c r="A171" s="26">
        <v>170</v>
      </c>
      <c r="B171" s="26" t="s">
        <v>42</v>
      </c>
      <c r="C171" s="76" t="s">
        <v>47</v>
      </c>
      <c r="D171" s="26" t="s">
        <v>19</v>
      </c>
      <c r="E171" s="57" t="s">
        <v>85</v>
      </c>
      <c r="F171" s="26"/>
      <c r="G171" s="26" t="s">
        <v>88</v>
      </c>
      <c r="H171" s="26" t="s">
        <v>278</v>
      </c>
      <c r="I171" s="53">
        <v>798.78679194630877</v>
      </c>
      <c r="J171" s="26" t="s">
        <v>14</v>
      </c>
      <c r="K171" s="48" t="s">
        <v>14</v>
      </c>
      <c r="L171" s="26" t="s">
        <v>14</v>
      </c>
      <c r="M171" s="26" t="s">
        <v>202</v>
      </c>
      <c r="N171" s="26">
        <v>2026</v>
      </c>
    </row>
    <row r="172" spans="1:14">
      <c r="A172" s="26">
        <v>171</v>
      </c>
      <c r="B172" s="26" t="s">
        <v>42</v>
      </c>
      <c r="C172" s="26" t="s">
        <v>257</v>
      </c>
      <c r="D172" s="26" t="s">
        <v>19</v>
      </c>
      <c r="E172" s="57" t="s">
        <v>85</v>
      </c>
      <c r="F172" s="26"/>
      <c r="G172" s="26" t="s">
        <v>88</v>
      </c>
      <c r="H172" s="26" t="s">
        <v>278</v>
      </c>
      <c r="I172" s="53">
        <v>714.66830201342282</v>
      </c>
      <c r="J172" s="26" t="s">
        <v>14</v>
      </c>
      <c r="K172" s="48" t="s">
        <v>14</v>
      </c>
      <c r="L172" s="26" t="s">
        <v>14</v>
      </c>
      <c r="M172" s="26" t="s">
        <v>202</v>
      </c>
      <c r="N172" s="26">
        <v>2026</v>
      </c>
    </row>
    <row r="173" spans="1:14">
      <c r="A173" s="26">
        <v>172</v>
      </c>
      <c r="B173" s="45" t="s">
        <v>42</v>
      </c>
      <c r="C173" s="76" t="s">
        <v>49</v>
      </c>
      <c r="D173" s="26" t="s">
        <v>19</v>
      </c>
      <c r="E173" s="26" t="s">
        <v>85</v>
      </c>
      <c r="F173" s="26"/>
      <c r="G173" s="45" t="s">
        <v>86</v>
      </c>
      <c r="H173" s="45" t="s">
        <v>89</v>
      </c>
      <c r="I173" s="53">
        <v>604.02684563758385</v>
      </c>
      <c r="J173" s="26" t="s">
        <v>14</v>
      </c>
      <c r="K173" s="48" t="s">
        <v>14</v>
      </c>
      <c r="L173" s="26" t="s">
        <v>14</v>
      </c>
      <c r="M173" s="26" t="s">
        <v>202</v>
      </c>
      <c r="N173" s="26">
        <v>2026</v>
      </c>
    </row>
    <row r="174" spans="1:14">
      <c r="A174" s="26">
        <v>173</v>
      </c>
      <c r="B174" s="26" t="s">
        <v>42</v>
      </c>
      <c r="C174" s="26" t="s">
        <v>51</v>
      </c>
      <c r="D174" s="26" t="s">
        <v>19</v>
      </c>
      <c r="E174" s="26" t="s">
        <v>85</v>
      </c>
      <c r="F174" s="26"/>
      <c r="G174" s="26" t="s">
        <v>86</v>
      </c>
      <c r="H174" s="100" t="s">
        <v>89</v>
      </c>
      <c r="I174" s="53">
        <v>534.33144966442956</v>
      </c>
      <c r="J174" s="26" t="s">
        <v>14</v>
      </c>
      <c r="K174" s="48" t="s">
        <v>14</v>
      </c>
      <c r="L174" s="26" t="s">
        <v>14</v>
      </c>
      <c r="M174" s="26" t="s">
        <v>202</v>
      </c>
      <c r="N174" s="26">
        <v>2026</v>
      </c>
    </row>
    <row r="175" spans="1:14">
      <c r="A175" s="26">
        <v>174</v>
      </c>
      <c r="B175" s="26" t="s">
        <v>35</v>
      </c>
      <c r="C175" s="26" t="s">
        <v>36</v>
      </c>
      <c r="D175" s="26" t="s">
        <v>19</v>
      </c>
      <c r="E175" s="57" t="s">
        <v>85</v>
      </c>
      <c r="F175" s="26"/>
      <c r="G175" s="26" t="s">
        <v>88</v>
      </c>
      <c r="H175" s="26" t="s">
        <v>278</v>
      </c>
      <c r="I175" s="53">
        <v>495.61177181208058</v>
      </c>
      <c r="J175" s="26" t="s">
        <v>14</v>
      </c>
      <c r="K175" s="48" t="s">
        <v>14</v>
      </c>
      <c r="L175" s="26" t="s">
        <v>14</v>
      </c>
      <c r="M175" s="26" t="s">
        <v>202</v>
      </c>
      <c r="N175" s="26">
        <v>2026</v>
      </c>
    </row>
    <row r="176" spans="1:14">
      <c r="A176" s="26">
        <v>175</v>
      </c>
      <c r="B176" s="26" t="s">
        <v>54</v>
      </c>
      <c r="C176" s="26" t="s">
        <v>55</v>
      </c>
      <c r="D176" s="26" t="s">
        <v>19</v>
      </c>
      <c r="E176" s="26" t="s">
        <v>85</v>
      </c>
      <c r="F176" s="26"/>
      <c r="G176" s="26" t="s">
        <v>87</v>
      </c>
      <c r="H176" s="26" t="s">
        <v>278</v>
      </c>
      <c r="I176" s="53">
        <v>203.53639597315436</v>
      </c>
      <c r="J176" s="26" t="s">
        <v>14</v>
      </c>
      <c r="K176" s="48" t="s">
        <v>14</v>
      </c>
      <c r="L176" s="26" t="s">
        <v>14</v>
      </c>
      <c r="M176" s="26" t="s">
        <v>202</v>
      </c>
      <c r="N176" s="26">
        <v>2026</v>
      </c>
    </row>
    <row r="177" spans="1:14">
      <c r="A177" s="26">
        <v>176</v>
      </c>
      <c r="B177" s="26" t="s">
        <v>42</v>
      </c>
      <c r="C177" s="26" t="s">
        <v>44</v>
      </c>
      <c r="D177" s="26" t="s">
        <v>19</v>
      </c>
      <c r="E177" s="26" t="s">
        <v>85</v>
      </c>
      <c r="F177" s="26"/>
      <c r="G177" s="26" t="s">
        <v>87</v>
      </c>
      <c r="H177" s="26" t="s">
        <v>278</v>
      </c>
      <c r="I177" s="53">
        <v>203.53639597315436</v>
      </c>
      <c r="J177" s="26" t="s">
        <v>14</v>
      </c>
      <c r="K177" s="48" t="s">
        <v>14</v>
      </c>
      <c r="L177" s="26" t="s">
        <v>14</v>
      </c>
      <c r="M177" s="26" t="s">
        <v>202</v>
      </c>
      <c r="N177" s="26">
        <v>2026</v>
      </c>
    </row>
    <row r="178" spans="1:14">
      <c r="A178" s="26">
        <v>177</v>
      </c>
      <c r="B178" s="26" t="s">
        <v>42</v>
      </c>
      <c r="C178" s="77" t="s">
        <v>46</v>
      </c>
      <c r="D178" s="26" t="s">
        <v>19</v>
      </c>
      <c r="E178" s="26" t="s">
        <v>85</v>
      </c>
      <c r="F178" s="26"/>
      <c r="G178" s="26" t="s">
        <v>86</v>
      </c>
      <c r="H178" s="49" t="s">
        <v>255</v>
      </c>
      <c r="I178" s="50">
        <v>165.20391946308726</v>
      </c>
      <c r="J178" s="26" t="s">
        <v>14</v>
      </c>
      <c r="K178" s="48" t="s">
        <v>14</v>
      </c>
      <c r="L178" s="67" t="s">
        <v>14</v>
      </c>
      <c r="M178" s="26" t="s">
        <v>202</v>
      </c>
      <c r="N178" s="26">
        <v>2026</v>
      </c>
    </row>
    <row r="179" spans="1:14">
      <c r="A179" s="26">
        <v>178</v>
      </c>
      <c r="B179" s="26" t="s">
        <v>42</v>
      </c>
      <c r="C179" s="26" t="s">
        <v>50</v>
      </c>
      <c r="D179" s="26" t="s">
        <v>60</v>
      </c>
      <c r="E179" s="26" t="s">
        <v>70</v>
      </c>
      <c r="F179" s="26"/>
      <c r="G179" s="26" t="s">
        <v>268</v>
      </c>
      <c r="H179" s="26" t="s">
        <v>115</v>
      </c>
      <c r="I179" s="53">
        <v>143669.75476839236</v>
      </c>
      <c r="J179" s="101" t="s">
        <v>14</v>
      </c>
      <c r="K179" s="48" t="s">
        <v>14</v>
      </c>
      <c r="L179" s="26">
        <v>2026400276</v>
      </c>
      <c r="M179" s="98" t="s">
        <v>202</v>
      </c>
      <c r="N179" s="26">
        <v>2026</v>
      </c>
    </row>
    <row r="180" spans="1:14">
      <c r="A180" s="26">
        <v>179</v>
      </c>
      <c r="B180" s="26" t="s">
        <v>52</v>
      </c>
      <c r="C180" s="26" t="s">
        <v>62</v>
      </c>
      <c r="D180" s="26" t="s">
        <v>60</v>
      </c>
      <c r="E180" s="26" t="s">
        <v>70</v>
      </c>
      <c r="F180" s="26"/>
      <c r="G180" s="26" t="s">
        <v>268</v>
      </c>
      <c r="H180" s="26" t="s">
        <v>115</v>
      </c>
      <c r="I180" s="53">
        <v>125535.81471389646</v>
      </c>
      <c r="J180" s="26" t="s">
        <v>14</v>
      </c>
      <c r="K180" s="48" t="s">
        <v>14</v>
      </c>
      <c r="L180" s="26" t="s">
        <v>14</v>
      </c>
      <c r="M180" s="98" t="s">
        <v>202</v>
      </c>
      <c r="N180" s="26">
        <v>2026</v>
      </c>
    </row>
    <row r="181" spans="1:14">
      <c r="A181" s="26">
        <v>180</v>
      </c>
      <c r="B181" s="67" t="s">
        <v>42</v>
      </c>
      <c r="C181" s="26" t="s">
        <v>50</v>
      </c>
      <c r="D181" s="26" t="s">
        <v>60</v>
      </c>
      <c r="E181" s="26" t="s">
        <v>70</v>
      </c>
      <c r="F181" s="26"/>
      <c r="G181" s="26" t="s">
        <v>268</v>
      </c>
      <c r="H181" s="26" t="s">
        <v>115</v>
      </c>
      <c r="I181" s="53">
        <v>71534.059945504094</v>
      </c>
      <c r="J181" s="101" t="s">
        <v>14</v>
      </c>
      <c r="K181" s="48" t="s">
        <v>14</v>
      </c>
      <c r="L181" s="26" t="s">
        <v>14</v>
      </c>
      <c r="M181" s="98" t="s">
        <v>202</v>
      </c>
      <c r="N181" s="26">
        <v>2026</v>
      </c>
    </row>
    <row r="182" spans="1:14">
      <c r="A182" s="26">
        <v>181</v>
      </c>
      <c r="B182" s="54" t="s">
        <v>52</v>
      </c>
      <c r="C182" s="76" t="s">
        <v>62</v>
      </c>
      <c r="D182" s="100" t="s">
        <v>60</v>
      </c>
      <c r="E182" s="26" t="s">
        <v>70</v>
      </c>
      <c r="F182" s="26"/>
      <c r="G182" s="26" t="s">
        <v>116</v>
      </c>
      <c r="H182" s="26" t="s">
        <v>269</v>
      </c>
      <c r="I182" s="53">
        <v>71200</v>
      </c>
      <c r="J182" s="26" t="s">
        <v>509</v>
      </c>
      <c r="K182" s="48">
        <v>46061</v>
      </c>
      <c r="L182" s="26">
        <v>2026400399</v>
      </c>
      <c r="M182" s="26" t="s">
        <v>202</v>
      </c>
      <c r="N182" s="26">
        <v>2026</v>
      </c>
    </row>
    <row r="183" spans="1:14">
      <c r="A183" s="26">
        <v>182</v>
      </c>
      <c r="B183" s="63" t="s">
        <v>42</v>
      </c>
      <c r="C183" s="26" t="s">
        <v>50</v>
      </c>
      <c r="D183" s="26" t="s">
        <v>60</v>
      </c>
      <c r="E183" s="57" t="s">
        <v>70</v>
      </c>
      <c r="F183" s="26"/>
      <c r="G183" s="26" t="s">
        <v>226</v>
      </c>
      <c r="H183" s="49" t="s">
        <v>233</v>
      </c>
      <c r="I183" s="53">
        <v>51817</v>
      </c>
      <c r="J183" s="26" t="s">
        <v>504</v>
      </c>
      <c r="K183" s="48">
        <v>46055</v>
      </c>
      <c r="L183" s="26">
        <v>2026400030</v>
      </c>
      <c r="M183" s="26" t="s">
        <v>202</v>
      </c>
      <c r="N183" s="26">
        <v>2026</v>
      </c>
    </row>
    <row r="184" spans="1:14">
      <c r="A184" s="26">
        <v>183</v>
      </c>
      <c r="B184" s="54" t="s">
        <v>52</v>
      </c>
      <c r="C184" s="54" t="s">
        <v>62</v>
      </c>
      <c r="D184" s="100" t="s">
        <v>60</v>
      </c>
      <c r="E184" s="26" t="s">
        <v>70</v>
      </c>
      <c r="F184" s="26"/>
      <c r="G184" s="26" t="s">
        <v>116</v>
      </c>
      <c r="H184" s="26" t="s">
        <v>269</v>
      </c>
      <c r="I184" s="53">
        <v>33200</v>
      </c>
      <c r="J184" s="26" t="s">
        <v>534</v>
      </c>
      <c r="K184" s="48">
        <v>46075</v>
      </c>
      <c r="L184" s="26">
        <v>2026400585</v>
      </c>
      <c r="M184" s="26" t="s">
        <v>202</v>
      </c>
      <c r="N184" s="26">
        <v>2026</v>
      </c>
    </row>
    <row r="185" spans="1:14">
      <c r="A185" s="26">
        <v>184</v>
      </c>
      <c r="B185" s="26" t="s">
        <v>52</v>
      </c>
      <c r="C185" s="26" t="s">
        <v>62</v>
      </c>
      <c r="D185" s="26" t="s">
        <v>60</v>
      </c>
      <c r="E185" s="26" t="s">
        <v>70</v>
      </c>
      <c r="F185" s="26"/>
      <c r="G185" s="26" t="s">
        <v>268</v>
      </c>
      <c r="H185" s="26" t="s">
        <v>115</v>
      </c>
      <c r="I185" s="53">
        <v>27652.043596730247</v>
      </c>
      <c r="J185" s="26" t="s">
        <v>14</v>
      </c>
      <c r="K185" s="48" t="s">
        <v>14</v>
      </c>
      <c r="L185" s="26">
        <v>2025404329</v>
      </c>
      <c r="M185" s="98" t="s">
        <v>202</v>
      </c>
      <c r="N185" s="26">
        <v>2026</v>
      </c>
    </row>
    <row r="186" spans="1:14">
      <c r="A186" s="26">
        <v>185</v>
      </c>
      <c r="B186" s="44" t="s">
        <v>17</v>
      </c>
      <c r="C186" s="26" t="s">
        <v>25</v>
      </c>
      <c r="D186" s="26" t="s">
        <v>60</v>
      </c>
      <c r="E186" s="26" t="s">
        <v>70</v>
      </c>
      <c r="F186" s="26"/>
      <c r="G186" s="26" t="s">
        <v>227</v>
      </c>
      <c r="H186" s="44" t="s">
        <v>269</v>
      </c>
      <c r="I186" s="46">
        <v>14365</v>
      </c>
      <c r="J186" s="26" t="s">
        <v>576</v>
      </c>
      <c r="K186" s="48">
        <v>46050</v>
      </c>
      <c r="L186" s="26">
        <v>2026400375</v>
      </c>
      <c r="M186" s="26" t="s">
        <v>202</v>
      </c>
      <c r="N186" s="26">
        <v>2026</v>
      </c>
    </row>
    <row r="187" spans="1:14">
      <c r="A187" s="26">
        <v>186</v>
      </c>
      <c r="B187" s="26" t="s">
        <v>54</v>
      </c>
      <c r="C187" s="76" t="s">
        <v>55</v>
      </c>
      <c r="D187" s="100" t="s">
        <v>60</v>
      </c>
      <c r="E187" s="26" t="s">
        <v>70</v>
      </c>
      <c r="F187" s="26"/>
      <c r="G187" s="26" t="s">
        <v>402</v>
      </c>
      <c r="H187" s="26" t="s">
        <v>114</v>
      </c>
      <c r="I187" s="53">
        <v>14093.959731543624</v>
      </c>
      <c r="J187" s="26" t="s">
        <v>420</v>
      </c>
      <c r="K187" s="48">
        <v>46055</v>
      </c>
      <c r="L187" s="26">
        <v>2026400593</v>
      </c>
      <c r="M187" s="26" t="s">
        <v>202</v>
      </c>
      <c r="N187" s="26">
        <v>2026</v>
      </c>
    </row>
    <row r="188" spans="1:14">
      <c r="A188" s="26">
        <v>187</v>
      </c>
      <c r="B188" s="45" t="s">
        <v>42</v>
      </c>
      <c r="C188" s="26" t="s">
        <v>257</v>
      </c>
      <c r="D188" s="100" t="s">
        <v>60</v>
      </c>
      <c r="E188" s="26" t="s">
        <v>70</v>
      </c>
      <c r="F188" s="26"/>
      <c r="G188" s="45" t="s">
        <v>116</v>
      </c>
      <c r="H188" s="45" t="s">
        <v>269</v>
      </c>
      <c r="I188" s="53">
        <v>13950</v>
      </c>
      <c r="J188" s="26">
        <v>490</v>
      </c>
      <c r="K188" s="48">
        <v>46061</v>
      </c>
      <c r="L188" s="26">
        <v>2026400398</v>
      </c>
      <c r="M188" s="26" t="s">
        <v>202</v>
      </c>
      <c r="N188" s="26">
        <v>2026</v>
      </c>
    </row>
    <row r="189" spans="1:14">
      <c r="A189" s="26">
        <v>188</v>
      </c>
      <c r="B189" s="26" t="s">
        <v>17</v>
      </c>
      <c r="C189" s="26" t="s">
        <v>18</v>
      </c>
      <c r="D189" s="26" t="s">
        <v>60</v>
      </c>
      <c r="E189" s="26" t="s">
        <v>70</v>
      </c>
      <c r="F189" s="26"/>
      <c r="G189" s="26" t="s">
        <v>289</v>
      </c>
      <c r="H189" s="26" t="s">
        <v>115</v>
      </c>
      <c r="I189" s="50">
        <v>13708.053691275169</v>
      </c>
      <c r="J189" s="26" t="s">
        <v>421</v>
      </c>
      <c r="K189" s="48">
        <v>46064</v>
      </c>
      <c r="L189" s="51">
        <v>2026400643</v>
      </c>
      <c r="M189" s="26" t="s">
        <v>202</v>
      </c>
      <c r="N189" s="26">
        <v>2026</v>
      </c>
    </row>
    <row r="190" spans="1:14">
      <c r="A190" s="26">
        <v>189</v>
      </c>
      <c r="B190" s="26" t="s">
        <v>17</v>
      </c>
      <c r="C190" s="26" t="s">
        <v>25</v>
      </c>
      <c r="D190" s="100" t="s">
        <v>60</v>
      </c>
      <c r="E190" s="26" t="s">
        <v>70</v>
      </c>
      <c r="F190" s="26"/>
      <c r="G190" s="26" t="s">
        <v>116</v>
      </c>
      <c r="H190" s="26" t="s">
        <v>269</v>
      </c>
      <c r="I190" s="53">
        <v>13696.5</v>
      </c>
      <c r="J190" s="55" t="s">
        <v>528</v>
      </c>
      <c r="K190" s="48">
        <v>46065</v>
      </c>
      <c r="L190" s="26">
        <v>2025403470</v>
      </c>
      <c r="M190" s="26" t="s">
        <v>202</v>
      </c>
      <c r="N190" s="26">
        <v>2026</v>
      </c>
    </row>
    <row r="191" spans="1:14">
      <c r="A191" s="26">
        <v>190</v>
      </c>
      <c r="B191" s="26" t="s">
        <v>52</v>
      </c>
      <c r="C191" s="26" t="s">
        <v>62</v>
      </c>
      <c r="D191" s="26" t="s">
        <v>60</v>
      </c>
      <c r="E191" s="26" t="s">
        <v>70</v>
      </c>
      <c r="F191" s="26"/>
      <c r="G191" s="26" t="s">
        <v>268</v>
      </c>
      <c r="H191" s="26" t="s">
        <v>115</v>
      </c>
      <c r="I191" s="53">
        <v>12777.929155313352</v>
      </c>
      <c r="J191" s="101" t="s">
        <v>531</v>
      </c>
      <c r="K191" s="48">
        <v>46061</v>
      </c>
      <c r="L191" s="26">
        <v>2025404041</v>
      </c>
      <c r="M191" s="98" t="s">
        <v>202</v>
      </c>
      <c r="N191" s="26">
        <v>2026</v>
      </c>
    </row>
    <row r="192" spans="1:14">
      <c r="A192" s="26">
        <v>191</v>
      </c>
      <c r="B192" s="45" t="s">
        <v>42</v>
      </c>
      <c r="C192" s="76" t="s">
        <v>43</v>
      </c>
      <c r="D192" s="26" t="s">
        <v>60</v>
      </c>
      <c r="E192" s="26" t="s">
        <v>70</v>
      </c>
      <c r="F192" s="26"/>
      <c r="G192" s="26" t="s">
        <v>290</v>
      </c>
      <c r="H192" s="26" t="s">
        <v>243</v>
      </c>
      <c r="I192" s="53">
        <v>11409.395973154362</v>
      </c>
      <c r="J192" s="48" t="s">
        <v>422</v>
      </c>
      <c r="K192" s="48">
        <v>46075</v>
      </c>
      <c r="L192" s="51">
        <v>2026400705</v>
      </c>
      <c r="M192" s="26" t="s">
        <v>202</v>
      </c>
      <c r="N192" s="26">
        <v>2026</v>
      </c>
    </row>
    <row r="193" spans="1:14">
      <c r="A193" s="26">
        <v>192</v>
      </c>
      <c r="B193" s="26" t="s">
        <v>17</v>
      </c>
      <c r="C193" s="26" t="s">
        <v>18</v>
      </c>
      <c r="D193" s="100" t="s">
        <v>60</v>
      </c>
      <c r="E193" s="57" t="s">
        <v>70</v>
      </c>
      <c r="F193" s="26"/>
      <c r="G193" s="26" t="s">
        <v>262</v>
      </c>
      <c r="H193" s="26" t="s">
        <v>243</v>
      </c>
      <c r="I193" s="53">
        <v>11220.469798657718</v>
      </c>
      <c r="J193" s="26" t="s">
        <v>423</v>
      </c>
      <c r="K193" s="48">
        <v>46065</v>
      </c>
      <c r="L193" s="26">
        <v>2026400642</v>
      </c>
      <c r="M193" s="26" t="s">
        <v>202</v>
      </c>
      <c r="N193" s="26">
        <v>2026</v>
      </c>
    </row>
    <row r="194" spans="1:14">
      <c r="A194" s="26">
        <v>193</v>
      </c>
      <c r="B194" s="45" t="s">
        <v>17</v>
      </c>
      <c r="C194" s="26" t="s">
        <v>22</v>
      </c>
      <c r="D194" s="100" t="s">
        <v>60</v>
      </c>
      <c r="E194" s="26" t="s">
        <v>70</v>
      </c>
      <c r="F194" s="26"/>
      <c r="G194" s="45" t="s">
        <v>116</v>
      </c>
      <c r="H194" s="45" t="s">
        <v>269</v>
      </c>
      <c r="I194" s="53">
        <v>9050</v>
      </c>
      <c r="J194" s="26" t="s">
        <v>526</v>
      </c>
      <c r="K194" s="48">
        <v>46064</v>
      </c>
      <c r="L194" s="26">
        <v>2026400479</v>
      </c>
      <c r="M194" s="26" t="s">
        <v>202</v>
      </c>
      <c r="N194" s="26">
        <v>2026</v>
      </c>
    </row>
    <row r="195" spans="1:14">
      <c r="A195" s="26">
        <v>194</v>
      </c>
      <c r="B195" s="63" t="s">
        <v>52</v>
      </c>
      <c r="C195" s="26" t="s">
        <v>62</v>
      </c>
      <c r="D195" s="26" t="s">
        <v>60</v>
      </c>
      <c r="E195" s="26" t="s">
        <v>70</v>
      </c>
      <c r="F195" s="26"/>
      <c r="G195" s="26" t="s">
        <v>417</v>
      </c>
      <c r="H195" s="49" t="s">
        <v>115</v>
      </c>
      <c r="I195" s="50">
        <v>8698</v>
      </c>
      <c r="J195" s="26" t="s">
        <v>508</v>
      </c>
      <c r="K195" s="48">
        <v>46061</v>
      </c>
      <c r="L195" s="26">
        <v>2026400441</v>
      </c>
      <c r="M195" s="26" t="s">
        <v>202</v>
      </c>
      <c r="N195" s="26">
        <v>2026</v>
      </c>
    </row>
    <row r="196" spans="1:14">
      <c r="A196" s="26">
        <v>195</v>
      </c>
      <c r="B196" s="26" t="s">
        <v>42</v>
      </c>
      <c r="C196" s="48" t="s">
        <v>50</v>
      </c>
      <c r="D196" s="26" t="s">
        <v>60</v>
      </c>
      <c r="E196" s="26" t="s">
        <v>70</v>
      </c>
      <c r="F196" s="26"/>
      <c r="G196" s="26" t="s">
        <v>286</v>
      </c>
      <c r="H196" s="49" t="s">
        <v>115</v>
      </c>
      <c r="I196" s="50">
        <v>8617</v>
      </c>
      <c r="J196" s="26" t="s">
        <v>510</v>
      </c>
      <c r="K196" s="48">
        <v>46061</v>
      </c>
      <c r="L196" s="51">
        <v>2026400431</v>
      </c>
      <c r="M196" s="26" t="s">
        <v>202</v>
      </c>
      <c r="N196" s="26">
        <v>2026</v>
      </c>
    </row>
    <row r="197" spans="1:14">
      <c r="A197" s="26">
        <v>196</v>
      </c>
      <c r="B197" s="63" t="s">
        <v>42</v>
      </c>
      <c r="C197" s="76" t="s">
        <v>45</v>
      </c>
      <c r="D197" s="26" t="s">
        <v>60</v>
      </c>
      <c r="E197" s="26" t="s">
        <v>70</v>
      </c>
      <c r="F197" s="26"/>
      <c r="G197" s="26" t="s">
        <v>227</v>
      </c>
      <c r="H197" s="26" t="s">
        <v>269</v>
      </c>
      <c r="I197" s="53">
        <v>7970</v>
      </c>
      <c r="J197" s="26" t="s">
        <v>546</v>
      </c>
      <c r="K197" s="48">
        <v>46062</v>
      </c>
      <c r="L197" s="26">
        <v>2026400532</v>
      </c>
      <c r="M197" s="26" t="s">
        <v>202</v>
      </c>
      <c r="N197" s="26">
        <v>2026</v>
      </c>
    </row>
    <row r="198" spans="1:14">
      <c r="A198" s="26">
        <v>197</v>
      </c>
      <c r="B198" s="63" t="s">
        <v>54</v>
      </c>
      <c r="C198" s="26" t="s">
        <v>55</v>
      </c>
      <c r="D198" s="26" t="s">
        <v>60</v>
      </c>
      <c r="E198" s="26" t="s">
        <v>70</v>
      </c>
      <c r="F198" s="26"/>
      <c r="G198" s="26" t="s">
        <v>226</v>
      </c>
      <c r="H198" s="26" t="s">
        <v>233</v>
      </c>
      <c r="I198" s="53">
        <v>7800</v>
      </c>
      <c r="J198" s="26" t="s">
        <v>556</v>
      </c>
      <c r="K198" s="48">
        <v>46068</v>
      </c>
      <c r="L198" s="26">
        <v>2026400374</v>
      </c>
      <c r="M198" s="26" t="s">
        <v>202</v>
      </c>
      <c r="N198" s="26">
        <v>2026</v>
      </c>
    </row>
    <row r="199" spans="1:14">
      <c r="A199" s="26">
        <v>198</v>
      </c>
      <c r="B199" s="63" t="s">
        <v>54</v>
      </c>
      <c r="C199" s="26" t="s">
        <v>93</v>
      </c>
      <c r="D199" s="26" t="s">
        <v>60</v>
      </c>
      <c r="E199" s="26" t="s">
        <v>70</v>
      </c>
      <c r="F199" s="26"/>
      <c r="G199" s="26" t="s">
        <v>230</v>
      </c>
      <c r="H199" s="100" t="s">
        <v>690</v>
      </c>
      <c r="I199" s="53">
        <v>7214.7651006711412</v>
      </c>
      <c r="J199" s="26" t="s">
        <v>424</v>
      </c>
      <c r="K199" s="48">
        <v>46061</v>
      </c>
      <c r="L199" s="26">
        <v>2026400496</v>
      </c>
      <c r="M199" s="26" t="s">
        <v>202</v>
      </c>
      <c r="N199" s="26">
        <v>2026</v>
      </c>
    </row>
    <row r="200" spans="1:14">
      <c r="A200" s="26">
        <v>199</v>
      </c>
      <c r="B200" s="26" t="s">
        <v>54</v>
      </c>
      <c r="C200" s="100" t="s">
        <v>55</v>
      </c>
      <c r="D200" s="100" t="s">
        <v>60</v>
      </c>
      <c r="E200" s="26" t="s">
        <v>70</v>
      </c>
      <c r="F200" s="26"/>
      <c r="G200" s="26" t="s">
        <v>231</v>
      </c>
      <c r="H200" s="26" t="s">
        <v>234</v>
      </c>
      <c r="I200" s="53">
        <v>7014.7651006711412</v>
      </c>
      <c r="J200" s="26" t="s">
        <v>425</v>
      </c>
      <c r="K200" s="48">
        <v>46063</v>
      </c>
      <c r="L200" s="26">
        <v>2026400590</v>
      </c>
      <c r="M200" s="26" t="s">
        <v>202</v>
      </c>
      <c r="N200" s="26">
        <v>2026</v>
      </c>
    </row>
    <row r="201" spans="1:14">
      <c r="A201" s="26">
        <v>200</v>
      </c>
      <c r="B201" s="26" t="s">
        <v>42</v>
      </c>
      <c r="C201" s="48" t="s">
        <v>43</v>
      </c>
      <c r="D201" s="26" t="s">
        <v>60</v>
      </c>
      <c r="E201" s="26" t="s">
        <v>70</v>
      </c>
      <c r="F201" s="26"/>
      <c r="G201" s="26" t="s">
        <v>289</v>
      </c>
      <c r="H201" s="49" t="s">
        <v>115</v>
      </c>
      <c r="I201" s="50">
        <v>5838.9261744966443</v>
      </c>
      <c r="J201" s="26" t="s">
        <v>426</v>
      </c>
      <c r="K201" s="48">
        <v>46074</v>
      </c>
      <c r="L201" s="51">
        <v>2026400806</v>
      </c>
      <c r="M201" s="26" t="s">
        <v>202</v>
      </c>
      <c r="N201" s="26">
        <v>2026</v>
      </c>
    </row>
    <row r="202" spans="1:14">
      <c r="A202" s="26">
        <v>201</v>
      </c>
      <c r="B202" s="26" t="s">
        <v>54</v>
      </c>
      <c r="C202" s="100" t="s">
        <v>55</v>
      </c>
      <c r="D202" s="100" t="s">
        <v>60</v>
      </c>
      <c r="E202" s="26" t="s">
        <v>70</v>
      </c>
      <c r="F202" s="26"/>
      <c r="G202" s="26" t="s">
        <v>231</v>
      </c>
      <c r="H202" s="26" t="s">
        <v>234</v>
      </c>
      <c r="I202" s="53">
        <v>5444.2953020134228</v>
      </c>
      <c r="J202" s="26" t="s">
        <v>427</v>
      </c>
      <c r="K202" s="48">
        <v>46054</v>
      </c>
      <c r="L202" s="26">
        <v>2026400444</v>
      </c>
      <c r="M202" s="26" t="s">
        <v>202</v>
      </c>
      <c r="N202" s="26">
        <v>2026</v>
      </c>
    </row>
    <row r="203" spans="1:14">
      <c r="A203" s="26">
        <v>202</v>
      </c>
      <c r="B203" s="26" t="s">
        <v>52</v>
      </c>
      <c r="C203" s="100" t="s">
        <v>62</v>
      </c>
      <c r="D203" s="100" t="s">
        <v>60</v>
      </c>
      <c r="E203" s="26" t="s">
        <v>70</v>
      </c>
      <c r="F203" s="26"/>
      <c r="G203" s="26" t="s">
        <v>231</v>
      </c>
      <c r="H203" s="26" t="s">
        <v>234</v>
      </c>
      <c r="I203" s="53">
        <v>5444.2953020134228</v>
      </c>
      <c r="J203" s="26" t="s">
        <v>428</v>
      </c>
      <c r="K203" s="48">
        <v>46068</v>
      </c>
      <c r="L203" s="26">
        <v>2026400504</v>
      </c>
      <c r="M203" s="26" t="s">
        <v>202</v>
      </c>
      <c r="N203" s="26">
        <v>2026</v>
      </c>
    </row>
    <row r="204" spans="1:14">
      <c r="A204" s="26">
        <v>203</v>
      </c>
      <c r="B204" s="63" t="s">
        <v>52</v>
      </c>
      <c r="C204" s="26" t="s">
        <v>62</v>
      </c>
      <c r="D204" s="26" t="s">
        <v>60</v>
      </c>
      <c r="E204" s="57" t="s">
        <v>70</v>
      </c>
      <c r="F204" s="26"/>
      <c r="G204" s="26" t="s">
        <v>113</v>
      </c>
      <c r="H204" s="100" t="s">
        <v>114</v>
      </c>
      <c r="I204" s="53">
        <v>5362.4161073825508</v>
      </c>
      <c r="J204" s="26" t="s">
        <v>429</v>
      </c>
      <c r="K204" s="48">
        <v>46076</v>
      </c>
      <c r="L204" s="26">
        <v>2026400219</v>
      </c>
      <c r="M204" s="26" t="s">
        <v>202</v>
      </c>
      <c r="N204" s="26">
        <v>2026</v>
      </c>
    </row>
    <row r="205" spans="1:14">
      <c r="A205" s="26">
        <v>204</v>
      </c>
      <c r="B205" s="63" t="s">
        <v>17</v>
      </c>
      <c r="C205" s="26" t="s">
        <v>22</v>
      </c>
      <c r="D205" s="26" t="s">
        <v>60</v>
      </c>
      <c r="E205" s="26" t="s">
        <v>70</v>
      </c>
      <c r="F205" s="26"/>
      <c r="G205" s="26" t="s">
        <v>227</v>
      </c>
      <c r="H205" s="26" t="s">
        <v>269</v>
      </c>
      <c r="I205" s="53">
        <v>5360</v>
      </c>
      <c r="J205" s="26" t="s">
        <v>544</v>
      </c>
      <c r="K205" s="48">
        <v>46070</v>
      </c>
      <c r="L205" s="26">
        <v>2026400618</v>
      </c>
      <c r="M205" s="26" t="s">
        <v>202</v>
      </c>
      <c r="N205" s="26">
        <v>2026</v>
      </c>
    </row>
    <row r="206" spans="1:14">
      <c r="A206" s="26">
        <v>205</v>
      </c>
      <c r="B206" s="63" t="s">
        <v>42</v>
      </c>
      <c r="C206" s="26" t="s">
        <v>257</v>
      </c>
      <c r="D206" s="26" t="s">
        <v>60</v>
      </c>
      <c r="E206" s="26" t="s">
        <v>70</v>
      </c>
      <c r="F206" s="26"/>
      <c r="G206" s="26" t="s">
        <v>227</v>
      </c>
      <c r="H206" s="26" t="s">
        <v>269</v>
      </c>
      <c r="I206" s="46">
        <v>5238</v>
      </c>
      <c r="J206" s="26" t="s">
        <v>560</v>
      </c>
      <c r="K206" s="48">
        <v>46069</v>
      </c>
      <c r="L206" s="26">
        <v>2026400613</v>
      </c>
      <c r="M206" s="26" t="s">
        <v>202</v>
      </c>
      <c r="N206" s="26">
        <v>2026</v>
      </c>
    </row>
    <row r="207" spans="1:14">
      <c r="A207" s="26">
        <v>206</v>
      </c>
      <c r="B207" s="26" t="s">
        <v>33</v>
      </c>
      <c r="C207" s="77" t="s">
        <v>34</v>
      </c>
      <c r="D207" s="26" t="s">
        <v>60</v>
      </c>
      <c r="E207" s="26" t="s">
        <v>70</v>
      </c>
      <c r="F207" s="26"/>
      <c r="G207" s="26" t="s">
        <v>403</v>
      </c>
      <c r="H207" s="49" t="s">
        <v>691</v>
      </c>
      <c r="I207" s="50">
        <v>4664.4295302013425</v>
      </c>
      <c r="J207" s="26" t="s">
        <v>430</v>
      </c>
      <c r="K207" s="48">
        <v>46073</v>
      </c>
      <c r="L207" s="51">
        <v>2025400651</v>
      </c>
      <c r="M207" s="26" t="s">
        <v>202</v>
      </c>
      <c r="N207" s="26">
        <v>2026</v>
      </c>
    </row>
    <row r="208" spans="1:14">
      <c r="A208" s="26">
        <v>207</v>
      </c>
      <c r="B208" s="26" t="s">
        <v>42</v>
      </c>
      <c r="C208" s="47" t="s">
        <v>43</v>
      </c>
      <c r="D208" s="26" t="s">
        <v>60</v>
      </c>
      <c r="E208" s="26" t="s">
        <v>70</v>
      </c>
      <c r="F208" s="26"/>
      <c r="G208" s="26" t="s">
        <v>403</v>
      </c>
      <c r="H208" s="49" t="s">
        <v>691</v>
      </c>
      <c r="I208" s="53">
        <v>4664.4295302013425</v>
      </c>
      <c r="J208" s="26" t="s">
        <v>431</v>
      </c>
      <c r="K208" s="48">
        <v>46078</v>
      </c>
      <c r="L208" s="51">
        <v>2026403333</v>
      </c>
      <c r="M208" s="26" t="s">
        <v>202</v>
      </c>
      <c r="N208" s="26">
        <v>2026</v>
      </c>
    </row>
    <row r="209" spans="1:14">
      <c r="A209" s="26">
        <v>208</v>
      </c>
      <c r="B209" s="26" t="s">
        <v>17</v>
      </c>
      <c r="C209" s="26" t="s">
        <v>25</v>
      </c>
      <c r="D209" s="26" t="s">
        <v>60</v>
      </c>
      <c r="E209" s="26" t="s">
        <v>70</v>
      </c>
      <c r="F209" s="26"/>
      <c r="G209" s="26" t="s">
        <v>121</v>
      </c>
      <c r="H209" s="26" t="s">
        <v>115</v>
      </c>
      <c r="I209" s="53">
        <v>4650.2</v>
      </c>
      <c r="J209" s="26" t="s">
        <v>552</v>
      </c>
      <c r="K209" s="48">
        <v>46075</v>
      </c>
      <c r="L209" s="26">
        <v>2026400422</v>
      </c>
      <c r="M209" s="26" t="s">
        <v>202</v>
      </c>
      <c r="N209" s="26">
        <v>2026</v>
      </c>
    </row>
    <row r="210" spans="1:14">
      <c r="A210" s="26">
        <v>209</v>
      </c>
      <c r="B210" s="26" t="s">
        <v>52</v>
      </c>
      <c r="C210" s="26" t="s">
        <v>62</v>
      </c>
      <c r="D210" s="100" t="s">
        <v>60</v>
      </c>
      <c r="E210" s="26" t="s">
        <v>70</v>
      </c>
      <c r="F210" s="26"/>
      <c r="G210" s="26" t="s">
        <v>116</v>
      </c>
      <c r="H210" s="26" t="s">
        <v>269</v>
      </c>
      <c r="I210" s="53">
        <v>4627.8</v>
      </c>
      <c r="J210" s="26" t="s">
        <v>533</v>
      </c>
      <c r="K210" s="48">
        <v>46072</v>
      </c>
      <c r="L210" s="26">
        <v>2026400476</v>
      </c>
      <c r="M210" s="26" t="s">
        <v>202</v>
      </c>
      <c r="N210" s="26">
        <v>2026</v>
      </c>
    </row>
    <row r="211" spans="1:14">
      <c r="A211" s="26">
        <v>210</v>
      </c>
      <c r="B211" s="26" t="s">
        <v>52</v>
      </c>
      <c r="C211" s="26" t="s">
        <v>62</v>
      </c>
      <c r="D211" s="26" t="s">
        <v>60</v>
      </c>
      <c r="E211" s="26" t="s">
        <v>70</v>
      </c>
      <c r="F211" s="26"/>
      <c r="G211" s="26" t="s">
        <v>268</v>
      </c>
      <c r="H211" s="26" t="s">
        <v>115</v>
      </c>
      <c r="I211" s="53">
        <v>4340.0544959128065</v>
      </c>
      <c r="J211" s="26" t="s">
        <v>14</v>
      </c>
      <c r="K211" s="48" t="s">
        <v>14</v>
      </c>
      <c r="L211" s="26">
        <v>2025404329</v>
      </c>
      <c r="M211" s="98" t="s">
        <v>202</v>
      </c>
      <c r="N211" s="26">
        <v>2026</v>
      </c>
    </row>
    <row r="212" spans="1:14">
      <c r="A212" s="26">
        <v>211</v>
      </c>
      <c r="B212" s="26" t="s">
        <v>42</v>
      </c>
      <c r="C212" s="26" t="s">
        <v>47</v>
      </c>
      <c r="D212" s="100" t="s">
        <v>60</v>
      </c>
      <c r="E212" s="57" t="s">
        <v>70</v>
      </c>
      <c r="F212" s="26"/>
      <c r="G212" s="26" t="s">
        <v>116</v>
      </c>
      <c r="H212" s="26" t="s">
        <v>269</v>
      </c>
      <c r="I212" s="53">
        <v>4260</v>
      </c>
      <c r="J212" s="26" t="s">
        <v>620</v>
      </c>
      <c r="K212" s="48">
        <v>46079</v>
      </c>
      <c r="L212" s="26">
        <v>2026400673</v>
      </c>
      <c r="M212" s="26" t="s">
        <v>202</v>
      </c>
      <c r="N212" s="26">
        <v>2026</v>
      </c>
    </row>
    <row r="213" spans="1:14">
      <c r="A213" s="26">
        <v>212</v>
      </c>
      <c r="B213" s="26" t="s">
        <v>17</v>
      </c>
      <c r="C213" s="100" t="s">
        <v>25</v>
      </c>
      <c r="D213" s="100" t="s">
        <v>60</v>
      </c>
      <c r="E213" s="26" t="s">
        <v>70</v>
      </c>
      <c r="F213" s="26"/>
      <c r="G213" s="26" t="s">
        <v>231</v>
      </c>
      <c r="H213" s="26" t="s">
        <v>234</v>
      </c>
      <c r="I213" s="53">
        <v>3926.1744966442952</v>
      </c>
      <c r="J213" s="26" t="s">
        <v>432</v>
      </c>
      <c r="K213" s="48">
        <v>46050</v>
      </c>
      <c r="L213" s="26">
        <v>2026400507</v>
      </c>
      <c r="M213" s="26" t="s">
        <v>202</v>
      </c>
      <c r="N213" s="26">
        <v>2026</v>
      </c>
    </row>
    <row r="214" spans="1:14">
      <c r="A214" s="26">
        <v>213</v>
      </c>
      <c r="B214" s="26" t="s">
        <v>42</v>
      </c>
      <c r="C214" s="100" t="s">
        <v>50</v>
      </c>
      <c r="D214" s="100" t="s">
        <v>60</v>
      </c>
      <c r="E214" s="57" t="s">
        <v>70</v>
      </c>
      <c r="F214" s="26"/>
      <c r="G214" s="26" t="s">
        <v>231</v>
      </c>
      <c r="H214" s="26" t="s">
        <v>234</v>
      </c>
      <c r="I214" s="53">
        <v>3926.1744966442952</v>
      </c>
      <c r="J214" s="26" t="s">
        <v>433</v>
      </c>
      <c r="K214" s="48">
        <v>46068</v>
      </c>
      <c r="L214" s="26">
        <v>2026400600</v>
      </c>
      <c r="M214" s="26" t="s">
        <v>202</v>
      </c>
      <c r="N214" s="26">
        <v>2026</v>
      </c>
    </row>
    <row r="215" spans="1:14">
      <c r="A215" s="26">
        <v>214</v>
      </c>
      <c r="B215" s="63" t="s">
        <v>42</v>
      </c>
      <c r="C215" s="26" t="s">
        <v>50</v>
      </c>
      <c r="D215" s="26" t="s">
        <v>60</v>
      </c>
      <c r="E215" s="26" t="s">
        <v>70</v>
      </c>
      <c r="F215" s="26"/>
      <c r="G215" s="26" t="s">
        <v>226</v>
      </c>
      <c r="H215" s="26" t="s">
        <v>233</v>
      </c>
      <c r="I215" s="53">
        <v>3856</v>
      </c>
      <c r="J215" s="26" t="s">
        <v>505</v>
      </c>
      <c r="K215" s="48">
        <v>46055</v>
      </c>
      <c r="L215" s="26">
        <v>2026400004</v>
      </c>
      <c r="M215" s="26" t="s">
        <v>202</v>
      </c>
      <c r="N215" s="26">
        <v>2026</v>
      </c>
    </row>
    <row r="216" spans="1:14">
      <c r="A216" s="26">
        <v>215</v>
      </c>
      <c r="B216" s="45" t="s">
        <v>42</v>
      </c>
      <c r="C216" s="26" t="s">
        <v>49</v>
      </c>
      <c r="D216" s="26" t="s">
        <v>60</v>
      </c>
      <c r="E216" s="26" t="s">
        <v>70</v>
      </c>
      <c r="F216" s="26"/>
      <c r="G216" s="45" t="s">
        <v>121</v>
      </c>
      <c r="H216" s="45" t="s">
        <v>115</v>
      </c>
      <c r="I216" s="53">
        <v>3497</v>
      </c>
      <c r="J216" s="26" t="s">
        <v>604</v>
      </c>
      <c r="K216" s="48">
        <v>46068</v>
      </c>
      <c r="L216" s="26">
        <v>2026400461</v>
      </c>
      <c r="M216" s="26" t="s">
        <v>202</v>
      </c>
      <c r="N216" s="26">
        <v>2026</v>
      </c>
    </row>
    <row r="217" spans="1:14">
      <c r="A217" s="26">
        <v>216</v>
      </c>
      <c r="B217" s="63" t="s">
        <v>17</v>
      </c>
      <c r="C217" s="26" t="s">
        <v>22</v>
      </c>
      <c r="D217" s="26" t="s">
        <v>60</v>
      </c>
      <c r="E217" s="57" t="s">
        <v>70</v>
      </c>
      <c r="F217" s="26"/>
      <c r="G217" s="26" t="s">
        <v>226</v>
      </c>
      <c r="H217" s="26" t="s">
        <v>233</v>
      </c>
      <c r="I217" s="53">
        <v>3436</v>
      </c>
      <c r="J217" s="26" t="s">
        <v>512</v>
      </c>
      <c r="K217" s="58">
        <v>46049</v>
      </c>
      <c r="L217" s="26">
        <v>2026400143</v>
      </c>
      <c r="M217" s="26" t="s">
        <v>202</v>
      </c>
      <c r="N217" s="26">
        <v>2026</v>
      </c>
    </row>
    <row r="218" spans="1:14">
      <c r="A218" s="26">
        <v>217</v>
      </c>
      <c r="B218" s="67" t="s">
        <v>52</v>
      </c>
      <c r="C218" s="26" t="s">
        <v>62</v>
      </c>
      <c r="D218" s="26" t="s">
        <v>60</v>
      </c>
      <c r="E218" s="26" t="s">
        <v>70</v>
      </c>
      <c r="F218" s="26"/>
      <c r="G218" s="26" t="s">
        <v>121</v>
      </c>
      <c r="H218" s="26" t="s">
        <v>115</v>
      </c>
      <c r="I218" s="46">
        <v>3370</v>
      </c>
      <c r="J218" s="26" t="s">
        <v>657</v>
      </c>
      <c r="K218" s="48">
        <v>46081</v>
      </c>
      <c r="L218" s="26">
        <v>2026400627</v>
      </c>
      <c r="M218" s="100" t="s">
        <v>202</v>
      </c>
      <c r="N218" s="26">
        <v>2026</v>
      </c>
    </row>
    <row r="219" spans="1:14">
      <c r="A219" s="26">
        <v>218</v>
      </c>
      <c r="B219" s="26" t="s">
        <v>35</v>
      </c>
      <c r="C219" s="48" t="s">
        <v>36</v>
      </c>
      <c r="D219" s="26" t="s">
        <v>60</v>
      </c>
      <c r="E219" s="26" t="s">
        <v>70</v>
      </c>
      <c r="F219" s="26"/>
      <c r="G219" s="26" t="s">
        <v>418</v>
      </c>
      <c r="H219" s="49" t="s">
        <v>115</v>
      </c>
      <c r="I219" s="50">
        <v>3300</v>
      </c>
      <c r="J219" s="26" t="s">
        <v>525</v>
      </c>
      <c r="K219" s="48">
        <v>46055</v>
      </c>
      <c r="L219" s="51">
        <v>2026400449</v>
      </c>
      <c r="M219" s="26" t="s">
        <v>202</v>
      </c>
      <c r="N219" s="26">
        <v>2026</v>
      </c>
    </row>
    <row r="220" spans="1:14">
      <c r="A220" s="26">
        <v>219</v>
      </c>
      <c r="B220" s="26" t="s">
        <v>42</v>
      </c>
      <c r="C220" s="26" t="s">
        <v>50</v>
      </c>
      <c r="D220" s="26" t="s">
        <v>60</v>
      </c>
      <c r="E220" s="26" t="s">
        <v>70</v>
      </c>
      <c r="F220" s="26"/>
      <c r="G220" s="26" t="s">
        <v>121</v>
      </c>
      <c r="H220" s="49" t="s">
        <v>115</v>
      </c>
      <c r="I220" s="50">
        <v>3247.5</v>
      </c>
      <c r="J220" s="26" t="s">
        <v>596</v>
      </c>
      <c r="K220" s="48">
        <v>46069</v>
      </c>
      <c r="L220" s="67">
        <v>2026400463</v>
      </c>
      <c r="M220" s="26" t="s">
        <v>202</v>
      </c>
      <c r="N220" s="26">
        <v>2026</v>
      </c>
    </row>
    <row r="221" spans="1:14">
      <c r="A221" s="26">
        <v>220</v>
      </c>
      <c r="B221" s="26" t="s">
        <v>54</v>
      </c>
      <c r="C221" s="48" t="s">
        <v>93</v>
      </c>
      <c r="D221" s="26" t="s">
        <v>60</v>
      </c>
      <c r="E221" s="26" t="s">
        <v>70</v>
      </c>
      <c r="F221" s="26"/>
      <c r="G221" s="26" t="s">
        <v>120</v>
      </c>
      <c r="H221" s="49" t="s">
        <v>115</v>
      </c>
      <c r="I221" s="50">
        <v>3221.4765100671143</v>
      </c>
      <c r="J221" s="26" t="s">
        <v>434</v>
      </c>
      <c r="K221" s="48">
        <v>46054</v>
      </c>
      <c r="L221" s="51">
        <v>2026400465</v>
      </c>
      <c r="M221" s="26" t="s">
        <v>202</v>
      </c>
      <c r="N221" s="26">
        <v>2026</v>
      </c>
    </row>
    <row r="222" spans="1:14">
      <c r="A222" s="26">
        <v>221</v>
      </c>
      <c r="B222" s="63" t="s">
        <v>17</v>
      </c>
      <c r="C222" s="26" t="s">
        <v>265</v>
      </c>
      <c r="D222" s="26" t="s">
        <v>60</v>
      </c>
      <c r="E222" s="57" t="s">
        <v>70</v>
      </c>
      <c r="F222" s="26"/>
      <c r="G222" s="26" t="s">
        <v>113</v>
      </c>
      <c r="H222" s="100" t="s">
        <v>114</v>
      </c>
      <c r="I222" s="53">
        <v>3154.3624161073826</v>
      </c>
      <c r="J222" s="26" t="s">
        <v>435</v>
      </c>
      <c r="K222" s="48">
        <v>46055</v>
      </c>
      <c r="L222" s="26">
        <v>2026400506</v>
      </c>
      <c r="M222" s="26" t="s">
        <v>202</v>
      </c>
      <c r="N222" s="26">
        <v>2026</v>
      </c>
    </row>
    <row r="223" spans="1:14">
      <c r="A223" s="26">
        <v>222</v>
      </c>
      <c r="B223" s="56" t="s">
        <v>52</v>
      </c>
      <c r="C223" s="56" t="s">
        <v>62</v>
      </c>
      <c r="D223" s="56" t="s">
        <v>60</v>
      </c>
      <c r="E223" s="56" t="s">
        <v>70</v>
      </c>
      <c r="F223" s="26"/>
      <c r="G223" s="56" t="s">
        <v>121</v>
      </c>
      <c r="H223" s="56" t="s">
        <v>115</v>
      </c>
      <c r="I223" s="50">
        <v>3125.8</v>
      </c>
      <c r="J223" s="26" t="s">
        <v>541</v>
      </c>
      <c r="K223" s="48">
        <v>46075</v>
      </c>
      <c r="L223" s="26">
        <v>2026400409</v>
      </c>
      <c r="M223" s="26" t="s">
        <v>202</v>
      </c>
      <c r="N223" s="26">
        <v>2026</v>
      </c>
    </row>
    <row r="224" spans="1:14">
      <c r="A224" s="26">
        <v>223</v>
      </c>
      <c r="B224" s="45" t="s">
        <v>42</v>
      </c>
      <c r="C224" s="26" t="s">
        <v>44</v>
      </c>
      <c r="D224" s="100" t="s">
        <v>60</v>
      </c>
      <c r="E224" s="26" t="s">
        <v>70</v>
      </c>
      <c r="F224" s="26"/>
      <c r="G224" s="45" t="s">
        <v>116</v>
      </c>
      <c r="H224" s="45" t="s">
        <v>269</v>
      </c>
      <c r="I224" s="53">
        <v>3100</v>
      </c>
      <c r="J224" s="26" t="s">
        <v>524</v>
      </c>
      <c r="K224" s="48">
        <v>46063</v>
      </c>
      <c r="L224" s="26">
        <v>2026400206</v>
      </c>
      <c r="M224" s="26" t="s">
        <v>202</v>
      </c>
      <c r="N224" s="26">
        <v>2026</v>
      </c>
    </row>
    <row r="225" spans="1:14">
      <c r="A225" s="26">
        <v>224</v>
      </c>
      <c r="B225" s="26" t="s">
        <v>42</v>
      </c>
      <c r="C225" s="48" t="s">
        <v>50</v>
      </c>
      <c r="D225" s="26" t="s">
        <v>60</v>
      </c>
      <c r="E225" s="26" t="s">
        <v>70</v>
      </c>
      <c r="F225" s="26"/>
      <c r="G225" s="26" t="s">
        <v>119</v>
      </c>
      <c r="H225" s="49" t="s">
        <v>115</v>
      </c>
      <c r="I225" s="50">
        <v>3092.54</v>
      </c>
      <c r="J225" s="26" t="s">
        <v>660</v>
      </c>
      <c r="K225" s="48">
        <v>46073</v>
      </c>
      <c r="L225" s="51">
        <v>2026400741</v>
      </c>
      <c r="M225" s="26" t="s">
        <v>202</v>
      </c>
      <c r="N225" s="26">
        <v>2026</v>
      </c>
    </row>
    <row r="226" spans="1:14">
      <c r="A226" s="26">
        <v>225</v>
      </c>
      <c r="B226" s="26" t="s">
        <v>54</v>
      </c>
      <c r="C226" s="26" t="s">
        <v>55</v>
      </c>
      <c r="D226" s="26" t="s">
        <v>60</v>
      </c>
      <c r="E226" s="26" t="s">
        <v>70</v>
      </c>
      <c r="F226" s="26"/>
      <c r="G226" s="26" t="s">
        <v>64</v>
      </c>
      <c r="H226" s="26" t="s">
        <v>74</v>
      </c>
      <c r="I226" s="50">
        <v>3048.8255033557048</v>
      </c>
      <c r="J226" s="26" t="s">
        <v>67</v>
      </c>
      <c r="K226" s="48">
        <v>46205</v>
      </c>
      <c r="L226" s="67" t="s">
        <v>14</v>
      </c>
      <c r="M226" s="98" t="s">
        <v>202</v>
      </c>
      <c r="N226" s="26">
        <v>2026</v>
      </c>
    </row>
    <row r="227" spans="1:14">
      <c r="A227" s="26">
        <v>226</v>
      </c>
      <c r="B227" s="26" t="s">
        <v>54</v>
      </c>
      <c r="C227" s="48" t="s">
        <v>93</v>
      </c>
      <c r="D227" s="26" t="s">
        <v>60</v>
      </c>
      <c r="E227" s="26" t="s">
        <v>70</v>
      </c>
      <c r="F227" s="26"/>
      <c r="G227" s="26" t="s">
        <v>260</v>
      </c>
      <c r="H227" s="49" t="s">
        <v>115</v>
      </c>
      <c r="I227" s="50">
        <v>3020.1342281879197</v>
      </c>
      <c r="J227" s="26" t="s">
        <v>436</v>
      </c>
      <c r="K227" s="48">
        <v>46068</v>
      </c>
      <c r="L227" s="51">
        <v>2026400527</v>
      </c>
      <c r="M227" s="26" t="s">
        <v>202</v>
      </c>
      <c r="N227" s="26">
        <v>2026</v>
      </c>
    </row>
    <row r="228" spans="1:14">
      <c r="A228" s="26">
        <v>227</v>
      </c>
      <c r="B228" s="26" t="s">
        <v>17</v>
      </c>
      <c r="C228" s="77" t="s">
        <v>25</v>
      </c>
      <c r="D228" s="26" t="s">
        <v>60</v>
      </c>
      <c r="E228" s="26" t="s">
        <v>70</v>
      </c>
      <c r="F228" s="26"/>
      <c r="G228" s="26" t="s">
        <v>121</v>
      </c>
      <c r="H228" s="49" t="s">
        <v>115</v>
      </c>
      <c r="I228" s="50">
        <v>2990</v>
      </c>
      <c r="J228" s="26" t="s">
        <v>594</v>
      </c>
      <c r="K228" s="48">
        <v>46069</v>
      </c>
      <c r="L228" s="67">
        <v>2026400459</v>
      </c>
      <c r="M228" s="26" t="s">
        <v>202</v>
      </c>
      <c r="N228" s="26">
        <v>2026</v>
      </c>
    </row>
    <row r="229" spans="1:14">
      <c r="A229" s="26">
        <v>228</v>
      </c>
      <c r="B229" s="63" t="s">
        <v>54</v>
      </c>
      <c r="C229" s="26" t="s">
        <v>93</v>
      </c>
      <c r="D229" s="26" t="s">
        <v>60</v>
      </c>
      <c r="E229" s="26" t="s">
        <v>70</v>
      </c>
      <c r="F229" s="26"/>
      <c r="G229" s="26" t="s">
        <v>227</v>
      </c>
      <c r="H229" s="26" t="s">
        <v>269</v>
      </c>
      <c r="I229" s="53">
        <v>2960</v>
      </c>
      <c r="J229" s="26" t="s">
        <v>521</v>
      </c>
      <c r="K229" s="48">
        <v>46057</v>
      </c>
      <c r="L229" s="26">
        <v>2026400482</v>
      </c>
      <c r="M229" s="26" t="s">
        <v>202</v>
      </c>
      <c r="N229" s="26">
        <v>2026</v>
      </c>
    </row>
    <row r="230" spans="1:14">
      <c r="A230" s="26">
        <v>229</v>
      </c>
      <c r="B230" s="26" t="s">
        <v>35</v>
      </c>
      <c r="C230" s="26" t="s">
        <v>37</v>
      </c>
      <c r="D230" s="100" t="s">
        <v>60</v>
      </c>
      <c r="E230" s="57" t="s">
        <v>70</v>
      </c>
      <c r="F230" s="26"/>
      <c r="G230" s="56" t="s">
        <v>404</v>
      </c>
      <c r="H230" s="26" t="s">
        <v>269</v>
      </c>
      <c r="I230" s="53">
        <v>2912.7516778523491</v>
      </c>
      <c r="J230" s="56" t="s">
        <v>437</v>
      </c>
      <c r="K230" s="48">
        <v>46076</v>
      </c>
      <c r="L230" s="56">
        <v>2026400909</v>
      </c>
      <c r="M230" s="26" t="s">
        <v>202</v>
      </c>
      <c r="N230" s="26">
        <v>2026</v>
      </c>
    </row>
    <row r="231" spans="1:14">
      <c r="A231" s="26">
        <v>230</v>
      </c>
      <c r="B231" s="63" t="s">
        <v>54</v>
      </c>
      <c r="C231" s="26" t="s">
        <v>93</v>
      </c>
      <c r="D231" s="26" t="s">
        <v>60</v>
      </c>
      <c r="E231" s="26" t="s">
        <v>70</v>
      </c>
      <c r="F231" s="26"/>
      <c r="G231" s="26" t="s">
        <v>419</v>
      </c>
      <c r="H231" s="49" t="s">
        <v>115</v>
      </c>
      <c r="I231" s="53">
        <v>2870</v>
      </c>
      <c r="J231" s="26" t="s">
        <v>529</v>
      </c>
      <c r="K231" s="48">
        <v>46063</v>
      </c>
      <c r="L231" s="26">
        <v>2026400518</v>
      </c>
      <c r="M231" s="26" t="s">
        <v>202</v>
      </c>
      <c r="N231" s="26">
        <v>2026</v>
      </c>
    </row>
    <row r="232" spans="1:14">
      <c r="A232" s="26">
        <v>231</v>
      </c>
      <c r="B232" s="45" t="s">
        <v>52</v>
      </c>
      <c r="C232" s="26" t="s">
        <v>62</v>
      </c>
      <c r="D232" s="26" t="s">
        <v>60</v>
      </c>
      <c r="E232" s="26" t="s">
        <v>70</v>
      </c>
      <c r="F232" s="26"/>
      <c r="G232" s="45" t="s">
        <v>121</v>
      </c>
      <c r="H232" s="45" t="s">
        <v>115</v>
      </c>
      <c r="I232" s="53">
        <v>2816.2</v>
      </c>
      <c r="J232" s="26" t="s">
        <v>602</v>
      </c>
      <c r="K232" s="48">
        <v>46068</v>
      </c>
      <c r="L232" s="26">
        <v>2026400448</v>
      </c>
      <c r="M232" s="26" t="s">
        <v>202</v>
      </c>
      <c r="N232" s="26">
        <v>2026</v>
      </c>
    </row>
    <row r="233" spans="1:14">
      <c r="A233" s="26">
        <v>232</v>
      </c>
      <c r="B233" s="26" t="s">
        <v>42</v>
      </c>
      <c r="C233" s="26" t="s">
        <v>47</v>
      </c>
      <c r="D233" s="100" t="s">
        <v>60</v>
      </c>
      <c r="E233" s="57" t="s">
        <v>70</v>
      </c>
      <c r="F233" s="26"/>
      <c r="G233" s="26" t="s">
        <v>116</v>
      </c>
      <c r="H233" s="26" t="s">
        <v>269</v>
      </c>
      <c r="I233" s="53">
        <v>2749.4</v>
      </c>
      <c r="J233" s="26" t="s">
        <v>679</v>
      </c>
      <c r="K233" s="48">
        <v>46067</v>
      </c>
      <c r="L233" s="26">
        <v>2026400428</v>
      </c>
      <c r="M233" s="26" t="s">
        <v>202</v>
      </c>
      <c r="N233" s="26">
        <v>2026</v>
      </c>
    </row>
    <row r="234" spans="1:14">
      <c r="A234" s="26">
        <v>233</v>
      </c>
      <c r="B234" s="26" t="s">
        <v>17</v>
      </c>
      <c r="C234" s="26" t="s">
        <v>265</v>
      </c>
      <c r="D234" s="26" t="s">
        <v>60</v>
      </c>
      <c r="E234" s="26" t="s">
        <v>70</v>
      </c>
      <c r="F234" s="26"/>
      <c r="G234" s="26" t="s">
        <v>227</v>
      </c>
      <c r="H234" s="49" t="s">
        <v>269</v>
      </c>
      <c r="I234" s="50">
        <v>2680</v>
      </c>
      <c r="J234" s="26" t="s">
        <v>578</v>
      </c>
      <c r="K234" s="48">
        <v>46057</v>
      </c>
      <c r="L234" s="51">
        <v>2026400481</v>
      </c>
      <c r="M234" s="26" t="s">
        <v>202</v>
      </c>
      <c r="N234" s="26">
        <v>2026</v>
      </c>
    </row>
    <row r="235" spans="1:14">
      <c r="A235" s="26">
        <v>234</v>
      </c>
      <c r="B235" s="26" t="s">
        <v>42</v>
      </c>
      <c r="C235" s="26" t="s">
        <v>47</v>
      </c>
      <c r="D235" s="26" t="s">
        <v>60</v>
      </c>
      <c r="E235" s="26" t="s">
        <v>70</v>
      </c>
      <c r="F235" s="26"/>
      <c r="G235" s="26" t="s">
        <v>268</v>
      </c>
      <c r="H235" s="26" t="s">
        <v>115</v>
      </c>
      <c r="I235" s="53">
        <v>2654.4959128065398</v>
      </c>
      <c r="J235" s="101" t="s">
        <v>14</v>
      </c>
      <c r="K235" s="48" t="s">
        <v>14</v>
      </c>
      <c r="L235" s="26">
        <v>2025404040</v>
      </c>
      <c r="M235" s="98" t="s">
        <v>202</v>
      </c>
      <c r="N235" s="26">
        <v>2026</v>
      </c>
    </row>
    <row r="236" spans="1:14">
      <c r="A236" s="26">
        <v>235</v>
      </c>
      <c r="B236" s="26" t="s">
        <v>17</v>
      </c>
      <c r="C236" s="48" t="s">
        <v>22</v>
      </c>
      <c r="D236" s="26" t="s">
        <v>60</v>
      </c>
      <c r="E236" s="26" t="s">
        <v>70</v>
      </c>
      <c r="F236" s="26"/>
      <c r="G236" s="26" t="s">
        <v>289</v>
      </c>
      <c r="H236" s="49" t="s">
        <v>115</v>
      </c>
      <c r="I236" s="50">
        <v>2620.8053691275168</v>
      </c>
      <c r="J236" s="26" t="s">
        <v>438</v>
      </c>
      <c r="K236" s="48">
        <v>46076</v>
      </c>
      <c r="L236" s="51">
        <v>2026400957</v>
      </c>
      <c r="M236" s="26" t="s">
        <v>202</v>
      </c>
      <c r="N236" s="26">
        <v>2026</v>
      </c>
    </row>
    <row r="237" spans="1:14">
      <c r="A237" s="26">
        <v>236</v>
      </c>
      <c r="B237" s="26" t="s">
        <v>52</v>
      </c>
      <c r="C237" s="48" t="s">
        <v>62</v>
      </c>
      <c r="D237" s="26" t="s">
        <v>60</v>
      </c>
      <c r="E237" s="26" t="s">
        <v>70</v>
      </c>
      <c r="F237" s="26"/>
      <c r="G237" s="26" t="s">
        <v>113</v>
      </c>
      <c r="H237" s="100" t="s">
        <v>114</v>
      </c>
      <c r="I237" s="50">
        <v>2600.6711409395975</v>
      </c>
      <c r="J237" s="26" t="s">
        <v>439</v>
      </c>
      <c r="K237" s="48">
        <v>46064</v>
      </c>
      <c r="L237" s="51">
        <v>2026400521</v>
      </c>
      <c r="M237" s="26" t="s">
        <v>202</v>
      </c>
      <c r="N237" s="26">
        <v>2026</v>
      </c>
    </row>
    <row r="238" spans="1:14">
      <c r="A238" s="26">
        <v>237</v>
      </c>
      <c r="B238" s="47" t="s">
        <v>54</v>
      </c>
      <c r="C238" s="77" t="s">
        <v>55</v>
      </c>
      <c r="D238" s="26" t="s">
        <v>60</v>
      </c>
      <c r="E238" s="26" t="s">
        <v>70</v>
      </c>
      <c r="F238" s="26"/>
      <c r="G238" s="26" t="s">
        <v>286</v>
      </c>
      <c r="H238" s="26" t="s">
        <v>115</v>
      </c>
      <c r="I238" s="50">
        <v>2580</v>
      </c>
      <c r="J238" s="48" t="s">
        <v>557</v>
      </c>
      <c r="K238" s="48">
        <v>46076</v>
      </c>
      <c r="L238" s="51">
        <v>2026400698</v>
      </c>
      <c r="M238" s="26" t="s">
        <v>202</v>
      </c>
      <c r="N238" s="26">
        <v>2026</v>
      </c>
    </row>
    <row r="239" spans="1:14">
      <c r="A239" s="26">
        <v>238</v>
      </c>
      <c r="B239" s="47" t="s">
        <v>305</v>
      </c>
      <c r="C239" s="48" t="s">
        <v>401</v>
      </c>
      <c r="D239" s="26" t="s">
        <v>60</v>
      </c>
      <c r="E239" s="26" t="s">
        <v>70</v>
      </c>
      <c r="F239" s="26"/>
      <c r="G239" s="26" t="s">
        <v>405</v>
      </c>
      <c r="H239" s="26" t="s">
        <v>691</v>
      </c>
      <c r="I239" s="53">
        <v>2570.469798657718</v>
      </c>
      <c r="J239" s="48" t="s">
        <v>440</v>
      </c>
      <c r="K239" s="48">
        <v>46074</v>
      </c>
      <c r="L239" s="51">
        <v>2026400644</v>
      </c>
      <c r="M239" s="26" t="s">
        <v>202</v>
      </c>
      <c r="N239" s="26">
        <v>2026</v>
      </c>
    </row>
    <row r="240" spans="1:14">
      <c r="A240" s="26">
        <v>239</v>
      </c>
      <c r="B240" s="26" t="s">
        <v>54</v>
      </c>
      <c r="C240" s="26" t="s">
        <v>93</v>
      </c>
      <c r="D240" s="26" t="s">
        <v>60</v>
      </c>
      <c r="E240" s="26" t="s">
        <v>70</v>
      </c>
      <c r="F240" s="26"/>
      <c r="G240" s="26" t="s">
        <v>406</v>
      </c>
      <c r="H240" s="49" t="s">
        <v>115</v>
      </c>
      <c r="I240" s="50">
        <v>2567.1140939597317</v>
      </c>
      <c r="J240" s="26" t="s">
        <v>441</v>
      </c>
      <c r="K240" s="48">
        <v>46068</v>
      </c>
      <c r="L240" s="51">
        <v>2026400565</v>
      </c>
      <c r="M240" s="26" t="s">
        <v>202</v>
      </c>
      <c r="N240" s="26">
        <v>2026</v>
      </c>
    </row>
    <row r="241" spans="1:14">
      <c r="A241" s="26">
        <v>240</v>
      </c>
      <c r="B241" s="26" t="s">
        <v>17</v>
      </c>
      <c r="C241" s="26" t="s">
        <v>265</v>
      </c>
      <c r="D241" s="26" t="s">
        <v>60</v>
      </c>
      <c r="E241" s="26" t="s">
        <v>70</v>
      </c>
      <c r="F241" s="26"/>
      <c r="G241" s="26" t="s">
        <v>121</v>
      </c>
      <c r="H241" s="52" t="s">
        <v>115</v>
      </c>
      <c r="I241" s="50">
        <v>2521.9</v>
      </c>
      <c r="J241" s="26" t="s">
        <v>582</v>
      </c>
      <c r="K241" s="48">
        <v>46070</v>
      </c>
      <c r="L241" s="67">
        <v>2026400440</v>
      </c>
      <c r="M241" s="26" t="s">
        <v>202</v>
      </c>
      <c r="N241" s="26">
        <v>2026</v>
      </c>
    </row>
    <row r="242" spans="1:14">
      <c r="A242" s="26">
        <v>241</v>
      </c>
      <c r="B242" s="26" t="s">
        <v>17</v>
      </c>
      <c r="C242" s="26" t="s">
        <v>25</v>
      </c>
      <c r="D242" s="26" t="s">
        <v>60</v>
      </c>
      <c r="E242" s="26" t="s">
        <v>70</v>
      </c>
      <c r="F242" s="26"/>
      <c r="G242" s="26" t="s">
        <v>64</v>
      </c>
      <c r="H242" s="26" t="s">
        <v>251</v>
      </c>
      <c r="I242" s="50">
        <v>2446.979865771812</v>
      </c>
      <c r="J242" s="26" t="s">
        <v>67</v>
      </c>
      <c r="K242" s="48">
        <v>46055</v>
      </c>
      <c r="L242" s="67" t="s">
        <v>14</v>
      </c>
      <c r="M242" s="98" t="s">
        <v>202</v>
      </c>
      <c r="N242" s="26">
        <v>2026</v>
      </c>
    </row>
    <row r="243" spans="1:14">
      <c r="A243" s="26">
        <v>242</v>
      </c>
      <c r="B243" s="71" t="s">
        <v>17</v>
      </c>
      <c r="C243" s="71" t="s">
        <v>25</v>
      </c>
      <c r="D243" s="72" t="s">
        <v>60</v>
      </c>
      <c r="E243" s="72" t="s">
        <v>70</v>
      </c>
      <c r="F243" s="72"/>
      <c r="G243" s="72" t="s">
        <v>260</v>
      </c>
      <c r="H243" s="49" t="s">
        <v>115</v>
      </c>
      <c r="I243" s="75">
        <v>2416.1073825503354</v>
      </c>
      <c r="J243" s="72" t="s">
        <v>442</v>
      </c>
      <c r="K243" s="73">
        <v>46051</v>
      </c>
      <c r="L243" s="74">
        <v>2026400351</v>
      </c>
      <c r="M243" s="26" t="s">
        <v>202</v>
      </c>
      <c r="N243" s="26">
        <v>2026</v>
      </c>
    </row>
    <row r="244" spans="1:14">
      <c r="A244" s="26">
        <v>243</v>
      </c>
      <c r="B244" s="26" t="s">
        <v>52</v>
      </c>
      <c r="C244" s="77" t="s">
        <v>62</v>
      </c>
      <c r="D244" s="26" t="s">
        <v>60</v>
      </c>
      <c r="E244" s="26" t="s">
        <v>70</v>
      </c>
      <c r="F244" s="26"/>
      <c r="G244" s="26" t="s">
        <v>121</v>
      </c>
      <c r="H244" s="49" t="s">
        <v>115</v>
      </c>
      <c r="I244" s="50">
        <v>2412.1</v>
      </c>
      <c r="J244" s="26" t="s">
        <v>593</v>
      </c>
      <c r="K244" s="48">
        <v>46069</v>
      </c>
      <c r="L244" s="67">
        <v>2026400450</v>
      </c>
      <c r="M244" s="26" t="s">
        <v>202</v>
      </c>
      <c r="N244" s="26">
        <v>2026</v>
      </c>
    </row>
    <row r="245" spans="1:14">
      <c r="A245" s="26">
        <v>244</v>
      </c>
      <c r="B245" s="45" t="s">
        <v>54</v>
      </c>
      <c r="C245" s="76" t="s">
        <v>93</v>
      </c>
      <c r="D245" s="100" t="s">
        <v>60</v>
      </c>
      <c r="E245" s="26" t="s">
        <v>70</v>
      </c>
      <c r="F245" s="26"/>
      <c r="G245" s="45" t="s">
        <v>116</v>
      </c>
      <c r="H245" s="45" t="s">
        <v>269</v>
      </c>
      <c r="I245" s="53">
        <v>2400</v>
      </c>
      <c r="J245" s="26" t="s">
        <v>522</v>
      </c>
      <c r="K245" s="48">
        <v>46062</v>
      </c>
      <c r="L245" s="26">
        <v>2026400403</v>
      </c>
      <c r="M245" s="26" t="s">
        <v>202</v>
      </c>
      <c r="N245" s="26">
        <v>2026</v>
      </c>
    </row>
    <row r="246" spans="1:14">
      <c r="A246" s="26">
        <v>245</v>
      </c>
      <c r="B246" s="26" t="s">
        <v>52</v>
      </c>
      <c r="C246" s="48" t="s">
        <v>62</v>
      </c>
      <c r="D246" s="26" t="s">
        <v>60</v>
      </c>
      <c r="E246" s="26" t="s">
        <v>70</v>
      </c>
      <c r="F246" s="26"/>
      <c r="G246" s="26" t="s">
        <v>121</v>
      </c>
      <c r="H246" s="49" t="s">
        <v>115</v>
      </c>
      <c r="I246" s="50">
        <v>2339.1999999999998</v>
      </c>
      <c r="J246" s="26" t="s">
        <v>590</v>
      </c>
      <c r="K246" s="48">
        <v>46068</v>
      </c>
      <c r="L246" s="67">
        <v>2026400307</v>
      </c>
      <c r="M246" s="26" t="s">
        <v>202</v>
      </c>
      <c r="N246" s="26">
        <v>2026</v>
      </c>
    </row>
    <row r="247" spans="1:14">
      <c r="A247" s="26">
        <v>246</v>
      </c>
      <c r="B247" s="26" t="s">
        <v>42</v>
      </c>
      <c r="C247" s="77" t="s">
        <v>50</v>
      </c>
      <c r="D247" s="26" t="s">
        <v>60</v>
      </c>
      <c r="E247" s="26" t="s">
        <v>70</v>
      </c>
      <c r="F247" s="26"/>
      <c r="G247" s="26" t="s">
        <v>407</v>
      </c>
      <c r="H247" s="49" t="s">
        <v>115</v>
      </c>
      <c r="I247" s="50">
        <v>2302.0134228187922</v>
      </c>
      <c r="J247" s="26" t="s">
        <v>443</v>
      </c>
      <c r="K247" s="48">
        <v>46074</v>
      </c>
      <c r="L247" s="67">
        <v>2026400645</v>
      </c>
      <c r="M247" s="26" t="s">
        <v>202</v>
      </c>
      <c r="N247" s="26">
        <v>2026</v>
      </c>
    </row>
    <row r="248" spans="1:14">
      <c r="A248" s="26">
        <v>247</v>
      </c>
      <c r="B248" s="26" t="s">
        <v>42</v>
      </c>
      <c r="C248" s="76" t="s">
        <v>50</v>
      </c>
      <c r="D248" s="26" t="s">
        <v>60</v>
      </c>
      <c r="E248" s="26" t="s">
        <v>70</v>
      </c>
      <c r="F248" s="26"/>
      <c r="G248" s="26" t="s">
        <v>121</v>
      </c>
      <c r="H248" s="49" t="s">
        <v>115</v>
      </c>
      <c r="I248" s="50">
        <v>2288.6999999999998</v>
      </c>
      <c r="J248" s="26" t="s">
        <v>511</v>
      </c>
      <c r="K248" s="48">
        <v>46060</v>
      </c>
      <c r="L248" s="51">
        <v>2026400388</v>
      </c>
      <c r="M248" s="26" t="s">
        <v>202</v>
      </c>
      <c r="N248" s="26">
        <v>2026</v>
      </c>
    </row>
    <row r="249" spans="1:14">
      <c r="A249" s="26">
        <v>248</v>
      </c>
      <c r="B249" s="26" t="s">
        <v>42</v>
      </c>
      <c r="C249" s="26" t="s">
        <v>50</v>
      </c>
      <c r="D249" s="100" t="s">
        <v>60</v>
      </c>
      <c r="E249" s="57" t="s">
        <v>70</v>
      </c>
      <c r="F249" s="26"/>
      <c r="G249" s="26" t="s">
        <v>116</v>
      </c>
      <c r="H249" s="26" t="s">
        <v>269</v>
      </c>
      <c r="I249" s="53">
        <v>2286</v>
      </c>
      <c r="J249" s="26" t="s">
        <v>622</v>
      </c>
      <c r="K249" s="48">
        <v>46079</v>
      </c>
      <c r="L249" s="26">
        <v>2026400684</v>
      </c>
      <c r="M249" s="26" t="s">
        <v>202</v>
      </c>
      <c r="N249" s="26">
        <v>2026</v>
      </c>
    </row>
    <row r="250" spans="1:14">
      <c r="A250" s="26">
        <v>249</v>
      </c>
      <c r="B250" s="26" t="s">
        <v>42</v>
      </c>
      <c r="C250" s="76" t="s">
        <v>50</v>
      </c>
      <c r="D250" s="26" t="s">
        <v>60</v>
      </c>
      <c r="E250" s="26" t="s">
        <v>70</v>
      </c>
      <c r="F250" s="26"/>
      <c r="G250" s="26" t="s">
        <v>121</v>
      </c>
      <c r="H250" s="26" t="s">
        <v>115</v>
      </c>
      <c r="I250" s="53">
        <v>2255</v>
      </c>
      <c r="J250" s="26" t="s">
        <v>639</v>
      </c>
      <c r="K250" s="48">
        <v>46081</v>
      </c>
      <c r="L250" s="26">
        <v>2026400635</v>
      </c>
      <c r="M250" s="26" t="s">
        <v>202</v>
      </c>
      <c r="N250" s="26">
        <v>2026</v>
      </c>
    </row>
    <row r="251" spans="1:14">
      <c r="A251" s="26">
        <v>250</v>
      </c>
      <c r="B251" s="26" t="s">
        <v>42</v>
      </c>
      <c r="C251" s="48" t="s">
        <v>50</v>
      </c>
      <c r="D251" s="26" t="s">
        <v>60</v>
      </c>
      <c r="E251" s="26" t="s">
        <v>70</v>
      </c>
      <c r="F251" s="26"/>
      <c r="G251" s="26" t="s">
        <v>121</v>
      </c>
      <c r="H251" s="49" t="s">
        <v>115</v>
      </c>
      <c r="I251" s="50">
        <v>2240</v>
      </c>
      <c r="J251" s="26" t="s">
        <v>580</v>
      </c>
      <c r="K251" s="48">
        <v>46068</v>
      </c>
      <c r="L251" s="67">
        <v>2026400490</v>
      </c>
      <c r="M251" s="26" t="s">
        <v>202</v>
      </c>
      <c r="N251" s="26">
        <v>2026</v>
      </c>
    </row>
    <row r="252" spans="1:14">
      <c r="A252" s="26">
        <v>251</v>
      </c>
      <c r="B252" s="45" t="s">
        <v>17</v>
      </c>
      <c r="C252" s="76" t="s">
        <v>25</v>
      </c>
      <c r="D252" s="100" t="s">
        <v>60</v>
      </c>
      <c r="E252" s="26" t="s">
        <v>70</v>
      </c>
      <c r="F252" s="26"/>
      <c r="G252" s="45" t="s">
        <v>116</v>
      </c>
      <c r="H252" s="45" t="s">
        <v>269</v>
      </c>
      <c r="I252" s="53">
        <v>2218.5</v>
      </c>
      <c r="J252" s="26" t="s">
        <v>527</v>
      </c>
      <c r="K252" s="48">
        <v>46065</v>
      </c>
      <c r="L252" s="26">
        <v>2026400493</v>
      </c>
      <c r="M252" s="26" t="s">
        <v>202</v>
      </c>
      <c r="N252" s="26">
        <v>2026</v>
      </c>
    </row>
    <row r="253" spans="1:14">
      <c r="A253" s="26">
        <v>252</v>
      </c>
      <c r="B253" s="26" t="s">
        <v>42</v>
      </c>
      <c r="C253" s="77" t="s">
        <v>50</v>
      </c>
      <c r="D253" s="26" t="s">
        <v>60</v>
      </c>
      <c r="E253" s="26" t="s">
        <v>70</v>
      </c>
      <c r="F253" s="26"/>
      <c r="G253" s="26" t="s">
        <v>113</v>
      </c>
      <c r="H253" s="100" t="s">
        <v>114</v>
      </c>
      <c r="I253" s="50">
        <v>2181.2080536912754</v>
      </c>
      <c r="J253" s="26" t="s">
        <v>444</v>
      </c>
      <c r="K253" s="48">
        <v>46064</v>
      </c>
      <c r="L253" s="67">
        <v>2026400599</v>
      </c>
      <c r="M253" s="26" t="s">
        <v>202</v>
      </c>
      <c r="N253" s="26">
        <v>2026</v>
      </c>
    </row>
    <row r="254" spans="1:14">
      <c r="A254" s="26">
        <v>253</v>
      </c>
      <c r="B254" s="26" t="s">
        <v>42</v>
      </c>
      <c r="C254" s="26" t="s">
        <v>50</v>
      </c>
      <c r="D254" s="26" t="s">
        <v>60</v>
      </c>
      <c r="E254" s="26" t="s">
        <v>70</v>
      </c>
      <c r="F254" s="26"/>
      <c r="G254" s="26" t="s">
        <v>113</v>
      </c>
      <c r="H254" s="49" t="s">
        <v>114</v>
      </c>
      <c r="I254" s="53">
        <v>2181.2080536912754</v>
      </c>
      <c r="J254" s="26" t="s">
        <v>445</v>
      </c>
      <c r="K254" s="48">
        <v>46069</v>
      </c>
      <c r="L254" s="51">
        <v>2026400664</v>
      </c>
      <c r="M254" s="26" t="s">
        <v>202</v>
      </c>
      <c r="N254" s="26">
        <v>2026</v>
      </c>
    </row>
    <row r="255" spans="1:14">
      <c r="A255" s="26">
        <v>254</v>
      </c>
      <c r="B255" s="26" t="s">
        <v>17</v>
      </c>
      <c r="C255" s="26" t="s">
        <v>25</v>
      </c>
      <c r="D255" s="26" t="s">
        <v>60</v>
      </c>
      <c r="E255" s="26" t="s">
        <v>70</v>
      </c>
      <c r="F255" s="26"/>
      <c r="G255" s="26" t="s">
        <v>121</v>
      </c>
      <c r="H255" s="26" t="s">
        <v>115</v>
      </c>
      <c r="I255" s="53">
        <v>2100</v>
      </c>
      <c r="J255" s="26" t="s">
        <v>611</v>
      </c>
      <c r="K255" s="48">
        <v>46068</v>
      </c>
      <c r="L255" s="26">
        <v>2026400397</v>
      </c>
      <c r="M255" s="26" t="s">
        <v>202</v>
      </c>
      <c r="N255" s="26">
        <v>2026</v>
      </c>
    </row>
    <row r="256" spans="1:14">
      <c r="A256" s="26">
        <v>255</v>
      </c>
      <c r="B256" s="26" t="s">
        <v>17</v>
      </c>
      <c r="C256" s="26" t="s">
        <v>265</v>
      </c>
      <c r="D256" s="26" t="s">
        <v>60</v>
      </c>
      <c r="E256" s="26" t="s">
        <v>70</v>
      </c>
      <c r="F256" s="26"/>
      <c r="G256" s="26" t="s">
        <v>266</v>
      </c>
      <c r="H256" s="26" t="s">
        <v>115</v>
      </c>
      <c r="I256" s="46">
        <v>2093.959731543624</v>
      </c>
      <c r="J256" s="48" t="s">
        <v>446</v>
      </c>
      <c r="K256" s="48">
        <v>46076</v>
      </c>
      <c r="L256" s="51">
        <v>2026400604</v>
      </c>
      <c r="M256" s="26" t="s">
        <v>202</v>
      </c>
      <c r="N256" s="26">
        <v>2026</v>
      </c>
    </row>
    <row r="257" spans="1:14">
      <c r="A257" s="26">
        <v>256</v>
      </c>
      <c r="B257" s="26" t="s">
        <v>42</v>
      </c>
      <c r="C257" s="26" t="s">
        <v>50</v>
      </c>
      <c r="D257" s="26" t="s">
        <v>60</v>
      </c>
      <c r="E257" s="26" t="s">
        <v>70</v>
      </c>
      <c r="F257" s="26"/>
      <c r="G257" s="26" t="s">
        <v>121</v>
      </c>
      <c r="H257" s="49" t="s">
        <v>115</v>
      </c>
      <c r="I257" s="50">
        <v>2018.5</v>
      </c>
      <c r="J257" s="26" t="s">
        <v>515</v>
      </c>
      <c r="K257" s="48">
        <v>46058</v>
      </c>
      <c r="L257" s="51">
        <v>2026400347</v>
      </c>
      <c r="M257" s="26" t="s">
        <v>202</v>
      </c>
      <c r="N257" s="26">
        <v>2026</v>
      </c>
    </row>
    <row r="258" spans="1:14">
      <c r="A258" s="26">
        <v>257</v>
      </c>
      <c r="B258" s="26" t="s">
        <v>17</v>
      </c>
      <c r="C258" s="48" t="s">
        <v>22</v>
      </c>
      <c r="D258" s="26" t="s">
        <v>60</v>
      </c>
      <c r="E258" s="26" t="s">
        <v>70</v>
      </c>
      <c r="F258" s="26"/>
      <c r="G258" s="26" t="s">
        <v>408</v>
      </c>
      <c r="H258" s="100" t="s">
        <v>115</v>
      </c>
      <c r="I258" s="50">
        <v>1997.3154362416108</v>
      </c>
      <c r="J258" s="26" t="s">
        <v>447</v>
      </c>
      <c r="K258" s="48">
        <v>46074</v>
      </c>
      <c r="L258" s="67">
        <v>2026400746</v>
      </c>
      <c r="M258" s="26" t="s">
        <v>202</v>
      </c>
      <c r="N258" s="26">
        <v>2026</v>
      </c>
    </row>
    <row r="259" spans="1:14">
      <c r="A259" s="26">
        <v>258</v>
      </c>
      <c r="B259" s="26" t="s">
        <v>42</v>
      </c>
      <c r="C259" s="26" t="s">
        <v>72</v>
      </c>
      <c r="D259" s="26" t="s">
        <v>60</v>
      </c>
      <c r="E259" s="26" t="s">
        <v>70</v>
      </c>
      <c r="F259" s="26"/>
      <c r="G259" s="26" t="s">
        <v>64</v>
      </c>
      <c r="H259" s="26" t="s">
        <v>252</v>
      </c>
      <c r="I259" s="50">
        <v>1991.275167785235</v>
      </c>
      <c r="J259" s="26" t="s">
        <v>67</v>
      </c>
      <c r="K259" s="48" t="s">
        <v>364</v>
      </c>
      <c r="L259" s="67" t="s">
        <v>14</v>
      </c>
      <c r="M259" s="98" t="s">
        <v>202</v>
      </c>
      <c r="N259" s="26">
        <v>2026</v>
      </c>
    </row>
    <row r="260" spans="1:14">
      <c r="A260" s="26">
        <v>259</v>
      </c>
      <c r="B260" s="26" t="s">
        <v>52</v>
      </c>
      <c r="C260" s="26" t="s">
        <v>62</v>
      </c>
      <c r="D260" s="26" t="s">
        <v>60</v>
      </c>
      <c r="E260" s="26" t="s">
        <v>70</v>
      </c>
      <c r="F260" s="26"/>
      <c r="G260" s="26" t="s">
        <v>113</v>
      </c>
      <c r="H260" s="56" t="s">
        <v>114</v>
      </c>
      <c r="I260" s="53">
        <v>1986.5771812080536</v>
      </c>
      <c r="J260" s="26" t="s">
        <v>448</v>
      </c>
      <c r="K260" s="48">
        <v>46061</v>
      </c>
      <c r="L260" s="26">
        <v>2026400520</v>
      </c>
      <c r="M260" s="26" t="s">
        <v>202</v>
      </c>
      <c r="N260" s="26">
        <v>2026</v>
      </c>
    </row>
    <row r="261" spans="1:14">
      <c r="A261" s="26">
        <v>260</v>
      </c>
      <c r="B261" s="26" t="s">
        <v>42</v>
      </c>
      <c r="C261" s="26" t="s">
        <v>45</v>
      </c>
      <c r="D261" s="26" t="s">
        <v>60</v>
      </c>
      <c r="E261" s="26" t="s">
        <v>70</v>
      </c>
      <c r="F261" s="26"/>
      <c r="G261" s="26" t="s">
        <v>227</v>
      </c>
      <c r="H261" s="49" t="s">
        <v>269</v>
      </c>
      <c r="I261" s="50">
        <v>1980</v>
      </c>
      <c r="J261" s="49" t="s">
        <v>683</v>
      </c>
      <c r="K261" s="48">
        <v>46064</v>
      </c>
      <c r="L261" s="51">
        <v>2026400534</v>
      </c>
      <c r="M261" s="26" t="s">
        <v>202</v>
      </c>
      <c r="N261" s="26">
        <v>2026</v>
      </c>
    </row>
    <row r="262" spans="1:14">
      <c r="A262" s="26">
        <v>261</v>
      </c>
      <c r="B262" s="26" t="s">
        <v>42</v>
      </c>
      <c r="C262" s="48" t="s">
        <v>50</v>
      </c>
      <c r="D262" s="26" t="s">
        <v>60</v>
      </c>
      <c r="E262" s="26" t="s">
        <v>70</v>
      </c>
      <c r="F262" s="26"/>
      <c r="G262" s="26" t="s">
        <v>121</v>
      </c>
      <c r="H262" s="49" t="s">
        <v>115</v>
      </c>
      <c r="I262" s="50">
        <v>1972.7</v>
      </c>
      <c r="J262" s="26" t="s">
        <v>516</v>
      </c>
      <c r="K262" s="48">
        <v>46060</v>
      </c>
      <c r="L262" s="51">
        <v>2026400346</v>
      </c>
      <c r="M262" s="26" t="s">
        <v>202</v>
      </c>
      <c r="N262" s="26">
        <v>2026</v>
      </c>
    </row>
    <row r="263" spans="1:14">
      <c r="A263" s="26">
        <v>262</v>
      </c>
      <c r="B263" s="45" t="s">
        <v>52</v>
      </c>
      <c r="C263" s="26" t="s">
        <v>62</v>
      </c>
      <c r="D263" s="26" t="s">
        <v>60</v>
      </c>
      <c r="E263" s="26" t="s">
        <v>70</v>
      </c>
      <c r="F263" s="26"/>
      <c r="G263" s="45" t="s">
        <v>121</v>
      </c>
      <c r="H263" s="45" t="s">
        <v>115</v>
      </c>
      <c r="I263" s="53">
        <v>1904</v>
      </c>
      <c r="J263" s="26" t="s">
        <v>519</v>
      </c>
      <c r="K263" s="48">
        <v>46058</v>
      </c>
      <c r="L263" s="26">
        <v>2026400341</v>
      </c>
      <c r="M263" s="26" t="s">
        <v>202</v>
      </c>
      <c r="N263" s="26">
        <v>2026</v>
      </c>
    </row>
    <row r="264" spans="1:14">
      <c r="A264" s="26">
        <v>263</v>
      </c>
      <c r="B264" s="26" t="s">
        <v>42</v>
      </c>
      <c r="C264" s="26" t="s">
        <v>50</v>
      </c>
      <c r="D264" s="100" t="s">
        <v>60</v>
      </c>
      <c r="E264" s="57" t="s">
        <v>70</v>
      </c>
      <c r="F264" s="26"/>
      <c r="G264" s="26" t="s">
        <v>116</v>
      </c>
      <c r="H264" s="56" t="s">
        <v>269</v>
      </c>
      <c r="I264" s="53">
        <v>1901.8</v>
      </c>
      <c r="J264" s="26" t="s">
        <v>584</v>
      </c>
      <c r="K264" s="48">
        <v>46067</v>
      </c>
      <c r="L264" s="26">
        <v>2026400530</v>
      </c>
      <c r="M264" s="26" t="s">
        <v>202</v>
      </c>
      <c r="N264" s="26">
        <v>2026</v>
      </c>
    </row>
    <row r="265" spans="1:14">
      <c r="A265" s="26">
        <v>264</v>
      </c>
      <c r="B265" s="26" t="s">
        <v>17</v>
      </c>
      <c r="C265" s="26" t="s">
        <v>265</v>
      </c>
      <c r="D265" s="26" t="s">
        <v>60</v>
      </c>
      <c r="E265" s="26" t="s">
        <v>70</v>
      </c>
      <c r="F265" s="26"/>
      <c r="G265" s="26" t="s">
        <v>121</v>
      </c>
      <c r="H265" s="26" t="s">
        <v>115</v>
      </c>
      <c r="I265" s="53">
        <v>1867</v>
      </c>
      <c r="J265" s="26" t="s">
        <v>630</v>
      </c>
      <c r="K265" s="48">
        <v>46081</v>
      </c>
      <c r="L265" s="26">
        <v>2026400660</v>
      </c>
      <c r="M265" s="26" t="s">
        <v>202</v>
      </c>
      <c r="N265" s="26">
        <v>2026</v>
      </c>
    </row>
    <row r="266" spans="1:14">
      <c r="A266" s="26">
        <v>265</v>
      </c>
      <c r="B266" s="26" t="s">
        <v>52</v>
      </c>
      <c r="C266" s="26" t="s">
        <v>62</v>
      </c>
      <c r="D266" s="26" t="s">
        <v>60</v>
      </c>
      <c r="E266" s="26" t="s">
        <v>70</v>
      </c>
      <c r="F266" s="26"/>
      <c r="G266" s="26" t="s">
        <v>121</v>
      </c>
      <c r="H266" s="26" t="s">
        <v>115</v>
      </c>
      <c r="I266" s="53">
        <v>1854.5</v>
      </c>
      <c r="J266" s="98" t="s">
        <v>648</v>
      </c>
      <c r="K266" s="99">
        <v>46082</v>
      </c>
      <c r="L266" s="98">
        <v>2026400615</v>
      </c>
      <c r="M266" s="98" t="s">
        <v>202</v>
      </c>
      <c r="N266" s="26">
        <v>2026</v>
      </c>
    </row>
    <row r="267" spans="1:14">
      <c r="A267" s="26">
        <v>266</v>
      </c>
      <c r="B267" s="26" t="s">
        <v>42</v>
      </c>
      <c r="C267" s="48" t="s">
        <v>47</v>
      </c>
      <c r="D267" s="26" t="s">
        <v>60</v>
      </c>
      <c r="E267" s="26" t="s">
        <v>70</v>
      </c>
      <c r="F267" s="26"/>
      <c r="G267" s="26" t="s">
        <v>228</v>
      </c>
      <c r="H267" s="49" t="s">
        <v>233</v>
      </c>
      <c r="I267" s="50">
        <v>1845.6375838926174</v>
      </c>
      <c r="J267" s="26" t="s">
        <v>449</v>
      </c>
      <c r="K267" s="48">
        <v>46077</v>
      </c>
      <c r="L267" s="51">
        <v>2026400663</v>
      </c>
      <c r="M267" s="26" t="s">
        <v>202</v>
      </c>
      <c r="N267" s="26">
        <v>2026</v>
      </c>
    </row>
    <row r="268" spans="1:14">
      <c r="A268" s="26">
        <v>267</v>
      </c>
      <c r="B268" s="26" t="s">
        <v>17</v>
      </c>
      <c r="C268" s="26" t="s">
        <v>25</v>
      </c>
      <c r="D268" s="26" t="s">
        <v>60</v>
      </c>
      <c r="E268" s="26" t="s">
        <v>70</v>
      </c>
      <c r="F268" s="26"/>
      <c r="G268" s="26" t="s">
        <v>64</v>
      </c>
      <c r="H268" s="26" t="s">
        <v>251</v>
      </c>
      <c r="I268" s="50">
        <v>1829.5302013422818</v>
      </c>
      <c r="J268" s="26" t="s">
        <v>67</v>
      </c>
      <c r="K268" s="48" t="s">
        <v>367</v>
      </c>
      <c r="L268" s="67" t="s">
        <v>14</v>
      </c>
      <c r="M268" s="98" t="s">
        <v>202</v>
      </c>
      <c r="N268" s="26">
        <v>2026</v>
      </c>
    </row>
    <row r="269" spans="1:14">
      <c r="A269" s="26">
        <v>268</v>
      </c>
      <c r="B269" s="45" t="s">
        <v>52</v>
      </c>
      <c r="C269" s="26" t="s">
        <v>62</v>
      </c>
      <c r="D269" s="26" t="s">
        <v>60</v>
      </c>
      <c r="E269" s="26" t="s">
        <v>70</v>
      </c>
      <c r="F269" s="26"/>
      <c r="G269" s="45" t="s">
        <v>121</v>
      </c>
      <c r="H269" s="45" t="s">
        <v>115</v>
      </c>
      <c r="I269" s="53">
        <v>1800</v>
      </c>
      <c r="J269" s="26" t="s">
        <v>599</v>
      </c>
      <c r="K269" s="48">
        <v>46068</v>
      </c>
      <c r="L269" s="26">
        <v>2026400451</v>
      </c>
      <c r="M269" s="26" t="s">
        <v>202</v>
      </c>
      <c r="N269" s="26">
        <v>2026</v>
      </c>
    </row>
    <row r="270" spans="1:14">
      <c r="A270" s="26">
        <v>269</v>
      </c>
      <c r="B270" s="26" t="s">
        <v>42</v>
      </c>
      <c r="C270" s="26" t="s">
        <v>47</v>
      </c>
      <c r="D270" s="26" t="s">
        <v>60</v>
      </c>
      <c r="E270" s="26" t="s">
        <v>70</v>
      </c>
      <c r="F270" s="26"/>
      <c r="G270" s="26" t="s">
        <v>113</v>
      </c>
      <c r="H270" s="100" t="s">
        <v>114</v>
      </c>
      <c r="I270" s="53">
        <v>1786.9127516778524</v>
      </c>
      <c r="J270" s="26" t="s">
        <v>450</v>
      </c>
      <c r="K270" s="48">
        <v>46068</v>
      </c>
      <c r="L270" s="51">
        <v>2026400720</v>
      </c>
      <c r="M270" s="26" t="s">
        <v>202</v>
      </c>
      <c r="N270" s="26">
        <v>2026</v>
      </c>
    </row>
    <row r="271" spans="1:14">
      <c r="A271" s="26">
        <v>270</v>
      </c>
      <c r="B271" s="26" t="s">
        <v>52</v>
      </c>
      <c r="C271" s="26" t="s">
        <v>62</v>
      </c>
      <c r="D271" s="26" t="s">
        <v>60</v>
      </c>
      <c r="E271" s="26" t="s">
        <v>70</v>
      </c>
      <c r="F271" s="26"/>
      <c r="G271" s="26" t="s">
        <v>121</v>
      </c>
      <c r="H271" s="26" t="s">
        <v>115</v>
      </c>
      <c r="I271" s="46">
        <v>1781</v>
      </c>
      <c r="J271" s="26" t="s">
        <v>561</v>
      </c>
      <c r="K271" s="48">
        <v>46078</v>
      </c>
      <c r="L271" s="26">
        <v>2026400580</v>
      </c>
      <c r="M271" s="26" t="s">
        <v>202</v>
      </c>
      <c r="N271" s="26">
        <v>2026</v>
      </c>
    </row>
    <row r="272" spans="1:14">
      <c r="A272" s="26">
        <v>271</v>
      </c>
      <c r="B272" s="26" t="s">
        <v>17</v>
      </c>
      <c r="C272" s="48" t="s">
        <v>22</v>
      </c>
      <c r="D272" s="26" t="s">
        <v>60</v>
      </c>
      <c r="E272" s="26" t="s">
        <v>70</v>
      </c>
      <c r="F272" s="26"/>
      <c r="G272" s="26" t="s">
        <v>289</v>
      </c>
      <c r="H272" s="49" t="s">
        <v>115</v>
      </c>
      <c r="I272" s="50">
        <v>1771.8120805369128</v>
      </c>
      <c r="J272" s="26" t="s">
        <v>451</v>
      </c>
      <c r="K272" s="48">
        <v>46070</v>
      </c>
      <c r="L272" s="51">
        <v>2026400656</v>
      </c>
      <c r="M272" s="26" t="s">
        <v>202</v>
      </c>
      <c r="N272" s="26">
        <v>2026</v>
      </c>
    </row>
    <row r="273" spans="1:14">
      <c r="A273" s="26">
        <v>272</v>
      </c>
      <c r="B273" s="26" t="s">
        <v>52</v>
      </c>
      <c r="C273" s="70" t="s">
        <v>62</v>
      </c>
      <c r="D273" s="26" t="s">
        <v>60</v>
      </c>
      <c r="E273" s="26" t="s">
        <v>70</v>
      </c>
      <c r="F273" s="26"/>
      <c r="G273" s="26" t="s">
        <v>64</v>
      </c>
      <c r="H273" s="49" t="s">
        <v>328</v>
      </c>
      <c r="I273" s="50">
        <v>1766.7785234899329</v>
      </c>
      <c r="J273" s="26" t="s">
        <v>67</v>
      </c>
      <c r="K273" s="48" t="s">
        <v>371</v>
      </c>
      <c r="L273" s="67" t="s">
        <v>14</v>
      </c>
      <c r="M273" s="98" t="s">
        <v>202</v>
      </c>
      <c r="N273" s="26">
        <v>2026</v>
      </c>
    </row>
    <row r="274" spans="1:14">
      <c r="A274" s="26">
        <v>273</v>
      </c>
      <c r="B274" s="26" t="s">
        <v>17</v>
      </c>
      <c r="C274" s="26" t="s">
        <v>25</v>
      </c>
      <c r="D274" s="26" t="s">
        <v>60</v>
      </c>
      <c r="E274" s="26" t="s">
        <v>70</v>
      </c>
      <c r="F274" s="26"/>
      <c r="G274" s="26" t="s">
        <v>64</v>
      </c>
      <c r="H274" s="26" t="s">
        <v>251</v>
      </c>
      <c r="I274" s="50">
        <v>1725.5033557046979</v>
      </c>
      <c r="J274" s="26" t="s">
        <v>67</v>
      </c>
      <c r="K274" s="48">
        <v>46328</v>
      </c>
      <c r="L274" s="67" t="s">
        <v>14</v>
      </c>
      <c r="M274" s="98" t="s">
        <v>202</v>
      </c>
      <c r="N274" s="26">
        <v>2026</v>
      </c>
    </row>
    <row r="275" spans="1:14">
      <c r="A275" s="26">
        <v>274</v>
      </c>
      <c r="B275" s="26" t="s">
        <v>42</v>
      </c>
      <c r="C275" s="100" t="s">
        <v>50</v>
      </c>
      <c r="D275" s="26" t="s">
        <v>60</v>
      </c>
      <c r="E275" s="26" t="s">
        <v>70</v>
      </c>
      <c r="F275" s="26"/>
      <c r="G275" s="26" t="s">
        <v>121</v>
      </c>
      <c r="H275" s="49" t="s">
        <v>115</v>
      </c>
      <c r="I275" s="50">
        <v>1707.6</v>
      </c>
      <c r="J275" s="26" t="s">
        <v>592</v>
      </c>
      <c r="K275" s="48">
        <v>46068</v>
      </c>
      <c r="L275" s="67">
        <v>2026400458</v>
      </c>
      <c r="M275" s="26" t="s">
        <v>202</v>
      </c>
      <c r="N275" s="26">
        <v>2026</v>
      </c>
    </row>
    <row r="276" spans="1:14">
      <c r="A276" s="26">
        <v>275</v>
      </c>
      <c r="B276" s="26" t="s">
        <v>17</v>
      </c>
      <c r="C276" s="26" t="s">
        <v>265</v>
      </c>
      <c r="D276" s="26" t="s">
        <v>60</v>
      </c>
      <c r="E276" s="26" t="s">
        <v>70</v>
      </c>
      <c r="F276" s="26"/>
      <c r="G276" s="26" t="s">
        <v>121</v>
      </c>
      <c r="H276" s="26" t="s">
        <v>115</v>
      </c>
      <c r="I276" s="53">
        <v>1680.9</v>
      </c>
      <c r="J276" s="26" t="s">
        <v>638</v>
      </c>
      <c r="K276" s="48">
        <v>46082</v>
      </c>
      <c r="L276" s="26">
        <v>2026400637</v>
      </c>
      <c r="M276" s="26" t="s">
        <v>202</v>
      </c>
      <c r="N276" s="26">
        <v>2026</v>
      </c>
    </row>
    <row r="277" spans="1:14">
      <c r="A277" s="26">
        <v>276</v>
      </c>
      <c r="B277" s="26" t="s">
        <v>54</v>
      </c>
      <c r="C277" s="77" t="s">
        <v>55</v>
      </c>
      <c r="D277" s="26" t="s">
        <v>60</v>
      </c>
      <c r="E277" s="26" t="s">
        <v>70</v>
      </c>
      <c r="F277" s="26"/>
      <c r="G277" s="26" t="s">
        <v>409</v>
      </c>
      <c r="H277" s="49" t="s">
        <v>115</v>
      </c>
      <c r="I277" s="50">
        <v>1667.7852348993288</v>
      </c>
      <c r="J277" s="26" t="s">
        <v>452</v>
      </c>
      <c r="K277" s="48">
        <v>46061</v>
      </c>
      <c r="L277" s="51">
        <v>2026400376</v>
      </c>
      <c r="M277" s="26" t="s">
        <v>202</v>
      </c>
      <c r="N277" s="26">
        <v>2026</v>
      </c>
    </row>
    <row r="278" spans="1:14">
      <c r="A278" s="26">
        <v>277</v>
      </c>
      <c r="B278" s="45" t="s">
        <v>17</v>
      </c>
      <c r="C278" s="26" t="s">
        <v>18</v>
      </c>
      <c r="D278" s="26" t="s">
        <v>60</v>
      </c>
      <c r="E278" s="26" t="s">
        <v>70</v>
      </c>
      <c r="F278" s="26"/>
      <c r="G278" s="45" t="s">
        <v>121</v>
      </c>
      <c r="H278" s="49" t="s">
        <v>115</v>
      </c>
      <c r="I278" s="53">
        <v>1620</v>
      </c>
      <c r="J278" s="26" t="s">
        <v>532</v>
      </c>
      <c r="K278" s="48">
        <v>46075</v>
      </c>
      <c r="L278" s="26">
        <v>2026400558</v>
      </c>
      <c r="M278" s="26" t="s">
        <v>202</v>
      </c>
      <c r="N278" s="26">
        <v>2026</v>
      </c>
    </row>
    <row r="279" spans="1:14">
      <c r="A279" s="26">
        <v>278</v>
      </c>
      <c r="B279" s="26" t="s">
        <v>52</v>
      </c>
      <c r="C279" s="26" t="s">
        <v>62</v>
      </c>
      <c r="D279" s="26" t="s">
        <v>60</v>
      </c>
      <c r="E279" s="26" t="s">
        <v>70</v>
      </c>
      <c r="F279" s="26"/>
      <c r="G279" s="26" t="s">
        <v>268</v>
      </c>
      <c r="H279" s="26" t="s">
        <v>115</v>
      </c>
      <c r="I279" s="53">
        <v>1614.2888283378745</v>
      </c>
      <c r="J279" s="26" t="s">
        <v>14</v>
      </c>
      <c r="K279" s="48" t="s">
        <v>14</v>
      </c>
      <c r="L279" s="26" t="s">
        <v>14</v>
      </c>
      <c r="M279" s="98" t="s">
        <v>202</v>
      </c>
      <c r="N279" s="26">
        <v>2026</v>
      </c>
    </row>
    <row r="280" spans="1:14">
      <c r="A280" s="26">
        <v>279</v>
      </c>
      <c r="B280" s="59" t="s">
        <v>52</v>
      </c>
      <c r="C280" s="59" t="s">
        <v>62</v>
      </c>
      <c r="D280" s="26" t="s">
        <v>60</v>
      </c>
      <c r="E280" s="26" t="s">
        <v>70</v>
      </c>
      <c r="F280" s="26"/>
      <c r="G280" s="26" t="s">
        <v>121</v>
      </c>
      <c r="H280" s="100" t="s">
        <v>115</v>
      </c>
      <c r="I280" s="53">
        <v>1602.2</v>
      </c>
      <c r="J280" s="100" t="s">
        <v>653</v>
      </c>
      <c r="K280" s="103">
        <v>46081</v>
      </c>
      <c r="L280" s="100">
        <v>2026400626</v>
      </c>
      <c r="M280" s="100" t="s">
        <v>202</v>
      </c>
      <c r="N280" s="26">
        <v>2026</v>
      </c>
    </row>
    <row r="281" spans="1:14">
      <c r="A281" s="26">
        <v>280</v>
      </c>
      <c r="B281" s="26" t="s">
        <v>54</v>
      </c>
      <c r="C281" s="26" t="s">
        <v>55</v>
      </c>
      <c r="D281" s="26" t="s">
        <v>60</v>
      </c>
      <c r="E281" s="26" t="s">
        <v>70</v>
      </c>
      <c r="F281" s="26"/>
      <c r="G281" s="26" t="s">
        <v>121</v>
      </c>
      <c r="H281" s="26" t="s">
        <v>115</v>
      </c>
      <c r="I281" s="46">
        <v>1601</v>
      </c>
      <c r="J281" s="26" t="s">
        <v>678</v>
      </c>
      <c r="K281" s="48">
        <v>46060</v>
      </c>
      <c r="L281" s="26">
        <v>2026400344</v>
      </c>
      <c r="M281" s="100" t="s">
        <v>202</v>
      </c>
      <c r="N281" s="26">
        <v>2026</v>
      </c>
    </row>
    <row r="282" spans="1:14">
      <c r="A282" s="26">
        <v>281</v>
      </c>
      <c r="B282" s="26" t="s">
        <v>42</v>
      </c>
      <c r="C282" s="26" t="s">
        <v>257</v>
      </c>
      <c r="D282" s="26" t="s">
        <v>60</v>
      </c>
      <c r="E282" s="57" t="s">
        <v>70</v>
      </c>
      <c r="F282" s="26"/>
      <c r="G282" s="26" t="s">
        <v>119</v>
      </c>
      <c r="H282" s="26" t="s">
        <v>115</v>
      </c>
      <c r="I282" s="53">
        <v>1600.2</v>
      </c>
      <c r="J282" s="26" t="s">
        <v>673</v>
      </c>
      <c r="K282" s="48">
        <v>46073</v>
      </c>
      <c r="L282" s="26">
        <v>2026400804</v>
      </c>
      <c r="M282" s="26" t="s">
        <v>202</v>
      </c>
      <c r="N282" s="26">
        <v>2026</v>
      </c>
    </row>
    <row r="283" spans="1:14">
      <c r="A283" s="26">
        <v>282</v>
      </c>
      <c r="B283" s="26" t="s">
        <v>42</v>
      </c>
      <c r="C283" s="26" t="s">
        <v>45</v>
      </c>
      <c r="D283" s="26" t="s">
        <v>60</v>
      </c>
      <c r="E283" s="57" t="s">
        <v>70</v>
      </c>
      <c r="F283" s="26"/>
      <c r="G283" s="26" t="s">
        <v>121</v>
      </c>
      <c r="H283" s="26" t="s">
        <v>115</v>
      </c>
      <c r="I283" s="53">
        <v>1571.4</v>
      </c>
      <c r="J283" s="26" t="s">
        <v>547</v>
      </c>
      <c r="K283" s="48">
        <v>46076</v>
      </c>
      <c r="L283" s="26">
        <v>2026400569</v>
      </c>
      <c r="M283" s="26" t="s">
        <v>202</v>
      </c>
      <c r="N283" s="26">
        <v>2026</v>
      </c>
    </row>
    <row r="284" spans="1:14">
      <c r="A284" s="26">
        <v>283</v>
      </c>
      <c r="B284" s="26" t="s">
        <v>17</v>
      </c>
      <c r="C284" s="26" t="s">
        <v>22</v>
      </c>
      <c r="D284" s="100" t="s">
        <v>60</v>
      </c>
      <c r="E284" s="57" t="s">
        <v>70</v>
      </c>
      <c r="F284" s="26"/>
      <c r="G284" s="26" t="s">
        <v>116</v>
      </c>
      <c r="H284" s="26" t="s">
        <v>269</v>
      </c>
      <c r="I284" s="53">
        <v>1565.6</v>
      </c>
      <c r="J284" s="26" t="s">
        <v>553</v>
      </c>
      <c r="K284" s="48">
        <v>46070</v>
      </c>
      <c r="L284" s="26">
        <v>2026400531</v>
      </c>
      <c r="M284" s="26" t="s">
        <v>202</v>
      </c>
      <c r="N284" s="26">
        <v>2026</v>
      </c>
    </row>
    <row r="285" spans="1:14">
      <c r="A285" s="26">
        <v>284</v>
      </c>
      <c r="B285" s="26" t="s">
        <v>42</v>
      </c>
      <c r="C285" s="48" t="s">
        <v>51</v>
      </c>
      <c r="D285" s="26" t="s">
        <v>60</v>
      </c>
      <c r="E285" s="26" t="s">
        <v>70</v>
      </c>
      <c r="F285" s="26"/>
      <c r="G285" s="26" t="s">
        <v>64</v>
      </c>
      <c r="H285" s="49" t="s">
        <v>337</v>
      </c>
      <c r="I285" s="50">
        <v>1557.0469798657718</v>
      </c>
      <c r="J285" s="26" t="s">
        <v>67</v>
      </c>
      <c r="K285" s="48">
        <v>46083</v>
      </c>
      <c r="L285" s="67" t="s">
        <v>14</v>
      </c>
      <c r="M285" s="98" t="s">
        <v>202</v>
      </c>
      <c r="N285" s="26">
        <v>2026</v>
      </c>
    </row>
    <row r="286" spans="1:14">
      <c r="A286" s="26">
        <v>285</v>
      </c>
      <c r="B286" s="26" t="s">
        <v>17</v>
      </c>
      <c r="C286" s="26" t="s">
        <v>25</v>
      </c>
      <c r="D286" s="26" t="s">
        <v>60</v>
      </c>
      <c r="E286" s="26" t="s">
        <v>70</v>
      </c>
      <c r="F286" s="26"/>
      <c r="G286" s="26" t="s">
        <v>121</v>
      </c>
      <c r="H286" s="49" t="s">
        <v>115</v>
      </c>
      <c r="I286" s="53">
        <v>1500</v>
      </c>
      <c r="J286" s="26" t="s">
        <v>506</v>
      </c>
      <c r="K286" s="48">
        <v>46054</v>
      </c>
      <c r="L286" s="26">
        <v>2026400282</v>
      </c>
      <c r="M286" s="26" t="s">
        <v>202</v>
      </c>
      <c r="N286" s="26">
        <v>2026</v>
      </c>
    </row>
    <row r="287" spans="1:14">
      <c r="A287" s="26">
        <v>286</v>
      </c>
      <c r="B287" s="45" t="s">
        <v>42</v>
      </c>
      <c r="C287" s="26" t="s">
        <v>50</v>
      </c>
      <c r="D287" s="26" t="s">
        <v>60</v>
      </c>
      <c r="E287" s="26" t="s">
        <v>70</v>
      </c>
      <c r="F287" s="26"/>
      <c r="G287" s="45" t="s">
        <v>121</v>
      </c>
      <c r="H287" s="45" t="s">
        <v>115</v>
      </c>
      <c r="I287" s="53">
        <v>1483</v>
      </c>
      <c r="J287" s="26" t="s">
        <v>605</v>
      </c>
      <c r="K287" s="48">
        <v>46075</v>
      </c>
      <c r="L287" s="26">
        <v>2026400485</v>
      </c>
      <c r="M287" s="26" t="s">
        <v>202</v>
      </c>
      <c r="N287" s="26">
        <v>2026</v>
      </c>
    </row>
    <row r="288" spans="1:14">
      <c r="A288" s="26">
        <v>287</v>
      </c>
      <c r="B288" s="59" t="s">
        <v>52</v>
      </c>
      <c r="C288" s="59" t="s">
        <v>62</v>
      </c>
      <c r="D288" s="26" t="s">
        <v>60</v>
      </c>
      <c r="E288" s="26" t="s">
        <v>70</v>
      </c>
      <c r="F288" s="26"/>
      <c r="G288" s="26" t="s">
        <v>121</v>
      </c>
      <c r="H288" s="100" t="s">
        <v>115</v>
      </c>
      <c r="I288" s="53">
        <v>1440</v>
      </c>
      <c r="J288" s="100" t="s">
        <v>654</v>
      </c>
      <c r="K288" s="103">
        <v>46081</v>
      </c>
      <c r="L288" s="100">
        <v>2026400648</v>
      </c>
      <c r="M288" s="100" t="s">
        <v>202</v>
      </c>
      <c r="N288" s="26">
        <v>2026</v>
      </c>
    </row>
    <row r="289" spans="1:14">
      <c r="A289" s="26">
        <v>288</v>
      </c>
      <c r="B289" s="26" t="s">
        <v>52</v>
      </c>
      <c r="C289" s="70" t="s">
        <v>62</v>
      </c>
      <c r="D289" s="26" t="s">
        <v>60</v>
      </c>
      <c r="E289" s="26" t="s">
        <v>70</v>
      </c>
      <c r="F289" s="26"/>
      <c r="G289" s="26" t="s">
        <v>64</v>
      </c>
      <c r="H289" s="49" t="s">
        <v>328</v>
      </c>
      <c r="I289" s="50">
        <v>1426.8456375838925</v>
      </c>
      <c r="J289" s="26" t="s">
        <v>67</v>
      </c>
      <c r="K289" s="48" t="s">
        <v>372</v>
      </c>
      <c r="L289" s="67" t="s">
        <v>14</v>
      </c>
      <c r="M289" s="98" t="s">
        <v>202</v>
      </c>
      <c r="N289" s="26">
        <v>2026</v>
      </c>
    </row>
    <row r="290" spans="1:14">
      <c r="A290" s="26">
        <v>289</v>
      </c>
      <c r="B290" s="26" t="s">
        <v>17</v>
      </c>
      <c r="C290" s="26" t="s">
        <v>22</v>
      </c>
      <c r="D290" s="26" t="s">
        <v>60</v>
      </c>
      <c r="E290" s="26" t="s">
        <v>70</v>
      </c>
      <c r="F290" s="26"/>
      <c r="G290" s="26" t="s">
        <v>290</v>
      </c>
      <c r="H290" s="26" t="s">
        <v>234</v>
      </c>
      <c r="I290" s="46">
        <v>1426.1744966442952</v>
      </c>
      <c r="J290" s="26" t="s">
        <v>453</v>
      </c>
      <c r="K290" s="48">
        <v>46068</v>
      </c>
      <c r="L290" s="26">
        <v>2026400562</v>
      </c>
      <c r="M290" s="26" t="s">
        <v>202</v>
      </c>
      <c r="N290" s="26">
        <v>2026</v>
      </c>
    </row>
    <row r="291" spans="1:14">
      <c r="A291" s="26">
        <v>290</v>
      </c>
      <c r="B291" s="63" t="s">
        <v>54</v>
      </c>
      <c r="C291" s="26" t="s">
        <v>55</v>
      </c>
      <c r="D291" s="26" t="s">
        <v>60</v>
      </c>
      <c r="E291" s="57" t="s">
        <v>70</v>
      </c>
      <c r="F291" s="26"/>
      <c r="G291" s="26" t="s">
        <v>267</v>
      </c>
      <c r="H291" s="49" t="s">
        <v>115</v>
      </c>
      <c r="I291" s="53">
        <v>1409.3959731543623</v>
      </c>
      <c r="J291" s="26" t="s">
        <v>454</v>
      </c>
      <c r="K291" s="48">
        <v>46053</v>
      </c>
      <c r="L291" s="26">
        <v>2026400407</v>
      </c>
      <c r="M291" s="26" t="s">
        <v>202</v>
      </c>
      <c r="N291" s="26">
        <v>2026</v>
      </c>
    </row>
    <row r="292" spans="1:14">
      <c r="A292" s="26">
        <v>291</v>
      </c>
      <c r="B292" s="26" t="s">
        <v>42</v>
      </c>
      <c r="C292" s="48" t="s">
        <v>50</v>
      </c>
      <c r="D292" s="26" t="s">
        <v>60</v>
      </c>
      <c r="E292" s="26" t="s">
        <v>70</v>
      </c>
      <c r="F292" s="26"/>
      <c r="G292" s="26" t="s">
        <v>121</v>
      </c>
      <c r="H292" s="49" t="s">
        <v>115</v>
      </c>
      <c r="I292" s="50">
        <v>1396.1</v>
      </c>
      <c r="J292" s="26" t="s">
        <v>597</v>
      </c>
      <c r="K292" s="48">
        <v>46069</v>
      </c>
      <c r="L292" s="67">
        <v>2026400430</v>
      </c>
      <c r="M292" s="26" t="s">
        <v>202</v>
      </c>
      <c r="N292" s="26">
        <v>2026</v>
      </c>
    </row>
    <row r="293" spans="1:14">
      <c r="A293" s="26">
        <v>292</v>
      </c>
      <c r="B293" s="26" t="s">
        <v>42</v>
      </c>
      <c r="C293" s="48" t="s">
        <v>50</v>
      </c>
      <c r="D293" s="26" t="s">
        <v>60</v>
      </c>
      <c r="E293" s="26" t="s">
        <v>70</v>
      </c>
      <c r="F293" s="26"/>
      <c r="G293" s="26" t="s">
        <v>282</v>
      </c>
      <c r="H293" s="49" t="s">
        <v>115</v>
      </c>
      <c r="I293" s="50">
        <v>1396</v>
      </c>
      <c r="J293" s="26" t="s">
        <v>542</v>
      </c>
      <c r="K293" s="48">
        <v>46076</v>
      </c>
      <c r="L293" s="51">
        <v>2026400542</v>
      </c>
      <c r="M293" s="26" t="s">
        <v>202</v>
      </c>
      <c r="N293" s="26">
        <v>2026</v>
      </c>
    </row>
    <row r="294" spans="1:14">
      <c r="A294" s="26">
        <v>293</v>
      </c>
      <c r="B294" s="26" t="s">
        <v>42</v>
      </c>
      <c r="C294" s="77" t="s">
        <v>50</v>
      </c>
      <c r="D294" s="26" t="s">
        <v>60</v>
      </c>
      <c r="E294" s="26" t="s">
        <v>70</v>
      </c>
      <c r="F294" s="26"/>
      <c r="G294" s="26" t="s">
        <v>410</v>
      </c>
      <c r="H294" s="49" t="s">
        <v>234</v>
      </c>
      <c r="I294" s="50">
        <v>1385.234899328859</v>
      </c>
      <c r="J294" s="26" t="s">
        <v>455</v>
      </c>
      <c r="K294" s="48">
        <v>46078</v>
      </c>
      <c r="L294" s="67">
        <v>2026400946</v>
      </c>
      <c r="M294" s="26" t="s">
        <v>202</v>
      </c>
      <c r="N294" s="26">
        <v>2026</v>
      </c>
    </row>
    <row r="295" spans="1:14">
      <c r="A295" s="26">
        <v>294</v>
      </c>
      <c r="B295" s="26" t="s">
        <v>54</v>
      </c>
      <c r="C295" s="26" t="s">
        <v>55</v>
      </c>
      <c r="D295" s="26" t="s">
        <v>60</v>
      </c>
      <c r="E295" s="26" t="s">
        <v>70</v>
      </c>
      <c r="F295" s="26"/>
      <c r="G295" s="26" t="s">
        <v>291</v>
      </c>
      <c r="H295" s="100" t="s">
        <v>115</v>
      </c>
      <c r="I295" s="50">
        <v>1375.8389261744967</v>
      </c>
      <c r="J295" s="26" t="s">
        <v>232</v>
      </c>
      <c r="K295" s="48">
        <v>46060</v>
      </c>
      <c r="L295" s="67">
        <v>2026400243</v>
      </c>
      <c r="M295" s="26" t="s">
        <v>202</v>
      </c>
      <c r="N295" s="26">
        <v>2026</v>
      </c>
    </row>
    <row r="296" spans="1:14">
      <c r="A296" s="26">
        <v>295</v>
      </c>
      <c r="B296" s="26" t="s">
        <v>17</v>
      </c>
      <c r="C296" s="26" t="s">
        <v>25</v>
      </c>
      <c r="D296" s="26" t="s">
        <v>60</v>
      </c>
      <c r="E296" s="26" t="s">
        <v>70</v>
      </c>
      <c r="F296" s="26"/>
      <c r="G296" s="26" t="s">
        <v>227</v>
      </c>
      <c r="H296" s="26" t="s">
        <v>269</v>
      </c>
      <c r="I296" s="46">
        <v>1375</v>
      </c>
      <c r="J296" s="26" t="s">
        <v>566</v>
      </c>
      <c r="K296" s="48">
        <v>46074</v>
      </c>
      <c r="L296" s="26">
        <v>2026400695</v>
      </c>
      <c r="M296" s="26" t="s">
        <v>202</v>
      </c>
      <c r="N296" s="26">
        <v>2026</v>
      </c>
    </row>
    <row r="297" spans="1:14">
      <c r="A297" s="26">
        <v>296</v>
      </c>
      <c r="B297" s="45" t="s">
        <v>52</v>
      </c>
      <c r="C297" s="26" t="s">
        <v>62</v>
      </c>
      <c r="D297" s="26" t="s">
        <v>60</v>
      </c>
      <c r="E297" s="26" t="s">
        <v>70</v>
      </c>
      <c r="F297" s="26"/>
      <c r="G297" s="45" t="s">
        <v>121</v>
      </c>
      <c r="H297" s="45" t="s">
        <v>115</v>
      </c>
      <c r="I297" s="53">
        <v>1358</v>
      </c>
      <c r="J297" s="26" t="s">
        <v>609</v>
      </c>
      <c r="K297" s="48">
        <v>46068</v>
      </c>
      <c r="L297" s="26">
        <v>2026400336</v>
      </c>
      <c r="M297" s="26" t="s">
        <v>202</v>
      </c>
      <c r="N297" s="26">
        <v>2026</v>
      </c>
    </row>
    <row r="298" spans="1:14">
      <c r="A298" s="26">
        <v>297</v>
      </c>
      <c r="B298" s="26" t="s">
        <v>42</v>
      </c>
      <c r="C298" s="48" t="s">
        <v>50</v>
      </c>
      <c r="D298" s="26" t="s">
        <v>60</v>
      </c>
      <c r="E298" s="26" t="s">
        <v>70</v>
      </c>
      <c r="F298" s="26"/>
      <c r="G298" s="26" t="s">
        <v>410</v>
      </c>
      <c r="H298" s="49" t="s">
        <v>235</v>
      </c>
      <c r="I298" s="50">
        <v>1348.9932885906039</v>
      </c>
      <c r="J298" s="26" t="s">
        <v>456</v>
      </c>
      <c r="K298" s="48">
        <v>46078</v>
      </c>
      <c r="L298" s="51">
        <v>2026400945</v>
      </c>
      <c r="M298" s="26" t="s">
        <v>202</v>
      </c>
      <c r="N298" s="26">
        <v>2026</v>
      </c>
    </row>
    <row r="299" spans="1:14">
      <c r="A299" s="26">
        <v>298</v>
      </c>
      <c r="B299" s="26" t="s">
        <v>52</v>
      </c>
      <c r="C299" s="70" t="s">
        <v>62</v>
      </c>
      <c r="D299" s="26" t="s">
        <v>60</v>
      </c>
      <c r="E299" s="26" t="s">
        <v>70</v>
      </c>
      <c r="F299" s="26"/>
      <c r="G299" s="26" t="s">
        <v>64</v>
      </c>
      <c r="H299" s="49" t="s">
        <v>328</v>
      </c>
      <c r="I299" s="50">
        <v>1318.7919463087248</v>
      </c>
      <c r="J299" s="26" t="s">
        <v>67</v>
      </c>
      <c r="K299" s="48">
        <v>46358</v>
      </c>
      <c r="L299" s="67" t="s">
        <v>14</v>
      </c>
      <c r="M299" s="98" t="s">
        <v>202</v>
      </c>
      <c r="N299" s="26">
        <v>2026</v>
      </c>
    </row>
    <row r="300" spans="1:14">
      <c r="A300" s="26">
        <v>299</v>
      </c>
      <c r="B300" s="26" t="s">
        <v>42</v>
      </c>
      <c r="C300" s="48" t="s">
        <v>45</v>
      </c>
      <c r="D300" s="26" t="s">
        <v>60</v>
      </c>
      <c r="E300" s="26" t="s">
        <v>70</v>
      </c>
      <c r="F300" s="26"/>
      <c r="G300" s="26" t="s">
        <v>64</v>
      </c>
      <c r="H300" s="49" t="s">
        <v>321</v>
      </c>
      <c r="I300" s="50">
        <v>1313.7583892617449</v>
      </c>
      <c r="J300" s="26" t="s">
        <v>67</v>
      </c>
      <c r="K300" s="48" t="s">
        <v>274</v>
      </c>
      <c r="L300" s="67" t="s">
        <v>14</v>
      </c>
      <c r="M300" s="98" t="s">
        <v>202</v>
      </c>
      <c r="N300" s="26">
        <v>2026</v>
      </c>
    </row>
    <row r="301" spans="1:14">
      <c r="A301" s="26">
        <v>300</v>
      </c>
      <c r="B301" s="26" t="s">
        <v>42</v>
      </c>
      <c r="C301" s="26" t="s">
        <v>50</v>
      </c>
      <c r="D301" s="26" t="s">
        <v>60</v>
      </c>
      <c r="E301" s="26" t="s">
        <v>70</v>
      </c>
      <c r="F301" s="26"/>
      <c r="G301" s="26" t="s">
        <v>121</v>
      </c>
      <c r="H301" s="26" t="s">
        <v>115</v>
      </c>
      <c r="I301" s="46">
        <v>1296.8</v>
      </c>
      <c r="J301" s="26" t="s">
        <v>555</v>
      </c>
      <c r="K301" s="48">
        <v>46068</v>
      </c>
      <c r="L301" s="26">
        <v>2026400492</v>
      </c>
      <c r="M301" s="26" t="s">
        <v>202</v>
      </c>
      <c r="N301" s="26">
        <v>2026</v>
      </c>
    </row>
    <row r="302" spans="1:14">
      <c r="A302" s="26">
        <v>301</v>
      </c>
      <c r="B302" s="26" t="s">
        <v>35</v>
      </c>
      <c r="C302" s="26" t="s">
        <v>37</v>
      </c>
      <c r="D302" s="26" t="s">
        <v>60</v>
      </c>
      <c r="E302" s="26" t="s">
        <v>70</v>
      </c>
      <c r="F302" s="26"/>
      <c r="G302" s="26" t="s">
        <v>121</v>
      </c>
      <c r="H302" s="26" t="s">
        <v>115</v>
      </c>
      <c r="I302" s="53">
        <v>1290</v>
      </c>
      <c r="J302" s="26" t="s">
        <v>631</v>
      </c>
      <c r="K302" s="48">
        <v>46081</v>
      </c>
      <c r="L302" s="26">
        <v>2026400628</v>
      </c>
      <c r="M302" s="26" t="s">
        <v>202</v>
      </c>
      <c r="N302" s="26">
        <v>2026</v>
      </c>
    </row>
    <row r="303" spans="1:14">
      <c r="A303" s="26">
        <v>302</v>
      </c>
      <c r="B303" s="26" t="s">
        <v>52</v>
      </c>
      <c r="C303" s="70" t="s">
        <v>62</v>
      </c>
      <c r="D303" s="26" t="s">
        <v>60</v>
      </c>
      <c r="E303" s="26" t="s">
        <v>70</v>
      </c>
      <c r="F303" s="26"/>
      <c r="G303" s="26" t="s">
        <v>64</v>
      </c>
      <c r="H303" s="49" t="s">
        <v>327</v>
      </c>
      <c r="I303" s="50">
        <v>1276.510067114094</v>
      </c>
      <c r="J303" s="26" t="s">
        <v>67</v>
      </c>
      <c r="K303" s="48" t="s">
        <v>370</v>
      </c>
      <c r="L303" s="67" t="s">
        <v>14</v>
      </c>
      <c r="M303" s="98" t="s">
        <v>202</v>
      </c>
      <c r="N303" s="26">
        <v>2026</v>
      </c>
    </row>
    <row r="304" spans="1:14">
      <c r="A304" s="26">
        <v>303</v>
      </c>
      <c r="B304" s="47" t="s">
        <v>42</v>
      </c>
      <c r="C304" s="48" t="s">
        <v>50</v>
      </c>
      <c r="D304" s="26" t="s">
        <v>60</v>
      </c>
      <c r="E304" s="26" t="s">
        <v>70</v>
      </c>
      <c r="F304" s="26"/>
      <c r="G304" s="26" t="s">
        <v>411</v>
      </c>
      <c r="H304" s="26" t="s">
        <v>115</v>
      </c>
      <c r="I304" s="53">
        <v>1275.1677852348994</v>
      </c>
      <c r="J304" s="48" t="s">
        <v>457</v>
      </c>
      <c r="K304" s="48">
        <v>46050</v>
      </c>
      <c r="L304" s="51">
        <v>2026400300</v>
      </c>
      <c r="M304" s="26" t="s">
        <v>202</v>
      </c>
      <c r="N304" s="26">
        <v>2026</v>
      </c>
    </row>
    <row r="305" spans="1:14">
      <c r="A305" s="26">
        <v>304</v>
      </c>
      <c r="B305" s="26" t="s">
        <v>42</v>
      </c>
      <c r="C305" s="26" t="s">
        <v>50</v>
      </c>
      <c r="D305" s="26" t="s">
        <v>60</v>
      </c>
      <c r="E305" s="26" t="s">
        <v>70</v>
      </c>
      <c r="F305" s="26"/>
      <c r="G305" s="26" t="s">
        <v>119</v>
      </c>
      <c r="H305" s="49" t="s">
        <v>115</v>
      </c>
      <c r="I305" s="53">
        <v>1269.23</v>
      </c>
      <c r="J305" s="26" t="s">
        <v>671</v>
      </c>
      <c r="K305" s="48">
        <v>46073</v>
      </c>
      <c r="L305" s="26">
        <v>2026400802</v>
      </c>
      <c r="M305" s="26" t="s">
        <v>202</v>
      </c>
      <c r="N305" s="26">
        <v>2026</v>
      </c>
    </row>
    <row r="306" spans="1:14">
      <c r="A306" s="26">
        <v>305</v>
      </c>
      <c r="B306" s="26" t="s">
        <v>17</v>
      </c>
      <c r="C306" s="100" t="s">
        <v>22</v>
      </c>
      <c r="D306" s="26" t="s">
        <v>60</v>
      </c>
      <c r="E306" s="26" t="s">
        <v>70</v>
      </c>
      <c r="F306" s="26"/>
      <c r="G306" s="26" t="s">
        <v>121</v>
      </c>
      <c r="H306" s="26" t="s">
        <v>115</v>
      </c>
      <c r="I306" s="53">
        <v>1262.2</v>
      </c>
      <c r="J306" s="26" t="s">
        <v>637</v>
      </c>
      <c r="K306" s="48">
        <v>46081</v>
      </c>
      <c r="L306" s="26">
        <v>2026400629</v>
      </c>
      <c r="M306" s="26" t="s">
        <v>202</v>
      </c>
      <c r="N306" s="26">
        <v>2026</v>
      </c>
    </row>
    <row r="307" spans="1:14">
      <c r="A307" s="26">
        <v>306</v>
      </c>
      <c r="B307" s="26" t="s">
        <v>52</v>
      </c>
      <c r="C307" s="70" t="s">
        <v>62</v>
      </c>
      <c r="D307" s="26" t="s">
        <v>60</v>
      </c>
      <c r="E307" s="26" t="s">
        <v>70</v>
      </c>
      <c r="F307" s="26"/>
      <c r="G307" s="26" t="s">
        <v>64</v>
      </c>
      <c r="H307" s="26" t="s">
        <v>328</v>
      </c>
      <c r="I307" s="50">
        <v>1259.7315436241611</v>
      </c>
      <c r="J307" s="26" t="s">
        <v>67</v>
      </c>
      <c r="K307" s="48">
        <v>46083</v>
      </c>
      <c r="L307" s="67" t="s">
        <v>14</v>
      </c>
      <c r="M307" s="98" t="s">
        <v>202</v>
      </c>
      <c r="N307" s="26">
        <v>2026</v>
      </c>
    </row>
    <row r="308" spans="1:14">
      <c r="A308" s="26">
        <v>307</v>
      </c>
      <c r="B308" s="63" t="s">
        <v>58</v>
      </c>
      <c r="C308" s="26" t="s">
        <v>59</v>
      </c>
      <c r="D308" s="26" t="s">
        <v>60</v>
      </c>
      <c r="E308" s="57" t="s">
        <v>70</v>
      </c>
      <c r="F308" s="26"/>
      <c r="G308" s="26" t="s">
        <v>412</v>
      </c>
      <c r="H308" s="26" t="s">
        <v>115</v>
      </c>
      <c r="I308" s="53">
        <v>1258.3892617449665</v>
      </c>
      <c r="J308" s="26" t="s">
        <v>458</v>
      </c>
      <c r="K308" s="48">
        <v>46070</v>
      </c>
      <c r="L308" s="26">
        <v>2026400714</v>
      </c>
      <c r="M308" s="26" t="s">
        <v>202</v>
      </c>
      <c r="N308" s="26">
        <v>2026</v>
      </c>
    </row>
    <row r="309" spans="1:14">
      <c r="A309" s="26">
        <v>308</v>
      </c>
      <c r="B309" s="26" t="s">
        <v>52</v>
      </c>
      <c r="C309" s="26" t="s">
        <v>62</v>
      </c>
      <c r="D309" s="26" t="s">
        <v>60</v>
      </c>
      <c r="E309" s="26" t="s">
        <v>70</v>
      </c>
      <c r="F309" s="26"/>
      <c r="G309" s="26" t="s">
        <v>121</v>
      </c>
      <c r="H309" s="26" t="s">
        <v>115</v>
      </c>
      <c r="I309" s="53">
        <v>1250</v>
      </c>
      <c r="J309" s="26" t="s">
        <v>550</v>
      </c>
      <c r="K309" s="48">
        <v>46076</v>
      </c>
      <c r="L309" s="26">
        <v>2026400570</v>
      </c>
      <c r="M309" s="26" t="s">
        <v>202</v>
      </c>
      <c r="N309" s="26">
        <v>2026</v>
      </c>
    </row>
    <row r="310" spans="1:14">
      <c r="A310" s="26">
        <v>309</v>
      </c>
      <c r="B310" s="63" t="s">
        <v>42</v>
      </c>
      <c r="C310" s="26" t="s">
        <v>50</v>
      </c>
      <c r="D310" s="26" t="s">
        <v>60</v>
      </c>
      <c r="E310" s="26" t="s">
        <v>70</v>
      </c>
      <c r="F310" s="26"/>
      <c r="G310" s="45" t="s">
        <v>119</v>
      </c>
      <c r="H310" s="45" t="s">
        <v>115</v>
      </c>
      <c r="I310" s="53">
        <v>1210</v>
      </c>
      <c r="J310" s="26" t="s">
        <v>681</v>
      </c>
      <c r="K310" s="48">
        <v>46073</v>
      </c>
      <c r="L310" s="26">
        <v>2026400742</v>
      </c>
      <c r="M310" s="26" t="s">
        <v>202</v>
      </c>
      <c r="N310" s="26">
        <v>2026</v>
      </c>
    </row>
    <row r="311" spans="1:14">
      <c r="A311" s="26">
        <v>310</v>
      </c>
      <c r="B311" s="26" t="s">
        <v>17</v>
      </c>
      <c r="C311" s="26" t="s">
        <v>22</v>
      </c>
      <c r="D311" s="100" t="s">
        <v>60</v>
      </c>
      <c r="E311" s="57" t="s">
        <v>70</v>
      </c>
      <c r="F311" s="26"/>
      <c r="G311" s="26" t="s">
        <v>116</v>
      </c>
      <c r="H311" s="56" t="s">
        <v>269</v>
      </c>
      <c r="I311" s="53">
        <v>1200</v>
      </c>
      <c r="J311" s="26" t="s">
        <v>577</v>
      </c>
      <c r="K311" s="48">
        <v>46070</v>
      </c>
      <c r="L311" s="26">
        <v>2026400533</v>
      </c>
      <c r="M311" s="26" t="s">
        <v>202</v>
      </c>
      <c r="N311" s="26">
        <v>2026</v>
      </c>
    </row>
    <row r="312" spans="1:14">
      <c r="A312" s="26">
        <v>311</v>
      </c>
      <c r="B312" s="26" t="s">
        <v>35</v>
      </c>
      <c r="C312" s="48" t="s">
        <v>39</v>
      </c>
      <c r="D312" s="26" t="s">
        <v>60</v>
      </c>
      <c r="E312" s="26" t="s">
        <v>70</v>
      </c>
      <c r="F312" s="26"/>
      <c r="G312" s="26" t="s">
        <v>406</v>
      </c>
      <c r="H312" s="49" t="s">
        <v>115</v>
      </c>
      <c r="I312" s="50">
        <v>1197.9865771812081</v>
      </c>
      <c r="J312" s="26" t="s">
        <v>459</v>
      </c>
      <c r="K312" s="48">
        <v>46075</v>
      </c>
      <c r="L312" s="51">
        <v>2026400624</v>
      </c>
      <c r="M312" s="26" t="s">
        <v>202</v>
      </c>
      <c r="N312" s="26">
        <v>2026</v>
      </c>
    </row>
    <row r="313" spans="1:14">
      <c r="A313" s="26">
        <v>312</v>
      </c>
      <c r="B313" s="26" t="s">
        <v>271</v>
      </c>
      <c r="C313" s="26" t="s">
        <v>272</v>
      </c>
      <c r="D313" s="100" t="s">
        <v>60</v>
      </c>
      <c r="E313" s="26" t="s">
        <v>70</v>
      </c>
      <c r="F313" s="26"/>
      <c r="G313" s="26" t="s">
        <v>413</v>
      </c>
      <c r="H313" s="26" t="s">
        <v>115</v>
      </c>
      <c r="I313" s="53">
        <v>1179.1946308724832</v>
      </c>
      <c r="J313" s="26" t="s">
        <v>460</v>
      </c>
      <c r="K313" s="48">
        <v>46069</v>
      </c>
      <c r="L313" s="26">
        <v>2026400789</v>
      </c>
      <c r="M313" s="26" t="s">
        <v>202</v>
      </c>
      <c r="N313" s="26">
        <v>2026</v>
      </c>
    </row>
    <row r="314" spans="1:14">
      <c r="A314" s="26">
        <v>313</v>
      </c>
      <c r="B314" s="45" t="s">
        <v>52</v>
      </c>
      <c r="C314" s="26" t="s">
        <v>62</v>
      </c>
      <c r="D314" s="26" t="s">
        <v>60</v>
      </c>
      <c r="E314" s="26" t="s">
        <v>70</v>
      </c>
      <c r="F314" s="26"/>
      <c r="G314" s="45" t="s">
        <v>121</v>
      </c>
      <c r="H314" s="45" t="s">
        <v>115</v>
      </c>
      <c r="I314" s="53">
        <v>1166</v>
      </c>
      <c r="J314" s="26" t="s">
        <v>600</v>
      </c>
      <c r="K314" s="48">
        <v>46068</v>
      </c>
      <c r="L314" s="26">
        <v>2026400452</v>
      </c>
      <c r="M314" s="26" t="s">
        <v>202</v>
      </c>
      <c r="N314" s="26">
        <v>2026</v>
      </c>
    </row>
    <row r="315" spans="1:14">
      <c r="A315" s="26">
        <v>314</v>
      </c>
      <c r="B315" s="26" t="s">
        <v>52</v>
      </c>
      <c r="C315" s="70" t="s">
        <v>62</v>
      </c>
      <c r="D315" s="26" t="s">
        <v>60</v>
      </c>
      <c r="E315" s="26" t="s">
        <v>70</v>
      </c>
      <c r="F315" s="26"/>
      <c r="G315" s="26" t="s">
        <v>64</v>
      </c>
      <c r="H315" s="49" t="s">
        <v>345</v>
      </c>
      <c r="I315" s="50">
        <v>1124.1610738255033</v>
      </c>
      <c r="J315" s="26" t="s">
        <v>67</v>
      </c>
      <c r="K315" s="48">
        <v>46358</v>
      </c>
      <c r="L315" s="67" t="s">
        <v>14</v>
      </c>
      <c r="M315" s="98" t="s">
        <v>202</v>
      </c>
      <c r="N315" s="26">
        <v>2026</v>
      </c>
    </row>
    <row r="316" spans="1:14">
      <c r="A316" s="26">
        <v>315</v>
      </c>
      <c r="B316" s="26" t="s">
        <v>52</v>
      </c>
      <c r="C316" s="70" t="s">
        <v>62</v>
      </c>
      <c r="D316" s="26" t="s">
        <v>60</v>
      </c>
      <c r="E316" s="26" t="s">
        <v>70</v>
      </c>
      <c r="F316" s="26"/>
      <c r="G316" s="26" t="s">
        <v>64</v>
      </c>
      <c r="H316" s="49" t="s">
        <v>345</v>
      </c>
      <c r="I316" s="50">
        <v>1098.8255033557048</v>
      </c>
      <c r="J316" s="26" t="s">
        <v>67</v>
      </c>
      <c r="K316" s="48" t="s">
        <v>376</v>
      </c>
      <c r="L316" s="67" t="s">
        <v>14</v>
      </c>
      <c r="M316" s="98" t="s">
        <v>202</v>
      </c>
      <c r="N316" s="26">
        <v>2026</v>
      </c>
    </row>
    <row r="317" spans="1:14">
      <c r="A317" s="26">
        <v>316</v>
      </c>
      <c r="B317" s="26" t="s">
        <v>17</v>
      </c>
      <c r="C317" s="26" t="s">
        <v>18</v>
      </c>
      <c r="D317" s="26" t="s">
        <v>60</v>
      </c>
      <c r="E317" s="26" t="s">
        <v>70</v>
      </c>
      <c r="F317" s="26"/>
      <c r="G317" s="26" t="s">
        <v>121</v>
      </c>
      <c r="H317" s="26" t="s">
        <v>115</v>
      </c>
      <c r="I317" s="53">
        <v>1090</v>
      </c>
      <c r="J317" s="26" t="s">
        <v>644</v>
      </c>
      <c r="K317" s="48">
        <v>46082</v>
      </c>
      <c r="L317" s="26">
        <v>2026400646</v>
      </c>
      <c r="M317" s="26" t="s">
        <v>202</v>
      </c>
      <c r="N317" s="26">
        <v>2026</v>
      </c>
    </row>
    <row r="318" spans="1:14">
      <c r="A318" s="26">
        <v>317</v>
      </c>
      <c r="B318" s="26" t="s">
        <v>52</v>
      </c>
      <c r="C318" s="48" t="s">
        <v>62</v>
      </c>
      <c r="D318" s="26" t="s">
        <v>60</v>
      </c>
      <c r="E318" s="26" t="s">
        <v>70</v>
      </c>
      <c r="F318" s="26"/>
      <c r="G318" s="26" t="s">
        <v>266</v>
      </c>
      <c r="H318" s="26" t="s">
        <v>115</v>
      </c>
      <c r="I318" s="46">
        <v>1087.2483221476509</v>
      </c>
      <c r="J318" s="48" t="s">
        <v>461</v>
      </c>
      <c r="K318" s="48">
        <v>46076</v>
      </c>
      <c r="L318" s="51">
        <v>2026400661</v>
      </c>
      <c r="M318" s="26" t="s">
        <v>202</v>
      </c>
      <c r="N318" s="26">
        <v>2026</v>
      </c>
    </row>
    <row r="319" spans="1:14">
      <c r="A319" s="26">
        <v>318</v>
      </c>
      <c r="B319" s="26" t="s">
        <v>54</v>
      </c>
      <c r="C319" s="26" t="s">
        <v>55</v>
      </c>
      <c r="D319" s="100" t="s">
        <v>60</v>
      </c>
      <c r="E319" s="57" t="s">
        <v>70</v>
      </c>
      <c r="F319" s="26"/>
      <c r="G319" s="26" t="s">
        <v>262</v>
      </c>
      <c r="H319" s="26" t="s">
        <v>115</v>
      </c>
      <c r="I319" s="53">
        <v>1073.8255033557048</v>
      </c>
      <c r="J319" s="26" t="s">
        <v>462</v>
      </c>
      <c r="K319" s="58">
        <v>46074</v>
      </c>
      <c r="L319" s="26">
        <v>2026400727</v>
      </c>
      <c r="M319" s="26" t="s">
        <v>202</v>
      </c>
      <c r="N319" s="26">
        <v>2026</v>
      </c>
    </row>
    <row r="320" spans="1:14">
      <c r="A320" s="26">
        <v>319</v>
      </c>
      <c r="B320" s="26" t="s">
        <v>52</v>
      </c>
      <c r="C320" s="26" t="s">
        <v>62</v>
      </c>
      <c r="D320" s="26" t="s">
        <v>60</v>
      </c>
      <c r="E320" s="26" t="s">
        <v>70</v>
      </c>
      <c r="F320" s="26"/>
      <c r="G320" s="26" t="s">
        <v>121</v>
      </c>
      <c r="H320" s="26" t="s">
        <v>115</v>
      </c>
      <c r="I320" s="53">
        <v>1066.3</v>
      </c>
      <c r="J320" s="98" t="s">
        <v>685</v>
      </c>
      <c r="K320" s="99">
        <v>46092</v>
      </c>
      <c r="L320" s="26">
        <v>2026400290</v>
      </c>
      <c r="M320" s="100" t="s">
        <v>202</v>
      </c>
      <c r="N320" s="26">
        <v>2026</v>
      </c>
    </row>
    <row r="321" spans="1:14">
      <c r="A321" s="26">
        <v>320</v>
      </c>
      <c r="B321" s="45" t="s">
        <v>42</v>
      </c>
      <c r="C321" s="26" t="s">
        <v>47</v>
      </c>
      <c r="D321" s="26" t="s">
        <v>60</v>
      </c>
      <c r="E321" s="26" t="s">
        <v>70</v>
      </c>
      <c r="F321" s="26"/>
      <c r="G321" s="45" t="s">
        <v>121</v>
      </c>
      <c r="H321" s="45" t="s">
        <v>115</v>
      </c>
      <c r="I321" s="53">
        <v>1059</v>
      </c>
      <c r="J321" s="26" t="s">
        <v>608</v>
      </c>
      <c r="K321" s="48">
        <v>46068</v>
      </c>
      <c r="L321" s="26">
        <v>2026400457</v>
      </c>
      <c r="M321" s="26" t="s">
        <v>202</v>
      </c>
      <c r="N321" s="26">
        <v>2026</v>
      </c>
    </row>
    <row r="322" spans="1:14">
      <c r="A322" s="26">
        <v>321</v>
      </c>
      <c r="B322" s="26" t="s">
        <v>42</v>
      </c>
      <c r="C322" s="48" t="s">
        <v>50</v>
      </c>
      <c r="D322" s="26" t="s">
        <v>60</v>
      </c>
      <c r="E322" s="26" t="s">
        <v>70</v>
      </c>
      <c r="F322" s="26"/>
      <c r="G322" s="26" t="s">
        <v>64</v>
      </c>
      <c r="H322" s="49" t="s">
        <v>335</v>
      </c>
      <c r="I322" s="50">
        <v>1052.3489932885907</v>
      </c>
      <c r="J322" s="26" t="s">
        <v>67</v>
      </c>
      <c r="K322" s="48" t="s">
        <v>371</v>
      </c>
      <c r="L322" s="67" t="s">
        <v>14</v>
      </c>
      <c r="M322" s="98" t="s">
        <v>202</v>
      </c>
      <c r="N322" s="26">
        <v>2026</v>
      </c>
    </row>
    <row r="323" spans="1:14">
      <c r="A323" s="26">
        <v>322</v>
      </c>
      <c r="B323" s="47" t="s">
        <v>52</v>
      </c>
      <c r="C323" s="48" t="s">
        <v>62</v>
      </c>
      <c r="D323" s="26" t="s">
        <v>60</v>
      </c>
      <c r="E323" s="26" t="s">
        <v>70</v>
      </c>
      <c r="F323" s="26"/>
      <c r="G323" s="26" t="s">
        <v>121</v>
      </c>
      <c r="H323" s="26" t="s">
        <v>115</v>
      </c>
      <c r="I323" s="53">
        <v>1050</v>
      </c>
      <c r="J323" s="48" t="s">
        <v>518</v>
      </c>
      <c r="K323" s="48">
        <v>46058</v>
      </c>
      <c r="L323" s="51">
        <v>2026400340</v>
      </c>
      <c r="M323" s="26" t="s">
        <v>202</v>
      </c>
      <c r="N323" s="26">
        <v>2026</v>
      </c>
    </row>
    <row r="324" spans="1:14">
      <c r="A324" s="26">
        <v>323</v>
      </c>
      <c r="B324" s="45" t="s">
        <v>17</v>
      </c>
      <c r="C324" s="26" t="s">
        <v>18</v>
      </c>
      <c r="D324" s="26" t="s">
        <v>60</v>
      </c>
      <c r="E324" s="26" t="s">
        <v>70</v>
      </c>
      <c r="F324" s="26"/>
      <c r="G324" s="45" t="s">
        <v>121</v>
      </c>
      <c r="H324" s="45" t="s">
        <v>115</v>
      </c>
      <c r="I324" s="53">
        <v>1039</v>
      </c>
      <c r="J324" s="26" t="s">
        <v>601</v>
      </c>
      <c r="K324" s="48">
        <v>46069</v>
      </c>
      <c r="L324" s="26">
        <v>2026400460</v>
      </c>
      <c r="M324" s="26" t="s">
        <v>202</v>
      </c>
      <c r="N324" s="26">
        <v>2026</v>
      </c>
    </row>
    <row r="325" spans="1:14">
      <c r="A325" s="26">
        <v>324</v>
      </c>
      <c r="B325" s="26" t="s">
        <v>17</v>
      </c>
      <c r="C325" s="48" t="s">
        <v>22</v>
      </c>
      <c r="D325" s="26" t="s">
        <v>60</v>
      </c>
      <c r="E325" s="26" t="s">
        <v>70</v>
      </c>
      <c r="F325" s="26"/>
      <c r="G325" s="26" t="s">
        <v>121</v>
      </c>
      <c r="H325" s="49" t="s">
        <v>115</v>
      </c>
      <c r="I325" s="50">
        <v>1030</v>
      </c>
      <c r="J325" s="26" t="s">
        <v>563</v>
      </c>
      <c r="K325" s="48">
        <v>46078</v>
      </c>
      <c r="L325" s="51">
        <v>2026400588</v>
      </c>
      <c r="M325" s="26" t="s">
        <v>202</v>
      </c>
      <c r="N325" s="26">
        <v>2026</v>
      </c>
    </row>
    <row r="326" spans="1:14">
      <c r="A326" s="26">
        <v>325</v>
      </c>
      <c r="B326" s="45" t="s">
        <v>35</v>
      </c>
      <c r="C326" s="26" t="s">
        <v>37</v>
      </c>
      <c r="D326" s="26" t="s">
        <v>60</v>
      </c>
      <c r="E326" s="26" t="s">
        <v>70</v>
      </c>
      <c r="F326" s="26"/>
      <c r="G326" s="45" t="s">
        <v>121</v>
      </c>
      <c r="H326" s="45" t="s">
        <v>115</v>
      </c>
      <c r="I326" s="53">
        <v>1020</v>
      </c>
      <c r="J326" s="26" t="s">
        <v>603</v>
      </c>
      <c r="K326" s="48">
        <v>46069</v>
      </c>
      <c r="L326" s="26">
        <v>2026400462</v>
      </c>
      <c r="M326" s="26" t="s">
        <v>202</v>
      </c>
      <c r="N326" s="26">
        <v>2026</v>
      </c>
    </row>
    <row r="327" spans="1:14">
      <c r="A327" s="26">
        <v>326</v>
      </c>
      <c r="B327" s="26" t="s">
        <v>271</v>
      </c>
      <c r="C327" s="48" t="s">
        <v>272</v>
      </c>
      <c r="D327" s="26" t="s">
        <v>60</v>
      </c>
      <c r="E327" s="26" t="s">
        <v>70</v>
      </c>
      <c r="F327" s="26"/>
      <c r="G327" s="26" t="s">
        <v>64</v>
      </c>
      <c r="H327" s="49" t="s">
        <v>322</v>
      </c>
      <c r="I327" s="50">
        <v>1006.7114093959732</v>
      </c>
      <c r="J327" s="26" t="s">
        <v>67</v>
      </c>
      <c r="K327" s="48" t="s">
        <v>368</v>
      </c>
      <c r="L327" s="67" t="s">
        <v>14</v>
      </c>
      <c r="M327" s="98" t="s">
        <v>202</v>
      </c>
      <c r="N327" s="26">
        <v>2026</v>
      </c>
    </row>
    <row r="328" spans="1:14">
      <c r="A328" s="26">
        <v>327</v>
      </c>
      <c r="B328" s="26" t="s">
        <v>42</v>
      </c>
      <c r="C328" s="48" t="s">
        <v>50</v>
      </c>
      <c r="D328" s="26" t="s">
        <v>60</v>
      </c>
      <c r="E328" s="26" t="s">
        <v>70</v>
      </c>
      <c r="F328" s="26"/>
      <c r="G328" s="26" t="s">
        <v>64</v>
      </c>
      <c r="H328" s="49" t="s">
        <v>335</v>
      </c>
      <c r="I328" s="50">
        <v>1006.7114093959732</v>
      </c>
      <c r="J328" s="26" t="s">
        <v>67</v>
      </c>
      <c r="K328" s="48">
        <v>46236</v>
      </c>
      <c r="L328" s="67" t="s">
        <v>14</v>
      </c>
      <c r="M328" s="98" t="s">
        <v>202</v>
      </c>
      <c r="N328" s="26">
        <v>2026</v>
      </c>
    </row>
    <row r="329" spans="1:14">
      <c r="A329" s="26">
        <v>328</v>
      </c>
      <c r="B329" s="26" t="s">
        <v>42</v>
      </c>
      <c r="C329" s="100" t="s">
        <v>50</v>
      </c>
      <c r="D329" s="100" t="s">
        <v>60</v>
      </c>
      <c r="E329" s="57" t="s">
        <v>70</v>
      </c>
      <c r="F329" s="26"/>
      <c r="G329" s="26" t="s">
        <v>414</v>
      </c>
      <c r="H329" s="26" t="s">
        <v>115</v>
      </c>
      <c r="I329" s="53">
        <v>1006.7114093959732</v>
      </c>
      <c r="J329" s="26" t="s">
        <v>464</v>
      </c>
      <c r="K329" s="48">
        <v>46075</v>
      </c>
      <c r="L329" s="26">
        <v>2026400662</v>
      </c>
      <c r="M329" s="26" t="s">
        <v>202</v>
      </c>
      <c r="N329" s="26">
        <v>2026</v>
      </c>
    </row>
    <row r="330" spans="1:14">
      <c r="A330" s="26">
        <v>329</v>
      </c>
      <c r="B330" s="26" t="s">
        <v>42</v>
      </c>
      <c r="C330" s="26" t="s">
        <v>257</v>
      </c>
      <c r="D330" s="100" t="s">
        <v>60</v>
      </c>
      <c r="E330" s="26" t="s">
        <v>70</v>
      </c>
      <c r="F330" s="26"/>
      <c r="G330" s="26" t="s">
        <v>229</v>
      </c>
      <c r="H330" s="26" t="s">
        <v>235</v>
      </c>
      <c r="I330" s="53">
        <v>1006.7114093959732</v>
      </c>
      <c r="J330" s="26" t="s">
        <v>465</v>
      </c>
      <c r="K330" s="48">
        <v>46076</v>
      </c>
      <c r="L330" s="26">
        <v>2026400683</v>
      </c>
      <c r="M330" s="26" t="s">
        <v>202</v>
      </c>
      <c r="N330" s="26">
        <v>2026</v>
      </c>
    </row>
    <row r="331" spans="1:14">
      <c r="A331" s="26">
        <v>330</v>
      </c>
      <c r="B331" s="26" t="s">
        <v>54</v>
      </c>
      <c r="C331" s="76" t="s">
        <v>93</v>
      </c>
      <c r="D331" s="26" t="s">
        <v>60</v>
      </c>
      <c r="E331" s="26" t="s">
        <v>70</v>
      </c>
      <c r="F331" s="26"/>
      <c r="G331" s="26" t="s">
        <v>406</v>
      </c>
      <c r="H331" s="49" t="s">
        <v>115</v>
      </c>
      <c r="I331" s="50">
        <v>1006.7114093959732</v>
      </c>
      <c r="J331" s="26" t="s">
        <v>463</v>
      </c>
      <c r="K331" s="48">
        <v>46062</v>
      </c>
      <c r="L331" s="51">
        <v>2026400497</v>
      </c>
      <c r="M331" s="26" t="s">
        <v>202</v>
      </c>
      <c r="N331" s="26">
        <v>2026</v>
      </c>
    </row>
    <row r="332" spans="1:14">
      <c r="A332" s="26">
        <v>331</v>
      </c>
      <c r="B332" s="26" t="s">
        <v>52</v>
      </c>
      <c r="C332" s="26" t="s">
        <v>62</v>
      </c>
      <c r="D332" s="26" t="s">
        <v>60</v>
      </c>
      <c r="E332" s="26" t="s">
        <v>70</v>
      </c>
      <c r="F332" s="26"/>
      <c r="G332" s="26" t="s">
        <v>121</v>
      </c>
      <c r="H332" s="26" t="s">
        <v>115</v>
      </c>
      <c r="I332" s="53">
        <v>1000</v>
      </c>
      <c r="J332" s="26" t="s">
        <v>650</v>
      </c>
      <c r="K332" s="48">
        <v>46081</v>
      </c>
      <c r="L332" s="26">
        <v>2026400639</v>
      </c>
      <c r="M332" s="100" t="s">
        <v>202</v>
      </c>
      <c r="N332" s="26">
        <v>2026</v>
      </c>
    </row>
    <row r="333" spans="1:14">
      <c r="A333" s="26">
        <v>332</v>
      </c>
      <c r="B333" s="26" t="s">
        <v>42</v>
      </c>
      <c r="C333" s="48" t="s">
        <v>50</v>
      </c>
      <c r="D333" s="26" t="s">
        <v>60</v>
      </c>
      <c r="E333" s="26" t="s">
        <v>70</v>
      </c>
      <c r="F333" s="26"/>
      <c r="G333" s="26" t="s">
        <v>228</v>
      </c>
      <c r="H333" s="49" t="s">
        <v>233</v>
      </c>
      <c r="I333" s="50">
        <v>994.63087248322142</v>
      </c>
      <c r="J333" s="26" t="s">
        <v>466</v>
      </c>
      <c r="K333" s="48">
        <v>46070</v>
      </c>
      <c r="L333" s="51">
        <v>2026400561</v>
      </c>
      <c r="M333" s="26" t="s">
        <v>202</v>
      </c>
      <c r="N333" s="26">
        <v>2026</v>
      </c>
    </row>
    <row r="334" spans="1:14">
      <c r="A334" s="26">
        <v>333</v>
      </c>
      <c r="B334" s="26" t="s">
        <v>52</v>
      </c>
      <c r="C334" s="70" t="s">
        <v>62</v>
      </c>
      <c r="D334" s="26" t="s">
        <v>60</v>
      </c>
      <c r="E334" s="26" t="s">
        <v>70</v>
      </c>
      <c r="F334" s="26"/>
      <c r="G334" s="26" t="s">
        <v>64</v>
      </c>
      <c r="H334" s="49" t="s">
        <v>326</v>
      </c>
      <c r="I334" s="50">
        <v>993.28859060402681</v>
      </c>
      <c r="J334" s="26">
        <v>2430</v>
      </c>
      <c r="K334" s="48" t="s">
        <v>369</v>
      </c>
      <c r="L334" s="67" t="s">
        <v>14</v>
      </c>
      <c r="M334" s="98" t="s">
        <v>202</v>
      </c>
      <c r="N334" s="26">
        <v>2026</v>
      </c>
    </row>
    <row r="335" spans="1:14">
      <c r="A335" s="26">
        <v>334</v>
      </c>
      <c r="B335" s="45" t="s">
        <v>42</v>
      </c>
      <c r="C335" s="26" t="s">
        <v>47</v>
      </c>
      <c r="D335" s="26" t="s">
        <v>60</v>
      </c>
      <c r="E335" s="26" t="s">
        <v>70</v>
      </c>
      <c r="F335" s="26"/>
      <c r="G335" s="45" t="s">
        <v>121</v>
      </c>
      <c r="H335" s="45" t="s">
        <v>115</v>
      </c>
      <c r="I335" s="53">
        <v>989.4</v>
      </c>
      <c r="J335" s="26" t="s">
        <v>498</v>
      </c>
      <c r="K335" s="48">
        <v>46054</v>
      </c>
      <c r="L335" s="26">
        <v>2026400297</v>
      </c>
      <c r="M335" s="26" t="s">
        <v>202</v>
      </c>
      <c r="N335" s="26">
        <v>2026</v>
      </c>
    </row>
    <row r="336" spans="1:14">
      <c r="A336" s="26">
        <v>335</v>
      </c>
      <c r="B336" s="26" t="s">
        <v>54</v>
      </c>
      <c r="C336" s="77" t="s">
        <v>93</v>
      </c>
      <c r="D336" s="26" t="s">
        <v>60</v>
      </c>
      <c r="E336" s="26" t="s">
        <v>70</v>
      </c>
      <c r="F336" s="26"/>
      <c r="G336" s="26" t="s">
        <v>291</v>
      </c>
      <c r="H336" s="100" t="s">
        <v>115</v>
      </c>
      <c r="I336" s="50">
        <v>973.15436241610735</v>
      </c>
      <c r="J336" s="26" t="s">
        <v>232</v>
      </c>
      <c r="K336" s="48">
        <v>46083</v>
      </c>
      <c r="L336" s="67">
        <v>2026400566</v>
      </c>
      <c r="M336" s="26" t="s">
        <v>202</v>
      </c>
      <c r="N336" s="26">
        <v>2026</v>
      </c>
    </row>
    <row r="337" spans="1:14">
      <c r="A337" s="26">
        <v>336</v>
      </c>
      <c r="B337" s="100" t="s">
        <v>42</v>
      </c>
      <c r="C337" s="26" t="s">
        <v>47</v>
      </c>
      <c r="D337" s="100" t="s">
        <v>60</v>
      </c>
      <c r="E337" s="57" t="s">
        <v>70</v>
      </c>
      <c r="F337" s="26"/>
      <c r="G337" s="26" t="s">
        <v>116</v>
      </c>
      <c r="H337" s="26" t="s">
        <v>269</v>
      </c>
      <c r="I337" s="53">
        <v>971.6</v>
      </c>
      <c r="J337" s="26" t="s">
        <v>680</v>
      </c>
      <c r="K337" s="48">
        <v>46079</v>
      </c>
      <c r="L337" s="26">
        <v>2026400682</v>
      </c>
      <c r="M337" s="26" t="s">
        <v>202</v>
      </c>
      <c r="N337" s="26">
        <v>2026</v>
      </c>
    </row>
    <row r="338" spans="1:14">
      <c r="A338" s="26">
        <v>337</v>
      </c>
      <c r="B338" s="45" t="s">
        <v>54</v>
      </c>
      <c r="C338" s="26" t="s">
        <v>93</v>
      </c>
      <c r="D338" s="26" t="s">
        <v>60</v>
      </c>
      <c r="E338" s="26" t="s">
        <v>70</v>
      </c>
      <c r="F338" s="26"/>
      <c r="G338" s="45" t="s">
        <v>121</v>
      </c>
      <c r="H338" s="45" t="s">
        <v>115</v>
      </c>
      <c r="I338" s="53">
        <v>965</v>
      </c>
      <c r="J338" s="26" t="s">
        <v>567</v>
      </c>
      <c r="K338" s="48">
        <v>46076</v>
      </c>
      <c r="L338" s="26">
        <v>2026400577</v>
      </c>
      <c r="M338" s="26" t="s">
        <v>202</v>
      </c>
      <c r="N338" s="26">
        <v>2026</v>
      </c>
    </row>
    <row r="339" spans="1:14">
      <c r="A339" s="26">
        <v>338</v>
      </c>
      <c r="B339" s="63" t="s">
        <v>42</v>
      </c>
      <c r="C339" s="26" t="s">
        <v>50</v>
      </c>
      <c r="D339" s="26" t="s">
        <v>60</v>
      </c>
      <c r="E339" s="26" t="s">
        <v>70</v>
      </c>
      <c r="F339" s="26"/>
      <c r="G339" s="26" t="s">
        <v>227</v>
      </c>
      <c r="H339" s="26" t="s">
        <v>269</v>
      </c>
      <c r="I339" s="53">
        <v>950</v>
      </c>
      <c r="J339" s="26" t="s">
        <v>539</v>
      </c>
      <c r="K339" s="48">
        <v>46054</v>
      </c>
      <c r="L339" s="26">
        <v>2026400495</v>
      </c>
      <c r="M339" s="26" t="s">
        <v>202</v>
      </c>
      <c r="N339" s="26">
        <v>2026</v>
      </c>
    </row>
    <row r="340" spans="1:14">
      <c r="A340" s="26">
        <v>339</v>
      </c>
      <c r="B340" s="26" t="s">
        <v>58</v>
      </c>
      <c r="C340" s="100" t="s">
        <v>59</v>
      </c>
      <c r="D340" s="26" t="s">
        <v>60</v>
      </c>
      <c r="E340" s="26" t="s">
        <v>70</v>
      </c>
      <c r="F340" s="26"/>
      <c r="G340" s="26" t="s">
        <v>121</v>
      </c>
      <c r="H340" s="26" t="s">
        <v>115</v>
      </c>
      <c r="I340" s="53">
        <v>948</v>
      </c>
      <c r="J340" s="26" t="s">
        <v>610</v>
      </c>
      <c r="K340" s="48">
        <v>46068</v>
      </c>
      <c r="L340" s="26">
        <v>2026400396</v>
      </c>
      <c r="M340" s="98" t="s">
        <v>202</v>
      </c>
      <c r="N340" s="26">
        <v>2026</v>
      </c>
    </row>
    <row r="341" spans="1:14">
      <c r="A341" s="26">
        <v>340</v>
      </c>
      <c r="B341" s="26" t="s">
        <v>17</v>
      </c>
      <c r="C341" s="100" t="s">
        <v>22</v>
      </c>
      <c r="D341" s="100" t="s">
        <v>60</v>
      </c>
      <c r="E341" s="57" t="s">
        <v>70</v>
      </c>
      <c r="F341" s="26"/>
      <c r="G341" s="26" t="s">
        <v>117</v>
      </c>
      <c r="H341" s="26" t="s">
        <v>115</v>
      </c>
      <c r="I341" s="53">
        <v>939.59731543624162</v>
      </c>
      <c r="J341" s="26" t="s">
        <v>467</v>
      </c>
      <c r="K341" s="48">
        <v>46071</v>
      </c>
      <c r="L341" s="26">
        <v>2026400670</v>
      </c>
      <c r="M341" s="26" t="s">
        <v>202</v>
      </c>
      <c r="N341" s="26">
        <v>2026</v>
      </c>
    </row>
    <row r="342" spans="1:14">
      <c r="A342" s="26">
        <v>341</v>
      </c>
      <c r="B342" s="63" t="s">
        <v>42</v>
      </c>
      <c r="C342" s="26" t="s">
        <v>47</v>
      </c>
      <c r="D342" s="26" t="s">
        <v>60</v>
      </c>
      <c r="E342" s="57" t="s">
        <v>70</v>
      </c>
      <c r="F342" s="26"/>
      <c r="G342" s="26" t="s">
        <v>226</v>
      </c>
      <c r="H342" s="26" t="s">
        <v>233</v>
      </c>
      <c r="I342" s="50">
        <v>916</v>
      </c>
      <c r="J342" s="26" t="s">
        <v>523</v>
      </c>
      <c r="K342" s="48">
        <v>46049</v>
      </c>
      <c r="L342" s="26">
        <v>2026400108</v>
      </c>
      <c r="M342" s="26" t="s">
        <v>202</v>
      </c>
      <c r="N342" s="26">
        <v>2026</v>
      </c>
    </row>
    <row r="343" spans="1:14">
      <c r="A343" s="26">
        <v>342</v>
      </c>
      <c r="B343" s="67" t="s">
        <v>52</v>
      </c>
      <c r="C343" s="100" t="s">
        <v>62</v>
      </c>
      <c r="D343" s="26" t="s">
        <v>60</v>
      </c>
      <c r="E343" s="26" t="s">
        <v>70</v>
      </c>
      <c r="F343" s="26"/>
      <c r="G343" s="26" t="s">
        <v>121</v>
      </c>
      <c r="H343" s="26" t="s">
        <v>115</v>
      </c>
      <c r="I343" s="46">
        <v>914.6</v>
      </c>
      <c r="J343" s="26" t="s">
        <v>658</v>
      </c>
      <c r="K343" s="48">
        <v>46082</v>
      </c>
      <c r="L343" s="26">
        <v>2026400631</v>
      </c>
      <c r="M343" s="100" t="s">
        <v>202</v>
      </c>
      <c r="N343" s="26">
        <v>2026</v>
      </c>
    </row>
    <row r="344" spans="1:14">
      <c r="A344" s="26">
        <v>343</v>
      </c>
      <c r="B344" s="63" t="s">
        <v>33</v>
      </c>
      <c r="C344" s="26" t="s">
        <v>34</v>
      </c>
      <c r="D344" s="26" t="s">
        <v>60</v>
      </c>
      <c r="E344" s="57" t="s">
        <v>70</v>
      </c>
      <c r="F344" s="26"/>
      <c r="G344" s="26" t="s">
        <v>113</v>
      </c>
      <c r="H344" s="100" t="s">
        <v>114</v>
      </c>
      <c r="I344" s="53">
        <v>906.04026845637588</v>
      </c>
      <c r="J344" s="26" t="s">
        <v>468</v>
      </c>
      <c r="K344" s="48">
        <v>46056</v>
      </c>
      <c r="L344" s="26">
        <v>2026400503</v>
      </c>
      <c r="M344" s="26" t="s">
        <v>202</v>
      </c>
      <c r="N344" s="26">
        <v>2026</v>
      </c>
    </row>
    <row r="345" spans="1:14">
      <c r="A345" s="26">
        <v>344</v>
      </c>
      <c r="B345" s="72" t="s">
        <v>42</v>
      </c>
      <c r="C345" s="78" t="s">
        <v>72</v>
      </c>
      <c r="D345" s="72" t="s">
        <v>60</v>
      </c>
      <c r="E345" s="72" t="s">
        <v>70</v>
      </c>
      <c r="F345" s="72"/>
      <c r="G345" s="72" t="s">
        <v>118</v>
      </c>
      <c r="H345" s="49" t="s">
        <v>115</v>
      </c>
      <c r="I345" s="75">
        <v>884</v>
      </c>
      <c r="J345" s="72" t="s">
        <v>568</v>
      </c>
      <c r="K345" s="73">
        <v>46069</v>
      </c>
      <c r="L345" s="74">
        <v>2026400539</v>
      </c>
      <c r="M345" s="26" t="s">
        <v>202</v>
      </c>
      <c r="N345" s="26">
        <v>2026</v>
      </c>
    </row>
    <row r="346" spans="1:14">
      <c r="A346" s="26">
        <v>345</v>
      </c>
      <c r="B346" s="26" t="s">
        <v>42</v>
      </c>
      <c r="C346" s="26" t="s">
        <v>257</v>
      </c>
      <c r="D346" s="26" t="s">
        <v>60</v>
      </c>
      <c r="E346" s="57" t="s">
        <v>70</v>
      </c>
      <c r="F346" s="26"/>
      <c r="G346" s="26" t="s">
        <v>121</v>
      </c>
      <c r="H346" s="26" t="s">
        <v>115</v>
      </c>
      <c r="I346" s="53">
        <v>872.8</v>
      </c>
      <c r="J346" s="26" t="s">
        <v>549</v>
      </c>
      <c r="K346" s="48">
        <v>46076</v>
      </c>
      <c r="L346" s="26">
        <v>2026400571</v>
      </c>
      <c r="M346" s="26" t="s">
        <v>202</v>
      </c>
      <c r="N346" s="26">
        <v>2026</v>
      </c>
    </row>
    <row r="347" spans="1:14">
      <c r="A347" s="26">
        <v>346</v>
      </c>
      <c r="B347" s="63" t="s">
        <v>42</v>
      </c>
      <c r="C347" s="26" t="s">
        <v>257</v>
      </c>
      <c r="D347" s="26" t="s">
        <v>60</v>
      </c>
      <c r="E347" s="26" t="s">
        <v>70</v>
      </c>
      <c r="F347" s="26"/>
      <c r="G347" s="26" t="s">
        <v>227</v>
      </c>
      <c r="H347" s="26" t="s">
        <v>269</v>
      </c>
      <c r="I347" s="46">
        <v>866</v>
      </c>
      <c r="J347" s="26" t="s">
        <v>559</v>
      </c>
      <c r="K347" s="48">
        <v>46069</v>
      </c>
      <c r="L347" s="26">
        <v>2026400616</v>
      </c>
      <c r="M347" s="26" t="s">
        <v>202</v>
      </c>
      <c r="N347" s="26">
        <v>2026</v>
      </c>
    </row>
    <row r="348" spans="1:14">
      <c r="A348" s="26">
        <v>347</v>
      </c>
      <c r="B348" s="26" t="s">
        <v>17</v>
      </c>
      <c r="C348" s="26" t="s">
        <v>22</v>
      </c>
      <c r="D348" s="26" t="s">
        <v>60</v>
      </c>
      <c r="E348" s="26" t="s">
        <v>70</v>
      </c>
      <c r="F348" s="26"/>
      <c r="G348" s="26" t="s">
        <v>121</v>
      </c>
      <c r="H348" s="26" t="s">
        <v>115</v>
      </c>
      <c r="I348" s="53">
        <v>860.4</v>
      </c>
      <c r="J348" s="26" t="s">
        <v>635</v>
      </c>
      <c r="K348" s="48">
        <v>46081</v>
      </c>
      <c r="L348" s="26">
        <v>2026400611</v>
      </c>
      <c r="M348" s="26" t="s">
        <v>202</v>
      </c>
      <c r="N348" s="26">
        <v>2026</v>
      </c>
    </row>
    <row r="349" spans="1:14">
      <c r="A349" s="26">
        <v>348</v>
      </c>
      <c r="B349" s="26" t="s">
        <v>54</v>
      </c>
      <c r="C349" s="26" t="s">
        <v>55</v>
      </c>
      <c r="D349" s="26" t="s">
        <v>60</v>
      </c>
      <c r="E349" s="26" t="s">
        <v>70</v>
      </c>
      <c r="F349" s="26"/>
      <c r="G349" s="26" t="s">
        <v>121</v>
      </c>
      <c r="H349" s="26" t="s">
        <v>115</v>
      </c>
      <c r="I349" s="50">
        <v>860</v>
      </c>
      <c r="J349" s="26" t="s">
        <v>573</v>
      </c>
      <c r="K349" s="48">
        <v>46068</v>
      </c>
      <c r="L349" s="67">
        <v>2026400445</v>
      </c>
      <c r="M349" s="26" t="s">
        <v>202</v>
      </c>
      <c r="N349" s="26">
        <v>2026</v>
      </c>
    </row>
    <row r="350" spans="1:14">
      <c r="A350" s="26">
        <v>349</v>
      </c>
      <c r="B350" s="26" t="s">
        <v>17</v>
      </c>
      <c r="C350" s="26" t="s">
        <v>18</v>
      </c>
      <c r="D350" s="26" t="s">
        <v>60</v>
      </c>
      <c r="E350" s="26" t="s">
        <v>70</v>
      </c>
      <c r="F350" s="26"/>
      <c r="G350" s="26" t="s">
        <v>121</v>
      </c>
      <c r="H350" s="26" t="s">
        <v>115</v>
      </c>
      <c r="I350" s="53">
        <v>855</v>
      </c>
      <c r="J350" s="26" t="s">
        <v>615</v>
      </c>
      <c r="K350" s="48">
        <v>46069</v>
      </c>
      <c r="L350" s="26">
        <v>2026400421</v>
      </c>
      <c r="M350" s="26" t="s">
        <v>202</v>
      </c>
      <c r="N350" s="26">
        <v>2026</v>
      </c>
    </row>
    <row r="351" spans="1:14">
      <c r="A351" s="26">
        <v>350</v>
      </c>
      <c r="B351" s="63" t="s">
        <v>42</v>
      </c>
      <c r="C351" s="57" t="s">
        <v>47</v>
      </c>
      <c r="D351" s="26" t="s">
        <v>60</v>
      </c>
      <c r="E351" s="57" t="s">
        <v>70</v>
      </c>
      <c r="F351" s="26"/>
      <c r="G351" s="57" t="s">
        <v>267</v>
      </c>
      <c r="H351" s="49" t="s">
        <v>115</v>
      </c>
      <c r="I351" s="53">
        <v>845.6375838926175</v>
      </c>
      <c r="J351" s="26" t="s">
        <v>469</v>
      </c>
      <c r="K351" s="48">
        <v>46064</v>
      </c>
      <c r="L351" s="26">
        <v>2026400559</v>
      </c>
      <c r="M351" s="26" t="s">
        <v>202</v>
      </c>
      <c r="N351" s="26">
        <v>2026</v>
      </c>
    </row>
    <row r="352" spans="1:14">
      <c r="A352" s="26">
        <v>351</v>
      </c>
      <c r="B352" s="26" t="s">
        <v>54</v>
      </c>
      <c r="C352" s="26" t="s">
        <v>93</v>
      </c>
      <c r="D352" s="26" t="s">
        <v>60</v>
      </c>
      <c r="E352" s="26" t="s">
        <v>70</v>
      </c>
      <c r="F352" s="26"/>
      <c r="G352" s="26" t="s">
        <v>121</v>
      </c>
      <c r="H352" s="26" t="s">
        <v>115</v>
      </c>
      <c r="I352" s="53">
        <v>838.5</v>
      </c>
      <c r="J352" s="26" t="s">
        <v>632</v>
      </c>
      <c r="K352" s="48">
        <v>46081</v>
      </c>
      <c r="L352" s="26">
        <v>2026400640</v>
      </c>
      <c r="M352" s="26" t="s">
        <v>202</v>
      </c>
      <c r="N352" s="26">
        <v>2026</v>
      </c>
    </row>
    <row r="353" spans="1:14">
      <c r="A353" s="26">
        <v>352</v>
      </c>
      <c r="B353" s="26" t="s">
        <v>54</v>
      </c>
      <c r="C353" s="77" t="s">
        <v>93</v>
      </c>
      <c r="D353" s="26" t="s">
        <v>60</v>
      </c>
      <c r="E353" s="26" t="s">
        <v>70</v>
      </c>
      <c r="F353" s="26"/>
      <c r="G353" s="26" t="s">
        <v>119</v>
      </c>
      <c r="H353" s="49" t="s">
        <v>115</v>
      </c>
      <c r="I353" s="50">
        <v>830.7</v>
      </c>
      <c r="J353" s="26" t="s">
        <v>665</v>
      </c>
      <c r="K353" s="48">
        <v>46073</v>
      </c>
      <c r="L353" s="67">
        <v>2026400810</v>
      </c>
      <c r="M353" s="26" t="s">
        <v>202</v>
      </c>
      <c r="N353" s="26">
        <v>2026</v>
      </c>
    </row>
    <row r="354" spans="1:14">
      <c r="A354" s="26">
        <v>353</v>
      </c>
      <c r="B354" s="26" t="s">
        <v>52</v>
      </c>
      <c r="C354" s="26" t="s">
        <v>62</v>
      </c>
      <c r="D354" s="26" t="s">
        <v>60</v>
      </c>
      <c r="E354" s="26" t="s">
        <v>70</v>
      </c>
      <c r="F354" s="26"/>
      <c r="G354" s="26" t="s">
        <v>121</v>
      </c>
      <c r="H354" s="26" t="s">
        <v>115</v>
      </c>
      <c r="I354" s="53">
        <v>830</v>
      </c>
      <c r="J354" s="26" t="s">
        <v>621</v>
      </c>
      <c r="K354" s="48">
        <v>46081</v>
      </c>
      <c r="L354" s="26">
        <v>2026400621</v>
      </c>
      <c r="M354" s="26" t="s">
        <v>202</v>
      </c>
      <c r="N354" s="26">
        <v>2026</v>
      </c>
    </row>
    <row r="355" spans="1:14">
      <c r="A355" s="26">
        <v>354</v>
      </c>
      <c r="B355" s="26" t="s">
        <v>17</v>
      </c>
      <c r="C355" s="48" t="s">
        <v>25</v>
      </c>
      <c r="D355" s="26" t="s">
        <v>60</v>
      </c>
      <c r="E355" s="26" t="s">
        <v>70</v>
      </c>
      <c r="F355" s="26"/>
      <c r="G355" s="26" t="s">
        <v>406</v>
      </c>
      <c r="H355" s="49" t="s">
        <v>115</v>
      </c>
      <c r="I355" s="50">
        <v>825.50335570469804</v>
      </c>
      <c r="J355" s="26" t="s">
        <v>470</v>
      </c>
      <c r="K355" s="48">
        <v>46078</v>
      </c>
      <c r="L355" s="51">
        <v>2026400711</v>
      </c>
      <c r="M355" s="26" t="s">
        <v>202</v>
      </c>
      <c r="N355" s="26">
        <v>2026</v>
      </c>
    </row>
    <row r="356" spans="1:14">
      <c r="A356" s="26">
        <v>355</v>
      </c>
      <c r="B356" s="26" t="s">
        <v>42</v>
      </c>
      <c r="C356" s="26" t="s">
        <v>257</v>
      </c>
      <c r="D356" s="26" t="s">
        <v>60</v>
      </c>
      <c r="E356" s="26" t="s">
        <v>70</v>
      </c>
      <c r="F356" s="26"/>
      <c r="G356" s="26" t="s">
        <v>121</v>
      </c>
      <c r="H356" s="26" t="s">
        <v>115</v>
      </c>
      <c r="I356" s="53">
        <v>817.6</v>
      </c>
      <c r="J356" s="26" t="s">
        <v>623</v>
      </c>
      <c r="K356" s="48">
        <v>46081</v>
      </c>
      <c r="L356" s="26">
        <v>2026400619</v>
      </c>
      <c r="M356" s="26" t="s">
        <v>202</v>
      </c>
      <c r="N356" s="26">
        <v>2026</v>
      </c>
    </row>
    <row r="357" spans="1:14">
      <c r="A357" s="26">
        <v>356</v>
      </c>
      <c r="B357" s="26" t="s">
        <v>17</v>
      </c>
      <c r="C357" s="48" t="s">
        <v>22</v>
      </c>
      <c r="D357" s="26" t="s">
        <v>60</v>
      </c>
      <c r="E357" s="26" t="s">
        <v>70</v>
      </c>
      <c r="F357" s="26"/>
      <c r="G357" s="26" t="s">
        <v>121</v>
      </c>
      <c r="H357" s="49" t="s">
        <v>115</v>
      </c>
      <c r="I357" s="50">
        <v>817</v>
      </c>
      <c r="J357" s="26" t="s">
        <v>586</v>
      </c>
      <c r="K357" s="48">
        <v>46069</v>
      </c>
      <c r="L357" s="67">
        <v>2026400494</v>
      </c>
      <c r="M357" s="26" t="s">
        <v>202</v>
      </c>
      <c r="N357" s="26">
        <v>2026</v>
      </c>
    </row>
    <row r="358" spans="1:14">
      <c r="A358" s="26">
        <v>357</v>
      </c>
      <c r="B358" s="26" t="s">
        <v>42</v>
      </c>
      <c r="C358" s="26" t="s">
        <v>257</v>
      </c>
      <c r="D358" s="26" t="s">
        <v>60</v>
      </c>
      <c r="E358" s="26" t="s">
        <v>70</v>
      </c>
      <c r="F358" s="26"/>
      <c r="G358" s="26" t="s">
        <v>121</v>
      </c>
      <c r="H358" s="26" t="s">
        <v>115</v>
      </c>
      <c r="I358" s="53">
        <v>810</v>
      </c>
      <c r="J358" s="26" t="s">
        <v>618</v>
      </c>
      <c r="K358" s="48">
        <v>46068</v>
      </c>
      <c r="L358" s="26">
        <v>2026400072</v>
      </c>
      <c r="M358" s="26" t="s">
        <v>202</v>
      </c>
      <c r="N358" s="26">
        <v>2026</v>
      </c>
    </row>
    <row r="359" spans="1:14">
      <c r="A359" s="26">
        <v>358</v>
      </c>
      <c r="B359" s="26" t="s">
        <v>54</v>
      </c>
      <c r="C359" s="48" t="s">
        <v>93</v>
      </c>
      <c r="D359" s="26" t="s">
        <v>60</v>
      </c>
      <c r="E359" s="26" t="s">
        <v>70</v>
      </c>
      <c r="F359" s="26"/>
      <c r="G359" s="26" t="s">
        <v>406</v>
      </c>
      <c r="H359" s="49" t="s">
        <v>115</v>
      </c>
      <c r="I359" s="50">
        <v>771.81208053691273</v>
      </c>
      <c r="J359" s="26" t="s">
        <v>471</v>
      </c>
      <c r="K359" s="48">
        <v>46068</v>
      </c>
      <c r="L359" s="51">
        <v>2026400541</v>
      </c>
      <c r="M359" s="26" t="s">
        <v>202</v>
      </c>
      <c r="N359" s="26">
        <v>2026</v>
      </c>
    </row>
    <row r="360" spans="1:14">
      <c r="A360" s="26">
        <v>359</v>
      </c>
      <c r="B360" s="26" t="s">
        <v>17</v>
      </c>
      <c r="C360" s="26" t="s">
        <v>22</v>
      </c>
      <c r="D360" s="26" t="s">
        <v>60</v>
      </c>
      <c r="E360" s="26" t="s">
        <v>70</v>
      </c>
      <c r="F360" s="26"/>
      <c r="G360" s="26" t="s">
        <v>121</v>
      </c>
      <c r="H360" s="26" t="s">
        <v>115</v>
      </c>
      <c r="I360" s="53">
        <v>750</v>
      </c>
      <c r="J360" s="26" t="s">
        <v>500</v>
      </c>
      <c r="K360" s="48">
        <v>46054</v>
      </c>
      <c r="L360" s="26">
        <v>2026400312</v>
      </c>
      <c r="M360" s="26" t="s">
        <v>202</v>
      </c>
      <c r="N360" s="26">
        <v>2026</v>
      </c>
    </row>
    <row r="361" spans="1:14">
      <c r="A361" s="26">
        <v>360</v>
      </c>
      <c r="B361" s="45" t="s">
        <v>42</v>
      </c>
      <c r="C361" s="26" t="s">
        <v>257</v>
      </c>
      <c r="D361" s="26" t="s">
        <v>60</v>
      </c>
      <c r="E361" s="26" t="s">
        <v>70</v>
      </c>
      <c r="F361" s="26"/>
      <c r="G361" s="45" t="s">
        <v>121</v>
      </c>
      <c r="H361" s="49" t="s">
        <v>115</v>
      </c>
      <c r="I361" s="53">
        <v>748.5</v>
      </c>
      <c r="J361" s="26" t="s">
        <v>537</v>
      </c>
      <c r="K361" s="48">
        <v>46075</v>
      </c>
      <c r="L361" s="26">
        <v>2026400560</v>
      </c>
      <c r="M361" s="26" t="s">
        <v>202</v>
      </c>
      <c r="N361" s="26">
        <v>2026</v>
      </c>
    </row>
    <row r="362" spans="1:14">
      <c r="A362" s="26">
        <v>361</v>
      </c>
      <c r="B362" s="26" t="s">
        <v>52</v>
      </c>
      <c r="C362" s="26" t="s">
        <v>62</v>
      </c>
      <c r="D362" s="26" t="s">
        <v>60</v>
      </c>
      <c r="E362" s="26" t="s">
        <v>70</v>
      </c>
      <c r="F362" s="26"/>
      <c r="G362" s="26" t="s">
        <v>121</v>
      </c>
      <c r="H362" s="26" t="s">
        <v>115</v>
      </c>
      <c r="I362" s="50">
        <v>737.5</v>
      </c>
      <c r="J362" s="26" t="s">
        <v>570</v>
      </c>
      <c r="K362" s="48">
        <v>46068</v>
      </c>
      <c r="L362" s="67">
        <v>2026400401</v>
      </c>
      <c r="M362" s="26" t="s">
        <v>202</v>
      </c>
      <c r="N362" s="26">
        <v>2026</v>
      </c>
    </row>
    <row r="363" spans="1:14">
      <c r="A363" s="26">
        <v>362</v>
      </c>
      <c r="B363" s="26" t="s">
        <v>54</v>
      </c>
      <c r="C363" s="26" t="s">
        <v>93</v>
      </c>
      <c r="D363" s="26" t="s">
        <v>60</v>
      </c>
      <c r="E363" s="26" t="s">
        <v>70</v>
      </c>
      <c r="F363" s="26"/>
      <c r="G363" s="26" t="s">
        <v>121</v>
      </c>
      <c r="H363" s="26" t="s">
        <v>115</v>
      </c>
      <c r="I363" s="50">
        <v>730</v>
      </c>
      <c r="J363" s="26" t="s">
        <v>574</v>
      </c>
      <c r="K363" s="48">
        <v>46069</v>
      </c>
      <c r="L363" s="67">
        <v>2026400505</v>
      </c>
      <c r="M363" s="26" t="s">
        <v>202</v>
      </c>
      <c r="N363" s="26">
        <v>2026</v>
      </c>
    </row>
    <row r="364" spans="1:14">
      <c r="A364" s="26">
        <v>363</v>
      </c>
      <c r="B364" s="26" t="s">
        <v>42</v>
      </c>
      <c r="C364" s="26" t="s">
        <v>43</v>
      </c>
      <c r="D364" s="26" t="s">
        <v>60</v>
      </c>
      <c r="E364" s="26" t="s">
        <v>70</v>
      </c>
      <c r="F364" s="26"/>
      <c r="G364" s="26" t="s">
        <v>121</v>
      </c>
      <c r="H364" s="26" t="s">
        <v>115</v>
      </c>
      <c r="I364" s="53">
        <v>727.7</v>
      </c>
      <c r="J364" s="26" t="s">
        <v>684</v>
      </c>
      <c r="K364" s="48">
        <v>46082</v>
      </c>
      <c r="L364" s="26">
        <v>2026400623</v>
      </c>
      <c r="M364" s="100" t="s">
        <v>202</v>
      </c>
      <c r="N364" s="26">
        <v>2026</v>
      </c>
    </row>
    <row r="365" spans="1:14">
      <c r="A365" s="26">
        <v>364</v>
      </c>
      <c r="B365" s="26" t="s">
        <v>17</v>
      </c>
      <c r="C365" s="26" t="s">
        <v>265</v>
      </c>
      <c r="D365" s="100" t="s">
        <v>60</v>
      </c>
      <c r="E365" s="26" t="s">
        <v>70</v>
      </c>
      <c r="F365" s="26"/>
      <c r="G365" s="26" t="s">
        <v>229</v>
      </c>
      <c r="H365" s="26" t="s">
        <v>235</v>
      </c>
      <c r="I365" s="53">
        <v>724.83221476510062</v>
      </c>
      <c r="J365" s="26" t="s">
        <v>472</v>
      </c>
      <c r="K365" s="48">
        <v>46057</v>
      </c>
      <c r="L365" s="26">
        <v>2026400477</v>
      </c>
      <c r="M365" s="26" t="s">
        <v>202</v>
      </c>
      <c r="N365" s="26">
        <v>2026</v>
      </c>
    </row>
    <row r="366" spans="1:14">
      <c r="A366" s="26">
        <v>365</v>
      </c>
      <c r="B366" s="26" t="s">
        <v>42</v>
      </c>
      <c r="C366" s="48" t="s">
        <v>47</v>
      </c>
      <c r="D366" s="26" t="s">
        <v>60</v>
      </c>
      <c r="E366" s="26" t="s">
        <v>70</v>
      </c>
      <c r="F366" s="26"/>
      <c r="G366" s="26" t="s">
        <v>121</v>
      </c>
      <c r="H366" s="49" t="s">
        <v>115</v>
      </c>
      <c r="I366" s="50">
        <v>720</v>
      </c>
      <c r="J366" s="26" t="s">
        <v>579</v>
      </c>
      <c r="K366" s="48">
        <v>46068</v>
      </c>
      <c r="L366" s="67">
        <v>2026400429</v>
      </c>
      <c r="M366" s="26" t="s">
        <v>202</v>
      </c>
      <c r="N366" s="26">
        <v>2026</v>
      </c>
    </row>
    <row r="367" spans="1:14">
      <c r="A367" s="26">
        <v>366</v>
      </c>
      <c r="B367" s="44" t="s">
        <v>42</v>
      </c>
      <c r="C367" s="26" t="s">
        <v>50</v>
      </c>
      <c r="D367" s="26" t="s">
        <v>60</v>
      </c>
      <c r="E367" s="26" t="s">
        <v>70</v>
      </c>
      <c r="F367" s="26"/>
      <c r="G367" s="26" t="s">
        <v>121</v>
      </c>
      <c r="H367" s="26" t="s">
        <v>115</v>
      </c>
      <c r="I367" s="46">
        <v>708</v>
      </c>
      <c r="J367" s="26" t="s">
        <v>554</v>
      </c>
      <c r="K367" s="48">
        <v>46076</v>
      </c>
      <c r="L367" s="26">
        <v>2026400568</v>
      </c>
      <c r="M367" s="26" t="s">
        <v>202</v>
      </c>
      <c r="N367" s="26">
        <v>2026</v>
      </c>
    </row>
    <row r="368" spans="1:14">
      <c r="A368" s="26">
        <v>367</v>
      </c>
      <c r="B368" s="26" t="s">
        <v>42</v>
      </c>
      <c r="C368" s="26" t="s">
        <v>50</v>
      </c>
      <c r="D368" s="26" t="s">
        <v>60</v>
      </c>
      <c r="E368" s="26" t="s">
        <v>70</v>
      </c>
      <c r="F368" s="26"/>
      <c r="G368" s="26" t="s">
        <v>121</v>
      </c>
      <c r="H368" s="26" t="s">
        <v>115</v>
      </c>
      <c r="I368" s="53">
        <v>707.5</v>
      </c>
      <c r="J368" s="26" t="s">
        <v>640</v>
      </c>
      <c r="K368" s="48">
        <v>46081</v>
      </c>
      <c r="L368" s="26">
        <v>2026400641</v>
      </c>
      <c r="M368" s="26" t="s">
        <v>202</v>
      </c>
      <c r="N368" s="26">
        <v>2026</v>
      </c>
    </row>
    <row r="369" spans="1:14">
      <c r="A369" s="26">
        <v>368</v>
      </c>
      <c r="B369" s="26" t="s">
        <v>17</v>
      </c>
      <c r="C369" s="26" t="s">
        <v>22</v>
      </c>
      <c r="D369" s="100" t="s">
        <v>60</v>
      </c>
      <c r="E369" s="26" t="s">
        <v>70</v>
      </c>
      <c r="F369" s="26"/>
      <c r="G369" s="26" t="s">
        <v>116</v>
      </c>
      <c r="H369" s="56" t="s">
        <v>269</v>
      </c>
      <c r="I369" s="53">
        <v>696</v>
      </c>
      <c r="J369" s="26" t="s">
        <v>585</v>
      </c>
      <c r="K369" s="48">
        <v>46067</v>
      </c>
      <c r="L369" s="26">
        <v>2026400478</v>
      </c>
      <c r="M369" s="26" t="s">
        <v>202</v>
      </c>
      <c r="N369" s="26">
        <v>2026</v>
      </c>
    </row>
    <row r="370" spans="1:14">
      <c r="A370" s="26">
        <v>369</v>
      </c>
      <c r="B370" s="26" t="s">
        <v>35</v>
      </c>
      <c r="C370" s="26" t="s">
        <v>36</v>
      </c>
      <c r="D370" s="26" t="s">
        <v>60</v>
      </c>
      <c r="E370" s="57" t="s">
        <v>70</v>
      </c>
      <c r="F370" s="26"/>
      <c r="G370" s="26" t="s">
        <v>119</v>
      </c>
      <c r="H370" s="49" t="s">
        <v>115</v>
      </c>
      <c r="I370" s="53">
        <v>686.76</v>
      </c>
      <c r="J370" s="26" t="s">
        <v>672</v>
      </c>
      <c r="K370" s="48">
        <v>46073</v>
      </c>
      <c r="L370" s="26">
        <v>2026400803</v>
      </c>
      <c r="M370" s="26" t="s">
        <v>202</v>
      </c>
      <c r="N370" s="26">
        <v>2026</v>
      </c>
    </row>
    <row r="371" spans="1:14">
      <c r="A371" s="26">
        <v>370</v>
      </c>
      <c r="B371" s="26" t="s">
        <v>42</v>
      </c>
      <c r="C371" s="26" t="s">
        <v>69</v>
      </c>
      <c r="D371" s="26" t="s">
        <v>60</v>
      </c>
      <c r="E371" s="26" t="s">
        <v>70</v>
      </c>
      <c r="F371" s="26"/>
      <c r="G371" s="26" t="s">
        <v>64</v>
      </c>
      <c r="H371" s="26" t="s">
        <v>320</v>
      </c>
      <c r="I371" s="50">
        <v>671.14093959731542</v>
      </c>
      <c r="J371" s="26" t="s">
        <v>67</v>
      </c>
      <c r="K371" s="48">
        <v>46083</v>
      </c>
      <c r="L371" s="67" t="s">
        <v>14</v>
      </c>
      <c r="M371" s="98" t="s">
        <v>202</v>
      </c>
      <c r="N371" s="26">
        <v>2026</v>
      </c>
    </row>
    <row r="372" spans="1:14">
      <c r="A372" s="26">
        <v>371</v>
      </c>
      <c r="B372" s="26" t="s">
        <v>42</v>
      </c>
      <c r="C372" s="48" t="s">
        <v>50</v>
      </c>
      <c r="D372" s="26" t="s">
        <v>60</v>
      </c>
      <c r="E372" s="26" t="s">
        <v>70</v>
      </c>
      <c r="F372" s="26"/>
      <c r="G372" s="26" t="s">
        <v>64</v>
      </c>
      <c r="H372" s="49" t="s">
        <v>250</v>
      </c>
      <c r="I372" s="50">
        <v>671.14093959731542</v>
      </c>
      <c r="J372" s="26" t="s">
        <v>67</v>
      </c>
      <c r="K372" s="48">
        <v>46144</v>
      </c>
      <c r="L372" s="67" t="s">
        <v>14</v>
      </c>
      <c r="M372" s="98" t="s">
        <v>202</v>
      </c>
      <c r="N372" s="26">
        <v>2026</v>
      </c>
    </row>
    <row r="373" spans="1:14">
      <c r="A373" s="26">
        <v>372</v>
      </c>
      <c r="B373" s="26" t="s">
        <v>52</v>
      </c>
      <c r="C373" s="26" t="s">
        <v>62</v>
      </c>
      <c r="D373" s="26" t="s">
        <v>60</v>
      </c>
      <c r="E373" s="26" t="s">
        <v>70</v>
      </c>
      <c r="F373" s="26"/>
      <c r="G373" s="26" t="s">
        <v>266</v>
      </c>
      <c r="H373" s="26" t="s">
        <v>115</v>
      </c>
      <c r="I373" s="46">
        <v>671.14093959731542</v>
      </c>
      <c r="J373" s="48" t="s">
        <v>473</v>
      </c>
      <c r="K373" s="48">
        <v>46078</v>
      </c>
      <c r="L373" s="51">
        <v>2026400712</v>
      </c>
      <c r="M373" s="26" t="s">
        <v>202</v>
      </c>
      <c r="N373" s="26">
        <v>2026</v>
      </c>
    </row>
    <row r="374" spans="1:14">
      <c r="A374" s="26">
        <v>373</v>
      </c>
      <c r="B374" s="26" t="s">
        <v>42</v>
      </c>
      <c r="C374" s="26" t="s">
        <v>50</v>
      </c>
      <c r="D374" s="26" t="s">
        <v>60</v>
      </c>
      <c r="E374" s="26" t="s">
        <v>70</v>
      </c>
      <c r="F374" s="26"/>
      <c r="G374" s="26" t="s">
        <v>121</v>
      </c>
      <c r="H374" s="49" t="s">
        <v>115</v>
      </c>
      <c r="I374" s="53">
        <v>664.2</v>
      </c>
      <c r="J374" s="26" t="s">
        <v>538</v>
      </c>
      <c r="K374" s="48">
        <v>46075</v>
      </c>
      <c r="L374" s="26">
        <v>2026400382</v>
      </c>
      <c r="M374" s="26" t="s">
        <v>202</v>
      </c>
      <c r="N374" s="26">
        <v>2026</v>
      </c>
    </row>
    <row r="375" spans="1:14">
      <c r="A375" s="26">
        <v>374</v>
      </c>
      <c r="B375" s="63" t="s">
        <v>54</v>
      </c>
      <c r="C375" s="26" t="s">
        <v>55</v>
      </c>
      <c r="D375" s="26" t="s">
        <v>60</v>
      </c>
      <c r="E375" s="26" t="s">
        <v>70</v>
      </c>
      <c r="F375" s="26"/>
      <c r="G375" s="26" t="s">
        <v>226</v>
      </c>
      <c r="H375" s="26" t="s">
        <v>233</v>
      </c>
      <c r="I375" s="53">
        <v>660</v>
      </c>
      <c r="J375" s="26" t="s">
        <v>507</v>
      </c>
      <c r="K375" s="48">
        <v>46054</v>
      </c>
      <c r="L375" s="26">
        <v>2026400298</v>
      </c>
      <c r="M375" s="26" t="s">
        <v>202</v>
      </c>
      <c r="N375" s="26">
        <v>2026</v>
      </c>
    </row>
    <row r="376" spans="1:14">
      <c r="A376" s="26">
        <v>375</v>
      </c>
      <c r="B376" s="26" t="s">
        <v>54</v>
      </c>
      <c r="C376" s="26" t="s">
        <v>55</v>
      </c>
      <c r="D376" s="26" t="s">
        <v>60</v>
      </c>
      <c r="E376" s="26" t="s">
        <v>70</v>
      </c>
      <c r="F376" s="26"/>
      <c r="G376" s="26" t="s">
        <v>64</v>
      </c>
      <c r="H376" s="26" t="s">
        <v>319</v>
      </c>
      <c r="I376" s="50">
        <v>657.71812080536915</v>
      </c>
      <c r="J376" s="26">
        <v>329</v>
      </c>
      <c r="K376" s="48">
        <v>46024</v>
      </c>
      <c r="L376" s="67" t="s">
        <v>14</v>
      </c>
      <c r="M376" s="98" t="s">
        <v>202</v>
      </c>
      <c r="N376" s="26">
        <v>2026</v>
      </c>
    </row>
    <row r="377" spans="1:14">
      <c r="A377" s="26">
        <v>376</v>
      </c>
      <c r="B377" s="26" t="s">
        <v>17</v>
      </c>
      <c r="C377" s="100" t="s">
        <v>25</v>
      </c>
      <c r="D377" s="26" t="s">
        <v>60</v>
      </c>
      <c r="E377" s="26" t="s">
        <v>70</v>
      </c>
      <c r="F377" s="26"/>
      <c r="G377" s="26" t="s">
        <v>121</v>
      </c>
      <c r="H377" s="49" t="s">
        <v>115</v>
      </c>
      <c r="I377" s="50">
        <v>653</v>
      </c>
      <c r="J377" s="26" t="s">
        <v>642</v>
      </c>
      <c r="K377" s="48">
        <v>46082</v>
      </c>
      <c r="L377" s="67">
        <v>2026400612</v>
      </c>
      <c r="M377" s="26" t="s">
        <v>202</v>
      </c>
      <c r="N377" s="26">
        <v>2026</v>
      </c>
    </row>
    <row r="378" spans="1:14">
      <c r="A378" s="26">
        <v>377</v>
      </c>
      <c r="B378" s="26" t="s">
        <v>17</v>
      </c>
      <c r="C378" s="48" t="s">
        <v>18</v>
      </c>
      <c r="D378" s="26" t="s">
        <v>60</v>
      </c>
      <c r="E378" s="26" t="s">
        <v>70</v>
      </c>
      <c r="F378" s="26"/>
      <c r="G378" s="26" t="s">
        <v>121</v>
      </c>
      <c r="H378" s="49" t="s">
        <v>115</v>
      </c>
      <c r="I378" s="50">
        <v>650</v>
      </c>
      <c r="J378" s="26" t="s">
        <v>562</v>
      </c>
      <c r="K378" s="48">
        <v>46078</v>
      </c>
      <c r="L378" s="51">
        <v>2026400605</v>
      </c>
      <c r="M378" s="26" t="s">
        <v>202</v>
      </c>
      <c r="N378" s="26">
        <v>2026</v>
      </c>
    </row>
    <row r="379" spans="1:14">
      <c r="A379" s="26">
        <v>378</v>
      </c>
      <c r="B379" s="26" t="s">
        <v>42</v>
      </c>
      <c r="C379" s="26" t="s">
        <v>257</v>
      </c>
      <c r="D379" s="26" t="s">
        <v>60</v>
      </c>
      <c r="E379" s="26" t="s">
        <v>70</v>
      </c>
      <c r="F379" s="26"/>
      <c r="G379" s="26" t="s">
        <v>119</v>
      </c>
      <c r="H379" s="49" t="s">
        <v>115</v>
      </c>
      <c r="I379" s="50">
        <v>646.20000000000005</v>
      </c>
      <c r="J379" s="26" t="s">
        <v>670</v>
      </c>
      <c r="K379" s="48">
        <v>46073</v>
      </c>
      <c r="L379" s="67">
        <v>2026400801</v>
      </c>
      <c r="M379" s="26" t="s">
        <v>202</v>
      </c>
      <c r="N379" s="26">
        <v>2026</v>
      </c>
    </row>
    <row r="380" spans="1:14">
      <c r="A380" s="26">
        <v>379</v>
      </c>
      <c r="B380" s="26" t="s">
        <v>42</v>
      </c>
      <c r="C380" s="26" t="s">
        <v>50</v>
      </c>
      <c r="D380" s="100" t="s">
        <v>60</v>
      </c>
      <c r="E380" s="26" t="s">
        <v>70</v>
      </c>
      <c r="F380" s="26"/>
      <c r="G380" s="26" t="s">
        <v>116</v>
      </c>
      <c r="H380" s="26" t="s">
        <v>269</v>
      </c>
      <c r="I380" s="53">
        <v>642.6</v>
      </c>
      <c r="J380" s="26" t="s">
        <v>530</v>
      </c>
      <c r="K380" s="48">
        <v>46070</v>
      </c>
      <c r="L380" s="26">
        <v>2026400392</v>
      </c>
      <c r="M380" s="26" t="s">
        <v>202</v>
      </c>
      <c r="N380" s="26">
        <v>2026</v>
      </c>
    </row>
    <row r="381" spans="1:14">
      <c r="A381" s="26">
        <v>380</v>
      </c>
      <c r="B381" s="45" t="s">
        <v>54</v>
      </c>
      <c r="C381" s="77" t="s">
        <v>93</v>
      </c>
      <c r="D381" s="100" t="s">
        <v>60</v>
      </c>
      <c r="E381" s="26" t="s">
        <v>70</v>
      </c>
      <c r="F381" s="26"/>
      <c r="G381" s="26" t="s">
        <v>281</v>
      </c>
      <c r="H381" s="26" t="s">
        <v>115</v>
      </c>
      <c r="I381" s="50">
        <v>637.58389261744969</v>
      </c>
      <c r="J381" s="48" t="s">
        <v>474</v>
      </c>
      <c r="K381" s="48">
        <v>46067</v>
      </c>
      <c r="L381" s="51">
        <v>2026400587</v>
      </c>
      <c r="M381" s="26" t="s">
        <v>202</v>
      </c>
      <c r="N381" s="26">
        <v>2026</v>
      </c>
    </row>
    <row r="382" spans="1:14">
      <c r="A382" s="26">
        <v>381</v>
      </c>
      <c r="B382" s="26" t="s">
        <v>52</v>
      </c>
      <c r="C382" s="70" t="s">
        <v>62</v>
      </c>
      <c r="D382" s="26" t="s">
        <v>60</v>
      </c>
      <c r="E382" s="26" t="s">
        <v>70</v>
      </c>
      <c r="F382" s="26"/>
      <c r="G382" s="26" t="s">
        <v>64</v>
      </c>
      <c r="H382" s="26" t="s">
        <v>345</v>
      </c>
      <c r="I382" s="50">
        <v>636.91275167785238</v>
      </c>
      <c r="J382" s="26" t="s">
        <v>67</v>
      </c>
      <c r="K382" s="48">
        <v>46114</v>
      </c>
      <c r="L382" s="67" t="s">
        <v>14</v>
      </c>
      <c r="M382" s="98" t="s">
        <v>202</v>
      </c>
      <c r="N382" s="26">
        <v>2026</v>
      </c>
    </row>
    <row r="383" spans="1:14">
      <c r="A383" s="26">
        <v>382</v>
      </c>
      <c r="B383" s="26" t="s">
        <v>17</v>
      </c>
      <c r="C383" s="48" t="s">
        <v>22</v>
      </c>
      <c r="D383" s="26" t="s">
        <v>60</v>
      </c>
      <c r="E383" s="26" t="s">
        <v>70</v>
      </c>
      <c r="F383" s="26"/>
      <c r="G383" s="26" t="s">
        <v>64</v>
      </c>
      <c r="H383" s="49" t="s">
        <v>71</v>
      </c>
      <c r="I383" s="50">
        <v>636.24161073825508</v>
      </c>
      <c r="J383" s="26" t="s">
        <v>67</v>
      </c>
      <c r="K383" s="48">
        <v>46083</v>
      </c>
      <c r="L383" s="67" t="s">
        <v>14</v>
      </c>
      <c r="M383" s="98" t="s">
        <v>202</v>
      </c>
      <c r="N383" s="26">
        <v>2026</v>
      </c>
    </row>
    <row r="384" spans="1:14">
      <c r="A384" s="26">
        <v>383</v>
      </c>
      <c r="B384" s="26" t="s">
        <v>42</v>
      </c>
      <c r="C384" s="26" t="s">
        <v>50</v>
      </c>
      <c r="D384" s="26" t="s">
        <v>60</v>
      </c>
      <c r="E384" s="26" t="s">
        <v>70</v>
      </c>
      <c r="F384" s="26"/>
      <c r="G384" s="26" t="s">
        <v>121</v>
      </c>
      <c r="H384" s="26" t="s">
        <v>115</v>
      </c>
      <c r="I384" s="53">
        <v>609</v>
      </c>
      <c r="J384" s="26" t="s">
        <v>619</v>
      </c>
      <c r="K384" s="48">
        <v>46069</v>
      </c>
      <c r="L384" s="26">
        <v>2026400229</v>
      </c>
      <c r="M384" s="26" t="s">
        <v>202</v>
      </c>
      <c r="N384" s="26">
        <v>2026</v>
      </c>
    </row>
    <row r="385" spans="1:14">
      <c r="A385" s="26">
        <v>384</v>
      </c>
      <c r="B385" s="26" t="s">
        <v>17</v>
      </c>
      <c r="C385" s="48" t="s">
        <v>22</v>
      </c>
      <c r="D385" s="26" t="s">
        <v>60</v>
      </c>
      <c r="E385" s="26" t="s">
        <v>70</v>
      </c>
      <c r="F385" s="26"/>
      <c r="G385" s="26" t="s">
        <v>64</v>
      </c>
      <c r="H385" s="49" t="s">
        <v>333</v>
      </c>
      <c r="I385" s="50">
        <v>604.02684563758385</v>
      </c>
      <c r="J385" s="26">
        <v>7020</v>
      </c>
      <c r="K385" s="48" t="s">
        <v>274</v>
      </c>
      <c r="L385" s="67" t="s">
        <v>14</v>
      </c>
      <c r="M385" s="98" t="s">
        <v>202</v>
      </c>
      <c r="N385" s="26">
        <v>2026</v>
      </c>
    </row>
    <row r="386" spans="1:14">
      <c r="A386" s="26">
        <v>385</v>
      </c>
      <c r="B386" s="26" t="s">
        <v>17</v>
      </c>
      <c r="C386" s="100" t="s">
        <v>22</v>
      </c>
      <c r="D386" s="100" t="s">
        <v>60</v>
      </c>
      <c r="E386" s="26" t="s">
        <v>70</v>
      </c>
      <c r="F386" s="26"/>
      <c r="G386" s="26" t="s">
        <v>229</v>
      </c>
      <c r="H386" s="26" t="s">
        <v>235</v>
      </c>
      <c r="I386" s="53">
        <v>604.02684563758385</v>
      </c>
      <c r="J386" s="26" t="s">
        <v>475</v>
      </c>
      <c r="K386" s="48">
        <v>46055</v>
      </c>
      <c r="L386" s="26">
        <v>2026400414</v>
      </c>
      <c r="M386" s="26" t="s">
        <v>202</v>
      </c>
      <c r="N386" s="26">
        <v>2026</v>
      </c>
    </row>
    <row r="387" spans="1:14">
      <c r="A387" s="26">
        <v>386</v>
      </c>
      <c r="B387" s="26" t="s">
        <v>42</v>
      </c>
      <c r="C387" s="48" t="s">
        <v>50</v>
      </c>
      <c r="D387" s="26" t="s">
        <v>60</v>
      </c>
      <c r="E387" s="26" t="s">
        <v>70</v>
      </c>
      <c r="F387" s="26"/>
      <c r="G387" s="26" t="s">
        <v>121</v>
      </c>
      <c r="H387" s="26" t="s">
        <v>115</v>
      </c>
      <c r="I387" s="46">
        <v>541.5</v>
      </c>
      <c r="J387" s="48" t="s">
        <v>495</v>
      </c>
      <c r="K387" s="48">
        <v>46054</v>
      </c>
      <c r="L387" s="51">
        <v>2026400358</v>
      </c>
      <c r="M387" s="26" t="s">
        <v>202</v>
      </c>
      <c r="N387" s="26">
        <v>2026</v>
      </c>
    </row>
    <row r="388" spans="1:14">
      <c r="A388" s="26">
        <v>387</v>
      </c>
      <c r="B388" s="26" t="s">
        <v>35</v>
      </c>
      <c r="C388" s="26" t="s">
        <v>36</v>
      </c>
      <c r="D388" s="100" t="s">
        <v>60</v>
      </c>
      <c r="E388" s="57" t="s">
        <v>70</v>
      </c>
      <c r="F388" s="26"/>
      <c r="G388" s="26" t="s">
        <v>117</v>
      </c>
      <c r="H388" s="47" t="s">
        <v>115</v>
      </c>
      <c r="I388" s="53">
        <v>536.91275167785238</v>
      </c>
      <c r="J388" s="26" t="s">
        <v>476</v>
      </c>
      <c r="K388" s="48">
        <v>46054</v>
      </c>
      <c r="L388" s="26">
        <v>2026400404</v>
      </c>
      <c r="M388" s="26" t="s">
        <v>202</v>
      </c>
      <c r="N388" s="26">
        <v>2026</v>
      </c>
    </row>
    <row r="389" spans="1:14">
      <c r="A389" s="26">
        <v>388</v>
      </c>
      <c r="B389" s="63" t="s">
        <v>42</v>
      </c>
      <c r="C389" s="26" t="s">
        <v>50</v>
      </c>
      <c r="D389" s="26" t="s">
        <v>60</v>
      </c>
      <c r="E389" s="26" t="s">
        <v>70</v>
      </c>
      <c r="F389" s="26"/>
      <c r="G389" s="26" t="s">
        <v>288</v>
      </c>
      <c r="H389" s="49" t="s">
        <v>115</v>
      </c>
      <c r="I389" s="53">
        <v>536.91275167785238</v>
      </c>
      <c r="J389" s="26" t="s">
        <v>232</v>
      </c>
      <c r="K389" s="48">
        <v>46061</v>
      </c>
      <c r="L389" s="26">
        <v>2026400378</v>
      </c>
      <c r="M389" s="26" t="s">
        <v>202</v>
      </c>
      <c r="N389" s="26">
        <v>2026</v>
      </c>
    </row>
    <row r="390" spans="1:14">
      <c r="A390" s="26">
        <v>389</v>
      </c>
      <c r="B390" s="63" t="s">
        <v>42</v>
      </c>
      <c r="C390" s="26" t="s">
        <v>50</v>
      </c>
      <c r="D390" s="26" t="s">
        <v>60</v>
      </c>
      <c r="E390" s="26" t="s">
        <v>70</v>
      </c>
      <c r="F390" s="26"/>
      <c r="G390" s="26" t="s">
        <v>288</v>
      </c>
      <c r="H390" s="49" t="s">
        <v>115</v>
      </c>
      <c r="I390" s="53">
        <v>536.91275167785238</v>
      </c>
      <c r="J390" s="26" t="s">
        <v>477</v>
      </c>
      <c r="K390" s="48">
        <v>46081</v>
      </c>
      <c r="L390" s="26">
        <v>2026400601</v>
      </c>
      <c r="M390" s="26" t="s">
        <v>202</v>
      </c>
      <c r="N390" s="26">
        <v>2026</v>
      </c>
    </row>
    <row r="391" spans="1:14">
      <c r="A391" s="26">
        <v>390</v>
      </c>
      <c r="B391" s="26" t="s">
        <v>54</v>
      </c>
      <c r="C391" s="26" t="s">
        <v>55</v>
      </c>
      <c r="D391" s="26" t="s">
        <v>60</v>
      </c>
      <c r="E391" s="26" t="s">
        <v>70</v>
      </c>
      <c r="F391" s="26"/>
      <c r="G391" s="26" t="s">
        <v>121</v>
      </c>
      <c r="H391" s="26" t="s">
        <v>115</v>
      </c>
      <c r="I391" s="50">
        <v>520</v>
      </c>
      <c r="J391" s="26" t="s">
        <v>588</v>
      </c>
      <c r="K391" s="48">
        <v>46070</v>
      </c>
      <c r="L391" s="67">
        <v>2026400408</v>
      </c>
      <c r="M391" s="26" t="s">
        <v>202</v>
      </c>
      <c r="N391" s="26">
        <v>2026</v>
      </c>
    </row>
    <row r="392" spans="1:14">
      <c r="A392" s="26">
        <v>391</v>
      </c>
      <c r="B392" s="26" t="s">
        <v>42</v>
      </c>
      <c r="C392" s="26" t="s">
        <v>50</v>
      </c>
      <c r="D392" s="26" t="s">
        <v>60</v>
      </c>
      <c r="E392" s="26" t="s">
        <v>70</v>
      </c>
      <c r="F392" s="26"/>
      <c r="G392" s="26" t="s">
        <v>121</v>
      </c>
      <c r="H392" s="26" t="s">
        <v>115</v>
      </c>
      <c r="I392" s="53">
        <v>520</v>
      </c>
      <c r="J392" s="26" t="s">
        <v>617</v>
      </c>
      <c r="K392" s="48">
        <v>46068</v>
      </c>
      <c r="L392" s="26">
        <v>2026400380</v>
      </c>
      <c r="M392" s="26" t="s">
        <v>202</v>
      </c>
      <c r="N392" s="26">
        <v>2026</v>
      </c>
    </row>
    <row r="393" spans="1:14">
      <c r="A393" s="26">
        <v>392</v>
      </c>
      <c r="B393" s="26" t="s">
        <v>54</v>
      </c>
      <c r="C393" s="48" t="s">
        <v>93</v>
      </c>
      <c r="D393" s="26" t="s">
        <v>60</v>
      </c>
      <c r="E393" s="26" t="s">
        <v>70</v>
      </c>
      <c r="F393" s="26"/>
      <c r="G393" s="26" t="s">
        <v>121</v>
      </c>
      <c r="H393" s="49" t="s">
        <v>115</v>
      </c>
      <c r="I393" s="50">
        <v>510</v>
      </c>
      <c r="J393" s="26" t="s">
        <v>575</v>
      </c>
      <c r="K393" s="48">
        <v>46069</v>
      </c>
      <c r="L393" s="67">
        <v>2026400501</v>
      </c>
      <c r="M393" s="26" t="s">
        <v>202</v>
      </c>
      <c r="N393" s="26">
        <v>2026</v>
      </c>
    </row>
    <row r="394" spans="1:14">
      <c r="A394" s="26">
        <v>393</v>
      </c>
      <c r="B394" s="26" t="s">
        <v>58</v>
      </c>
      <c r="C394" s="48" t="s">
        <v>59</v>
      </c>
      <c r="D394" s="26" t="s">
        <v>60</v>
      </c>
      <c r="E394" s="26" t="s">
        <v>70</v>
      </c>
      <c r="F394" s="26"/>
      <c r="G394" s="26" t="s">
        <v>64</v>
      </c>
      <c r="H394" s="49" t="s">
        <v>331</v>
      </c>
      <c r="I394" s="50">
        <v>503.3557046979866</v>
      </c>
      <c r="J394" s="26" t="s">
        <v>67</v>
      </c>
      <c r="K394" s="48" t="s">
        <v>371</v>
      </c>
      <c r="L394" s="67" t="s">
        <v>14</v>
      </c>
      <c r="M394" s="98" t="s">
        <v>202</v>
      </c>
      <c r="N394" s="26">
        <v>2026</v>
      </c>
    </row>
    <row r="395" spans="1:14">
      <c r="A395" s="26">
        <v>394</v>
      </c>
      <c r="B395" s="26" t="s">
        <v>271</v>
      </c>
      <c r="C395" s="48" t="s">
        <v>272</v>
      </c>
      <c r="D395" s="26" t="s">
        <v>60</v>
      </c>
      <c r="E395" s="26" t="s">
        <v>70</v>
      </c>
      <c r="F395" s="26"/>
      <c r="G395" s="26" t="s">
        <v>64</v>
      </c>
      <c r="H395" s="49" t="s">
        <v>344</v>
      </c>
      <c r="I395" s="50">
        <v>503.3557046979866</v>
      </c>
      <c r="J395" s="26">
        <v>71</v>
      </c>
      <c r="K395" s="48" t="s">
        <v>362</v>
      </c>
      <c r="L395" s="67" t="s">
        <v>14</v>
      </c>
      <c r="M395" s="98" t="s">
        <v>202</v>
      </c>
      <c r="N395" s="26">
        <v>2026</v>
      </c>
    </row>
    <row r="396" spans="1:14">
      <c r="A396" s="26">
        <v>395</v>
      </c>
      <c r="B396" s="26" t="s">
        <v>42</v>
      </c>
      <c r="C396" s="26" t="s">
        <v>257</v>
      </c>
      <c r="D396" s="26" t="s">
        <v>60</v>
      </c>
      <c r="E396" s="26" t="s">
        <v>70</v>
      </c>
      <c r="F396" s="26"/>
      <c r="G396" s="26" t="s">
        <v>64</v>
      </c>
      <c r="H396" s="49" t="s">
        <v>249</v>
      </c>
      <c r="I396" s="50">
        <v>492.95302013422821</v>
      </c>
      <c r="J396" s="26" t="s">
        <v>67</v>
      </c>
      <c r="K396" s="48" t="s">
        <v>366</v>
      </c>
      <c r="L396" s="67" t="s">
        <v>14</v>
      </c>
      <c r="M396" s="98" t="s">
        <v>202</v>
      </c>
      <c r="N396" s="26">
        <v>2026</v>
      </c>
    </row>
    <row r="397" spans="1:14">
      <c r="A397" s="26">
        <v>396</v>
      </c>
      <c r="B397" s="26" t="s">
        <v>17</v>
      </c>
      <c r="C397" s="48" t="s">
        <v>25</v>
      </c>
      <c r="D397" s="26" t="s">
        <v>60</v>
      </c>
      <c r="E397" s="26" t="s">
        <v>70</v>
      </c>
      <c r="F397" s="26"/>
      <c r="G397" s="26" t="s">
        <v>266</v>
      </c>
      <c r="H397" s="26" t="s">
        <v>115</v>
      </c>
      <c r="I397" s="46">
        <v>483.22147651006713</v>
      </c>
      <c r="J397" s="48" t="s">
        <v>478</v>
      </c>
      <c r="K397" s="48">
        <v>46076</v>
      </c>
      <c r="L397" s="51">
        <v>2026400699</v>
      </c>
      <c r="M397" s="26" t="s">
        <v>202</v>
      </c>
      <c r="N397" s="26">
        <v>2026</v>
      </c>
    </row>
    <row r="398" spans="1:14">
      <c r="A398" s="26">
        <v>397</v>
      </c>
      <c r="B398" s="26" t="s">
        <v>42</v>
      </c>
      <c r="C398" s="26" t="s">
        <v>44</v>
      </c>
      <c r="D398" s="26" t="s">
        <v>60</v>
      </c>
      <c r="E398" s="26" t="s">
        <v>70</v>
      </c>
      <c r="F398" s="26"/>
      <c r="G398" s="26" t="s">
        <v>121</v>
      </c>
      <c r="H398" s="26" t="s">
        <v>115</v>
      </c>
      <c r="I398" s="53">
        <v>475.8</v>
      </c>
      <c r="J398" s="26" t="s">
        <v>613</v>
      </c>
      <c r="K398" s="48">
        <v>46068</v>
      </c>
      <c r="L398" s="26">
        <v>2026400373</v>
      </c>
      <c r="M398" s="26" t="s">
        <v>202</v>
      </c>
      <c r="N398" s="26">
        <v>2026</v>
      </c>
    </row>
    <row r="399" spans="1:14">
      <c r="A399" s="26">
        <v>398</v>
      </c>
      <c r="B399" s="26" t="s">
        <v>52</v>
      </c>
      <c r="C399" s="70" t="s">
        <v>62</v>
      </c>
      <c r="D399" s="26" t="s">
        <v>60</v>
      </c>
      <c r="E399" s="26" t="s">
        <v>70</v>
      </c>
      <c r="F399" s="26"/>
      <c r="G399" s="26" t="s">
        <v>64</v>
      </c>
      <c r="H399" s="49" t="s">
        <v>325</v>
      </c>
      <c r="I399" s="50">
        <v>469.79865771812081</v>
      </c>
      <c r="J399" s="26">
        <v>2431</v>
      </c>
      <c r="K399" s="48">
        <v>46083</v>
      </c>
      <c r="L399" s="67" t="s">
        <v>14</v>
      </c>
      <c r="M399" s="98" t="s">
        <v>202</v>
      </c>
      <c r="N399" s="26">
        <v>2026</v>
      </c>
    </row>
    <row r="400" spans="1:14">
      <c r="A400" s="26">
        <v>399</v>
      </c>
      <c r="B400" s="26" t="s">
        <v>42</v>
      </c>
      <c r="C400" s="26" t="s">
        <v>257</v>
      </c>
      <c r="D400" s="26" t="s">
        <v>60</v>
      </c>
      <c r="E400" s="26" t="s">
        <v>70</v>
      </c>
      <c r="F400" s="26"/>
      <c r="G400" s="26" t="s">
        <v>287</v>
      </c>
      <c r="H400" s="100" t="s">
        <v>115</v>
      </c>
      <c r="I400" s="50">
        <v>469.79865771812081</v>
      </c>
      <c r="J400" s="26" t="s">
        <v>479</v>
      </c>
      <c r="K400" s="48">
        <v>46076</v>
      </c>
      <c r="L400" s="51">
        <v>2026400667</v>
      </c>
      <c r="M400" s="26" t="s">
        <v>202</v>
      </c>
      <c r="N400" s="26">
        <v>2026</v>
      </c>
    </row>
    <row r="401" spans="1:14">
      <c r="A401" s="26">
        <v>400</v>
      </c>
      <c r="B401" s="63" t="s">
        <v>17</v>
      </c>
      <c r="C401" s="76" t="s">
        <v>22</v>
      </c>
      <c r="D401" s="26" t="s">
        <v>60</v>
      </c>
      <c r="E401" s="26" t="s">
        <v>70</v>
      </c>
      <c r="F401" s="26"/>
      <c r="G401" s="45" t="s">
        <v>119</v>
      </c>
      <c r="H401" s="45" t="s">
        <v>115</v>
      </c>
      <c r="I401" s="53">
        <v>466.14</v>
      </c>
      <c r="J401" s="26" t="s">
        <v>677</v>
      </c>
      <c r="K401" s="48">
        <v>46073</v>
      </c>
      <c r="L401" s="26">
        <v>2026400815</v>
      </c>
      <c r="M401" s="26" t="s">
        <v>202</v>
      </c>
      <c r="N401" s="26">
        <v>2026</v>
      </c>
    </row>
    <row r="402" spans="1:14">
      <c r="A402" s="26">
        <v>401</v>
      </c>
      <c r="B402" s="26" t="s">
        <v>52</v>
      </c>
      <c r="C402" s="48" t="s">
        <v>62</v>
      </c>
      <c r="D402" s="26" t="s">
        <v>60</v>
      </c>
      <c r="E402" s="26" t="s">
        <v>70</v>
      </c>
      <c r="F402" s="26"/>
      <c r="G402" s="26" t="s">
        <v>121</v>
      </c>
      <c r="H402" s="49" t="s">
        <v>115</v>
      </c>
      <c r="I402" s="50">
        <v>465</v>
      </c>
      <c r="J402" s="26" t="s">
        <v>514</v>
      </c>
      <c r="K402" s="48">
        <v>46058</v>
      </c>
      <c r="L402" s="51">
        <v>2026400338</v>
      </c>
      <c r="M402" s="26" t="s">
        <v>202</v>
      </c>
      <c r="N402" s="26">
        <v>2026</v>
      </c>
    </row>
    <row r="403" spans="1:14">
      <c r="A403" s="26">
        <v>402</v>
      </c>
      <c r="B403" s="26" t="s">
        <v>52</v>
      </c>
      <c r="C403" s="48" t="s">
        <v>62</v>
      </c>
      <c r="D403" s="26" t="s">
        <v>60</v>
      </c>
      <c r="E403" s="26" t="s">
        <v>70</v>
      </c>
      <c r="F403" s="26"/>
      <c r="G403" s="26" t="s">
        <v>121</v>
      </c>
      <c r="H403" s="49" t="s">
        <v>115</v>
      </c>
      <c r="I403" s="50">
        <v>462</v>
      </c>
      <c r="J403" s="26" t="s">
        <v>591</v>
      </c>
      <c r="K403" s="48">
        <v>46068</v>
      </c>
      <c r="L403" s="67">
        <v>2026400442</v>
      </c>
      <c r="M403" s="26" t="s">
        <v>202</v>
      </c>
      <c r="N403" s="26">
        <v>2026</v>
      </c>
    </row>
    <row r="404" spans="1:14">
      <c r="A404" s="26">
        <v>403</v>
      </c>
      <c r="B404" s="63" t="s">
        <v>17</v>
      </c>
      <c r="C404" s="26" t="s">
        <v>265</v>
      </c>
      <c r="D404" s="26" t="s">
        <v>60</v>
      </c>
      <c r="E404" s="26" t="s">
        <v>70</v>
      </c>
      <c r="F404" s="26"/>
      <c r="G404" s="45" t="s">
        <v>119</v>
      </c>
      <c r="H404" s="45" t="s">
        <v>115</v>
      </c>
      <c r="I404" s="53">
        <v>461.55</v>
      </c>
      <c r="J404" s="26" t="s">
        <v>676</v>
      </c>
      <c r="K404" s="48">
        <v>46073</v>
      </c>
      <c r="L404" s="26">
        <v>2026400814</v>
      </c>
      <c r="M404" s="26" t="s">
        <v>202</v>
      </c>
      <c r="N404" s="26">
        <v>2026</v>
      </c>
    </row>
    <row r="405" spans="1:14">
      <c r="A405" s="26">
        <v>404</v>
      </c>
      <c r="B405" s="26" t="s">
        <v>17</v>
      </c>
      <c r="C405" s="26" t="s">
        <v>265</v>
      </c>
      <c r="D405" s="26" t="s">
        <v>60</v>
      </c>
      <c r="E405" s="26" t="s">
        <v>70</v>
      </c>
      <c r="F405" s="26"/>
      <c r="G405" s="26" t="s">
        <v>119</v>
      </c>
      <c r="H405" s="49" t="s">
        <v>115</v>
      </c>
      <c r="I405" s="46">
        <v>461.54</v>
      </c>
      <c r="J405" s="26" t="s">
        <v>667</v>
      </c>
      <c r="K405" s="48">
        <v>46073</v>
      </c>
      <c r="L405" s="26">
        <v>2026400819</v>
      </c>
      <c r="M405" s="26" t="s">
        <v>202</v>
      </c>
      <c r="N405" s="26">
        <v>2026</v>
      </c>
    </row>
    <row r="406" spans="1:14">
      <c r="A406" s="26">
        <v>405</v>
      </c>
      <c r="B406" s="45" t="s">
        <v>17</v>
      </c>
      <c r="C406" s="26" t="s">
        <v>25</v>
      </c>
      <c r="D406" s="26" t="s">
        <v>60</v>
      </c>
      <c r="E406" s="26" t="s">
        <v>70</v>
      </c>
      <c r="F406" s="26"/>
      <c r="G406" s="45" t="s">
        <v>121</v>
      </c>
      <c r="H406" s="49" t="s">
        <v>115</v>
      </c>
      <c r="I406" s="53">
        <v>454.1</v>
      </c>
      <c r="J406" s="26" t="s">
        <v>520</v>
      </c>
      <c r="K406" s="48">
        <v>46060</v>
      </c>
      <c r="L406" s="26">
        <v>2026400352</v>
      </c>
      <c r="M406" s="26" t="s">
        <v>202</v>
      </c>
      <c r="N406" s="26">
        <v>2026</v>
      </c>
    </row>
    <row r="407" spans="1:14">
      <c r="A407" s="26">
        <v>406</v>
      </c>
      <c r="B407" s="63" t="s">
        <v>42</v>
      </c>
      <c r="C407" s="57" t="s">
        <v>50</v>
      </c>
      <c r="D407" s="26" t="s">
        <v>60</v>
      </c>
      <c r="E407" s="57" t="s">
        <v>70</v>
      </c>
      <c r="F407" s="26"/>
      <c r="G407" s="57" t="s">
        <v>226</v>
      </c>
      <c r="H407" s="26" t="s">
        <v>233</v>
      </c>
      <c r="I407" s="53">
        <v>450</v>
      </c>
      <c r="J407" s="26" t="s">
        <v>572</v>
      </c>
      <c r="K407" s="48">
        <v>46062</v>
      </c>
      <c r="L407" s="26">
        <v>2026400432</v>
      </c>
      <c r="M407" s="26" t="s">
        <v>202</v>
      </c>
      <c r="N407" s="26">
        <v>2026</v>
      </c>
    </row>
    <row r="408" spans="1:14">
      <c r="A408" s="26">
        <v>407</v>
      </c>
      <c r="B408" s="26" t="s">
        <v>52</v>
      </c>
      <c r="C408" s="26" t="s">
        <v>62</v>
      </c>
      <c r="D408" s="26" t="s">
        <v>60</v>
      </c>
      <c r="E408" s="26" t="s">
        <v>70</v>
      </c>
      <c r="F408" s="26"/>
      <c r="G408" s="26" t="s">
        <v>121</v>
      </c>
      <c r="H408" s="26" t="s">
        <v>115</v>
      </c>
      <c r="I408" s="53">
        <v>428.6</v>
      </c>
      <c r="J408" s="26" t="s">
        <v>625</v>
      </c>
      <c r="K408" s="48">
        <v>46081</v>
      </c>
      <c r="L408" s="26">
        <v>2026400620</v>
      </c>
      <c r="M408" s="26" t="s">
        <v>202</v>
      </c>
      <c r="N408" s="26">
        <v>2026</v>
      </c>
    </row>
    <row r="409" spans="1:14">
      <c r="A409" s="26">
        <v>408</v>
      </c>
      <c r="B409" s="26" t="s">
        <v>52</v>
      </c>
      <c r="C409" s="48" t="s">
        <v>62</v>
      </c>
      <c r="D409" s="26" t="s">
        <v>60</v>
      </c>
      <c r="E409" s="26" t="s">
        <v>70</v>
      </c>
      <c r="F409" s="26"/>
      <c r="G409" s="26" t="s">
        <v>121</v>
      </c>
      <c r="H409" s="49" t="s">
        <v>115</v>
      </c>
      <c r="I409" s="50">
        <v>424.2</v>
      </c>
      <c r="J409" s="26" t="s">
        <v>517</v>
      </c>
      <c r="K409" s="48">
        <v>46058</v>
      </c>
      <c r="L409" s="51">
        <v>2026400339</v>
      </c>
      <c r="M409" s="26" t="s">
        <v>202</v>
      </c>
      <c r="N409" s="26">
        <v>2026</v>
      </c>
    </row>
    <row r="410" spans="1:14">
      <c r="A410" s="26">
        <v>409</v>
      </c>
      <c r="B410" s="47" t="s">
        <v>17</v>
      </c>
      <c r="C410" s="48" t="s">
        <v>25</v>
      </c>
      <c r="D410" s="26" t="s">
        <v>60</v>
      </c>
      <c r="E410" s="26" t="s">
        <v>70</v>
      </c>
      <c r="F410" s="26"/>
      <c r="G410" s="26" t="s">
        <v>286</v>
      </c>
      <c r="H410" s="26" t="s">
        <v>115</v>
      </c>
      <c r="I410" s="50">
        <v>405</v>
      </c>
      <c r="J410" s="48" t="s">
        <v>558</v>
      </c>
      <c r="K410" s="48">
        <v>46079</v>
      </c>
      <c r="L410" s="51">
        <v>2026400700</v>
      </c>
      <c r="M410" s="26" t="s">
        <v>202</v>
      </c>
      <c r="N410" s="26">
        <v>2026</v>
      </c>
    </row>
    <row r="411" spans="1:14">
      <c r="A411" s="26">
        <v>410</v>
      </c>
      <c r="B411" s="26" t="s">
        <v>17</v>
      </c>
      <c r="C411" s="26" t="s">
        <v>22</v>
      </c>
      <c r="D411" s="26" t="s">
        <v>60</v>
      </c>
      <c r="E411" s="26" t="s">
        <v>70</v>
      </c>
      <c r="F411" s="26"/>
      <c r="G411" s="26" t="s">
        <v>121</v>
      </c>
      <c r="H411" s="26" t="s">
        <v>115</v>
      </c>
      <c r="I411" s="46">
        <v>393</v>
      </c>
      <c r="J411" s="48" t="s">
        <v>496</v>
      </c>
      <c r="K411" s="48">
        <v>46054</v>
      </c>
      <c r="L411" s="51">
        <v>2026400355</v>
      </c>
      <c r="M411" s="26" t="s">
        <v>202</v>
      </c>
      <c r="N411" s="26">
        <v>2026</v>
      </c>
    </row>
    <row r="412" spans="1:14">
      <c r="A412" s="26">
        <v>411</v>
      </c>
      <c r="B412" s="26" t="s">
        <v>17</v>
      </c>
      <c r="C412" s="26" t="s">
        <v>22</v>
      </c>
      <c r="D412" s="26" t="s">
        <v>60</v>
      </c>
      <c r="E412" s="26" t="s">
        <v>70</v>
      </c>
      <c r="F412" s="26"/>
      <c r="G412" s="26" t="s">
        <v>121</v>
      </c>
      <c r="H412" s="26" t="s">
        <v>115</v>
      </c>
      <c r="I412" s="53">
        <v>390</v>
      </c>
      <c r="J412" s="26" t="s">
        <v>612</v>
      </c>
      <c r="K412" s="48">
        <v>46068</v>
      </c>
      <c r="L412" s="26">
        <v>2026400420</v>
      </c>
      <c r="M412" s="26" t="s">
        <v>202</v>
      </c>
      <c r="N412" s="26">
        <v>2026</v>
      </c>
    </row>
    <row r="413" spans="1:14">
      <c r="A413" s="26">
        <v>412</v>
      </c>
      <c r="B413" s="67" t="s">
        <v>35</v>
      </c>
      <c r="C413" s="26" t="s">
        <v>36</v>
      </c>
      <c r="D413" s="26" t="s">
        <v>60</v>
      </c>
      <c r="E413" s="26" t="s">
        <v>70</v>
      </c>
      <c r="F413" s="26"/>
      <c r="G413" s="26" t="s">
        <v>121</v>
      </c>
      <c r="H413" s="26" t="s">
        <v>115</v>
      </c>
      <c r="I413" s="46">
        <v>390</v>
      </c>
      <c r="J413" s="26" t="s">
        <v>656</v>
      </c>
      <c r="K413" s="48">
        <v>46081</v>
      </c>
      <c r="L413" s="26">
        <v>2026400633</v>
      </c>
      <c r="M413" s="100" t="s">
        <v>202</v>
      </c>
      <c r="N413" s="26">
        <v>2026</v>
      </c>
    </row>
    <row r="414" spans="1:14">
      <c r="A414" s="26">
        <v>413</v>
      </c>
      <c r="B414" s="98" t="s">
        <v>42</v>
      </c>
      <c r="C414" s="98" t="s">
        <v>50</v>
      </c>
      <c r="D414" s="26" t="s">
        <v>60</v>
      </c>
      <c r="E414" s="26" t="s">
        <v>70</v>
      </c>
      <c r="F414" s="26"/>
      <c r="G414" s="26" t="s">
        <v>121</v>
      </c>
      <c r="H414" s="26" t="s">
        <v>115</v>
      </c>
      <c r="I414" s="53">
        <v>380</v>
      </c>
      <c r="J414" s="55" t="s">
        <v>649</v>
      </c>
      <c r="K414" s="48">
        <v>46082</v>
      </c>
      <c r="L414" s="98">
        <v>2026400652</v>
      </c>
      <c r="M414" s="98" t="s">
        <v>202</v>
      </c>
      <c r="N414" s="26">
        <v>2026</v>
      </c>
    </row>
    <row r="415" spans="1:14">
      <c r="A415" s="26">
        <v>414</v>
      </c>
      <c r="B415" s="26" t="s">
        <v>42</v>
      </c>
      <c r="C415" s="48" t="s">
        <v>50</v>
      </c>
      <c r="D415" s="26" t="s">
        <v>60</v>
      </c>
      <c r="E415" s="26" t="s">
        <v>70</v>
      </c>
      <c r="F415" s="26"/>
      <c r="G415" s="26" t="s">
        <v>64</v>
      </c>
      <c r="H415" s="49" t="s">
        <v>334</v>
      </c>
      <c r="I415" s="50">
        <v>372.48322147651004</v>
      </c>
      <c r="J415" s="26">
        <v>507</v>
      </c>
      <c r="K415" s="48" t="s">
        <v>366</v>
      </c>
      <c r="L415" s="67" t="s">
        <v>14</v>
      </c>
      <c r="M415" s="98" t="s">
        <v>202</v>
      </c>
      <c r="N415" s="26">
        <v>2026</v>
      </c>
    </row>
    <row r="416" spans="1:14">
      <c r="A416" s="26">
        <v>415</v>
      </c>
      <c r="B416" s="59" t="s">
        <v>42</v>
      </c>
      <c r="C416" s="26" t="s">
        <v>257</v>
      </c>
      <c r="D416" s="100" t="s">
        <v>60</v>
      </c>
      <c r="E416" s="26" t="s">
        <v>70</v>
      </c>
      <c r="F416" s="26"/>
      <c r="G416" s="26" t="s">
        <v>229</v>
      </c>
      <c r="H416" s="26" t="s">
        <v>235</v>
      </c>
      <c r="I416" s="53">
        <v>372.48322147651004</v>
      </c>
      <c r="J416" s="26" t="s">
        <v>480</v>
      </c>
      <c r="K416" s="48">
        <v>46072</v>
      </c>
      <c r="L416" s="26">
        <v>2026400672</v>
      </c>
      <c r="M416" s="26" t="s">
        <v>202</v>
      </c>
      <c r="N416" s="26">
        <v>2026</v>
      </c>
    </row>
    <row r="417" spans="1:14">
      <c r="A417" s="26">
        <v>416</v>
      </c>
      <c r="B417" s="45" t="s">
        <v>17</v>
      </c>
      <c r="C417" s="26" t="s">
        <v>18</v>
      </c>
      <c r="D417" s="26" t="s">
        <v>60</v>
      </c>
      <c r="E417" s="26" t="s">
        <v>70</v>
      </c>
      <c r="F417" s="26"/>
      <c r="G417" s="45" t="s">
        <v>121</v>
      </c>
      <c r="H417" s="45" t="s">
        <v>115</v>
      </c>
      <c r="I417" s="53">
        <v>369.2</v>
      </c>
      <c r="J417" s="26" t="s">
        <v>607</v>
      </c>
      <c r="K417" s="48">
        <v>46069</v>
      </c>
      <c r="L417" s="26">
        <v>2026400456</v>
      </c>
      <c r="M417" s="26" t="s">
        <v>202</v>
      </c>
      <c r="N417" s="26">
        <v>2026</v>
      </c>
    </row>
    <row r="418" spans="1:14">
      <c r="A418" s="26">
        <v>417</v>
      </c>
      <c r="B418" s="63" t="s">
        <v>42</v>
      </c>
      <c r="C418" s="26" t="s">
        <v>257</v>
      </c>
      <c r="D418" s="26" t="s">
        <v>60</v>
      </c>
      <c r="E418" s="26" t="s">
        <v>70</v>
      </c>
      <c r="F418" s="26"/>
      <c r="G418" s="26" t="s">
        <v>227</v>
      </c>
      <c r="H418" s="26" t="s">
        <v>269</v>
      </c>
      <c r="I418" s="53">
        <v>360</v>
      </c>
      <c r="J418" s="26" t="s">
        <v>565</v>
      </c>
      <c r="K418" s="48">
        <v>46069</v>
      </c>
      <c r="L418" s="26">
        <v>2026400606</v>
      </c>
      <c r="M418" s="26" t="s">
        <v>202</v>
      </c>
      <c r="N418" s="26">
        <v>2026</v>
      </c>
    </row>
    <row r="419" spans="1:14">
      <c r="A419" s="26">
        <v>418</v>
      </c>
      <c r="B419" s="26" t="s">
        <v>35</v>
      </c>
      <c r="C419" s="76" t="s">
        <v>36</v>
      </c>
      <c r="D419" s="26" t="s">
        <v>60</v>
      </c>
      <c r="E419" s="26" t="s">
        <v>70</v>
      </c>
      <c r="F419" s="26"/>
      <c r="G419" s="26" t="s">
        <v>121</v>
      </c>
      <c r="H419" s="26" t="s">
        <v>115</v>
      </c>
      <c r="I419" s="53">
        <v>340</v>
      </c>
      <c r="J419" s="26" t="s">
        <v>551</v>
      </c>
      <c r="K419" s="48">
        <v>46076</v>
      </c>
      <c r="L419" s="26">
        <v>2026400573</v>
      </c>
      <c r="M419" s="26" t="s">
        <v>202</v>
      </c>
      <c r="N419" s="26">
        <v>2026</v>
      </c>
    </row>
    <row r="420" spans="1:14">
      <c r="A420" s="26">
        <v>419</v>
      </c>
      <c r="B420" s="26" t="s">
        <v>35</v>
      </c>
      <c r="C420" s="26" t="s">
        <v>37</v>
      </c>
      <c r="D420" s="26" t="s">
        <v>60</v>
      </c>
      <c r="E420" s="26" t="s">
        <v>70</v>
      </c>
      <c r="F420" s="26"/>
      <c r="G420" s="26" t="s">
        <v>406</v>
      </c>
      <c r="H420" s="49" t="s">
        <v>115</v>
      </c>
      <c r="I420" s="50">
        <v>330.20134228187919</v>
      </c>
      <c r="J420" s="26" t="s">
        <v>481</v>
      </c>
      <c r="K420" s="48">
        <v>46068</v>
      </c>
      <c r="L420" s="51">
        <v>2026400529</v>
      </c>
      <c r="M420" s="26" t="s">
        <v>202</v>
      </c>
      <c r="N420" s="26">
        <v>2026</v>
      </c>
    </row>
    <row r="421" spans="1:14">
      <c r="A421" s="26">
        <v>420</v>
      </c>
      <c r="B421" s="63" t="s">
        <v>17</v>
      </c>
      <c r="C421" s="26" t="s">
        <v>265</v>
      </c>
      <c r="D421" s="26" t="s">
        <v>60</v>
      </c>
      <c r="E421" s="26" t="s">
        <v>70</v>
      </c>
      <c r="F421" s="26"/>
      <c r="G421" s="26" t="s">
        <v>227</v>
      </c>
      <c r="H421" s="26" t="s">
        <v>269</v>
      </c>
      <c r="I421" s="53">
        <v>330</v>
      </c>
      <c r="J421" s="26" t="s">
        <v>545</v>
      </c>
      <c r="K421" s="48">
        <v>46069</v>
      </c>
      <c r="L421" s="26">
        <v>2026400610</v>
      </c>
      <c r="M421" s="26" t="s">
        <v>202</v>
      </c>
      <c r="N421" s="26">
        <v>2026</v>
      </c>
    </row>
    <row r="422" spans="1:14">
      <c r="A422" s="26">
        <v>421</v>
      </c>
      <c r="B422" s="26" t="s">
        <v>52</v>
      </c>
      <c r="C422" s="76" t="s">
        <v>62</v>
      </c>
      <c r="D422" s="100" t="s">
        <v>60</v>
      </c>
      <c r="E422" s="26" t="s">
        <v>70</v>
      </c>
      <c r="F422" s="26"/>
      <c r="G422" s="26" t="s">
        <v>229</v>
      </c>
      <c r="H422" s="26" t="s">
        <v>235</v>
      </c>
      <c r="I422" s="53">
        <v>328.85906040268458</v>
      </c>
      <c r="J422" s="26" t="s">
        <v>482</v>
      </c>
      <c r="K422" s="48">
        <v>46048</v>
      </c>
      <c r="L422" s="26">
        <v>2026400722</v>
      </c>
      <c r="M422" s="26" t="s">
        <v>202</v>
      </c>
      <c r="N422" s="26">
        <v>2026</v>
      </c>
    </row>
    <row r="423" spans="1:14">
      <c r="A423" s="26">
        <v>422</v>
      </c>
      <c r="B423" s="26" t="s">
        <v>54</v>
      </c>
      <c r="C423" s="77" t="s">
        <v>93</v>
      </c>
      <c r="D423" s="26" t="s">
        <v>60</v>
      </c>
      <c r="E423" s="26" t="s">
        <v>70</v>
      </c>
      <c r="F423" s="26"/>
      <c r="G423" s="26" t="s">
        <v>230</v>
      </c>
      <c r="H423" s="100" t="s">
        <v>690</v>
      </c>
      <c r="I423" s="50">
        <v>323.22147651006713</v>
      </c>
      <c r="J423" s="26" t="s">
        <v>483</v>
      </c>
      <c r="K423" s="48">
        <v>46069</v>
      </c>
      <c r="L423" s="51">
        <v>2026400622</v>
      </c>
      <c r="M423" s="26" t="s">
        <v>202</v>
      </c>
      <c r="N423" s="26">
        <v>2026</v>
      </c>
    </row>
    <row r="424" spans="1:14">
      <c r="A424" s="26">
        <v>423</v>
      </c>
      <c r="B424" s="26" t="s">
        <v>35</v>
      </c>
      <c r="C424" s="48" t="s">
        <v>36</v>
      </c>
      <c r="D424" s="26" t="s">
        <v>60</v>
      </c>
      <c r="E424" s="26" t="s">
        <v>70</v>
      </c>
      <c r="F424" s="26"/>
      <c r="G424" s="26" t="s">
        <v>121</v>
      </c>
      <c r="H424" s="49" t="s">
        <v>115</v>
      </c>
      <c r="I424" s="50">
        <v>321</v>
      </c>
      <c r="J424" s="26" t="s">
        <v>589</v>
      </c>
      <c r="K424" s="48">
        <v>46068</v>
      </c>
      <c r="L424" s="67">
        <v>2026400502</v>
      </c>
      <c r="M424" s="26" t="s">
        <v>202</v>
      </c>
      <c r="N424" s="26">
        <v>2026</v>
      </c>
    </row>
    <row r="425" spans="1:14">
      <c r="A425" s="26">
        <v>424</v>
      </c>
      <c r="B425" s="56" t="s">
        <v>42</v>
      </c>
      <c r="C425" s="56" t="s">
        <v>50</v>
      </c>
      <c r="D425" s="56" t="s">
        <v>60</v>
      </c>
      <c r="E425" s="56" t="s">
        <v>70</v>
      </c>
      <c r="F425" s="26"/>
      <c r="G425" s="56" t="s">
        <v>121</v>
      </c>
      <c r="H425" s="56" t="s">
        <v>115</v>
      </c>
      <c r="I425" s="50">
        <v>305</v>
      </c>
      <c r="J425" s="26" t="s">
        <v>502</v>
      </c>
      <c r="K425" s="48">
        <v>46054</v>
      </c>
      <c r="L425" s="26">
        <v>2026400313</v>
      </c>
      <c r="M425" s="26" t="s">
        <v>202</v>
      </c>
      <c r="N425" s="26">
        <v>2026</v>
      </c>
    </row>
    <row r="426" spans="1:14">
      <c r="A426" s="26">
        <v>425</v>
      </c>
      <c r="B426" s="26" t="s">
        <v>42</v>
      </c>
      <c r="C426" s="26" t="s">
        <v>50</v>
      </c>
      <c r="D426" s="26" t="s">
        <v>60</v>
      </c>
      <c r="E426" s="26" t="s">
        <v>70</v>
      </c>
      <c r="F426" s="26"/>
      <c r="G426" s="26" t="s">
        <v>121</v>
      </c>
      <c r="H426" s="49" t="s">
        <v>115</v>
      </c>
      <c r="I426" s="53">
        <v>300</v>
      </c>
      <c r="J426" s="26" t="s">
        <v>540</v>
      </c>
      <c r="K426" s="48">
        <v>46076</v>
      </c>
      <c r="L426" s="26">
        <v>2026400574</v>
      </c>
      <c r="M426" s="26" t="s">
        <v>202</v>
      </c>
      <c r="N426" s="26">
        <v>2026</v>
      </c>
    </row>
    <row r="427" spans="1:14">
      <c r="A427" s="26">
        <v>426</v>
      </c>
      <c r="B427" s="100" t="s">
        <v>52</v>
      </c>
      <c r="C427" s="100" t="s">
        <v>62</v>
      </c>
      <c r="D427" s="26" t="s">
        <v>60</v>
      </c>
      <c r="E427" s="26" t="s">
        <v>70</v>
      </c>
      <c r="F427" s="26"/>
      <c r="G427" s="26" t="s">
        <v>121</v>
      </c>
      <c r="H427" s="100" t="s">
        <v>115</v>
      </c>
      <c r="I427" s="102">
        <v>300</v>
      </c>
      <c r="J427" s="100" t="s">
        <v>652</v>
      </c>
      <c r="K427" s="103">
        <v>46081</v>
      </c>
      <c r="L427" s="100">
        <v>2026400625</v>
      </c>
      <c r="M427" s="100" t="s">
        <v>202</v>
      </c>
      <c r="N427" s="26">
        <v>2026</v>
      </c>
    </row>
    <row r="428" spans="1:14">
      <c r="A428" s="26">
        <v>427</v>
      </c>
      <c r="B428" s="26" t="s">
        <v>35</v>
      </c>
      <c r="C428" s="100" t="s">
        <v>36</v>
      </c>
      <c r="D428" s="26" t="s">
        <v>60</v>
      </c>
      <c r="E428" s="26" t="s">
        <v>70</v>
      </c>
      <c r="F428" s="26"/>
      <c r="G428" s="26" t="s">
        <v>121</v>
      </c>
      <c r="H428" s="49" t="s">
        <v>115</v>
      </c>
      <c r="I428" s="50">
        <v>298</v>
      </c>
      <c r="J428" s="26" t="s">
        <v>598</v>
      </c>
      <c r="K428" s="48">
        <v>46069</v>
      </c>
      <c r="L428" s="67">
        <v>2026400512</v>
      </c>
      <c r="M428" s="26" t="s">
        <v>202</v>
      </c>
      <c r="N428" s="26">
        <v>2026</v>
      </c>
    </row>
    <row r="429" spans="1:14">
      <c r="A429" s="26">
        <v>428</v>
      </c>
      <c r="B429" s="26" t="s">
        <v>271</v>
      </c>
      <c r="C429" s="48" t="s">
        <v>272</v>
      </c>
      <c r="D429" s="26" t="s">
        <v>60</v>
      </c>
      <c r="E429" s="26" t="s">
        <v>70</v>
      </c>
      <c r="F429" s="26"/>
      <c r="G429" s="26" t="s">
        <v>64</v>
      </c>
      <c r="H429" s="52" t="s">
        <v>324</v>
      </c>
      <c r="I429" s="50">
        <v>295.9731543624161</v>
      </c>
      <c r="J429" s="26" t="s">
        <v>67</v>
      </c>
      <c r="K429" s="48" t="s">
        <v>367</v>
      </c>
      <c r="L429" s="67" t="s">
        <v>14</v>
      </c>
      <c r="M429" s="98" t="s">
        <v>202</v>
      </c>
      <c r="N429" s="26">
        <v>2026</v>
      </c>
    </row>
    <row r="430" spans="1:14">
      <c r="A430" s="26">
        <v>429</v>
      </c>
      <c r="B430" s="26" t="s">
        <v>271</v>
      </c>
      <c r="C430" s="48" t="s">
        <v>272</v>
      </c>
      <c r="D430" s="26" t="s">
        <v>60</v>
      </c>
      <c r="E430" s="26" t="s">
        <v>70</v>
      </c>
      <c r="F430" s="26"/>
      <c r="G430" s="26" t="s">
        <v>64</v>
      </c>
      <c r="H430" s="49" t="s">
        <v>323</v>
      </c>
      <c r="I430" s="50">
        <v>290.60402684563758</v>
      </c>
      <c r="J430" s="26" t="s">
        <v>67</v>
      </c>
      <c r="K430" s="48">
        <v>46267</v>
      </c>
      <c r="L430" s="67" t="s">
        <v>14</v>
      </c>
      <c r="M430" s="98" t="s">
        <v>202</v>
      </c>
      <c r="N430" s="26">
        <v>2026</v>
      </c>
    </row>
    <row r="431" spans="1:14">
      <c r="A431" s="26">
        <v>430</v>
      </c>
      <c r="B431" s="26" t="s">
        <v>17</v>
      </c>
      <c r="C431" s="26" t="s">
        <v>22</v>
      </c>
      <c r="D431" s="26" t="s">
        <v>60</v>
      </c>
      <c r="E431" s="26" t="s">
        <v>70</v>
      </c>
      <c r="F431" s="26"/>
      <c r="G431" s="26" t="s">
        <v>121</v>
      </c>
      <c r="H431" s="26" t="s">
        <v>115</v>
      </c>
      <c r="I431" s="53">
        <v>290</v>
      </c>
      <c r="J431" s="26" t="s">
        <v>636</v>
      </c>
      <c r="K431" s="48">
        <v>46081</v>
      </c>
      <c r="L431" s="26">
        <v>2026400638</v>
      </c>
      <c r="M431" s="26" t="s">
        <v>202</v>
      </c>
      <c r="N431" s="26">
        <v>2026</v>
      </c>
    </row>
    <row r="432" spans="1:14">
      <c r="A432" s="26">
        <v>431</v>
      </c>
      <c r="B432" s="26" t="s">
        <v>17</v>
      </c>
      <c r="C432" s="26" t="s">
        <v>22</v>
      </c>
      <c r="D432" s="26" t="s">
        <v>60</v>
      </c>
      <c r="E432" s="26" t="s">
        <v>70</v>
      </c>
      <c r="F432" s="26"/>
      <c r="G432" s="26" t="s">
        <v>121</v>
      </c>
      <c r="H432" s="26" t="s">
        <v>115</v>
      </c>
      <c r="I432" s="53">
        <v>288</v>
      </c>
      <c r="J432" s="101" t="s">
        <v>686</v>
      </c>
      <c r="K432" s="48">
        <v>46050</v>
      </c>
      <c r="L432" s="26">
        <v>2026400246</v>
      </c>
      <c r="M432" s="98" t="s">
        <v>202</v>
      </c>
      <c r="N432" s="26">
        <v>2026</v>
      </c>
    </row>
    <row r="433" spans="1:14">
      <c r="A433" s="26">
        <v>432</v>
      </c>
      <c r="B433" s="70" t="s">
        <v>42</v>
      </c>
      <c r="C433" s="70" t="s">
        <v>47</v>
      </c>
      <c r="D433" s="26" t="s">
        <v>60</v>
      </c>
      <c r="E433" s="26" t="s">
        <v>70</v>
      </c>
      <c r="F433" s="26"/>
      <c r="G433" s="45" t="s">
        <v>119</v>
      </c>
      <c r="H433" s="49" t="s">
        <v>115</v>
      </c>
      <c r="I433" s="46">
        <v>281.26</v>
      </c>
      <c r="J433" s="26" t="s">
        <v>669</v>
      </c>
      <c r="K433" s="48">
        <v>46073</v>
      </c>
      <c r="L433" s="26">
        <v>2026400800</v>
      </c>
      <c r="M433" s="26" t="s">
        <v>202</v>
      </c>
      <c r="N433" s="26">
        <v>2026</v>
      </c>
    </row>
    <row r="434" spans="1:14">
      <c r="A434" s="26">
        <v>433</v>
      </c>
      <c r="B434" s="63" t="s">
        <v>54</v>
      </c>
      <c r="C434" s="26" t="s">
        <v>55</v>
      </c>
      <c r="D434" s="26" t="s">
        <v>60</v>
      </c>
      <c r="E434" s="57" t="s">
        <v>70</v>
      </c>
      <c r="F434" s="26"/>
      <c r="G434" s="26" t="s">
        <v>226</v>
      </c>
      <c r="H434" s="26" t="s">
        <v>233</v>
      </c>
      <c r="I434" s="53">
        <v>278</v>
      </c>
      <c r="J434" s="26" t="s">
        <v>543</v>
      </c>
      <c r="K434" s="48">
        <v>46063</v>
      </c>
      <c r="L434" s="26">
        <v>2026400443</v>
      </c>
      <c r="M434" s="26" t="s">
        <v>202</v>
      </c>
      <c r="N434" s="26">
        <v>2026</v>
      </c>
    </row>
    <row r="435" spans="1:14">
      <c r="A435" s="26">
        <v>434</v>
      </c>
      <c r="B435" s="26" t="s">
        <v>17</v>
      </c>
      <c r="C435" s="77" t="s">
        <v>25</v>
      </c>
      <c r="D435" s="26" t="s">
        <v>60</v>
      </c>
      <c r="E435" s="26" t="s">
        <v>70</v>
      </c>
      <c r="F435" s="26"/>
      <c r="G435" s="26" t="s">
        <v>121</v>
      </c>
      <c r="H435" s="49" t="s">
        <v>115</v>
      </c>
      <c r="I435" s="50">
        <v>275</v>
      </c>
      <c r="J435" s="26" t="s">
        <v>641</v>
      </c>
      <c r="K435" s="48">
        <v>46082</v>
      </c>
      <c r="L435" s="67">
        <v>2026400609</v>
      </c>
      <c r="M435" s="26" t="s">
        <v>202</v>
      </c>
      <c r="N435" s="26">
        <v>2026</v>
      </c>
    </row>
    <row r="436" spans="1:14">
      <c r="A436" s="26">
        <v>435</v>
      </c>
      <c r="B436" s="26" t="s">
        <v>42</v>
      </c>
      <c r="C436" s="26" t="s">
        <v>51</v>
      </c>
      <c r="D436" s="26" t="s">
        <v>60</v>
      </c>
      <c r="E436" s="26" t="s">
        <v>70</v>
      </c>
      <c r="F436" s="26"/>
      <c r="G436" s="26" t="s">
        <v>64</v>
      </c>
      <c r="H436" s="26" t="s">
        <v>336</v>
      </c>
      <c r="I436" s="50">
        <v>268.45637583892619</v>
      </c>
      <c r="J436" s="26" t="s">
        <v>67</v>
      </c>
      <c r="K436" s="48" t="s">
        <v>363</v>
      </c>
      <c r="L436" s="67" t="s">
        <v>14</v>
      </c>
      <c r="M436" s="98" t="s">
        <v>202</v>
      </c>
      <c r="N436" s="26">
        <v>2026</v>
      </c>
    </row>
    <row r="437" spans="1:14">
      <c r="A437" s="26">
        <v>436</v>
      </c>
      <c r="B437" s="26" t="s">
        <v>42</v>
      </c>
      <c r="C437" s="76" t="s">
        <v>50</v>
      </c>
      <c r="D437" s="100" t="s">
        <v>60</v>
      </c>
      <c r="E437" s="26" t="s">
        <v>70</v>
      </c>
      <c r="F437" s="26"/>
      <c r="G437" s="26" t="s">
        <v>117</v>
      </c>
      <c r="H437" s="56" t="s">
        <v>115</v>
      </c>
      <c r="I437" s="53">
        <v>268.45637583892619</v>
      </c>
      <c r="J437" s="26" t="s">
        <v>484</v>
      </c>
      <c r="K437" s="48">
        <v>46065</v>
      </c>
      <c r="L437" s="26">
        <v>2026400536</v>
      </c>
      <c r="M437" s="26" t="s">
        <v>202</v>
      </c>
      <c r="N437" s="26">
        <v>2026</v>
      </c>
    </row>
    <row r="438" spans="1:14">
      <c r="A438" s="26">
        <v>437</v>
      </c>
      <c r="B438" s="59" t="s">
        <v>54</v>
      </c>
      <c r="C438" s="59" t="s">
        <v>55</v>
      </c>
      <c r="D438" s="26" t="s">
        <v>60</v>
      </c>
      <c r="E438" s="26" t="s">
        <v>70</v>
      </c>
      <c r="F438" s="26"/>
      <c r="G438" s="26" t="s">
        <v>121</v>
      </c>
      <c r="H438" s="100" t="s">
        <v>115</v>
      </c>
      <c r="I438" s="53">
        <v>267.60000000000002</v>
      </c>
      <c r="J438" s="100" t="s">
        <v>655</v>
      </c>
      <c r="K438" s="103">
        <v>46082</v>
      </c>
      <c r="L438" s="100">
        <v>2026400634</v>
      </c>
      <c r="M438" s="100" t="s">
        <v>202</v>
      </c>
      <c r="N438" s="26">
        <v>2026</v>
      </c>
    </row>
    <row r="439" spans="1:14">
      <c r="A439" s="26">
        <v>438</v>
      </c>
      <c r="B439" s="26" t="s">
        <v>42</v>
      </c>
      <c r="C439" s="48" t="s">
        <v>44</v>
      </c>
      <c r="D439" s="26" t="s">
        <v>60</v>
      </c>
      <c r="E439" s="26" t="s">
        <v>70</v>
      </c>
      <c r="F439" s="26"/>
      <c r="G439" s="26" t="s">
        <v>64</v>
      </c>
      <c r="H439" s="49" t="s">
        <v>248</v>
      </c>
      <c r="I439" s="50">
        <v>263.42281879194633</v>
      </c>
      <c r="J439" s="26" t="s">
        <v>67</v>
      </c>
      <c r="K439" s="48" t="s">
        <v>366</v>
      </c>
      <c r="L439" s="67" t="s">
        <v>14</v>
      </c>
      <c r="M439" s="98" t="s">
        <v>202</v>
      </c>
      <c r="N439" s="26">
        <v>2026</v>
      </c>
    </row>
    <row r="440" spans="1:14">
      <c r="A440" s="26">
        <v>439</v>
      </c>
      <c r="B440" s="26" t="s">
        <v>42</v>
      </c>
      <c r="C440" s="77" t="s">
        <v>51</v>
      </c>
      <c r="D440" s="26" t="s">
        <v>60</v>
      </c>
      <c r="E440" s="26" t="s">
        <v>70</v>
      </c>
      <c r="F440" s="26"/>
      <c r="G440" s="26" t="s">
        <v>119</v>
      </c>
      <c r="H440" s="49" t="s">
        <v>115</v>
      </c>
      <c r="I440" s="50">
        <v>262.14</v>
      </c>
      <c r="J440" s="26" t="s">
        <v>663</v>
      </c>
      <c r="K440" s="48">
        <v>46073</v>
      </c>
      <c r="L440" s="67">
        <v>2026400805</v>
      </c>
      <c r="M440" s="26" t="s">
        <v>202</v>
      </c>
      <c r="N440" s="26">
        <v>2026</v>
      </c>
    </row>
    <row r="441" spans="1:14">
      <c r="A441" s="26">
        <v>440</v>
      </c>
      <c r="B441" s="26" t="s">
        <v>42</v>
      </c>
      <c r="C441" s="26" t="s">
        <v>257</v>
      </c>
      <c r="D441" s="26" t="s">
        <v>60</v>
      </c>
      <c r="E441" s="26" t="s">
        <v>70</v>
      </c>
      <c r="F441" s="26"/>
      <c r="G441" s="26" t="s">
        <v>121</v>
      </c>
      <c r="H441" s="26" t="s">
        <v>115</v>
      </c>
      <c r="I441" s="53">
        <v>257.2</v>
      </c>
      <c r="J441" s="26" t="s">
        <v>627</v>
      </c>
      <c r="K441" s="48">
        <v>46081</v>
      </c>
      <c r="L441" s="26">
        <v>2026400665</v>
      </c>
      <c r="M441" s="26" t="s">
        <v>202</v>
      </c>
      <c r="N441" s="26">
        <v>2026</v>
      </c>
    </row>
    <row r="442" spans="1:14">
      <c r="A442" s="26">
        <v>441</v>
      </c>
      <c r="B442" s="26" t="s">
        <v>17</v>
      </c>
      <c r="C442" s="77" t="s">
        <v>25</v>
      </c>
      <c r="D442" s="26" t="s">
        <v>60</v>
      </c>
      <c r="E442" s="26" t="s">
        <v>70</v>
      </c>
      <c r="F442" s="26"/>
      <c r="G442" s="26" t="s">
        <v>121</v>
      </c>
      <c r="H442" s="49" t="s">
        <v>115</v>
      </c>
      <c r="I442" s="50">
        <v>247.7</v>
      </c>
      <c r="J442" s="26" t="s">
        <v>595</v>
      </c>
      <c r="K442" s="48">
        <v>46069</v>
      </c>
      <c r="L442" s="67">
        <v>2026400454</v>
      </c>
      <c r="M442" s="26" t="s">
        <v>202</v>
      </c>
      <c r="N442" s="26">
        <v>2026</v>
      </c>
    </row>
    <row r="443" spans="1:14">
      <c r="A443" s="26">
        <v>442</v>
      </c>
      <c r="B443" s="26" t="s">
        <v>17</v>
      </c>
      <c r="C443" s="76" t="s">
        <v>25</v>
      </c>
      <c r="D443" s="26" t="s">
        <v>60</v>
      </c>
      <c r="E443" s="26" t="s">
        <v>70</v>
      </c>
      <c r="F443" s="26"/>
      <c r="G443" s="26" t="s">
        <v>121</v>
      </c>
      <c r="H443" s="26" t="s">
        <v>115</v>
      </c>
      <c r="I443" s="53">
        <v>247.5</v>
      </c>
      <c r="J443" s="26" t="s">
        <v>628</v>
      </c>
      <c r="K443" s="48">
        <v>46082</v>
      </c>
      <c r="L443" s="26">
        <v>2026400636</v>
      </c>
      <c r="M443" s="26" t="s">
        <v>202</v>
      </c>
      <c r="N443" s="26">
        <v>2026</v>
      </c>
    </row>
    <row r="444" spans="1:14">
      <c r="A444" s="26">
        <v>443</v>
      </c>
      <c r="B444" s="26" t="s">
        <v>17</v>
      </c>
      <c r="C444" s="26" t="s">
        <v>22</v>
      </c>
      <c r="D444" s="26" t="s">
        <v>60</v>
      </c>
      <c r="E444" s="57" t="s">
        <v>70</v>
      </c>
      <c r="F444" s="26"/>
      <c r="G444" s="26" t="s">
        <v>119</v>
      </c>
      <c r="H444" s="26" t="s">
        <v>115</v>
      </c>
      <c r="I444" s="53">
        <v>244.3</v>
      </c>
      <c r="J444" s="26" t="s">
        <v>675</v>
      </c>
      <c r="K444" s="48">
        <v>46073</v>
      </c>
      <c r="L444" s="26">
        <v>2026400813</v>
      </c>
      <c r="M444" s="26" t="s">
        <v>202</v>
      </c>
      <c r="N444" s="26">
        <v>2026</v>
      </c>
    </row>
    <row r="445" spans="1:14">
      <c r="A445" s="26">
        <v>444</v>
      </c>
      <c r="B445" s="26" t="s">
        <v>17</v>
      </c>
      <c r="C445" s="48" t="s">
        <v>25</v>
      </c>
      <c r="D445" s="26" t="s">
        <v>60</v>
      </c>
      <c r="E445" s="26" t="s">
        <v>70</v>
      </c>
      <c r="F445" s="26"/>
      <c r="G445" s="26" t="s">
        <v>121</v>
      </c>
      <c r="H445" s="49" t="s">
        <v>115</v>
      </c>
      <c r="I445" s="50">
        <v>238.3</v>
      </c>
      <c r="J445" s="26" t="s">
        <v>513</v>
      </c>
      <c r="K445" s="48">
        <v>46060</v>
      </c>
      <c r="L445" s="51">
        <v>2026400363</v>
      </c>
      <c r="M445" s="26" t="s">
        <v>202</v>
      </c>
      <c r="N445" s="26">
        <v>2026</v>
      </c>
    </row>
    <row r="446" spans="1:14">
      <c r="A446" s="26">
        <v>445</v>
      </c>
      <c r="B446" s="59" t="s">
        <v>52</v>
      </c>
      <c r="C446" s="59" t="s">
        <v>62</v>
      </c>
      <c r="D446" s="26" t="s">
        <v>60</v>
      </c>
      <c r="E446" s="26" t="s">
        <v>70</v>
      </c>
      <c r="F446" s="26"/>
      <c r="G446" s="26" t="s">
        <v>121</v>
      </c>
      <c r="H446" s="26" t="s">
        <v>115</v>
      </c>
      <c r="I446" s="53">
        <v>236</v>
      </c>
      <c r="J446" s="26" t="s">
        <v>647</v>
      </c>
      <c r="K446" s="48">
        <v>46081</v>
      </c>
      <c r="L446" s="26">
        <v>2026400617</v>
      </c>
      <c r="M446" s="98" t="s">
        <v>202</v>
      </c>
      <c r="N446" s="26">
        <v>2026</v>
      </c>
    </row>
    <row r="447" spans="1:14">
      <c r="A447" s="26">
        <v>446</v>
      </c>
      <c r="B447" s="26" t="s">
        <v>52</v>
      </c>
      <c r="C447" s="48" t="s">
        <v>62</v>
      </c>
      <c r="D447" s="26" t="s">
        <v>60</v>
      </c>
      <c r="E447" s="26" t="s">
        <v>70</v>
      </c>
      <c r="F447" s="26"/>
      <c r="G447" s="26" t="s">
        <v>121</v>
      </c>
      <c r="H447" s="49" t="s">
        <v>115</v>
      </c>
      <c r="I447" s="50">
        <v>225</v>
      </c>
      <c r="J447" s="26" t="s">
        <v>643</v>
      </c>
      <c r="K447" s="48">
        <v>46082</v>
      </c>
      <c r="L447" s="67">
        <v>2026400630</v>
      </c>
      <c r="M447" s="26" t="s">
        <v>202</v>
      </c>
      <c r="N447" s="26">
        <v>2026</v>
      </c>
    </row>
    <row r="448" spans="1:14">
      <c r="A448" s="26">
        <v>447</v>
      </c>
      <c r="B448" s="26" t="s">
        <v>271</v>
      </c>
      <c r="C448" s="48" t="s">
        <v>272</v>
      </c>
      <c r="D448" s="26" t="s">
        <v>60</v>
      </c>
      <c r="E448" s="26" t="s">
        <v>70</v>
      </c>
      <c r="F448" s="26"/>
      <c r="G448" s="26" t="s">
        <v>415</v>
      </c>
      <c r="H448" s="49" t="s">
        <v>115</v>
      </c>
      <c r="I448" s="50">
        <v>222.48322147651007</v>
      </c>
      <c r="J448" s="26" t="s">
        <v>485</v>
      </c>
      <c r="K448" s="48">
        <v>46062</v>
      </c>
      <c r="L448" s="51">
        <v>2026400419</v>
      </c>
      <c r="M448" s="26" t="s">
        <v>202</v>
      </c>
      <c r="N448" s="26">
        <v>2026</v>
      </c>
    </row>
    <row r="449" spans="1:14">
      <c r="A449" s="26">
        <v>448</v>
      </c>
      <c r="B449" s="26" t="s">
        <v>42</v>
      </c>
      <c r="C449" s="48" t="s">
        <v>50</v>
      </c>
      <c r="D449" s="26" t="s">
        <v>60</v>
      </c>
      <c r="E449" s="26" t="s">
        <v>70</v>
      </c>
      <c r="F449" s="26"/>
      <c r="G449" s="26" t="s">
        <v>287</v>
      </c>
      <c r="H449" s="100" t="s">
        <v>115</v>
      </c>
      <c r="I449" s="50">
        <v>221.47651006711411</v>
      </c>
      <c r="J449" s="26" t="s">
        <v>486</v>
      </c>
      <c r="K449" s="48">
        <v>46076</v>
      </c>
      <c r="L449" s="67">
        <v>2026400666</v>
      </c>
      <c r="M449" s="26" t="s">
        <v>202</v>
      </c>
      <c r="N449" s="26">
        <v>2026</v>
      </c>
    </row>
    <row r="450" spans="1:14">
      <c r="A450" s="26">
        <v>449</v>
      </c>
      <c r="B450" s="63" t="s">
        <v>17</v>
      </c>
      <c r="C450" s="26" t="s">
        <v>25</v>
      </c>
      <c r="D450" s="26" t="s">
        <v>60</v>
      </c>
      <c r="E450" s="57" t="s">
        <v>70</v>
      </c>
      <c r="F450" s="26"/>
      <c r="G450" s="26" t="s">
        <v>226</v>
      </c>
      <c r="H450" s="26" t="s">
        <v>233</v>
      </c>
      <c r="I450" s="53">
        <v>220</v>
      </c>
      <c r="J450" s="26" t="s">
        <v>535</v>
      </c>
      <c r="K450" s="48">
        <v>46074</v>
      </c>
      <c r="L450" s="26">
        <v>2026400425</v>
      </c>
      <c r="M450" s="26" t="s">
        <v>202</v>
      </c>
      <c r="N450" s="26">
        <v>2026</v>
      </c>
    </row>
    <row r="451" spans="1:14">
      <c r="A451" s="26">
        <v>450</v>
      </c>
      <c r="B451" s="26" t="s">
        <v>17</v>
      </c>
      <c r="C451" s="26" t="s">
        <v>265</v>
      </c>
      <c r="D451" s="26" t="s">
        <v>60</v>
      </c>
      <c r="E451" s="26" t="s">
        <v>70</v>
      </c>
      <c r="F451" s="26"/>
      <c r="G451" s="26" t="s">
        <v>406</v>
      </c>
      <c r="H451" s="49" t="s">
        <v>115</v>
      </c>
      <c r="I451" s="50">
        <v>218.12080536912751</v>
      </c>
      <c r="J451" s="26" t="s">
        <v>487</v>
      </c>
      <c r="K451" s="48">
        <v>46068</v>
      </c>
      <c r="L451" s="51">
        <v>2026400498</v>
      </c>
      <c r="M451" s="26" t="s">
        <v>202</v>
      </c>
      <c r="N451" s="26">
        <v>2026</v>
      </c>
    </row>
    <row r="452" spans="1:14">
      <c r="A452" s="26">
        <v>451</v>
      </c>
      <c r="B452" s="45" t="s">
        <v>42</v>
      </c>
      <c r="C452" s="26" t="s">
        <v>257</v>
      </c>
      <c r="D452" s="26" t="s">
        <v>60</v>
      </c>
      <c r="E452" s="26" t="s">
        <v>70</v>
      </c>
      <c r="F452" s="26"/>
      <c r="G452" s="45" t="s">
        <v>121</v>
      </c>
      <c r="H452" s="49" t="s">
        <v>115</v>
      </c>
      <c r="I452" s="53">
        <v>214</v>
      </c>
      <c r="J452" s="26" t="s">
        <v>536</v>
      </c>
      <c r="K452" s="48">
        <v>46075</v>
      </c>
      <c r="L452" s="26">
        <v>2026400557</v>
      </c>
      <c r="M452" s="26" t="s">
        <v>202</v>
      </c>
      <c r="N452" s="26">
        <v>2026</v>
      </c>
    </row>
    <row r="453" spans="1:14">
      <c r="A453" s="26">
        <v>452</v>
      </c>
      <c r="B453" s="26" t="s">
        <v>54</v>
      </c>
      <c r="C453" s="26" t="s">
        <v>93</v>
      </c>
      <c r="D453" s="26" t="s">
        <v>60</v>
      </c>
      <c r="E453" s="26" t="s">
        <v>70</v>
      </c>
      <c r="F453" s="26"/>
      <c r="G453" s="26" t="s">
        <v>268</v>
      </c>
      <c r="H453" s="26" t="s">
        <v>115</v>
      </c>
      <c r="I453" s="53">
        <v>209.26430517711171</v>
      </c>
      <c r="J453" s="101" t="s">
        <v>14</v>
      </c>
      <c r="K453" s="48" t="s">
        <v>14</v>
      </c>
      <c r="L453" s="26">
        <v>2025404811</v>
      </c>
      <c r="M453" s="98" t="s">
        <v>202</v>
      </c>
      <c r="N453" s="26">
        <v>2026</v>
      </c>
    </row>
    <row r="454" spans="1:14">
      <c r="A454" s="26">
        <v>453</v>
      </c>
      <c r="B454" s="26" t="s">
        <v>42</v>
      </c>
      <c r="C454" s="26" t="s">
        <v>257</v>
      </c>
      <c r="D454" s="26" t="s">
        <v>60</v>
      </c>
      <c r="E454" s="26" t="s">
        <v>70</v>
      </c>
      <c r="F454" s="26"/>
      <c r="G454" s="26" t="s">
        <v>121</v>
      </c>
      <c r="H454" s="49" t="s">
        <v>115</v>
      </c>
      <c r="I454" s="50">
        <v>205.5</v>
      </c>
      <c r="J454" s="26" t="s">
        <v>583</v>
      </c>
      <c r="K454" s="48">
        <v>46070</v>
      </c>
      <c r="L454" s="67">
        <v>2026400535</v>
      </c>
      <c r="M454" s="26" t="s">
        <v>202</v>
      </c>
      <c r="N454" s="26">
        <v>2026</v>
      </c>
    </row>
    <row r="455" spans="1:14">
      <c r="A455" s="26">
        <v>454</v>
      </c>
      <c r="B455" s="26" t="s">
        <v>58</v>
      </c>
      <c r="C455" s="48" t="s">
        <v>59</v>
      </c>
      <c r="D455" s="26" t="s">
        <v>60</v>
      </c>
      <c r="E455" s="26" t="s">
        <v>70</v>
      </c>
      <c r="F455" s="26"/>
      <c r="G455" s="26" t="s">
        <v>64</v>
      </c>
      <c r="H455" s="49" t="s">
        <v>329</v>
      </c>
      <c r="I455" s="50">
        <v>201.34228187919464</v>
      </c>
      <c r="J455" s="26" t="s">
        <v>67</v>
      </c>
      <c r="K455" s="48" t="s">
        <v>368</v>
      </c>
      <c r="L455" s="67" t="s">
        <v>14</v>
      </c>
      <c r="M455" s="98" t="s">
        <v>202</v>
      </c>
      <c r="N455" s="26">
        <v>2026</v>
      </c>
    </row>
    <row r="456" spans="1:14">
      <c r="A456" s="26">
        <v>455</v>
      </c>
      <c r="B456" s="26" t="s">
        <v>42</v>
      </c>
      <c r="C456" s="76" t="s">
        <v>50</v>
      </c>
      <c r="D456" s="26" t="s">
        <v>60</v>
      </c>
      <c r="E456" s="26" t="s">
        <v>70</v>
      </c>
      <c r="F456" s="26"/>
      <c r="G456" s="26" t="s">
        <v>121</v>
      </c>
      <c r="H456" s="26" t="s">
        <v>115</v>
      </c>
      <c r="I456" s="53">
        <v>195</v>
      </c>
      <c r="J456" s="26" t="s">
        <v>616</v>
      </c>
      <c r="K456" s="48">
        <v>46068</v>
      </c>
      <c r="L456" s="26">
        <v>2026400381</v>
      </c>
      <c r="M456" s="26" t="s">
        <v>202</v>
      </c>
      <c r="N456" s="26">
        <v>2026</v>
      </c>
    </row>
    <row r="457" spans="1:14">
      <c r="A457" s="26">
        <v>456</v>
      </c>
      <c r="B457" s="26" t="s">
        <v>17</v>
      </c>
      <c r="C457" s="76" t="s">
        <v>22</v>
      </c>
      <c r="D457" s="26" t="s">
        <v>60</v>
      </c>
      <c r="E457" s="26" t="s">
        <v>70</v>
      </c>
      <c r="F457" s="26"/>
      <c r="G457" s="26" t="s">
        <v>121</v>
      </c>
      <c r="H457" s="26" t="s">
        <v>115</v>
      </c>
      <c r="I457" s="53">
        <v>185</v>
      </c>
      <c r="J457" s="26" t="s">
        <v>633</v>
      </c>
      <c r="K457" s="48">
        <v>46081</v>
      </c>
      <c r="L457" s="26">
        <v>2026400679</v>
      </c>
      <c r="M457" s="26" t="s">
        <v>202</v>
      </c>
      <c r="N457" s="26">
        <v>2026</v>
      </c>
    </row>
    <row r="458" spans="1:14">
      <c r="A458" s="26">
        <v>457</v>
      </c>
      <c r="B458" s="63" t="s">
        <v>17</v>
      </c>
      <c r="C458" s="26" t="s">
        <v>22</v>
      </c>
      <c r="D458" s="26" t="s">
        <v>60</v>
      </c>
      <c r="E458" s="57" t="s">
        <v>70</v>
      </c>
      <c r="F458" s="26"/>
      <c r="G458" s="26" t="s">
        <v>113</v>
      </c>
      <c r="H458" s="100" t="s">
        <v>114</v>
      </c>
      <c r="I458" s="53">
        <v>167.78523489932886</v>
      </c>
      <c r="J458" s="26" t="s">
        <v>232</v>
      </c>
      <c r="K458" s="48">
        <v>46079</v>
      </c>
      <c r="L458" s="26">
        <v>2026400780</v>
      </c>
      <c r="M458" s="26" t="s">
        <v>202</v>
      </c>
      <c r="N458" s="26">
        <v>2026</v>
      </c>
    </row>
    <row r="459" spans="1:14">
      <c r="A459" s="26">
        <v>458</v>
      </c>
      <c r="B459" s="26" t="s">
        <v>42</v>
      </c>
      <c r="C459" s="77" t="s">
        <v>47</v>
      </c>
      <c r="D459" s="26" t="s">
        <v>60</v>
      </c>
      <c r="E459" s="26" t="s">
        <v>70</v>
      </c>
      <c r="F459" s="26"/>
      <c r="G459" s="26" t="s">
        <v>119</v>
      </c>
      <c r="H459" s="49" t="s">
        <v>115</v>
      </c>
      <c r="I459" s="50">
        <v>166.14</v>
      </c>
      <c r="J459" s="26" t="s">
        <v>664</v>
      </c>
      <c r="K459" s="48">
        <v>46073</v>
      </c>
      <c r="L459" s="67">
        <v>2026400807</v>
      </c>
      <c r="M459" s="26" t="s">
        <v>202</v>
      </c>
      <c r="N459" s="26">
        <v>2026</v>
      </c>
    </row>
    <row r="460" spans="1:14">
      <c r="A460" s="26">
        <v>459</v>
      </c>
      <c r="B460" s="26" t="s">
        <v>42</v>
      </c>
      <c r="C460" s="100" t="s">
        <v>47</v>
      </c>
      <c r="D460" s="26" t="s">
        <v>60</v>
      </c>
      <c r="E460" s="26" t="s">
        <v>70</v>
      </c>
      <c r="F460" s="26"/>
      <c r="G460" s="26" t="s">
        <v>121</v>
      </c>
      <c r="H460" s="26" t="s">
        <v>115</v>
      </c>
      <c r="I460" s="53">
        <v>165</v>
      </c>
      <c r="J460" s="26" t="s">
        <v>624</v>
      </c>
      <c r="K460" s="48">
        <v>46078</v>
      </c>
      <c r="L460" s="26">
        <v>2026400658</v>
      </c>
      <c r="M460" s="26" t="s">
        <v>202</v>
      </c>
      <c r="N460" s="26">
        <v>2026</v>
      </c>
    </row>
    <row r="461" spans="1:14">
      <c r="A461" s="26">
        <v>460</v>
      </c>
      <c r="B461" s="100" t="s">
        <v>35</v>
      </c>
      <c r="C461" s="100" t="s">
        <v>41</v>
      </c>
      <c r="D461" s="26" t="s">
        <v>60</v>
      </c>
      <c r="E461" s="26" t="s">
        <v>70</v>
      </c>
      <c r="F461" s="26"/>
      <c r="G461" s="26" t="s">
        <v>121</v>
      </c>
      <c r="H461" s="100" t="s">
        <v>115</v>
      </c>
      <c r="I461" s="102">
        <v>160</v>
      </c>
      <c r="J461" s="100" t="s">
        <v>651</v>
      </c>
      <c r="K461" s="103">
        <v>46081</v>
      </c>
      <c r="L461" s="100">
        <v>2026400576</v>
      </c>
      <c r="M461" s="100" t="s">
        <v>202</v>
      </c>
      <c r="N461" s="26">
        <v>2026</v>
      </c>
    </row>
    <row r="462" spans="1:14">
      <c r="A462" s="26">
        <v>461</v>
      </c>
      <c r="B462" s="56" t="s">
        <v>35</v>
      </c>
      <c r="C462" s="56" t="s">
        <v>36</v>
      </c>
      <c r="D462" s="56" t="s">
        <v>60</v>
      </c>
      <c r="E462" s="56" t="s">
        <v>70</v>
      </c>
      <c r="F462" s="26"/>
      <c r="G462" s="56" t="s">
        <v>121</v>
      </c>
      <c r="H462" s="56" t="s">
        <v>115</v>
      </c>
      <c r="I462" s="50">
        <v>157.1</v>
      </c>
      <c r="J462" s="26" t="s">
        <v>503</v>
      </c>
      <c r="K462" s="48">
        <v>46054</v>
      </c>
      <c r="L462" s="26">
        <v>2026400315</v>
      </c>
      <c r="M462" s="26" t="s">
        <v>202</v>
      </c>
      <c r="N462" s="26">
        <v>2026</v>
      </c>
    </row>
    <row r="463" spans="1:14">
      <c r="A463" s="26">
        <v>462</v>
      </c>
      <c r="B463" s="26" t="s">
        <v>58</v>
      </c>
      <c r="C463" s="48" t="s">
        <v>59</v>
      </c>
      <c r="D463" s="26" t="s">
        <v>60</v>
      </c>
      <c r="E463" s="26" t="s">
        <v>70</v>
      </c>
      <c r="F463" s="26"/>
      <c r="G463" s="26" t="s">
        <v>64</v>
      </c>
      <c r="H463" s="49" t="s">
        <v>332</v>
      </c>
      <c r="I463" s="50">
        <v>130.8724832214765</v>
      </c>
      <c r="J463" s="26">
        <v>660</v>
      </c>
      <c r="K463" s="48" t="s">
        <v>373</v>
      </c>
      <c r="L463" s="67" t="s">
        <v>14</v>
      </c>
      <c r="M463" s="98" t="s">
        <v>202</v>
      </c>
      <c r="N463" s="26">
        <v>2026</v>
      </c>
    </row>
    <row r="464" spans="1:14">
      <c r="A464" s="26">
        <v>463</v>
      </c>
      <c r="B464" s="26" t="s">
        <v>52</v>
      </c>
      <c r="C464" s="26" t="s">
        <v>62</v>
      </c>
      <c r="D464" s="26" t="s">
        <v>60</v>
      </c>
      <c r="E464" s="26" t="s">
        <v>70</v>
      </c>
      <c r="F464" s="26"/>
      <c r="G464" s="26" t="s">
        <v>121</v>
      </c>
      <c r="H464" s="26" t="s">
        <v>115</v>
      </c>
      <c r="I464" s="53">
        <v>120</v>
      </c>
      <c r="J464" s="26" t="s">
        <v>499</v>
      </c>
      <c r="K464" s="48">
        <v>46054</v>
      </c>
      <c r="L464" s="26">
        <v>2026400316</v>
      </c>
      <c r="M464" s="26" t="s">
        <v>202</v>
      </c>
      <c r="N464" s="26">
        <v>2026</v>
      </c>
    </row>
    <row r="465" spans="1:14">
      <c r="A465" s="26">
        <v>464</v>
      </c>
      <c r="B465" s="26" t="s">
        <v>42</v>
      </c>
      <c r="C465" s="26" t="s">
        <v>257</v>
      </c>
      <c r="D465" s="26" t="s">
        <v>60</v>
      </c>
      <c r="E465" s="57" t="s">
        <v>70</v>
      </c>
      <c r="F465" s="26"/>
      <c r="G465" s="26" t="s">
        <v>121</v>
      </c>
      <c r="H465" s="26" t="s">
        <v>115</v>
      </c>
      <c r="I465" s="53">
        <v>120</v>
      </c>
      <c r="J465" s="26" t="s">
        <v>548</v>
      </c>
      <c r="K465" s="48">
        <v>46076</v>
      </c>
      <c r="L465" s="26">
        <v>2026400567</v>
      </c>
      <c r="M465" s="26" t="s">
        <v>202</v>
      </c>
      <c r="N465" s="26">
        <v>2026</v>
      </c>
    </row>
    <row r="466" spans="1:14">
      <c r="A466" s="26">
        <v>465</v>
      </c>
      <c r="B466" s="57" t="s">
        <v>35</v>
      </c>
      <c r="C466" s="76" t="s">
        <v>38</v>
      </c>
      <c r="D466" s="100" t="s">
        <v>60</v>
      </c>
      <c r="E466" s="57" t="s">
        <v>70</v>
      </c>
      <c r="F466" s="26"/>
      <c r="G466" s="57" t="s">
        <v>117</v>
      </c>
      <c r="H466" s="26" t="s">
        <v>115</v>
      </c>
      <c r="I466" s="53">
        <v>117.11409395973155</v>
      </c>
      <c r="J466" s="26" t="s">
        <v>488</v>
      </c>
      <c r="K466" s="48">
        <v>46051</v>
      </c>
      <c r="L466" s="26">
        <v>2026400385</v>
      </c>
      <c r="M466" s="26" t="s">
        <v>202</v>
      </c>
      <c r="N466" s="26">
        <v>2026</v>
      </c>
    </row>
    <row r="467" spans="1:14">
      <c r="A467" s="26">
        <v>466</v>
      </c>
      <c r="B467" s="56" t="s">
        <v>35</v>
      </c>
      <c r="C467" s="56" t="s">
        <v>36</v>
      </c>
      <c r="D467" s="26" t="s">
        <v>60</v>
      </c>
      <c r="E467" s="56" t="s">
        <v>70</v>
      </c>
      <c r="F467" s="26"/>
      <c r="G467" s="56" t="s">
        <v>121</v>
      </c>
      <c r="H467" s="56" t="s">
        <v>115</v>
      </c>
      <c r="I467" s="50">
        <v>105.6</v>
      </c>
      <c r="J467" s="26" t="s">
        <v>501</v>
      </c>
      <c r="K467" s="48">
        <v>46054</v>
      </c>
      <c r="L467" s="26">
        <v>2026400314</v>
      </c>
      <c r="M467" s="26" t="s">
        <v>202</v>
      </c>
      <c r="N467" s="26">
        <v>2026</v>
      </c>
    </row>
    <row r="468" spans="1:14">
      <c r="A468" s="26">
        <v>467</v>
      </c>
      <c r="B468" s="45" t="s">
        <v>17</v>
      </c>
      <c r="C468" s="26" t="s">
        <v>22</v>
      </c>
      <c r="D468" s="26" t="s">
        <v>60</v>
      </c>
      <c r="E468" s="26" t="s">
        <v>70</v>
      </c>
      <c r="F468" s="26"/>
      <c r="G468" s="26" t="s">
        <v>121</v>
      </c>
      <c r="H468" s="26" t="s">
        <v>115</v>
      </c>
      <c r="I468" s="53">
        <v>104</v>
      </c>
      <c r="J468" s="26" t="s">
        <v>646</v>
      </c>
      <c r="K468" s="48">
        <v>46082</v>
      </c>
      <c r="L468" s="26">
        <v>2026400608</v>
      </c>
      <c r="M468" s="26" t="s">
        <v>202</v>
      </c>
      <c r="N468" s="26">
        <v>2026</v>
      </c>
    </row>
    <row r="469" spans="1:14">
      <c r="A469" s="26">
        <v>468</v>
      </c>
      <c r="B469" s="26" t="s">
        <v>271</v>
      </c>
      <c r="C469" s="48" t="s">
        <v>272</v>
      </c>
      <c r="D469" s="26" t="s">
        <v>60</v>
      </c>
      <c r="E469" s="26" t="s">
        <v>70</v>
      </c>
      <c r="F469" s="26"/>
      <c r="G469" s="26" t="s">
        <v>64</v>
      </c>
      <c r="H469" s="49" t="s">
        <v>352</v>
      </c>
      <c r="I469" s="50">
        <v>103.35570469798658</v>
      </c>
      <c r="J469" s="26" t="s">
        <v>67</v>
      </c>
      <c r="K469" s="48">
        <v>46297</v>
      </c>
      <c r="L469" s="67" t="s">
        <v>14</v>
      </c>
      <c r="M469" s="98" t="s">
        <v>202</v>
      </c>
      <c r="N469" s="26">
        <v>2026</v>
      </c>
    </row>
    <row r="470" spans="1:14">
      <c r="A470" s="26">
        <v>469</v>
      </c>
      <c r="B470" s="26" t="s">
        <v>54</v>
      </c>
      <c r="C470" s="48" t="s">
        <v>93</v>
      </c>
      <c r="D470" s="26" t="s">
        <v>60</v>
      </c>
      <c r="E470" s="26" t="s">
        <v>70</v>
      </c>
      <c r="F470" s="26"/>
      <c r="G470" s="26" t="s">
        <v>121</v>
      </c>
      <c r="H470" s="49" t="s">
        <v>115</v>
      </c>
      <c r="I470" s="50">
        <v>94</v>
      </c>
      <c r="J470" s="26" t="s">
        <v>587</v>
      </c>
      <c r="K470" s="48">
        <v>46069</v>
      </c>
      <c r="L470" s="67">
        <v>2026400483</v>
      </c>
      <c r="M470" s="26" t="s">
        <v>202</v>
      </c>
      <c r="N470" s="26">
        <v>2026</v>
      </c>
    </row>
    <row r="471" spans="1:14">
      <c r="A471" s="26">
        <v>470</v>
      </c>
      <c r="B471" s="26" t="s">
        <v>54</v>
      </c>
      <c r="C471" s="26" t="s">
        <v>55</v>
      </c>
      <c r="D471" s="26" t="s">
        <v>60</v>
      </c>
      <c r="E471" s="26" t="s">
        <v>70</v>
      </c>
      <c r="F471" s="26"/>
      <c r="G471" s="26" t="s">
        <v>291</v>
      </c>
      <c r="H471" s="26" t="s">
        <v>115</v>
      </c>
      <c r="I471" s="50">
        <v>93.959731543624159</v>
      </c>
      <c r="J471" s="26" t="s">
        <v>232</v>
      </c>
      <c r="K471" s="48">
        <v>46060</v>
      </c>
      <c r="L471" s="67">
        <v>2026400243</v>
      </c>
      <c r="M471" s="26" t="s">
        <v>202</v>
      </c>
      <c r="N471" s="26">
        <v>2026</v>
      </c>
    </row>
    <row r="472" spans="1:14">
      <c r="A472" s="26">
        <v>471</v>
      </c>
      <c r="B472" s="63" t="s">
        <v>17</v>
      </c>
      <c r="C472" s="76" t="s">
        <v>22</v>
      </c>
      <c r="D472" s="26" t="s">
        <v>60</v>
      </c>
      <c r="E472" s="57" t="s">
        <v>70</v>
      </c>
      <c r="F472" s="26"/>
      <c r="G472" s="26" t="s">
        <v>267</v>
      </c>
      <c r="H472" s="49" t="s">
        <v>115</v>
      </c>
      <c r="I472" s="53">
        <v>93.959731543624159</v>
      </c>
      <c r="J472" s="26" t="s">
        <v>489</v>
      </c>
      <c r="K472" s="48">
        <v>46053</v>
      </c>
      <c r="L472" s="26">
        <v>2026400423</v>
      </c>
      <c r="M472" s="26" t="s">
        <v>202</v>
      </c>
      <c r="N472" s="26">
        <v>2026</v>
      </c>
    </row>
    <row r="473" spans="1:14">
      <c r="A473" s="26">
        <v>472</v>
      </c>
      <c r="B473" s="26" t="s">
        <v>42</v>
      </c>
      <c r="C473" s="26" t="s">
        <v>50</v>
      </c>
      <c r="D473" s="26" t="s">
        <v>60</v>
      </c>
      <c r="E473" s="26" t="s">
        <v>70</v>
      </c>
      <c r="F473" s="26"/>
      <c r="G473" s="26" t="s">
        <v>119</v>
      </c>
      <c r="H473" s="26" t="s">
        <v>115</v>
      </c>
      <c r="I473" s="53">
        <v>92.25</v>
      </c>
      <c r="J473" s="26" t="s">
        <v>661</v>
      </c>
      <c r="K473" s="48">
        <v>46078</v>
      </c>
      <c r="L473" s="26">
        <v>2026400772</v>
      </c>
      <c r="M473" s="26" t="s">
        <v>202</v>
      </c>
      <c r="N473" s="26">
        <v>2026</v>
      </c>
    </row>
    <row r="474" spans="1:14">
      <c r="A474" s="26">
        <v>473</v>
      </c>
      <c r="B474" s="26" t="s">
        <v>17</v>
      </c>
      <c r="C474" s="26" t="s">
        <v>265</v>
      </c>
      <c r="D474" s="26" t="s">
        <v>60</v>
      </c>
      <c r="E474" s="26" t="s">
        <v>70</v>
      </c>
      <c r="F474" s="26"/>
      <c r="G474" s="26" t="s">
        <v>121</v>
      </c>
      <c r="H474" s="26" t="s">
        <v>115</v>
      </c>
      <c r="I474" s="50">
        <v>90</v>
      </c>
      <c r="J474" s="26" t="s">
        <v>571</v>
      </c>
      <c r="K474" s="48">
        <v>46068</v>
      </c>
      <c r="L474" s="67">
        <v>2026400424</v>
      </c>
      <c r="M474" s="26" t="s">
        <v>202</v>
      </c>
      <c r="N474" s="26">
        <v>2026</v>
      </c>
    </row>
    <row r="475" spans="1:14">
      <c r="A475" s="26">
        <v>474</v>
      </c>
      <c r="B475" s="26" t="s">
        <v>17</v>
      </c>
      <c r="C475" s="26" t="s">
        <v>25</v>
      </c>
      <c r="D475" s="26" t="s">
        <v>60</v>
      </c>
      <c r="E475" s="26" t="s">
        <v>70</v>
      </c>
      <c r="F475" s="26"/>
      <c r="G475" s="26" t="s">
        <v>121</v>
      </c>
      <c r="H475" s="26" t="s">
        <v>115</v>
      </c>
      <c r="I475" s="53">
        <v>90</v>
      </c>
      <c r="J475" s="26" t="s">
        <v>629</v>
      </c>
      <c r="K475" s="48">
        <v>46081</v>
      </c>
      <c r="L475" s="26">
        <v>2026400647</v>
      </c>
      <c r="M475" s="26" t="s">
        <v>202</v>
      </c>
      <c r="N475" s="26">
        <v>2026</v>
      </c>
    </row>
    <row r="476" spans="1:14">
      <c r="A476" s="26">
        <v>475</v>
      </c>
      <c r="B476" s="26" t="s">
        <v>35</v>
      </c>
      <c r="C476" s="26" t="s">
        <v>37</v>
      </c>
      <c r="D476" s="100" t="s">
        <v>60</v>
      </c>
      <c r="E476" s="57" t="s">
        <v>70</v>
      </c>
      <c r="F476" s="26"/>
      <c r="G476" s="26" t="s">
        <v>117</v>
      </c>
      <c r="H476" s="26" t="s">
        <v>115</v>
      </c>
      <c r="I476" s="53">
        <v>83.892617449664428</v>
      </c>
      <c r="J476" s="26" t="s">
        <v>490</v>
      </c>
      <c r="K476" s="48">
        <v>46054</v>
      </c>
      <c r="L476" s="26">
        <v>2026400390</v>
      </c>
      <c r="M476" s="26" t="s">
        <v>202</v>
      </c>
      <c r="N476" s="26">
        <v>2026</v>
      </c>
    </row>
    <row r="477" spans="1:14">
      <c r="A477" s="26">
        <v>476</v>
      </c>
      <c r="B477" s="26" t="s">
        <v>42</v>
      </c>
      <c r="C477" s="26" t="s">
        <v>257</v>
      </c>
      <c r="D477" s="26" t="s">
        <v>60</v>
      </c>
      <c r="E477" s="26" t="s">
        <v>70</v>
      </c>
      <c r="F477" s="26"/>
      <c r="G477" s="26" t="s">
        <v>121</v>
      </c>
      <c r="H477" s="26" t="s">
        <v>115</v>
      </c>
      <c r="I477" s="53">
        <v>82.4</v>
      </c>
      <c r="J477" s="26" t="s">
        <v>614</v>
      </c>
      <c r="K477" s="48">
        <v>46068</v>
      </c>
      <c r="L477" s="26">
        <v>2026400372</v>
      </c>
      <c r="M477" s="26" t="s">
        <v>202</v>
      </c>
      <c r="N477" s="26">
        <v>2026</v>
      </c>
    </row>
    <row r="478" spans="1:14">
      <c r="A478" s="26">
        <v>477</v>
      </c>
      <c r="B478" s="45" t="s">
        <v>17</v>
      </c>
      <c r="C478" s="26" t="s">
        <v>18</v>
      </c>
      <c r="D478" s="26" t="s">
        <v>60</v>
      </c>
      <c r="E478" s="26" t="s">
        <v>70</v>
      </c>
      <c r="F478" s="26"/>
      <c r="G478" s="45" t="s">
        <v>121</v>
      </c>
      <c r="H478" s="45" t="s">
        <v>115</v>
      </c>
      <c r="I478" s="53">
        <v>80</v>
      </c>
      <c r="J478" s="26" t="s">
        <v>564</v>
      </c>
      <c r="K478" s="48">
        <v>46081</v>
      </c>
      <c r="L478" s="26">
        <v>2026400677</v>
      </c>
      <c r="M478" s="26" t="s">
        <v>202</v>
      </c>
      <c r="N478" s="26">
        <v>2026</v>
      </c>
    </row>
    <row r="479" spans="1:14">
      <c r="A479" s="26">
        <v>478</v>
      </c>
      <c r="B479" s="26" t="s">
        <v>42</v>
      </c>
      <c r="C479" s="26" t="s">
        <v>257</v>
      </c>
      <c r="D479" s="26" t="s">
        <v>60</v>
      </c>
      <c r="E479" s="26" t="s">
        <v>70</v>
      </c>
      <c r="F479" s="26"/>
      <c r="G479" s="26" t="s">
        <v>121</v>
      </c>
      <c r="H479" s="26" t="s">
        <v>115</v>
      </c>
      <c r="I479" s="53">
        <v>80</v>
      </c>
      <c r="J479" s="26" t="s">
        <v>645</v>
      </c>
      <c r="K479" s="48">
        <v>46082</v>
      </c>
      <c r="L479" s="26">
        <v>2026400653</v>
      </c>
      <c r="M479" s="26" t="s">
        <v>202</v>
      </c>
      <c r="N479" s="26">
        <v>2026</v>
      </c>
    </row>
    <row r="480" spans="1:14">
      <c r="A480" s="26">
        <v>479</v>
      </c>
      <c r="B480" s="26" t="s">
        <v>54</v>
      </c>
      <c r="C480" s="26" t="s">
        <v>55</v>
      </c>
      <c r="D480" s="26" t="s">
        <v>60</v>
      </c>
      <c r="E480" s="57" t="s">
        <v>70</v>
      </c>
      <c r="F480" s="26"/>
      <c r="G480" s="26" t="s">
        <v>119</v>
      </c>
      <c r="H480" s="26" t="s">
        <v>115</v>
      </c>
      <c r="I480" s="53">
        <v>73.8</v>
      </c>
      <c r="J480" s="26" t="s">
        <v>674</v>
      </c>
      <c r="K480" s="48">
        <v>46073</v>
      </c>
      <c r="L480" s="26">
        <v>2026400808</v>
      </c>
      <c r="M480" s="26" t="s">
        <v>202</v>
      </c>
      <c r="N480" s="26">
        <v>2026</v>
      </c>
    </row>
    <row r="481" spans="1:14">
      <c r="A481" s="26">
        <v>480</v>
      </c>
      <c r="B481" s="26" t="s">
        <v>35</v>
      </c>
      <c r="C481" s="26" t="s">
        <v>41</v>
      </c>
      <c r="D481" s="100" t="s">
        <v>60</v>
      </c>
      <c r="E481" s="57" t="s">
        <v>70</v>
      </c>
      <c r="F481" s="26"/>
      <c r="G481" s="26" t="s">
        <v>117</v>
      </c>
      <c r="H481" s="26" t="s">
        <v>115</v>
      </c>
      <c r="I481" s="53">
        <v>72.818791946308721</v>
      </c>
      <c r="J481" s="26" t="s">
        <v>491</v>
      </c>
      <c r="K481" s="48">
        <v>46053</v>
      </c>
      <c r="L481" s="26">
        <v>2026400386</v>
      </c>
      <c r="M481" s="26" t="s">
        <v>202</v>
      </c>
      <c r="N481" s="26">
        <v>2026</v>
      </c>
    </row>
    <row r="482" spans="1:14">
      <c r="A482" s="26">
        <v>481</v>
      </c>
      <c r="B482" s="26" t="s">
        <v>54</v>
      </c>
      <c r="C482" s="26" t="s">
        <v>93</v>
      </c>
      <c r="D482" s="26" t="s">
        <v>60</v>
      </c>
      <c r="E482" s="26" t="s">
        <v>70</v>
      </c>
      <c r="F482" s="26"/>
      <c r="G482" s="26" t="s">
        <v>121</v>
      </c>
      <c r="H482" s="26" t="s">
        <v>115</v>
      </c>
      <c r="I482" s="46">
        <v>72</v>
      </c>
      <c r="J482" s="26" t="s">
        <v>682</v>
      </c>
      <c r="K482" s="48">
        <v>46082</v>
      </c>
      <c r="L482" s="26">
        <v>2026400654</v>
      </c>
      <c r="M482" s="100" t="s">
        <v>202</v>
      </c>
      <c r="N482" s="26">
        <v>2026</v>
      </c>
    </row>
    <row r="483" spans="1:14">
      <c r="A483" s="26">
        <v>482</v>
      </c>
      <c r="B483" s="45" t="s">
        <v>35</v>
      </c>
      <c r="C483" s="26" t="s">
        <v>37</v>
      </c>
      <c r="D483" s="26" t="s">
        <v>60</v>
      </c>
      <c r="E483" s="26" t="s">
        <v>70</v>
      </c>
      <c r="F483" s="26"/>
      <c r="G483" s="45" t="s">
        <v>121</v>
      </c>
      <c r="H483" s="45" t="s">
        <v>115</v>
      </c>
      <c r="I483" s="53">
        <v>70</v>
      </c>
      <c r="J483" s="26" t="s">
        <v>606</v>
      </c>
      <c r="K483" s="48">
        <v>46069</v>
      </c>
      <c r="L483" s="26">
        <v>2026400464</v>
      </c>
      <c r="M483" s="26" t="s">
        <v>202</v>
      </c>
      <c r="N483" s="26">
        <v>2026</v>
      </c>
    </row>
    <row r="484" spans="1:14">
      <c r="A484" s="26">
        <v>483</v>
      </c>
      <c r="B484" s="67" t="s">
        <v>54</v>
      </c>
      <c r="C484" s="26" t="s">
        <v>93</v>
      </c>
      <c r="D484" s="26" t="s">
        <v>60</v>
      </c>
      <c r="E484" s="26" t="s">
        <v>70</v>
      </c>
      <c r="F484" s="26"/>
      <c r="G484" s="26" t="s">
        <v>121</v>
      </c>
      <c r="H484" s="26" t="s">
        <v>115</v>
      </c>
      <c r="I484" s="46">
        <v>70</v>
      </c>
      <c r="J484" s="26" t="s">
        <v>659</v>
      </c>
      <c r="K484" s="48">
        <v>46076</v>
      </c>
      <c r="L484" s="26">
        <v>2026400578</v>
      </c>
      <c r="M484" s="100" t="s">
        <v>202</v>
      </c>
      <c r="N484" s="26">
        <v>2026</v>
      </c>
    </row>
    <row r="485" spans="1:14">
      <c r="A485" s="26">
        <v>484</v>
      </c>
      <c r="B485" s="26" t="s">
        <v>42</v>
      </c>
      <c r="C485" s="26" t="s">
        <v>50</v>
      </c>
      <c r="D485" s="26" t="s">
        <v>60</v>
      </c>
      <c r="E485" s="26" t="s">
        <v>70</v>
      </c>
      <c r="F485" s="26"/>
      <c r="G485" s="26" t="s">
        <v>121</v>
      </c>
      <c r="H485" s="26" t="s">
        <v>115</v>
      </c>
      <c r="I485" s="53">
        <v>67.599999999999994</v>
      </c>
      <c r="J485" s="26" t="s">
        <v>626</v>
      </c>
      <c r="K485" s="48">
        <v>46081</v>
      </c>
      <c r="L485" s="26">
        <v>2026400678</v>
      </c>
      <c r="M485" s="26" t="s">
        <v>202</v>
      </c>
      <c r="N485" s="26">
        <v>2026</v>
      </c>
    </row>
    <row r="486" spans="1:14">
      <c r="A486" s="26">
        <v>485</v>
      </c>
      <c r="B486" s="26" t="s">
        <v>54</v>
      </c>
      <c r="C486" s="76" t="s">
        <v>93</v>
      </c>
      <c r="D486" s="26" t="s">
        <v>60</v>
      </c>
      <c r="E486" s="57" t="s">
        <v>70</v>
      </c>
      <c r="F486" s="26"/>
      <c r="G486" s="26" t="s">
        <v>119</v>
      </c>
      <c r="H486" s="49" t="s">
        <v>115</v>
      </c>
      <c r="I486" s="53">
        <v>64.599999999999994</v>
      </c>
      <c r="J486" s="26" t="s">
        <v>666</v>
      </c>
      <c r="K486" s="48">
        <v>46073</v>
      </c>
      <c r="L486" s="26">
        <v>2026400812</v>
      </c>
      <c r="M486" s="26" t="s">
        <v>202</v>
      </c>
      <c r="N486" s="26">
        <v>2026</v>
      </c>
    </row>
    <row r="487" spans="1:14">
      <c r="A487" s="26">
        <v>486</v>
      </c>
      <c r="B487" s="45" t="s">
        <v>17</v>
      </c>
      <c r="C487" s="76" t="s">
        <v>22</v>
      </c>
      <c r="D487" s="26" t="s">
        <v>60</v>
      </c>
      <c r="E487" s="26" t="s">
        <v>70</v>
      </c>
      <c r="F487" s="26"/>
      <c r="G487" s="45" t="s">
        <v>119</v>
      </c>
      <c r="H487" s="49" t="s">
        <v>115</v>
      </c>
      <c r="I487" s="46">
        <v>64.599999999999994</v>
      </c>
      <c r="J487" s="26" t="s">
        <v>668</v>
      </c>
      <c r="K487" s="48">
        <v>46073</v>
      </c>
      <c r="L487" s="26">
        <v>2026400823</v>
      </c>
      <c r="M487" s="26" t="s">
        <v>202</v>
      </c>
      <c r="N487" s="26">
        <v>2026</v>
      </c>
    </row>
    <row r="488" spans="1:14">
      <c r="A488" s="26">
        <v>487</v>
      </c>
      <c r="B488" s="45" t="s">
        <v>54</v>
      </c>
      <c r="C488" s="26" t="s">
        <v>55</v>
      </c>
      <c r="D488" s="26" t="s">
        <v>60</v>
      </c>
      <c r="E488" s="26" t="s">
        <v>70</v>
      </c>
      <c r="F488" s="26"/>
      <c r="G488" s="45" t="s">
        <v>121</v>
      </c>
      <c r="H488" s="45" t="s">
        <v>115</v>
      </c>
      <c r="I488" s="53">
        <v>64</v>
      </c>
      <c r="J488" s="26" t="s">
        <v>569</v>
      </c>
      <c r="K488" s="48">
        <v>46068</v>
      </c>
      <c r="L488" s="26">
        <v>2026400402</v>
      </c>
      <c r="M488" s="26" t="s">
        <v>202</v>
      </c>
      <c r="N488" s="26">
        <v>2026</v>
      </c>
    </row>
    <row r="489" spans="1:14">
      <c r="A489" s="26">
        <v>488</v>
      </c>
      <c r="B489" s="26" t="s">
        <v>52</v>
      </c>
      <c r="C489" s="48" t="s">
        <v>62</v>
      </c>
      <c r="D489" s="26" t="s">
        <v>60</v>
      </c>
      <c r="E489" s="26" t="s">
        <v>70</v>
      </c>
      <c r="F489" s="26"/>
      <c r="G489" s="26" t="s">
        <v>121</v>
      </c>
      <c r="H489" s="26" t="s">
        <v>115</v>
      </c>
      <c r="I489" s="60">
        <v>60</v>
      </c>
      <c r="J489" s="26" t="s">
        <v>497</v>
      </c>
      <c r="K489" s="48">
        <v>46054</v>
      </c>
      <c r="L489" s="51">
        <v>2026400353</v>
      </c>
      <c r="M489" s="26" t="s">
        <v>202</v>
      </c>
      <c r="N489" s="26">
        <v>2026</v>
      </c>
    </row>
    <row r="490" spans="1:14">
      <c r="A490" s="26">
        <v>489</v>
      </c>
      <c r="B490" s="26" t="s">
        <v>42</v>
      </c>
      <c r="C490" s="26" t="s">
        <v>44</v>
      </c>
      <c r="D490" s="100" t="s">
        <v>60</v>
      </c>
      <c r="E490" s="26" t="s">
        <v>70</v>
      </c>
      <c r="F490" s="26"/>
      <c r="G490" s="26" t="s">
        <v>117</v>
      </c>
      <c r="H490" s="26" t="s">
        <v>115</v>
      </c>
      <c r="I490" s="53">
        <v>53.691275167785236</v>
      </c>
      <c r="J490" s="26" t="s">
        <v>492</v>
      </c>
      <c r="K490" s="48">
        <v>46060</v>
      </c>
      <c r="L490" s="26">
        <v>2026400484</v>
      </c>
      <c r="M490" s="26" t="s">
        <v>202</v>
      </c>
      <c r="N490" s="26">
        <v>2026</v>
      </c>
    </row>
    <row r="491" spans="1:14">
      <c r="A491" s="26">
        <v>490</v>
      </c>
      <c r="B491" s="26" t="s">
        <v>58</v>
      </c>
      <c r="C491" s="48" t="s">
        <v>59</v>
      </c>
      <c r="D491" s="26" t="s">
        <v>60</v>
      </c>
      <c r="E491" s="26" t="s">
        <v>70</v>
      </c>
      <c r="F491" s="26"/>
      <c r="G491" s="26" t="s">
        <v>64</v>
      </c>
      <c r="H491" s="49" t="s">
        <v>330</v>
      </c>
      <c r="I491" s="50">
        <v>50.335570469798661</v>
      </c>
      <c r="J491" s="26">
        <v>2444</v>
      </c>
      <c r="K491" s="48">
        <v>46358</v>
      </c>
      <c r="L491" s="67" t="s">
        <v>14</v>
      </c>
      <c r="M491" s="98" t="s">
        <v>202</v>
      </c>
      <c r="N491" s="26">
        <v>2026</v>
      </c>
    </row>
    <row r="492" spans="1:14">
      <c r="A492" s="26">
        <v>491</v>
      </c>
      <c r="B492" s="63" t="s">
        <v>271</v>
      </c>
      <c r="C492" s="26" t="s">
        <v>272</v>
      </c>
      <c r="D492" s="26" t="s">
        <v>60</v>
      </c>
      <c r="E492" s="26" t="s">
        <v>70</v>
      </c>
      <c r="F492" s="26"/>
      <c r="G492" s="26" t="s">
        <v>416</v>
      </c>
      <c r="H492" s="26" t="s">
        <v>115</v>
      </c>
      <c r="I492" s="53">
        <v>44.966442953020135</v>
      </c>
      <c r="J492" s="26">
        <v>18334</v>
      </c>
      <c r="K492" s="48">
        <v>46050</v>
      </c>
      <c r="L492" s="26">
        <v>2026400394</v>
      </c>
      <c r="M492" s="26" t="s">
        <v>202</v>
      </c>
      <c r="N492" s="26">
        <v>2026</v>
      </c>
    </row>
    <row r="493" spans="1:14">
      <c r="A493" s="26">
        <v>492</v>
      </c>
      <c r="B493" s="26" t="s">
        <v>35</v>
      </c>
      <c r="C493" s="76" t="s">
        <v>37</v>
      </c>
      <c r="D493" s="26" t="s">
        <v>60</v>
      </c>
      <c r="E493" s="26" t="s">
        <v>70</v>
      </c>
      <c r="F493" s="26"/>
      <c r="G493" s="26" t="s">
        <v>119</v>
      </c>
      <c r="H493" s="26" t="s">
        <v>115</v>
      </c>
      <c r="I493" s="53">
        <v>42.47</v>
      </c>
      <c r="J493" s="26" t="s">
        <v>662</v>
      </c>
      <c r="K493" s="48">
        <v>46075</v>
      </c>
      <c r="L493" s="26">
        <v>2026400774</v>
      </c>
      <c r="M493" s="26" t="s">
        <v>202</v>
      </c>
      <c r="N493" s="26">
        <v>2026</v>
      </c>
    </row>
    <row r="494" spans="1:14">
      <c r="A494" s="26">
        <v>493</v>
      </c>
      <c r="B494" s="26" t="s">
        <v>17</v>
      </c>
      <c r="C494" s="26" t="s">
        <v>22</v>
      </c>
      <c r="D494" s="26" t="s">
        <v>60</v>
      </c>
      <c r="E494" s="26" t="s">
        <v>70</v>
      </c>
      <c r="F494" s="26"/>
      <c r="G494" s="26" t="s">
        <v>121</v>
      </c>
      <c r="H494" s="26" t="s">
        <v>115</v>
      </c>
      <c r="I494" s="53">
        <v>40</v>
      </c>
      <c r="J494" s="26" t="s">
        <v>634</v>
      </c>
      <c r="K494" s="48">
        <v>46081</v>
      </c>
      <c r="L494" s="26">
        <v>2026400675</v>
      </c>
      <c r="M494" s="26" t="s">
        <v>202</v>
      </c>
      <c r="N494" s="26">
        <v>2026</v>
      </c>
    </row>
    <row r="495" spans="1:14">
      <c r="A495" s="26">
        <v>494</v>
      </c>
      <c r="B495" s="26" t="s">
        <v>35</v>
      </c>
      <c r="C495" s="76" t="s">
        <v>38</v>
      </c>
      <c r="D495" s="100" t="s">
        <v>60</v>
      </c>
      <c r="E495" s="57" t="s">
        <v>70</v>
      </c>
      <c r="F495" s="26"/>
      <c r="G495" s="26" t="s">
        <v>117</v>
      </c>
      <c r="H495" s="26" t="s">
        <v>115</v>
      </c>
      <c r="I495" s="53">
        <v>34.899328859060404</v>
      </c>
      <c r="J495" s="26" t="s">
        <v>493</v>
      </c>
      <c r="K495" s="48">
        <v>46063</v>
      </c>
      <c r="L495" s="26">
        <v>2026400526</v>
      </c>
      <c r="M495" s="26" t="s">
        <v>202</v>
      </c>
      <c r="N495" s="26">
        <v>2026</v>
      </c>
    </row>
    <row r="496" spans="1:14">
      <c r="A496" s="26">
        <v>495</v>
      </c>
      <c r="B496" s="26" t="s">
        <v>35</v>
      </c>
      <c r="C496" s="100" t="s">
        <v>38</v>
      </c>
      <c r="D496" s="100" t="s">
        <v>60</v>
      </c>
      <c r="E496" s="57" t="s">
        <v>70</v>
      </c>
      <c r="F496" s="26"/>
      <c r="G496" s="26" t="s">
        <v>117</v>
      </c>
      <c r="H496" s="26" t="s">
        <v>115</v>
      </c>
      <c r="I496" s="53">
        <v>32.214765100671144</v>
      </c>
      <c r="J496" s="26" t="s">
        <v>494</v>
      </c>
      <c r="K496" s="48">
        <v>46053</v>
      </c>
      <c r="L496" s="26">
        <v>2026400389</v>
      </c>
      <c r="M496" s="26" t="s">
        <v>202</v>
      </c>
      <c r="N496" s="26">
        <v>2026</v>
      </c>
    </row>
    <row r="497" spans="1:14">
      <c r="A497" s="26">
        <v>496</v>
      </c>
      <c r="B497" s="26" t="s">
        <v>17</v>
      </c>
      <c r="C497" s="26" t="s">
        <v>265</v>
      </c>
      <c r="D497" s="26" t="s">
        <v>60</v>
      </c>
      <c r="E497" s="26" t="s">
        <v>70</v>
      </c>
      <c r="F497" s="26"/>
      <c r="G497" s="26" t="s">
        <v>121</v>
      </c>
      <c r="H497" s="49" t="s">
        <v>115</v>
      </c>
      <c r="I497" s="50">
        <v>31.5</v>
      </c>
      <c r="J497" s="26" t="s">
        <v>581</v>
      </c>
      <c r="K497" s="48">
        <v>46070</v>
      </c>
      <c r="L497" s="67">
        <v>2026400528</v>
      </c>
      <c r="M497" s="26" t="s">
        <v>202</v>
      </c>
      <c r="N497" s="26">
        <v>2026</v>
      </c>
    </row>
    <row r="498" spans="1:14">
      <c r="A498" s="26">
        <v>497</v>
      </c>
      <c r="B498" s="45" t="s">
        <v>52</v>
      </c>
      <c r="C498" s="100" t="s">
        <v>62</v>
      </c>
      <c r="D498" s="26" t="s">
        <v>60</v>
      </c>
      <c r="E498" s="26" t="s">
        <v>94</v>
      </c>
      <c r="F498" s="26"/>
      <c r="G498" s="45" t="s">
        <v>245</v>
      </c>
      <c r="H498" s="45" t="s">
        <v>96</v>
      </c>
      <c r="I498" s="53">
        <v>19119.52</v>
      </c>
      <c r="J498" s="26" t="s">
        <v>399</v>
      </c>
      <c r="K498" s="48">
        <v>46081</v>
      </c>
      <c r="L498" s="26" t="s">
        <v>14</v>
      </c>
      <c r="M498" s="26" t="s">
        <v>202</v>
      </c>
      <c r="N498" s="26">
        <v>2026</v>
      </c>
    </row>
    <row r="499" spans="1:14">
      <c r="A499" s="26">
        <v>498</v>
      </c>
      <c r="B499" s="26" t="s">
        <v>17</v>
      </c>
      <c r="C499" s="48" t="s">
        <v>25</v>
      </c>
      <c r="D499" s="26" t="s">
        <v>60</v>
      </c>
      <c r="E499" s="26" t="s">
        <v>94</v>
      </c>
      <c r="F499" s="26"/>
      <c r="G499" s="26" t="s">
        <v>95</v>
      </c>
      <c r="H499" s="49" t="s">
        <v>244</v>
      </c>
      <c r="I499" s="50">
        <v>14000</v>
      </c>
      <c r="J499" s="26" t="s">
        <v>397</v>
      </c>
      <c r="K499" s="48">
        <v>46082</v>
      </c>
      <c r="L499" s="67" t="s">
        <v>14</v>
      </c>
      <c r="M499" s="26" t="s">
        <v>202</v>
      </c>
      <c r="N499" s="26">
        <v>2026</v>
      </c>
    </row>
    <row r="500" spans="1:14">
      <c r="A500" s="26">
        <v>499</v>
      </c>
      <c r="B500" s="26" t="s">
        <v>33</v>
      </c>
      <c r="C500" s="26" t="s">
        <v>34</v>
      </c>
      <c r="D500" s="26" t="s">
        <v>60</v>
      </c>
      <c r="E500" s="26" t="s">
        <v>94</v>
      </c>
      <c r="F500" s="26"/>
      <c r="G500" s="26" t="s">
        <v>95</v>
      </c>
      <c r="H500" s="26" t="s">
        <v>96</v>
      </c>
      <c r="I500" s="50">
        <v>12360</v>
      </c>
      <c r="J500" s="26" t="s">
        <v>396</v>
      </c>
      <c r="K500" s="48">
        <v>46082</v>
      </c>
      <c r="L500" s="67" t="s">
        <v>14</v>
      </c>
      <c r="M500" s="26" t="s">
        <v>202</v>
      </c>
      <c r="N500" s="26">
        <v>2026</v>
      </c>
    </row>
    <row r="501" spans="1:14">
      <c r="A501" s="26">
        <v>500</v>
      </c>
      <c r="B501" s="26" t="s">
        <v>54</v>
      </c>
      <c r="C501" s="26" t="s">
        <v>55</v>
      </c>
      <c r="D501" s="26" t="s">
        <v>60</v>
      </c>
      <c r="E501" s="26" t="s">
        <v>94</v>
      </c>
      <c r="F501" s="26"/>
      <c r="G501" s="26" t="s">
        <v>97</v>
      </c>
      <c r="H501" s="26" t="s">
        <v>96</v>
      </c>
      <c r="I501" s="50">
        <v>11520</v>
      </c>
      <c r="J501" s="26" t="s">
        <v>400</v>
      </c>
      <c r="K501" s="48">
        <v>46081</v>
      </c>
      <c r="L501" s="67" t="s">
        <v>14</v>
      </c>
      <c r="M501" s="26" t="s">
        <v>202</v>
      </c>
      <c r="N501" s="26">
        <v>2026</v>
      </c>
    </row>
    <row r="502" spans="1:14">
      <c r="A502" s="26">
        <v>501</v>
      </c>
      <c r="B502" s="26" t="s">
        <v>33</v>
      </c>
      <c r="C502" s="77" t="s">
        <v>34</v>
      </c>
      <c r="D502" s="26" t="s">
        <v>60</v>
      </c>
      <c r="E502" s="26" t="s">
        <v>94</v>
      </c>
      <c r="F502" s="26"/>
      <c r="G502" s="26" t="s">
        <v>95</v>
      </c>
      <c r="H502" s="49" t="s">
        <v>244</v>
      </c>
      <c r="I502" s="50">
        <v>6000</v>
      </c>
      <c r="J502" s="26" t="s">
        <v>392</v>
      </c>
      <c r="K502" s="48">
        <v>45697</v>
      </c>
      <c r="L502" s="67" t="s">
        <v>14</v>
      </c>
      <c r="M502" s="26" t="s">
        <v>202</v>
      </c>
      <c r="N502" s="26">
        <v>2026</v>
      </c>
    </row>
    <row r="503" spans="1:14">
      <c r="A503" s="26">
        <v>502</v>
      </c>
      <c r="B503" s="26" t="s">
        <v>33</v>
      </c>
      <c r="C503" s="77" t="s">
        <v>34</v>
      </c>
      <c r="D503" s="26" t="s">
        <v>60</v>
      </c>
      <c r="E503" s="26" t="s">
        <v>94</v>
      </c>
      <c r="F503" s="26"/>
      <c r="G503" s="26" t="s">
        <v>95</v>
      </c>
      <c r="H503" s="49" t="s">
        <v>244</v>
      </c>
      <c r="I503" s="50">
        <v>5250</v>
      </c>
      <c r="J503" s="26" t="s">
        <v>393</v>
      </c>
      <c r="K503" s="48">
        <v>45717</v>
      </c>
      <c r="L503" s="67" t="s">
        <v>14</v>
      </c>
      <c r="M503" s="26" t="s">
        <v>202</v>
      </c>
      <c r="N503" s="26">
        <v>2026</v>
      </c>
    </row>
    <row r="504" spans="1:14">
      <c r="A504" s="26">
        <v>503</v>
      </c>
      <c r="B504" s="26" t="s">
        <v>33</v>
      </c>
      <c r="C504" s="48" t="s">
        <v>34</v>
      </c>
      <c r="D504" s="26" t="s">
        <v>60</v>
      </c>
      <c r="E504" s="26" t="s">
        <v>94</v>
      </c>
      <c r="F504" s="26"/>
      <c r="G504" s="26" t="s">
        <v>95</v>
      </c>
      <c r="H504" s="49" t="s">
        <v>96</v>
      </c>
      <c r="I504" s="50">
        <v>5040</v>
      </c>
      <c r="J504" s="26" t="s">
        <v>395</v>
      </c>
      <c r="K504" s="48">
        <v>46082</v>
      </c>
      <c r="L504" s="67" t="s">
        <v>14</v>
      </c>
      <c r="M504" s="26" t="s">
        <v>202</v>
      </c>
      <c r="N504" s="26">
        <v>2026</v>
      </c>
    </row>
    <row r="505" spans="1:14">
      <c r="A505" s="26">
        <v>504</v>
      </c>
      <c r="B505" s="63" t="s">
        <v>17</v>
      </c>
      <c r="C505" s="26" t="s">
        <v>23</v>
      </c>
      <c r="D505" s="26" t="s">
        <v>60</v>
      </c>
      <c r="E505" s="26" t="s">
        <v>94</v>
      </c>
      <c r="F505" s="26"/>
      <c r="G505" s="26" t="s">
        <v>97</v>
      </c>
      <c r="H505" s="26" t="s">
        <v>96</v>
      </c>
      <c r="I505" s="50">
        <v>4500</v>
      </c>
      <c r="J505" s="26" t="s">
        <v>400</v>
      </c>
      <c r="K505" s="48">
        <v>46081</v>
      </c>
      <c r="L505" s="67" t="s">
        <v>14</v>
      </c>
      <c r="M505" s="26" t="s">
        <v>202</v>
      </c>
      <c r="N505" s="26">
        <v>2026</v>
      </c>
    </row>
    <row r="506" spans="1:14">
      <c r="A506" s="26">
        <v>505</v>
      </c>
      <c r="B506" s="26" t="s">
        <v>17</v>
      </c>
      <c r="C506" s="26" t="s">
        <v>25</v>
      </c>
      <c r="D506" s="26" t="s">
        <v>60</v>
      </c>
      <c r="E506" s="26" t="s">
        <v>94</v>
      </c>
      <c r="F506" s="26"/>
      <c r="G506" s="26" t="s">
        <v>95</v>
      </c>
      <c r="H506" s="26" t="s">
        <v>96</v>
      </c>
      <c r="I506" s="50">
        <v>3360</v>
      </c>
      <c r="J506" s="26" t="s">
        <v>398</v>
      </c>
      <c r="K506" s="48">
        <v>46082</v>
      </c>
      <c r="L506" s="67" t="s">
        <v>14</v>
      </c>
      <c r="M506" s="26" t="s">
        <v>202</v>
      </c>
      <c r="N506" s="26">
        <v>2026</v>
      </c>
    </row>
    <row r="507" spans="1:14">
      <c r="A507" s="26">
        <v>506</v>
      </c>
      <c r="B507" s="45" t="s">
        <v>42</v>
      </c>
      <c r="C507" s="26" t="s">
        <v>51</v>
      </c>
      <c r="D507" s="26" t="s">
        <v>19</v>
      </c>
      <c r="E507" s="26" t="s">
        <v>94</v>
      </c>
      <c r="F507" s="26"/>
      <c r="G507" s="45" t="s">
        <v>91</v>
      </c>
      <c r="H507" s="45" t="s">
        <v>96</v>
      </c>
      <c r="I507" s="53">
        <v>1342.2818791946308</v>
      </c>
      <c r="J507" s="26" t="s">
        <v>14</v>
      </c>
      <c r="K507" s="48" t="s">
        <v>14</v>
      </c>
      <c r="L507" s="26" t="s">
        <v>14</v>
      </c>
      <c r="M507" s="26" t="s">
        <v>202</v>
      </c>
      <c r="N507" s="26">
        <v>2026</v>
      </c>
    </row>
    <row r="508" spans="1:14">
      <c r="A508" s="26">
        <v>507</v>
      </c>
      <c r="B508" s="26" t="s">
        <v>17</v>
      </c>
      <c r="C508" s="76" t="s">
        <v>23</v>
      </c>
      <c r="D508" s="26" t="s">
        <v>60</v>
      </c>
      <c r="E508" s="26" t="s">
        <v>94</v>
      </c>
      <c r="F508" s="26"/>
      <c r="G508" s="26" t="s">
        <v>97</v>
      </c>
      <c r="H508" s="26" t="s">
        <v>96</v>
      </c>
      <c r="I508" s="50">
        <v>1000</v>
      </c>
      <c r="J508" s="26" t="s">
        <v>400</v>
      </c>
      <c r="K508" s="48">
        <v>46081</v>
      </c>
      <c r="L508" s="67" t="s">
        <v>14</v>
      </c>
      <c r="M508" s="26" t="s">
        <v>202</v>
      </c>
      <c r="N508" s="26">
        <v>2026</v>
      </c>
    </row>
    <row r="509" spans="1:14">
      <c r="A509" s="26">
        <v>508</v>
      </c>
      <c r="B509" s="26" t="s">
        <v>27</v>
      </c>
      <c r="C509" s="48" t="s">
        <v>28</v>
      </c>
      <c r="D509" s="26" t="s">
        <v>60</v>
      </c>
      <c r="E509" s="26" t="s">
        <v>94</v>
      </c>
      <c r="F509" s="26"/>
      <c r="G509" s="26" t="s">
        <v>95</v>
      </c>
      <c r="H509" s="49" t="s">
        <v>244</v>
      </c>
      <c r="I509" s="50">
        <v>500</v>
      </c>
      <c r="J509" s="26" t="s">
        <v>394</v>
      </c>
      <c r="K509" s="48">
        <v>46068</v>
      </c>
      <c r="L509" s="67" t="s">
        <v>14</v>
      </c>
      <c r="M509" s="26" t="s">
        <v>202</v>
      </c>
      <c r="N509" s="26">
        <v>2026</v>
      </c>
    </row>
    <row r="510" spans="1:14">
      <c r="A510" s="26">
        <v>509</v>
      </c>
      <c r="B510" s="26" t="s">
        <v>58</v>
      </c>
      <c r="C510" s="26" t="s">
        <v>59</v>
      </c>
      <c r="D510" s="26" t="s">
        <v>19</v>
      </c>
      <c r="E510" s="26" t="s">
        <v>106</v>
      </c>
      <c r="F510" s="26"/>
      <c r="G510" s="26" t="s">
        <v>21</v>
      </c>
      <c r="H510" s="26" t="s">
        <v>106</v>
      </c>
      <c r="I510" s="46">
        <v>25000</v>
      </c>
      <c r="J510" s="26" t="s">
        <v>14</v>
      </c>
      <c r="K510" s="48" t="s">
        <v>14</v>
      </c>
      <c r="L510" s="26" t="s">
        <v>14</v>
      </c>
      <c r="M510" s="26" t="s">
        <v>202</v>
      </c>
      <c r="N510" s="26">
        <v>2026</v>
      </c>
    </row>
    <row r="511" spans="1:14">
      <c r="A511" s="26">
        <v>510</v>
      </c>
      <c r="B511" s="149" t="s">
        <v>52</v>
      </c>
      <c r="C511" s="149" t="s">
        <v>62</v>
      </c>
      <c r="D511" s="26" t="s">
        <v>60</v>
      </c>
      <c r="E511" s="26" t="s">
        <v>20</v>
      </c>
      <c r="F511" s="26"/>
      <c r="G511" s="26" t="s">
        <v>21</v>
      </c>
      <c r="H511" s="26" t="s">
        <v>300</v>
      </c>
      <c r="I511" s="53">
        <v>433997</v>
      </c>
      <c r="J511" s="26" t="s">
        <v>14</v>
      </c>
      <c r="K511" s="26" t="s">
        <v>14</v>
      </c>
      <c r="L511" s="26" t="s">
        <v>14</v>
      </c>
      <c r="M511" s="98" t="s">
        <v>202</v>
      </c>
      <c r="N511" s="26">
        <v>2026</v>
      </c>
    </row>
    <row r="512" spans="1:14">
      <c r="A512" s="26">
        <v>511</v>
      </c>
      <c r="B512" s="26" t="s">
        <v>42</v>
      </c>
      <c r="C512" s="26" t="s">
        <v>50</v>
      </c>
      <c r="D512" s="26" t="s">
        <v>60</v>
      </c>
      <c r="E512" s="26" t="s">
        <v>20</v>
      </c>
      <c r="F512" s="26"/>
      <c r="G512" s="26" t="s">
        <v>21</v>
      </c>
      <c r="H512" s="26" t="s">
        <v>300</v>
      </c>
      <c r="I512" s="50">
        <v>251771</v>
      </c>
      <c r="J512" s="26" t="s">
        <v>14</v>
      </c>
      <c r="K512" s="26" t="s">
        <v>14</v>
      </c>
      <c r="L512" s="26" t="s">
        <v>14</v>
      </c>
      <c r="M512" s="98" t="s">
        <v>202</v>
      </c>
      <c r="N512" s="26">
        <v>2026</v>
      </c>
    </row>
    <row r="513" spans="1:14">
      <c r="A513" s="26">
        <v>512</v>
      </c>
      <c r="B513" s="26" t="s">
        <v>17</v>
      </c>
      <c r="C513" s="26" t="s">
        <v>25</v>
      </c>
      <c r="D513" s="26" t="s">
        <v>60</v>
      </c>
      <c r="E513" s="26" t="s">
        <v>20</v>
      </c>
      <c r="F513" s="26"/>
      <c r="G513" s="26" t="s">
        <v>21</v>
      </c>
      <c r="H513" s="26" t="s">
        <v>300</v>
      </c>
      <c r="I513" s="50">
        <v>243010</v>
      </c>
      <c r="J513" s="26" t="s">
        <v>14</v>
      </c>
      <c r="K513" s="26" t="s">
        <v>14</v>
      </c>
      <c r="L513" s="26" t="s">
        <v>14</v>
      </c>
      <c r="M513" s="98" t="s">
        <v>202</v>
      </c>
      <c r="N513" s="26">
        <v>2026</v>
      </c>
    </row>
    <row r="514" spans="1:14">
      <c r="A514" s="26">
        <v>513</v>
      </c>
      <c r="B514" s="26" t="s">
        <v>17</v>
      </c>
      <c r="C514" s="26" t="s">
        <v>22</v>
      </c>
      <c r="D514" s="26" t="s">
        <v>60</v>
      </c>
      <c r="E514" s="26" t="s">
        <v>20</v>
      </c>
      <c r="F514" s="26"/>
      <c r="G514" s="26" t="s">
        <v>21</v>
      </c>
      <c r="H514" s="26" t="s">
        <v>300</v>
      </c>
      <c r="I514" s="50">
        <v>158317</v>
      </c>
      <c r="J514" s="26" t="s">
        <v>14</v>
      </c>
      <c r="K514" s="26" t="s">
        <v>14</v>
      </c>
      <c r="L514" s="26" t="s">
        <v>14</v>
      </c>
      <c r="M514" s="98" t="s">
        <v>202</v>
      </c>
      <c r="N514" s="26">
        <v>2026</v>
      </c>
    </row>
    <row r="515" spans="1:14">
      <c r="A515" s="26">
        <v>514</v>
      </c>
      <c r="B515" s="149" t="s">
        <v>256</v>
      </c>
      <c r="C515" s="26" t="s">
        <v>55</v>
      </c>
      <c r="D515" s="26" t="s">
        <v>60</v>
      </c>
      <c r="E515" s="26" t="s">
        <v>20</v>
      </c>
      <c r="F515" s="26"/>
      <c r="G515" s="26" t="s">
        <v>21</v>
      </c>
      <c r="H515" s="26" t="s">
        <v>300</v>
      </c>
      <c r="I515" s="50">
        <v>133868</v>
      </c>
      <c r="J515" s="26" t="s">
        <v>14</v>
      </c>
      <c r="K515" s="26" t="s">
        <v>14</v>
      </c>
      <c r="L515" s="26" t="s">
        <v>14</v>
      </c>
      <c r="M515" s="98" t="s">
        <v>202</v>
      </c>
      <c r="N515" s="26">
        <v>2026</v>
      </c>
    </row>
    <row r="516" spans="1:14">
      <c r="A516" s="26">
        <v>515</v>
      </c>
      <c r="B516" s="26" t="s">
        <v>42</v>
      </c>
      <c r="C516" s="26" t="s">
        <v>257</v>
      </c>
      <c r="D516" s="26" t="s">
        <v>60</v>
      </c>
      <c r="E516" s="26" t="s">
        <v>20</v>
      </c>
      <c r="F516" s="26"/>
      <c r="G516" s="26" t="s">
        <v>21</v>
      </c>
      <c r="H516" s="26" t="s">
        <v>300</v>
      </c>
      <c r="I516" s="50">
        <v>131846</v>
      </c>
      <c r="J516" s="26" t="s">
        <v>14</v>
      </c>
      <c r="K516" s="26" t="s">
        <v>14</v>
      </c>
      <c r="L516" s="26" t="s">
        <v>14</v>
      </c>
      <c r="M516" s="98" t="s">
        <v>202</v>
      </c>
      <c r="N516" s="26">
        <v>2026</v>
      </c>
    </row>
    <row r="517" spans="1:14">
      <c r="A517" s="26">
        <v>516</v>
      </c>
      <c r="B517" s="26" t="s">
        <v>17</v>
      </c>
      <c r="C517" s="26" t="s">
        <v>18</v>
      </c>
      <c r="D517" s="26" t="s">
        <v>60</v>
      </c>
      <c r="E517" s="26" t="s">
        <v>20</v>
      </c>
      <c r="F517" s="26"/>
      <c r="G517" s="26" t="s">
        <v>21</v>
      </c>
      <c r="H517" s="26" t="s">
        <v>300</v>
      </c>
      <c r="I517" s="50">
        <v>119417</v>
      </c>
      <c r="J517" s="26" t="s">
        <v>14</v>
      </c>
      <c r="K517" s="26" t="s">
        <v>14</v>
      </c>
      <c r="L517" s="26" t="s">
        <v>14</v>
      </c>
      <c r="M517" s="98" t="s">
        <v>202</v>
      </c>
      <c r="N517" s="26">
        <v>2026</v>
      </c>
    </row>
    <row r="518" spans="1:14">
      <c r="A518" s="26">
        <v>517</v>
      </c>
      <c r="B518" s="26" t="s">
        <v>17</v>
      </c>
      <c r="C518" s="26" t="s">
        <v>265</v>
      </c>
      <c r="D518" s="26" t="s">
        <v>60</v>
      </c>
      <c r="E518" s="26" t="s">
        <v>20</v>
      </c>
      <c r="F518" s="26"/>
      <c r="G518" s="26" t="s">
        <v>21</v>
      </c>
      <c r="H518" s="26" t="s">
        <v>300</v>
      </c>
      <c r="I518" s="50">
        <v>111481</v>
      </c>
      <c r="J518" s="26" t="s">
        <v>14</v>
      </c>
      <c r="K518" s="26" t="s">
        <v>14</v>
      </c>
      <c r="L518" s="26" t="s">
        <v>14</v>
      </c>
      <c r="M518" s="98" t="s">
        <v>202</v>
      </c>
      <c r="N518" s="26">
        <v>2026</v>
      </c>
    </row>
    <row r="519" spans="1:14">
      <c r="A519" s="26">
        <v>518</v>
      </c>
      <c r="B519" s="149" t="s">
        <v>58</v>
      </c>
      <c r="C519" s="26" t="s">
        <v>59</v>
      </c>
      <c r="D519" s="26" t="s">
        <v>60</v>
      </c>
      <c r="E519" s="76" t="s">
        <v>20</v>
      </c>
      <c r="F519" s="26"/>
      <c r="G519" s="26" t="s">
        <v>21</v>
      </c>
      <c r="H519" s="26" t="s">
        <v>300</v>
      </c>
      <c r="I519" s="50">
        <v>106368</v>
      </c>
      <c r="J519" s="26" t="s">
        <v>14</v>
      </c>
      <c r="K519" s="26" t="s">
        <v>14</v>
      </c>
      <c r="L519" s="26" t="s">
        <v>14</v>
      </c>
      <c r="M519" s="98" t="s">
        <v>202</v>
      </c>
      <c r="N519" s="26">
        <v>2026</v>
      </c>
    </row>
    <row r="520" spans="1:14">
      <c r="A520" s="26">
        <v>519</v>
      </c>
      <c r="B520" s="26" t="s">
        <v>42</v>
      </c>
      <c r="C520" s="26" t="s">
        <v>43</v>
      </c>
      <c r="D520" s="26" t="s">
        <v>60</v>
      </c>
      <c r="E520" s="26" t="s">
        <v>20</v>
      </c>
      <c r="F520" s="26"/>
      <c r="G520" s="26" t="s">
        <v>21</v>
      </c>
      <c r="H520" s="26" t="s">
        <v>300</v>
      </c>
      <c r="I520" s="50">
        <v>103315</v>
      </c>
      <c r="J520" s="26" t="s">
        <v>14</v>
      </c>
      <c r="K520" s="26" t="s">
        <v>14</v>
      </c>
      <c r="L520" s="26" t="s">
        <v>14</v>
      </c>
      <c r="M520" s="98" t="s">
        <v>202</v>
      </c>
      <c r="N520" s="26">
        <v>2026</v>
      </c>
    </row>
    <row r="521" spans="1:14">
      <c r="A521" s="26">
        <v>520</v>
      </c>
      <c r="B521" s="63" t="s">
        <v>275</v>
      </c>
      <c r="C521" s="26" t="s">
        <v>275</v>
      </c>
      <c r="D521" s="26" t="s">
        <v>60</v>
      </c>
      <c r="E521" s="26" t="s">
        <v>20</v>
      </c>
      <c r="F521" s="26"/>
      <c r="G521" s="45" t="s">
        <v>21</v>
      </c>
      <c r="H521" s="98" t="s">
        <v>276</v>
      </c>
      <c r="I521" s="46">
        <v>83000</v>
      </c>
      <c r="J521" s="26" t="s">
        <v>14</v>
      </c>
      <c r="K521" s="26" t="s">
        <v>14</v>
      </c>
      <c r="L521" s="26" t="s">
        <v>14</v>
      </c>
      <c r="M521" s="98" t="s">
        <v>202</v>
      </c>
      <c r="N521" s="26">
        <v>2026</v>
      </c>
    </row>
    <row r="522" spans="1:14">
      <c r="A522" s="26">
        <v>521</v>
      </c>
      <c r="B522" s="26" t="s">
        <v>93</v>
      </c>
      <c r="C522" s="26" t="s">
        <v>93</v>
      </c>
      <c r="D522" s="26" t="s">
        <v>60</v>
      </c>
      <c r="E522" s="26" t="s">
        <v>20</v>
      </c>
      <c r="F522" s="26"/>
      <c r="G522" s="26" t="s">
        <v>21</v>
      </c>
      <c r="H522" s="26" t="s">
        <v>300</v>
      </c>
      <c r="I522" s="50">
        <v>78723</v>
      </c>
      <c r="J522" s="26" t="s">
        <v>14</v>
      </c>
      <c r="K522" s="26" t="s">
        <v>14</v>
      </c>
      <c r="L522" s="26" t="s">
        <v>14</v>
      </c>
      <c r="M522" s="98" t="s">
        <v>202</v>
      </c>
      <c r="N522" s="26">
        <v>2026</v>
      </c>
    </row>
    <row r="523" spans="1:14">
      <c r="A523" s="26">
        <v>522</v>
      </c>
      <c r="B523" s="149" t="s">
        <v>35</v>
      </c>
      <c r="C523" s="26" t="s">
        <v>37</v>
      </c>
      <c r="D523" s="26" t="s">
        <v>60</v>
      </c>
      <c r="E523" s="26" t="s">
        <v>20</v>
      </c>
      <c r="F523" s="26"/>
      <c r="G523" s="26" t="s">
        <v>21</v>
      </c>
      <c r="H523" s="26" t="s">
        <v>300</v>
      </c>
      <c r="I523" s="50">
        <v>76387</v>
      </c>
      <c r="J523" s="26" t="s">
        <v>14</v>
      </c>
      <c r="K523" s="26" t="s">
        <v>14</v>
      </c>
      <c r="L523" s="26" t="s">
        <v>14</v>
      </c>
      <c r="M523" s="98" t="s">
        <v>202</v>
      </c>
      <c r="N523" s="26">
        <v>2026</v>
      </c>
    </row>
    <row r="524" spans="1:14">
      <c r="A524" s="26">
        <v>523</v>
      </c>
      <c r="B524" s="149" t="s">
        <v>33</v>
      </c>
      <c r="C524" s="26" t="s">
        <v>34</v>
      </c>
      <c r="D524" s="26" t="s">
        <v>60</v>
      </c>
      <c r="E524" s="26" t="s">
        <v>20</v>
      </c>
      <c r="F524" s="26"/>
      <c r="G524" s="26" t="s">
        <v>21</v>
      </c>
      <c r="H524" s="26" t="s">
        <v>300</v>
      </c>
      <c r="I524" s="50">
        <v>72887</v>
      </c>
      <c r="J524" s="26" t="s">
        <v>14</v>
      </c>
      <c r="K524" s="26" t="s">
        <v>14</v>
      </c>
      <c r="L524" s="26" t="s">
        <v>14</v>
      </c>
      <c r="M524" s="98" t="s">
        <v>202</v>
      </c>
      <c r="N524" s="26">
        <v>2026</v>
      </c>
    </row>
    <row r="525" spans="1:14">
      <c r="A525" s="26">
        <v>524</v>
      </c>
      <c r="B525" s="26" t="s">
        <v>42</v>
      </c>
      <c r="C525" s="26" t="s">
        <v>47</v>
      </c>
      <c r="D525" s="26" t="s">
        <v>60</v>
      </c>
      <c r="E525" s="26" t="s">
        <v>20</v>
      </c>
      <c r="F525" s="26"/>
      <c r="G525" s="26" t="s">
        <v>21</v>
      </c>
      <c r="H525" s="26" t="s">
        <v>300</v>
      </c>
      <c r="I525" s="50">
        <v>52997</v>
      </c>
      <c r="J525" s="26" t="s">
        <v>14</v>
      </c>
      <c r="K525" s="26" t="s">
        <v>14</v>
      </c>
      <c r="L525" s="26" t="s">
        <v>14</v>
      </c>
      <c r="M525" s="98" t="s">
        <v>202</v>
      </c>
      <c r="N525" s="26">
        <v>2026</v>
      </c>
    </row>
    <row r="526" spans="1:14">
      <c r="A526" s="26">
        <v>525</v>
      </c>
      <c r="B526" s="26" t="s">
        <v>42</v>
      </c>
      <c r="C526" s="26" t="s">
        <v>45</v>
      </c>
      <c r="D526" s="26" t="s">
        <v>60</v>
      </c>
      <c r="E526" s="26" t="s">
        <v>20</v>
      </c>
      <c r="F526" s="26"/>
      <c r="G526" s="26" t="s">
        <v>21</v>
      </c>
      <c r="H526" s="26" t="s">
        <v>300</v>
      </c>
      <c r="I526" s="50">
        <v>48283</v>
      </c>
      <c r="J526" s="26" t="s">
        <v>14</v>
      </c>
      <c r="K526" s="26" t="s">
        <v>14</v>
      </c>
      <c r="L526" s="26" t="s">
        <v>14</v>
      </c>
      <c r="M526" s="98" t="s">
        <v>202</v>
      </c>
      <c r="N526" s="26">
        <v>2026</v>
      </c>
    </row>
    <row r="527" spans="1:14">
      <c r="A527" s="26">
        <v>526</v>
      </c>
      <c r="B527" s="149" t="s">
        <v>35</v>
      </c>
      <c r="C527" s="26" t="s">
        <v>36</v>
      </c>
      <c r="D527" s="26" t="s">
        <v>60</v>
      </c>
      <c r="E527" s="26" t="s">
        <v>20</v>
      </c>
      <c r="F527" s="26"/>
      <c r="G527" s="26" t="s">
        <v>21</v>
      </c>
      <c r="H527" s="26" t="s">
        <v>300</v>
      </c>
      <c r="I527" s="50">
        <v>34423</v>
      </c>
      <c r="J527" s="26" t="s">
        <v>14</v>
      </c>
      <c r="K527" s="26" t="s">
        <v>14</v>
      </c>
      <c r="L527" s="26" t="s">
        <v>14</v>
      </c>
      <c r="M527" s="98" t="s">
        <v>202</v>
      </c>
      <c r="N527" s="26">
        <v>2026</v>
      </c>
    </row>
    <row r="528" spans="1:14">
      <c r="A528" s="26">
        <v>527</v>
      </c>
      <c r="B528" s="26" t="s">
        <v>42</v>
      </c>
      <c r="C528" s="26" t="s">
        <v>297</v>
      </c>
      <c r="D528" s="26" t="s">
        <v>60</v>
      </c>
      <c r="E528" s="26" t="s">
        <v>20</v>
      </c>
      <c r="F528" s="26"/>
      <c r="G528" s="26" t="s">
        <v>21</v>
      </c>
      <c r="H528" s="26" t="s">
        <v>300</v>
      </c>
      <c r="I528" s="53">
        <v>27842</v>
      </c>
      <c r="J528" s="26" t="s">
        <v>14</v>
      </c>
      <c r="K528" s="26" t="s">
        <v>14</v>
      </c>
      <c r="L528" s="26" t="s">
        <v>14</v>
      </c>
      <c r="M528" s="98" t="s">
        <v>202</v>
      </c>
      <c r="N528" s="26">
        <v>2026</v>
      </c>
    </row>
    <row r="529" spans="1:14">
      <c r="A529" s="26">
        <v>528</v>
      </c>
      <c r="B529" s="149" t="s">
        <v>27</v>
      </c>
      <c r="C529" s="26" t="s">
        <v>28</v>
      </c>
      <c r="D529" s="26" t="s">
        <v>60</v>
      </c>
      <c r="E529" s="26" t="s">
        <v>20</v>
      </c>
      <c r="F529" s="26"/>
      <c r="G529" s="26" t="s">
        <v>21</v>
      </c>
      <c r="H529" s="26" t="s">
        <v>300</v>
      </c>
      <c r="I529" s="50">
        <v>23495</v>
      </c>
      <c r="J529" s="26" t="s">
        <v>14</v>
      </c>
      <c r="K529" s="26" t="s">
        <v>14</v>
      </c>
      <c r="L529" s="26" t="s">
        <v>14</v>
      </c>
      <c r="M529" s="98" t="s">
        <v>202</v>
      </c>
      <c r="N529" s="26">
        <v>2026</v>
      </c>
    </row>
    <row r="530" spans="1:14">
      <c r="A530" s="26">
        <v>529</v>
      </c>
      <c r="B530" s="26" t="s">
        <v>42</v>
      </c>
      <c r="C530" s="26" t="s">
        <v>49</v>
      </c>
      <c r="D530" s="26" t="s">
        <v>60</v>
      </c>
      <c r="E530" s="26" t="s">
        <v>20</v>
      </c>
      <c r="F530" s="26"/>
      <c r="G530" s="26" t="s">
        <v>21</v>
      </c>
      <c r="H530" s="26" t="s">
        <v>300</v>
      </c>
      <c r="I530" s="50">
        <v>23259</v>
      </c>
      <c r="J530" s="26" t="s">
        <v>14</v>
      </c>
      <c r="K530" s="26" t="s">
        <v>14</v>
      </c>
      <c r="L530" s="26" t="s">
        <v>14</v>
      </c>
      <c r="M530" s="98" t="s">
        <v>202</v>
      </c>
      <c r="N530" s="26">
        <v>2026</v>
      </c>
    </row>
    <row r="531" spans="1:14">
      <c r="A531" s="26">
        <v>530</v>
      </c>
      <c r="B531" s="26" t="s">
        <v>42</v>
      </c>
      <c r="C531" s="26" t="s">
        <v>44</v>
      </c>
      <c r="D531" s="26" t="s">
        <v>60</v>
      </c>
      <c r="E531" s="26" t="s">
        <v>20</v>
      </c>
      <c r="F531" s="26"/>
      <c r="G531" s="26" t="s">
        <v>21</v>
      </c>
      <c r="H531" s="26" t="s">
        <v>300</v>
      </c>
      <c r="I531" s="50">
        <v>20533</v>
      </c>
      <c r="J531" s="26" t="s">
        <v>14</v>
      </c>
      <c r="K531" s="26" t="s">
        <v>14</v>
      </c>
      <c r="L531" s="26" t="s">
        <v>14</v>
      </c>
      <c r="M531" s="98" t="s">
        <v>202</v>
      </c>
      <c r="N531" s="26">
        <v>2026</v>
      </c>
    </row>
    <row r="532" spans="1:14">
      <c r="A532" s="26">
        <v>531</v>
      </c>
      <c r="B532" s="98" t="s">
        <v>58</v>
      </c>
      <c r="C532" s="98" t="s">
        <v>59</v>
      </c>
      <c r="D532" s="26" t="s">
        <v>60</v>
      </c>
      <c r="E532" s="26" t="s">
        <v>20</v>
      </c>
      <c r="F532" s="26"/>
      <c r="G532" s="45" t="s">
        <v>21</v>
      </c>
      <c r="H532" s="149" t="s">
        <v>299</v>
      </c>
      <c r="I532" s="46">
        <f>26680000/1480</f>
        <v>18027.027027027027</v>
      </c>
      <c r="J532" s="26" t="s">
        <v>14</v>
      </c>
      <c r="K532" s="26" t="s">
        <v>14</v>
      </c>
      <c r="L532" s="26" t="s">
        <v>14</v>
      </c>
      <c r="M532" s="98" t="s">
        <v>202</v>
      </c>
      <c r="N532" s="26">
        <v>2026</v>
      </c>
    </row>
    <row r="533" spans="1:14">
      <c r="A533" s="26">
        <v>532</v>
      </c>
      <c r="B533" s="26" t="s">
        <v>17</v>
      </c>
      <c r="C533" s="26" t="s">
        <v>90</v>
      </c>
      <c r="D533" s="26" t="s">
        <v>60</v>
      </c>
      <c r="E533" s="26" t="s">
        <v>20</v>
      </c>
      <c r="F533" s="26"/>
      <c r="G533" s="26" t="s">
        <v>21</v>
      </c>
      <c r="H533" s="26" t="s">
        <v>300</v>
      </c>
      <c r="I533" s="50">
        <v>16120</v>
      </c>
      <c r="J533" s="26" t="s">
        <v>14</v>
      </c>
      <c r="K533" s="26" t="s">
        <v>14</v>
      </c>
      <c r="L533" s="26" t="s">
        <v>14</v>
      </c>
      <c r="M533" s="98" t="s">
        <v>202</v>
      </c>
      <c r="N533" s="26">
        <v>2026</v>
      </c>
    </row>
    <row r="534" spans="1:14">
      <c r="A534" s="26">
        <v>533</v>
      </c>
      <c r="B534" s="149" t="s">
        <v>35</v>
      </c>
      <c r="C534" s="26" t="s">
        <v>38</v>
      </c>
      <c r="D534" s="26" t="s">
        <v>60</v>
      </c>
      <c r="E534" s="44" t="s">
        <v>20</v>
      </c>
      <c r="F534" s="26"/>
      <c r="G534" s="26" t="s">
        <v>21</v>
      </c>
      <c r="H534" s="26" t="s">
        <v>300</v>
      </c>
      <c r="I534" s="50">
        <v>15162</v>
      </c>
      <c r="J534" s="26" t="s">
        <v>14</v>
      </c>
      <c r="K534" s="26" t="s">
        <v>14</v>
      </c>
      <c r="L534" s="26" t="s">
        <v>14</v>
      </c>
      <c r="M534" s="98" t="s">
        <v>202</v>
      </c>
      <c r="N534" s="26">
        <v>2026</v>
      </c>
    </row>
    <row r="535" spans="1:14">
      <c r="A535" s="26">
        <v>534</v>
      </c>
      <c r="B535" s="44" t="s">
        <v>58</v>
      </c>
      <c r="C535" s="26" t="s">
        <v>59</v>
      </c>
      <c r="D535" s="26" t="s">
        <v>60</v>
      </c>
      <c r="E535" s="26" t="s">
        <v>20</v>
      </c>
      <c r="F535" s="26"/>
      <c r="G535" s="26" t="s">
        <v>21</v>
      </c>
      <c r="H535" s="149" t="s">
        <v>298</v>
      </c>
      <c r="I535" s="46">
        <v>9500</v>
      </c>
      <c r="J535" s="26" t="s">
        <v>14</v>
      </c>
      <c r="K535" s="26" t="s">
        <v>14</v>
      </c>
      <c r="L535" s="26" t="s">
        <v>14</v>
      </c>
      <c r="M535" s="98" t="s">
        <v>202</v>
      </c>
      <c r="N535" s="26">
        <v>2026</v>
      </c>
    </row>
    <row r="536" spans="1:14">
      <c r="A536" s="26">
        <v>535</v>
      </c>
      <c r="B536" s="26" t="s">
        <v>42</v>
      </c>
      <c r="C536" s="26" t="s">
        <v>296</v>
      </c>
      <c r="D536" s="26" t="s">
        <v>60</v>
      </c>
      <c r="E536" s="26" t="s">
        <v>20</v>
      </c>
      <c r="F536" s="26"/>
      <c r="G536" s="26" t="s">
        <v>21</v>
      </c>
      <c r="H536" s="26" t="s">
        <v>300</v>
      </c>
      <c r="I536" s="50">
        <v>3782</v>
      </c>
      <c r="J536" s="26" t="s">
        <v>14</v>
      </c>
      <c r="K536" s="26" t="s">
        <v>14</v>
      </c>
      <c r="L536" s="26" t="s">
        <v>14</v>
      </c>
      <c r="M536" s="98" t="s">
        <v>202</v>
      </c>
      <c r="N536" s="26">
        <v>2026</v>
      </c>
    </row>
    <row r="537" spans="1:14">
      <c r="A537" s="26">
        <v>536</v>
      </c>
      <c r="B537" s="26" t="s">
        <v>42</v>
      </c>
      <c r="C537" s="26" t="s">
        <v>72</v>
      </c>
      <c r="D537" s="26" t="s">
        <v>60</v>
      </c>
      <c r="E537" s="26" t="s">
        <v>20</v>
      </c>
      <c r="F537" s="26"/>
      <c r="G537" s="26" t="s">
        <v>21</v>
      </c>
      <c r="H537" s="26" t="s">
        <v>300</v>
      </c>
      <c r="I537" s="53">
        <v>2354</v>
      </c>
      <c r="J537" s="26" t="s">
        <v>14</v>
      </c>
      <c r="K537" s="26" t="s">
        <v>14</v>
      </c>
      <c r="L537" s="26" t="s">
        <v>14</v>
      </c>
      <c r="M537" s="98" t="s">
        <v>202</v>
      </c>
      <c r="N537" s="26">
        <v>2026</v>
      </c>
    </row>
    <row r="538" spans="1:14">
      <c r="A538" s="26">
        <v>537</v>
      </c>
      <c r="B538" s="26" t="s">
        <v>42</v>
      </c>
      <c r="C538" s="26" t="s">
        <v>51</v>
      </c>
      <c r="D538" s="26" t="s">
        <v>60</v>
      </c>
      <c r="E538" s="26" t="s">
        <v>20</v>
      </c>
      <c r="F538" s="26"/>
      <c r="G538" s="26" t="s">
        <v>21</v>
      </c>
      <c r="H538" s="26" t="s">
        <v>300</v>
      </c>
      <c r="I538" s="50">
        <v>2228</v>
      </c>
      <c r="J538" s="26" t="s">
        <v>14</v>
      </c>
      <c r="K538" s="26" t="s">
        <v>14</v>
      </c>
      <c r="L538" s="26" t="s">
        <v>14</v>
      </c>
      <c r="M538" s="98" t="s">
        <v>202</v>
      </c>
      <c r="N538" s="26">
        <v>2026</v>
      </c>
    </row>
    <row r="539" spans="1:14">
      <c r="A539" s="26">
        <v>538</v>
      </c>
      <c r="B539" s="26" t="s">
        <v>42</v>
      </c>
      <c r="C539" s="26" t="s">
        <v>46</v>
      </c>
      <c r="D539" s="26" t="s">
        <v>60</v>
      </c>
      <c r="E539" s="26" t="s">
        <v>20</v>
      </c>
      <c r="F539" s="26"/>
      <c r="G539" s="26" t="s">
        <v>21</v>
      </c>
      <c r="H539" s="26" t="s">
        <v>300</v>
      </c>
      <c r="I539" s="50">
        <v>1694</v>
      </c>
      <c r="J539" s="26" t="s">
        <v>14</v>
      </c>
      <c r="K539" s="26" t="s">
        <v>14</v>
      </c>
      <c r="L539" s="26" t="s">
        <v>14</v>
      </c>
      <c r="M539" s="98" t="s">
        <v>202</v>
      </c>
      <c r="N539" s="26">
        <v>2026</v>
      </c>
    </row>
    <row r="540" spans="1:14">
      <c r="A540" s="26">
        <v>539</v>
      </c>
      <c r="B540" s="149" t="s">
        <v>35</v>
      </c>
      <c r="C540" s="26" t="s">
        <v>41</v>
      </c>
      <c r="D540" s="26" t="s">
        <v>60</v>
      </c>
      <c r="E540" s="26" t="s">
        <v>20</v>
      </c>
      <c r="F540" s="26"/>
      <c r="G540" s="26" t="s">
        <v>21</v>
      </c>
      <c r="H540" s="26" t="s">
        <v>300</v>
      </c>
      <c r="I540" s="50">
        <v>215</v>
      </c>
      <c r="J540" s="26" t="s">
        <v>14</v>
      </c>
      <c r="K540" s="26" t="s">
        <v>14</v>
      </c>
      <c r="L540" s="26" t="s">
        <v>14</v>
      </c>
      <c r="M540" s="98" t="s">
        <v>202</v>
      </c>
      <c r="N540" s="26">
        <v>2026</v>
      </c>
    </row>
    <row r="541" spans="1:14">
      <c r="A541" s="26">
        <v>540</v>
      </c>
      <c r="B541" s="26" t="s">
        <v>52</v>
      </c>
      <c r="C541" s="26" t="s">
        <v>62</v>
      </c>
      <c r="D541" s="26" t="s">
        <v>60</v>
      </c>
      <c r="E541" s="26" t="s">
        <v>111</v>
      </c>
      <c r="F541" s="26"/>
      <c r="G541" s="26" t="s">
        <v>236</v>
      </c>
      <c r="H541" s="26" t="s">
        <v>112</v>
      </c>
      <c r="I541" s="53">
        <v>564239.24</v>
      </c>
      <c r="J541" s="26" t="s">
        <v>14</v>
      </c>
      <c r="K541" s="48" t="s">
        <v>14</v>
      </c>
      <c r="L541" s="26" t="s">
        <v>14</v>
      </c>
      <c r="M541" s="26" t="s">
        <v>202</v>
      </c>
      <c r="N541" s="26">
        <v>2026</v>
      </c>
    </row>
    <row r="542" spans="1:14">
      <c r="A542" s="26">
        <v>542</v>
      </c>
      <c r="B542" s="26" t="s">
        <v>54</v>
      </c>
      <c r="C542" s="26" t="s">
        <v>55</v>
      </c>
      <c r="D542" s="26" t="s">
        <v>19</v>
      </c>
      <c r="E542" s="26" t="s">
        <v>111</v>
      </c>
      <c r="F542" s="26"/>
      <c r="G542" s="26" t="s">
        <v>292</v>
      </c>
      <c r="H542" s="26" t="s">
        <v>112</v>
      </c>
      <c r="I542" s="53">
        <v>238369.09</v>
      </c>
      <c r="J542" s="26" t="s">
        <v>14</v>
      </c>
      <c r="K542" s="48" t="s">
        <v>14</v>
      </c>
      <c r="L542" s="26" t="s">
        <v>14</v>
      </c>
      <c r="M542" s="26" t="s">
        <v>202</v>
      </c>
      <c r="N542" s="26">
        <v>2026</v>
      </c>
    </row>
    <row r="543" spans="1:14">
      <c r="A543" s="26">
        <v>543</v>
      </c>
      <c r="B543" s="26" t="s">
        <v>42</v>
      </c>
      <c r="C543" s="26" t="s">
        <v>45</v>
      </c>
      <c r="D543" s="100" t="s">
        <v>19</v>
      </c>
      <c r="E543" s="26" t="s">
        <v>111</v>
      </c>
      <c r="F543" s="26"/>
      <c r="G543" s="26" t="s">
        <v>236</v>
      </c>
      <c r="H543" s="26" t="s">
        <v>112</v>
      </c>
      <c r="I543" s="53">
        <v>79296</v>
      </c>
      <c r="J543" s="26" t="s">
        <v>14</v>
      </c>
      <c r="K543" s="48" t="s">
        <v>14</v>
      </c>
      <c r="L543" s="26" t="s">
        <v>14</v>
      </c>
      <c r="M543" s="26" t="s">
        <v>202</v>
      </c>
      <c r="N543" s="26">
        <v>2026</v>
      </c>
    </row>
    <row r="544" spans="1:14">
      <c r="A544" s="26">
        <v>545</v>
      </c>
      <c r="B544" s="26" t="s">
        <v>52</v>
      </c>
      <c r="C544" s="26" t="s">
        <v>62</v>
      </c>
      <c r="D544" s="26" t="s">
        <v>19</v>
      </c>
      <c r="E544" s="26" t="s">
        <v>111</v>
      </c>
      <c r="F544" s="26"/>
      <c r="G544" s="26" t="s">
        <v>86</v>
      </c>
      <c r="H544" s="26" t="s">
        <v>294</v>
      </c>
      <c r="I544" s="53">
        <v>53520.6</v>
      </c>
      <c r="J544" s="26" t="s">
        <v>14</v>
      </c>
      <c r="K544" s="48" t="s">
        <v>14</v>
      </c>
      <c r="L544" s="26" t="s">
        <v>14</v>
      </c>
      <c r="M544" s="26" t="s">
        <v>202</v>
      </c>
      <c r="N544" s="26">
        <v>2026</v>
      </c>
    </row>
    <row r="545" spans="1:14">
      <c r="A545" s="26">
        <v>546</v>
      </c>
      <c r="B545" s="26" t="s">
        <v>52</v>
      </c>
      <c r="C545" s="26" t="s">
        <v>62</v>
      </c>
      <c r="D545" s="26" t="s">
        <v>19</v>
      </c>
      <c r="E545" s="26" t="s">
        <v>111</v>
      </c>
      <c r="F545" s="26"/>
      <c r="G545" s="26" t="s">
        <v>87</v>
      </c>
      <c r="H545" s="26" t="s">
        <v>294</v>
      </c>
      <c r="I545" s="53">
        <v>49531.8</v>
      </c>
      <c r="J545" s="26" t="s">
        <v>14</v>
      </c>
      <c r="K545" s="48" t="s">
        <v>14</v>
      </c>
      <c r="L545" s="26" t="s">
        <v>14</v>
      </c>
      <c r="M545" s="26" t="s">
        <v>202</v>
      </c>
      <c r="N545" s="26">
        <v>2026</v>
      </c>
    </row>
    <row r="546" spans="1:14">
      <c r="A546" s="26">
        <v>547</v>
      </c>
      <c r="B546" s="26" t="s">
        <v>42</v>
      </c>
      <c r="C546" s="26" t="s">
        <v>44</v>
      </c>
      <c r="D546" s="100" t="s">
        <v>19</v>
      </c>
      <c r="E546" s="26" t="s">
        <v>111</v>
      </c>
      <c r="F546" s="26"/>
      <c r="G546" s="26" t="s">
        <v>293</v>
      </c>
      <c r="H546" s="26" t="s">
        <v>112</v>
      </c>
      <c r="I546" s="53">
        <v>47328.859060402683</v>
      </c>
      <c r="J546" s="26" t="s">
        <v>14</v>
      </c>
      <c r="K546" s="48" t="s">
        <v>14</v>
      </c>
      <c r="L546" s="26" t="s">
        <v>14</v>
      </c>
      <c r="M546" s="26" t="s">
        <v>202</v>
      </c>
      <c r="N546" s="26">
        <v>2026</v>
      </c>
    </row>
    <row r="547" spans="1:14">
      <c r="A547" s="26">
        <v>548</v>
      </c>
      <c r="B547" s="26" t="s">
        <v>17</v>
      </c>
      <c r="C547" s="26" t="s">
        <v>25</v>
      </c>
      <c r="D547" s="26" t="s">
        <v>19</v>
      </c>
      <c r="E547" s="26" t="s">
        <v>111</v>
      </c>
      <c r="F547" s="26"/>
      <c r="G547" s="26" t="s">
        <v>703</v>
      </c>
      <c r="H547" s="26" t="s">
        <v>294</v>
      </c>
      <c r="I547" s="53">
        <v>6551.0067114093963</v>
      </c>
      <c r="J547" s="26" t="s">
        <v>14</v>
      </c>
      <c r="K547" s="48" t="s">
        <v>14</v>
      </c>
      <c r="L547" s="26" t="s">
        <v>14</v>
      </c>
      <c r="M547" s="26" t="s">
        <v>202</v>
      </c>
      <c r="N547" s="26">
        <v>2026</v>
      </c>
    </row>
    <row r="548" spans="1:14">
      <c r="A548" s="26">
        <v>549</v>
      </c>
      <c r="B548" s="26" t="s">
        <v>271</v>
      </c>
      <c r="C548" s="48" t="s">
        <v>272</v>
      </c>
      <c r="D548" s="26" t="s">
        <v>60</v>
      </c>
      <c r="E548" s="26" t="s">
        <v>111</v>
      </c>
      <c r="F548" s="26"/>
      <c r="G548" s="26" t="s">
        <v>64</v>
      </c>
      <c r="H548" s="49" t="s">
        <v>353</v>
      </c>
      <c r="I548" s="50">
        <v>377.18120805369125</v>
      </c>
      <c r="J548" s="26">
        <v>163</v>
      </c>
      <c r="K548" s="48" t="s">
        <v>363</v>
      </c>
      <c r="L548" s="67" t="s">
        <v>14</v>
      </c>
      <c r="M548" s="98" t="s">
        <v>202</v>
      </c>
      <c r="N548" s="26">
        <v>2026</v>
      </c>
    </row>
    <row r="549" spans="1:14">
      <c r="A549" s="26">
        <v>550</v>
      </c>
      <c r="B549" s="26" t="s">
        <v>17</v>
      </c>
      <c r="C549" s="26" t="s">
        <v>25</v>
      </c>
      <c r="D549" s="100" t="s">
        <v>19</v>
      </c>
      <c r="E549" s="26" t="s">
        <v>107</v>
      </c>
      <c r="F549" s="26"/>
      <c r="G549" s="26" t="s">
        <v>86</v>
      </c>
      <c r="H549" s="26" t="s">
        <v>108</v>
      </c>
      <c r="I549" s="53">
        <v>15330.20134228188</v>
      </c>
      <c r="J549" s="26" t="s">
        <v>14</v>
      </c>
      <c r="K549" s="48" t="s">
        <v>14</v>
      </c>
      <c r="L549" s="26" t="s">
        <v>14</v>
      </c>
      <c r="M549" s="26" t="s">
        <v>202</v>
      </c>
      <c r="N549" s="26">
        <v>2026</v>
      </c>
    </row>
    <row r="550" spans="1:14">
      <c r="A550" s="26">
        <v>551</v>
      </c>
      <c r="B550" s="26" t="s">
        <v>17</v>
      </c>
      <c r="C550" s="26" t="s">
        <v>22</v>
      </c>
      <c r="D550" s="100" t="s">
        <v>19</v>
      </c>
      <c r="E550" s="26" t="s">
        <v>107</v>
      </c>
      <c r="F550" s="26"/>
      <c r="G550" s="26" t="s">
        <v>86</v>
      </c>
      <c r="H550" s="26" t="s">
        <v>108</v>
      </c>
      <c r="I550" s="53">
        <v>5907.3825503355702</v>
      </c>
      <c r="J550" s="26" t="s">
        <v>14</v>
      </c>
      <c r="K550" s="48" t="s">
        <v>14</v>
      </c>
      <c r="L550" s="26" t="s">
        <v>14</v>
      </c>
      <c r="M550" s="26" t="s">
        <v>202</v>
      </c>
      <c r="N550" s="26">
        <v>2026</v>
      </c>
    </row>
    <row r="551" spans="1:14">
      <c r="A551" s="26">
        <v>552</v>
      </c>
      <c r="B551" s="26" t="s">
        <v>58</v>
      </c>
      <c r="C551" s="26" t="s">
        <v>59</v>
      </c>
      <c r="D551" s="26" t="s">
        <v>60</v>
      </c>
      <c r="E551" s="26" t="s">
        <v>76</v>
      </c>
      <c r="F551" s="26"/>
      <c r="G551" s="26" t="s">
        <v>64</v>
      </c>
      <c r="H551" s="49" t="s">
        <v>339</v>
      </c>
      <c r="I551" s="50">
        <v>2979.8657718120803</v>
      </c>
      <c r="J551" s="26" t="s">
        <v>67</v>
      </c>
      <c r="K551" s="48">
        <v>46114</v>
      </c>
      <c r="L551" s="67" t="s">
        <v>14</v>
      </c>
      <c r="M551" s="98" t="s">
        <v>202</v>
      </c>
      <c r="N551" s="26">
        <v>2026</v>
      </c>
    </row>
    <row r="552" spans="1:14">
      <c r="A552" s="26">
        <v>553</v>
      </c>
      <c r="B552" s="26" t="s">
        <v>42</v>
      </c>
      <c r="C552" s="26" t="s">
        <v>45</v>
      </c>
      <c r="D552" s="100" t="s">
        <v>19</v>
      </c>
      <c r="E552" s="26" t="s">
        <v>107</v>
      </c>
      <c r="F552" s="26"/>
      <c r="G552" s="26" t="s">
        <v>91</v>
      </c>
      <c r="H552" s="26" t="s">
        <v>108</v>
      </c>
      <c r="I552" s="53">
        <v>2620.6896551724139</v>
      </c>
      <c r="J552" s="26" t="s">
        <v>14</v>
      </c>
      <c r="K552" s="48" t="s">
        <v>14</v>
      </c>
      <c r="L552" s="26" t="s">
        <v>14</v>
      </c>
      <c r="M552" s="26" t="s">
        <v>202</v>
      </c>
      <c r="N552" s="26">
        <v>2026</v>
      </c>
    </row>
    <row r="553" spans="1:14">
      <c r="A553" s="26">
        <v>554</v>
      </c>
      <c r="B553" s="26" t="s">
        <v>58</v>
      </c>
      <c r="C553" s="48" t="s">
        <v>59</v>
      </c>
      <c r="D553" s="26" t="s">
        <v>60</v>
      </c>
      <c r="E553" s="26" t="s">
        <v>76</v>
      </c>
      <c r="F553" s="26"/>
      <c r="G553" s="26" t="s">
        <v>64</v>
      </c>
      <c r="H553" s="49" t="s">
        <v>340</v>
      </c>
      <c r="I553" s="50">
        <v>1006.7114093959732</v>
      </c>
      <c r="J553" s="26" t="s">
        <v>67</v>
      </c>
      <c r="K553" s="48" t="s">
        <v>375</v>
      </c>
      <c r="L553" s="67" t="s">
        <v>14</v>
      </c>
      <c r="M553" s="98" t="s">
        <v>202</v>
      </c>
      <c r="N553" s="26">
        <v>2026</v>
      </c>
    </row>
    <row r="554" spans="1:14">
      <c r="A554" s="26">
        <v>555</v>
      </c>
      <c r="B554" s="26" t="s">
        <v>17</v>
      </c>
      <c r="C554" s="26" t="s">
        <v>24</v>
      </c>
      <c r="D554" s="100" t="s">
        <v>19</v>
      </c>
      <c r="E554" s="57" t="s">
        <v>107</v>
      </c>
      <c r="F554" s="26"/>
      <c r="G554" s="26" t="s">
        <v>86</v>
      </c>
      <c r="H554" s="26" t="s">
        <v>108</v>
      </c>
      <c r="I554" s="53">
        <v>797.31543624161077</v>
      </c>
      <c r="J554" s="26" t="s">
        <v>14</v>
      </c>
      <c r="K554" s="48" t="s">
        <v>14</v>
      </c>
      <c r="L554" s="26" t="s">
        <v>14</v>
      </c>
      <c r="M554" s="26" t="s">
        <v>202</v>
      </c>
      <c r="N554" s="26">
        <v>2026</v>
      </c>
    </row>
    <row r="555" spans="1:14">
      <c r="A555" s="26">
        <v>556</v>
      </c>
      <c r="B555" s="26" t="s">
        <v>58</v>
      </c>
      <c r="C555" s="26" t="s">
        <v>59</v>
      </c>
      <c r="D555" s="26" t="s">
        <v>60</v>
      </c>
      <c r="E555" s="26" t="s">
        <v>76</v>
      </c>
      <c r="F555" s="26"/>
      <c r="G555" s="26" t="s">
        <v>64</v>
      </c>
      <c r="H555" s="26" t="s">
        <v>338</v>
      </c>
      <c r="I555" s="50">
        <v>402.68456375838929</v>
      </c>
      <c r="J555" s="26" t="s">
        <v>67</v>
      </c>
      <c r="K555" s="48" t="s">
        <v>374</v>
      </c>
      <c r="L555" s="67" t="s">
        <v>14</v>
      </c>
      <c r="M555" s="98" t="s">
        <v>202</v>
      </c>
      <c r="N555" s="26">
        <v>2026</v>
      </c>
    </row>
    <row r="556" spans="1:14">
      <c r="A556" s="26">
        <v>557</v>
      </c>
      <c r="B556" s="26" t="s">
        <v>58</v>
      </c>
      <c r="C556" s="26" t="s">
        <v>59</v>
      </c>
      <c r="D556" s="26" t="s">
        <v>60</v>
      </c>
      <c r="E556" s="26" t="s">
        <v>76</v>
      </c>
      <c r="F556" s="26"/>
      <c r="G556" s="26" t="s">
        <v>64</v>
      </c>
      <c r="H556" s="26" t="s">
        <v>341</v>
      </c>
      <c r="I556" s="50">
        <v>151.00671140939596</v>
      </c>
      <c r="J556" s="26">
        <v>2353</v>
      </c>
      <c r="K556" s="48" t="s">
        <v>367</v>
      </c>
      <c r="L556" s="67" t="s">
        <v>14</v>
      </c>
      <c r="M556" s="98" t="s">
        <v>202</v>
      </c>
      <c r="N556" s="26">
        <v>2026</v>
      </c>
    </row>
    <row r="557" spans="1:14">
      <c r="A557" s="26">
        <v>558</v>
      </c>
      <c r="B557" s="26" t="s">
        <v>52</v>
      </c>
      <c r="C557" s="100" t="s">
        <v>62</v>
      </c>
      <c r="D557" s="100" t="s">
        <v>19</v>
      </c>
      <c r="E557" s="26" t="s">
        <v>79</v>
      </c>
      <c r="F557" s="26"/>
      <c r="G557" s="26" t="s">
        <v>88</v>
      </c>
      <c r="H557" s="26" t="s">
        <v>742</v>
      </c>
      <c r="I557" s="53">
        <v>160020.30201342283</v>
      </c>
      <c r="J557" s="26" t="s">
        <v>14</v>
      </c>
      <c r="K557" s="48" t="s">
        <v>14</v>
      </c>
      <c r="L557" s="26" t="s">
        <v>14</v>
      </c>
      <c r="M557" s="26" t="s">
        <v>202</v>
      </c>
      <c r="N557" s="26">
        <v>2026</v>
      </c>
    </row>
    <row r="558" spans="1:14">
      <c r="A558" s="26">
        <v>559</v>
      </c>
      <c r="B558" s="26" t="s">
        <v>52</v>
      </c>
      <c r="C558" s="76" t="s">
        <v>62</v>
      </c>
      <c r="D558" s="100" t="s">
        <v>19</v>
      </c>
      <c r="E558" s="26" t="s">
        <v>79</v>
      </c>
      <c r="F558" s="26"/>
      <c r="G558" s="26" t="s">
        <v>88</v>
      </c>
      <c r="H558" s="26" t="s">
        <v>743</v>
      </c>
      <c r="I558" s="53">
        <v>61320.80536912752</v>
      </c>
      <c r="J558" s="26" t="s">
        <v>14</v>
      </c>
      <c r="K558" s="48" t="s">
        <v>14</v>
      </c>
      <c r="L558" s="26" t="s">
        <v>14</v>
      </c>
      <c r="M558" s="26" t="s">
        <v>202</v>
      </c>
      <c r="N558" s="26">
        <v>2026</v>
      </c>
    </row>
    <row r="559" spans="1:14">
      <c r="A559" s="26">
        <v>560</v>
      </c>
      <c r="B559" s="26" t="s">
        <v>42</v>
      </c>
      <c r="C559" s="26" t="s">
        <v>257</v>
      </c>
      <c r="D559" s="100" t="s">
        <v>60</v>
      </c>
      <c r="E559" s="26" t="s">
        <v>79</v>
      </c>
      <c r="F559" s="26"/>
      <c r="G559" s="26" t="s">
        <v>711</v>
      </c>
      <c r="H559" s="26" t="s">
        <v>284</v>
      </c>
      <c r="I559" s="53">
        <v>26000</v>
      </c>
      <c r="J559" s="26" t="s">
        <v>735</v>
      </c>
      <c r="K559" s="48">
        <v>46050</v>
      </c>
      <c r="L559" s="26">
        <v>2026400655</v>
      </c>
      <c r="M559" s="26" t="s">
        <v>202</v>
      </c>
      <c r="N559" s="26">
        <v>2026</v>
      </c>
    </row>
    <row r="560" spans="1:14">
      <c r="A560" s="26">
        <v>561</v>
      </c>
      <c r="B560" s="26" t="s">
        <v>17</v>
      </c>
      <c r="C560" s="26" t="s">
        <v>22</v>
      </c>
      <c r="D560" s="100" t="s">
        <v>19</v>
      </c>
      <c r="E560" s="26" t="s">
        <v>79</v>
      </c>
      <c r="F560" s="26"/>
      <c r="G560" s="26" t="s">
        <v>88</v>
      </c>
      <c r="H560" s="26" t="s">
        <v>283</v>
      </c>
      <c r="I560" s="53">
        <v>23629.167785234898</v>
      </c>
      <c r="J560" s="26" t="s">
        <v>14</v>
      </c>
      <c r="K560" s="48" t="s">
        <v>14</v>
      </c>
      <c r="L560" s="26" t="s">
        <v>14</v>
      </c>
      <c r="M560" s="26" t="s">
        <v>202</v>
      </c>
      <c r="N560" s="26">
        <v>2026</v>
      </c>
    </row>
    <row r="561" spans="1:14">
      <c r="A561" s="26">
        <v>562</v>
      </c>
      <c r="B561" s="45" t="s">
        <v>17</v>
      </c>
      <c r="C561" s="26" t="s">
        <v>18</v>
      </c>
      <c r="D561" s="100" t="s">
        <v>19</v>
      </c>
      <c r="E561" s="26" t="s">
        <v>79</v>
      </c>
      <c r="F561" s="26"/>
      <c r="G561" s="45" t="s">
        <v>88</v>
      </c>
      <c r="H561" s="45" t="s">
        <v>283</v>
      </c>
      <c r="I561" s="53">
        <v>17613.422818791947</v>
      </c>
      <c r="J561" s="26" t="s">
        <v>14</v>
      </c>
      <c r="K561" s="48" t="s">
        <v>14</v>
      </c>
      <c r="L561" s="26" t="s">
        <v>14</v>
      </c>
      <c r="M561" s="26" t="s">
        <v>202</v>
      </c>
      <c r="N561" s="26">
        <v>2026</v>
      </c>
    </row>
    <row r="562" spans="1:14">
      <c r="A562" s="26">
        <v>563</v>
      </c>
      <c r="B562" s="26" t="s">
        <v>52</v>
      </c>
      <c r="C562" s="26" t="s">
        <v>62</v>
      </c>
      <c r="D562" s="100" t="s">
        <v>19</v>
      </c>
      <c r="E562" s="26" t="s">
        <v>79</v>
      </c>
      <c r="F562" s="26"/>
      <c r="G562" s="26" t="s">
        <v>88</v>
      </c>
      <c r="H562" s="26" t="s">
        <v>704</v>
      </c>
      <c r="I562" s="53">
        <v>11872.75167785235</v>
      </c>
      <c r="J562" s="26" t="s">
        <v>14</v>
      </c>
      <c r="K562" s="48" t="s">
        <v>14</v>
      </c>
      <c r="L562" s="26" t="s">
        <v>14</v>
      </c>
      <c r="M562" s="26" t="s">
        <v>202</v>
      </c>
      <c r="N562" s="26">
        <v>2026</v>
      </c>
    </row>
    <row r="563" spans="1:14">
      <c r="A563" s="26">
        <v>564</v>
      </c>
      <c r="B563" s="26" t="s">
        <v>33</v>
      </c>
      <c r="C563" s="26" t="s">
        <v>34</v>
      </c>
      <c r="D563" s="100" t="s">
        <v>19</v>
      </c>
      <c r="E563" s="26" t="s">
        <v>79</v>
      </c>
      <c r="F563" s="26"/>
      <c r="G563" s="26" t="s">
        <v>268</v>
      </c>
      <c r="H563" s="26" t="s">
        <v>741</v>
      </c>
      <c r="I563" s="53">
        <v>10354.223433242507</v>
      </c>
      <c r="J563" s="26" t="s">
        <v>14</v>
      </c>
      <c r="K563" s="48" t="s">
        <v>14</v>
      </c>
      <c r="L563" s="26" t="s">
        <v>14</v>
      </c>
      <c r="M563" s="26" t="s">
        <v>202</v>
      </c>
      <c r="N563" s="26">
        <v>2026</v>
      </c>
    </row>
    <row r="564" spans="1:14">
      <c r="A564" s="26">
        <v>565</v>
      </c>
      <c r="B564" s="45" t="s">
        <v>42</v>
      </c>
      <c r="C564" s="26" t="s">
        <v>257</v>
      </c>
      <c r="D564" s="100" t="s">
        <v>19</v>
      </c>
      <c r="E564" s="26" t="s">
        <v>79</v>
      </c>
      <c r="F564" s="26"/>
      <c r="G564" s="45" t="s">
        <v>88</v>
      </c>
      <c r="H564" s="45" t="s">
        <v>283</v>
      </c>
      <c r="I564" s="53">
        <v>9002.4161073825508</v>
      </c>
      <c r="J564" s="26" t="s">
        <v>14</v>
      </c>
      <c r="K564" s="48" t="s">
        <v>14</v>
      </c>
      <c r="L564" s="26" t="s">
        <v>14</v>
      </c>
      <c r="M564" s="26" t="s">
        <v>202</v>
      </c>
      <c r="N564" s="26">
        <v>2026</v>
      </c>
    </row>
    <row r="565" spans="1:14">
      <c r="A565" s="26">
        <v>566</v>
      </c>
      <c r="B565" s="45" t="s">
        <v>17</v>
      </c>
      <c r="C565" s="26" t="s">
        <v>25</v>
      </c>
      <c r="D565" s="100" t="s">
        <v>19</v>
      </c>
      <c r="E565" s="26" t="s">
        <v>79</v>
      </c>
      <c r="F565" s="26"/>
      <c r="G565" s="45" t="s">
        <v>88</v>
      </c>
      <c r="H565" s="45" t="s">
        <v>283</v>
      </c>
      <c r="I565" s="53">
        <v>7991.2751677852348</v>
      </c>
      <c r="J565" s="26" t="s">
        <v>14</v>
      </c>
      <c r="K565" s="48" t="s">
        <v>14</v>
      </c>
      <c r="L565" s="26" t="s">
        <v>14</v>
      </c>
      <c r="M565" s="26" t="s">
        <v>202</v>
      </c>
      <c r="N565" s="26">
        <v>2026</v>
      </c>
    </row>
    <row r="566" spans="1:14">
      <c r="A566" s="26">
        <v>567</v>
      </c>
      <c r="B566" s="26" t="s">
        <v>42</v>
      </c>
      <c r="C566" s="26" t="s">
        <v>257</v>
      </c>
      <c r="D566" s="26" t="s">
        <v>60</v>
      </c>
      <c r="E566" s="26" t="s">
        <v>79</v>
      </c>
      <c r="F566" s="26"/>
      <c r="G566" s="26" t="s">
        <v>254</v>
      </c>
      <c r="H566" s="26" t="s">
        <v>284</v>
      </c>
      <c r="I566" s="53">
        <v>6880.5369127516778</v>
      </c>
      <c r="J566" s="26" t="s">
        <v>712</v>
      </c>
      <c r="K566" s="48">
        <v>46076</v>
      </c>
      <c r="L566" s="26">
        <v>2026400696</v>
      </c>
      <c r="M566" s="98" t="s">
        <v>202</v>
      </c>
      <c r="N566" s="26">
        <v>2026</v>
      </c>
    </row>
    <row r="567" spans="1:14">
      <c r="A567" s="26">
        <v>568</v>
      </c>
      <c r="B567" s="26" t="s">
        <v>35</v>
      </c>
      <c r="C567" s="26" t="s">
        <v>37</v>
      </c>
      <c r="D567" s="100" t="s">
        <v>60</v>
      </c>
      <c r="E567" s="26" t="s">
        <v>79</v>
      </c>
      <c r="F567" s="26"/>
      <c r="G567" s="26" t="s">
        <v>190</v>
      </c>
      <c r="H567" s="26" t="s">
        <v>284</v>
      </c>
      <c r="I567" s="53">
        <v>6250</v>
      </c>
      <c r="J567" s="26" t="s">
        <v>733</v>
      </c>
      <c r="K567" s="48">
        <v>46059</v>
      </c>
      <c r="L567" s="26">
        <v>2026400362</v>
      </c>
      <c r="M567" s="26" t="s">
        <v>202</v>
      </c>
      <c r="N567" s="26">
        <v>2026</v>
      </c>
    </row>
    <row r="568" spans="1:14">
      <c r="A568" s="26">
        <v>569</v>
      </c>
      <c r="B568" s="26" t="s">
        <v>35</v>
      </c>
      <c r="C568" s="76" t="s">
        <v>36</v>
      </c>
      <c r="D568" s="100" t="s">
        <v>19</v>
      </c>
      <c r="E568" s="26" t="s">
        <v>79</v>
      </c>
      <c r="F568" s="26"/>
      <c r="G568" s="26" t="s">
        <v>88</v>
      </c>
      <c r="H568" s="26" t="s">
        <v>283</v>
      </c>
      <c r="I568" s="53">
        <v>5391.6644295302012</v>
      </c>
      <c r="J568" s="26" t="s">
        <v>14</v>
      </c>
      <c r="K568" s="48" t="s">
        <v>14</v>
      </c>
      <c r="L568" s="26" t="s">
        <v>14</v>
      </c>
      <c r="M568" s="26" t="s">
        <v>202</v>
      </c>
      <c r="N568" s="26">
        <v>2026</v>
      </c>
    </row>
    <row r="569" spans="1:14">
      <c r="A569" s="26">
        <v>570</v>
      </c>
      <c r="B569" s="26" t="s">
        <v>35</v>
      </c>
      <c r="C569" s="26" t="s">
        <v>37</v>
      </c>
      <c r="D569" s="100" t="s">
        <v>19</v>
      </c>
      <c r="E569" s="26" t="s">
        <v>79</v>
      </c>
      <c r="F569" s="26"/>
      <c r="G569" s="26" t="s">
        <v>88</v>
      </c>
      <c r="H569" s="26" t="s">
        <v>283</v>
      </c>
      <c r="I569" s="53">
        <v>5039.3959731543628</v>
      </c>
      <c r="J569" s="26" t="s">
        <v>14</v>
      </c>
      <c r="K569" s="48" t="s">
        <v>14</v>
      </c>
      <c r="L569" s="26" t="s">
        <v>14</v>
      </c>
      <c r="M569" s="26" t="s">
        <v>202</v>
      </c>
      <c r="N569" s="26">
        <v>2026</v>
      </c>
    </row>
    <row r="570" spans="1:14">
      <c r="A570" s="26">
        <v>571</v>
      </c>
      <c r="B570" s="26" t="s">
        <v>52</v>
      </c>
      <c r="C570" s="76" t="s">
        <v>62</v>
      </c>
      <c r="D570" s="100" t="s">
        <v>60</v>
      </c>
      <c r="E570" s="26" t="s">
        <v>79</v>
      </c>
      <c r="F570" s="26"/>
      <c r="G570" s="26" t="s">
        <v>259</v>
      </c>
      <c r="H570" s="26" t="s">
        <v>284</v>
      </c>
      <c r="I570" s="53">
        <v>4500</v>
      </c>
      <c r="J570" s="26" t="s">
        <v>739</v>
      </c>
      <c r="K570" s="48">
        <v>46067</v>
      </c>
      <c r="L570" s="26">
        <v>2026400880</v>
      </c>
      <c r="M570" s="26" t="s">
        <v>202</v>
      </c>
      <c r="N570" s="26">
        <v>2026</v>
      </c>
    </row>
    <row r="571" spans="1:14">
      <c r="A571" s="26">
        <v>572</v>
      </c>
      <c r="B571" s="26" t="s">
        <v>54</v>
      </c>
      <c r="C571" s="26" t="s">
        <v>55</v>
      </c>
      <c r="D571" s="26" t="s">
        <v>60</v>
      </c>
      <c r="E571" s="26" t="s">
        <v>79</v>
      </c>
      <c r="F571" s="26"/>
      <c r="G571" s="26" t="s">
        <v>110</v>
      </c>
      <c r="H571" s="26" t="s">
        <v>284</v>
      </c>
      <c r="I571" s="53">
        <v>4372.1476510067114</v>
      </c>
      <c r="J571" s="26" t="s">
        <v>713</v>
      </c>
      <c r="K571" s="48">
        <v>46064</v>
      </c>
      <c r="L571" s="26">
        <v>2026400584</v>
      </c>
      <c r="M571" s="98" t="s">
        <v>202</v>
      </c>
      <c r="N571" s="26">
        <v>2026</v>
      </c>
    </row>
    <row r="572" spans="1:14">
      <c r="A572" s="26">
        <v>573</v>
      </c>
      <c r="B572" s="26" t="s">
        <v>54</v>
      </c>
      <c r="C572" s="26" t="s">
        <v>93</v>
      </c>
      <c r="D572" s="100" t="s">
        <v>60</v>
      </c>
      <c r="E572" s="26" t="s">
        <v>79</v>
      </c>
      <c r="F572" s="26"/>
      <c r="G572" s="26" t="s">
        <v>295</v>
      </c>
      <c r="H572" s="26" t="s">
        <v>284</v>
      </c>
      <c r="I572" s="53">
        <v>2730</v>
      </c>
      <c r="J572" s="26" t="s">
        <v>736</v>
      </c>
      <c r="K572" s="48">
        <v>46048</v>
      </c>
      <c r="L572" s="26">
        <v>2026400555</v>
      </c>
      <c r="M572" s="26" t="s">
        <v>202</v>
      </c>
      <c r="N572" s="26">
        <v>2026</v>
      </c>
    </row>
    <row r="573" spans="1:14">
      <c r="A573" s="26">
        <v>574</v>
      </c>
      <c r="B573" s="26" t="s">
        <v>42</v>
      </c>
      <c r="C573" s="26" t="s">
        <v>50</v>
      </c>
      <c r="D573" s="26" t="s">
        <v>60</v>
      </c>
      <c r="E573" s="26" t="s">
        <v>79</v>
      </c>
      <c r="F573" s="26"/>
      <c r="G573" s="26" t="s">
        <v>254</v>
      </c>
      <c r="H573" s="26" t="s">
        <v>284</v>
      </c>
      <c r="I573" s="53">
        <v>2697.9865771812078</v>
      </c>
      <c r="J573" s="26" t="s">
        <v>714</v>
      </c>
      <c r="K573" s="48">
        <v>46063</v>
      </c>
      <c r="L573" s="26">
        <v>2026400586</v>
      </c>
      <c r="M573" s="98" t="s">
        <v>202</v>
      </c>
      <c r="N573" s="26">
        <v>2026</v>
      </c>
    </row>
    <row r="574" spans="1:14">
      <c r="A574" s="26">
        <v>575</v>
      </c>
      <c r="B574" s="26" t="s">
        <v>17</v>
      </c>
      <c r="C574" s="100" t="s">
        <v>24</v>
      </c>
      <c r="D574" s="100" t="s">
        <v>60</v>
      </c>
      <c r="E574" s="26" t="s">
        <v>79</v>
      </c>
      <c r="F574" s="26"/>
      <c r="G574" s="26" t="s">
        <v>190</v>
      </c>
      <c r="H574" s="26" t="s">
        <v>284</v>
      </c>
      <c r="I574" s="53">
        <v>2650</v>
      </c>
      <c r="J574" s="26" t="s">
        <v>732</v>
      </c>
      <c r="K574" s="48">
        <v>46055</v>
      </c>
      <c r="L574" s="26">
        <v>2026400308</v>
      </c>
      <c r="M574" s="26" t="s">
        <v>202</v>
      </c>
      <c r="N574" s="26">
        <v>2026</v>
      </c>
    </row>
    <row r="575" spans="1:14">
      <c r="A575" s="26">
        <v>576</v>
      </c>
      <c r="B575" s="26" t="s">
        <v>54</v>
      </c>
      <c r="C575" s="26" t="s">
        <v>55</v>
      </c>
      <c r="D575" s="26" t="s">
        <v>60</v>
      </c>
      <c r="E575" s="26" t="s">
        <v>79</v>
      </c>
      <c r="F575" s="26"/>
      <c r="G575" s="26" t="s">
        <v>110</v>
      </c>
      <c r="H575" s="26" t="s">
        <v>284</v>
      </c>
      <c r="I575" s="53">
        <v>2587.4161073825503</v>
      </c>
      <c r="J575" s="26" t="s">
        <v>715</v>
      </c>
      <c r="K575" s="48">
        <v>46047</v>
      </c>
      <c r="L575" s="26">
        <v>2026400584</v>
      </c>
      <c r="M575" s="98" t="s">
        <v>202</v>
      </c>
      <c r="N575" s="26">
        <v>2026</v>
      </c>
    </row>
    <row r="576" spans="1:14">
      <c r="A576" s="26">
        <v>577</v>
      </c>
      <c r="B576" s="26" t="s">
        <v>58</v>
      </c>
      <c r="C576" s="48" t="s">
        <v>59</v>
      </c>
      <c r="D576" s="26" t="s">
        <v>60</v>
      </c>
      <c r="E576" s="26" t="s">
        <v>79</v>
      </c>
      <c r="F576" s="26"/>
      <c r="G576" s="26" t="s">
        <v>64</v>
      </c>
      <c r="H576" s="49" t="s">
        <v>253</v>
      </c>
      <c r="I576" s="50">
        <v>2439.5973154362414</v>
      </c>
      <c r="J576" s="26" t="s">
        <v>67</v>
      </c>
      <c r="K576" s="48" t="s">
        <v>374</v>
      </c>
      <c r="L576" s="67" t="s">
        <v>14</v>
      </c>
      <c r="M576" s="98" t="s">
        <v>202</v>
      </c>
      <c r="N576" s="26">
        <v>2026</v>
      </c>
    </row>
    <row r="577" spans="1:14">
      <c r="A577" s="26">
        <v>578</v>
      </c>
      <c r="B577" s="26" t="s">
        <v>42</v>
      </c>
      <c r="C577" s="48" t="s">
        <v>50</v>
      </c>
      <c r="D577" s="26" t="s">
        <v>60</v>
      </c>
      <c r="E577" s="26" t="s">
        <v>79</v>
      </c>
      <c r="F577" s="26"/>
      <c r="G577" s="26" t="s">
        <v>64</v>
      </c>
      <c r="H577" s="49" t="s">
        <v>350</v>
      </c>
      <c r="I577" s="50">
        <v>2080.5369127516778</v>
      </c>
      <c r="J577" s="26">
        <v>23798</v>
      </c>
      <c r="K577" s="48" t="s">
        <v>364</v>
      </c>
      <c r="L577" s="67" t="s">
        <v>14</v>
      </c>
      <c r="M577" s="98" t="s">
        <v>202</v>
      </c>
      <c r="N577" s="26">
        <v>2026</v>
      </c>
    </row>
    <row r="578" spans="1:14">
      <c r="A578" s="26">
        <v>579</v>
      </c>
      <c r="B578" s="26" t="s">
        <v>42</v>
      </c>
      <c r="C578" s="26" t="s">
        <v>44</v>
      </c>
      <c r="D578" s="26" t="s">
        <v>60</v>
      </c>
      <c r="E578" s="26" t="s">
        <v>79</v>
      </c>
      <c r="F578" s="26"/>
      <c r="G578" s="26" t="s">
        <v>707</v>
      </c>
      <c r="H578" s="26" t="s">
        <v>284</v>
      </c>
      <c r="I578" s="53">
        <v>2013.4228187919464</v>
      </c>
      <c r="J578" s="26" t="s">
        <v>67</v>
      </c>
      <c r="K578" s="48">
        <v>46083</v>
      </c>
      <c r="L578" s="26">
        <v>2026400544</v>
      </c>
      <c r="M578" s="98" t="s">
        <v>202</v>
      </c>
      <c r="N578" s="26">
        <v>2026</v>
      </c>
    </row>
    <row r="579" spans="1:14">
      <c r="A579" s="26">
        <v>580</v>
      </c>
      <c r="B579" s="26" t="s">
        <v>58</v>
      </c>
      <c r="C579" s="26" t="s">
        <v>59</v>
      </c>
      <c r="D579" s="100" t="s">
        <v>60</v>
      </c>
      <c r="E579" s="26" t="s">
        <v>79</v>
      </c>
      <c r="F579" s="26"/>
      <c r="G579" s="26" t="s">
        <v>710</v>
      </c>
      <c r="H579" s="26" t="s">
        <v>284</v>
      </c>
      <c r="I579" s="53">
        <v>1838.77</v>
      </c>
      <c r="J579" s="26" t="s">
        <v>734</v>
      </c>
      <c r="K579" s="48">
        <v>46049</v>
      </c>
      <c r="L579" s="26">
        <v>2026400395</v>
      </c>
      <c r="M579" s="26" t="s">
        <v>202</v>
      </c>
      <c r="N579" s="26">
        <v>2026</v>
      </c>
    </row>
    <row r="580" spans="1:14">
      <c r="A580" s="26">
        <v>581</v>
      </c>
      <c r="B580" s="26" t="s">
        <v>54</v>
      </c>
      <c r="C580" s="26" t="s">
        <v>55</v>
      </c>
      <c r="D580" s="26" t="s">
        <v>60</v>
      </c>
      <c r="E580" s="26" t="s">
        <v>79</v>
      </c>
      <c r="F580" s="26"/>
      <c r="G580" s="26" t="s">
        <v>708</v>
      </c>
      <c r="H580" s="26" t="s">
        <v>284</v>
      </c>
      <c r="I580" s="53">
        <v>1812.0805369127518</v>
      </c>
      <c r="J580" s="26" t="s">
        <v>716</v>
      </c>
      <c r="K580" s="48">
        <v>46070</v>
      </c>
      <c r="L580" s="26">
        <v>2026401028</v>
      </c>
      <c r="M580" s="98" t="s">
        <v>202</v>
      </c>
      <c r="N580" s="26">
        <v>2026</v>
      </c>
    </row>
    <row r="581" spans="1:14">
      <c r="A581" s="26">
        <v>582</v>
      </c>
      <c r="B581" s="26" t="s">
        <v>52</v>
      </c>
      <c r="C581" s="26" t="s">
        <v>62</v>
      </c>
      <c r="D581" s="100" t="s">
        <v>60</v>
      </c>
      <c r="E581" s="26" t="s">
        <v>79</v>
      </c>
      <c r="F581" s="26"/>
      <c r="G581" s="26" t="s">
        <v>259</v>
      </c>
      <c r="H581" s="26" t="s">
        <v>284</v>
      </c>
      <c r="I581" s="53">
        <v>1800</v>
      </c>
      <c r="J581" s="26" t="s">
        <v>740</v>
      </c>
      <c r="K581" s="48">
        <v>46067</v>
      </c>
      <c r="L581" s="26">
        <v>2026400880</v>
      </c>
      <c r="M581" s="26" t="s">
        <v>202</v>
      </c>
      <c r="N581" s="26">
        <v>2026</v>
      </c>
    </row>
    <row r="582" spans="1:14">
      <c r="A582" s="26">
        <v>583</v>
      </c>
      <c r="B582" s="26" t="s">
        <v>54</v>
      </c>
      <c r="C582" s="26" t="s">
        <v>55</v>
      </c>
      <c r="D582" s="26" t="s">
        <v>60</v>
      </c>
      <c r="E582" s="26" t="s">
        <v>79</v>
      </c>
      <c r="F582" s="26"/>
      <c r="G582" s="26" t="s">
        <v>110</v>
      </c>
      <c r="H582" s="26" t="s">
        <v>284</v>
      </c>
      <c r="I582" s="53">
        <v>1430.5369127516778</v>
      </c>
      <c r="J582" s="26" t="s">
        <v>717</v>
      </c>
      <c r="K582" s="48">
        <v>46076</v>
      </c>
      <c r="L582" s="26">
        <v>2026400794</v>
      </c>
      <c r="M582" s="98" t="s">
        <v>202</v>
      </c>
      <c r="N582" s="26">
        <v>2026</v>
      </c>
    </row>
    <row r="583" spans="1:14">
      <c r="A583" s="26">
        <v>584</v>
      </c>
      <c r="B583" s="26" t="s">
        <v>52</v>
      </c>
      <c r="C583" s="26" t="s">
        <v>62</v>
      </c>
      <c r="D583" s="26" t="s">
        <v>60</v>
      </c>
      <c r="E583" s="26" t="s">
        <v>79</v>
      </c>
      <c r="F583" s="26"/>
      <c r="G583" s="26" t="s">
        <v>709</v>
      </c>
      <c r="H583" s="26" t="s">
        <v>284</v>
      </c>
      <c r="I583" s="53">
        <v>1349.6644295302012</v>
      </c>
      <c r="J583" s="26" t="s">
        <v>718</v>
      </c>
      <c r="K583" s="48">
        <v>46076</v>
      </c>
      <c r="L583" s="26">
        <v>2026400657</v>
      </c>
      <c r="M583" s="98" t="s">
        <v>202</v>
      </c>
      <c r="N583" s="26">
        <v>2026</v>
      </c>
    </row>
    <row r="584" spans="1:14">
      <c r="A584" s="26">
        <v>585</v>
      </c>
      <c r="B584" s="26" t="s">
        <v>42</v>
      </c>
      <c r="C584" s="26" t="s">
        <v>257</v>
      </c>
      <c r="D584" s="100" t="s">
        <v>60</v>
      </c>
      <c r="E584" s="26" t="s">
        <v>79</v>
      </c>
      <c r="F584" s="26"/>
      <c r="G584" s="26" t="s">
        <v>190</v>
      </c>
      <c r="H584" s="26" t="s">
        <v>284</v>
      </c>
      <c r="I584" s="53">
        <v>1200</v>
      </c>
      <c r="J584" s="26" t="s">
        <v>731</v>
      </c>
      <c r="K584" s="48">
        <v>46064</v>
      </c>
      <c r="L584" s="26">
        <v>2026400416</v>
      </c>
      <c r="M584" s="26" t="s">
        <v>202</v>
      </c>
      <c r="N584" s="26">
        <v>2026</v>
      </c>
    </row>
    <row r="585" spans="1:14">
      <c r="A585" s="26">
        <v>586</v>
      </c>
      <c r="B585" s="26" t="s">
        <v>17</v>
      </c>
      <c r="C585" s="26" t="s">
        <v>18</v>
      </c>
      <c r="D585" s="26" t="s">
        <v>60</v>
      </c>
      <c r="E585" s="26" t="s">
        <v>79</v>
      </c>
      <c r="F585" s="26"/>
      <c r="G585" s="26" t="s">
        <v>188</v>
      </c>
      <c r="H585" s="26" t="s">
        <v>284</v>
      </c>
      <c r="I585" s="53">
        <v>1057.0469798657718</v>
      </c>
      <c r="J585" s="26" t="s">
        <v>719</v>
      </c>
      <c r="K585" s="48">
        <v>46053</v>
      </c>
      <c r="L585" s="26">
        <v>2026400554</v>
      </c>
      <c r="M585" s="98" t="s">
        <v>202</v>
      </c>
      <c r="N585" s="26">
        <v>2026</v>
      </c>
    </row>
    <row r="586" spans="1:14">
      <c r="A586" s="26">
        <v>587</v>
      </c>
      <c r="B586" s="26" t="s">
        <v>17</v>
      </c>
      <c r="C586" s="26" t="s">
        <v>18</v>
      </c>
      <c r="D586" s="26" t="s">
        <v>60</v>
      </c>
      <c r="E586" s="26" t="s">
        <v>79</v>
      </c>
      <c r="F586" s="26"/>
      <c r="G586" s="26" t="s">
        <v>270</v>
      </c>
      <c r="H586" s="26" t="s">
        <v>284</v>
      </c>
      <c r="I586" s="53">
        <v>976.510067114094</v>
      </c>
      <c r="J586" s="26" t="s">
        <v>720</v>
      </c>
      <c r="K586" s="48">
        <v>46077</v>
      </c>
      <c r="L586" s="26">
        <v>2026400796</v>
      </c>
      <c r="M586" s="98" t="s">
        <v>202</v>
      </c>
      <c r="N586" s="26">
        <v>2026</v>
      </c>
    </row>
    <row r="587" spans="1:14">
      <c r="A587" s="26">
        <v>588</v>
      </c>
      <c r="B587" s="26" t="s">
        <v>42</v>
      </c>
      <c r="C587" s="48" t="s">
        <v>50</v>
      </c>
      <c r="D587" s="26" t="s">
        <v>60</v>
      </c>
      <c r="E587" s="26" t="s">
        <v>79</v>
      </c>
      <c r="F587" s="26"/>
      <c r="G587" s="26" t="s">
        <v>64</v>
      </c>
      <c r="H587" s="49" t="s">
        <v>349</v>
      </c>
      <c r="I587" s="50">
        <v>939.59731543624162</v>
      </c>
      <c r="J587" s="26">
        <v>61</v>
      </c>
      <c r="K587" s="48" t="s">
        <v>364</v>
      </c>
      <c r="L587" s="67" t="s">
        <v>14</v>
      </c>
      <c r="M587" s="98" t="s">
        <v>202</v>
      </c>
      <c r="N587" s="26">
        <v>2026</v>
      </c>
    </row>
    <row r="588" spans="1:14">
      <c r="A588" s="26">
        <v>589</v>
      </c>
      <c r="B588" s="26" t="s">
        <v>52</v>
      </c>
      <c r="C588" s="70" t="s">
        <v>62</v>
      </c>
      <c r="D588" s="26" t="s">
        <v>60</v>
      </c>
      <c r="E588" s="26" t="s">
        <v>79</v>
      </c>
      <c r="F588" s="26"/>
      <c r="G588" s="26" t="s">
        <v>64</v>
      </c>
      <c r="H588" s="49" t="s">
        <v>351</v>
      </c>
      <c r="I588" s="50">
        <v>785.23489932885911</v>
      </c>
      <c r="J588" s="26" t="s">
        <v>67</v>
      </c>
      <c r="K588" s="48" t="s">
        <v>368</v>
      </c>
      <c r="L588" s="67" t="s">
        <v>14</v>
      </c>
      <c r="M588" s="98" t="s">
        <v>202</v>
      </c>
      <c r="N588" s="26">
        <v>2026</v>
      </c>
    </row>
    <row r="589" spans="1:14">
      <c r="A589" s="26">
        <v>590</v>
      </c>
      <c r="B589" s="26" t="s">
        <v>17</v>
      </c>
      <c r="C589" s="26" t="s">
        <v>18</v>
      </c>
      <c r="D589" s="26" t="s">
        <v>60</v>
      </c>
      <c r="E589" s="26" t="s">
        <v>79</v>
      </c>
      <c r="F589" s="26"/>
      <c r="G589" s="26" t="s">
        <v>188</v>
      </c>
      <c r="H589" s="26" t="s">
        <v>284</v>
      </c>
      <c r="I589" s="53">
        <v>704.69798657718115</v>
      </c>
      <c r="J589" s="26" t="s">
        <v>721</v>
      </c>
      <c r="K589" s="48">
        <v>46053</v>
      </c>
      <c r="L589" s="26">
        <v>2026400548</v>
      </c>
      <c r="M589" s="98" t="s">
        <v>202</v>
      </c>
      <c r="N589" s="26">
        <v>2026</v>
      </c>
    </row>
    <row r="590" spans="1:14">
      <c r="A590" s="26">
        <v>591</v>
      </c>
      <c r="B590" s="26" t="s">
        <v>17</v>
      </c>
      <c r="C590" s="26" t="s">
        <v>18</v>
      </c>
      <c r="D590" s="26" t="s">
        <v>60</v>
      </c>
      <c r="E590" s="26" t="s">
        <v>79</v>
      </c>
      <c r="F590" s="26"/>
      <c r="G590" s="26" t="s">
        <v>188</v>
      </c>
      <c r="H590" s="26" t="s">
        <v>284</v>
      </c>
      <c r="I590" s="53">
        <v>704.69798657718115</v>
      </c>
      <c r="J590" s="26" t="s">
        <v>722</v>
      </c>
      <c r="K590" s="48">
        <v>46053</v>
      </c>
      <c r="L590" s="26">
        <v>2026400553</v>
      </c>
      <c r="M590" s="98" t="s">
        <v>202</v>
      </c>
      <c r="N590" s="26">
        <v>2026</v>
      </c>
    </row>
    <row r="591" spans="1:14">
      <c r="A591" s="26">
        <v>592</v>
      </c>
      <c r="B591" s="26" t="s">
        <v>17</v>
      </c>
      <c r="C591" s="26" t="s">
        <v>25</v>
      </c>
      <c r="D591" s="26" t="s">
        <v>60</v>
      </c>
      <c r="E591" s="26" t="s">
        <v>79</v>
      </c>
      <c r="F591" s="26"/>
      <c r="G591" s="26" t="s">
        <v>64</v>
      </c>
      <c r="H591" s="49" t="s">
        <v>351</v>
      </c>
      <c r="I591" s="50">
        <v>671.14093959731542</v>
      </c>
      <c r="J591" s="26" t="s">
        <v>67</v>
      </c>
      <c r="K591" s="48" t="s">
        <v>368</v>
      </c>
      <c r="L591" s="67" t="s">
        <v>14</v>
      </c>
      <c r="M591" s="98" t="s">
        <v>202</v>
      </c>
      <c r="N591" s="26">
        <v>2026</v>
      </c>
    </row>
    <row r="592" spans="1:14">
      <c r="A592" s="26">
        <v>593</v>
      </c>
      <c r="B592" s="26" t="s">
        <v>17</v>
      </c>
      <c r="C592" s="100" t="s">
        <v>18</v>
      </c>
      <c r="D592" s="26" t="s">
        <v>60</v>
      </c>
      <c r="E592" s="26" t="s">
        <v>79</v>
      </c>
      <c r="F592" s="26"/>
      <c r="G592" s="26" t="s">
        <v>270</v>
      </c>
      <c r="H592" s="26" t="s">
        <v>284</v>
      </c>
      <c r="I592" s="53">
        <v>651.00671140939596</v>
      </c>
      <c r="J592" s="26" t="s">
        <v>723</v>
      </c>
      <c r="K592" s="48">
        <v>46051</v>
      </c>
      <c r="L592" s="26">
        <v>2026400552</v>
      </c>
      <c r="M592" s="98" t="s">
        <v>202</v>
      </c>
      <c r="N592" s="26">
        <v>2026</v>
      </c>
    </row>
    <row r="593" spans="1:14">
      <c r="A593" s="26">
        <v>594</v>
      </c>
      <c r="B593" s="26" t="s">
        <v>17</v>
      </c>
      <c r="C593" s="26" t="s">
        <v>18</v>
      </c>
      <c r="D593" s="26" t="s">
        <v>60</v>
      </c>
      <c r="E593" s="26" t="s">
        <v>79</v>
      </c>
      <c r="F593" s="26"/>
      <c r="G593" s="26" t="s">
        <v>270</v>
      </c>
      <c r="H593" s="26" t="s">
        <v>284</v>
      </c>
      <c r="I593" s="53">
        <v>651.00671140939596</v>
      </c>
      <c r="J593" s="26" t="s">
        <v>724</v>
      </c>
      <c r="K593" s="48">
        <v>46055</v>
      </c>
      <c r="L593" s="26">
        <v>2026400547</v>
      </c>
      <c r="M593" s="98" t="s">
        <v>202</v>
      </c>
      <c r="N593" s="26">
        <v>2026</v>
      </c>
    </row>
    <row r="594" spans="1:14">
      <c r="A594" s="26">
        <v>595</v>
      </c>
      <c r="B594" s="26" t="s">
        <v>17</v>
      </c>
      <c r="C594" s="26" t="s">
        <v>18</v>
      </c>
      <c r="D594" s="26" t="s">
        <v>60</v>
      </c>
      <c r="E594" s="26" t="s">
        <v>79</v>
      </c>
      <c r="F594" s="26"/>
      <c r="G594" s="26" t="s">
        <v>270</v>
      </c>
      <c r="H594" s="26" t="s">
        <v>284</v>
      </c>
      <c r="I594" s="53">
        <v>651.00671140939596</v>
      </c>
      <c r="J594" s="26" t="s">
        <v>725</v>
      </c>
      <c r="K594" s="48">
        <v>46053</v>
      </c>
      <c r="L594" s="26">
        <v>2026400551</v>
      </c>
      <c r="M594" s="98" t="s">
        <v>202</v>
      </c>
      <c r="N594" s="26">
        <v>2026</v>
      </c>
    </row>
    <row r="595" spans="1:14">
      <c r="A595" s="26">
        <v>596</v>
      </c>
      <c r="B595" s="26" t="s">
        <v>17</v>
      </c>
      <c r="C595" s="48" t="s">
        <v>18</v>
      </c>
      <c r="D595" s="26" t="s">
        <v>60</v>
      </c>
      <c r="E595" s="26" t="s">
        <v>79</v>
      </c>
      <c r="F595" s="26"/>
      <c r="G595" s="26" t="s">
        <v>64</v>
      </c>
      <c r="H595" s="49" t="s">
        <v>351</v>
      </c>
      <c r="I595" s="50">
        <v>496.6442953020134</v>
      </c>
      <c r="J595" s="26" t="s">
        <v>67</v>
      </c>
      <c r="K595" s="48" t="s">
        <v>368</v>
      </c>
      <c r="L595" s="67" t="s">
        <v>14</v>
      </c>
      <c r="M595" s="98" t="s">
        <v>202</v>
      </c>
      <c r="N595" s="26">
        <v>2026</v>
      </c>
    </row>
    <row r="596" spans="1:14">
      <c r="A596" s="26">
        <v>597</v>
      </c>
      <c r="B596" s="26" t="s">
        <v>42</v>
      </c>
      <c r="C596" s="26" t="s">
        <v>45</v>
      </c>
      <c r="D596" s="26" t="s">
        <v>60</v>
      </c>
      <c r="E596" s="26" t="s">
        <v>79</v>
      </c>
      <c r="F596" s="26"/>
      <c r="G596" s="26" t="s">
        <v>258</v>
      </c>
      <c r="H596" s="26" t="s">
        <v>284</v>
      </c>
      <c r="I596" s="53">
        <v>490.60402684563758</v>
      </c>
      <c r="J596" s="26" t="s">
        <v>726</v>
      </c>
      <c r="K596" s="48">
        <v>46050</v>
      </c>
      <c r="L596" s="26">
        <v>2026400797</v>
      </c>
      <c r="M596" s="98" t="s">
        <v>202</v>
      </c>
      <c r="N596" s="26">
        <v>2026</v>
      </c>
    </row>
    <row r="597" spans="1:14">
      <c r="A597" s="26">
        <v>598</v>
      </c>
      <c r="B597" s="26" t="s">
        <v>17</v>
      </c>
      <c r="C597" s="26" t="s">
        <v>22</v>
      </c>
      <c r="D597" s="26" t="s">
        <v>60</v>
      </c>
      <c r="E597" s="26" t="s">
        <v>79</v>
      </c>
      <c r="F597" s="26"/>
      <c r="G597" s="26" t="s">
        <v>110</v>
      </c>
      <c r="H597" s="26" t="s">
        <v>284</v>
      </c>
      <c r="I597" s="53">
        <v>453.3557046979866</v>
      </c>
      <c r="J597" s="26" t="s">
        <v>727</v>
      </c>
      <c r="K597" s="48">
        <v>46077</v>
      </c>
      <c r="L597" s="26">
        <v>2026400793</v>
      </c>
      <c r="M597" s="98" t="s">
        <v>202</v>
      </c>
      <c r="N597" s="26">
        <v>2026</v>
      </c>
    </row>
    <row r="598" spans="1:14">
      <c r="A598" s="26">
        <v>599</v>
      </c>
      <c r="B598" s="26" t="s">
        <v>52</v>
      </c>
      <c r="C598" s="26" t="s">
        <v>62</v>
      </c>
      <c r="D598" s="26" t="s">
        <v>60</v>
      </c>
      <c r="E598" s="26" t="s">
        <v>79</v>
      </c>
      <c r="F598" s="26"/>
      <c r="G598" s="26" t="s">
        <v>258</v>
      </c>
      <c r="H598" s="26" t="s">
        <v>284</v>
      </c>
      <c r="I598" s="53">
        <v>322.14765100671138</v>
      </c>
      <c r="J598" s="26" t="s">
        <v>728</v>
      </c>
      <c r="K598" s="48">
        <v>46049</v>
      </c>
      <c r="L598" s="26">
        <v>2026400438</v>
      </c>
      <c r="M598" s="98" t="s">
        <v>202</v>
      </c>
      <c r="N598" s="26">
        <v>2026</v>
      </c>
    </row>
    <row r="599" spans="1:14">
      <c r="A599" s="26">
        <v>600</v>
      </c>
      <c r="B599" s="26" t="s">
        <v>52</v>
      </c>
      <c r="C599" s="26" t="s">
        <v>62</v>
      </c>
      <c r="D599" s="100" t="s">
        <v>60</v>
      </c>
      <c r="E599" s="26" t="s">
        <v>79</v>
      </c>
      <c r="F599" s="26"/>
      <c r="G599" s="26" t="s">
        <v>254</v>
      </c>
      <c r="H599" s="26" t="s">
        <v>284</v>
      </c>
      <c r="I599" s="53">
        <v>281.87919463087246</v>
      </c>
      <c r="J599" s="26" t="s">
        <v>729</v>
      </c>
      <c r="K599" s="48">
        <v>46055</v>
      </c>
      <c r="L599" s="26">
        <v>2026400890</v>
      </c>
      <c r="M599" s="26" t="s">
        <v>202</v>
      </c>
      <c r="N599" s="26">
        <v>2026</v>
      </c>
    </row>
    <row r="600" spans="1:14">
      <c r="A600" s="26">
        <v>601</v>
      </c>
      <c r="B600" s="26" t="s">
        <v>58</v>
      </c>
      <c r="C600" s="26" t="s">
        <v>59</v>
      </c>
      <c r="D600" s="100" t="s">
        <v>60</v>
      </c>
      <c r="E600" s="26" t="s">
        <v>79</v>
      </c>
      <c r="F600" s="26"/>
      <c r="G600" s="26" t="s">
        <v>225</v>
      </c>
      <c r="H600" s="26" t="s">
        <v>285</v>
      </c>
      <c r="I600" s="53">
        <v>180</v>
      </c>
      <c r="J600" s="26" t="s">
        <v>738</v>
      </c>
      <c r="K600" s="48">
        <v>46081</v>
      </c>
      <c r="L600" s="26" t="s">
        <v>14</v>
      </c>
      <c r="M600" s="26" t="s">
        <v>202</v>
      </c>
      <c r="N600" s="26">
        <v>2026</v>
      </c>
    </row>
    <row r="601" spans="1:14">
      <c r="A601" s="26">
        <v>602</v>
      </c>
      <c r="B601" s="26" t="s">
        <v>58</v>
      </c>
      <c r="C601" s="26" t="s">
        <v>59</v>
      </c>
      <c r="D601" s="100" t="s">
        <v>60</v>
      </c>
      <c r="E601" s="26" t="s">
        <v>79</v>
      </c>
      <c r="F601" s="26"/>
      <c r="G601" s="26" t="s">
        <v>225</v>
      </c>
      <c r="H601" s="26" t="s">
        <v>285</v>
      </c>
      <c r="I601" s="53">
        <v>120</v>
      </c>
      <c r="J601" s="26" t="s">
        <v>737</v>
      </c>
      <c r="K601" s="48">
        <v>46081</v>
      </c>
      <c r="L601" s="26" t="s">
        <v>14</v>
      </c>
      <c r="M601" s="26" t="s">
        <v>202</v>
      </c>
      <c r="N601" s="26">
        <v>2026</v>
      </c>
    </row>
    <row r="602" spans="1:14">
      <c r="A602" s="26">
        <v>603</v>
      </c>
      <c r="B602" s="26" t="s">
        <v>17</v>
      </c>
      <c r="C602" s="76" t="s">
        <v>24</v>
      </c>
      <c r="D602" s="100" t="s">
        <v>60</v>
      </c>
      <c r="E602" s="26" t="s">
        <v>79</v>
      </c>
      <c r="F602" s="26"/>
      <c r="G602" s="26" t="s">
        <v>258</v>
      </c>
      <c r="H602" s="26" t="s">
        <v>284</v>
      </c>
      <c r="I602" s="53">
        <v>67.114093959731548</v>
      </c>
      <c r="J602" s="26" t="s">
        <v>730</v>
      </c>
      <c r="K602" s="48">
        <v>46048</v>
      </c>
      <c r="L602" s="26">
        <v>2026400319</v>
      </c>
      <c r="M602" s="26" t="s">
        <v>202</v>
      </c>
      <c r="N602" s="26">
        <v>2026</v>
      </c>
    </row>
    <row r="603" spans="1:14">
      <c r="A603" s="26">
        <v>604</v>
      </c>
      <c r="B603" s="26" t="s">
        <v>58</v>
      </c>
      <c r="C603" s="26" t="s">
        <v>59</v>
      </c>
      <c r="D603" s="26" t="s">
        <v>60</v>
      </c>
      <c r="E603" s="26" t="s">
        <v>246</v>
      </c>
      <c r="F603" s="26"/>
      <c r="G603" s="26" t="s">
        <v>64</v>
      </c>
      <c r="H603" s="26" t="s">
        <v>360</v>
      </c>
      <c r="I603" s="53">
        <v>1006.7114093959732</v>
      </c>
      <c r="J603" s="26" t="s">
        <v>67</v>
      </c>
      <c r="K603" s="48">
        <v>46236</v>
      </c>
      <c r="L603" s="67" t="s">
        <v>14</v>
      </c>
      <c r="M603" s="98" t="s">
        <v>202</v>
      </c>
      <c r="N603" s="26">
        <v>2026</v>
      </c>
    </row>
    <row r="604" spans="1:14">
      <c r="A604" s="26">
        <v>605</v>
      </c>
      <c r="B604" s="26" t="s">
        <v>271</v>
      </c>
      <c r="C604" s="26" t="s">
        <v>272</v>
      </c>
      <c r="D604" s="26" t="s">
        <v>60</v>
      </c>
      <c r="E604" s="26" t="s">
        <v>246</v>
      </c>
      <c r="F604" s="26"/>
      <c r="G604" s="26" t="s">
        <v>64</v>
      </c>
      <c r="H604" s="26" t="s">
        <v>356</v>
      </c>
      <c r="I604" s="53">
        <v>822.14765100671138</v>
      </c>
      <c r="J604" s="26" t="s">
        <v>67</v>
      </c>
      <c r="K604" s="48" t="s">
        <v>368</v>
      </c>
      <c r="L604" s="67" t="s">
        <v>14</v>
      </c>
      <c r="M604" s="98" t="s">
        <v>202</v>
      </c>
      <c r="N604" s="26">
        <v>2026</v>
      </c>
    </row>
    <row r="605" spans="1:14">
      <c r="A605" s="26">
        <v>606</v>
      </c>
      <c r="B605" s="26" t="s">
        <v>58</v>
      </c>
      <c r="C605" s="26" t="s">
        <v>59</v>
      </c>
      <c r="D605" s="26" t="s">
        <v>60</v>
      </c>
      <c r="E605" s="26" t="s">
        <v>246</v>
      </c>
      <c r="F605" s="26"/>
      <c r="G605" s="26" t="s">
        <v>64</v>
      </c>
      <c r="H605" s="26" t="s">
        <v>357</v>
      </c>
      <c r="I605" s="53">
        <v>712.75167785234896</v>
      </c>
      <c r="J605" s="26" t="s">
        <v>67</v>
      </c>
      <c r="K605" s="48">
        <v>46024</v>
      </c>
      <c r="L605" s="67" t="s">
        <v>14</v>
      </c>
      <c r="M605" s="98" t="s">
        <v>202</v>
      </c>
      <c r="N605" s="26">
        <v>2026</v>
      </c>
    </row>
    <row r="606" spans="1:14">
      <c r="A606" s="26">
        <v>607</v>
      </c>
      <c r="B606" s="26" t="s">
        <v>58</v>
      </c>
      <c r="C606" s="26" t="s">
        <v>59</v>
      </c>
      <c r="D606" s="26" t="s">
        <v>60</v>
      </c>
      <c r="E606" s="26" t="s">
        <v>246</v>
      </c>
      <c r="F606" s="26"/>
      <c r="G606" s="26" t="s">
        <v>64</v>
      </c>
      <c r="H606" s="26" t="s">
        <v>361</v>
      </c>
      <c r="I606" s="53">
        <v>704.69798657718115</v>
      </c>
      <c r="J606" s="26">
        <v>2346</v>
      </c>
      <c r="K606" s="48" t="s">
        <v>366</v>
      </c>
      <c r="L606" s="67" t="s">
        <v>14</v>
      </c>
      <c r="M606" s="98" t="s">
        <v>202</v>
      </c>
      <c r="N606" s="26">
        <v>2026</v>
      </c>
    </row>
    <row r="607" spans="1:14">
      <c r="A607" s="26">
        <v>608</v>
      </c>
      <c r="B607" s="26" t="s">
        <v>58</v>
      </c>
      <c r="C607" s="26" t="s">
        <v>59</v>
      </c>
      <c r="D607" s="26" t="s">
        <v>60</v>
      </c>
      <c r="E607" s="26" t="s">
        <v>246</v>
      </c>
      <c r="F607" s="26"/>
      <c r="G607" s="26" t="s">
        <v>64</v>
      </c>
      <c r="H607" s="26" t="s">
        <v>359</v>
      </c>
      <c r="I607" s="53">
        <v>654.3624161073825</v>
      </c>
      <c r="J607" s="26" t="s">
        <v>67</v>
      </c>
      <c r="K607" s="48" t="s">
        <v>368</v>
      </c>
      <c r="L607" s="67" t="s">
        <v>14</v>
      </c>
      <c r="M607" s="98" t="s">
        <v>202</v>
      </c>
      <c r="N607" s="26">
        <v>2026</v>
      </c>
    </row>
    <row r="608" spans="1:14">
      <c r="A608" s="26">
        <v>609</v>
      </c>
      <c r="B608" s="26" t="s">
        <v>58</v>
      </c>
      <c r="C608" s="26" t="s">
        <v>59</v>
      </c>
      <c r="D608" s="26" t="s">
        <v>60</v>
      </c>
      <c r="E608" s="26" t="s">
        <v>246</v>
      </c>
      <c r="F608" s="26"/>
      <c r="G608" s="26" t="s">
        <v>64</v>
      </c>
      <c r="H608" s="26" t="s">
        <v>358</v>
      </c>
      <c r="I608" s="53">
        <v>550.33557046979865</v>
      </c>
      <c r="J608" s="26" t="s">
        <v>67</v>
      </c>
      <c r="K608" s="48" t="s">
        <v>362</v>
      </c>
      <c r="L608" s="67" t="s">
        <v>14</v>
      </c>
      <c r="M608" s="98" t="s">
        <v>202</v>
      </c>
      <c r="N608" s="26">
        <v>2026</v>
      </c>
    </row>
    <row r="609" spans="1:14">
      <c r="A609" s="26">
        <v>610</v>
      </c>
      <c r="B609" s="26" t="s">
        <v>58</v>
      </c>
      <c r="C609" s="26" t="s">
        <v>59</v>
      </c>
      <c r="D609" s="26" t="s">
        <v>60</v>
      </c>
      <c r="E609" s="26" t="s">
        <v>246</v>
      </c>
      <c r="F609" s="26"/>
      <c r="G609" s="26" t="s">
        <v>64</v>
      </c>
      <c r="H609" s="26" t="s">
        <v>358</v>
      </c>
      <c r="I609" s="53">
        <v>211.40939597315437</v>
      </c>
      <c r="J609" s="26" t="s">
        <v>67</v>
      </c>
      <c r="K609" s="48" t="s">
        <v>364</v>
      </c>
      <c r="L609" s="67" t="s">
        <v>14</v>
      </c>
      <c r="M609" s="98" t="s">
        <v>202</v>
      </c>
      <c r="N609" s="26">
        <v>2026</v>
      </c>
    </row>
    <row r="610" spans="1:14">
      <c r="A610" s="26">
        <v>611</v>
      </c>
      <c r="B610" s="26" t="s">
        <v>58</v>
      </c>
      <c r="C610" s="26" t="s">
        <v>59</v>
      </c>
      <c r="D610" s="26" t="s">
        <v>60</v>
      </c>
      <c r="E610" s="26" t="s">
        <v>246</v>
      </c>
      <c r="F610" s="26"/>
      <c r="G610" s="26" t="s">
        <v>64</v>
      </c>
      <c r="H610" s="26" t="s">
        <v>358</v>
      </c>
      <c r="I610" s="53">
        <v>208.05369127516778</v>
      </c>
      <c r="J610" s="26" t="s">
        <v>67</v>
      </c>
      <c r="K610" s="48" t="s">
        <v>274</v>
      </c>
      <c r="L610" s="67" t="s">
        <v>14</v>
      </c>
      <c r="M610" s="98" t="s">
        <v>202</v>
      </c>
      <c r="N610" s="26">
        <v>2026</v>
      </c>
    </row>
  </sheetData>
  <autoFilter ref="A1:N610" xr:uid="{00000000-0001-0000-0100-000000000000}">
    <sortState xmlns:xlrd2="http://schemas.microsoft.com/office/spreadsheetml/2017/richdata2" ref="A2:N610">
      <sortCondition ref="E1:E610"/>
    </sortState>
  </autoFilter>
  <conditionalFormatting sqref="L2:L27">
    <cfRule type="duplicateValues" dxfId="41" priority="264"/>
  </conditionalFormatting>
  <conditionalFormatting sqref="L28:L34">
    <cfRule type="duplicateValues" dxfId="40" priority="216"/>
  </conditionalFormatting>
  <conditionalFormatting sqref="L35:L116">
    <cfRule type="duplicateValues" dxfId="39" priority="276"/>
  </conditionalFormatting>
  <conditionalFormatting sqref="L117:L121">
    <cfRule type="duplicateValues" dxfId="38" priority="7"/>
  </conditionalFormatting>
  <conditionalFormatting sqref="L122:L123">
    <cfRule type="duplicateValues" dxfId="37" priority="6"/>
  </conditionalFormatting>
  <conditionalFormatting sqref="L124:L129">
    <cfRule type="duplicateValues" dxfId="36" priority="3"/>
  </conditionalFormatting>
  <conditionalFormatting sqref="L130:L135">
    <cfRule type="duplicateValues" dxfId="35" priority="2"/>
  </conditionalFormatting>
  <conditionalFormatting sqref="L136:L137 L2:L27 L143">
    <cfRule type="duplicateValues" dxfId="34" priority="270"/>
  </conditionalFormatting>
  <conditionalFormatting sqref="L138:L142">
    <cfRule type="duplicateValues" dxfId="33" priority="1"/>
  </conditionalFormatting>
  <conditionalFormatting sqref="L144:L260 L447:L530">
    <cfRule type="duplicateValues" dxfId="32" priority="268"/>
  </conditionalFormatting>
  <conditionalFormatting sqref="L261:L446">
    <cfRule type="duplicateValues" dxfId="31" priority="4"/>
  </conditionalFormatting>
  <dataValidations count="2">
    <dataValidation type="list" allowBlank="1" showInputMessage="1" showErrorMessage="1" sqref="C149:C152 C233 C595 C455 C202:C204 C479:C480 C244 C248:C249 C322:C326 C518 C524:C526 C199:C200 C216:C218 I317:I446 C447:C449 C301:C309 C317 C29 C285:C292 C182:C187 C23:C25 C227:C230 C166 C147 C159 C31 C212:C213 C180 C224:C225 C177:C178 C163 B9 C282:C283 C295:C297 C173 C311:C313 C451:C452 I261:I314 C457:C464 C156:C157 C331 C349 C358 C382 C389 C406 C413 C508 C516 C195:C197 C143:C144 C2:C21 C175 C189:C193 C207:C210 C261:C280 C154 C161 C168:C171 C220:C222 C137:C138" xr:uid="{00000000-0002-0000-0100-000001000000}">
      <formula1>INDIRECT(A2)</formula1>
    </dataValidation>
    <dataValidation type="list" allowBlank="1" showInputMessage="1" showErrorMessage="1" sqref="C491 C529 C284 C586 C107:C120 C299:C300 C360 C378 C475 C37:C66 C310 C68:C105 C22 C164 C176 C194 C211 C231 C281 C293 C330 C333 C352 C384:C386 C437:C438 C588 C574 C570 C550 C523 C505 C501 C498 C494 C465 C443:C444 C355" xr:uid="{00000000-0002-0000-0100-000004000000}">
      <formula1>Level_2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List!$P$2:$P$11</xm:f>
          </x14:formula1>
          <xm:sqref>B523:B529 B520 B447:B462 B507:B508 B511 B464:B486 B595 B148:B158 B160 B2:B8 B162:B177 B179:B180 B182:B199 B201:B202 B204:B218 B220:B222 B224:B233 B244 B248 B256 B316:B326 B518 B31:B33 B143:B145 B285:B314 B12:B27 B121:B138 B261:B283</xm:sqref>
        </x14:dataValidation>
        <x14:dataValidation type="list" allowBlank="1" showInputMessage="1" showErrorMessage="1" xr:uid="{00000000-0002-0000-0100-000002000000}">
          <x14:formula1>
            <xm:f>List!$C$2:$C$3</xm:f>
          </x14:formula1>
          <xm:sqref>D538 D121:D137 D542 D2:D35 D143:D246 D248:D349 D351:D353 D355:D388 D390:D406 D408:D409 D411:D424 D426:D441 D443:D450 D452:D485 D487:D505 D507:D530</xm:sqref>
        </x14:dataValidation>
        <x14:dataValidation type="list" allowBlank="1" showInputMessage="1" showErrorMessage="1" xr:uid="{00000000-0002-0000-0100-000003000000}">
          <x14:formula1>
            <xm:f>List!$E$2:$E$32</xm:f>
          </x14:formula1>
          <xm:sqref>E485:E522 H245:H247 E143:E247 E317:E446 E2:E31 E270:E314 E261:E264 E121:E133 E135:E137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N278"/>
  <sheetViews>
    <sheetView topLeftCell="F15" workbookViewId="0">
      <selection activeCell="I32" sqref="I32"/>
    </sheetView>
  </sheetViews>
  <sheetFormatPr defaultColWidth="9" defaultRowHeight="14.25"/>
  <cols>
    <col min="1" max="1" width="5.33203125" customWidth="1"/>
    <col min="2" max="3" width="10.9296875" bestFit="1" customWidth="1"/>
    <col min="4" max="4" width="9" customWidth="1"/>
    <col min="5" max="5" width="24.796875" customWidth="1"/>
    <col min="6" max="6" width="10.19921875" customWidth="1"/>
    <col min="7" max="7" width="7" customWidth="1"/>
    <col min="8" max="8" width="33" bestFit="1" customWidth="1"/>
    <col min="9" max="9" width="13.796875" bestFit="1" customWidth="1"/>
    <col min="10" max="10" width="10.06640625" customWidth="1"/>
    <col min="11" max="11" width="11.19921875" customWidth="1"/>
    <col min="12" max="12" width="10.53125" customWidth="1"/>
    <col min="13" max="13" width="6.53125" customWidth="1"/>
    <col min="14" max="14" width="4.796875" customWidth="1"/>
  </cols>
  <sheetData>
    <row r="1" spans="1:1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16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>
      <c r="A2" s="4">
        <v>1</v>
      </c>
      <c r="B2" s="4" t="s">
        <v>17</v>
      </c>
      <c r="C2" s="4" t="s">
        <v>18</v>
      </c>
      <c r="D2" s="4" t="s">
        <v>60</v>
      </c>
      <c r="E2" s="4" t="s">
        <v>20</v>
      </c>
      <c r="F2" s="4"/>
      <c r="G2" s="4" t="s">
        <v>21</v>
      </c>
      <c r="H2" s="4" t="s">
        <v>300</v>
      </c>
      <c r="I2" s="31">
        <v>119417</v>
      </c>
      <c r="J2" s="4" t="s">
        <v>14</v>
      </c>
      <c r="K2" s="4" t="s">
        <v>14</v>
      </c>
      <c r="L2" s="4" t="s">
        <v>14</v>
      </c>
      <c r="M2" s="79" t="s">
        <v>202</v>
      </c>
      <c r="N2">
        <v>2026</v>
      </c>
    </row>
    <row r="3" spans="1:14">
      <c r="A3" s="4">
        <v>2</v>
      </c>
      <c r="B3" s="4" t="s">
        <v>17</v>
      </c>
      <c r="C3" s="4" t="s">
        <v>22</v>
      </c>
      <c r="D3" s="4" t="s">
        <v>60</v>
      </c>
      <c r="E3" s="4" t="s">
        <v>20</v>
      </c>
      <c r="F3" s="4"/>
      <c r="G3" s="4" t="s">
        <v>21</v>
      </c>
      <c r="H3" s="4" t="s">
        <v>300</v>
      </c>
      <c r="I3" s="31">
        <v>158317</v>
      </c>
      <c r="J3" s="4" t="s">
        <v>14</v>
      </c>
      <c r="K3" s="4" t="s">
        <v>14</v>
      </c>
      <c r="L3" s="4" t="s">
        <v>14</v>
      </c>
      <c r="M3" s="79" t="s">
        <v>202</v>
      </c>
      <c r="N3">
        <v>2026</v>
      </c>
    </row>
    <row r="4" spans="1:14">
      <c r="A4" s="4">
        <v>3</v>
      </c>
      <c r="B4" s="4" t="s">
        <v>17</v>
      </c>
      <c r="C4" s="4" t="s">
        <v>90</v>
      </c>
      <c r="D4" s="4" t="s">
        <v>60</v>
      </c>
      <c r="E4" s="4" t="s">
        <v>20</v>
      </c>
      <c r="F4" s="4"/>
      <c r="G4" s="4" t="s">
        <v>21</v>
      </c>
      <c r="H4" s="4" t="s">
        <v>300</v>
      </c>
      <c r="I4" s="31">
        <v>16120</v>
      </c>
      <c r="J4" s="4" t="s">
        <v>14</v>
      </c>
      <c r="K4" s="4" t="s">
        <v>14</v>
      </c>
      <c r="L4" s="4" t="s">
        <v>14</v>
      </c>
      <c r="M4" s="79" t="s">
        <v>202</v>
      </c>
      <c r="N4">
        <v>2026</v>
      </c>
    </row>
    <row r="5" spans="1:14">
      <c r="A5" s="4">
        <v>4</v>
      </c>
      <c r="B5" s="4" t="s">
        <v>17</v>
      </c>
      <c r="C5" s="4" t="s">
        <v>265</v>
      </c>
      <c r="D5" s="4" t="s">
        <v>60</v>
      </c>
      <c r="E5" s="4" t="s">
        <v>20</v>
      </c>
      <c r="F5" s="4"/>
      <c r="G5" s="4" t="s">
        <v>21</v>
      </c>
      <c r="H5" s="4" t="s">
        <v>300</v>
      </c>
      <c r="I5" s="31">
        <v>111481</v>
      </c>
      <c r="J5" s="4" t="s">
        <v>14</v>
      </c>
      <c r="K5" s="4" t="s">
        <v>14</v>
      </c>
      <c r="L5" s="4" t="s">
        <v>14</v>
      </c>
      <c r="M5" s="79" t="s">
        <v>202</v>
      </c>
      <c r="N5">
        <v>2026</v>
      </c>
    </row>
    <row r="6" spans="1:14">
      <c r="A6" s="4">
        <v>5</v>
      </c>
      <c r="B6" s="4" t="s">
        <v>17</v>
      </c>
      <c r="C6" s="4" t="s">
        <v>25</v>
      </c>
      <c r="D6" s="4" t="s">
        <v>60</v>
      </c>
      <c r="E6" s="4" t="s">
        <v>20</v>
      </c>
      <c r="F6" s="4"/>
      <c r="G6" s="4" t="s">
        <v>21</v>
      </c>
      <c r="H6" s="4" t="s">
        <v>300</v>
      </c>
      <c r="I6" s="31">
        <v>243010</v>
      </c>
      <c r="J6" s="4" t="s">
        <v>14</v>
      </c>
      <c r="K6" s="4" t="s">
        <v>14</v>
      </c>
      <c r="L6" s="4" t="s">
        <v>14</v>
      </c>
      <c r="M6" s="79" t="s">
        <v>202</v>
      </c>
      <c r="N6">
        <v>2026</v>
      </c>
    </row>
    <row r="7" spans="1:14">
      <c r="A7" s="4">
        <v>6</v>
      </c>
      <c r="B7" s="129" t="s">
        <v>27</v>
      </c>
      <c r="C7" s="4" t="s">
        <v>28</v>
      </c>
      <c r="D7" s="4" t="s">
        <v>60</v>
      </c>
      <c r="E7" s="4" t="s">
        <v>20</v>
      </c>
      <c r="F7" s="4"/>
      <c r="G7" s="4" t="s">
        <v>21</v>
      </c>
      <c r="H7" s="4" t="s">
        <v>300</v>
      </c>
      <c r="I7" s="31">
        <v>23495</v>
      </c>
      <c r="J7" s="4" t="s">
        <v>14</v>
      </c>
      <c r="K7" s="4" t="s">
        <v>14</v>
      </c>
      <c r="L7" s="4" t="s">
        <v>14</v>
      </c>
      <c r="M7" s="79" t="s">
        <v>202</v>
      </c>
      <c r="N7">
        <v>2026</v>
      </c>
    </row>
    <row r="8" spans="1:14">
      <c r="A8" s="4">
        <v>7</v>
      </c>
      <c r="B8" s="129" t="s">
        <v>256</v>
      </c>
      <c r="C8" s="4" t="s">
        <v>55</v>
      </c>
      <c r="D8" s="4" t="s">
        <v>60</v>
      </c>
      <c r="E8" s="4" t="s">
        <v>20</v>
      </c>
      <c r="F8" s="4"/>
      <c r="G8" s="4" t="s">
        <v>21</v>
      </c>
      <c r="H8" s="4" t="s">
        <v>300</v>
      </c>
      <c r="I8" s="31">
        <v>133868</v>
      </c>
      <c r="J8" s="4" t="s">
        <v>14</v>
      </c>
      <c r="K8" s="4" t="s">
        <v>14</v>
      </c>
      <c r="L8" s="4" t="s">
        <v>14</v>
      </c>
      <c r="M8" s="79" t="s">
        <v>202</v>
      </c>
      <c r="N8">
        <v>2026</v>
      </c>
    </row>
    <row r="9" spans="1:14">
      <c r="A9" s="4">
        <v>8</v>
      </c>
      <c r="B9" s="4" t="s">
        <v>93</v>
      </c>
      <c r="C9" s="4" t="s">
        <v>93</v>
      </c>
      <c r="D9" s="4" t="s">
        <v>60</v>
      </c>
      <c r="E9" s="4" t="s">
        <v>20</v>
      </c>
      <c r="F9" s="4"/>
      <c r="G9" s="4" t="s">
        <v>21</v>
      </c>
      <c r="H9" s="4" t="s">
        <v>300</v>
      </c>
      <c r="I9" s="31">
        <v>78723</v>
      </c>
      <c r="J9" s="4" t="s">
        <v>14</v>
      </c>
      <c r="K9" s="4" t="s">
        <v>14</v>
      </c>
      <c r="L9" s="4" t="s">
        <v>14</v>
      </c>
      <c r="M9" s="79" t="s">
        <v>202</v>
      </c>
      <c r="N9">
        <v>2026</v>
      </c>
    </row>
    <row r="10" spans="1:14">
      <c r="A10" s="4">
        <v>9</v>
      </c>
      <c r="B10" s="130" t="s">
        <v>58</v>
      </c>
      <c r="C10" s="4" t="s">
        <v>59</v>
      </c>
      <c r="D10" s="4" t="s">
        <v>60</v>
      </c>
      <c r="E10" s="69" t="s">
        <v>20</v>
      </c>
      <c r="F10" s="4"/>
      <c r="G10" s="4" t="s">
        <v>21</v>
      </c>
      <c r="H10" s="4" t="s">
        <v>300</v>
      </c>
      <c r="I10" s="31">
        <v>106368</v>
      </c>
      <c r="J10" s="4" t="s">
        <v>14</v>
      </c>
      <c r="K10" s="4" t="s">
        <v>14</v>
      </c>
      <c r="L10" s="4" t="s">
        <v>14</v>
      </c>
      <c r="M10" s="79" t="s">
        <v>202</v>
      </c>
      <c r="N10">
        <v>2026</v>
      </c>
    </row>
    <row r="11" spans="1:14">
      <c r="A11" s="4">
        <v>10</v>
      </c>
      <c r="B11" s="130" t="s">
        <v>33</v>
      </c>
      <c r="C11" s="4" t="s">
        <v>34</v>
      </c>
      <c r="D11" s="4" t="s">
        <v>60</v>
      </c>
      <c r="E11" s="4" t="s">
        <v>20</v>
      </c>
      <c r="F11" s="4"/>
      <c r="G11" s="4" t="s">
        <v>21</v>
      </c>
      <c r="H11" s="4" t="s">
        <v>300</v>
      </c>
      <c r="I11" s="31">
        <v>72887</v>
      </c>
      <c r="J11" s="4" t="s">
        <v>14</v>
      </c>
      <c r="K11" s="4" t="s">
        <v>14</v>
      </c>
      <c r="L11" s="4" t="s">
        <v>14</v>
      </c>
      <c r="M11" s="79" t="s">
        <v>202</v>
      </c>
      <c r="N11">
        <v>2026</v>
      </c>
    </row>
    <row r="12" spans="1:14">
      <c r="A12" s="4">
        <v>11</v>
      </c>
      <c r="B12" s="129" t="s">
        <v>35</v>
      </c>
      <c r="C12" s="4" t="s">
        <v>36</v>
      </c>
      <c r="D12" s="4" t="s">
        <v>60</v>
      </c>
      <c r="E12" s="4" t="s">
        <v>20</v>
      </c>
      <c r="F12" s="4"/>
      <c r="G12" s="4" t="s">
        <v>21</v>
      </c>
      <c r="H12" s="4" t="s">
        <v>300</v>
      </c>
      <c r="I12" s="31">
        <v>34423</v>
      </c>
      <c r="J12" s="4" t="s">
        <v>14</v>
      </c>
      <c r="K12" s="4" t="s">
        <v>14</v>
      </c>
      <c r="L12" s="4" t="s">
        <v>14</v>
      </c>
      <c r="M12" s="79" t="s">
        <v>202</v>
      </c>
      <c r="N12">
        <v>2026</v>
      </c>
    </row>
    <row r="13" spans="1:14">
      <c r="A13" s="4">
        <v>12</v>
      </c>
      <c r="B13" s="129" t="s">
        <v>35</v>
      </c>
      <c r="C13" s="4" t="s">
        <v>37</v>
      </c>
      <c r="D13" s="4" t="s">
        <v>60</v>
      </c>
      <c r="E13" s="4" t="s">
        <v>20</v>
      </c>
      <c r="F13" s="4"/>
      <c r="G13" s="4" t="s">
        <v>21</v>
      </c>
      <c r="H13" s="4" t="s">
        <v>300</v>
      </c>
      <c r="I13" s="31">
        <v>76387</v>
      </c>
      <c r="J13" s="4" t="s">
        <v>14</v>
      </c>
      <c r="K13" s="4" t="s">
        <v>14</v>
      </c>
      <c r="L13" s="4" t="s">
        <v>14</v>
      </c>
      <c r="M13" s="79" t="s">
        <v>202</v>
      </c>
      <c r="N13">
        <v>2026</v>
      </c>
    </row>
    <row r="14" spans="1:14">
      <c r="A14" s="4">
        <v>13</v>
      </c>
      <c r="B14" s="129" t="s">
        <v>35</v>
      </c>
      <c r="C14" s="4" t="s">
        <v>38</v>
      </c>
      <c r="D14" s="4" t="s">
        <v>60</v>
      </c>
      <c r="E14" s="27" t="s">
        <v>20</v>
      </c>
      <c r="F14" s="4"/>
      <c r="G14" s="4" t="s">
        <v>21</v>
      </c>
      <c r="H14" s="4" t="s">
        <v>300</v>
      </c>
      <c r="I14" s="31">
        <v>15162</v>
      </c>
      <c r="J14" s="4" t="s">
        <v>14</v>
      </c>
      <c r="K14" s="4" t="s">
        <v>14</v>
      </c>
      <c r="L14" s="4" t="s">
        <v>14</v>
      </c>
      <c r="M14" s="79" t="s">
        <v>202</v>
      </c>
      <c r="N14">
        <v>2026</v>
      </c>
    </row>
    <row r="15" spans="1:14">
      <c r="A15" s="4">
        <v>14</v>
      </c>
      <c r="B15" s="129" t="s">
        <v>35</v>
      </c>
      <c r="C15" s="4" t="s">
        <v>41</v>
      </c>
      <c r="D15" s="4" t="s">
        <v>60</v>
      </c>
      <c r="E15" s="4" t="s">
        <v>20</v>
      </c>
      <c r="F15" s="4"/>
      <c r="G15" s="4" t="s">
        <v>21</v>
      </c>
      <c r="H15" s="4" t="s">
        <v>300</v>
      </c>
      <c r="I15" s="31">
        <v>215</v>
      </c>
      <c r="J15" s="4" t="s">
        <v>14</v>
      </c>
      <c r="K15" s="4" t="s">
        <v>14</v>
      </c>
      <c r="L15" s="4" t="s">
        <v>14</v>
      </c>
      <c r="M15" s="79" t="s">
        <v>202</v>
      </c>
      <c r="N15">
        <v>2026</v>
      </c>
    </row>
    <row r="16" spans="1:14">
      <c r="A16" s="4">
        <v>15</v>
      </c>
      <c r="B16" s="4" t="s">
        <v>42</v>
      </c>
      <c r="C16" s="4" t="s">
        <v>43</v>
      </c>
      <c r="D16" s="4" t="s">
        <v>60</v>
      </c>
      <c r="E16" s="4" t="s">
        <v>20</v>
      </c>
      <c r="F16" s="4"/>
      <c r="G16" s="4" t="s">
        <v>21</v>
      </c>
      <c r="H16" s="4" t="s">
        <v>300</v>
      </c>
      <c r="I16" s="31">
        <v>103315</v>
      </c>
      <c r="J16" s="4" t="s">
        <v>14</v>
      </c>
      <c r="K16" s="4" t="s">
        <v>14</v>
      </c>
      <c r="L16" s="4" t="s">
        <v>14</v>
      </c>
      <c r="M16" s="79" t="s">
        <v>202</v>
      </c>
      <c r="N16">
        <v>2026</v>
      </c>
    </row>
    <row r="17" spans="1:14">
      <c r="A17" s="4">
        <v>16</v>
      </c>
      <c r="B17" s="4" t="s">
        <v>42</v>
      </c>
      <c r="C17" s="4" t="s">
        <v>44</v>
      </c>
      <c r="D17" s="4" t="s">
        <v>60</v>
      </c>
      <c r="E17" s="4" t="s">
        <v>20</v>
      </c>
      <c r="F17" s="4"/>
      <c r="G17" s="4" t="s">
        <v>21</v>
      </c>
      <c r="H17" s="4" t="s">
        <v>300</v>
      </c>
      <c r="I17" s="31">
        <v>20533</v>
      </c>
      <c r="J17" s="4" t="s">
        <v>14</v>
      </c>
      <c r="K17" s="4" t="s">
        <v>14</v>
      </c>
      <c r="L17" s="4" t="s">
        <v>14</v>
      </c>
      <c r="M17" s="79" t="s">
        <v>202</v>
      </c>
      <c r="N17">
        <v>2026</v>
      </c>
    </row>
    <row r="18" spans="1:14">
      <c r="A18" s="4">
        <v>17</v>
      </c>
      <c r="B18" s="4" t="s">
        <v>42</v>
      </c>
      <c r="C18" s="4" t="s">
        <v>45</v>
      </c>
      <c r="D18" s="4" t="s">
        <v>60</v>
      </c>
      <c r="E18" s="4" t="s">
        <v>20</v>
      </c>
      <c r="F18" s="4"/>
      <c r="G18" s="4" t="s">
        <v>21</v>
      </c>
      <c r="H18" s="4" t="s">
        <v>300</v>
      </c>
      <c r="I18" s="31">
        <v>48283</v>
      </c>
      <c r="J18" s="4" t="s">
        <v>14</v>
      </c>
      <c r="K18" s="4" t="s">
        <v>14</v>
      </c>
      <c r="L18" s="4" t="s">
        <v>14</v>
      </c>
      <c r="M18" s="79" t="s">
        <v>202</v>
      </c>
      <c r="N18">
        <v>2026</v>
      </c>
    </row>
    <row r="19" spans="1:14">
      <c r="A19" s="4">
        <v>18</v>
      </c>
      <c r="B19" s="4" t="s">
        <v>42</v>
      </c>
      <c r="C19" s="4" t="s">
        <v>46</v>
      </c>
      <c r="D19" s="4" t="s">
        <v>60</v>
      </c>
      <c r="E19" s="4" t="s">
        <v>20</v>
      </c>
      <c r="F19" s="4"/>
      <c r="G19" s="4" t="s">
        <v>21</v>
      </c>
      <c r="H19" s="4" t="s">
        <v>300</v>
      </c>
      <c r="I19" s="31">
        <v>1694</v>
      </c>
      <c r="J19" s="4" t="s">
        <v>14</v>
      </c>
      <c r="K19" s="4" t="s">
        <v>14</v>
      </c>
      <c r="L19" s="4" t="s">
        <v>14</v>
      </c>
      <c r="M19" s="79" t="s">
        <v>202</v>
      </c>
      <c r="N19">
        <v>2026</v>
      </c>
    </row>
    <row r="20" spans="1:14">
      <c r="A20" s="4">
        <v>19</v>
      </c>
      <c r="B20" s="4" t="s">
        <v>42</v>
      </c>
      <c r="C20" s="4" t="s">
        <v>296</v>
      </c>
      <c r="D20" s="4" t="s">
        <v>60</v>
      </c>
      <c r="E20" s="4" t="s">
        <v>20</v>
      </c>
      <c r="F20" s="4"/>
      <c r="G20" s="4" t="s">
        <v>21</v>
      </c>
      <c r="H20" s="4" t="s">
        <v>300</v>
      </c>
      <c r="I20" s="31">
        <v>3782</v>
      </c>
      <c r="J20" s="4" t="s">
        <v>14</v>
      </c>
      <c r="K20" s="4" t="s">
        <v>14</v>
      </c>
      <c r="L20" s="4" t="s">
        <v>14</v>
      </c>
      <c r="M20" s="79" t="s">
        <v>202</v>
      </c>
      <c r="N20">
        <v>2026</v>
      </c>
    </row>
    <row r="21" spans="1:14">
      <c r="A21" s="4">
        <v>20</v>
      </c>
      <c r="B21" s="4" t="s">
        <v>42</v>
      </c>
      <c r="C21" s="4" t="s">
        <v>47</v>
      </c>
      <c r="D21" s="4" t="s">
        <v>60</v>
      </c>
      <c r="E21" s="4" t="s">
        <v>20</v>
      </c>
      <c r="F21" s="4"/>
      <c r="G21" s="4" t="s">
        <v>21</v>
      </c>
      <c r="H21" s="4" t="s">
        <v>300</v>
      </c>
      <c r="I21" s="31">
        <v>52997</v>
      </c>
      <c r="J21" s="4" t="s">
        <v>14</v>
      </c>
      <c r="K21" s="4" t="s">
        <v>14</v>
      </c>
      <c r="L21" s="4" t="s">
        <v>14</v>
      </c>
      <c r="M21" s="79" t="s">
        <v>202</v>
      </c>
      <c r="N21">
        <v>2026</v>
      </c>
    </row>
    <row r="22" spans="1:14">
      <c r="A22" s="4">
        <v>21</v>
      </c>
      <c r="B22" s="4" t="s">
        <v>42</v>
      </c>
      <c r="C22" s="4" t="s">
        <v>48</v>
      </c>
      <c r="D22" s="4" t="s">
        <v>60</v>
      </c>
      <c r="E22" s="4" t="s">
        <v>20</v>
      </c>
      <c r="F22" s="4"/>
      <c r="G22" s="4" t="s">
        <v>21</v>
      </c>
      <c r="H22" s="4" t="s">
        <v>300</v>
      </c>
      <c r="I22" s="31">
        <v>131846</v>
      </c>
      <c r="J22" s="4" t="s">
        <v>14</v>
      </c>
      <c r="K22" s="4" t="s">
        <v>14</v>
      </c>
      <c r="L22" s="4" t="s">
        <v>14</v>
      </c>
      <c r="M22" s="79" t="s">
        <v>202</v>
      </c>
      <c r="N22">
        <v>2026</v>
      </c>
    </row>
    <row r="23" spans="1:14">
      <c r="A23" s="4">
        <v>22</v>
      </c>
      <c r="B23" s="4" t="s">
        <v>42</v>
      </c>
      <c r="C23" s="4" t="s">
        <v>49</v>
      </c>
      <c r="D23" s="4" t="s">
        <v>60</v>
      </c>
      <c r="E23" s="4" t="s">
        <v>20</v>
      </c>
      <c r="F23" s="4"/>
      <c r="G23" s="4" t="s">
        <v>21</v>
      </c>
      <c r="H23" s="4" t="s">
        <v>300</v>
      </c>
      <c r="I23" s="31">
        <v>23259</v>
      </c>
      <c r="J23" s="4" t="s">
        <v>14</v>
      </c>
      <c r="K23" s="4" t="s">
        <v>14</v>
      </c>
      <c r="L23" s="4" t="s">
        <v>14</v>
      </c>
      <c r="M23" s="79" t="s">
        <v>202</v>
      </c>
      <c r="N23">
        <v>2026</v>
      </c>
    </row>
    <row r="24" spans="1:14">
      <c r="A24" s="4">
        <v>23</v>
      </c>
      <c r="B24" s="4" t="s">
        <v>42</v>
      </c>
      <c r="C24" s="4" t="s">
        <v>50</v>
      </c>
      <c r="D24" s="4" t="s">
        <v>60</v>
      </c>
      <c r="E24" s="4" t="s">
        <v>20</v>
      </c>
      <c r="F24" s="4"/>
      <c r="G24" s="4" t="s">
        <v>21</v>
      </c>
      <c r="H24" s="4" t="s">
        <v>300</v>
      </c>
      <c r="I24" s="31">
        <v>251771</v>
      </c>
      <c r="J24" s="4" t="s">
        <v>14</v>
      </c>
      <c r="K24" s="4" t="s">
        <v>14</v>
      </c>
      <c r="L24" s="4" t="s">
        <v>14</v>
      </c>
      <c r="M24" s="79" t="s">
        <v>202</v>
      </c>
      <c r="N24">
        <v>2026</v>
      </c>
    </row>
    <row r="25" spans="1:14">
      <c r="A25" s="4">
        <v>24</v>
      </c>
      <c r="B25" s="4" t="s">
        <v>42</v>
      </c>
      <c r="C25" s="4" t="s">
        <v>51</v>
      </c>
      <c r="D25" s="4" t="s">
        <v>60</v>
      </c>
      <c r="E25" s="4" t="s">
        <v>20</v>
      </c>
      <c r="F25" s="4"/>
      <c r="G25" s="4" t="s">
        <v>21</v>
      </c>
      <c r="H25" s="4" t="s">
        <v>300</v>
      </c>
      <c r="I25" s="31">
        <v>2228</v>
      </c>
      <c r="J25" s="4" t="s">
        <v>14</v>
      </c>
      <c r="K25" s="4" t="s">
        <v>14</v>
      </c>
      <c r="L25" s="4" t="s">
        <v>14</v>
      </c>
      <c r="M25" s="79" t="s">
        <v>202</v>
      </c>
      <c r="N25">
        <v>2026</v>
      </c>
    </row>
    <row r="26" spans="1:14">
      <c r="A26" s="4">
        <v>25</v>
      </c>
      <c r="B26" s="4" t="s">
        <v>42</v>
      </c>
      <c r="C26" t="s">
        <v>297</v>
      </c>
      <c r="D26" s="4" t="s">
        <v>60</v>
      </c>
      <c r="E26" s="4" t="s">
        <v>20</v>
      </c>
      <c r="F26" s="4"/>
      <c r="G26" s="4" t="s">
        <v>21</v>
      </c>
      <c r="H26" s="4" t="s">
        <v>300</v>
      </c>
      <c r="I26" s="28">
        <v>27842</v>
      </c>
      <c r="J26" s="4" t="s">
        <v>14</v>
      </c>
      <c r="K26" s="4" t="s">
        <v>14</v>
      </c>
      <c r="L26" s="4" t="s">
        <v>14</v>
      </c>
      <c r="M26" s="79" t="s">
        <v>202</v>
      </c>
      <c r="N26">
        <v>2026</v>
      </c>
    </row>
    <row r="27" spans="1:14">
      <c r="A27" s="4">
        <v>26</v>
      </c>
      <c r="B27" s="4" t="s">
        <v>42</v>
      </c>
      <c r="C27" t="s">
        <v>72</v>
      </c>
      <c r="D27" s="4" t="s">
        <v>60</v>
      </c>
      <c r="E27" s="4" t="s">
        <v>20</v>
      </c>
      <c r="F27" s="4"/>
      <c r="G27" s="4" t="s">
        <v>21</v>
      </c>
      <c r="H27" s="4" t="s">
        <v>300</v>
      </c>
      <c r="I27" s="28">
        <v>2354</v>
      </c>
      <c r="J27" s="4" t="s">
        <v>14</v>
      </c>
      <c r="K27" s="4" t="s">
        <v>14</v>
      </c>
      <c r="L27" s="4" t="s">
        <v>14</v>
      </c>
      <c r="M27" s="79" t="s">
        <v>202</v>
      </c>
      <c r="N27">
        <v>2026</v>
      </c>
    </row>
    <row r="28" spans="1:14">
      <c r="A28" s="4">
        <v>27</v>
      </c>
      <c r="B28" s="129" t="s">
        <v>52</v>
      </c>
      <c r="C28" s="130" t="s">
        <v>62</v>
      </c>
      <c r="D28" s="4" t="s">
        <v>60</v>
      </c>
      <c r="E28" s="4" t="s">
        <v>20</v>
      </c>
      <c r="F28" s="4"/>
      <c r="G28" s="4" t="s">
        <v>21</v>
      </c>
      <c r="H28" s="4" t="s">
        <v>300</v>
      </c>
      <c r="I28" s="28">
        <v>433997</v>
      </c>
      <c r="J28" s="4" t="s">
        <v>14</v>
      </c>
      <c r="K28" s="4" t="s">
        <v>14</v>
      </c>
      <c r="L28" s="4" t="s">
        <v>14</v>
      </c>
      <c r="M28" s="79" t="s">
        <v>202</v>
      </c>
      <c r="N28">
        <v>2026</v>
      </c>
    </row>
    <row r="29" spans="1:14">
      <c r="A29" s="4">
        <v>31</v>
      </c>
      <c r="B29" s="27" t="s">
        <v>58</v>
      </c>
      <c r="C29" s="4" t="s">
        <v>59</v>
      </c>
      <c r="D29" s="4" t="s">
        <v>60</v>
      </c>
      <c r="E29" s="4" t="s">
        <v>20</v>
      </c>
      <c r="F29" s="4"/>
      <c r="G29" s="4" t="s">
        <v>21</v>
      </c>
      <c r="H29" s="129" t="s">
        <v>298</v>
      </c>
      <c r="I29" s="40">
        <v>9500</v>
      </c>
      <c r="J29" s="4" t="s">
        <v>14</v>
      </c>
      <c r="K29" s="4" t="s">
        <v>14</v>
      </c>
      <c r="L29" s="4" t="s">
        <v>14</v>
      </c>
      <c r="M29" s="79" t="s">
        <v>202</v>
      </c>
      <c r="N29">
        <v>2026</v>
      </c>
    </row>
    <row r="30" spans="1:14">
      <c r="A30" s="4">
        <v>33</v>
      </c>
      <c r="B30" s="79" t="s">
        <v>58</v>
      </c>
      <c r="C30" s="79" t="s">
        <v>59</v>
      </c>
      <c r="D30" s="4" t="s">
        <v>60</v>
      </c>
      <c r="E30" s="4" t="s">
        <v>20</v>
      </c>
      <c r="G30" s="35" t="s">
        <v>21</v>
      </c>
      <c r="H30" s="130" t="s">
        <v>299</v>
      </c>
      <c r="I30" s="40">
        <f>26680000/1480</f>
        <v>18027.027027027027</v>
      </c>
      <c r="J30" s="4" t="s">
        <v>14</v>
      </c>
      <c r="K30" s="4" t="s">
        <v>14</v>
      </c>
      <c r="L30" s="4" t="s">
        <v>14</v>
      </c>
      <c r="M30" s="79" t="s">
        <v>202</v>
      </c>
      <c r="N30">
        <v>2026</v>
      </c>
    </row>
    <row r="31" spans="1:14">
      <c r="A31" s="4">
        <v>34</v>
      </c>
      <c r="B31" s="79" t="s">
        <v>277</v>
      </c>
      <c r="C31" s="79" t="s">
        <v>277</v>
      </c>
      <c r="D31" s="4" t="s">
        <v>60</v>
      </c>
      <c r="E31" s="4" t="s">
        <v>20</v>
      </c>
      <c r="G31" s="35" t="s">
        <v>21</v>
      </c>
      <c r="H31" s="79" t="s">
        <v>276</v>
      </c>
      <c r="I31" s="40">
        <v>83000</v>
      </c>
      <c r="J31" s="4" t="s">
        <v>14</v>
      </c>
      <c r="K31" s="4" t="s">
        <v>14</v>
      </c>
      <c r="L31" s="4" t="s">
        <v>14</v>
      </c>
      <c r="M31" s="79" t="s">
        <v>202</v>
      </c>
      <c r="N31">
        <v>2026</v>
      </c>
    </row>
    <row r="32" spans="1:14">
      <c r="A32" s="4"/>
      <c r="B32" s="4"/>
      <c r="C32" s="4"/>
      <c r="D32" s="4"/>
      <c r="E32" s="4"/>
      <c r="F32" s="4"/>
      <c r="G32" s="4"/>
      <c r="H32" s="4"/>
      <c r="I32" s="2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2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2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2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2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2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2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2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2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2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2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2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2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2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2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2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2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2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2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2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2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2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2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2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2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2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2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2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2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2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2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2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2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2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2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2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2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2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2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2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2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2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2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2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2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2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2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2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2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2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2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2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2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2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2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2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2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2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2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2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2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2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2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2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2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2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2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2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2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2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2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2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2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2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2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2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2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2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2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2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2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2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2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2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2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2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2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2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2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2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2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2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2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2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2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2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2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2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2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2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2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2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2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2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2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2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2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2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2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2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2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2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2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2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2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2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2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2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2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2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2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2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2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2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2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2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2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2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2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2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2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2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2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2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2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2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2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2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2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2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2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2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2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2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2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2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2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2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2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2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2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2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2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2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2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2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2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2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2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2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2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2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2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2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2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2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2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2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2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I201" s="2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I202" s="2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I203" s="2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I204" s="2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I205" s="2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I206" s="2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I207" s="2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I208" s="2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I209" s="2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I210" s="2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I211" s="2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I212" s="2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I213" s="2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I214" s="2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I215" s="2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I216" s="2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I217" s="2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I218" s="2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I219" s="2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I220" s="2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I221" s="2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I222" s="2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I223" s="2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I224" s="2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I225" s="2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I226" s="2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I227" s="2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I228" s="2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I229" s="2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I230" s="2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I231" s="2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I232" s="2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I233" s="2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I234" s="2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I235" s="2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I236" s="2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I237" s="2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I238" s="2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I239" s="2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I240" s="2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I241" s="2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I242" s="2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I243" s="2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I244" s="2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I245" s="2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I246" s="2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I247" s="2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I248" s="2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I249" s="2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I250" s="2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I251" s="2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I252" s="2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I253" s="2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I254" s="2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I255" s="2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I256" s="2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I257" s="2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I258" s="2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I259" s="2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I260" s="2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I261" s="2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I262" s="2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I263" s="2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I264" s="2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I265" s="2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I266" s="2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I267" s="2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I268" s="2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I269" s="2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I270" s="2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I271" s="2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I272" s="2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I273" s="2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I274" s="2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I275" s="2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I276" s="2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I277" s="2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I278" s="24"/>
      <c r="J278" s="4"/>
      <c r="K278" s="4"/>
      <c r="L278" s="4"/>
      <c r="M278" s="4"/>
      <c r="N278" s="4"/>
    </row>
  </sheetData>
  <autoFilter ref="A1:N1" xr:uid="{00000000-0001-0000-0200-000000000000}"/>
  <dataValidations count="1">
    <dataValidation type="list" allowBlank="1" showInputMessage="1" showErrorMessage="1" sqref="C32:C278 C2:C25 B9 C29" xr:uid="{067F06ED-A5AE-45DD-987E-F5954C2BF435}">
      <formula1>INDIRECT(A2)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9C8469-9CD8-4165-BFE3-149F697F7A1F}">
          <x14:formula1>
            <xm:f>List!$P$2:$P$11</xm:f>
          </x14:formula1>
          <xm:sqref>B2:B8 B32:B278 B12:B27</xm:sqref>
        </x14:dataValidation>
        <x14:dataValidation type="list" allowBlank="1" showInputMessage="1" showErrorMessage="1" xr:uid="{32FE5AEF-F6B2-471E-A50E-1CAC47DAB448}">
          <x14:formula1>
            <xm:f>List!$H$2:$H$13</xm:f>
          </x14:formula1>
          <xm:sqref>M32:M278</xm:sqref>
        </x14:dataValidation>
        <x14:dataValidation type="list" allowBlank="1" showInputMessage="1" showErrorMessage="1" xr:uid="{60284DE7-453C-4344-8240-31F7A646BA73}">
          <x14:formula1>
            <xm:f>List!$J$2:$J$4</xm:f>
          </x14:formula1>
          <xm:sqref>N32:N278</xm:sqref>
        </x14:dataValidation>
        <x14:dataValidation type="list" allowBlank="1" showInputMessage="1" showErrorMessage="1" xr:uid="{9F4E4ADD-A6B1-4263-BAA0-8CEFF8EE2812}">
          <x14:formula1>
            <xm:f>List!$C$2:$C$3</xm:f>
          </x14:formula1>
          <xm:sqref>D2:D278</xm:sqref>
        </x14:dataValidation>
        <x14:dataValidation type="list" allowBlank="1" showInputMessage="1" showErrorMessage="1" xr:uid="{FD73F5BE-968C-4311-B8D8-CA0C5F57934D}">
          <x14:formula1>
            <xm:f>List!$E$2:$E$32</xm:f>
          </x14:formula1>
          <xm:sqref>E2:E278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6"/>
  <sheetViews>
    <sheetView topLeftCell="E2" workbookViewId="0">
      <selection activeCell="G19" sqref="G18:G19"/>
    </sheetView>
  </sheetViews>
  <sheetFormatPr defaultColWidth="9" defaultRowHeight="14.25"/>
  <cols>
    <col min="1" max="1" width="5.33203125" customWidth="1"/>
    <col min="2" max="2" width="9.33203125" customWidth="1"/>
    <col min="3" max="3" width="9.59765625" customWidth="1"/>
    <col min="4" max="4" width="9" customWidth="1"/>
    <col min="5" max="5" width="17.19921875" customWidth="1"/>
    <col min="6" max="6" width="10.19921875" customWidth="1"/>
    <col min="7" max="7" width="42.46484375" customWidth="1"/>
    <col min="8" max="8" width="25.46484375" customWidth="1"/>
    <col min="9" max="9" width="18.06640625" customWidth="1"/>
    <col min="10" max="10" width="10.06640625" customWidth="1"/>
    <col min="11" max="11" width="11.19921875" customWidth="1"/>
    <col min="12" max="12" width="10.796875" customWidth="1"/>
    <col min="13" max="13" width="6.53125" customWidth="1"/>
    <col min="14" max="14" width="4.796875" customWidth="1"/>
  </cols>
  <sheetData>
    <row r="1" spans="1:14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</row>
    <row r="2" spans="1:14">
      <c r="A2" s="43">
        <v>1</v>
      </c>
      <c r="B2" s="83" t="s">
        <v>52</v>
      </c>
      <c r="C2" s="83" t="s">
        <v>62</v>
      </c>
      <c r="D2" s="43" t="s">
        <v>60</v>
      </c>
      <c r="E2" s="43" t="s">
        <v>56</v>
      </c>
      <c r="F2" s="43"/>
      <c r="G2" s="43" t="s">
        <v>301</v>
      </c>
      <c r="H2" s="43" t="s">
        <v>56</v>
      </c>
      <c r="I2" s="84">
        <f>3900000/1490</f>
        <v>2617.44966442953</v>
      </c>
      <c r="J2" s="43">
        <v>1601</v>
      </c>
      <c r="K2" s="62">
        <v>46054</v>
      </c>
      <c r="L2" s="132" t="s">
        <v>14</v>
      </c>
      <c r="M2" s="132" t="s">
        <v>202</v>
      </c>
      <c r="N2" s="43">
        <v>2026</v>
      </c>
    </row>
    <row r="3" spans="1:14">
      <c r="A3" s="43">
        <v>2</v>
      </c>
      <c r="B3" s="83" t="s">
        <v>52</v>
      </c>
      <c r="C3" s="83" t="s">
        <v>62</v>
      </c>
      <c r="D3" s="43" t="s">
        <v>60</v>
      </c>
      <c r="E3" s="43" t="s">
        <v>56</v>
      </c>
      <c r="F3" s="43"/>
      <c r="G3" s="43" t="s">
        <v>302</v>
      </c>
      <c r="H3" s="43" t="s">
        <v>56</v>
      </c>
      <c r="I3" s="84">
        <v>41250</v>
      </c>
      <c r="J3" s="43" t="s">
        <v>303</v>
      </c>
      <c r="K3" s="62">
        <v>46061</v>
      </c>
      <c r="L3" s="82">
        <v>2026400779</v>
      </c>
      <c r="M3" s="132" t="s">
        <v>202</v>
      </c>
      <c r="N3" s="43">
        <v>2026</v>
      </c>
    </row>
    <row r="4" spans="1:14">
      <c r="A4" s="43">
        <v>3</v>
      </c>
      <c r="B4" s="85" t="s">
        <v>52</v>
      </c>
      <c r="C4" s="85" t="s">
        <v>62</v>
      </c>
      <c r="D4" s="43" t="s">
        <v>60</v>
      </c>
      <c r="E4" s="43" t="s">
        <v>56</v>
      </c>
      <c r="F4" s="43"/>
      <c r="G4" s="43" t="s">
        <v>302</v>
      </c>
      <c r="H4" s="43" t="s">
        <v>56</v>
      </c>
      <c r="I4" s="84">
        <v>8250</v>
      </c>
      <c r="J4" s="43" t="s">
        <v>304</v>
      </c>
      <c r="K4" s="62">
        <v>46061</v>
      </c>
      <c r="L4" s="43">
        <v>2026400832</v>
      </c>
      <c r="M4" s="132" t="s">
        <v>202</v>
      </c>
      <c r="N4" s="43">
        <v>2026</v>
      </c>
    </row>
    <row r="5" spans="1:14">
      <c r="A5" s="43">
        <v>4</v>
      </c>
      <c r="B5" s="132" t="s">
        <v>33</v>
      </c>
      <c r="C5" s="132" t="s">
        <v>34</v>
      </c>
      <c r="D5" s="43" t="s">
        <v>60</v>
      </c>
      <c r="E5" s="43" t="s">
        <v>56</v>
      </c>
      <c r="F5" s="43"/>
      <c r="G5" s="43" t="s">
        <v>301</v>
      </c>
      <c r="H5" s="43" t="s">
        <v>56</v>
      </c>
      <c r="I5" s="133">
        <f>3000000/1490</f>
        <v>2013.4228187919464</v>
      </c>
      <c r="J5" s="132" t="s">
        <v>14</v>
      </c>
      <c r="K5" s="62">
        <v>46062</v>
      </c>
      <c r="L5" s="132" t="s">
        <v>14</v>
      </c>
      <c r="M5" s="132" t="s">
        <v>202</v>
      </c>
      <c r="N5" s="43">
        <v>2026</v>
      </c>
    </row>
    <row r="6" spans="1:14">
      <c r="A6" s="43">
        <v>5</v>
      </c>
      <c r="B6" s="130" t="s">
        <v>42</v>
      </c>
      <c r="C6" s="130" t="s">
        <v>47</v>
      </c>
      <c r="D6" s="130" t="s">
        <v>60</v>
      </c>
      <c r="E6" s="43" t="s">
        <v>56</v>
      </c>
      <c r="G6" s="130" t="s">
        <v>264</v>
      </c>
      <c r="H6" s="43" t="s">
        <v>56</v>
      </c>
      <c r="I6" s="28">
        <f>66400000/1490</f>
        <v>44563.758389261748</v>
      </c>
      <c r="J6" s="132" t="s">
        <v>14</v>
      </c>
      <c r="K6" s="62">
        <v>46068</v>
      </c>
      <c r="L6" s="132" t="s">
        <v>14</v>
      </c>
      <c r="M6" s="132" t="s">
        <v>202</v>
      </c>
      <c r="N6" s="43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List!$P$2:$P$11</xm:f>
          </x14:formula1>
          <xm:sqref>B2:B3</xm:sqref>
        </x14:dataValidation>
        <x14:dataValidation type="list" allowBlank="1" showInputMessage="1" showErrorMessage="1" xr:uid="{00000000-0002-0000-0300-000002000000}">
          <x14:formula1>
            <xm:f>List!$C$2:$C$3</xm:f>
          </x14:formula1>
          <xm:sqref>D2:D5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N103"/>
  <sheetViews>
    <sheetView topLeftCell="A86" workbookViewId="0">
      <selection activeCell="I2" sqref="I2:I103"/>
    </sheetView>
  </sheetViews>
  <sheetFormatPr defaultColWidth="9" defaultRowHeight="14.25"/>
  <cols>
    <col min="1" max="1" width="5.33203125" style="43" customWidth="1"/>
    <col min="2" max="2" width="9.33203125" style="43" customWidth="1"/>
    <col min="3" max="3" width="10.46484375" style="43" customWidth="1"/>
    <col min="4" max="4" width="8.9296875" style="43" customWidth="1"/>
    <col min="5" max="5" width="24.796875" style="43" customWidth="1"/>
    <col min="6" max="6" width="10.06640625" style="43" customWidth="1"/>
    <col min="7" max="7" width="9.46484375" style="43" customWidth="1"/>
    <col min="8" max="8" width="22.33203125" style="43" customWidth="1"/>
    <col min="9" max="9" width="18" style="43" customWidth="1"/>
    <col min="10" max="10" width="10.06640625" style="43" customWidth="1"/>
    <col min="11" max="11" width="13.46484375" style="43" bestFit="1" customWidth="1"/>
    <col min="12" max="12" width="10.46484375" style="43" customWidth="1"/>
    <col min="13" max="13" width="6.46484375" style="43" customWidth="1"/>
    <col min="14" max="14" width="4.796875" style="43" customWidth="1"/>
    <col min="15" max="16384" width="9" style="43"/>
  </cols>
  <sheetData>
    <row r="1" spans="1:14">
      <c r="A1" s="128" t="s">
        <v>0</v>
      </c>
      <c r="B1" s="128" t="s">
        <v>1</v>
      </c>
      <c r="C1" s="128" t="s">
        <v>2</v>
      </c>
      <c r="D1" s="128" t="s">
        <v>3</v>
      </c>
      <c r="E1" s="128" t="s">
        <v>4</v>
      </c>
      <c r="F1" s="128" t="s">
        <v>5</v>
      </c>
      <c r="G1" s="128" t="s">
        <v>6</v>
      </c>
      <c r="H1" s="128" t="s">
        <v>7</v>
      </c>
      <c r="I1" s="128" t="s">
        <v>8</v>
      </c>
      <c r="J1" s="128" t="s">
        <v>9</v>
      </c>
      <c r="K1" s="128" t="s">
        <v>10</v>
      </c>
      <c r="L1" s="128" t="s">
        <v>11</v>
      </c>
      <c r="M1" s="128" t="s">
        <v>12</v>
      </c>
      <c r="N1" s="128" t="s">
        <v>13</v>
      </c>
    </row>
    <row r="2" spans="1:14">
      <c r="A2" s="26">
        <v>17</v>
      </c>
      <c r="B2" s="26" t="s">
        <v>17</v>
      </c>
      <c r="C2" s="48" t="s">
        <v>22</v>
      </c>
      <c r="D2" s="26" t="s">
        <v>60</v>
      </c>
      <c r="E2" s="26" t="s">
        <v>63</v>
      </c>
      <c r="F2" s="26"/>
      <c r="G2" s="26" t="s">
        <v>64</v>
      </c>
      <c r="H2" s="49" t="s">
        <v>66</v>
      </c>
      <c r="I2" s="50">
        <v>872.48322147651004</v>
      </c>
      <c r="J2" s="26" t="s">
        <v>67</v>
      </c>
      <c r="K2" s="48">
        <v>46055</v>
      </c>
      <c r="L2" s="67" t="s">
        <v>14</v>
      </c>
      <c r="M2" s="98" t="s">
        <v>202</v>
      </c>
      <c r="N2" s="26">
        <v>2026</v>
      </c>
    </row>
    <row r="3" spans="1:14">
      <c r="A3" s="26">
        <v>18</v>
      </c>
      <c r="B3" s="26" t="s">
        <v>17</v>
      </c>
      <c r="C3" s="26" t="s">
        <v>22</v>
      </c>
      <c r="D3" s="26" t="s">
        <v>60</v>
      </c>
      <c r="E3" s="26" t="s">
        <v>63</v>
      </c>
      <c r="F3" s="26"/>
      <c r="G3" s="26" t="s">
        <v>64</v>
      </c>
      <c r="H3" s="26" t="s">
        <v>317</v>
      </c>
      <c r="I3" s="50">
        <v>1073.8255033557048</v>
      </c>
      <c r="J3" s="26" t="s">
        <v>67</v>
      </c>
      <c r="K3" s="48" t="s">
        <v>362</v>
      </c>
      <c r="L3" s="67" t="s">
        <v>14</v>
      </c>
      <c r="M3" s="98" t="s">
        <v>202</v>
      </c>
      <c r="N3" s="26">
        <v>2026</v>
      </c>
    </row>
    <row r="4" spans="1:14">
      <c r="A4" s="26">
        <v>19</v>
      </c>
      <c r="B4" s="26" t="s">
        <v>17</v>
      </c>
      <c r="C4" s="26" t="s">
        <v>25</v>
      </c>
      <c r="D4" s="26" t="s">
        <v>60</v>
      </c>
      <c r="E4" s="26" t="s">
        <v>63</v>
      </c>
      <c r="F4" s="26"/>
      <c r="G4" s="26" t="s">
        <v>64</v>
      </c>
      <c r="H4" s="26" t="s">
        <v>318</v>
      </c>
      <c r="I4" s="50">
        <v>1342.2818791946308</v>
      </c>
      <c r="J4" s="26" t="s">
        <v>67</v>
      </c>
      <c r="K4" s="48" t="s">
        <v>364</v>
      </c>
      <c r="L4" s="67" t="s">
        <v>14</v>
      </c>
      <c r="M4" s="98" t="s">
        <v>202</v>
      </c>
      <c r="N4" s="26">
        <v>2026</v>
      </c>
    </row>
    <row r="5" spans="1:14">
      <c r="A5" s="26">
        <v>39</v>
      </c>
      <c r="B5" s="26" t="s">
        <v>17</v>
      </c>
      <c r="C5" s="48" t="s">
        <v>22</v>
      </c>
      <c r="D5" s="26" t="s">
        <v>60</v>
      </c>
      <c r="E5" s="26" t="s">
        <v>70</v>
      </c>
      <c r="F5" s="26"/>
      <c r="G5" s="26" t="s">
        <v>64</v>
      </c>
      <c r="H5" s="49" t="s">
        <v>333</v>
      </c>
      <c r="I5" s="50">
        <v>604.02684563758385</v>
      </c>
      <c r="J5" s="26">
        <v>7020</v>
      </c>
      <c r="K5" s="48" t="s">
        <v>274</v>
      </c>
      <c r="L5" s="67" t="s">
        <v>14</v>
      </c>
      <c r="M5" s="98" t="s">
        <v>202</v>
      </c>
      <c r="N5" s="26">
        <v>2026</v>
      </c>
    </row>
    <row r="6" spans="1:14">
      <c r="A6" s="26">
        <v>40</v>
      </c>
      <c r="B6" s="26" t="s">
        <v>17</v>
      </c>
      <c r="C6" s="48" t="s">
        <v>22</v>
      </c>
      <c r="D6" s="26" t="s">
        <v>60</v>
      </c>
      <c r="E6" s="26" t="s">
        <v>70</v>
      </c>
      <c r="F6" s="26"/>
      <c r="G6" s="26" t="s">
        <v>64</v>
      </c>
      <c r="H6" s="49" t="s">
        <v>71</v>
      </c>
      <c r="I6" s="50">
        <v>636.24161073825508</v>
      </c>
      <c r="J6" s="26" t="s">
        <v>67</v>
      </c>
      <c r="K6" s="48">
        <v>46083</v>
      </c>
      <c r="L6" s="67" t="s">
        <v>14</v>
      </c>
      <c r="M6" s="98" t="s">
        <v>202</v>
      </c>
      <c r="N6" s="26">
        <v>2026</v>
      </c>
    </row>
    <row r="7" spans="1:14">
      <c r="A7" s="26">
        <v>48</v>
      </c>
      <c r="B7" s="26" t="s">
        <v>17</v>
      </c>
      <c r="C7" s="26" t="s">
        <v>25</v>
      </c>
      <c r="D7" s="26" t="s">
        <v>60</v>
      </c>
      <c r="E7" s="26" t="s">
        <v>70</v>
      </c>
      <c r="F7" s="26"/>
      <c r="G7" s="26" t="s">
        <v>64</v>
      </c>
      <c r="H7" s="26" t="s">
        <v>251</v>
      </c>
      <c r="I7" s="50">
        <v>2446.979865771812</v>
      </c>
      <c r="J7" s="26" t="s">
        <v>67</v>
      </c>
      <c r="K7" s="48">
        <v>46055</v>
      </c>
      <c r="L7" s="67" t="s">
        <v>14</v>
      </c>
      <c r="M7" s="98" t="s">
        <v>202</v>
      </c>
      <c r="N7" s="26">
        <v>2026</v>
      </c>
    </row>
    <row r="8" spans="1:14">
      <c r="A8" s="26">
        <v>49</v>
      </c>
      <c r="B8" s="26" t="s">
        <v>17</v>
      </c>
      <c r="C8" s="26" t="s">
        <v>25</v>
      </c>
      <c r="D8" s="26" t="s">
        <v>60</v>
      </c>
      <c r="E8" s="26" t="s">
        <v>70</v>
      </c>
      <c r="F8" s="26"/>
      <c r="G8" s="26" t="s">
        <v>64</v>
      </c>
      <c r="H8" s="26" t="s">
        <v>251</v>
      </c>
      <c r="I8" s="50">
        <v>1725.5033557046979</v>
      </c>
      <c r="J8" s="26" t="s">
        <v>67</v>
      </c>
      <c r="K8" s="48">
        <v>46328</v>
      </c>
      <c r="L8" s="67" t="s">
        <v>14</v>
      </c>
      <c r="M8" s="98" t="s">
        <v>202</v>
      </c>
      <c r="N8" s="26">
        <v>2026</v>
      </c>
    </row>
    <row r="9" spans="1:14">
      <c r="A9" s="26">
        <v>50</v>
      </c>
      <c r="B9" s="26" t="s">
        <v>17</v>
      </c>
      <c r="C9" s="26" t="s">
        <v>25</v>
      </c>
      <c r="D9" s="26" t="s">
        <v>60</v>
      </c>
      <c r="E9" s="26" t="s">
        <v>70</v>
      </c>
      <c r="F9" s="26"/>
      <c r="G9" s="26" t="s">
        <v>64</v>
      </c>
      <c r="H9" s="26" t="s">
        <v>251</v>
      </c>
      <c r="I9" s="50">
        <v>1829.5302013422818</v>
      </c>
      <c r="J9" s="26" t="s">
        <v>67</v>
      </c>
      <c r="K9" s="48" t="s">
        <v>367</v>
      </c>
      <c r="L9" s="67" t="s">
        <v>14</v>
      </c>
      <c r="M9" s="98" t="s">
        <v>202</v>
      </c>
      <c r="N9" s="26">
        <v>2026</v>
      </c>
    </row>
    <row r="10" spans="1:14">
      <c r="A10" s="26">
        <v>69</v>
      </c>
      <c r="B10" s="26" t="s">
        <v>17</v>
      </c>
      <c r="C10" s="48" t="s">
        <v>18</v>
      </c>
      <c r="D10" s="26" t="s">
        <v>60</v>
      </c>
      <c r="E10" s="26" t="s">
        <v>79</v>
      </c>
      <c r="F10" s="26"/>
      <c r="G10" s="26" t="s">
        <v>64</v>
      </c>
      <c r="H10" s="49" t="s">
        <v>351</v>
      </c>
      <c r="I10" s="50">
        <v>496.6442953020134</v>
      </c>
      <c r="J10" s="26" t="s">
        <v>67</v>
      </c>
      <c r="K10" s="48" t="s">
        <v>368</v>
      </c>
      <c r="L10" s="67" t="s">
        <v>14</v>
      </c>
      <c r="M10" s="98" t="s">
        <v>202</v>
      </c>
      <c r="N10" s="26">
        <v>2026</v>
      </c>
    </row>
    <row r="11" spans="1:14">
      <c r="A11" s="26">
        <v>71</v>
      </c>
      <c r="B11" s="26" t="s">
        <v>17</v>
      </c>
      <c r="C11" s="26" t="s">
        <v>25</v>
      </c>
      <c r="D11" s="26" t="s">
        <v>60</v>
      </c>
      <c r="E11" s="26" t="s">
        <v>79</v>
      </c>
      <c r="F11" s="26"/>
      <c r="G11" s="26" t="s">
        <v>64</v>
      </c>
      <c r="H11" s="49" t="s">
        <v>351</v>
      </c>
      <c r="I11" s="50">
        <v>671.14093959731542</v>
      </c>
      <c r="J11" s="26" t="s">
        <v>67</v>
      </c>
      <c r="K11" s="48" t="s">
        <v>368</v>
      </c>
      <c r="L11" s="67" t="s">
        <v>14</v>
      </c>
      <c r="M11" s="98" t="s">
        <v>202</v>
      </c>
      <c r="N11" s="26">
        <v>2026</v>
      </c>
    </row>
    <row r="12" spans="1:14">
      <c r="A12" s="26">
        <v>83</v>
      </c>
      <c r="B12" s="26" t="s">
        <v>17</v>
      </c>
      <c r="C12" s="48" t="s">
        <v>18</v>
      </c>
      <c r="D12" s="26" t="s">
        <v>60</v>
      </c>
      <c r="E12" s="26" t="s">
        <v>100</v>
      </c>
      <c r="F12" s="26"/>
      <c r="G12" s="26" t="s">
        <v>64</v>
      </c>
      <c r="H12" s="49" t="s">
        <v>354</v>
      </c>
      <c r="I12" s="50">
        <v>355.70469798657717</v>
      </c>
      <c r="J12" s="26" t="s">
        <v>67</v>
      </c>
      <c r="K12" s="48" t="s">
        <v>374</v>
      </c>
      <c r="L12" s="67" t="s">
        <v>14</v>
      </c>
      <c r="M12" s="98" t="s">
        <v>202</v>
      </c>
      <c r="N12" s="26">
        <v>2026</v>
      </c>
    </row>
    <row r="13" spans="1:14">
      <c r="A13" s="26">
        <v>97</v>
      </c>
      <c r="B13" s="26" t="s">
        <v>17</v>
      </c>
      <c r="C13" s="26" t="s">
        <v>22</v>
      </c>
      <c r="D13" s="26"/>
      <c r="E13" s="26" t="s">
        <v>100</v>
      </c>
      <c r="F13" s="26"/>
      <c r="G13" s="26" t="s">
        <v>64</v>
      </c>
      <c r="H13" s="26" t="s">
        <v>354</v>
      </c>
      <c r="I13" s="53">
        <v>44.29530201342282</v>
      </c>
      <c r="J13" s="26" t="s">
        <v>67</v>
      </c>
      <c r="K13" s="48" t="s">
        <v>374</v>
      </c>
      <c r="L13" s="67" t="s">
        <v>14</v>
      </c>
      <c r="M13" s="98" t="s">
        <v>202</v>
      </c>
      <c r="N13" s="26">
        <v>2026</v>
      </c>
    </row>
    <row r="14" spans="1:14">
      <c r="A14" s="26">
        <v>102</v>
      </c>
      <c r="B14" s="26" t="s">
        <v>17</v>
      </c>
      <c r="C14" s="26" t="s">
        <v>23</v>
      </c>
      <c r="D14" s="26"/>
      <c r="E14" s="26" t="s">
        <v>100</v>
      </c>
      <c r="F14" s="26"/>
      <c r="G14" s="26" t="s">
        <v>64</v>
      </c>
      <c r="H14" s="26" t="s">
        <v>354</v>
      </c>
      <c r="I14" s="53">
        <v>248.99328859060404</v>
      </c>
      <c r="J14" s="26" t="s">
        <v>67</v>
      </c>
      <c r="K14" s="48" t="s">
        <v>374</v>
      </c>
      <c r="L14" s="67" t="s">
        <v>14</v>
      </c>
      <c r="M14" s="98" t="s">
        <v>202</v>
      </c>
      <c r="N14" s="26">
        <v>2026</v>
      </c>
    </row>
    <row r="15" spans="1:14">
      <c r="A15" s="26">
        <v>103</v>
      </c>
      <c r="B15" s="26" t="s">
        <v>17</v>
      </c>
      <c r="C15" s="26" t="s">
        <v>24</v>
      </c>
      <c r="D15" s="26"/>
      <c r="E15" s="26" t="s">
        <v>100</v>
      </c>
      <c r="F15" s="26"/>
      <c r="G15" s="26" t="s">
        <v>64</v>
      </c>
      <c r="H15" s="26" t="s">
        <v>354</v>
      </c>
      <c r="I15" s="53">
        <v>35.570469798657719</v>
      </c>
      <c r="J15" s="26" t="s">
        <v>67</v>
      </c>
      <c r="K15" s="48" t="s">
        <v>374</v>
      </c>
      <c r="L15" s="67" t="s">
        <v>14</v>
      </c>
      <c r="M15" s="98" t="s">
        <v>202</v>
      </c>
      <c r="N15" s="26">
        <v>2026</v>
      </c>
    </row>
    <row r="16" spans="1:14">
      <c r="A16" s="26">
        <v>104</v>
      </c>
      <c r="B16" s="26" t="s">
        <v>17</v>
      </c>
      <c r="C16" s="26" t="s">
        <v>25</v>
      </c>
      <c r="D16" s="26"/>
      <c r="E16" s="26" t="s">
        <v>100</v>
      </c>
      <c r="F16" s="26"/>
      <c r="G16" s="26" t="s">
        <v>64</v>
      </c>
      <c r="H16" s="26" t="s">
        <v>354</v>
      </c>
      <c r="I16" s="53">
        <v>516.77852348993292</v>
      </c>
      <c r="J16" s="26" t="s">
        <v>67</v>
      </c>
      <c r="K16" s="48" t="s">
        <v>374</v>
      </c>
      <c r="L16" s="67" t="s">
        <v>14</v>
      </c>
      <c r="M16" s="98" t="s">
        <v>202</v>
      </c>
      <c r="N16" s="26">
        <v>2026</v>
      </c>
    </row>
    <row r="17" spans="1:14">
      <c r="A17" s="26">
        <v>20</v>
      </c>
      <c r="B17" s="26" t="s">
        <v>54</v>
      </c>
      <c r="C17" s="26" t="s">
        <v>55</v>
      </c>
      <c r="D17" s="26" t="s">
        <v>60</v>
      </c>
      <c r="E17" s="26" t="s">
        <v>70</v>
      </c>
      <c r="F17" s="26"/>
      <c r="G17" s="26" t="s">
        <v>64</v>
      </c>
      <c r="H17" s="26" t="s">
        <v>319</v>
      </c>
      <c r="I17" s="50">
        <v>657.71812080536915</v>
      </c>
      <c r="J17" s="26">
        <v>329</v>
      </c>
      <c r="K17" s="48">
        <v>46024</v>
      </c>
      <c r="L17" s="67" t="s">
        <v>14</v>
      </c>
      <c r="M17" s="98" t="s">
        <v>202</v>
      </c>
      <c r="N17" s="26">
        <v>2026</v>
      </c>
    </row>
    <row r="18" spans="1:14">
      <c r="A18" s="26">
        <v>21</v>
      </c>
      <c r="B18" s="26" t="s">
        <v>54</v>
      </c>
      <c r="C18" s="26" t="s">
        <v>55</v>
      </c>
      <c r="D18" s="26" t="s">
        <v>60</v>
      </c>
      <c r="E18" s="26" t="s">
        <v>70</v>
      </c>
      <c r="F18" s="26"/>
      <c r="G18" s="26" t="s">
        <v>64</v>
      </c>
      <c r="H18" s="26" t="s">
        <v>74</v>
      </c>
      <c r="I18" s="50">
        <v>3048.8255033557048</v>
      </c>
      <c r="J18" s="26" t="s">
        <v>67</v>
      </c>
      <c r="K18" s="48">
        <v>46205</v>
      </c>
      <c r="L18" s="67" t="s">
        <v>14</v>
      </c>
      <c r="M18" s="98" t="s">
        <v>202</v>
      </c>
      <c r="N18" s="26">
        <v>2026</v>
      </c>
    </row>
    <row r="19" spans="1:14">
      <c r="A19" s="26">
        <v>84</v>
      </c>
      <c r="B19" s="26" t="s">
        <v>54</v>
      </c>
      <c r="C19" s="48" t="s">
        <v>55</v>
      </c>
      <c r="D19" s="26" t="s">
        <v>60</v>
      </c>
      <c r="E19" s="26" t="s">
        <v>100</v>
      </c>
      <c r="F19" s="26"/>
      <c r="G19" s="26" t="s">
        <v>64</v>
      </c>
      <c r="H19" s="49" t="s">
        <v>354</v>
      </c>
      <c r="I19" s="50">
        <v>267.11409395973152</v>
      </c>
      <c r="J19" s="26" t="s">
        <v>67</v>
      </c>
      <c r="K19" s="48" t="s">
        <v>374</v>
      </c>
      <c r="L19" s="67" t="s">
        <v>14</v>
      </c>
      <c r="M19" s="98" t="s">
        <v>202</v>
      </c>
      <c r="N19" s="26">
        <v>2026</v>
      </c>
    </row>
    <row r="20" spans="1:14">
      <c r="A20" s="26">
        <v>1</v>
      </c>
      <c r="B20" s="26" t="s">
        <v>58</v>
      </c>
      <c r="C20" s="48" t="s">
        <v>59</v>
      </c>
      <c r="D20" s="26" t="s">
        <v>60</v>
      </c>
      <c r="E20" s="26" t="s">
        <v>83</v>
      </c>
      <c r="F20" s="26"/>
      <c r="G20" s="26" t="s">
        <v>64</v>
      </c>
      <c r="H20" s="49" t="s">
        <v>309</v>
      </c>
      <c r="I20" s="50">
        <v>453.02013422818794</v>
      </c>
      <c r="J20" s="48" t="s">
        <v>67</v>
      </c>
      <c r="K20" s="48" t="s">
        <v>362</v>
      </c>
      <c r="L20" s="67" t="s">
        <v>14</v>
      </c>
      <c r="M20" s="98" t="s">
        <v>202</v>
      </c>
      <c r="N20" s="26">
        <v>2026</v>
      </c>
    </row>
    <row r="21" spans="1:14">
      <c r="A21" s="26">
        <v>2</v>
      </c>
      <c r="B21" s="26" t="s">
        <v>58</v>
      </c>
      <c r="C21" s="48" t="s">
        <v>59</v>
      </c>
      <c r="D21" s="26" t="s">
        <v>60</v>
      </c>
      <c r="E21" s="26" t="s">
        <v>82</v>
      </c>
      <c r="F21" s="26"/>
      <c r="G21" s="26" t="s">
        <v>64</v>
      </c>
      <c r="H21" s="49" t="s">
        <v>310</v>
      </c>
      <c r="I21" s="50">
        <v>328.85906040268458</v>
      </c>
      <c r="J21" s="26" t="s">
        <v>67</v>
      </c>
      <c r="K21" s="48">
        <v>46358</v>
      </c>
      <c r="L21" s="67" t="s">
        <v>14</v>
      </c>
      <c r="M21" s="98" t="s">
        <v>202</v>
      </c>
      <c r="N21" s="26">
        <v>2026</v>
      </c>
    </row>
    <row r="22" spans="1:14">
      <c r="A22" s="26">
        <v>9</v>
      </c>
      <c r="B22" s="26" t="s">
        <v>58</v>
      </c>
      <c r="C22" s="48" t="s">
        <v>59</v>
      </c>
      <c r="D22" s="26" t="s">
        <v>60</v>
      </c>
      <c r="E22" s="26" t="s">
        <v>63</v>
      </c>
      <c r="F22" s="26"/>
      <c r="G22" s="26" t="s">
        <v>64</v>
      </c>
      <c r="H22" s="49" t="s">
        <v>313</v>
      </c>
      <c r="I22" s="50">
        <v>503.3557046979866</v>
      </c>
      <c r="J22" s="26" t="s">
        <v>67</v>
      </c>
      <c r="K22" s="48">
        <v>46083</v>
      </c>
      <c r="L22" s="67" t="s">
        <v>14</v>
      </c>
      <c r="M22" s="98" t="s">
        <v>202</v>
      </c>
      <c r="N22" s="26">
        <v>2026</v>
      </c>
    </row>
    <row r="23" spans="1:14">
      <c r="A23" s="26">
        <v>10</v>
      </c>
      <c r="B23" s="26" t="s">
        <v>58</v>
      </c>
      <c r="C23" s="48" t="s">
        <v>59</v>
      </c>
      <c r="D23" s="26" t="s">
        <v>60</v>
      </c>
      <c r="E23" s="26" t="s">
        <v>63</v>
      </c>
      <c r="F23" s="26"/>
      <c r="G23" s="26" t="s">
        <v>64</v>
      </c>
      <c r="H23" s="49" t="s">
        <v>247</v>
      </c>
      <c r="I23" s="50">
        <v>4889.9328859060406</v>
      </c>
      <c r="J23" s="49" t="s">
        <v>67</v>
      </c>
      <c r="K23" s="48">
        <v>46144</v>
      </c>
      <c r="L23" s="67" t="s">
        <v>14</v>
      </c>
      <c r="M23" s="98" t="s">
        <v>202</v>
      </c>
      <c r="N23" s="26">
        <v>2026</v>
      </c>
    </row>
    <row r="24" spans="1:14">
      <c r="A24" s="26">
        <v>11</v>
      </c>
      <c r="B24" s="26" t="s">
        <v>58</v>
      </c>
      <c r="C24" s="48" t="s">
        <v>59</v>
      </c>
      <c r="D24" s="26" t="s">
        <v>60</v>
      </c>
      <c r="E24" s="26" t="s">
        <v>63</v>
      </c>
      <c r="F24" s="26"/>
      <c r="G24" s="26" t="s">
        <v>64</v>
      </c>
      <c r="H24" s="49" t="s">
        <v>65</v>
      </c>
      <c r="I24" s="50">
        <v>5841.6107382550335</v>
      </c>
      <c r="J24" s="26" t="s">
        <v>67</v>
      </c>
      <c r="K24" s="48" t="s">
        <v>365</v>
      </c>
      <c r="L24" s="67" t="s">
        <v>14</v>
      </c>
      <c r="M24" s="98" t="s">
        <v>202</v>
      </c>
      <c r="N24" s="26">
        <v>2026</v>
      </c>
    </row>
    <row r="25" spans="1:14">
      <c r="A25" s="26">
        <v>12</v>
      </c>
      <c r="B25" s="26" t="s">
        <v>58</v>
      </c>
      <c r="C25" s="48" t="s">
        <v>59</v>
      </c>
      <c r="D25" s="26" t="s">
        <v>60</v>
      </c>
      <c r="E25" s="26" t="s">
        <v>63</v>
      </c>
      <c r="F25" s="26"/>
      <c r="G25" s="26" t="s">
        <v>64</v>
      </c>
      <c r="H25" s="49" t="s">
        <v>314</v>
      </c>
      <c r="I25" s="50">
        <v>201.34228187919464</v>
      </c>
      <c r="J25" s="26" t="s">
        <v>67</v>
      </c>
      <c r="K25" s="48">
        <v>46297</v>
      </c>
      <c r="L25" s="67" t="s">
        <v>14</v>
      </c>
      <c r="M25" s="98" t="s">
        <v>202</v>
      </c>
      <c r="N25" s="26">
        <v>2026</v>
      </c>
    </row>
    <row r="26" spans="1:14">
      <c r="A26" s="26">
        <v>13</v>
      </c>
      <c r="B26" s="26" t="s">
        <v>58</v>
      </c>
      <c r="C26" s="48" t="s">
        <v>59</v>
      </c>
      <c r="D26" s="26" t="s">
        <v>60</v>
      </c>
      <c r="E26" s="26" t="s">
        <v>63</v>
      </c>
      <c r="F26" s="26"/>
      <c r="G26" s="26" t="s">
        <v>64</v>
      </c>
      <c r="H26" s="49" t="s">
        <v>65</v>
      </c>
      <c r="I26" s="50">
        <v>271.81208053691273</v>
      </c>
      <c r="J26" s="26" t="s">
        <v>67</v>
      </c>
      <c r="K26" s="48">
        <v>46358</v>
      </c>
      <c r="L26" s="67" t="s">
        <v>14</v>
      </c>
      <c r="M26" s="98" t="s">
        <v>202</v>
      </c>
      <c r="N26" s="26">
        <v>2026</v>
      </c>
    </row>
    <row r="27" spans="1:14">
      <c r="A27" s="26">
        <v>14</v>
      </c>
      <c r="B27" s="26" t="s">
        <v>58</v>
      </c>
      <c r="C27" s="26" t="s">
        <v>59</v>
      </c>
      <c r="D27" s="26" t="s">
        <v>60</v>
      </c>
      <c r="E27" s="26" t="s">
        <v>63</v>
      </c>
      <c r="F27" s="26"/>
      <c r="G27" s="26" t="s">
        <v>64</v>
      </c>
      <c r="H27" s="49" t="s">
        <v>315</v>
      </c>
      <c r="I27" s="50">
        <v>671.14093959731542</v>
      </c>
      <c r="J27" s="26" t="s">
        <v>67</v>
      </c>
      <c r="K27" s="48" t="s">
        <v>362</v>
      </c>
      <c r="L27" s="67" t="s">
        <v>14</v>
      </c>
      <c r="M27" s="98" t="s">
        <v>202</v>
      </c>
      <c r="N27" s="26">
        <v>2026</v>
      </c>
    </row>
    <row r="28" spans="1:14">
      <c r="A28" s="26">
        <v>15</v>
      </c>
      <c r="B28" s="26" t="s">
        <v>58</v>
      </c>
      <c r="C28" s="48" t="s">
        <v>59</v>
      </c>
      <c r="D28" s="26" t="s">
        <v>60</v>
      </c>
      <c r="E28" s="26" t="s">
        <v>63</v>
      </c>
      <c r="F28" s="26"/>
      <c r="G28" s="26" t="s">
        <v>64</v>
      </c>
      <c r="H28" s="49" t="s">
        <v>316</v>
      </c>
      <c r="I28" s="50">
        <v>503.3557046979866</v>
      </c>
      <c r="J28" s="26" t="s">
        <v>67</v>
      </c>
      <c r="K28" s="48" t="s">
        <v>366</v>
      </c>
      <c r="L28" s="67" t="s">
        <v>14</v>
      </c>
      <c r="M28" s="98" t="s">
        <v>202</v>
      </c>
      <c r="N28" s="26">
        <v>2026</v>
      </c>
    </row>
    <row r="29" spans="1:14">
      <c r="A29" s="26">
        <v>16</v>
      </c>
      <c r="B29" s="26" t="s">
        <v>58</v>
      </c>
      <c r="C29" s="48" t="s">
        <v>59</v>
      </c>
      <c r="D29" s="26" t="s">
        <v>60</v>
      </c>
      <c r="E29" s="26" t="s">
        <v>63</v>
      </c>
      <c r="F29" s="26"/>
      <c r="G29" s="26" t="s">
        <v>64</v>
      </c>
      <c r="H29" s="49" t="s">
        <v>65</v>
      </c>
      <c r="I29" s="50">
        <v>671.14093959731542</v>
      </c>
      <c r="J29" s="26" t="s">
        <v>67</v>
      </c>
      <c r="K29" s="48" t="s">
        <v>367</v>
      </c>
      <c r="L29" s="67" t="s">
        <v>14</v>
      </c>
      <c r="M29" s="98" t="s">
        <v>202</v>
      </c>
      <c r="N29" s="26">
        <v>2026</v>
      </c>
    </row>
    <row r="30" spans="1:14">
      <c r="A30" s="26">
        <v>35</v>
      </c>
      <c r="B30" s="26" t="s">
        <v>58</v>
      </c>
      <c r="C30" s="48" t="s">
        <v>59</v>
      </c>
      <c r="D30" s="26" t="s">
        <v>60</v>
      </c>
      <c r="E30" s="26" t="s">
        <v>70</v>
      </c>
      <c r="F30" s="26"/>
      <c r="G30" s="26" t="s">
        <v>64</v>
      </c>
      <c r="H30" s="49" t="s">
        <v>329</v>
      </c>
      <c r="I30" s="50">
        <v>201.34228187919464</v>
      </c>
      <c r="J30" s="26" t="s">
        <v>67</v>
      </c>
      <c r="K30" s="48" t="s">
        <v>368</v>
      </c>
      <c r="L30" s="67" t="s">
        <v>14</v>
      </c>
      <c r="M30" s="98" t="s">
        <v>202</v>
      </c>
      <c r="N30" s="26">
        <v>2026</v>
      </c>
    </row>
    <row r="31" spans="1:14">
      <c r="A31" s="26">
        <v>36</v>
      </c>
      <c r="B31" s="26" t="s">
        <v>58</v>
      </c>
      <c r="C31" s="48" t="s">
        <v>59</v>
      </c>
      <c r="D31" s="26" t="s">
        <v>60</v>
      </c>
      <c r="E31" s="26" t="s">
        <v>70</v>
      </c>
      <c r="F31" s="26"/>
      <c r="G31" s="26" t="s">
        <v>64</v>
      </c>
      <c r="H31" s="49" t="s">
        <v>330</v>
      </c>
      <c r="I31" s="50">
        <v>50.335570469798661</v>
      </c>
      <c r="J31" s="26">
        <v>2444</v>
      </c>
      <c r="K31" s="48">
        <v>46358</v>
      </c>
      <c r="L31" s="67" t="s">
        <v>14</v>
      </c>
      <c r="M31" s="98" t="s">
        <v>202</v>
      </c>
      <c r="N31" s="26">
        <v>2026</v>
      </c>
    </row>
    <row r="32" spans="1:14">
      <c r="A32" s="26">
        <v>37</v>
      </c>
      <c r="B32" s="26" t="s">
        <v>58</v>
      </c>
      <c r="C32" s="48" t="s">
        <v>59</v>
      </c>
      <c r="D32" s="26" t="s">
        <v>60</v>
      </c>
      <c r="E32" s="26" t="s">
        <v>70</v>
      </c>
      <c r="F32" s="26"/>
      <c r="G32" s="26" t="s">
        <v>64</v>
      </c>
      <c r="H32" s="49" t="s">
        <v>331</v>
      </c>
      <c r="I32" s="50">
        <v>503.3557046979866</v>
      </c>
      <c r="J32" s="26" t="s">
        <v>67</v>
      </c>
      <c r="K32" s="48" t="s">
        <v>371</v>
      </c>
      <c r="L32" s="67" t="s">
        <v>14</v>
      </c>
      <c r="M32" s="98" t="s">
        <v>202</v>
      </c>
      <c r="N32" s="26">
        <v>2026</v>
      </c>
    </row>
    <row r="33" spans="1:14">
      <c r="A33" s="26">
        <v>38</v>
      </c>
      <c r="B33" s="26" t="s">
        <v>58</v>
      </c>
      <c r="C33" s="48" t="s">
        <v>59</v>
      </c>
      <c r="D33" s="26" t="s">
        <v>60</v>
      </c>
      <c r="E33" s="26" t="s">
        <v>70</v>
      </c>
      <c r="F33" s="26"/>
      <c r="G33" s="26" t="s">
        <v>64</v>
      </c>
      <c r="H33" s="49" t="s">
        <v>332</v>
      </c>
      <c r="I33" s="50">
        <v>130.8724832214765</v>
      </c>
      <c r="J33" s="26">
        <v>660</v>
      </c>
      <c r="K33" s="48" t="s">
        <v>373</v>
      </c>
      <c r="L33" s="67" t="s">
        <v>14</v>
      </c>
      <c r="M33" s="98" t="s">
        <v>202</v>
      </c>
      <c r="N33" s="26">
        <v>2026</v>
      </c>
    </row>
    <row r="34" spans="1:14">
      <c r="A34" s="26">
        <v>52</v>
      </c>
      <c r="B34" s="26" t="s">
        <v>58</v>
      </c>
      <c r="C34" s="26" t="s">
        <v>59</v>
      </c>
      <c r="D34" s="26" t="s">
        <v>60</v>
      </c>
      <c r="E34" s="26" t="s">
        <v>76</v>
      </c>
      <c r="F34" s="26"/>
      <c r="G34" s="26" t="s">
        <v>64</v>
      </c>
      <c r="H34" s="26" t="s">
        <v>338</v>
      </c>
      <c r="I34" s="50">
        <v>402.68456375838929</v>
      </c>
      <c r="J34" s="26" t="s">
        <v>67</v>
      </c>
      <c r="K34" s="48" t="s">
        <v>374</v>
      </c>
      <c r="L34" s="67" t="s">
        <v>14</v>
      </c>
      <c r="M34" s="98" t="s">
        <v>202</v>
      </c>
      <c r="N34" s="26">
        <v>2026</v>
      </c>
    </row>
    <row r="35" spans="1:14">
      <c r="A35" s="26">
        <v>53</v>
      </c>
      <c r="B35" s="26" t="s">
        <v>58</v>
      </c>
      <c r="C35" s="26" t="s">
        <v>59</v>
      </c>
      <c r="D35" s="26" t="s">
        <v>60</v>
      </c>
      <c r="E35" s="26" t="s">
        <v>76</v>
      </c>
      <c r="F35" s="26"/>
      <c r="G35" s="26" t="s">
        <v>64</v>
      </c>
      <c r="H35" s="49" t="s">
        <v>339</v>
      </c>
      <c r="I35" s="50">
        <v>2979.8657718120803</v>
      </c>
      <c r="J35" s="26" t="s">
        <v>67</v>
      </c>
      <c r="K35" s="48">
        <v>46114</v>
      </c>
      <c r="L35" s="67" t="s">
        <v>14</v>
      </c>
      <c r="M35" s="98" t="s">
        <v>202</v>
      </c>
      <c r="N35" s="26">
        <v>2026</v>
      </c>
    </row>
    <row r="36" spans="1:14">
      <c r="A36" s="26">
        <v>54</v>
      </c>
      <c r="B36" s="26" t="s">
        <v>58</v>
      </c>
      <c r="C36" s="48" t="s">
        <v>59</v>
      </c>
      <c r="D36" s="26" t="s">
        <v>60</v>
      </c>
      <c r="E36" s="26" t="s">
        <v>76</v>
      </c>
      <c r="F36" s="26"/>
      <c r="G36" s="26" t="s">
        <v>64</v>
      </c>
      <c r="H36" s="49" t="s">
        <v>340</v>
      </c>
      <c r="I36" s="50">
        <v>1006.7114093959732</v>
      </c>
      <c r="J36" s="26" t="s">
        <v>67</v>
      </c>
      <c r="K36" s="48" t="s">
        <v>375</v>
      </c>
      <c r="L36" s="67" t="s">
        <v>14</v>
      </c>
      <c r="M36" s="98" t="s">
        <v>202</v>
      </c>
      <c r="N36" s="26">
        <v>2026</v>
      </c>
    </row>
    <row r="37" spans="1:14">
      <c r="A37" s="26">
        <v>55</v>
      </c>
      <c r="B37" s="26" t="s">
        <v>58</v>
      </c>
      <c r="C37" s="26" t="s">
        <v>59</v>
      </c>
      <c r="D37" s="26" t="s">
        <v>60</v>
      </c>
      <c r="E37" s="26" t="s">
        <v>76</v>
      </c>
      <c r="F37" s="26"/>
      <c r="G37" s="26" t="s">
        <v>64</v>
      </c>
      <c r="H37" s="26" t="s">
        <v>341</v>
      </c>
      <c r="I37" s="50">
        <v>151.00671140939596</v>
      </c>
      <c r="J37" s="26">
        <v>2353</v>
      </c>
      <c r="K37" s="48" t="s">
        <v>367</v>
      </c>
      <c r="L37" s="67" t="s">
        <v>14</v>
      </c>
      <c r="M37" s="98" t="s">
        <v>202</v>
      </c>
      <c r="N37" s="26">
        <v>2026</v>
      </c>
    </row>
    <row r="38" spans="1:14">
      <c r="A38" s="26">
        <v>57</v>
      </c>
      <c r="B38" s="26" t="s">
        <v>58</v>
      </c>
      <c r="C38" s="48" t="s">
        <v>59</v>
      </c>
      <c r="D38" s="26" t="s">
        <v>60</v>
      </c>
      <c r="E38" s="26" t="s">
        <v>56</v>
      </c>
      <c r="F38" s="26"/>
      <c r="G38" s="26" t="s">
        <v>64</v>
      </c>
      <c r="H38" s="49" t="s">
        <v>343</v>
      </c>
      <c r="I38" s="50">
        <v>23.48993288590604</v>
      </c>
      <c r="J38" s="26" t="s">
        <v>67</v>
      </c>
      <c r="K38" s="48">
        <v>46267</v>
      </c>
      <c r="L38" s="67" t="s">
        <v>14</v>
      </c>
      <c r="M38" s="98" t="s">
        <v>202</v>
      </c>
      <c r="N38" s="26">
        <v>2026</v>
      </c>
    </row>
    <row r="39" spans="1:14">
      <c r="A39" s="26">
        <v>64</v>
      </c>
      <c r="B39" s="26" t="s">
        <v>58</v>
      </c>
      <c r="C39" s="48" t="s">
        <v>59</v>
      </c>
      <c r="D39" s="26" t="s">
        <v>60</v>
      </c>
      <c r="E39" s="26" t="s">
        <v>80</v>
      </c>
      <c r="F39" s="26"/>
      <c r="G39" s="26" t="s">
        <v>64</v>
      </c>
      <c r="H39" s="49" t="s">
        <v>346</v>
      </c>
      <c r="I39" s="50">
        <v>469.79865771812081</v>
      </c>
      <c r="J39" s="26" t="s">
        <v>67</v>
      </c>
      <c r="K39" s="48">
        <v>46297</v>
      </c>
      <c r="L39" s="67" t="s">
        <v>14</v>
      </c>
      <c r="M39" s="98" t="s">
        <v>202</v>
      </c>
      <c r="N39" s="26">
        <v>2026</v>
      </c>
    </row>
    <row r="40" spans="1:14">
      <c r="A40" s="26">
        <v>65</v>
      </c>
      <c r="B40" s="26" t="s">
        <v>58</v>
      </c>
      <c r="C40" s="48" t="s">
        <v>59</v>
      </c>
      <c r="D40" s="26" t="s">
        <v>60</v>
      </c>
      <c r="E40" s="26" t="s">
        <v>80</v>
      </c>
      <c r="F40" s="26"/>
      <c r="G40" s="26" t="s">
        <v>64</v>
      </c>
      <c r="H40" s="49" t="s">
        <v>347</v>
      </c>
      <c r="I40" s="50">
        <v>241.61073825503357</v>
      </c>
      <c r="J40" s="26" t="s">
        <v>67</v>
      </c>
      <c r="K40" s="48">
        <v>46358</v>
      </c>
      <c r="L40" s="67" t="s">
        <v>14</v>
      </c>
      <c r="M40" s="98" t="s">
        <v>202</v>
      </c>
      <c r="N40" s="26">
        <v>2026</v>
      </c>
    </row>
    <row r="41" spans="1:14">
      <c r="A41" s="26">
        <v>66</v>
      </c>
      <c r="B41" s="26" t="s">
        <v>58</v>
      </c>
      <c r="C41" s="48" t="s">
        <v>59</v>
      </c>
      <c r="D41" s="26" t="s">
        <v>60</v>
      </c>
      <c r="E41" s="26" t="s">
        <v>83</v>
      </c>
      <c r="F41" s="26"/>
      <c r="G41" s="26" t="s">
        <v>64</v>
      </c>
      <c r="H41" s="49" t="s">
        <v>348</v>
      </c>
      <c r="I41" s="50">
        <v>2248.9932885906042</v>
      </c>
      <c r="J41" s="26" t="s">
        <v>67</v>
      </c>
      <c r="K41" s="48" t="s">
        <v>366</v>
      </c>
      <c r="L41" s="67" t="s">
        <v>14</v>
      </c>
      <c r="M41" s="98" t="s">
        <v>202</v>
      </c>
      <c r="N41" s="26">
        <v>2026</v>
      </c>
    </row>
    <row r="42" spans="1:14">
      <c r="A42" s="26">
        <v>76</v>
      </c>
      <c r="B42" s="26" t="s">
        <v>58</v>
      </c>
      <c r="C42" s="48" t="s">
        <v>59</v>
      </c>
      <c r="D42" s="26" t="s">
        <v>60</v>
      </c>
      <c r="E42" s="26" t="s">
        <v>79</v>
      </c>
      <c r="F42" s="26"/>
      <c r="G42" s="26" t="s">
        <v>64</v>
      </c>
      <c r="H42" s="49" t="s">
        <v>253</v>
      </c>
      <c r="I42" s="50">
        <v>2439.5973154362414</v>
      </c>
      <c r="J42" s="26" t="s">
        <v>67</v>
      </c>
      <c r="K42" s="48" t="s">
        <v>374</v>
      </c>
      <c r="L42" s="67" t="s">
        <v>14</v>
      </c>
      <c r="M42" s="98" t="s">
        <v>202</v>
      </c>
      <c r="N42" s="26">
        <v>2026</v>
      </c>
    </row>
    <row r="43" spans="1:14">
      <c r="A43" s="26">
        <v>95</v>
      </c>
      <c r="B43" s="26" t="s">
        <v>58</v>
      </c>
      <c r="C43" s="26" t="s">
        <v>59</v>
      </c>
      <c r="D43" s="26"/>
      <c r="E43" s="26" t="s">
        <v>100</v>
      </c>
      <c r="F43" s="26"/>
      <c r="G43" s="26" t="s">
        <v>64</v>
      </c>
      <c r="H43" s="26" t="s">
        <v>354</v>
      </c>
      <c r="I43" s="53">
        <v>1035.5704697986578</v>
      </c>
      <c r="J43" s="26" t="s">
        <v>67</v>
      </c>
      <c r="K43" s="48" t="s">
        <v>374</v>
      </c>
      <c r="L43" s="67" t="s">
        <v>14</v>
      </c>
      <c r="M43" s="98" t="s">
        <v>202</v>
      </c>
      <c r="N43" s="26">
        <v>2026</v>
      </c>
    </row>
    <row r="44" spans="1:14">
      <c r="A44" s="26">
        <v>96</v>
      </c>
      <c r="B44" s="26" t="s">
        <v>58</v>
      </c>
      <c r="C44" s="26" t="s">
        <v>59</v>
      </c>
      <c r="D44" s="26"/>
      <c r="E44" s="26" t="s">
        <v>100</v>
      </c>
      <c r="F44" s="26"/>
      <c r="G44" s="26" t="s">
        <v>64</v>
      </c>
      <c r="H44" s="26" t="s">
        <v>81</v>
      </c>
      <c r="I44" s="53">
        <v>88.758389261744966</v>
      </c>
      <c r="J44" s="26" t="s">
        <v>67</v>
      </c>
      <c r="K44" s="48" t="s">
        <v>374</v>
      </c>
      <c r="L44" s="67" t="s">
        <v>14</v>
      </c>
      <c r="M44" s="98" t="s">
        <v>202</v>
      </c>
      <c r="N44" s="26">
        <v>2026</v>
      </c>
    </row>
    <row r="45" spans="1:14">
      <c r="A45" s="26">
        <v>106</v>
      </c>
      <c r="B45" s="26" t="s">
        <v>58</v>
      </c>
      <c r="C45" s="26" t="s">
        <v>59</v>
      </c>
      <c r="D45" s="26"/>
      <c r="E45" s="26" t="s">
        <v>246</v>
      </c>
      <c r="F45" s="26"/>
      <c r="G45" s="26" t="s">
        <v>64</v>
      </c>
      <c r="H45" s="26" t="s">
        <v>357</v>
      </c>
      <c r="I45" s="53">
        <v>712.75167785234896</v>
      </c>
      <c r="J45" s="26" t="s">
        <v>67</v>
      </c>
      <c r="K45" s="48">
        <v>46024</v>
      </c>
      <c r="L45" s="67" t="s">
        <v>14</v>
      </c>
      <c r="M45" s="98" t="s">
        <v>202</v>
      </c>
      <c r="N45" s="26">
        <v>2026</v>
      </c>
    </row>
    <row r="46" spans="1:14">
      <c r="A46" s="26">
        <v>107</v>
      </c>
      <c r="B46" s="26" t="s">
        <v>58</v>
      </c>
      <c r="C46" s="26" t="s">
        <v>59</v>
      </c>
      <c r="D46" s="26"/>
      <c r="E46" s="26" t="s">
        <v>246</v>
      </c>
      <c r="F46" s="26"/>
      <c r="G46" s="26" t="s">
        <v>64</v>
      </c>
      <c r="H46" s="26" t="s">
        <v>358</v>
      </c>
      <c r="I46" s="53">
        <v>208.05369127516778</v>
      </c>
      <c r="J46" s="26" t="s">
        <v>67</v>
      </c>
      <c r="K46" s="48" t="s">
        <v>274</v>
      </c>
      <c r="L46" s="67" t="s">
        <v>14</v>
      </c>
      <c r="M46" s="98" t="s">
        <v>202</v>
      </c>
      <c r="N46" s="26">
        <v>2026</v>
      </c>
    </row>
    <row r="47" spans="1:14">
      <c r="A47" s="26">
        <v>108</v>
      </c>
      <c r="B47" s="26" t="s">
        <v>58</v>
      </c>
      <c r="C47" s="26" t="s">
        <v>59</v>
      </c>
      <c r="D47" s="26"/>
      <c r="E47" s="26" t="s">
        <v>246</v>
      </c>
      <c r="F47" s="26"/>
      <c r="G47" s="26" t="s">
        <v>64</v>
      </c>
      <c r="H47" s="26" t="s">
        <v>359</v>
      </c>
      <c r="I47" s="53">
        <v>654.3624161073825</v>
      </c>
      <c r="J47" s="26" t="s">
        <v>67</v>
      </c>
      <c r="K47" s="48" t="s">
        <v>368</v>
      </c>
      <c r="L47" s="67" t="s">
        <v>14</v>
      </c>
      <c r="M47" s="98" t="s">
        <v>202</v>
      </c>
      <c r="N47" s="26">
        <v>2026</v>
      </c>
    </row>
    <row r="48" spans="1:14">
      <c r="A48" s="26">
        <v>109</v>
      </c>
      <c r="B48" s="26" t="s">
        <v>58</v>
      </c>
      <c r="C48" s="26" t="s">
        <v>59</v>
      </c>
      <c r="D48" s="26"/>
      <c r="E48" s="26" t="s">
        <v>246</v>
      </c>
      <c r="F48" s="26"/>
      <c r="G48" s="26" t="s">
        <v>64</v>
      </c>
      <c r="H48" s="26" t="s">
        <v>360</v>
      </c>
      <c r="I48" s="53">
        <v>1006.7114093959732</v>
      </c>
      <c r="J48" s="26" t="s">
        <v>67</v>
      </c>
      <c r="K48" s="48">
        <v>46236</v>
      </c>
      <c r="L48" s="67" t="s">
        <v>14</v>
      </c>
      <c r="M48" s="98" t="s">
        <v>202</v>
      </c>
      <c r="N48" s="26">
        <v>2026</v>
      </c>
    </row>
    <row r="49" spans="1:14">
      <c r="A49" s="26">
        <v>110</v>
      </c>
      <c r="B49" s="26" t="s">
        <v>58</v>
      </c>
      <c r="C49" s="26" t="s">
        <v>59</v>
      </c>
      <c r="D49" s="26"/>
      <c r="E49" s="26" t="s">
        <v>246</v>
      </c>
      <c r="F49" s="26"/>
      <c r="G49" s="26" t="s">
        <v>64</v>
      </c>
      <c r="H49" s="26" t="s">
        <v>358</v>
      </c>
      <c r="I49" s="53">
        <v>211.40939597315437</v>
      </c>
      <c r="J49" s="26" t="s">
        <v>67</v>
      </c>
      <c r="K49" s="48" t="s">
        <v>364</v>
      </c>
      <c r="L49" s="67" t="s">
        <v>14</v>
      </c>
      <c r="M49" s="98" t="s">
        <v>202</v>
      </c>
      <c r="N49" s="26">
        <v>2026</v>
      </c>
    </row>
    <row r="50" spans="1:14">
      <c r="A50" s="26">
        <v>111</v>
      </c>
      <c r="B50" s="26" t="s">
        <v>58</v>
      </c>
      <c r="C50" s="26" t="s">
        <v>59</v>
      </c>
      <c r="D50" s="26"/>
      <c r="E50" s="26" t="s">
        <v>246</v>
      </c>
      <c r="F50" s="26"/>
      <c r="G50" s="26" t="s">
        <v>64</v>
      </c>
      <c r="H50" s="26" t="s">
        <v>358</v>
      </c>
      <c r="I50" s="53">
        <v>550.33557046979865</v>
      </c>
      <c r="J50" s="26" t="s">
        <v>67</v>
      </c>
      <c r="K50" s="48" t="s">
        <v>362</v>
      </c>
      <c r="L50" s="67" t="s">
        <v>14</v>
      </c>
      <c r="M50" s="98" t="s">
        <v>202</v>
      </c>
      <c r="N50" s="26">
        <v>2026</v>
      </c>
    </row>
    <row r="51" spans="1:14">
      <c r="A51" s="26">
        <v>112</v>
      </c>
      <c r="B51" s="26" t="s">
        <v>58</v>
      </c>
      <c r="C51" s="26" t="s">
        <v>59</v>
      </c>
      <c r="D51" s="26"/>
      <c r="E51" s="26" t="s">
        <v>246</v>
      </c>
      <c r="F51" s="26"/>
      <c r="G51" s="26" t="s">
        <v>64</v>
      </c>
      <c r="H51" s="26" t="s">
        <v>361</v>
      </c>
      <c r="I51" s="53">
        <v>704.69798657718115</v>
      </c>
      <c r="J51" s="26">
        <v>2346</v>
      </c>
      <c r="K51" s="48" t="s">
        <v>366</v>
      </c>
      <c r="L51" s="67" t="s">
        <v>14</v>
      </c>
      <c r="M51" s="98" t="s">
        <v>202</v>
      </c>
      <c r="N51" s="26">
        <v>2026</v>
      </c>
    </row>
    <row r="52" spans="1:14">
      <c r="A52" s="26">
        <v>25</v>
      </c>
      <c r="B52" s="26" t="s">
        <v>271</v>
      </c>
      <c r="C52" s="48" t="s">
        <v>272</v>
      </c>
      <c r="D52" s="26" t="s">
        <v>60</v>
      </c>
      <c r="E52" s="26" t="s">
        <v>70</v>
      </c>
      <c r="F52" s="26"/>
      <c r="G52" s="26" t="s">
        <v>64</v>
      </c>
      <c r="H52" s="49" t="s">
        <v>322</v>
      </c>
      <c r="I52" s="50">
        <v>1006.7114093959732</v>
      </c>
      <c r="J52" s="26" t="s">
        <v>67</v>
      </c>
      <c r="K52" s="48" t="s">
        <v>368</v>
      </c>
      <c r="L52" s="67" t="s">
        <v>14</v>
      </c>
      <c r="M52" s="98" t="s">
        <v>202</v>
      </c>
      <c r="N52" s="26">
        <v>2026</v>
      </c>
    </row>
    <row r="53" spans="1:14">
      <c r="A53" s="26">
        <v>26</v>
      </c>
      <c r="B53" s="26" t="s">
        <v>271</v>
      </c>
      <c r="C53" s="48" t="s">
        <v>272</v>
      </c>
      <c r="D53" s="26" t="s">
        <v>60</v>
      </c>
      <c r="E53" s="26" t="s">
        <v>70</v>
      </c>
      <c r="F53" s="26"/>
      <c r="G53" s="26" t="s">
        <v>64</v>
      </c>
      <c r="H53" s="49" t="s">
        <v>323</v>
      </c>
      <c r="I53" s="50">
        <v>290.60402684563758</v>
      </c>
      <c r="J53" s="26" t="s">
        <v>67</v>
      </c>
      <c r="K53" s="48">
        <v>46267</v>
      </c>
      <c r="L53" s="67" t="s">
        <v>14</v>
      </c>
      <c r="M53" s="98" t="s">
        <v>202</v>
      </c>
      <c r="N53" s="26">
        <v>2026</v>
      </c>
    </row>
    <row r="54" spans="1:14">
      <c r="A54" s="26">
        <v>27</v>
      </c>
      <c r="B54" s="26" t="s">
        <v>271</v>
      </c>
      <c r="C54" s="48" t="s">
        <v>272</v>
      </c>
      <c r="D54" s="26" t="s">
        <v>60</v>
      </c>
      <c r="E54" s="26" t="s">
        <v>70</v>
      </c>
      <c r="F54" s="26"/>
      <c r="G54" s="26" t="s">
        <v>64</v>
      </c>
      <c r="H54" s="52" t="s">
        <v>324</v>
      </c>
      <c r="I54" s="50">
        <v>295.9731543624161</v>
      </c>
      <c r="J54" s="26" t="s">
        <v>67</v>
      </c>
      <c r="K54" s="48" t="s">
        <v>367</v>
      </c>
      <c r="L54" s="67" t="s">
        <v>14</v>
      </c>
      <c r="M54" s="98" t="s">
        <v>202</v>
      </c>
      <c r="N54" s="26">
        <v>2026</v>
      </c>
    </row>
    <row r="55" spans="1:14">
      <c r="A55" s="26">
        <v>59</v>
      </c>
      <c r="B55" s="26" t="s">
        <v>271</v>
      </c>
      <c r="C55" s="48" t="s">
        <v>272</v>
      </c>
      <c r="D55" s="26" t="s">
        <v>60</v>
      </c>
      <c r="E55" s="26" t="s">
        <v>70</v>
      </c>
      <c r="F55" s="26"/>
      <c r="G55" s="26" t="s">
        <v>64</v>
      </c>
      <c r="H55" s="49" t="s">
        <v>344</v>
      </c>
      <c r="I55" s="50">
        <v>503.3557046979866</v>
      </c>
      <c r="J55" s="26">
        <v>71</v>
      </c>
      <c r="K55" s="48" t="s">
        <v>362</v>
      </c>
      <c r="L55" s="67" t="s">
        <v>14</v>
      </c>
      <c r="M55" s="98" t="s">
        <v>202</v>
      </c>
      <c r="N55" s="26">
        <v>2026</v>
      </c>
    </row>
    <row r="56" spans="1:14">
      <c r="A56" s="26">
        <v>77</v>
      </c>
      <c r="B56" s="26" t="s">
        <v>271</v>
      </c>
      <c r="C56" s="48" t="s">
        <v>272</v>
      </c>
      <c r="D56" s="26" t="s">
        <v>60</v>
      </c>
      <c r="E56" s="26" t="s">
        <v>70</v>
      </c>
      <c r="F56" s="26"/>
      <c r="G56" s="26" t="s">
        <v>64</v>
      </c>
      <c r="H56" s="49" t="s">
        <v>352</v>
      </c>
      <c r="I56" s="50">
        <v>103.35570469798658</v>
      </c>
      <c r="J56" s="26" t="s">
        <v>67</v>
      </c>
      <c r="K56" s="48">
        <v>46297</v>
      </c>
      <c r="L56" s="67" t="s">
        <v>14</v>
      </c>
      <c r="M56" s="98" t="s">
        <v>202</v>
      </c>
      <c r="N56" s="26">
        <v>2026</v>
      </c>
    </row>
    <row r="57" spans="1:14">
      <c r="A57" s="26">
        <v>78</v>
      </c>
      <c r="B57" s="26" t="s">
        <v>271</v>
      </c>
      <c r="C57" s="48" t="s">
        <v>272</v>
      </c>
      <c r="D57" s="26" t="s">
        <v>60</v>
      </c>
      <c r="E57" s="26" t="s">
        <v>111</v>
      </c>
      <c r="F57" s="26"/>
      <c r="G57" s="26" t="s">
        <v>64</v>
      </c>
      <c r="H57" s="49" t="s">
        <v>353</v>
      </c>
      <c r="I57" s="50">
        <v>377.18120805369125</v>
      </c>
      <c r="J57" s="26">
        <v>163</v>
      </c>
      <c r="K57" s="48" t="s">
        <v>363</v>
      </c>
      <c r="L57" s="67" t="s">
        <v>14</v>
      </c>
      <c r="M57" s="98" t="s">
        <v>202</v>
      </c>
      <c r="N57" s="26">
        <v>2026</v>
      </c>
    </row>
    <row r="58" spans="1:14">
      <c r="A58" s="26">
        <v>90</v>
      </c>
      <c r="B58" s="26" t="s">
        <v>271</v>
      </c>
      <c r="C58" s="26" t="s">
        <v>272</v>
      </c>
      <c r="D58" s="26"/>
      <c r="E58" s="26" t="s">
        <v>100</v>
      </c>
      <c r="F58" s="26"/>
      <c r="G58" s="26" t="s">
        <v>64</v>
      </c>
      <c r="H58" s="49" t="s">
        <v>355</v>
      </c>
      <c r="I58" s="50">
        <v>201.34228187919464</v>
      </c>
      <c r="J58" s="49">
        <v>224</v>
      </c>
      <c r="K58" s="48">
        <v>46175</v>
      </c>
      <c r="L58" s="67" t="s">
        <v>14</v>
      </c>
      <c r="M58" s="98" t="s">
        <v>202</v>
      </c>
      <c r="N58" s="26">
        <v>2026</v>
      </c>
    </row>
    <row r="59" spans="1:14">
      <c r="A59" s="26">
        <v>105</v>
      </c>
      <c r="B59" s="26" t="s">
        <v>271</v>
      </c>
      <c r="C59" s="26" t="s">
        <v>272</v>
      </c>
      <c r="D59" s="26"/>
      <c r="E59" s="26" t="s">
        <v>246</v>
      </c>
      <c r="F59" s="26"/>
      <c r="G59" s="26" t="s">
        <v>64</v>
      </c>
      <c r="H59" s="26" t="s">
        <v>356</v>
      </c>
      <c r="I59" s="53">
        <v>822.14765100671138</v>
      </c>
      <c r="J59" s="26" t="s">
        <v>67</v>
      </c>
      <c r="K59" s="48" t="s">
        <v>368</v>
      </c>
      <c r="L59" s="67" t="s">
        <v>14</v>
      </c>
      <c r="M59" s="98" t="s">
        <v>202</v>
      </c>
      <c r="N59" s="26">
        <v>2026</v>
      </c>
    </row>
    <row r="60" spans="1:14">
      <c r="A60" s="26">
        <v>4</v>
      </c>
      <c r="B60" s="26" t="s">
        <v>33</v>
      </c>
      <c r="C60" s="48" t="s">
        <v>34</v>
      </c>
      <c r="D60" s="26" t="s">
        <v>60</v>
      </c>
      <c r="E60" s="26" t="s">
        <v>63</v>
      </c>
      <c r="F60" s="26"/>
      <c r="G60" s="26" t="s">
        <v>64</v>
      </c>
      <c r="H60" s="49" t="s">
        <v>311</v>
      </c>
      <c r="I60" s="50">
        <v>335.57046979865771</v>
      </c>
      <c r="J60" s="26" t="s">
        <v>67</v>
      </c>
      <c r="K60" s="48">
        <v>46055</v>
      </c>
      <c r="L60" s="67" t="s">
        <v>14</v>
      </c>
      <c r="M60" s="98" t="s">
        <v>202</v>
      </c>
      <c r="N60" s="26">
        <v>2026</v>
      </c>
    </row>
    <row r="61" spans="1:14">
      <c r="A61" s="26">
        <v>5</v>
      </c>
      <c r="B61" s="26" t="s">
        <v>33</v>
      </c>
      <c r="C61" s="48" t="s">
        <v>34</v>
      </c>
      <c r="D61" s="26" t="s">
        <v>60</v>
      </c>
      <c r="E61" s="26" t="s">
        <v>63</v>
      </c>
      <c r="F61" s="26"/>
      <c r="G61" s="26" t="s">
        <v>64</v>
      </c>
      <c r="H61" s="49" t="s">
        <v>311</v>
      </c>
      <c r="I61" s="50">
        <v>503.3557046979866</v>
      </c>
      <c r="J61" s="26" t="s">
        <v>67</v>
      </c>
      <c r="K61" s="48">
        <v>46055</v>
      </c>
      <c r="L61" s="67" t="s">
        <v>14</v>
      </c>
      <c r="M61" s="98" t="s">
        <v>202</v>
      </c>
      <c r="N61" s="26">
        <v>2026</v>
      </c>
    </row>
    <row r="62" spans="1:14">
      <c r="A62" s="26">
        <v>6</v>
      </c>
      <c r="B62" s="26" t="s">
        <v>33</v>
      </c>
      <c r="C62" s="48" t="s">
        <v>34</v>
      </c>
      <c r="D62" s="26" t="s">
        <v>60</v>
      </c>
      <c r="E62" s="26" t="s">
        <v>63</v>
      </c>
      <c r="F62" s="26"/>
      <c r="G62" s="26" t="s">
        <v>64</v>
      </c>
      <c r="H62" s="49" t="s">
        <v>65</v>
      </c>
      <c r="I62" s="50">
        <v>671.14093959731542</v>
      </c>
      <c r="J62" s="26" t="s">
        <v>67</v>
      </c>
      <c r="K62" s="48">
        <v>46236</v>
      </c>
      <c r="L62" s="67" t="s">
        <v>14</v>
      </c>
      <c r="M62" s="98" t="s">
        <v>202</v>
      </c>
      <c r="N62" s="26">
        <v>2026</v>
      </c>
    </row>
    <row r="63" spans="1:14">
      <c r="A63" s="26">
        <v>91</v>
      </c>
      <c r="B63" s="26" t="s">
        <v>33</v>
      </c>
      <c r="C63" s="26" t="s">
        <v>34</v>
      </c>
      <c r="D63" s="26"/>
      <c r="E63" s="26" t="s">
        <v>100</v>
      </c>
      <c r="F63" s="26"/>
      <c r="G63" s="26" t="s">
        <v>64</v>
      </c>
      <c r="H63" s="26" t="s">
        <v>354</v>
      </c>
      <c r="I63" s="53">
        <v>516.10738255033561</v>
      </c>
      <c r="J63" s="26" t="s">
        <v>67</v>
      </c>
      <c r="K63" s="48" t="s">
        <v>374</v>
      </c>
      <c r="L63" s="67" t="s">
        <v>14</v>
      </c>
      <c r="M63" s="98" t="s">
        <v>202</v>
      </c>
      <c r="N63" s="26">
        <v>2026</v>
      </c>
    </row>
    <row r="64" spans="1:14">
      <c r="A64" s="26">
        <v>92</v>
      </c>
      <c r="B64" s="26" t="s">
        <v>307</v>
      </c>
      <c r="C64" s="26" t="s">
        <v>308</v>
      </c>
      <c r="D64" s="26"/>
      <c r="E64" s="26" t="s">
        <v>100</v>
      </c>
      <c r="F64" s="26"/>
      <c r="G64" s="26" t="s">
        <v>64</v>
      </c>
      <c r="H64" s="26" t="s">
        <v>354</v>
      </c>
      <c r="I64" s="53">
        <v>100.67114093959732</v>
      </c>
      <c r="J64" s="26" t="s">
        <v>67</v>
      </c>
      <c r="K64" s="48" t="s">
        <v>374</v>
      </c>
      <c r="L64" s="67" t="s">
        <v>14</v>
      </c>
      <c r="M64" s="98" t="s">
        <v>202</v>
      </c>
      <c r="N64" s="26">
        <v>2026</v>
      </c>
    </row>
    <row r="65" spans="1:14">
      <c r="A65" s="26">
        <v>86</v>
      </c>
      <c r="B65" s="26" t="s">
        <v>35</v>
      </c>
      <c r="C65" s="26" t="s">
        <v>36</v>
      </c>
      <c r="D65" s="26"/>
      <c r="E65" s="26" t="s">
        <v>100</v>
      </c>
      <c r="F65" s="26"/>
      <c r="G65" s="26" t="s">
        <v>64</v>
      </c>
      <c r="H65" s="26" t="s">
        <v>354</v>
      </c>
      <c r="I65" s="50">
        <v>106.71140939597315</v>
      </c>
      <c r="J65" s="26" t="s">
        <v>67</v>
      </c>
      <c r="K65" s="48" t="s">
        <v>374</v>
      </c>
      <c r="L65" s="67" t="s">
        <v>14</v>
      </c>
      <c r="M65" s="98" t="s">
        <v>202</v>
      </c>
      <c r="N65" s="26">
        <v>2026</v>
      </c>
    </row>
    <row r="66" spans="1:14">
      <c r="A66" s="26">
        <v>22</v>
      </c>
      <c r="B66" s="26" t="s">
        <v>42</v>
      </c>
      <c r="C66" s="26" t="s">
        <v>69</v>
      </c>
      <c r="D66" s="26" t="s">
        <v>60</v>
      </c>
      <c r="E66" s="26" t="s">
        <v>70</v>
      </c>
      <c r="F66" s="26"/>
      <c r="G66" s="26" t="s">
        <v>64</v>
      </c>
      <c r="H66" s="26" t="s">
        <v>320</v>
      </c>
      <c r="I66" s="50">
        <v>671.14093959731542</v>
      </c>
      <c r="J66" s="26" t="s">
        <v>67</v>
      </c>
      <c r="K66" s="48">
        <v>46083</v>
      </c>
      <c r="L66" s="67" t="s">
        <v>14</v>
      </c>
      <c r="M66" s="98" t="s">
        <v>202</v>
      </c>
      <c r="N66" s="26">
        <v>2026</v>
      </c>
    </row>
    <row r="67" spans="1:14">
      <c r="A67" s="26">
        <v>23</v>
      </c>
      <c r="B67" s="26" t="s">
        <v>42</v>
      </c>
      <c r="C67" s="48" t="s">
        <v>44</v>
      </c>
      <c r="D67" s="26" t="s">
        <v>60</v>
      </c>
      <c r="E67" s="26" t="s">
        <v>70</v>
      </c>
      <c r="F67" s="26"/>
      <c r="G67" s="26" t="s">
        <v>64</v>
      </c>
      <c r="H67" s="49" t="s">
        <v>248</v>
      </c>
      <c r="I67" s="50">
        <v>263.42281879194633</v>
      </c>
      <c r="J67" s="26" t="s">
        <v>67</v>
      </c>
      <c r="K67" s="48" t="s">
        <v>366</v>
      </c>
      <c r="L67" s="67" t="s">
        <v>14</v>
      </c>
      <c r="M67" s="98" t="s">
        <v>202</v>
      </c>
      <c r="N67" s="26">
        <v>2026</v>
      </c>
    </row>
    <row r="68" spans="1:14">
      <c r="A68" s="26">
        <v>24</v>
      </c>
      <c r="B68" s="26" t="s">
        <v>42</v>
      </c>
      <c r="C68" s="48" t="s">
        <v>45</v>
      </c>
      <c r="D68" s="26" t="s">
        <v>60</v>
      </c>
      <c r="E68" s="26" t="s">
        <v>70</v>
      </c>
      <c r="F68" s="26"/>
      <c r="G68" s="26" t="s">
        <v>64</v>
      </c>
      <c r="H68" s="49" t="s">
        <v>321</v>
      </c>
      <c r="I68" s="50">
        <v>1313.7583892617449</v>
      </c>
      <c r="J68" s="26" t="s">
        <v>67</v>
      </c>
      <c r="K68" s="48" t="s">
        <v>274</v>
      </c>
      <c r="L68" s="67" t="s">
        <v>14</v>
      </c>
      <c r="M68" s="98" t="s">
        <v>202</v>
      </c>
      <c r="N68" s="26">
        <v>2026</v>
      </c>
    </row>
    <row r="69" spans="1:14">
      <c r="A69" s="26">
        <v>41</v>
      </c>
      <c r="B69" s="26" t="s">
        <v>42</v>
      </c>
      <c r="C69" s="48" t="s">
        <v>48</v>
      </c>
      <c r="D69" s="26" t="s">
        <v>60</v>
      </c>
      <c r="E69" s="26" t="s">
        <v>70</v>
      </c>
      <c r="F69" s="26"/>
      <c r="G69" s="26" t="s">
        <v>64</v>
      </c>
      <c r="H69" s="49" t="s">
        <v>249</v>
      </c>
      <c r="I69" s="50">
        <v>492.95302013422821</v>
      </c>
      <c r="J69" s="26" t="s">
        <v>67</v>
      </c>
      <c r="K69" s="48" t="s">
        <v>366</v>
      </c>
      <c r="L69" s="67" t="s">
        <v>14</v>
      </c>
      <c r="M69" s="98" t="s">
        <v>202</v>
      </c>
      <c r="N69" s="26">
        <v>2026</v>
      </c>
    </row>
    <row r="70" spans="1:14">
      <c r="A70" s="26">
        <v>42</v>
      </c>
      <c r="B70" s="26" t="s">
        <v>42</v>
      </c>
      <c r="C70" s="48" t="s">
        <v>50</v>
      </c>
      <c r="D70" s="26" t="s">
        <v>60</v>
      </c>
      <c r="E70" s="26" t="s">
        <v>70</v>
      </c>
      <c r="F70" s="26"/>
      <c r="G70" s="26" t="s">
        <v>64</v>
      </c>
      <c r="H70" s="49" t="s">
        <v>334</v>
      </c>
      <c r="I70" s="50">
        <v>372.48322147651004</v>
      </c>
      <c r="J70" s="26">
        <v>507</v>
      </c>
      <c r="K70" s="48" t="s">
        <v>366</v>
      </c>
      <c r="L70" s="67" t="s">
        <v>14</v>
      </c>
      <c r="M70" s="98" t="s">
        <v>202</v>
      </c>
      <c r="N70" s="26">
        <v>2026</v>
      </c>
    </row>
    <row r="71" spans="1:14">
      <c r="A71" s="26">
        <v>43</v>
      </c>
      <c r="B71" s="26" t="s">
        <v>42</v>
      </c>
      <c r="C71" s="48" t="s">
        <v>50</v>
      </c>
      <c r="D71" s="26" t="s">
        <v>60</v>
      </c>
      <c r="E71" s="26" t="s">
        <v>70</v>
      </c>
      <c r="F71" s="26"/>
      <c r="G71" s="26" t="s">
        <v>64</v>
      </c>
      <c r="H71" s="49" t="s">
        <v>335</v>
      </c>
      <c r="I71" s="50">
        <v>1006.7114093959732</v>
      </c>
      <c r="J71" s="26" t="s">
        <v>67</v>
      </c>
      <c r="K71" s="48">
        <v>46236</v>
      </c>
      <c r="L71" s="67" t="s">
        <v>14</v>
      </c>
      <c r="M71" s="98" t="s">
        <v>202</v>
      </c>
      <c r="N71" s="26">
        <v>2026</v>
      </c>
    </row>
    <row r="72" spans="1:14">
      <c r="A72" s="26">
        <v>44</v>
      </c>
      <c r="B72" s="26" t="s">
        <v>42</v>
      </c>
      <c r="C72" s="48" t="s">
        <v>50</v>
      </c>
      <c r="D72" s="26" t="s">
        <v>60</v>
      </c>
      <c r="E72" s="26" t="s">
        <v>70</v>
      </c>
      <c r="F72" s="26"/>
      <c r="G72" s="26" t="s">
        <v>64</v>
      </c>
      <c r="H72" s="49" t="s">
        <v>335</v>
      </c>
      <c r="I72" s="50">
        <v>1052.3489932885907</v>
      </c>
      <c r="J72" s="26" t="s">
        <v>67</v>
      </c>
      <c r="K72" s="48" t="s">
        <v>371</v>
      </c>
      <c r="L72" s="67" t="s">
        <v>14</v>
      </c>
      <c r="M72" s="98" t="s">
        <v>202</v>
      </c>
      <c r="N72" s="26">
        <v>2026</v>
      </c>
    </row>
    <row r="73" spans="1:14">
      <c r="A73" s="26">
        <v>45</v>
      </c>
      <c r="B73" s="26" t="s">
        <v>42</v>
      </c>
      <c r="C73" s="48" t="s">
        <v>50</v>
      </c>
      <c r="D73" s="26" t="s">
        <v>60</v>
      </c>
      <c r="E73" s="26" t="s">
        <v>70</v>
      </c>
      <c r="F73" s="26"/>
      <c r="G73" s="26" t="s">
        <v>64</v>
      </c>
      <c r="H73" s="49" t="s">
        <v>250</v>
      </c>
      <c r="I73" s="50">
        <v>671.14093959731542</v>
      </c>
      <c r="J73" s="26" t="s">
        <v>67</v>
      </c>
      <c r="K73" s="48">
        <v>46144</v>
      </c>
      <c r="L73" s="67" t="s">
        <v>14</v>
      </c>
      <c r="M73" s="98" t="s">
        <v>202</v>
      </c>
      <c r="N73" s="26">
        <v>2026</v>
      </c>
    </row>
    <row r="74" spans="1:14">
      <c r="A74" s="26">
        <v>46</v>
      </c>
      <c r="B74" s="26" t="s">
        <v>42</v>
      </c>
      <c r="C74" s="26" t="s">
        <v>51</v>
      </c>
      <c r="D74" s="26" t="s">
        <v>60</v>
      </c>
      <c r="E74" s="26" t="s">
        <v>70</v>
      </c>
      <c r="F74" s="26"/>
      <c r="G74" s="26" t="s">
        <v>64</v>
      </c>
      <c r="H74" s="26" t="s">
        <v>336</v>
      </c>
      <c r="I74" s="50">
        <v>268.45637583892619</v>
      </c>
      <c r="J74" s="26" t="s">
        <v>67</v>
      </c>
      <c r="K74" s="48" t="s">
        <v>363</v>
      </c>
      <c r="L74" s="67" t="s">
        <v>14</v>
      </c>
      <c r="M74" s="98" t="s">
        <v>202</v>
      </c>
      <c r="N74" s="26">
        <v>2026</v>
      </c>
    </row>
    <row r="75" spans="1:14">
      <c r="A75" s="26">
        <v>47</v>
      </c>
      <c r="B75" s="26" t="s">
        <v>42</v>
      </c>
      <c r="C75" s="48" t="s">
        <v>51</v>
      </c>
      <c r="D75" s="26" t="s">
        <v>60</v>
      </c>
      <c r="E75" s="26" t="s">
        <v>70</v>
      </c>
      <c r="F75" s="26"/>
      <c r="G75" s="26" t="s">
        <v>64</v>
      </c>
      <c r="H75" s="49" t="s">
        <v>337</v>
      </c>
      <c r="I75" s="50">
        <v>1557.0469798657718</v>
      </c>
      <c r="J75" s="26" t="s">
        <v>67</v>
      </c>
      <c r="K75" s="48">
        <v>46083</v>
      </c>
      <c r="L75" s="67" t="s">
        <v>14</v>
      </c>
      <c r="M75" s="98" t="s">
        <v>202</v>
      </c>
      <c r="N75" s="26">
        <v>2026</v>
      </c>
    </row>
    <row r="76" spans="1:14">
      <c r="A76" s="26">
        <v>51</v>
      </c>
      <c r="B76" s="26" t="s">
        <v>42</v>
      </c>
      <c r="C76" s="26" t="s">
        <v>72</v>
      </c>
      <c r="D76" s="26" t="s">
        <v>60</v>
      </c>
      <c r="E76" s="26" t="s">
        <v>70</v>
      </c>
      <c r="F76" s="26"/>
      <c r="G76" s="26" t="s">
        <v>64</v>
      </c>
      <c r="H76" s="26" t="s">
        <v>252</v>
      </c>
      <c r="I76" s="50">
        <v>1991.275167785235</v>
      </c>
      <c r="J76" s="26" t="s">
        <v>67</v>
      </c>
      <c r="K76" s="48" t="s">
        <v>364</v>
      </c>
      <c r="L76" s="67" t="s">
        <v>14</v>
      </c>
      <c r="M76" s="98" t="s">
        <v>202</v>
      </c>
      <c r="N76" s="26">
        <v>2026</v>
      </c>
    </row>
    <row r="77" spans="1:14">
      <c r="A77" s="26">
        <v>67</v>
      </c>
      <c r="B77" s="26" t="s">
        <v>42</v>
      </c>
      <c r="C77" s="48" t="s">
        <v>50</v>
      </c>
      <c r="D77" s="26" t="s">
        <v>60</v>
      </c>
      <c r="E77" s="26" t="s">
        <v>79</v>
      </c>
      <c r="F77" s="26"/>
      <c r="G77" s="26" t="s">
        <v>64</v>
      </c>
      <c r="H77" s="49" t="s">
        <v>349</v>
      </c>
      <c r="I77" s="50">
        <v>939.59731543624162</v>
      </c>
      <c r="J77" s="26">
        <v>61</v>
      </c>
      <c r="K77" s="48" t="s">
        <v>364</v>
      </c>
      <c r="L77" s="67" t="s">
        <v>14</v>
      </c>
      <c r="M77" s="98" t="s">
        <v>202</v>
      </c>
      <c r="N77" s="26">
        <v>2026</v>
      </c>
    </row>
    <row r="78" spans="1:14">
      <c r="A78" s="26">
        <v>68</v>
      </c>
      <c r="B78" s="26" t="s">
        <v>42</v>
      </c>
      <c r="C78" s="48" t="s">
        <v>50</v>
      </c>
      <c r="D78" s="26" t="s">
        <v>60</v>
      </c>
      <c r="E78" s="26" t="s">
        <v>79</v>
      </c>
      <c r="F78" s="26"/>
      <c r="G78" s="26" t="s">
        <v>64</v>
      </c>
      <c r="H78" s="49" t="s">
        <v>350</v>
      </c>
      <c r="I78" s="50">
        <v>2080.5369127516778</v>
      </c>
      <c r="J78" s="26">
        <v>23798</v>
      </c>
      <c r="K78" s="48" t="s">
        <v>364</v>
      </c>
      <c r="L78" s="67" t="s">
        <v>14</v>
      </c>
      <c r="M78" s="98" t="s">
        <v>202</v>
      </c>
      <c r="N78" s="26">
        <v>2026</v>
      </c>
    </row>
    <row r="79" spans="1:14">
      <c r="A79" s="26">
        <v>85</v>
      </c>
      <c r="B79" s="26" t="s">
        <v>42</v>
      </c>
      <c r="C79" s="48" t="s">
        <v>69</v>
      </c>
      <c r="D79" s="26" t="s">
        <v>60</v>
      </c>
      <c r="E79" s="26" t="s">
        <v>100</v>
      </c>
      <c r="F79" s="26"/>
      <c r="G79" s="26" t="s">
        <v>64</v>
      </c>
      <c r="H79" s="49" t="s">
        <v>354</v>
      </c>
      <c r="I79" s="50">
        <v>587.24832214765104</v>
      </c>
      <c r="J79" s="26" t="s">
        <v>67</v>
      </c>
      <c r="K79" s="48" t="s">
        <v>374</v>
      </c>
      <c r="L79" s="67" t="s">
        <v>14</v>
      </c>
      <c r="M79" s="98" t="s">
        <v>202</v>
      </c>
      <c r="N79" s="26">
        <v>2026</v>
      </c>
    </row>
    <row r="80" spans="1:14">
      <c r="A80" s="26">
        <v>87</v>
      </c>
      <c r="B80" s="26" t="s">
        <v>42</v>
      </c>
      <c r="C80" s="26" t="s">
        <v>37</v>
      </c>
      <c r="D80" s="26"/>
      <c r="E80" s="26" t="s">
        <v>100</v>
      </c>
      <c r="F80" s="26"/>
      <c r="G80" s="26" t="s">
        <v>64</v>
      </c>
      <c r="H80" s="26" t="s">
        <v>354</v>
      </c>
      <c r="I80" s="50">
        <v>35.570469798657719</v>
      </c>
      <c r="J80" s="26" t="s">
        <v>67</v>
      </c>
      <c r="K80" s="48" t="s">
        <v>374</v>
      </c>
      <c r="L80" s="67" t="s">
        <v>14</v>
      </c>
      <c r="M80" s="98" t="s">
        <v>202</v>
      </c>
      <c r="N80" s="26">
        <v>2026</v>
      </c>
    </row>
    <row r="81" spans="1:14">
      <c r="A81" s="26">
        <v>88</v>
      </c>
      <c r="B81" s="26" t="s">
        <v>42</v>
      </c>
      <c r="C81" s="26" t="s">
        <v>45</v>
      </c>
      <c r="D81" s="26"/>
      <c r="E81" s="26" t="s">
        <v>100</v>
      </c>
      <c r="F81" s="26"/>
      <c r="G81" s="26" t="s">
        <v>64</v>
      </c>
      <c r="H81" s="26" t="s">
        <v>354</v>
      </c>
      <c r="I81" s="50">
        <v>177.85234899328859</v>
      </c>
      <c r="J81" s="26" t="s">
        <v>67</v>
      </c>
      <c r="K81" s="48" t="s">
        <v>374</v>
      </c>
      <c r="L81" s="67" t="s">
        <v>14</v>
      </c>
      <c r="M81" s="98" t="s">
        <v>202</v>
      </c>
      <c r="N81" s="26">
        <v>2026</v>
      </c>
    </row>
    <row r="82" spans="1:14">
      <c r="A82" s="26">
        <v>89</v>
      </c>
      <c r="B82" s="26" t="s">
        <v>42</v>
      </c>
      <c r="C82" s="26" t="s">
        <v>45</v>
      </c>
      <c r="D82" s="26"/>
      <c r="E82" s="26" t="s">
        <v>100</v>
      </c>
      <c r="F82" s="26"/>
      <c r="G82" s="26" t="s">
        <v>64</v>
      </c>
      <c r="H82" s="49" t="s">
        <v>354</v>
      </c>
      <c r="I82" s="50">
        <v>60.402684563758392</v>
      </c>
      <c r="J82" s="49" t="s">
        <v>67</v>
      </c>
      <c r="K82" s="48" t="s">
        <v>374</v>
      </c>
      <c r="L82" s="67" t="s">
        <v>14</v>
      </c>
      <c r="M82" s="98" t="s">
        <v>202</v>
      </c>
      <c r="N82" s="26">
        <v>2026</v>
      </c>
    </row>
    <row r="83" spans="1:14">
      <c r="A83" s="26">
        <v>98</v>
      </c>
      <c r="B83" s="26" t="s">
        <v>42</v>
      </c>
      <c r="C83" s="26" t="s">
        <v>47</v>
      </c>
      <c r="D83" s="26"/>
      <c r="E83" s="26" t="s">
        <v>100</v>
      </c>
      <c r="F83" s="26"/>
      <c r="G83" s="26" t="s">
        <v>64</v>
      </c>
      <c r="H83" s="26" t="s">
        <v>354</v>
      </c>
      <c r="I83" s="53">
        <v>71.140939597315437</v>
      </c>
      <c r="J83" s="26" t="s">
        <v>67</v>
      </c>
      <c r="K83" s="48" t="s">
        <v>374</v>
      </c>
      <c r="L83" s="67" t="s">
        <v>14</v>
      </c>
      <c r="M83" s="98" t="s">
        <v>202</v>
      </c>
      <c r="N83" s="26">
        <v>2026</v>
      </c>
    </row>
    <row r="84" spans="1:14">
      <c r="A84" s="26">
        <v>99</v>
      </c>
      <c r="B84" s="26" t="s">
        <v>42</v>
      </c>
      <c r="C84" s="26" t="s">
        <v>48</v>
      </c>
      <c r="D84" s="26"/>
      <c r="E84" s="26" t="s">
        <v>100</v>
      </c>
      <c r="F84" s="26"/>
      <c r="G84" s="26" t="s">
        <v>64</v>
      </c>
      <c r="H84" s="26" t="s">
        <v>354</v>
      </c>
      <c r="I84" s="53">
        <v>373.82550335570471</v>
      </c>
      <c r="J84" s="26" t="s">
        <v>67</v>
      </c>
      <c r="K84" s="48" t="s">
        <v>374</v>
      </c>
      <c r="L84" s="67" t="s">
        <v>14</v>
      </c>
      <c r="M84" s="98" t="s">
        <v>202</v>
      </c>
      <c r="N84" s="26">
        <v>2026</v>
      </c>
    </row>
    <row r="85" spans="1:14">
      <c r="A85" s="26">
        <v>100</v>
      </c>
      <c r="B85" s="26" t="s">
        <v>42</v>
      </c>
      <c r="C85" s="26" t="s">
        <v>50</v>
      </c>
      <c r="D85" s="26"/>
      <c r="E85" s="26" t="s">
        <v>100</v>
      </c>
      <c r="F85" s="26"/>
      <c r="G85" s="26" t="s">
        <v>64</v>
      </c>
      <c r="H85" s="26" t="s">
        <v>354</v>
      </c>
      <c r="I85" s="53">
        <v>302.68456375838929</v>
      </c>
      <c r="J85" s="26" t="s">
        <v>67</v>
      </c>
      <c r="K85" s="48" t="s">
        <v>374</v>
      </c>
      <c r="L85" s="67" t="s">
        <v>14</v>
      </c>
      <c r="M85" s="98" t="s">
        <v>202</v>
      </c>
      <c r="N85" s="26">
        <v>2026</v>
      </c>
    </row>
    <row r="86" spans="1:14">
      <c r="A86" s="26">
        <v>101</v>
      </c>
      <c r="B86" s="26" t="s">
        <v>42</v>
      </c>
      <c r="C86" s="26" t="s">
        <v>51</v>
      </c>
      <c r="D86" s="26"/>
      <c r="E86" s="26" t="s">
        <v>100</v>
      </c>
      <c r="F86" s="26"/>
      <c r="G86" s="26" t="s">
        <v>64</v>
      </c>
      <c r="H86" s="26" t="s">
        <v>354</v>
      </c>
      <c r="I86" s="53">
        <v>142.28187919463087</v>
      </c>
      <c r="J86" s="26" t="s">
        <v>67</v>
      </c>
      <c r="K86" s="48" t="s">
        <v>374</v>
      </c>
      <c r="L86" s="67" t="s">
        <v>14</v>
      </c>
      <c r="M86" s="98" t="s">
        <v>202</v>
      </c>
      <c r="N86" s="26">
        <v>2026</v>
      </c>
    </row>
    <row r="87" spans="1:14">
      <c r="A87" s="26">
        <v>7</v>
      </c>
      <c r="B87" s="26" t="s">
        <v>52</v>
      </c>
      <c r="C87" s="48" t="s">
        <v>53</v>
      </c>
      <c r="D87" s="26" t="s">
        <v>60</v>
      </c>
      <c r="E87" s="26" t="s">
        <v>63</v>
      </c>
      <c r="F87" s="26"/>
      <c r="G87" s="26" t="s">
        <v>64</v>
      </c>
      <c r="H87" s="49" t="s">
        <v>68</v>
      </c>
      <c r="I87" s="50">
        <v>335.57046979865771</v>
      </c>
      <c r="J87" s="26" t="s">
        <v>67</v>
      </c>
      <c r="K87" s="48">
        <v>46055</v>
      </c>
      <c r="L87" s="67" t="s">
        <v>14</v>
      </c>
      <c r="M87" s="98" t="s">
        <v>202</v>
      </c>
      <c r="N87" s="26">
        <v>2026</v>
      </c>
    </row>
    <row r="88" spans="1:14">
      <c r="A88" s="26">
        <v>8</v>
      </c>
      <c r="B88" s="26" t="s">
        <v>52</v>
      </c>
      <c r="C88" s="48" t="s">
        <v>53</v>
      </c>
      <c r="D88" s="26" t="s">
        <v>60</v>
      </c>
      <c r="E88" s="26" t="s">
        <v>63</v>
      </c>
      <c r="F88" s="26"/>
      <c r="G88" s="26" t="s">
        <v>64</v>
      </c>
      <c r="H88" s="49" t="s">
        <v>312</v>
      </c>
      <c r="I88" s="50">
        <v>335.57046979865771</v>
      </c>
      <c r="J88" s="26" t="s">
        <v>67</v>
      </c>
      <c r="K88" s="48" t="s">
        <v>364</v>
      </c>
      <c r="L88" s="67" t="s">
        <v>14</v>
      </c>
      <c r="M88" s="98" t="s">
        <v>202</v>
      </c>
      <c r="N88" s="26">
        <v>2026</v>
      </c>
    </row>
    <row r="89" spans="1:14">
      <c r="A89" s="26">
        <v>28</v>
      </c>
      <c r="B89" s="26" t="s">
        <v>52</v>
      </c>
      <c r="C89" s="48" t="s">
        <v>53</v>
      </c>
      <c r="D89" s="26" t="s">
        <v>60</v>
      </c>
      <c r="E89" s="26" t="s">
        <v>70</v>
      </c>
      <c r="F89" s="26"/>
      <c r="G89" s="26" t="s">
        <v>64</v>
      </c>
      <c r="H89" s="49" t="s">
        <v>325</v>
      </c>
      <c r="I89" s="50">
        <v>469.79865771812081</v>
      </c>
      <c r="J89" s="26">
        <v>2431</v>
      </c>
      <c r="K89" s="48">
        <v>46083</v>
      </c>
      <c r="L89" s="67" t="s">
        <v>14</v>
      </c>
      <c r="M89" s="98" t="s">
        <v>202</v>
      </c>
      <c r="N89" s="26">
        <v>2026</v>
      </c>
    </row>
    <row r="90" spans="1:14">
      <c r="A90" s="26">
        <v>29</v>
      </c>
      <c r="B90" s="26" t="s">
        <v>52</v>
      </c>
      <c r="C90" s="48" t="s">
        <v>53</v>
      </c>
      <c r="D90" s="26" t="s">
        <v>60</v>
      </c>
      <c r="E90" s="26" t="s">
        <v>70</v>
      </c>
      <c r="F90" s="26"/>
      <c r="G90" s="26" t="s">
        <v>64</v>
      </c>
      <c r="H90" s="49" t="s">
        <v>326</v>
      </c>
      <c r="I90" s="50">
        <v>993.28859060402681</v>
      </c>
      <c r="J90" s="26">
        <v>2430</v>
      </c>
      <c r="K90" s="48" t="s">
        <v>369</v>
      </c>
      <c r="L90" s="67" t="s">
        <v>14</v>
      </c>
      <c r="M90" s="98" t="s">
        <v>202</v>
      </c>
      <c r="N90" s="26">
        <v>2026</v>
      </c>
    </row>
    <row r="91" spans="1:14">
      <c r="A91" s="26">
        <v>30</v>
      </c>
      <c r="B91" s="26" t="s">
        <v>52</v>
      </c>
      <c r="C91" s="48" t="s">
        <v>53</v>
      </c>
      <c r="D91" s="26" t="s">
        <v>60</v>
      </c>
      <c r="E91" s="26" t="s">
        <v>70</v>
      </c>
      <c r="F91" s="26"/>
      <c r="G91" s="26" t="s">
        <v>64</v>
      </c>
      <c r="H91" s="49" t="s">
        <v>327</v>
      </c>
      <c r="I91" s="50">
        <v>1276.510067114094</v>
      </c>
      <c r="J91" s="26" t="s">
        <v>67</v>
      </c>
      <c r="K91" s="48" t="s">
        <v>370</v>
      </c>
      <c r="L91" s="67" t="s">
        <v>14</v>
      </c>
      <c r="M91" s="98" t="s">
        <v>202</v>
      </c>
      <c r="N91" s="26">
        <v>2026</v>
      </c>
    </row>
    <row r="92" spans="1:14">
      <c r="A92" s="26">
        <v>31</v>
      </c>
      <c r="B92" s="26" t="s">
        <v>52</v>
      </c>
      <c r="C92" s="26" t="s">
        <v>53</v>
      </c>
      <c r="D92" s="26" t="s">
        <v>60</v>
      </c>
      <c r="E92" s="26" t="s">
        <v>70</v>
      </c>
      <c r="F92" s="26"/>
      <c r="G92" s="26" t="s">
        <v>64</v>
      </c>
      <c r="H92" s="26" t="s">
        <v>328</v>
      </c>
      <c r="I92" s="50">
        <v>1259.7315436241611</v>
      </c>
      <c r="J92" s="26" t="s">
        <v>67</v>
      </c>
      <c r="K92" s="48">
        <v>46083</v>
      </c>
      <c r="L92" s="67" t="s">
        <v>14</v>
      </c>
      <c r="M92" s="98" t="s">
        <v>202</v>
      </c>
      <c r="N92" s="26">
        <v>2026</v>
      </c>
    </row>
    <row r="93" spans="1:14">
      <c r="A93" s="26">
        <v>32</v>
      </c>
      <c r="B93" s="26" t="s">
        <v>52</v>
      </c>
      <c r="C93" s="48" t="s">
        <v>53</v>
      </c>
      <c r="D93" s="26" t="s">
        <v>60</v>
      </c>
      <c r="E93" s="26" t="s">
        <v>70</v>
      </c>
      <c r="F93" s="26"/>
      <c r="G93" s="26" t="s">
        <v>64</v>
      </c>
      <c r="H93" s="49" t="s">
        <v>328</v>
      </c>
      <c r="I93" s="50">
        <v>1318.7919463087248</v>
      </c>
      <c r="J93" s="26" t="s">
        <v>67</v>
      </c>
      <c r="K93" s="48">
        <v>46358</v>
      </c>
      <c r="L93" s="67" t="s">
        <v>14</v>
      </c>
      <c r="M93" s="98" t="s">
        <v>202</v>
      </c>
      <c r="N93" s="26">
        <v>2026</v>
      </c>
    </row>
    <row r="94" spans="1:14">
      <c r="A94" s="26">
        <v>33</v>
      </c>
      <c r="B94" s="26" t="s">
        <v>52</v>
      </c>
      <c r="C94" s="48" t="s">
        <v>53</v>
      </c>
      <c r="D94" s="26" t="s">
        <v>60</v>
      </c>
      <c r="E94" s="26" t="s">
        <v>70</v>
      </c>
      <c r="F94" s="26"/>
      <c r="G94" s="26" t="s">
        <v>64</v>
      </c>
      <c r="H94" s="49" t="s">
        <v>328</v>
      </c>
      <c r="I94" s="50">
        <v>1766.7785234899329</v>
      </c>
      <c r="J94" s="26" t="s">
        <v>67</v>
      </c>
      <c r="K94" s="48" t="s">
        <v>371</v>
      </c>
      <c r="L94" s="67" t="s">
        <v>14</v>
      </c>
      <c r="M94" s="98" t="s">
        <v>202</v>
      </c>
      <c r="N94" s="26">
        <v>2026</v>
      </c>
    </row>
    <row r="95" spans="1:14">
      <c r="A95" s="26">
        <v>34</v>
      </c>
      <c r="B95" s="26" t="s">
        <v>52</v>
      </c>
      <c r="C95" s="48" t="s">
        <v>53</v>
      </c>
      <c r="D95" s="26" t="s">
        <v>60</v>
      </c>
      <c r="E95" s="26" t="s">
        <v>70</v>
      </c>
      <c r="F95" s="26"/>
      <c r="G95" s="26" t="s">
        <v>64</v>
      </c>
      <c r="H95" s="49" t="s">
        <v>328</v>
      </c>
      <c r="I95" s="50">
        <v>1426.8456375838925</v>
      </c>
      <c r="J95" s="26" t="s">
        <v>67</v>
      </c>
      <c r="K95" s="48" t="s">
        <v>372</v>
      </c>
      <c r="L95" s="67" t="s">
        <v>14</v>
      </c>
      <c r="M95" s="98" t="s">
        <v>202</v>
      </c>
      <c r="N95" s="26">
        <v>2026</v>
      </c>
    </row>
    <row r="96" spans="1:14">
      <c r="A96" s="26">
        <v>56</v>
      </c>
      <c r="B96" s="26" t="s">
        <v>52</v>
      </c>
      <c r="C96" s="48" t="s">
        <v>53</v>
      </c>
      <c r="D96" s="26" t="s">
        <v>60</v>
      </c>
      <c r="E96" s="26" t="s">
        <v>56</v>
      </c>
      <c r="F96" s="26"/>
      <c r="G96" s="26" t="s">
        <v>64</v>
      </c>
      <c r="H96" s="49" t="s">
        <v>342</v>
      </c>
      <c r="I96" s="50">
        <v>1681.2080536912752</v>
      </c>
      <c r="J96" s="48">
        <v>3801069064</v>
      </c>
      <c r="K96" s="48">
        <v>46236</v>
      </c>
      <c r="L96" s="67" t="s">
        <v>14</v>
      </c>
      <c r="M96" s="98" t="s">
        <v>202</v>
      </c>
      <c r="N96" s="26">
        <v>2026</v>
      </c>
    </row>
    <row r="97" spans="1:14">
      <c r="A97" s="26">
        <v>60</v>
      </c>
      <c r="B97" s="26" t="s">
        <v>52</v>
      </c>
      <c r="C97" s="26" t="s">
        <v>53</v>
      </c>
      <c r="D97" s="26" t="s">
        <v>60</v>
      </c>
      <c r="E97" s="26" t="s">
        <v>70</v>
      </c>
      <c r="F97" s="26"/>
      <c r="G97" s="26" t="s">
        <v>64</v>
      </c>
      <c r="H97" s="26" t="s">
        <v>345</v>
      </c>
      <c r="I97" s="50">
        <v>636.91275167785238</v>
      </c>
      <c r="J97" s="26" t="s">
        <v>67</v>
      </c>
      <c r="K97" s="48">
        <v>46114</v>
      </c>
      <c r="L97" s="67" t="s">
        <v>14</v>
      </c>
      <c r="M97" s="98" t="s">
        <v>202</v>
      </c>
      <c r="N97" s="26">
        <v>2026</v>
      </c>
    </row>
    <row r="98" spans="1:14">
      <c r="A98" s="26">
        <v>61</v>
      </c>
      <c r="B98" s="26" t="s">
        <v>52</v>
      </c>
      <c r="C98" s="26" t="s">
        <v>53</v>
      </c>
      <c r="D98" s="26" t="s">
        <v>60</v>
      </c>
      <c r="E98" s="26" t="s">
        <v>70</v>
      </c>
      <c r="F98" s="26"/>
      <c r="G98" s="26" t="s">
        <v>64</v>
      </c>
      <c r="H98" s="49" t="s">
        <v>345</v>
      </c>
      <c r="I98" s="50">
        <v>1124.1610738255033</v>
      </c>
      <c r="J98" s="26" t="s">
        <v>67</v>
      </c>
      <c r="K98" s="48">
        <v>46358</v>
      </c>
      <c r="L98" s="67" t="s">
        <v>14</v>
      </c>
      <c r="M98" s="98" t="s">
        <v>202</v>
      </c>
      <c r="N98" s="26">
        <v>2026</v>
      </c>
    </row>
    <row r="99" spans="1:14">
      <c r="A99" s="26">
        <v>62</v>
      </c>
      <c r="B99" s="26" t="s">
        <v>52</v>
      </c>
      <c r="C99" s="48" t="s">
        <v>53</v>
      </c>
      <c r="D99" s="26" t="s">
        <v>60</v>
      </c>
      <c r="E99" s="26" t="s">
        <v>70</v>
      </c>
      <c r="F99" s="26"/>
      <c r="G99" s="26" t="s">
        <v>64</v>
      </c>
      <c r="H99" s="49" t="s">
        <v>345</v>
      </c>
      <c r="I99" s="50">
        <v>1098.8255033557048</v>
      </c>
      <c r="J99" s="26" t="s">
        <v>67</v>
      </c>
      <c r="K99" s="48" t="s">
        <v>376</v>
      </c>
      <c r="L99" s="67" t="s">
        <v>14</v>
      </c>
      <c r="M99" s="98" t="s">
        <v>202</v>
      </c>
      <c r="N99" s="26">
        <v>2026</v>
      </c>
    </row>
    <row r="100" spans="1:14">
      <c r="A100" s="26">
        <v>70</v>
      </c>
      <c r="B100" s="26" t="s">
        <v>52</v>
      </c>
      <c r="C100" s="48" t="s">
        <v>53</v>
      </c>
      <c r="D100" s="26" t="s">
        <v>60</v>
      </c>
      <c r="E100" s="26" t="s">
        <v>79</v>
      </c>
      <c r="F100" s="26"/>
      <c r="G100" s="26" t="s">
        <v>64</v>
      </c>
      <c r="H100" s="49" t="s">
        <v>351</v>
      </c>
      <c r="I100" s="50">
        <v>785.23489932885911</v>
      </c>
      <c r="J100" s="26" t="s">
        <v>67</v>
      </c>
      <c r="K100" s="48" t="s">
        <v>368</v>
      </c>
      <c r="L100" s="67" t="s">
        <v>14</v>
      </c>
      <c r="M100" s="98" t="s">
        <v>202</v>
      </c>
      <c r="N100" s="26">
        <v>2026</v>
      </c>
    </row>
    <row r="101" spans="1:14">
      <c r="A101" s="26">
        <v>93</v>
      </c>
      <c r="B101" s="26" t="s">
        <v>52</v>
      </c>
      <c r="C101" s="26" t="s">
        <v>53</v>
      </c>
      <c r="D101" s="26"/>
      <c r="E101" s="26" t="s">
        <v>100</v>
      </c>
      <c r="F101" s="26"/>
      <c r="G101" s="26" t="s">
        <v>64</v>
      </c>
      <c r="H101" s="26" t="s">
        <v>354</v>
      </c>
      <c r="I101" s="53">
        <v>747.65100671140942</v>
      </c>
      <c r="J101" s="26" t="s">
        <v>67</v>
      </c>
      <c r="K101" s="48" t="s">
        <v>374</v>
      </c>
      <c r="L101" s="67" t="s">
        <v>14</v>
      </c>
      <c r="M101" s="98" t="s">
        <v>202</v>
      </c>
      <c r="N101" s="26">
        <v>2026</v>
      </c>
    </row>
    <row r="102" spans="1:14">
      <c r="A102" s="26">
        <v>94</v>
      </c>
      <c r="B102" s="26" t="s">
        <v>52</v>
      </c>
      <c r="C102" s="26" t="s">
        <v>53</v>
      </c>
      <c r="D102" s="26"/>
      <c r="E102" s="26" t="s">
        <v>100</v>
      </c>
      <c r="F102" s="26"/>
      <c r="G102" s="26" t="s">
        <v>64</v>
      </c>
      <c r="H102" s="26" t="s">
        <v>354</v>
      </c>
      <c r="I102" s="53">
        <v>117.4496644295302</v>
      </c>
      <c r="J102" s="26" t="s">
        <v>67</v>
      </c>
      <c r="K102" s="48" t="s">
        <v>374</v>
      </c>
      <c r="L102" s="67" t="s">
        <v>14</v>
      </c>
      <c r="M102" s="98" t="s">
        <v>202</v>
      </c>
      <c r="N102" s="26">
        <v>2026</v>
      </c>
    </row>
    <row r="103" spans="1:14">
      <c r="A103" s="26">
        <v>79</v>
      </c>
      <c r="B103" s="26" t="s">
        <v>305</v>
      </c>
      <c r="C103" s="48" t="s">
        <v>306</v>
      </c>
      <c r="D103" s="26" t="s">
        <v>60</v>
      </c>
      <c r="E103" s="26" t="s">
        <v>100</v>
      </c>
      <c r="F103" s="26"/>
      <c r="G103" s="26" t="s">
        <v>64</v>
      </c>
      <c r="H103" s="49" t="s">
        <v>354</v>
      </c>
      <c r="I103" s="50">
        <v>244.96644295302013</v>
      </c>
      <c r="J103" s="26" t="s">
        <v>67</v>
      </c>
      <c r="K103" s="48" t="s">
        <v>374</v>
      </c>
      <c r="L103" s="67" t="s">
        <v>14</v>
      </c>
      <c r="M103" s="98" t="s">
        <v>202</v>
      </c>
      <c r="N103" s="26">
        <v>2026</v>
      </c>
    </row>
  </sheetData>
  <autoFilter ref="A1:N83" xr:uid="{00000000-0009-0000-0000-000004000000}">
    <sortState xmlns:xlrd2="http://schemas.microsoft.com/office/spreadsheetml/2017/richdata2" ref="A2:N110">
      <sortCondition ref="B1:B83"/>
    </sortState>
  </autoFilter>
  <dataValidations count="2">
    <dataValidation type="list" allowBlank="1" showInputMessage="1" showErrorMessage="1" sqref="C2:C31 C34:C71 C73:C86" xr:uid="{00000000-0002-0000-0400-000001000000}">
      <formula1>Level_2</formula1>
    </dataValidation>
    <dataValidation type="list" allowBlank="1" showInputMessage="1" showErrorMessage="1" sqref="C87:C406" xr:uid="{00000000-0002-0000-0400-000002000000}">
      <formula1>INDIRECT(B87)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5000000}">
          <x14:formula1>
            <xm:f>List!$H$2:$H$13</xm:f>
          </x14:formula1>
          <xm:sqref>M104:M406</xm:sqref>
        </x14:dataValidation>
        <x14:dataValidation type="list" allowBlank="1" showInputMessage="1" showErrorMessage="1" xr:uid="{00000000-0002-0000-0400-000006000000}">
          <x14:formula1>
            <xm:f>List!$J$2:$J$4</xm:f>
          </x14:formula1>
          <xm:sqref>N104:N406</xm:sqref>
        </x14:dataValidation>
        <x14:dataValidation type="list" allowBlank="1" showInputMessage="1" showErrorMessage="1" xr:uid="{00000000-0002-0000-0400-000000000000}">
          <x14:formula1>
            <xm:f>List!$P$2:$P$11</xm:f>
          </x14:formula1>
          <xm:sqref>B87:B406</xm:sqref>
        </x14:dataValidation>
        <x14:dataValidation type="list" allowBlank="1" showInputMessage="1" showErrorMessage="1" xr:uid="{00000000-0002-0000-0400-000003000000}">
          <x14:formula1>
            <xm:f>List!$C$2:$C$3</xm:f>
          </x14:formula1>
          <xm:sqref>D87:D406</xm:sqref>
        </x14:dataValidation>
        <x14:dataValidation type="list" allowBlank="1" showInputMessage="1" showErrorMessage="1" xr:uid="{00000000-0002-0000-0400-000004000000}">
          <x14:formula1>
            <xm:f>List!$E$2:$E$32</xm:f>
          </x14:formula1>
          <xm:sqref>E87:E406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N6"/>
  <sheetViews>
    <sheetView workbookViewId="0">
      <selection activeCell="I2" sqref="I2:I6"/>
    </sheetView>
  </sheetViews>
  <sheetFormatPr defaultColWidth="9" defaultRowHeight="14.25"/>
  <cols>
    <col min="1" max="1" width="5.33203125" customWidth="1"/>
    <col min="2" max="2" width="8.59765625" customWidth="1"/>
    <col min="3" max="3" width="9.59765625" customWidth="1"/>
    <col min="4" max="4" width="9" customWidth="1"/>
    <col min="5" max="5" width="14.33203125" customWidth="1"/>
    <col min="6" max="6" width="10.19921875" customWidth="1"/>
    <col min="7" max="7" width="7" customWidth="1"/>
    <col min="8" max="8" width="28.73046875" bestFit="1" customWidth="1"/>
    <col min="9" max="9" width="18.06640625" customWidth="1"/>
    <col min="10" max="10" width="10.06640625" customWidth="1"/>
    <col min="11" max="11" width="11.19921875" customWidth="1"/>
    <col min="12" max="12" width="10.53125" customWidth="1"/>
    <col min="13" max="13" width="6.53125" customWidth="1"/>
    <col min="14" max="14" width="4.796875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>
      <c r="A2" s="15">
        <v>1</v>
      </c>
      <c r="B2" s="11" t="s">
        <v>54</v>
      </c>
      <c r="C2" s="11" t="s">
        <v>55</v>
      </c>
      <c r="D2" s="86" t="s">
        <v>60</v>
      </c>
      <c r="E2" s="10" t="s">
        <v>80</v>
      </c>
      <c r="F2" s="15"/>
      <c r="G2" s="15" t="s">
        <v>21</v>
      </c>
      <c r="H2" s="22" t="s">
        <v>377</v>
      </c>
      <c r="I2" s="23">
        <f>65000000/1490</f>
        <v>43624.161073825504</v>
      </c>
      <c r="J2" s="15" t="s">
        <v>14</v>
      </c>
      <c r="K2" s="16" t="s">
        <v>14</v>
      </c>
      <c r="L2" s="18" t="s">
        <v>14</v>
      </c>
      <c r="M2" s="86" t="s">
        <v>202</v>
      </c>
      <c r="N2" s="15">
        <v>2026</v>
      </c>
    </row>
    <row r="3" spans="1:14">
      <c r="A3" s="15">
        <v>2</v>
      </c>
      <c r="B3" s="136" t="s">
        <v>17</v>
      </c>
      <c r="C3" s="136" t="s">
        <v>25</v>
      </c>
      <c r="D3" s="15" t="s">
        <v>19</v>
      </c>
      <c r="E3" s="10" t="s">
        <v>80</v>
      </c>
      <c r="F3" s="10"/>
      <c r="G3" s="15" t="s">
        <v>21</v>
      </c>
      <c r="H3" s="22" t="s">
        <v>378</v>
      </c>
      <c r="I3" s="138">
        <f>5500000/1490</f>
        <v>3691.2751677852348</v>
      </c>
      <c r="J3" s="15" t="s">
        <v>14</v>
      </c>
      <c r="K3" s="16" t="s">
        <v>14</v>
      </c>
      <c r="L3" s="18" t="s">
        <v>14</v>
      </c>
      <c r="M3" s="86" t="s">
        <v>202</v>
      </c>
      <c r="N3" s="15">
        <v>2026</v>
      </c>
    </row>
    <row r="4" spans="1:14">
      <c r="A4" s="15">
        <v>3</v>
      </c>
      <c r="B4" s="136" t="s">
        <v>17</v>
      </c>
      <c r="C4" s="136" t="s">
        <v>22</v>
      </c>
      <c r="D4" s="15" t="s">
        <v>19</v>
      </c>
      <c r="E4" s="10" t="s">
        <v>80</v>
      </c>
      <c r="F4" s="10"/>
      <c r="G4" s="15" t="s">
        <v>21</v>
      </c>
      <c r="H4" s="22" t="s">
        <v>378</v>
      </c>
      <c r="I4" s="138">
        <f>3000000/1490</f>
        <v>2013.4228187919464</v>
      </c>
      <c r="J4" s="15" t="s">
        <v>14</v>
      </c>
      <c r="K4" s="16" t="s">
        <v>14</v>
      </c>
      <c r="L4" s="18" t="s">
        <v>14</v>
      </c>
      <c r="M4" s="86" t="s">
        <v>202</v>
      </c>
      <c r="N4" s="15">
        <v>2026</v>
      </c>
    </row>
    <row r="5" spans="1:14">
      <c r="A5" s="15">
        <v>4</v>
      </c>
      <c r="B5" s="136" t="s">
        <v>42</v>
      </c>
      <c r="C5" s="136" t="s">
        <v>50</v>
      </c>
      <c r="D5" s="15" t="s">
        <v>19</v>
      </c>
      <c r="E5" s="10" t="s">
        <v>80</v>
      </c>
      <c r="F5" s="10"/>
      <c r="G5" s="15" t="s">
        <v>21</v>
      </c>
      <c r="H5" s="22" t="s">
        <v>378</v>
      </c>
      <c r="I5" s="138">
        <f>3000000/1490</f>
        <v>2013.4228187919464</v>
      </c>
      <c r="J5" s="15" t="s">
        <v>14</v>
      </c>
      <c r="K5" s="16" t="s">
        <v>14</v>
      </c>
      <c r="L5" s="18" t="s">
        <v>14</v>
      </c>
      <c r="M5" s="86" t="s">
        <v>202</v>
      </c>
      <c r="N5" s="15">
        <v>2026</v>
      </c>
    </row>
    <row r="6" spans="1:14">
      <c r="A6" s="15">
        <v>5</v>
      </c>
      <c r="B6" s="136" t="s">
        <v>52</v>
      </c>
      <c r="C6" s="136" t="s">
        <v>62</v>
      </c>
      <c r="D6" s="15" t="s">
        <v>19</v>
      </c>
      <c r="E6" s="10" t="s">
        <v>80</v>
      </c>
      <c r="F6" s="10"/>
      <c r="G6" s="15" t="s">
        <v>21</v>
      </c>
      <c r="H6" s="22" t="s">
        <v>378</v>
      </c>
      <c r="I6" s="138">
        <f>6000000/1490</f>
        <v>4026.8456375838928</v>
      </c>
      <c r="J6" s="15" t="s">
        <v>14</v>
      </c>
      <c r="K6" s="16" t="s">
        <v>14</v>
      </c>
      <c r="L6" s="18" t="s">
        <v>14</v>
      </c>
      <c r="M6" s="86" t="s">
        <v>202</v>
      </c>
      <c r="N6" s="15">
        <v>2026</v>
      </c>
    </row>
  </sheetData>
  <conditionalFormatting sqref="L2:L6">
    <cfRule type="duplicateValues" dxfId="30" priority="275"/>
  </conditionalFormatting>
  <dataValidations count="1">
    <dataValidation type="list" allowBlank="1" showInputMessage="1" showErrorMessage="1" sqref="C2" xr:uid="{00000000-0002-0000-05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List!$P$2:$P$11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N4"/>
  <sheetViews>
    <sheetView workbookViewId="0">
      <selection activeCell="I2" sqref="I2:I4"/>
    </sheetView>
  </sheetViews>
  <sheetFormatPr defaultColWidth="9" defaultRowHeight="14.25"/>
  <cols>
    <col min="1" max="1" width="5.33203125" customWidth="1"/>
    <col min="2" max="2" width="9.19921875" bestFit="1" customWidth="1"/>
    <col min="3" max="3" width="10.33203125" bestFit="1" customWidth="1"/>
    <col min="4" max="4" width="9" customWidth="1"/>
    <col min="5" max="5" width="21.46484375" customWidth="1"/>
    <col min="6" max="6" width="10.19921875" customWidth="1"/>
    <col min="7" max="7" width="7" bestFit="1" customWidth="1"/>
    <col min="8" max="8" width="21.46484375" customWidth="1"/>
    <col min="9" max="9" width="18.06640625" customWidth="1"/>
    <col min="10" max="10" width="10.06640625" customWidth="1"/>
    <col min="11" max="11" width="11.19921875" customWidth="1"/>
    <col min="12" max="12" width="10.53125" customWidth="1"/>
    <col min="13" max="13" width="6.53125" customWidth="1"/>
    <col min="14" max="14" width="4.796875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>
      <c r="A2" s="15">
        <v>1</v>
      </c>
      <c r="B2" s="134" t="s">
        <v>58</v>
      </c>
      <c r="C2" s="135" t="s">
        <v>59</v>
      </c>
      <c r="D2" s="15" t="s">
        <v>60</v>
      </c>
      <c r="E2" s="15" t="s">
        <v>63</v>
      </c>
      <c r="F2" s="15"/>
      <c r="G2" s="15" t="s">
        <v>21</v>
      </c>
      <c r="H2" s="15" t="s">
        <v>63</v>
      </c>
      <c r="I2" s="21">
        <f>16000000/1490</f>
        <v>10738.255033557047</v>
      </c>
      <c r="J2" s="16" t="s">
        <v>14</v>
      </c>
      <c r="K2" s="16" t="s">
        <v>14</v>
      </c>
      <c r="L2" s="18" t="s">
        <v>14</v>
      </c>
      <c r="M2" s="134" t="s">
        <v>202</v>
      </c>
      <c r="N2" s="15">
        <v>2026</v>
      </c>
    </row>
    <row r="3" spans="1:14">
      <c r="A3" s="15">
        <v>2</v>
      </c>
      <c r="B3" s="134" t="s">
        <v>58</v>
      </c>
      <c r="C3" s="135" t="s">
        <v>59</v>
      </c>
      <c r="D3" s="15" t="s">
        <v>60</v>
      </c>
      <c r="E3" s="15" t="s">
        <v>63</v>
      </c>
      <c r="F3" s="15"/>
      <c r="G3" s="15" t="s">
        <v>21</v>
      </c>
      <c r="H3" s="15" t="s">
        <v>63</v>
      </c>
      <c r="I3" s="21">
        <f>40000000/1490</f>
        <v>26845.637583892618</v>
      </c>
      <c r="J3" s="16" t="s">
        <v>14</v>
      </c>
      <c r="K3" s="16" t="s">
        <v>14</v>
      </c>
      <c r="L3" s="18" t="s">
        <v>14</v>
      </c>
      <c r="M3" s="134" t="s">
        <v>202</v>
      </c>
      <c r="N3" s="15">
        <v>2026</v>
      </c>
    </row>
    <row r="4" spans="1:14">
      <c r="A4" s="10">
        <v>3</v>
      </c>
      <c r="B4" s="136" t="s">
        <v>52</v>
      </c>
      <c r="C4" s="136" t="s">
        <v>53</v>
      </c>
      <c r="D4" s="15" t="s">
        <v>60</v>
      </c>
      <c r="E4" s="15" t="s">
        <v>63</v>
      </c>
      <c r="F4" s="10"/>
      <c r="G4" s="15" t="s">
        <v>21</v>
      </c>
      <c r="H4" s="15" t="s">
        <v>63</v>
      </c>
      <c r="I4" s="137">
        <f>10000000/1490</f>
        <v>6711.4093959731545</v>
      </c>
      <c r="J4" s="16" t="s">
        <v>14</v>
      </c>
      <c r="K4" s="16" t="s">
        <v>14</v>
      </c>
      <c r="L4" s="18" t="s">
        <v>14</v>
      </c>
      <c r="M4" s="134" t="s">
        <v>202</v>
      </c>
      <c r="N4" s="15">
        <v>2026</v>
      </c>
    </row>
  </sheetData>
  <conditionalFormatting sqref="L2:L4">
    <cfRule type="duplicateValues" dxfId="29" priority="274"/>
  </conditionalFormatting>
  <dataValidations count="1">
    <dataValidation type="list" allowBlank="1" showInputMessage="1" showErrorMessage="1" sqref="C2:C3" xr:uid="{00000000-0002-0000-0600-000000000000}">
      <formula1>Level_2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N9"/>
  <sheetViews>
    <sheetView topLeftCell="E1" workbookViewId="0">
      <selection activeCell="I2" sqref="I2:I9"/>
    </sheetView>
  </sheetViews>
  <sheetFormatPr defaultColWidth="9" defaultRowHeight="14.25"/>
  <cols>
    <col min="1" max="1" width="5.53125" bestFit="1" customWidth="1"/>
    <col min="2" max="2" width="7.19921875" bestFit="1" customWidth="1"/>
    <col min="3" max="3" width="9.53125" bestFit="1" customWidth="1"/>
    <col min="4" max="4" width="9.19921875" bestFit="1" customWidth="1"/>
    <col min="5" max="5" width="14.53125" bestFit="1" customWidth="1"/>
    <col min="6" max="6" width="10.53125" bestFit="1" customWidth="1"/>
    <col min="7" max="7" width="26.33203125" bestFit="1" customWidth="1"/>
    <col min="8" max="8" width="37" bestFit="1" customWidth="1"/>
    <col min="9" max="9" width="18.59765625" bestFit="1" customWidth="1"/>
    <col min="10" max="10" width="11" bestFit="1" customWidth="1"/>
    <col min="11" max="11" width="11.46484375" bestFit="1" customWidth="1"/>
    <col min="12" max="12" width="10.796875" bestFit="1" customWidth="1"/>
    <col min="13" max="13" width="6.796875" bestFit="1" customWidth="1"/>
    <col min="14" max="14" width="5" bestFit="1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>
      <c r="A2" s="15">
        <v>1</v>
      </c>
      <c r="B2" s="15" t="s">
        <v>58</v>
      </c>
      <c r="C2" s="16" t="s">
        <v>59</v>
      </c>
      <c r="D2" s="15" t="s">
        <v>60</v>
      </c>
      <c r="E2" s="15" t="s">
        <v>83</v>
      </c>
      <c r="F2" s="15"/>
      <c r="G2" s="15" t="s">
        <v>21</v>
      </c>
      <c r="H2" s="15" t="s">
        <v>381</v>
      </c>
      <c r="I2" s="17">
        <f>3000000/1430</f>
        <v>2097.9020979020979</v>
      </c>
      <c r="J2" s="16" t="s">
        <v>14</v>
      </c>
      <c r="K2" s="16" t="s">
        <v>14</v>
      </c>
      <c r="L2" s="18" t="s">
        <v>14</v>
      </c>
      <c r="M2" s="86" t="s">
        <v>202</v>
      </c>
      <c r="N2" s="15">
        <v>2026</v>
      </c>
    </row>
    <row r="3" spans="1:14">
      <c r="A3" s="15">
        <v>2</v>
      </c>
      <c r="B3" s="15" t="s">
        <v>58</v>
      </c>
      <c r="C3" s="16" t="s">
        <v>59</v>
      </c>
      <c r="D3" s="15" t="s">
        <v>60</v>
      </c>
      <c r="E3" s="15" t="s">
        <v>83</v>
      </c>
      <c r="F3" s="15"/>
      <c r="G3" s="15" t="s">
        <v>21</v>
      </c>
      <c r="H3" s="15" t="s">
        <v>382</v>
      </c>
      <c r="I3" s="17">
        <f>5000000/1430</f>
        <v>3496.5034965034965</v>
      </c>
      <c r="J3" s="16" t="s">
        <v>14</v>
      </c>
      <c r="K3" s="16" t="s">
        <v>14</v>
      </c>
      <c r="L3" s="18" t="s">
        <v>14</v>
      </c>
      <c r="M3" s="86" t="s">
        <v>202</v>
      </c>
      <c r="N3" s="15">
        <v>2026</v>
      </c>
    </row>
    <row r="4" spans="1:14">
      <c r="A4" s="15">
        <v>3</v>
      </c>
      <c r="B4" s="15" t="s">
        <v>58</v>
      </c>
      <c r="C4" s="16" t="s">
        <v>59</v>
      </c>
      <c r="D4" s="15" t="s">
        <v>60</v>
      </c>
      <c r="E4" s="15" t="s">
        <v>83</v>
      </c>
      <c r="F4" s="15"/>
      <c r="G4" s="15" t="s">
        <v>21</v>
      </c>
      <c r="H4" s="15" t="s">
        <v>383</v>
      </c>
      <c r="I4" s="17">
        <v>2000</v>
      </c>
      <c r="J4" s="16" t="s">
        <v>14</v>
      </c>
      <c r="K4" s="16" t="s">
        <v>14</v>
      </c>
      <c r="L4" s="18" t="s">
        <v>14</v>
      </c>
      <c r="M4" s="86" t="s">
        <v>202</v>
      </c>
      <c r="N4" s="15">
        <v>2026</v>
      </c>
    </row>
    <row r="5" spans="1:14">
      <c r="A5" s="15">
        <v>4</v>
      </c>
      <c r="B5" s="15" t="s">
        <v>58</v>
      </c>
      <c r="C5" s="16" t="s">
        <v>59</v>
      </c>
      <c r="D5" s="15" t="s">
        <v>60</v>
      </c>
      <c r="E5" s="15" t="s">
        <v>83</v>
      </c>
      <c r="F5" s="15"/>
      <c r="G5" s="15" t="s">
        <v>21</v>
      </c>
      <c r="H5" s="10" t="s">
        <v>384</v>
      </c>
      <c r="I5" s="19">
        <f>1250000/1430</f>
        <v>874.12587412587413</v>
      </c>
      <c r="J5" s="16" t="s">
        <v>14</v>
      </c>
      <c r="K5" s="16" t="s">
        <v>14</v>
      </c>
      <c r="L5" s="18" t="s">
        <v>14</v>
      </c>
      <c r="M5" s="86" t="s">
        <v>202</v>
      </c>
      <c r="N5" s="15">
        <v>2026</v>
      </c>
    </row>
    <row r="6" spans="1:14">
      <c r="A6" s="15">
        <v>5</v>
      </c>
      <c r="B6" s="15" t="s">
        <v>58</v>
      </c>
      <c r="C6" s="16" t="s">
        <v>59</v>
      </c>
      <c r="D6" s="15" t="s">
        <v>60</v>
      </c>
      <c r="E6" s="15" t="s">
        <v>83</v>
      </c>
      <c r="F6" s="15"/>
      <c r="G6" s="15" t="s">
        <v>21</v>
      </c>
      <c r="H6" s="10" t="s">
        <v>385</v>
      </c>
      <c r="I6" s="19">
        <v>4500</v>
      </c>
      <c r="J6" s="16" t="s">
        <v>14</v>
      </c>
      <c r="K6" s="16" t="s">
        <v>14</v>
      </c>
      <c r="L6" s="18" t="s">
        <v>14</v>
      </c>
      <c r="M6" s="86" t="s">
        <v>202</v>
      </c>
      <c r="N6" s="15">
        <v>2026</v>
      </c>
    </row>
    <row r="7" spans="1:14">
      <c r="A7" s="15">
        <v>6</v>
      </c>
      <c r="B7" s="15" t="s">
        <v>58</v>
      </c>
      <c r="C7" s="16" t="s">
        <v>59</v>
      </c>
      <c r="D7" s="15" t="s">
        <v>60</v>
      </c>
      <c r="E7" s="15" t="s">
        <v>83</v>
      </c>
      <c r="F7" s="15"/>
      <c r="G7" s="15" t="s">
        <v>21</v>
      </c>
      <c r="H7" s="10" t="s">
        <v>386</v>
      </c>
      <c r="I7" s="19">
        <v>6000</v>
      </c>
      <c r="J7" s="16" t="s">
        <v>14</v>
      </c>
      <c r="K7" s="16" t="s">
        <v>14</v>
      </c>
      <c r="L7" s="18" t="s">
        <v>14</v>
      </c>
      <c r="M7" s="86" t="s">
        <v>202</v>
      </c>
      <c r="N7" s="15">
        <v>2026</v>
      </c>
    </row>
    <row r="8" spans="1:14">
      <c r="A8" s="15">
        <v>7</v>
      </c>
      <c r="B8" s="15" t="s">
        <v>58</v>
      </c>
      <c r="C8" s="16" t="s">
        <v>59</v>
      </c>
      <c r="D8" s="15" t="s">
        <v>60</v>
      </c>
      <c r="E8" s="15" t="s">
        <v>83</v>
      </c>
      <c r="F8" s="15"/>
      <c r="G8" s="15" t="s">
        <v>21</v>
      </c>
      <c r="H8" s="136" t="s">
        <v>379</v>
      </c>
      <c r="I8" s="19">
        <f>2500000/1490</f>
        <v>1677.8523489932886</v>
      </c>
      <c r="J8" s="16" t="s">
        <v>14</v>
      </c>
      <c r="K8" s="16" t="s">
        <v>14</v>
      </c>
      <c r="L8" s="18" t="s">
        <v>14</v>
      </c>
      <c r="M8" s="86" t="s">
        <v>202</v>
      </c>
      <c r="N8" s="15">
        <v>2026</v>
      </c>
    </row>
    <row r="9" spans="1:14">
      <c r="A9" s="15">
        <v>8</v>
      </c>
      <c r="B9" s="15" t="s">
        <v>58</v>
      </c>
      <c r="C9" s="16" t="s">
        <v>59</v>
      </c>
      <c r="D9" s="15" t="s">
        <v>60</v>
      </c>
      <c r="E9" s="15" t="s">
        <v>83</v>
      </c>
      <c r="F9" s="15"/>
      <c r="G9" s="10" t="s">
        <v>84</v>
      </c>
      <c r="H9" s="10" t="s">
        <v>387</v>
      </c>
      <c r="I9" s="20">
        <v>2520</v>
      </c>
      <c r="J9" s="15" t="s">
        <v>380</v>
      </c>
      <c r="K9" s="16">
        <v>46081</v>
      </c>
      <c r="L9" s="18" t="s">
        <v>14</v>
      </c>
      <c r="M9" s="86" t="s">
        <v>202</v>
      </c>
      <c r="N9" s="15">
        <v>2026</v>
      </c>
    </row>
  </sheetData>
  <conditionalFormatting sqref="L2:L9">
    <cfRule type="duplicateValues" dxfId="28" priority="1"/>
  </conditionalFormatting>
  <dataValidations count="1">
    <dataValidation type="list" allowBlank="1" showInputMessage="1" showErrorMessage="1" sqref="C2:C9" xr:uid="{00000000-0002-0000-0700-000000000000}">
      <formula1>Level_2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N434"/>
  <sheetViews>
    <sheetView topLeftCell="F68" workbookViewId="0">
      <selection activeCell="I2" sqref="I2:I85"/>
    </sheetView>
  </sheetViews>
  <sheetFormatPr defaultColWidth="9" defaultRowHeight="14.25"/>
  <cols>
    <col min="1" max="1" width="7.59765625" customWidth="1"/>
    <col min="2" max="2" width="9.33203125" customWidth="1"/>
    <col min="3" max="3" width="10.59765625" customWidth="1"/>
    <col min="4" max="4" width="11.19921875" customWidth="1"/>
    <col min="5" max="5" width="29" customWidth="1"/>
    <col min="6" max="6" width="12.33203125" customWidth="1"/>
    <col min="7" max="7" width="28.59765625" customWidth="1"/>
    <col min="8" max="8" width="21.06640625" customWidth="1"/>
    <col min="9" max="9" width="20.19921875" style="7" customWidth="1"/>
    <col min="10" max="10" width="12.33203125" customWidth="1"/>
    <col min="11" max="11" width="13.33203125" customWidth="1"/>
    <col min="12" max="12" width="12.796875" customWidth="1"/>
    <col min="13" max="13" width="8.796875" customWidth="1"/>
    <col min="14" max="14" width="6.7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42</v>
      </c>
      <c r="C2" s="4" t="s">
        <v>51</v>
      </c>
      <c r="D2" s="4" t="s">
        <v>60</v>
      </c>
      <c r="E2" s="4" t="s">
        <v>85</v>
      </c>
      <c r="F2" s="4"/>
      <c r="G2" s="4" t="s">
        <v>91</v>
      </c>
      <c r="H2" s="4" t="s">
        <v>89</v>
      </c>
      <c r="I2" s="33">
        <f>1920000/1450</f>
        <v>1324.1379310344828</v>
      </c>
      <c r="J2" s="96" t="s">
        <v>14</v>
      </c>
      <c r="K2" s="97" t="s">
        <v>14</v>
      </c>
      <c r="L2" s="4" t="s">
        <v>14</v>
      </c>
      <c r="M2" s="79" t="s">
        <v>202</v>
      </c>
      <c r="N2">
        <v>2026</v>
      </c>
    </row>
    <row r="3" spans="1:14">
      <c r="A3" s="4">
        <v>2</v>
      </c>
      <c r="B3" s="30" t="s">
        <v>61</v>
      </c>
      <c r="C3" s="30" t="s">
        <v>62</v>
      </c>
      <c r="D3" s="4" t="s">
        <v>19</v>
      </c>
      <c r="E3" s="4" t="s">
        <v>85</v>
      </c>
      <c r="F3" s="4"/>
      <c r="G3" s="4" t="s">
        <v>92</v>
      </c>
      <c r="H3" s="4" t="s">
        <v>89</v>
      </c>
      <c r="I3" s="6">
        <v>2080</v>
      </c>
      <c r="J3" s="4" t="s">
        <v>14</v>
      </c>
      <c r="K3" s="4" t="s">
        <v>14</v>
      </c>
      <c r="L3" s="4" t="s">
        <v>14</v>
      </c>
      <c r="M3" s="79" t="s">
        <v>202</v>
      </c>
      <c r="N3">
        <v>2026</v>
      </c>
    </row>
    <row r="4" spans="1:14">
      <c r="A4" s="4">
        <v>3</v>
      </c>
      <c r="B4" s="4" t="s">
        <v>17</v>
      </c>
      <c r="C4" s="30" t="s">
        <v>23</v>
      </c>
      <c r="D4" s="4" t="s">
        <v>19</v>
      </c>
      <c r="E4" s="4" t="s">
        <v>85</v>
      </c>
      <c r="F4" s="4"/>
      <c r="G4" s="4" t="s">
        <v>92</v>
      </c>
      <c r="H4" s="4" t="s">
        <v>89</v>
      </c>
      <c r="I4" s="6">
        <v>1620</v>
      </c>
      <c r="J4" s="4" t="s">
        <v>14</v>
      </c>
      <c r="K4" s="4" t="s">
        <v>14</v>
      </c>
      <c r="L4" s="4" t="s">
        <v>14</v>
      </c>
      <c r="M4" s="79" t="s">
        <v>202</v>
      </c>
      <c r="N4">
        <v>2026</v>
      </c>
    </row>
    <row r="5" spans="1:14">
      <c r="A5" s="4">
        <v>4</v>
      </c>
      <c r="B5" s="36" t="s">
        <v>54</v>
      </c>
      <c r="C5" s="4" t="s">
        <v>55</v>
      </c>
      <c r="D5" s="4" t="s">
        <v>19</v>
      </c>
      <c r="E5" s="4" t="s">
        <v>85</v>
      </c>
      <c r="F5" s="4"/>
      <c r="G5" s="79" t="s">
        <v>88</v>
      </c>
      <c r="H5" s="80" t="s">
        <v>278</v>
      </c>
      <c r="I5" s="6">
        <v>18660.944724832214</v>
      </c>
      <c r="J5" s="4" t="s">
        <v>14</v>
      </c>
      <c r="K5" s="4" t="s">
        <v>14</v>
      </c>
      <c r="L5" s="4" t="s">
        <v>14</v>
      </c>
      <c r="M5" s="79" t="s">
        <v>202</v>
      </c>
      <c r="N5">
        <v>2026</v>
      </c>
    </row>
    <row r="6" spans="1:14">
      <c r="A6" s="4">
        <v>5</v>
      </c>
      <c r="B6" s="36" t="s">
        <v>42</v>
      </c>
      <c r="C6" s="4" t="s">
        <v>219</v>
      </c>
      <c r="D6" s="4" t="s">
        <v>19</v>
      </c>
      <c r="E6" s="4" t="s">
        <v>85</v>
      </c>
      <c r="F6" s="4"/>
      <c r="G6" s="79" t="s">
        <v>88</v>
      </c>
      <c r="H6" s="80" t="s">
        <v>278</v>
      </c>
      <c r="I6" s="6">
        <v>2485.8027986577181</v>
      </c>
      <c r="J6" s="4" t="s">
        <v>14</v>
      </c>
      <c r="K6" s="4" t="s">
        <v>14</v>
      </c>
      <c r="L6" s="4" t="s">
        <v>14</v>
      </c>
      <c r="M6" s="79" t="s">
        <v>202</v>
      </c>
      <c r="N6">
        <v>2026</v>
      </c>
    </row>
    <row r="7" spans="1:14">
      <c r="A7" s="4">
        <v>6</v>
      </c>
      <c r="B7" s="36" t="s">
        <v>35</v>
      </c>
      <c r="C7" s="4" t="s">
        <v>36</v>
      </c>
      <c r="D7" s="4" t="s">
        <v>19</v>
      </c>
      <c r="E7" s="4" t="s">
        <v>85</v>
      </c>
      <c r="F7" s="4"/>
      <c r="G7" s="79" t="s">
        <v>88</v>
      </c>
      <c r="H7" s="80" t="s">
        <v>278</v>
      </c>
      <c r="I7" s="6">
        <v>495.61177181208058</v>
      </c>
      <c r="J7" s="4" t="s">
        <v>14</v>
      </c>
      <c r="K7" s="4" t="s">
        <v>14</v>
      </c>
      <c r="L7" s="4" t="s">
        <v>14</v>
      </c>
      <c r="M7" s="79" t="s">
        <v>202</v>
      </c>
      <c r="N7">
        <v>2026</v>
      </c>
    </row>
    <row r="8" spans="1:14">
      <c r="A8" s="4">
        <v>7</v>
      </c>
      <c r="B8" s="36" t="s">
        <v>42</v>
      </c>
      <c r="C8" s="4" t="s">
        <v>45</v>
      </c>
      <c r="D8" s="4" t="s">
        <v>19</v>
      </c>
      <c r="E8" s="4" t="s">
        <v>85</v>
      </c>
      <c r="F8" s="4"/>
      <c r="G8" s="79" t="s">
        <v>88</v>
      </c>
      <c r="H8" s="80" t="s">
        <v>278</v>
      </c>
      <c r="I8" s="6">
        <v>9759.2927516778527</v>
      </c>
      <c r="J8" s="4" t="s">
        <v>14</v>
      </c>
      <c r="K8" s="4" t="s">
        <v>14</v>
      </c>
      <c r="L8" s="4" t="s">
        <v>14</v>
      </c>
      <c r="M8" s="79" t="s">
        <v>202</v>
      </c>
      <c r="N8">
        <v>2026</v>
      </c>
    </row>
    <row r="9" spans="1:14">
      <c r="A9" s="4">
        <v>8</v>
      </c>
      <c r="B9" s="36" t="s">
        <v>33</v>
      </c>
      <c r="C9" s="4" t="s">
        <v>34</v>
      </c>
      <c r="D9" s="4" t="s">
        <v>19</v>
      </c>
      <c r="E9" s="4" t="s">
        <v>85</v>
      </c>
      <c r="F9" s="4"/>
      <c r="G9" s="79" t="s">
        <v>88</v>
      </c>
      <c r="H9" s="80" t="s">
        <v>278</v>
      </c>
      <c r="I9" s="6">
        <v>4303.6912751677855</v>
      </c>
      <c r="J9" s="4" t="s">
        <v>14</v>
      </c>
      <c r="K9" s="4" t="s">
        <v>14</v>
      </c>
      <c r="L9" s="4" t="s">
        <v>14</v>
      </c>
      <c r="M9" s="79" t="s">
        <v>202</v>
      </c>
      <c r="N9">
        <v>2026</v>
      </c>
    </row>
    <row r="10" spans="1:14">
      <c r="A10" s="4">
        <v>9</v>
      </c>
      <c r="B10" s="36" t="s">
        <v>52</v>
      </c>
      <c r="C10" s="4" t="s">
        <v>53</v>
      </c>
      <c r="D10" s="4" t="s">
        <v>19</v>
      </c>
      <c r="E10" s="4" t="s">
        <v>85</v>
      </c>
      <c r="F10" s="4"/>
      <c r="G10" s="79" t="s">
        <v>88</v>
      </c>
      <c r="H10" s="80" t="s">
        <v>278</v>
      </c>
      <c r="I10" s="6">
        <v>35306.337288590599</v>
      </c>
      <c r="J10" s="4" t="s">
        <v>14</v>
      </c>
      <c r="K10" s="4" t="s">
        <v>14</v>
      </c>
      <c r="L10" s="4" t="s">
        <v>14</v>
      </c>
      <c r="M10" s="79" t="s">
        <v>202</v>
      </c>
      <c r="N10">
        <v>2026</v>
      </c>
    </row>
    <row r="11" spans="1:14">
      <c r="A11" s="4">
        <v>10</v>
      </c>
      <c r="B11" s="36" t="s">
        <v>42</v>
      </c>
      <c r="C11" s="4" t="s">
        <v>47</v>
      </c>
      <c r="D11" s="4" t="s">
        <v>19</v>
      </c>
      <c r="E11" s="4" t="s">
        <v>85</v>
      </c>
      <c r="F11" s="4"/>
      <c r="G11" s="79" t="s">
        <v>88</v>
      </c>
      <c r="H11" s="80" t="s">
        <v>278</v>
      </c>
      <c r="I11" s="6">
        <v>798.78679194630877</v>
      </c>
      <c r="J11" s="4" t="s">
        <v>14</v>
      </c>
      <c r="K11" s="4" t="s">
        <v>14</v>
      </c>
      <c r="L11" s="4" t="s">
        <v>14</v>
      </c>
      <c r="M11" s="79" t="s">
        <v>202</v>
      </c>
      <c r="N11">
        <v>2026</v>
      </c>
    </row>
    <row r="12" spans="1:14">
      <c r="A12" s="4">
        <v>11</v>
      </c>
      <c r="B12" s="36" t="s">
        <v>42</v>
      </c>
      <c r="C12" s="4" t="s">
        <v>257</v>
      </c>
      <c r="D12" s="4" t="s">
        <v>19</v>
      </c>
      <c r="E12" s="4" t="s">
        <v>85</v>
      </c>
      <c r="F12" s="4"/>
      <c r="G12" s="79" t="s">
        <v>88</v>
      </c>
      <c r="H12" s="80" t="s">
        <v>278</v>
      </c>
      <c r="I12" s="6">
        <v>714.66830201342282</v>
      </c>
      <c r="J12" s="4" t="s">
        <v>14</v>
      </c>
      <c r="K12" s="4" t="s">
        <v>14</v>
      </c>
      <c r="L12" s="4" t="s">
        <v>14</v>
      </c>
      <c r="M12" s="79" t="s">
        <v>202</v>
      </c>
      <c r="N12">
        <v>2026</v>
      </c>
    </row>
    <row r="13" spans="1:14">
      <c r="A13" s="4">
        <v>12</v>
      </c>
      <c r="B13" s="36" t="s">
        <v>42</v>
      </c>
      <c r="C13" s="4" t="s">
        <v>50</v>
      </c>
      <c r="D13" s="4" t="s">
        <v>19</v>
      </c>
      <c r="E13" s="4" t="s">
        <v>85</v>
      </c>
      <c r="F13" s="4"/>
      <c r="G13" s="130" t="s">
        <v>88</v>
      </c>
      <c r="H13" s="80" t="s">
        <v>278</v>
      </c>
      <c r="I13" s="6">
        <v>26938.758523489934</v>
      </c>
      <c r="J13" s="4" t="s">
        <v>14</v>
      </c>
      <c r="K13" s="4" t="s">
        <v>14</v>
      </c>
      <c r="L13" s="4" t="s">
        <v>14</v>
      </c>
      <c r="M13" s="79" t="s">
        <v>202</v>
      </c>
      <c r="N13">
        <v>2026</v>
      </c>
    </row>
    <row r="14" spans="1:14">
      <c r="A14" s="4">
        <v>13</v>
      </c>
      <c r="B14" s="36" t="s">
        <v>17</v>
      </c>
      <c r="C14" s="4" t="s">
        <v>25</v>
      </c>
      <c r="D14" s="4" t="s">
        <v>19</v>
      </c>
      <c r="E14" s="4" t="s">
        <v>85</v>
      </c>
      <c r="F14" s="4"/>
      <c r="G14" s="130" t="s">
        <v>88</v>
      </c>
      <c r="H14" s="80" t="s">
        <v>278</v>
      </c>
      <c r="I14" s="6">
        <v>13341.442953020134</v>
      </c>
      <c r="J14" s="4" t="s">
        <v>14</v>
      </c>
      <c r="K14" s="4" t="s">
        <v>14</v>
      </c>
      <c r="L14" s="4" t="s">
        <v>14</v>
      </c>
      <c r="M14" s="79" t="s">
        <v>202</v>
      </c>
      <c r="N14">
        <v>2026</v>
      </c>
    </row>
    <row r="15" spans="1:14">
      <c r="A15" s="4">
        <v>14</v>
      </c>
      <c r="B15" s="36" t="s">
        <v>17</v>
      </c>
      <c r="C15" s="4" t="s">
        <v>388</v>
      </c>
      <c r="D15" s="4" t="s">
        <v>19</v>
      </c>
      <c r="E15" s="4" t="s">
        <v>85</v>
      </c>
      <c r="F15" s="4"/>
      <c r="G15" s="35" t="s">
        <v>87</v>
      </c>
      <c r="H15" s="80" t="s">
        <v>278</v>
      </c>
      <c r="I15" s="6">
        <v>9174.3210134228193</v>
      </c>
      <c r="J15" s="4" t="s">
        <v>14</v>
      </c>
      <c r="K15" s="4" t="s">
        <v>14</v>
      </c>
      <c r="L15" s="4" t="s">
        <v>14</v>
      </c>
      <c r="M15" s="79" t="s">
        <v>202</v>
      </c>
      <c r="N15">
        <v>2026</v>
      </c>
    </row>
    <row r="16" spans="1:14">
      <c r="A16" s="4">
        <v>15</v>
      </c>
      <c r="B16" s="36" t="s">
        <v>54</v>
      </c>
      <c r="C16" s="4" t="s">
        <v>55</v>
      </c>
      <c r="D16" s="4" t="s">
        <v>19</v>
      </c>
      <c r="E16" s="4" t="s">
        <v>85</v>
      </c>
      <c r="F16" s="4"/>
      <c r="G16" s="35" t="s">
        <v>87</v>
      </c>
      <c r="H16" s="80" t="s">
        <v>278</v>
      </c>
      <c r="I16" s="6">
        <v>203.53639597315436</v>
      </c>
      <c r="J16" s="4" t="s">
        <v>14</v>
      </c>
      <c r="K16" s="4" t="s">
        <v>14</v>
      </c>
      <c r="L16" s="4" t="s">
        <v>14</v>
      </c>
      <c r="M16" s="79" t="s">
        <v>202</v>
      </c>
      <c r="N16">
        <v>2026</v>
      </c>
    </row>
    <row r="17" spans="1:14">
      <c r="A17" s="4">
        <v>16</v>
      </c>
      <c r="B17" s="36" t="s">
        <v>35</v>
      </c>
      <c r="C17" s="4" t="s">
        <v>37</v>
      </c>
      <c r="D17" s="4" t="s">
        <v>19</v>
      </c>
      <c r="E17" s="4" t="s">
        <v>85</v>
      </c>
      <c r="F17" s="4"/>
      <c r="G17" s="35" t="s">
        <v>87</v>
      </c>
      <c r="H17" s="80" t="s">
        <v>278</v>
      </c>
      <c r="I17" s="6">
        <v>9994.8374026845649</v>
      </c>
      <c r="J17" s="4" t="s">
        <v>14</v>
      </c>
      <c r="K17" s="4" t="s">
        <v>14</v>
      </c>
      <c r="L17" s="4" t="s">
        <v>14</v>
      </c>
      <c r="M17" s="79" t="s">
        <v>202</v>
      </c>
      <c r="N17">
        <v>2026</v>
      </c>
    </row>
    <row r="18" spans="1:14">
      <c r="A18" s="4">
        <v>17</v>
      </c>
      <c r="B18" s="36" t="s">
        <v>42</v>
      </c>
      <c r="C18" s="4" t="s">
        <v>44</v>
      </c>
      <c r="D18" s="4" t="s">
        <v>19</v>
      </c>
      <c r="E18" s="4" t="s">
        <v>85</v>
      </c>
      <c r="F18" s="4"/>
      <c r="G18" s="35" t="s">
        <v>87</v>
      </c>
      <c r="H18" s="80" t="s">
        <v>278</v>
      </c>
      <c r="I18" s="6">
        <v>203.53639597315436</v>
      </c>
      <c r="J18" s="4" t="s">
        <v>14</v>
      </c>
      <c r="K18" s="4" t="s">
        <v>14</v>
      </c>
      <c r="L18" s="4" t="s">
        <v>14</v>
      </c>
      <c r="M18" s="79" t="s">
        <v>202</v>
      </c>
      <c r="N18">
        <v>2026</v>
      </c>
    </row>
    <row r="19" spans="1:14">
      <c r="A19" s="4">
        <v>18</v>
      </c>
      <c r="B19" s="36" t="s">
        <v>42</v>
      </c>
      <c r="C19" s="4" t="s">
        <v>45</v>
      </c>
      <c r="D19" s="4" t="s">
        <v>19</v>
      </c>
      <c r="E19" s="4" t="s">
        <v>85</v>
      </c>
      <c r="F19" s="4"/>
      <c r="G19" s="35" t="s">
        <v>87</v>
      </c>
      <c r="H19" s="80" t="s">
        <v>278</v>
      </c>
      <c r="I19" s="6">
        <v>10620.676208053692</v>
      </c>
      <c r="J19" s="4" t="s">
        <v>14</v>
      </c>
      <c r="K19" s="4" t="s">
        <v>14</v>
      </c>
      <c r="L19" s="4" t="s">
        <v>14</v>
      </c>
      <c r="M19" s="79" t="s">
        <v>202</v>
      </c>
      <c r="N19">
        <v>2026</v>
      </c>
    </row>
    <row r="20" spans="1:14">
      <c r="A20" s="4">
        <v>19</v>
      </c>
      <c r="B20" s="36" t="s">
        <v>52</v>
      </c>
      <c r="C20" s="4" t="s">
        <v>53</v>
      </c>
      <c r="D20" s="4" t="s">
        <v>19</v>
      </c>
      <c r="E20" s="4" t="s">
        <v>85</v>
      </c>
      <c r="F20" s="4"/>
      <c r="G20" s="35" t="s">
        <v>87</v>
      </c>
      <c r="H20" s="80" t="s">
        <v>278</v>
      </c>
      <c r="I20" s="6">
        <v>98576.078604026843</v>
      </c>
      <c r="J20" s="4" t="s">
        <v>14</v>
      </c>
      <c r="K20" s="4" t="s">
        <v>14</v>
      </c>
      <c r="L20" s="4" t="s">
        <v>14</v>
      </c>
      <c r="M20" s="79" t="s">
        <v>202</v>
      </c>
      <c r="N20">
        <v>2026</v>
      </c>
    </row>
    <row r="21" spans="1:14">
      <c r="A21" s="4">
        <v>20</v>
      </c>
      <c r="B21" s="36" t="s">
        <v>17</v>
      </c>
      <c r="C21" s="4" t="s">
        <v>22</v>
      </c>
      <c r="D21" s="4" t="s">
        <v>19</v>
      </c>
      <c r="E21" s="4" t="s">
        <v>85</v>
      </c>
      <c r="F21" s="4"/>
      <c r="G21" s="35" t="s">
        <v>87</v>
      </c>
      <c r="H21" s="80" t="s">
        <v>278</v>
      </c>
      <c r="I21" s="6">
        <v>52089.168691275161</v>
      </c>
      <c r="J21" s="4" t="s">
        <v>14</v>
      </c>
      <c r="K21" s="4" t="s">
        <v>14</v>
      </c>
      <c r="L21" s="4" t="s">
        <v>14</v>
      </c>
      <c r="M21" s="79" t="s">
        <v>202</v>
      </c>
      <c r="N21">
        <v>2026</v>
      </c>
    </row>
    <row r="22" spans="1:14">
      <c r="A22" s="4">
        <v>21</v>
      </c>
      <c r="B22" s="36" t="s">
        <v>42</v>
      </c>
      <c r="C22" s="4" t="s">
        <v>47</v>
      </c>
      <c r="D22" s="4" t="s">
        <v>19</v>
      </c>
      <c r="E22" s="4" t="s">
        <v>85</v>
      </c>
      <c r="F22" s="4"/>
      <c r="G22" s="35" t="s">
        <v>87</v>
      </c>
      <c r="H22" s="80" t="s">
        <v>278</v>
      </c>
      <c r="I22" s="6">
        <v>9616.0298926174491</v>
      </c>
      <c r="J22" s="4" t="s">
        <v>14</v>
      </c>
      <c r="K22" s="4" t="s">
        <v>14</v>
      </c>
      <c r="L22" s="4" t="s">
        <v>14</v>
      </c>
      <c r="M22" s="79" t="s">
        <v>202</v>
      </c>
      <c r="N22">
        <v>2026</v>
      </c>
    </row>
    <row r="23" spans="1:14">
      <c r="A23" s="4">
        <v>22</v>
      </c>
      <c r="B23" s="36" t="s">
        <v>17</v>
      </c>
      <c r="C23" s="4" t="s">
        <v>265</v>
      </c>
      <c r="D23" s="4" t="s">
        <v>19</v>
      </c>
      <c r="E23" s="4" t="s">
        <v>85</v>
      </c>
      <c r="F23" s="4"/>
      <c r="G23" s="35" t="s">
        <v>87</v>
      </c>
      <c r="H23" s="80" t="s">
        <v>278</v>
      </c>
      <c r="I23" s="6">
        <v>26967.08822818792</v>
      </c>
      <c r="J23" s="4" t="s">
        <v>14</v>
      </c>
      <c r="K23" s="4" t="s">
        <v>14</v>
      </c>
      <c r="L23" s="4" t="s">
        <v>14</v>
      </c>
      <c r="M23" s="79" t="s">
        <v>202</v>
      </c>
      <c r="N23">
        <v>2026</v>
      </c>
    </row>
    <row r="24" spans="1:14">
      <c r="A24" s="4">
        <v>23</v>
      </c>
      <c r="B24" s="36" t="s">
        <v>42</v>
      </c>
      <c r="C24" s="4" t="s">
        <v>257</v>
      </c>
      <c r="D24" s="4" t="s">
        <v>19</v>
      </c>
      <c r="E24" s="4" t="s">
        <v>85</v>
      </c>
      <c r="F24" s="4"/>
      <c r="G24" s="35" t="s">
        <v>87</v>
      </c>
      <c r="H24" s="80" t="s">
        <v>255</v>
      </c>
      <c r="I24" s="6">
        <v>3138.8745369127528</v>
      </c>
      <c r="J24" s="4" t="s">
        <v>14</v>
      </c>
      <c r="K24" s="4" t="s">
        <v>14</v>
      </c>
      <c r="L24" s="4" t="s">
        <v>14</v>
      </c>
      <c r="M24" s="79" t="s">
        <v>202</v>
      </c>
      <c r="N24">
        <v>2026</v>
      </c>
    </row>
    <row r="25" spans="1:14">
      <c r="A25" s="4">
        <v>24</v>
      </c>
      <c r="B25" s="36" t="s">
        <v>42</v>
      </c>
      <c r="C25" s="4" t="s">
        <v>50</v>
      </c>
      <c r="D25" s="4" t="s">
        <v>19</v>
      </c>
      <c r="E25" s="4" t="s">
        <v>85</v>
      </c>
      <c r="F25" s="4"/>
      <c r="G25" s="35" t="s">
        <v>87</v>
      </c>
      <c r="H25" s="80" t="s">
        <v>255</v>
      </c>
      <c r="I25" s="6">
        <v>32020.265751677853</v>
      </c>
      <c r="J25" s="4" t="s">
        <v>14</v>
      </c>
      <c r="K25" s="4" t="s">
        <v>14</v>
      </c>
      <c r="L25" s="4" t="s">
        <v>14</v>
      </c>
      <c r="M25" s="79" t="s">
        <v>202</v>
      </c>
      <c r="N25">
        <v>2026</v>
      </c>
    </row>
    <row r="26" spans="1:14">
      <c r="A26" s="4">
        <v>25</v>
      </c>
      <c r="B26" s="36" t="s">
        <v>17</v>
      </c>
      <c r="C26" s="4" t="s">
        <v>25</v>
      </c>
      <c r="D26" s="4" t="s">
        <v>19</v>
      </c>
      <c r="E26" s="4" t="s">
        <v>85</v>
      </c>
      <c r="F26" s="4"/>
      <c r="G26" s="35" t="s">
        <v>87</v>
      </c>
      <c r="H26" s="80" t="s">
        <v>255</v>
      </c>
      <c r="I26" s="6">
        <v>138982.66732214767</v>
      </c>
      <c r="J26" s="4" t="s">
        <v>14</v>
      </c>
      <c r="K26" s="4" t="s">
        <v>14</v>
      </c>
      <c r="L26" s="4" t="s">
        <v>14</v>
      </c>
      <c r="M26" s="79" t="s">
        <v>202</v>
      </c>
      <c r="N26">
        <v>2026</v>
      </c>
    </row>
    <row r="27" spans="1:14">
      <c r="A27" s="4">
        <v>26</v>
      </c>
      <c r="B27" s="36" t="s">
        <v>17</v>
      </c>
      <c r="C27" s="4" t="s">
        <v>388</v>
      </c>
      <c r="D27" s="4" t="s">
        <v>19</v>
      </c>
      <c r="E27" s="4" t="s">
        <v>85</v>
      </c>
      <c r="F27" s="4"/>
      <c r="G27" s="35" t="s">
        <v>86</v>
      </c>
      <c r="H27" s="80" t="s">
        <v>255</v>
      </c>
      <c r="I27" s="6">
        <v>18999.137738255034</v>
      </c>
      <c r="J27" s="4" t="s">
        <v>14</v>
      </c>
      <c r="K27" s="4" t="s">
        <v>14</v>
      </c>
      <c r="L27" s="4" t="s">
        <v>14</v>
      </c>
      <c r="M27" s="79" t="s">
        <v>202</v>
      </c>
      <c r="N27">
        <v>2026</v>
      </c>
    </row>
    <row r="28" spans="1:14">
      <c r="A28" s="4">
        <v>27</v>
      </c>
      <c r="B28" s="36" t="s">
        <v>54</v>
      </c>
      <c r="C28" s="4" t="s">
        <v>55</v>
      </c>
      <c r="D28" s="4" t="s">
        <v>19</v>
      </c>
      <c r="E28" s="4" t="s">
        <v>85</v>
      </c>
      <c r="F28" s="4"/>
      <c r="G28" s="35" t="s">
        <v>86</v>
      </c>
      <c r="H28" s="80" t="s">
        <v>255</v>
      </c>
      <c r="I28" s="6">
        <v>22627.813516778522</v>
      </c>
      <c r="J28" s="4" t="s">
        <v>14</v>
      </c>
      <c r="K28" s="4" t="s">
        <v>14</v>
      </c>
      <c r="L28" s="4" t="s">
        <v>14</v>
      </c>
      <c r="M28" s="79" t="s">
        <v>202</v>
      </c>
      <c r="N28">
        <v>2026</v>
      </c>
    </row>
    <row r="29" spans="1:14">
      <c r="A29" s="4">
        <v>28</v>
      </c>
      <c r="B29" s="36" t="s">
        <v>42</v>
      </c>
      <c r="C29" s="4" t="s">
        <v>219</v>
      </c>
      <c r="D29" s="4" t="s">
        <v>19</v>
      </c>
      <c r="E29" s="4" t="s">
        <v>85</v>
      </c>
      <c r="F29" s="4"/>
      <c r="G29" s="35" t="s">
        <v>86</v>
      </c>
      <c r="H29" s="80" t="s">
        <v>255</v>
      </c>
      <c r="I29" s="6">
        <v>7934.8166442953025</v>
      </c>
      <c r="J29" s="4" t="s">
        <v>14</v>
      </c>
      <c r="K29" s="4" t="s">
        <v>14</v>
      </c>
      <c r="L29" s="4" t="s">
        <v>14</v>
      </c>
      <c r="M29" s="79" t="s">
        <v>202</v>
      </c>
      <c r="N29">
        <v>2026</v>
      </c>
    </row>
    <row r="30" spans="1:14">
      <c r="A30" s="4">
        <v>29</v>
      </c>
      <c r="B30" s="36" t="s">
        <v>389</v>
      </c>
      <c r="C30" s="4" t="s">
        <v>32</v>
      </c>
      <c r="D30" s="4" t="s">
        <v>19</v>
      </c>
      <c r="E30" s="4" t="s">
        <v>85</v>
      </c>
      <c r="F30" s="4"/>
      <c r="G30" s="35" t="s">
        <v>86</v>
      </c>
      <c r="H30" s="80" t="s">
        <v>255</v>
      </c>
      <c r="I30" s="6">
        <v>1548.7867919463085</v>
      </c>
      <c r="J30" s="4" t="s">
        <v>14</v>
      </c>
      <c r="K30" s="4" t="s">
        <v>14</v>
      </c>
      <c r="L30" s="4" t="s">
        <v>14</v>
      </c>
      <c r="M30" s="79" t="s">
        <v>202</v>
      </c>
      <c r="N30">
        <v>2026</v>
      </c>
    </row>
    <row r="31" spans="1:14">
      <c r="A31" s="4">
        <v>30</v>
      </c>
      <c r="B31" s="36" t="s">
        <v>35</v>
      </c>
      <c r="C31" s="4" t="s">
        <v>36</v>
      </c>
      <c r="D31" s="4" t="s">
        <v>19</v>
      </c>
      <c r="E31" s="4" t="s">
        <v>85</v>
      </c>
      <c r="F31" s="4"/>
      <c r="G31" s="35" t="s">
        <v>86</v>
      </c>
      <c r="H31" s="80" t="s">
        <v>255</v>
      </c>
      <c r="I31" s="6">
        <v>2369.6437315436242</v>
      </c>
      <c r="J31" s="4" t="s">
        <v>14</v>
      </c>
      <c r="K31" s="4" t="s">
        <v>14</v>
      </c>
      <c r="L31" s="4" t="s">
        <v>14</v>
      </c>
      <c r="M31" s="79" t="s">
        <v>202</v>
      </c>
      <c r="N31">
        <v>2026</v>
      </c>
    </row>
    <row r="32" spans="1:14">
      <c r="A32" s="4">
        <v>31</v>
      </c>
      <c r="B32" s="36" t="s">
        <v>35</v>
      </c>
      <c r="C32" s="4" t="s">
        <v>37</v>
      </c>
      <c r="D32" s="4" t="s">
        <v>19</v>
      </c>
      <c r="E32" s="4" t="s">
        <v>85</v>
      </c>
      <c r="F32" s="4"/>
      <c r="G32" s="35" t="s">
        <v>86</v>
      </c>
      <c r="H32" s="80" t="s">
        <v>255</v>
      </c>
      <c r="I32" s="6">
        <v>16366.411919463088</v>
      </c>
      <c r="J32" s="4" t="s">
        <v>14</v>
      </c>
      <c r="K32" s="4" t="s">
        <v>14</v>
      </c>
      <c r="L32" s="4" t="s">
        <v>14</v>
      </c>
      <c r="M32" s="79" t="s">
        <v>202</v>
      </c>
      <c r="N32">
        <v>2026</v>
      </c>
    </row>
    <row r="33" spans="1:14">
      <c r="A33" s="4">
        <v>32</v>
      </c>
      <c r="B33" s="36" t="s">
        <v>42</v>
      </c>
      <c r="C33" s="4" t="s">
        <v>44</v>
      </c>
      <c r="D33" s="4" t="s">
        <v>19</v>
      </c>
      <c r="E33" s="4" t="s">
        <v>85</v>
      </c>
      <c r="F33" s="4"/>
      <c r="G33" s="35" t="s">
        <v>86</v>
      </c>
      <c r="H33" s="80" t="s">
        <v>255</v>
      </c>
      <c r="I33" s="6">
        <v>22819.67988590604</v>
      </c>
      <c r="J33" s="4" t="s">
        <v>14</v>
      </c>
      <c r="K33" s="4" t="s">
        <v>14</v>
      </c>
      <c r="L33" s="4" t="s">
        <v>14</v>
      </c>
      <c r="M33" s="79" t="s">
        <v>202</v>
      </c>
      <c r="N33">
        <v>2026</v>
      </c>
    </row>
    <row r="34" spans="1:14">
      <c r="A34" s="4">
        <v>33</v>
      </c>
      <c r="B34" s="36" t="s">
        <v>42</v>
      </c>
      <c r="C34" s="4" t="s">
        <v>45</v>
      </c>
      <c r="D34" s="4" t="s">
        <v>19</v>
      </c>
      <c r="E34" s="4" t="s">
        <v>85</v>
      </c>
      <c r="F34" s="4"/>
      <c r="G34" s="35" t="s">
        <v>86</v>
      </c>
      <c r="H34" s="80" t="s">
        <v>255</v>
      </c>
      <c r="I34" s="6">
        <v>34946.308604026846</v>
      </c>
      <c r="J34" s="4" t="s">
        <v>14</v>
      </c>
      <c r="K34" s="4" t="s">
        <v>14</v>
      </c>
      <c r="L34" s="4" t="s">
        <v>14</v>
      </c>
      <c r="M34" s="79" t="s">
        <v>202</v>
      </c>
      <c r="N34">
        <v>2026</v>
      </c>
    </row>
    <row r="35" spans="1:14">
      <c r="A35" s="4">
        <v>34</v>
      </c>
      <c r="B35" s="36" t="s">
        <v>33</v>
      </c>
      <c r="C35" s="4" t="s">
        <v>34</v>
      </c>
      <c r="D35" s="4" t="s">
        <v>19</v>
      </c>
      <c r="E35" s="4" t="s">
        <v>85</v>
      </c>
      <c r="F35" s="4"/>
      <c r="G35" s="35" t="s">
        <v>86</v>
      </c>
      <c r="H35" s="80" t="s">
        <v>255</v>
      </c>
      <c r="I35" s="6">
        <v>6782.1373221476506</v>
      </c>
      <c r="J35" s="4" t="s">
        <v>14</v>
      </c>
      <c r="K35" s="4" t="s">
        <v>14</v>
      </c>
      <c r="L35" s="4" t="s">
        <v>14</v>
      </c>
      <c r="M35" s="79" t="s">
        <v>202</v>
      </c>
      <c r="N35">
        <v>2026</v>
      </c>
    </row>
    <row r="36" spans="1:14">
      <c r="A36" s="4">
        <v>35</v>
      </c>
      <c r="B36" s="36" t="s">
        <v>52</v>
      </c>
      <c r="C36" s="4" t="s">
        <v>53</v>
      </c>
      <c r="D36" s="4" t="s">
        <v>19</v>
      </c>
      <c r="E36" s="4" t="s">
        <v>85</v>
      </c>
      <c r="F36" s="4"/>
      <c r="G36" s="35" t="s">
        <v>86</v>
      </c>
      <c r="H36" s="80" t="s">
        <v>255</v>
      </c>
      <c r="I36" s="6">
        <v>152036.86370469799</v>
      </c>
      <c r="J36" s="4" t="s">
        <v>14</v>
      </c>
      <c r="K36" s="4" t="s">
        <v>14</v>
      </c>
      <c r="L36" s="4" t="s">
        <v>14</v>
      </c>
      <c r="M36" s="79" t="s">
        <v>202</v>
      </c>
      <c r="N36">
        <v>2026</v>
      </c>
    </row>
    <row r="37" spans="1:14">
      <c r="A37" s="4">
        <v>36</v>
      </c>
      <c r="B37" s="36" t="s">
        <v>58</v>
      </c>
      <c r="C37" s="4" t="s">
        <v>59</v>
      </c>
      <c r="D37" s="4" t="s">
        <v>19</v>
      </c>
      <c r="E37" s="4" t="s">
        <v>85</v>
      </c>
      <c r="F37" s="4"/>
      <c r="G37" s="35" t="s">
        <v>86</v>
      </c>
      <c r="H37" s="80" t="s">
        <v>255</v>
      </c>
      <c r="I37" s="6">
        <v>1784.2023422818793</v>
      </c>
      <c r="J37" s="4" t="s">
        <v>14</v>
      </c>
      <c r="K37" s="4" t="s">
        <v>14</v>
      </c>
      <c r="L37" s="4" t="s">
        <v>14</v>
      </c>
      <c r="M37" s="79" t="s">
        <v>202</v>
      </c>
      <c r="N37">
        <v>2026</v>
      </c>
    </row>
    <row r="38" spans="1:14">
      <c r="A38" s="4">
        <v>37</v>
      </c>
      <c r="B38" s="36" t="s">
        <v>17</v>
      </c>
      <c r="C38" s="4" t="s">
        <v>22</v>
      </c>
      <c r="D38" s="4" t="s">
        <v>19</v>
      </c>
      <c r="E38" s="4" t="s">
        <v>85</v>
      </c>
      <c r="F38" s="4"/>
      <c r="G38" s="35" t="s">
        <v>86</v>
      </c>
      <c r="H38" s="80" t="s">
        <v>255</v>
      </c>
      <c r="I38" s="6">
        <v>7053.0200469798656</v>
      </c>
      <c r="J38" s="4" t="s">
        <v>14</v>
      </c>
      <c r="K38" s="4" t="s">
        <v>14</v>
      </c>
      <c r="L38" s="4" t="s">
        <v>14</v>
      </c>
      <c r="M38" s="79" t="s">
        <v>202</v>
      </c>
      <c r="N38">
        <v>2026</v>
      </c>
    </row>
    <row r="39" spans="1:14">
      <c r="A39" s="4">
        <v>38</v>
      </c>
      <c r="B39" s="36" t="s">
        <v>42</v>
      </c>
      <c r="C39" s="4" t="s">
        <v>46</v>
      </c>
      <c r="D39" s="4" t="s">
        <v>19</v>
      </c>
      <c r="E39" s="4" t="s">
        <v>85</v>
      </c>
      <c r="F39" s="4"/>
      <c r="G39" s="35" t="s">
        <v>86</v>
      </c>
      <c r="H39" s="80" t="s">
        <v>255</v>
      </c>
      <c r="I39" s="6">
        <v>165.20391946308726</v>
      </c>
      <c r="J39" s="4" t="s">
        <v>14</v>
      </c>
      <c r="K39" s="4" t="s">
        <v>14</v>
      </c>
      <c r="L39" s="4" t="s">
        <v>14</v>
      </c>
      <c r="M39" s="79" t="s">
        <v>202</v>
      </c>
      <c r="N39">
        <v>2026</v>
      </c>
    </row>
    <row r="40" spans="1:14">
      <c r="A40" s="4">
        <v>39</v>
      </c>
      <c r="B40" s="36" t="s">
        <v>42</v>
      </c>
      <c r="C40" s="4" t="s">
        <v>47</v>
      </c>
      <c r="D40" s="4" t="s">
        <v>19</v>
      </c>
      <c r="E40" s="4" t="s">
        <v>85</v>
      </c>
      <c r="F40" s="4"/>
      <c r="G40" s="35" t="s">
        <v>86</v>
      </c>
      <c r="H40" s="80" t="s">
        <v>255</v>
      </c>
      <c r="I40" s="6">
        <v>14251.584825503356</v>
      </c>
      <c r="J40" s="4" t="s">
        <v>14</v>
      </c>
      <c r="K40" s="4" t="s">
        <v>14</v>
      </c>
      <c r="L40" s="4" t="s">
        <v>14</v>
      </c>
      <c r="M40" s="79" t="s">
        <v>202</v>
      </c>
      <c r="N40">
        <v>2026</v>
      </c>
    </row>
    <row r="41" spans="1:14">
      <c r="A41" s="4">
        <v>40</v>
      </c>
      <c r="B41" s="36" t="s">
        <v>17</v>
      </c>
      <c r="C41" s="4" t="s">
        <v>265</v>
      </c>
      <c r="D41" s="4" t="s">
        <v>19</v>
      </c>
      <c r="E41" s="4" t="s">
        <v>85</v>
      </c>
      <c r="F41" s="4"/>
      <c r="G41" s="35" t="s">
        <v>86</v>
      </c>
      <c r="H41" s="80" t="s">
        <v>255</v>
      </c>
      <c r="I41" s="6">
        <v>6969.0242080536918</v>
      </c>
      <c r="J41" s="4" t="s">
        <v>14</v>
      </c>
      <c r="K41" s="4" t="s">
        <v>14</v>
      </c>
      <c r="L41" s="4" t="s">
        <v>14</v>
      </c>
      <c r="M41" s="79" t="s">
        <v>202</v>
      </c>
      <c r="N41">
        <v>2026</v>
      </c>
    </row>
    <row r="42" spans="1:14">
      <c r="A42" s="4">
        <v>41</v>
      </c>
      <c r="B42" s="36" t="s">
        <v>42</v>
      </c>
      <c r="C42" s="4" t="s">
        <v>257</v>
      </c>
      <c r="D42" s="4" t="s">
        <v>19</v>
      </c>
      <c r="E42" s="4" t="s">
        <v>85</v>
      </c>
      <c r="F42" s="4"/>
      <c r="G42" s="35" t="s">
        <v>86</v>
      </c>
      <c r="H42" s="80" t="s">
        <v>255</v>
      </c>
      <c r="I42" s="6">
        <v>49147.754214765104</v>
      </c>
      <c r="J42" s="4" t="s">
        <v>14</v>
      </c>
      <c r="K42" s="4" t="s">
        <v>14</v>
      </c>
      <c r="L42" s="4" t="s">
        <v>14</v>
      </c>
      <c r="M42" s="79" t="s">
        <v>202</v>
      </c>
      <c r="N42">
        <v>2026</v>
      </c>
    </row>
    <row r="43" spans="1:14">
      <c r="A43" s="4">
        <v>42</v>
      </c>
      <c r="B43" s="36" t="s">
        <v>42</v>
      </c>
      <c r="C43" s="4" t="s">
        <v>50</v>
      </c>
      <c r="D43" s="4" t="s">
        <v>19</v>
      </c>
      <c r="E43" s="4" t="s">
        <v>85</v>
      </c>
      <c r="F43" s="4"/>
      <c r="G43" s="35" t="s">
        <v>86</v>
      </c>
      <c r="H43" s="80" t="s">
        <v>255</v>
      </c>
      <c r="I43" s="6">
        <v>58779.648765100668</v>
      </c>
      <c r="J43" s="4" t="s">
        <v>14</v>
      </c>
      <c r="K43" s="4" t="s">
        <v>14</v>
      </c>
      <c r="L43" s="4" t="s">
        <v>14</v>
      </c>
      <c r="M43" s="79" t="s">
        <v>202</v>
      </c>
      <c r="N43">
        <v>2026</v>
      </c>
    </row>
    <row r="44" spans="1:14">
      <c r="A44" s="4">
        <v>43</v>
      </c>
      <c r="B44" s="36" t="s">
        <v>42</v>
      </c>
      <c r="C44" s="4" t="s">
        <v>49</v>
      </c>
      <c r="D44" s="4" t="s">
        <v>19</v>
      </c>
      <c r="E44" s="4" t="s">
        <v>85</v>
      </c>
      <c r="F44" s="4"/>
      <c r="G44" s="35" t="s">
        <v>86</v>
      </c>
      <c r="H44" s="80" t="s">
        <v>255</v>
      </c>
      <c r="I44" s="6">
        <v>1916.6236308724831</v>
      </c>
      <c r="J44" s="4" t="s">
        <v>14</v>
      </c>
      <c r="K44" s="4" t="s">
        <v>14</v>
      </c>
      <c r="L44" s="4" t="s">
        <v>14</v>
      </c>
      <c r="M44" s="79" t="s">
        <v>202</v>
      </c>
      <c r="N44">
        <v>2026</v>
      </c>
    </row>
    <row r="45" spans="1:14">
      <c r="A45" s="4">
        <v>44</v>
      </c>
      <c r="B45" s="36" t="s">
        <v>17</v>
      </c>
      <c r="C45" s="4" t="s">
        <v>25</v>
      </c>
      <c r="D45" s="4" t="s">
        <v>19</v>
      </c>
      <c r="E45" s="4" t="s">
        <v>85</v>
      </c>
      <c r="F45" s="4"/>
      <c r="G45" s="35" t="s">
        <v>86</v>
      </c>
      <c r="H45" s="80" t="s">
        <v>255</v>
      </c>
      <c r="I45" s="6">
        <v>16572.01846308725</v>
      </c>
      <c r="J45" s="4" t="s">
        <v>14</v>
      </c>
      <c r="K45" s="4" t="s">
        <v>14</v>
      </c>
      <c r="L45" s="4" t="s">
        <v>14</v>
      </c>
      <c r="M45" s="79" t="s">
        <v>202</v>
      </c>
      <c r="N45">
        <v>2026</v>
      </c>
    </row>
    <row r="46" spans="1:14">
      <c r="A46" s="4">
        <v>45</v>
      </c>
      <c r="B46" s="36" t="s">
        <v>17</v>
      </c>
      <c r="C46" s="4" t="s">
        <v>388</v>
      </c>
      <c r="D46" s="4" t="s">
        <v>19</v>
      </c>
      <c r="E46" s="4" t="s">
        <v>85</v>
      </c>
      <c r="F46" s="4"/>
      <c r="G46" s="79" t="s">
        <v>87</v>
      </c>
      <c r="H46" s="80" t="s">
        <v>89</v>
      </c>
      <c r="I46" s="6">
        <v>27796.979073825503</v>
      </c>
      <c r="J46" s="4" t="s">
        <v>14</v>
      </c>
      <c r="K46" s="4" t="s">
        <v>14</v>
      </c>
      <c r="L46" s="4" t="s">
        <v>14</v>
      </c>
      <c r="M46" s="79" t="s">
        <v>202</v>
      </c>
      <c r="N46">
        <v>2026</v>
      </c>
    </row>
    <row r="47" spans="1:14">
      <c r="A47" s="4">
        <v>46</v>
      </c>
      <c r="B47" s="4" t="s">
        <v>54</v>
      </c>
      <c r="C47" s="4" t="s">
        <v>55</v>
      </c>
      <c r="D47" s="4" t="s">
        <v>19</v>
      </c>
      <c r="E47" s="4" t="s">
        <v>85</v>
      </c>
      <c r="F47" s="4"/>
      <c r="G47" s="65" t="s">
        <v>87</v>
      </c>
      <c r="H47" s="80" t="s">
        <v>89</v>
      </c>
      <c r="I47" s="6">
        <v>7416.1073825503354</v>
      </c>
      <c r="J47" s="4" t="s">
        <v>14</v>
      </c>
      <c r="K47" s="4" t="s">
        <v>14</v>
      </c>
      <c r="L47" s="4" t="s">
        <v>14</v>
      </c>
      <c r="M47" s="79" t="s">
        <v>202</v>
      </c>
      <c r="N47">
        <v>2026</v>
      </c>
    </row>
    <row r="48" spans="1:14">
      <c r="A48" s="4">
        <v>47</v>
      </c>
      <c r="B48" s="4" t="s">
        <v>42</v>
      </c>
      <c r="C48" s="4" t="s">
        <v>43</v>
      </c>
      <c r="D48" s="4" t="s">
        <v>19</v>
      </c>
      <c r="E48" s="4" t="s">
        <v>85</v>
      </c>
      <c r="F48" s="4"/>
      <c r="G48" s="65" t="s">
        <v>87</v>
      </c>
      <c r="H48" s="80" t="s">
        <v>89</v>
      </c>
      <c r="I48" s="6">
        <v>1409.3959731543623</v>
      </c>
      <c r="J48" s="4" t="s">
        <v>14</v>
      </c>
      <c r="K48" s="4" t="s">
        <v>14</v>
      </c>
      <c r="L48" s="4" t="s">
        <v>14</v>
      </c>
      <c r="M48" s="79" t="s">
        <v>202</v>
      </c>
      <c r="N48">
        <v>2026</v>
      </c>
    </row>
    <row r="49" spans="1:14">
      <c r="A49" s="4">
        <v>48</v>
      </c>
      <c r="B49" s="4" t="s">
        <v>35</v>
      </c>
      <c r="C49" s="4" t="s">
        <v>36</v>
      </c>
      <c r="D49" s="4" t="s">
        <v>19</v>
      </c>
      <c r="E49" s="4" t="s">
        <v>85</v>
      </c>
      <c r="F49" s="4"/>
      <c r="G49" s="65" t="s">
        <v>87</v>
      </c>
      <c r="H49" s="80" t="s">
        <v>89</v>
      </c>
      <c r="I49" s="6">
        <v>3489.9328859060402</v>
      </c>
      <c r="J49" s="4" t="s">
        <v>14</v>
      </c>
      <c r="K49" s="4" t="s">
        <v>14</v>
      </c>
      <c r="L49" s="4" t="s">
        <v>14</v>
      </c>
      <c r="M49" s="79" t="s">
        <v>202</v>
      </c>
      <c r="N49">
        <v>2026</v>
      </c>
    </row>
    <row r="50" spans="1:14">
      <c r="A50" s="4">
        <v>49</v>
      </c>
      <c r="B50" s="4" t="s">
        <v>35</v>
      </c>
      <c r="C50" s="4" t="s">
        <v>37</v>
      </c>
      <c r="D50" s="4" t="s">
        <v>19</v>
      </c>
      <c r="E50" s="4" t="s">
        <v>85</v>
      </c>
      <c r="F50" s="4"/>
      <c r="G50" s="65" t="s">
        <v>87</v>
      </c>
      <c r="H50" s="80" t="s">
        <v>89</v>
      </c>
      <c r="I50" s="6">
        <v>5570.4697986577185</v>
      </c>
      <c r="J50" s="4" t="s">
        <v>14</v>
      </c>
      <c r="K50" s="4" t="s">
        <v>14</v>
      </c>
      <c r="L50" s="4" t="s">
        <v>14</v>
      </c>
      <c r="M50" s="79" t="s">
        <v>202</v>
      </c>
      <c r="N50">
        <v>2026</v>
      </c>
    </row>
    <row r="51" spans="1:14">
      <c r="A51" s="4">
        <v>50</v>
      </c>
      <c r="B51" s="4" t="s">
        <v>42</v>
      </c>
      <c r="C51" s="4" t="s">
        <v>45</v>
      </c>
      <c r="D51" s="4" t="s">
        <v>19</v>
      </c>
      <c r="E51" s="4" t="s">
        <v>85</v>
      </c>
      <c r="F51" s="4"/>
      <c r="G51" s="65" t="s">
        <v>87</v>
      </c>
      <c r="H51" s="80" t="s">
        <v>89</v>
      </c>
      <c r="I51" s="6">
        <v>4907.0728187919467</v>
      </c>
      <c r="J51" s="4" t="s">
        <v>14</v>
      </c>
      <c r="K51" s="4" t="s">
        <v>14</v>
      </c>
      <c r="L51" s="4" t="s">
        <v>14</v>
      </c>
      <c r="M51" s="79" t="s">
        <v>202</v>
      </c>
      <c r="N51">
        <v>2026</v>
      </c>
    </row>
    <row r="52" spans="1:14">
      <c r="A52" s="4">
        <v>51</v>
      </c>
      <c r="B52" s="4" t="s">
        <v>33</v>
      </c>
      <c r="C52" s="4" t="s">
        <v>34</v>
      </c>
      <c r="D52" s="4" t="s">
        <v>19</v>
      </c>
      <c r="E52" s="4" t="s">
        <v>85</v>
      </c>
      <c r="F52" s="4"/>
      <c r="G52" s="65" t="s">
        <v>87</v>
      </c>
      <c r="H52" s="80" t="s">
        <v>89</v>
      </c>
      <c r="I52" s="6">
        <v>8786.7837315436245</v>
      </c>
      <c r="J52" s="4" t="s">
        <v>14</v>
      </c>
      <c r="K52" s="4" t="s">
        <v>14</v>
      </c>
      <c r="L52" s="4" t="s">
        <v>14</v>
      </c>
      <c r="M52" s="79" t="s">
        <v>202</v>
      </c>
      <c r="N52">
        <v>2026</v>
      </c>
    </row>
    <row r="53" spans="1:14">
      <c r="A53" s="4">
        <v>52</v>
      </c>
      <c r="B53" s="4" t="s">
        <v>52</v>
      </c>
      <c r="C53" s="4" t="s">
        <v>62</v>
      </c>
      <c r="D53" s="4" t="s">
        <v>19</v>
      </c>
      <c r="E53" s="4" t="s">
        <v>85</v>
      </c>
      <c r="F53" s="4"/>
      <c r="G53" s="65" t="s">
        <v>87</v>
      </c>
      <c r="H53" s="80" t="s">
        <v>89</v>
      </c>
      <c r="I53" s="6">
        <v>37066.081570469796</v>
      </c>
      <c r="J53" s="4" t="s">
        <v>14</v>
      </c>
      <c r="K53" s="4" t="s">
        <v>14</v>
      </c>
      <c r="L53" s="4" t="s">
        <v>14</v>
      </c>
      <c r="M53" s="79" t="s">
        <v>202</v>
      </c>
      <c r="N53">
        <v>2026</v>
      </c>
    </row>
    <row r="54" spans="1:14">
      <c r="A54" s="4">
        <v>53</v>
      </c>
      <c r="B54" s="4" t="s">
        <v>58</v>
      </c>
      <c r="C54" s="4" t="s">
        <v>59</v>
      </c>
      <c r="D54" s="4" t="s">
        <v>19</v>
      </c>
      <c r="E54" s="4" t="s">
        <v>85</v>
      </c>
      <c r="F54" s="4"/>
      <c r="G54" s="65" t="s">
        <v>87</v>
      </c>
      <c r="H54" s="80" t="s">
        <v>89</v>
      </c>
      <c r="I54" s="6">
        <v>1543.6241879194631</v>
      </c>
      <c r="J54" s="4" t="s">
        <v>14</v>
      </c>
      <c r="K54" s="4" t="s">
        <v>14</v>
      </c>
      <c r="L54" s="4" t="s">
        <v>14</v>
      </c>
      <c r="M54" s="79" t="s">
        <v>202</v>
      </c>
      <c r="N54">
        <v>2026</v>
      </c>
    </row>
    <row r="55" spans="1:14">
      <c r="A55" s="4">
        <v>54</v>
      </c>
      <c r="B55" s="4" t="s">
        <v>17</v>
      </c>
      <c r="C55" s="4" t="s">
        <v>22</v>
      </c>
      <c r="D55" s="4" t="s">
        <v>19</v>
      </c>
      <c r="E55" s="4" t="s">
        <v>85</v>
      </c>
      <c r="F55" s="4"/>
      <c r="G55" s="65" t="s">
        <v>87</v>
      </c>
      <c r="H55" s="80" t="s">
        <v>89</v>
      </c>
      <c r="I55" s="6">
        <v>13062.007241610738</v>
      </c>
      <c r="J55" s="4" t="s">
        <v>14</v>
      </c>
      <c r="K55" s="4" t="s">
        <v>14</v>
      </c>
      <c r="L55" s="4" t="s">
        <v>14</v>
      </c>
      <c r="M55" s="79" t="s">
        <v>202</v>
      </c>
      <c r="N55">
        <v>2026</v>
      </c>
    </row>
    <row r="56" spans="1:14">
      <c r="A56" s="4">
        <v>55</v>
      </c>
      <c r="B56" s="4" t="s">
        <v>17</v>
      </c>
      <c r="C56" s="4" t="s">
        <v>90</v>
      </c>
      <c r="D56" s="4" t="s">
        <v>19</v>
      </c>
      <c r="E56" s="4" t="s">
        <v>85</v>
      </c>
      <c r="F56" s="4"/>
      <c r="G56" s="65" t="s">
        <v>87</v>
      </c>
      <c r="H56" s="80" t="s">
        <v>89</v>
      </c>
      <c r="I56" s="6">
        <v>3489.9328859060402</v>
      </c>
      <c r="J56" s="4" t="s">
        <v>14</v>
      </c>
      <c r="K56" s="4" t="s">
        <v>14</v>
      </c>
      <c r="L56" s="4" t="s">
        <v>14</v>
      </c>
      <c r="M56" s="79" t="s">
        <v>202</v>
      </c>
      <c r="N56">
        <v>2026</v>
      </c>
    </row>
    <row r="57" spans="1:14">
      <c r="A57" s="4">
        <v>56</v>
      </c>
      <c r="B57" s="4" t="s">
        <v>42</v>
      </c>
      <c r="C57" s="4" t="s">
        <v>47</v>
      </c>
      <c r="D57" s="4" t="s">
        <v>19</v>
      </c>
      <c r="E57" s="4" t="s">
        <v>85</v>
      </c>
      <c r="F57" s="4"/>
      <c r="G57" s="65" t="s">
        <v>87</v>
      </c>
      <c r="H57" s="80" t="s">
        <v>89</v>
      </c>
      <c r="I57" s="6">
        <v>3577.1812080536911</v>
      </c>
      <c r="J57" s="4" t="s">
        <v>14</v>
      </c>
      <c r="K57" s="4" t="s">
        <v>14</v>
      </c>
      <c r="L57" s="4" t="s">
        <v>14</v>
      </c>
      <c r="M57" s="79" t="s">
        <v>202</v>
      </c>
      <c r="N57">
        <v>2026</v>
      </c>
    </row>
    <row r="58" spans="1:14">
      <c r="A58" s="4">
        <v>57</v>
      </c>
      <c r="B58" s="4" t="s">
        <v>17</v>
      </c>
      <c r="C58" s="4" t="s">
        <v>265</v>
      </c>
      <c r="D58" s="4" t="s">
        <v>19</v>
      </c>
      <c r="E58" s="4" t="s">
        <v>85</v>
      </c>
      <c r="F58" s="4"/>
      <c r="G58" s="65" t="s">
        <v>87</v>
      </c>
      <c r="H58" s="80" t="s">
        <v>89</v>
      </c>
      <c r="I58" s="6">
        <v>11412.294308724831</v>
      </c>
      <c r="J58" s="4" t="s">
        <v>14</v>
      </c>
      <c r="K58" s="4" t="s">
        <v>14</v>
      </c>
      <c r="L58" s="4" t="s">
        <v>14</v>
      </c>
      <c r="M58" s="79" t="s">
        <v>202</v>
      </c>
      <c r="N58">
        <v>2026</v>
      </c>
    </row>
    <row r="59" spans="1:14">
      <c r="A59" s="4">
        <v>58</v>
      </c>
      <c r="B59" s="4" t="s">
        <v>42</v>
      </c>
      <c r="C59" s="4" t="s">
        <v>257</v>
      </c>
      <c r="D59" s="4" t="s">
        <v>19</v>
      </c>
      <c r="E59" s="4" t="s">
        <v>85</v>
      </c>
      <c r="F59" s="4"/>
      <c r="G59" s="65" t="s">
        <v>87</v>
      </c>
      <c r="H59" s="80" t="s">
        <v>89</v>
      </c>
      <c r="I59" s="6">
        <v>8507.4858053691278</v>
      </c>
      <c r="J59" s="4" t="s">
        <v>14</v>
      </c>
      <c r="K59" s="4" t="s">
        <v>14</v>
      </c>
      <c r="L59" s="4" t="s">
        <v>14</v>
      </c>
      <c r="M59" s="79" t="s">
        <v>202</v>
      </c>
      <c r="N59">
        <v>2026</v>
      </c>
    </row>
    <row r="60" spans="1:14">
      <c r="A60" s="4">
        <v>59</v>
      </c>
      <c r="B60" s="4" t="s">
        <v>42</v>
      </c>
      <c r="C60" s="4" t="s">
        <v>50</v>
      </c>
      <c r="D60" s="4" t="s">
        <v>19</v>
      </c>
      <c r="E60" s="4" t="s">
        <v>85</v>
      </c>
      <c r="F60" s="4"/>
      <c r="G60" s="65" t="s">
        <v>87</v>
      </c>
      <c r="H60" s="80" t="s">
        <v>89</v>
      </c>
      <c r="I60" s="6">
        <v>31084.31811409396</v>
      </c>
      <c r="J60" s="4" t="s">
        <v>14</v>
      </c>
      <c r="K60" s="4" t="s">
        <v>14</v>
      </c>
      <c r="L60" s="4" t="s">
        <v>14</v>
      </c>
      <c r="M60" s="79" t="s">
        <v>202</v>
      </c>
      <c r="N60">
        <v>2026</v>
      </c>
    </row>
    <row r="61" spans="1:14">
      <c r="A61" s="4">
        <v>60</v>
      </c>
      <c r="B61" s="4" t="s">
        <v>42</v>
      </c>
      <c r="C61" s="4" t="s">
        <v>49</v>
      </c>
      <c r="D61" s="4" t="s">
        <v>19</v>
      </c>
      <c r="E61" s="4" t="s">
        <v>85</v>
      </c>
      <c r="F61" s="4"/>
      <c r="G61" s="65" t="s">
        <v>87</v>
      </c>
      <c r="H61" s="80" t="s">
        <v>89</v>
      </c>
      <c r="I61" s="6">
        <v>2885.9060402684563</v>
      </c>
      <c r="J61" s="4" t="s">
        <v>14</v>
      </c>
      <c r="K61" s="4" t="s">
        <v>14</v>
      </c>
      <c r="L61" s="4" t="s">
        <v>14</v>
      </c>
      <c r="M61" s="79" t="s">
        <v>202</v>
      </c>
      <c r="N61">
        <v>2026</v>
      </c>
    </row>
    <row r="62" spans="1:14">
      <c r="A62" s="4">
        <v>61</v>
      </c>
      <c r="B62" s="4" t="s">
        <v>17</v>
      </c>
      <c r="C62" s="4" t="s">
        <v>25</v>
      </c>
      <c r="D62" s="4" t="s">
        <v>19</v>
      </c>
      <c r="E62" s="4" t="s">
        <v>85</v>
      </c>
      <c r="F62" s="4"/>
      <c r="G62" s="65" t="s">
        <v>87</v>
      </c>
      <c r="H62" s="80" t="s">
        <v>89</v>
      </c>
      <c r="I62" s="6">
        <v>20939.704724832212</v>
      </c>
      <c r="J62" s="4" t="s">
        <v>14</v>
      </c>
      <c r="K62" s="4" t="s">
        <v>14</v>
      </c>
      <c r="L62" s="4" t="s">
        <v>14</v>
      </c>
      <c r="M62" s="79" t="s">
        <v>202</v>
      </c>
      <c r="N62">
        <v>2026</v>
      </c>
    </row>
    <row r="63" spans="1:14">
      <c r="A63" s="4">
        <v>62</v>
      </c>
      <c r="B63" s="4" t="s">
        <v>17</v>
      </c>
      <c r="C63" s="4" t="s">
        <v>388</v>
      </c>
      <c r="D63" s="4" t="s">
        <v>19</v>
      </c>
      <c r="E63" s="4" t="s">
        <v>85</v>
      </c>
      <c r="F63" s="4"/>
      <c r="G63" s="79" t="s">
        <v>86</v>
      </c>
      <c r="H63" s="80" t="s">
        <v>89</v>
      </c>
      <c r="I63" s="6">
        <v>11937.79044966443</v>
      </c>
      <c r="J63" s="4" t="s">
        <v>14</v>
      </c>
      <c r="K63" s="4" t="s">
        <v>14</v>
      </c>
      <c r="L63" s="4" t="s">
        <v>14</v>
      </c>
      <c r="M63" s="79" t="s">
        <v>202</v>
      </c>
      <c r="N63">
        <v>2026</v>
      </c>
    </row>
    <row r="64" spans="1:14">
      <c r="A64" s="4">
        <v>63</v>
      </c>
      <c r="B64" s="64" t="s">
        <v>54</v>
      </c>
      <c r="C64" s="4" t="s">
        <v>55</v>
      </c>
      <c r="D64" s="4" t="s">
        <v>19</v>
      </c>
      <c r="E64" s="4" t="s">
        <v>85</v>
      </c>
      <c r="F64" s="4"/>
      <c r="G64" s="79" t="s">
        <v>86</v>
      </c>
      <c r="H64" s="80" t="s">
        <v>89</v>
      </c>
      <c r="I64" s="6">
        <v>26144.66500671141</v>
      </c>
      <c r="J64" s="4" t="s">
        <v>14</v>
      </c>
      <c r="K64" s="4" t="s">
        <v>14</v>
      </c>
      <c r="L64" s="4" t="s">
        <v>14</v>
      </c>
      <c r="M64" s="79" t="s">
        <v>202</v>
      </c>
      <c r="N64">
        <v>2026</v>
      </c>
    </row>
    <row r="65" spans="1:14">
      <c r="A65" s="4">
        <v>64</v>
      </c>
      <c r="B65" s="64" t="s">
        <v>42</v>
      </c>
      <c r="C65" s="4" t="s">
        <v>43</v>
      </c>
      <c r="D65" s="4" t="s">
        <v>19</v>
      </c>
      <c r="E65" s="4" t="s">
        <v>85</v>
      </c>
      <c r="F65" s="4"/>
      <c r="G65" s="79" t="s">
        <v>86</v>
      </c>
      <c r="H65" s="80" t="s">
        <v>89</v>
      </c>
      <c r="I65" s="6">
        <v>9264.326295302013</v>
      </c>
      <c r="J65" s="4" t="s">
        <v>14</v>
      </c>
      <c r="K65" s="4" t="s">
        <v>14</v>
      </c>
      <c r="L65" s="4" t="s">
        <v>14</v>
      </c>
      <c r="M65" s="79" t="s">
        <v>202</v>
      </c>
      <c r="N65">
        <v>2026</v>
      </c>
    </row>
    <row r="66" spans="1:14">
      <c r="A66" s="4">
        <v>65</v>
      </c>
      <c r="B66" s="64" t="s">
        <v>35</v>
      </c>
      <c r="C66" s="4" t="s">
        <v>36</v>
      </c>
      <c r="D66" s="4" t="s">
        <v>19</v>
      </c>
      <c r="E66" s="4" t="s">
        <v>85</v>
      </c>
      <c r="F66" s="4"/>
      <c r="G66" s="79" t="s">
        <v>86</v>
      </c>
      <c r="H66" s="80" t="s">
        <v>89</v>
      </c>
      <c r="I66" s="6">
        <v>3422.8187919463089</v>
      </c>
      <c r="J66" s="4" t="s">
        <v>14</v>
      </c>
      <c r="K66" s="4" t="s">
        <v>14</v>
      </c>
      <c r="L66" s="4" t="s">
        <v>14</v>
      </c>
      <c r="M66" s="79" t="s">
        <v>202</v>
      </c>
      <c r="N66">
        <v>2026</v>
      </c>
    </row>
    <row r="67" spans="1:14">
      <c r="A67" s="4">
        <v>66</v>
      </c>
      <c r="B67" s="64" t="s">
        <v>35</v>
      </c>
      <c r="C67" s="4" t="s">
        <v>37</v>
      </c>
      <c r="D67" s="4" t="s">
        <v>19</v>
      </c>
      <c r="E67" s="4" t="s">
        <v>85</v>
      </c>
      <c r="F67" s="4"/>
      <c r="G67" s="79" t="s">
        <v>86</v>
      </c>
      <c r="H67" s="80" t="s">
        <v>89</v>
      </c>
      <c r="I67" s="6">
        <v>10069.695422818791</v>
      </c>
      <c r="J67" s="4" t="s">
        <v>14</v>
      </c>
      <c r="K67" s="4" t="s">
        <v>14</v>
      </c>
      <c r="L67" s="4" t="s">
        <v>14</v>
      </c>
      <c r="M67" s="79" t="s">
        <v>202</v>
      </c>
      <c r="N67">
        <v>2026</v>
      </c>
    </row>
    <row r="68" spans="1:14">
      <c r="A68" s="4">
        <v>67</v>
      </c>
      <c r="B68" s="64" t="s">
        <v>42</v>
      </c>
      <c r="C68" s="4" t="s">
        <v>44</v>
      </c>
      <c r="D68" s="4" t="s">
        <v>19</v>
      </c>
      <c r="E68" s="4" t="s">
        <v>85</v>
      </c>
      <c r="F68" s="4"/>
      <c r="G68" s="79" t="s">
        <v>86</v>
      </c>
      <c r="H68" s="80" t="s">
        <v>89</v>
      </c>
      <c r="I68" s="6">
        <v>5785.2349261744957</v>
      </c>
      <c r="J68" s="4" t="s">
        <v>14</v>
      </c>
      <c r="K68" s="4" t="s">
        <v>14</v>
      </c>
      <c r="L68" s="4" t="s">
        <v>14</v>
      </c>
      <c r="M68" s="79" t="s">
        <v>202</v>
      </c>
      <c r="N68">
        <v>2026</v>
      </c>
    </row>
    <row r="69" spans="1:14">
      <c r="A69" s="4">
        <v>68</v>
      </c>
      <c r="B69" s="64" t="s">
        <v>42</v>
      </c>
      <c r="C69" s="64" t="s">
        <v>45</v>
      </c>
      <c r="D69" s="4" t="s">
        <v>19</v>
      </c>
      <c r="E69" s="4" t="s">
        <v>85</v>
      </c>
      <c r="F69" s="4"/>
      <c r="G69" s="79" t="s">
        <v>86</v>
      </c>
      <c r="H69" s="80" t="s">
        <v>89</v>
      </c>
      <c r="I69" s="6">
        <v>19106.091953020135</v>
      </c>
      <c r="J69" s="4" t="s">
        <v>14</v>
      </c>
      <c r="K69" s="4" t="s">
        <v>14</v>
      </c>
      <c r="L69" s="4" t="s">
        <v>14</v>
      </c>
      <c r="M69" s="79" t="s">
        <v>202</v>
      </c>
      <c r="N69">
        <v>2026</v>
      </c>
    </row>
    <row r="70" spans="1:14">
      <c r="A70" s="4">
        <v>69</v>
      </c>
      <c r="B70" s="64" t="s">
        <v>33</v>
      </c>
      <c r="C70" s="4" t="s">
        <v>34</v>
      </c>
      <c r="D70" s="4" t="s">
        <v>19</v>
      </c>
      <c r="E70" s="4" t="s">
        <v>85</v>
      </c>
      <c r="F70" s="4"/>
      <c r="G70" s="79" t="s">
        <v>86</v>
      </c>
      <c r="H70" s="80" t="s">
        <v>89</v>
      </c>
      <c r="I70" s="6">
        <v>22134.302697986575</v>
      </c>
      <c r="J70" s="4" t="s">
        <v>14</v>
      </c>
      <c r="K70" s="4" t="s">
        <v>14</v>
      </c>
      <c r="L70" s="4" t="s">
        <v>14</v>
      </c>
      <c r="M70" s="79" t="s">
        <v>202</v>
      </c>
      <c r="N70">
        <v>2026</v>
      </c>
    </row>
    <row r="71" spans="1:14">
      <c r="A71" s="4">
        <v>70</v>
      </c>
      <c r="B71" s="64" t="s">
        <v>52</v>
      </c>
      <c r="C71" s="4" t="s">
        <v>62</v>
      </c>
      <c r="D71" s="4" t="s">
        <v>19</v>
      </c>
      <c r="E71" s="4" t="s">
        <v>85</v>
      </c>
      <c r="F71" s="4"/>
      <c r="G71" s="79" t="s">
        <v>86</v>
      </c>
      <c r="H71" s="80" t="s">
        <v>89</v>
      </c>
      <c r="I71" s="6">
        <v>97731.54392617449</v>
      </c>
      <c r="J71" s="4" t="s">
        <v>14</v>
      </c>
      <c r="K71" s="4" t="s">
        <v>14</v>
      </c>
      <c r="L71" s="4" t="s">
        <v>14</v>
      </c>
      <c r="M71" s="79" t="s">
        <v>202</v>
      </c>
      <c r="N71">
        <v>2026</v>
      </c>
    </row>
    <row r="72" spans="1:14">
      <c r="A72" s="4">
        <v>71</v>
      </c>
      <c r="B72" s="64" t="s">
        <v>58</v>
      </c>
      <c r="C72" s="64" t="s">
        <v>59</v>
      </c>
      <c r="D72" s="4" t="s">
        <v>19</v>
      </c>
      <c r="E72" s="4" t="s">
        <v>85</v>
      </c>
      <c r="F72" s="4"/>
      <c r="G72" s="79" t="s">
        <v>86</v>
      </c>
      <c r="H72" s="80" t="s">
        <v>89</v>
      </c>
      <c r="I72" s="6">
        <v>3621.5798255033546</v>
      </c>
      <c r="J72" s="4" t="s">
        <v>14</v>
      </c>
      <c r="K72" s="4" t="s">
        <v>14</v>
      </c>
      <c r="L72" s="4" t="s">
        <v>14</v>
      </c>
      <c r="M72" s="79" t="s">
        <v>202</v>
      </c>
      <c r="N72">
        <v>2026</v>
      </c>
    </row>
    <row r="73" spans="1:14">
      <c r="A73" s="4">
        <v>72</v>
      </c>
      <c r="B73" s="64" t="s">
        <v>17</v>
      </c>
      <c r="C73" s="4" t="s">
        <v>22</v>
      </c>
      <c r="D73" s="4" t="s">
        <v>19</v>
      </c>
      <c r="E73" s="4" t="s">
        <v>85</v>
      </c>
      <c r="F73" s="4"/>
      <c r="G73" s="79" t="s">
        <v>86</v>
      </c>
      <c r="H73" s="80" t="s">
        <v>89</v>
      </c>
      <c r="I73" s="6">
        <v>5660.8157181208053</v>
      </c>
      <c r="J73" s="4" t="s">
        <v>14</v>
      </c>
      <c r="K73" s="4" t="s">
        <v>14</v>
      </c>
      <c r="L73" s="4" t="s">
        <v>14</v>
      </c>
      <c r="M73" s="79" t="s">
        <v>202</v>
      </c>
      <c r="N73">
        <v>2026</v>
      </c>
    </row>
    <row r="74" spans="1:14">
      <c r="A74" s="4">
        <v>73</v>
      </c>
      <c r="B74" s="64" t="s">
        <v>42</v>
      </c>
      <c r="C74" s="4" t="s">
        <v>46</v>
      </c>
      <c r="D74" s="4" t="s">
        <v>19</v>
      </c>
      <c r="E74" s="4" t="s">
        <v>85</v>
      </c>
      <c r="F74" s="4"/>
      <c r="G74" s="79" t="s">
        <v>86</v>
      </c>
      <c r="H74" s="80" t="s">
        <v>89</v>
      </c>
      <c r="I74" s="6">
        <v>5967.991758389262</v>
      </c>
      <c r="J74" s="4" t="s">
        <v>14</v>
      </c>
      <c r="K74" s="4" t="s">
        <v>14</v>
      </c>
      <c r="L74" s="4" t="s">
        <v>14</v>
      </c>
      <c r="M74" s="79" t="s">
        <v>202</v>
      </c>
      <c r="N74">
        <v>2026</v>
      </c>
    </row>
    <row r="75" spans="1:14">
      <c r="A75" s="4">
        <v>74</v>
      </c>
      <c r="B75" s="64" t="s">
        <v>35</v>
      </c>
      <c r="C75" s="4" t="s">
        <v>39</v>
      </c>
      <c r="D75" s="4" t="s">
        <v>19</v>
      </c>
      <c r="E75" s="4" t="s">
        <v>85</v>
      </c>
      <c r="F75" s="4"/>
      <c r="G75" s="79" t="s">
        <v>86</v>
      </c>
      <c r="H75" s="80" t="s">
        <v>89</v>
      </c>
      <c r="I75" s="6">
        <v>1208.0536912751677</v>
      </c>
      <c r="J75" s="4" t="s">
        <v>14</v>
      </c>
      <c r="K75" s="4" t="s">
        <v>14</v>
      </c>
      <c r="L75" s="4" t="s">
        <v>14</v>
      </c>
      <c r="M75" s="79" t="s">
        <v>202</v>
      </c>
      <c r="N75">
        <v>2026</v>
      </c>
    </row>
    <row r="76" spans="1:14">
      <c r="A76" s="4">
        <v>75</v>
      </c>
      <c r="B76" s="64" t="s">
        <v>35</v>
      </c>
      <c r="C76" s="4" t="s">
        <v>41</v>
      </c>
      <c r="D76" s="4" t="s">
        <v>19</v>
      </c>
      <c r="E76" s="4" t="s">
        <v>85</v>
      </c>
      <c r="F76" s="4"/>
      <c r="G76" s="79" t="s">
        <v>86</v>
      </c>
      <c r="H76" s="80" t="s">
        <v>89</v>
      </c>
      <c r="I76" s="6">
        <v>1897.2638255033557</v>
      </c>
      <c r="J76" s="4" t="s">
        <v>14</v>
      </c>
      <c r="K76" s="4" t="s">
        <v>14</v>
      </c>
      <c r="L76" s="4" t="s">
        <v>14</v>
      </c>
      <c r="M76" s="79" t="s">
        <v>202</v>
      </c>
      <c r="N76">
        <v>2026</v>
      </c>
    </row>
    <row r="77" spans="1:14">
      <c r="A77" s="4">
        <v>76</v>
      </c>
      <c r="B77" s="64" t="s">
        <v>42</v>
      </c>
      <c r="C77" s="4" t="s">
        <v>47</v>
      </c>
      <c r="D77" s="4" t="s">
        <v>19</v>
      </c>
      <c r="E77" s="4" t="s">
        <v>85</v>
      </c>
      <c r="F77" s="4"/>
      <c r="G77" s="79" t="s">
        <v>86</v>
      </c>
      <c r="H77" s="80" t="s">
        <v>89</v>
      </c>
      <c r="I77" s="6">
        <v>4912.7516778523486</v>
      </c>
      <c r="J77" s="4" t="s">
        <v>14</v>
      </c>
      <c r="K77" s="4" t="s">
        <v>14</v>
      </c>
      <c r="L77" s="4" t="s">
        <v>14</v>
      </c>
      <c r="M77" s="79" t="s">
        <v>202</v>
      </c>
      <c r="N77">
        <v>2026</v>
      </c>
    </row>
    <row r="78" spans="1:14">
      <c r="A78" s="4">
        <v>77</v>
      </c>
      <c r="B78" s="64" t="s">
        <v>17</v>
      </c>
      <c r="C78" s="4" t="s">
        <v>265</v>
      </c>
      <c r="D78" s="4" t="s">
        <v>19</v>
      </c>
      <c r="E78" s="4" t="s">
        <v>85</v>
      </c>
      <c r="F78" s="4"/>
      <c r="G78" s="79" t="s">
        <v>86</v>
      </c>
      <c r="H78" s="80" t="s">
        <v>89</v>
      </c>
      <c r="I78" s="6">
        <v>19116.675302013424</v>
      </c>
      <c r="J78" s="4" t="s">
        <v>14</v>
      </c>
      <c r="K78" s="4" t="s">
        <v>14</v>
      </c>
      <c r="L78" s="4" t="s">
        <v>14</v>
      </c>
      <c r="M78" s="79" t="s">
        <v>202</v>
      </c>
      <c r="N78">
        <v>2026</v>
      </c>
    </row>
    <row r="79" spans="1:14">
      <c r="A79" s="4">
        <v>78</v>
      </c>
      <c r="B79" s="64" t="s">
        <v>42</v>
      </c>
      <c r="C79" s="4" t="s">
        <v>257</v>
      </c>
      <c r="D79" s="4" t="s">
        <v>19</v>
      </c>
      <c r="E79" s="4" t="s">
        <v>85</v>
      </c>
      <c r="F79" s="4"/>
      <c r="G79" s="79" t="s">
        <v>86</v>
      </c>
      <c r="H79" s="80" t="s">
        <v>89</v>
      </c>
      <c r="I79" s="6">
        <v>47694.181778523489</v>
      </c>
      <c r="J79" s="4" t="s">
        <v>14</v>
      </c>
      <c r="K79" s="4" t="s">
        <v>14</v>
      </c>
      <c r="L79" s="4" t="s">
        <v>14</v>
      </c>
      <c r="M79" s="79" t="s">
        <v>202</v>
      </c>
      <c r="N79">
        <v>2026</v>
      </c>
    </row>
    <row r="80" spans="1:14">
      <c r="A80" s="4">
        <v>79</v>
      </c>
      <c r="B80" s="64" t="s">
        <v>42</v>
      </c>
      <c r="C80" s="64" t="s">
        <v>50</v>
      </c>
      <c r="D80" s="4" t="s">
        <v>19</v>
      </c>
      <c r="E80" s="4" t="s">
        <v>85</v>
      </c>
      <c r="F80" s="4"/>
      <c r="G80" s="79" t="s">
        <v>86</v>
      </c>
      <c r="H80" s="80" t="s">
        <v>89</v>
      </c>
      <c r="I80" s="6">
        <v>23040.84051677852</v>
      </c>
      <c r="J80" s="4" t="s">
        <v>14</v>
      </c>
      <c r="K80" s="4" t="s">
        <v>14</v>
      </c>
      <c r="L80" s="4" t="s">
        <v>14</v>
      </c>
      <c r="M80" s="79" t="s">
        <v>202</v>
      </c>
      <c r="N80">
        <v>2026</v>
      </c>
    </row>
    <row r="81" spans="1:14">
      <c r="A81" s="4">
        <v>80</v>
      </c>
      <c r="B81" s="64" t="s">
        <v>42</v>
      </c>
      <c r="C81" s="4" t="s">
        <v>49</v>
      </c>
      <c r="D81" s="4" t="s">
        <v>19</v>
      </c>
      <c r="E81" s="4" t="s">
        <v>85</v>
      </c>
      <c r="F81" s="4"/>
      <c r="G81" s="79" t="s">
        <v>86</v>
      </c>
      <c r="H81" s="80" t="s">
        <v>89</v>
      </c>
      <c r="I81" s="6">
        <v>604.02684563758385</v>
      </c>
      <c r="J81" s="4" t="s">
        <v>14</v>
      </c>
      <c r="K81" s="4" t="s">
        <v>14</v>
      </c>
      <c r="L81" s="4" t="s">
        <v>14</v>
      </c>
      <c r="M81" s="79" t="s">
        <v>202</v>
      </c>
      <c r="N81">
        <v>2026</v>
      </c>
    </row>
    <row r="82" spans="1:14">
      <c r="A82" s="4">
        <v>81</v>
      </c>
      <c r="B82" s="64" t="s">
        <v>42</v>
      </c>
      <c r="C82" s="4" t="s">
        <v>51</v>
      </c>
      <c r="D82" s="4" t="s">
        <v>19</v>
      </c>
      <c r="E82" s="4" t="s">
        <v>85</v>
      </c>
      <c r="F82" s="4"/>
      <c r="G82" s="79" t="s">
        <v>86</v>
      </c>
      <c r="H82" s="80" t="s">
        <v>89</v>
      </c>
      <c r="I82" s="6">
        <v>534.33144966442956</v>
      </c>
      <c r="J82" s="4" t="s">
        <v>14</v>
      </c>
      <c r="K82" s="4" t="s">
        <v>14</v>
      </c>
      <c r="L82" s="4" t="s">
        <v>14</v>
      </c>
      <c r="M82" s="79" t="s">
        <v>202</v>
      </c>
      <c r="N82">
        <v>2026</v>
      </c>
    </row>
    <row r="83" spans="1:14">
      <c r="A83" s="4">
        <v>82</v>
      </c>
      <c r="B83" s="64" t="s">
        <v>17</v>
      </c>
      <c r="C83" s="4" t="s">
        <v>25</v>
      </c>
      <c r="D83" s="4" t="s">
        <v>19</v>
      </c>
      <c r="E83" s="4" t="s">
        <v>85</v>
      </c>
      <c r="F83" s="4"/>
      <c r="G83" s="79" t="s">
        <v>86</v>
      </c>
      <c r="H83" s="80" t="s">
        <v>89</v>
      </c>
      <c r="I83" s="6">
        <v>14064.532818791946</v>
      </c>
      <c r="J83" s="4" t="s">
        <v>14</v>
      </c>
      <c r="K83" s="4" t="s">
        <v>14</v>
      </c>
      <c r="L83" s="4" t="s">
        <v>14</v>
      </c>
      <c r="M83" s="79" t="s">
        <v>202</v>
      </c>
      <c r="N83">
        <v>2026</v>
      </c>
    </row>
    <row r="84" spans="1:14">
      <c r="A84" s="4">
        <v>83</v>
      </c>
      <c r="B84" s="4" t="s">
        <v>17</v>
      </c>
      <c r="C84" s="4" t="s">
        <v>25</v>
      </c>
      <c r="D84" s="80" t="s">
        <v>60</v>
      </c>
      <c r="E84" s="4" t="s">
        <v>85</v>
      </c>
      <c r="F84" s="4"/>
      <c r="G84" t="s">
        <v>279</v>
      </c>
      <c r="H84" s="80" t="s">
        <v>255</v>
      </c>
      <c r="I84" s="6">
        <v>90350</v>
      </c>
      <c r="J84" s="4" t="s">
        <v>390</v>
      </c>
      <c r="K84" s="13">
        <v>46058</v>
      </c>
      <c r="L84" s="4" t="s">
        <v>14</v>
      </c>
      <c r="M84" s="79" t="s">
        <v>202</v>
      </c>
      <c r="N84">
        <v>2026</v>
      </c>
    </row>
    <row r="85" spans="1:14">
      <c r="A85" s="4">
        <v>84</v>
      </c>
      <c r="B85" s="4" t="s">
        <v>52</v>
      </c>
      <c r="C85" s="4" t="s">
        <v>62</v>
      </c>
      <c r="D85" s="80" t="s">
        <v>60</v>
      </c>
      <c r="E85" s="4" t="s">
        <v>85</v>
      </c>
      <c r="F85" s="4"/>
      <c r="G85" t="s">
        <v>279</v>
      </c>
      <c r="H85" s="80" t="s">
        <v>255</v>
      </c>
      <c r="I85" s="6">
        <v>5150</v>
      </c>
      <c r="J85" s="4" t="s">
        <v>391</v>
      </c>
      <c r="K85" s="13">
        <v>46058</v>
      </c>
      <c r="L85" s="4" t="s">
        <v>14</v>
      </c>
      <c r="M85" s="79" t="s">
        <v>202</v>
      </c>
      <c r="N85">
        <v>2026</v>
      </c>
    </row>
    <row r="86" spans="1:14">
      <c r="A86" s="4"/>
      <c r="B86" s="4"/>
      <c r="C86" s="4"/>
      <c r="D86" s="4"/>
      <c r="E86" s="4"/>
      <c r="F86" s="4"/>
      <c r="H86" s="4"/>
      <c r="I86" s="6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H87" s="4"/>
      <c r="I87" s="6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H88" s="4"/>
      <c r="I88" s="6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H89" s="4"/>
      <c r="I89" s="6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H90" s="4"/>
      <c r="I90" s="6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H91" s="4"/>
      <c r="I91" s="6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H92" s="4"/>
      <c r="I92" s="6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t="s">
        <v>279</v>
      </c>
      <c r="H93" s="80" t="s">
        <v>255</v>
      </c>
      <c r="I93" s="6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t="s">
        <v>279</v>
      </c>
      <c r="H94" s="80" t="s">
        <v>255</v>
      </c>
      <c r="I94" s="6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H95" s="4"/>
      <c r="I95" s="6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H96" s="4"/>
      <c r="I96" s="6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H97" s="4"/>
      <c r="I97" s="6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H98" s="4"/>
      <c r="I98" s="6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H99" s="4"/>
      <c r="I99" s="6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H100" s="4"/>
      <c r="I100" s="6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H101" s="4"/>
      <c r="I101" s="6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H102" s="4"/>
      <c r="I102" s="6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H103" s="4"/>
      <c r="I103" s="6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H104" s="4"/>
      <c r="I104" s="6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H105" s="4"/>
      <c r="I105" s="6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H106" s="4"/>
      <c r="I106" s="6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H107" s="4"/>
      <c r="I107" s="6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H108" s="4"/>
      <c r="I108" s="6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H109" s="4"/>
      <c r="I109" s="6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H110" s="4"/>
      <c r="I110" s="6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H111" s="4"/>
      <c r="I111" s="6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H112" s="4"/>
      <c r="I112" s="6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H113" s="4"/>
      <c r="I113" s="6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H114" s="4"/>
      <c r="I114" s="6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H115" s="4"/>
      <c r="I115" s="6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H116" s="4"/>
      <c r="I116" s="6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H117" s="4"/>
      <c r="I117" s="6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H118" s="4"/>
      <c r="I118" s="6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H119" s="4"/>
      <c r="I119" s="6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H120" s="4"/>
      <c r="I120" s="6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H121" s="4"/>
      <c r="I121" s="6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H122" s="4"/>
      <c r="I122" s="6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H123" s="4"/>
      <c r="I123" s="6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H124" s="4"/>
      <c r="I124" s="6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H125" s="4"/>
      <c r="I125" s="6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H126" s="4"/>
      <c r="I126" s="6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H127" s="4"/>
      <c r="I127" s="6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H128" s="4"/>
      <c r="I128" s="6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H129" s="4"/>
      <c r="I129" s="6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H130" s="4"/>
      <c r="I130" s="6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H131" s="4"/>
      <c r="I131" s="6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H132" s="4"/>
      <c r="I132" s="6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H133" s="4"/>
      <c r="I133" s="6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H134" s="4"/>
      <c r="I134" s="6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H135" s="4"/>
      <c r="I135" s="6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H136" s="4"/>
      <c r="I136" s="6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H137" s="4"/>
      <c r="I137" s="6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H138" s="4"/>
      <c r="I138" s="6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H139" s="4"/>
      <c r="I139" s="6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H140" s="4"/>
      <c r="I140" s="6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H141" s="4"/>
      <c r="I141" s="6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H142" s="4"/>
      <c r="I142" s="6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H143" s="4"/>
      <c r="I143" s="6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H144" s="4"/>
      <c r="I144" s="6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H145" s="4"/>
      <c r="I145" s="6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H146" s="4"/>
      <c r="I146" s="6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H147" s="4"/>
      <c r="I147" s="6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H148" s="4"/>
      <c r="I148" s="6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H149" s="4"/>
      <c r="I149" s="6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H150" s="4"/>
      <c r="I150" s="6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H151" s="4"/>
      <c r="I151" s="6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H152" s="4"/>
      <c r="I152" s="6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H153" s="4"/>
      <c r="I153" s="6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H154" s="4"/>
      <c r="I154" s="6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H155" s="4"/>
      <c r="I155" s="6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H156" s="4"/>
      <c r="I156" s="6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H157" s="4"/>
      <c r="I157" s="6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H158" s="4"/>
      <c r="I158" s="6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H159" s="4"/>
      <c r="I159" s="6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H160" s="4"/>
      <c r="I160" s="6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H161" s="4"/>
      <c r="I161" s="6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H162" s="4"/>
      <c r="I162" s="6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H163" s="4"/>
      <c r="I163" s="6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H164" s="4"/>
      <c r="I164" s="6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H165" s="4"/>
      <c r="I165" s="6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H166" s="4"/>
      <c r="I166" s="6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H167" s="4"/>
      <c r="I167" s="6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H168" s="4"/>
      <c r="I168" s="6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H169" s="4"/>
      <c r="I169" s="6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H170" s="4"/>
      <c r="I170" s="6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H171" s="4"/>
      <c r="I171" s="6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H172" s="4"/>
      <c r="I172" s="6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H173" s="4"/>
      <c r="I173" s="6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H174" s="4"/>
      <c r="I174" s="6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H175" s="4"/>
      <c r="I175" s="6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H176" s="4"/>
      <c r="I176" s="6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H177" s="4"/>
      <c r="I177" s="6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H178" s="4"/>
      <c r="I178" s="6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H179" s="4"/>
      <c r="I179" s="6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H180" s="4"/>
      <c r="I180" s="6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H181" s="4"/>
      <c r="I181" s="6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H182" s="4"/>
      <c r="I182" s="6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H183" s="4"/>
      <c r="I183" s="6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H184" s="4"/>
      <c r="I184" s="6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H185" s="4"/>
      <c r="I185" s="6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H186" s="4"/>
      <c r="I186" s="6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H187" s="4"/>
      <c r="I187" s="6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H188" s="4"/>
      <c r="I188" s="6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H189" s="4"/>
      <c r="I189" s="6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H190" s="4"/>
      <c r="I190" s="6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H191" s="4"/>
      <c r="I191" s="6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H192" s="4"/>
      <c r="I192" s="6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H193" s="4"/>
      <c r="I193" s="6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H194" s="4"/>
      <c r="I194" s="6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H195" s="4"/>
      <c r="I195" s="6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H196" s="4"/>
      <c r="I196" s="6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H197" s="4"/>
      <c r="I197" s="6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H198" s="4"/>
      <c r="I198" s="6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H199" s="4"/>
      <c r="I199" s="6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H200" s="4"/>
      <c r="I200" s="6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H201" s="4"/>
      <c r="I201" s="6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H202" s="4"/>
      <c r="I202" s="6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H203" s="4"/>
      <c r="I203" s="6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H204" s="4"/>
      <c r="I204" s="6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H205" s="4"/>
      <c r="I205" s="6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H206" s="4"/>
      <c r="I206" s="6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H207" s="4"/>
      <c r="I207" s="6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H208" s="4"/>
      <c r="I208" s="6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H209" s="4"/>
      <c r="I209" s="6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H210" s="4"/>
      <c r="I210" s="6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H211" s="4"/>
      <c r="I211" s="6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H212" s="4"/>
      <c r="I212" s="6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H213" s="4"/>
      <c r="I213" s="6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H214" s="4"/>
      <c r="I214" s="6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H215" s="4"/>
      <c r="I215" s="6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H216" s="4"/>
      <c r="I216" s="6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H217" s="4"/>
      <c r="I217" s="6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H218" s="4"/>
      <c r="I218" s="6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H219" s="4"/>
      <c r="I219" s="6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H220" s="4"/>
      <c r="I220" s="6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H221" s="4"/>
      <c r="I221" s="6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H222" s="4"/>
      <c r="I222" s="6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H223" s="4"/>
      <c r="I223" s="6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H224" s="4"/>
      <c r="I224" s="6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H225" s="4"/>
      <c r="I225" s="6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H226" s="4"/>
      <c r="I226" s="6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H227" s="4"/>
      <c r="I227" s="6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H228" s="4"/>
      <c r="I228" s="6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H229" s="4"/>
      <c r="I229" s="6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H230" s="4"/>
      <c r="I230" s="6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H231" s="4"/>
      <c r="I231" s="6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H232" s="4"/>
      <c r="I232" s="6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H233" s="4"/>
      <c r="I233" s="6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H234" s="4"/>
      <c r="I234" s="6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H235" s="4"/>
      <c r="I235" s="6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H236" s="4"/>
      <c r="I236" s="6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H237" s="4"/>
      <c r="I237" s="6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H238" s="4"/>
      <c r="I238" s="6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H239" s="4"/>
      <c r="I239" s="6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H240" s="4"/>
      <c r="I240" s="6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H241" s="4"/>
      <c r="I241" s="6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H242" s="4"/>
      <c r="I242" s="6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H243" s="4"/>
      <c r="I243" s="6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H244" s="4"/>
      <c r="I244" s="6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H245" s="4"/>
      <c r="I245" s="6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H246" s="4"/>
      <c r="I246" s="6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H247" s="4"/>
      <c r="I247" s="6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H248" s="4"/>
      <c r="I248" s="6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H249" s="4"/>
      <c r="I249" s="6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H250" s="4"/>
      <c r="I250" s="6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H251" s="4"/>
      <c r="I251" s="6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H252" s="4"/>
      <c r="I252" s="6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H253" s="4"/>
      <c r="I253" s="6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H254" s="4"/>
      <c r="I254" s="6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H255" s="4"/>
      <c r="I255" s="6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H256" s="4"/>
      <c r="I256" s="6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H257" s="4"/>
      <c r="I257" s="6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H258" s="4"/>
      <c r="I258" s="6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H259" s="4"/>
      <c r="I259" s="6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H260" s="4"/>
      <c r="I260" s="6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H261" s="4"/>
      <c r="I261" s="6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H262" s="4"/>
      <c r="I262" s="6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H263" s="4"/>
      <c r="I263" s="6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H264" s="4"/>
      <c r="I264" s="6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H265" s="4"/>
      <c r="I265" s="6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H266" s="4"/>
      <c r="I266" s="6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H267" s="4"/>
      <c r="I267" s="6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H268" s="4"/>
      <c r="I268" s="6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H269" s="4"/>
      <c r="I269" s="6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H270" s="4"/>
      <c r="I270" s="6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H271" s="4"/>
      <c r="I271" s="6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H272" s="4"/>
      <c r="I272" s="6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H273" s="4"/>
      <c r="I273" s="6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H274" s="4"/>
      <c r="I274" s="6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H275" s="4"/>
      <c r="I275" s="6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H276" s="4"/>
      <c r="I276" s="6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H277" s="4"/>
      <c r="I277" s="6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H278" s="4"/>
      <c r="I278" s="6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H279" s="4"/>
      <c r="I279" s="6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H280" s="4"/>
      <c r="I280" s="6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H281" s="4"/>
      <c r="I281" s="6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H282" s="4"/>
      <c r="I282" s="6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H283" s="4"/>
      <c r="I283" s="6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H284" s="4"/>
      <c r="I284" s="6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H285" s="4"/>
      <c r="I285" s="6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H286" s="4"/>
      <c r="I286" s="6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H287" s="4"/>
      <c r="I287" s="6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H288" s="4"/>
      <c r="I288" s="6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H289" s="4"/>
      <c r="I289" s="6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H290" s="4"/>
      <c r="I290" s="6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H291" s="4"/>
      <c r="I291" s="6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H292" s="4"/>
      <c r="I292" s="6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H293" s="4"/>
      <c r="I293" s="6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H294" s="4"/>
      <c r="I294" s="6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H295" s="4"/>
      <c r="I295" s="6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H296" s="4"/>
      <c r="I296" s="6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H297" s="4"/>
      <c r="I297" s="6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H298" s="4"/>
      <c r="I298" s="6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H299" s="4"/>
      <c r="I299" s="6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H300" s="4"/>
      <c r="I300" s="6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H301" s="4"/>
      <c r="I301" s="6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H302" s="4"/>
      <c r="I302" s="6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H303" s="4"/>
      <c r="I303" s="6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H304" s="4"/>
      <c r="I304" s="6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H305" s="4"/>
      <c r="I305" s="6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H306" s="4"/>
      <c r="I306" s="6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H307" s="4"/>
      <c r="I307" s="6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H308" s="4"/>
      <c r="I308" s="6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H309" s="4"/>
      <c r="I309" s="6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H310" s="4"/>
      <c r="I310" s="6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H311" s="4"/>
      <c r="I311" s="6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H312" s="4"/>
      <c r="I312" s="6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H313" s="4"/>
      <c r="I313" s="6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H314" s="4"/>
      <c r="I314" s="6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H315" s="4"/>
      <c r="I315" s="6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H316" s="4"/>
      <c r="I316" s="6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H317" s="4"/>
      <c r="I317" s="6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H318" s="4"/>
      <c r="I318" s="6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H319" s="4"/>
      <c r="I319" s="6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H320" s="4"/>
      <c r="I320" s="6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H321" s="4"/>
      <c r="I321" s="6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H322" s="4"/>
      <c r="I322" s="6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H323" s="4"/>
      <c r="I323" s="6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H324" s="4"/>
      <c r="I324" s="6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H325" s="4"/>
      <c r="I325" s="6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H326" s="4"/>
      <c r="I326" s="6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H327" s="4"/>
      <c r="I327" s="6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H328" s="4"/>
      <c r="I328" s="6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H329" s="4"/>
      <c r="I329" s="6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H330" s="4"/>
      <c r="I330" s="6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H331" s="4"/>
      <c r="I331" s="6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H332" s="4"/>
      <c r="I332" s="6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H333" s="4"/>
      <c r="I333" s="6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H334" s="4"/>
      <c r="I334" s="6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H335" s="4"/>
      <c r="I335" s="6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H336" s="4"/>
      <c r="I336" s="6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H337" s="4"/>
      <c r="I337" s="6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H338" s="4"/>
      <c r="I338" s="6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H339" s="4"/>
      <c r="I339" s="6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H340" s="4"/>
      <c r="I340" s="6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H341" s="4"/>
      <c r="I341" s="6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H342" s="4"/>
      <c r="I342" s="6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H343" s="4"/>
      <c r="I343" s="6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H344" s="4"/>
      <c r="I344" s="6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H345" s="4"/>
      <c r="I345" s="6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H346" s="4"/>
      <c r="I346" s="6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H347" s="4"/>
      <c r="I347" s="6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H348" s="4"/>
      <c r="I348" s="6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H349" s="4"/>
      <c r="I349" s="6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H350" s="4"/>
      <c r="I350" s="6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H351" s="4"/>
      <c r="I351" s="6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H352" s="4"/>
      <c r="I352" s="6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H353" s="4"/>
      <c r="I353" s="6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H354" s="4"/>
      <c r="I354" s="6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H355" s="4"/>
      <c r="I355" s="6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H356" s="4"/>
      <c r="I356" s="6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H357" s="4"/>
      <c r="I357" s="6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H358" s="4"/>
      <c r="I358" s="6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H359" s="4"/>
      <c r="I359" s="6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H360" s="4"/>
      <c r="I360" s="6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H361" s="4"/>
      <c r="I361" s="6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H362" s="4"/>
      <c r="I362" s="6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H363" s="4"/>
      <c r="I363" s="6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H364" s="4"/>
      <c r="I364" s="6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H365" s="4"/>
      <c r="I365" s="6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H366" s="4"/>
      <c r="I366" s="6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H367" s="4"/>
      <c r="I367" s="6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H368" s="4"/>
      <c r="I368" s="6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H369" s="4"/>
      <c r="I369" s="6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H370" s="4"/>
      <c r="I370" s="6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H371" s="4"/>
      <c r="I371" s="6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H372" s="4"/>
      <c r="I372" s="6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H373" s="4"/>
      <c r="I373" s="6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H374" s="4"/>
      <c r="I374" s="6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H375" s="4"/>
      <c r="I375" s="6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H376" s="4"/>
      <c r="I376" s="6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H377" s="4"/>
      <c r="I377" s="6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H378" s="4"/>
      <c r="I378" s="6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H379" s="4"/>
      <c r="I379" s="6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H380" s="4"/>
      <c r="I380" s="6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H381" s="4"/>
      <c r="I381" s="6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H382" s="4"/>
      <c r="I382" s="6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H383" s="4"/>
      <c r="I383" s="6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H384" s="4"/>
      <c r="I384" s="6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H385" s="4"/>
      <c r="I385" s="6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H386" s="4"/>
      <c r="I386" s="6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H387" s="4"/>
      <c r="I387" s="6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H388" s="4"/>
      <c r="I388" s="6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H389" s="4"/>
      <c r="I389" s="6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H390" s="4"/>
      <c r="I390" s="6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H391" s="4"/>
      <c r="I391" s="6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H392" s="4"/>
      <c r="I392" s="6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H393" s="4"/>
      <c r="I393" s="6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H394" s="4"/>
      <c r="I394" s="6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H395" s="4"/>
      <c r="I395" s="6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H396" s="4"/>
      <c r="I396" s="6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H397" s="4"/>
      <c r="I397" s="6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H398" s="4"/>
      <c r="I398" s="6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H399" s="4"/>
      <c r="I399" s="6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H400" s="4"/>
      <c r="I400" s="6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H401" s="4"/>
      <c r="I401" s="6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H402" s="4"/>
      <c r="I402" s="6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H403" s="4"/>
      <c r="I403" s="6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H404" s="4"/>
      <c r="I404" s="6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H405" s="4"/>
      <c r="I405" s="6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H406" s="4"/>
      <c r="I406" s="6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H407" s="4"/>
      <c r="I407" s="6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H408" s="4"/>
      <c r="I408" s="6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H409" s="4"/>
      <c r="I409" s="6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H410" s="4"/>
      <c r="I410" s="6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H411" s="4"/>
      <c r="I411" s="6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H412" s="4"/>
      <c r="I412" s="6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H413" s="4"/>
      <c r="I413" s="6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H414" s="4"/>
      <c r="I414" s="6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H415" s="4"/>
      <c r="I415" s="6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H416" s="4"/>
      <c r="I416" s="6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H417" s="4"/>
      <c r="I417" s="6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H418" s="4"/>
      <c r="I418" s="6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H419" s="4"/>
      <c r="I419" s="6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H420" s="4"/>
      <c r="I420" s="6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H421" s="4"/>
      <c r="I421" s="6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H422" s="4"/>
      <c r="I422" s="6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H423" s="4"/>
      <c r="I423" s="6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H424" s="4"/>
      <c r="I424" s="6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H425" s="4"/>
      <c r="I425" s="6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H426" s="4"/>
      <c r="I426" s="6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H427" s="4"/>
      <c r="I427" s="6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H428" s="4"/>
      <c r="I428" s="6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H429" s="4"/>
      <c r="I429" s="6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H430" s="4"/>
      <c r="I430" s="6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H431" s="4"/>
      <c r="I431" s="6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H432" s="4"/>
      <c r="I432" s="6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H433" s="4"/>
      <c r="I433" s="6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H434" s="4"/>
      <c r="I434" s="6"/>
      <c r="J434" s="4"/>
      <c r="K434" s="4"/>
      <c r="L434" s="4"/>
      <c r="M434" s="4"/>
      <c r="N434" s="4"/>
    </row>
  </sheetData>
  <autoFilter ref="A1:N83" xr:uid="{00000000-0009-0000-0000-000008000000}">
    <sortState xmlns:xlrd2="http://schemas.microsoft.com/office/spreadsheetml/2017/richdata2" ref="A2:N51">
      <sortCondition ref="G1:G2"/>
    </sortState>
  </autoFilter>
  <dataValidations count="1">
    <dataValidation type="list" allowBlank="1" showInputMessage="1" showErrorMessage="1" sqref="C2:C68 C70:C434" xr:uid="{00000000-0002-0000-08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0000000}">
          <x14:formula1>
            <xm:f>List!$P$2:$P$11</xm:f>
          </x14:formula1>
          <xm:sqref>B14:B15 B17:B31 B33:B35 B37:B68 B2:B12 B70:B434</xm:sqref>
        </x14:dataValidation>
        <x14:dataValidation type="list" allowBlank="1" showInputMessage="1" showErrorMessage="1" xr:uid="{00000000-0002-0000-0800-000002000000}">
          <x14:formula1>
            <xm:f>List!$C$2:$C$3</xm:f>
          </x14:formula1>
          <xm:sqref>D2:D434</xm:sqref>
        </x14:dataValidation>
        <x14:dataValidation type="list" allowBlank="1" showInputMessage="1" showErrorMessage="1" xr:uid="{00000000-0002-0000-0800-000003000000}">
          <x14:formula1>
            <xm:f>List!$E$2:$E$32</xm:f>
          </x14:formula1>
          <xm:sqref>E2:E434</xm:sqref>
        </x14:dataValidation>
        <x14:dataValidation type="list" allowBlank="1" showInputMessage="1" showErrorMessage="1" xr:uid="{00000000-0002-0000-0800-000004000000}">
          <x14:formula1>
            <xm:f>List!$H$2:$H$13</xm:f>
          </x14:formula1>
          <xm:sqref>M86:M434</xm:sqref>
        </x14:dataValidation>
        <x14:dataValidation type="list" allowBlank="1" showInputMessage="1" showErrorMessage="1" xr:uid="{00000000-0002-0000-0800-000005000000}">
          <x14:formula1>
            <xm:f>List!$J$2:$J$4</xm:f>
          </x14:formula1>
          <xm:sqref>N86:N434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N13"/>
  <sheetViews>
    <sheetView topLeftCell="E1" workbookViewId="0">
      <selection activeCell="I2" sqref="I2:I13"/>
    </sheetView>
  </sheetViews>
  <sheetFormatPr defaultColWidth="9" defaultRowHeight="14.25"/>
  <cols>
    <col min="1" max="1" width="5.33203125" customWidth="1"/>
    <col min="2" max="2" width="8.59765625" customWidth="1"/>
    <col min="3" max="3" width="10.19921875" bestFit="1" customWidth="1"/>
    <col min="4" max="4" width="8.9296875" customWidth="1"/>
    <col min="5" max="5" width="8.19921875" customWidth="1"/>
    <col min="6" max="6" width="10.06640625" customWidth="1"/>
    <col min="7" max="7" width="41.19921875" customWidth="1"/>
    <col min="8" max="8" width="21.06640625" customWidth="1"/>
    <col min="9" max="9" width="18" customWidth="1"/>
    <col min="10" max="10" width="10.06640625" customWidth="1"/>
    <col min="11" max="11" width="11.06640625" customWidth="1"/>
    <col min="12" max="12" width="10.46484375" customWidth="1"/>
    <col min="13" max="13" width="6.46484375" customWidth="1"/>
    <col min="14" max="14" width="4.7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t="s">
        <v>42</v>
      </c>
      <c r="C2" t="s">
        <v>51</v>
      </c>
      <c r="D2" s="129" t="s">
        <v>19</v>
      </c>
      <c r="E2" s="4" t="s">
        <v>94</v>
      </c>
      <c r="F2" s="4"/>
      <c r="G2" t="s">
        <v>91</v>
      </c>
      <c r="H2" s="4" t="s">
        <v>96</v>
      </c>
      <c r="I2" s="28">
        <f>2000000/1490</f>
        <v>1342.2818791946308</v>
      </c>
      <c r="J2" s="129" t="s">
        <v>14</v>
      </c>
      <c r="K2" s="95" t="s">
        <v>14</v>
      </c>
      <c r="L2" s="4" t="s">
        <v>14</v>
      </c>
      <c r="M2" s="79" t="s">
        <v>202</v>
      </c>
      <c r="N2">
        <v>2026</v>
      </c>
    </row>
    <row r="3" spans="1:14">
      <c r="A3" s="4">
        <v>2</v>
      </c>
      <c r="B3" t="s">
        <v>52</v>
      </c>
      <c r="C3" t="s">
        <v>62</v>
      </c>
      <c r="D3" s="4" t="s">
        <v>60</v>
      </c>
      <c r="E3" s="4" t="s">
        <v>94</v>
      </c>
      <c r="F3" s="4"/>
      <c r="G3" t="s">
        <v>245</v>
      </c>
      <c r="H3" s="4" t="s">
        <v>96</v>
      </c>
      <c r="I3" s="28">
        <v>19119.52</v>
      </c>
      <c r="J3" s="4" t="s">
        <v>399</v>
      </c>
      <c r="K3" s="32">
        <v>46081</v>
      </c>
      <c r="L3" s="4" t="s">
        <v>14</v>
      </c>
      <c r="M3" s="79" t="s">
        <v>202</v>
      </c>
      <c r="N3">
        <v>2026</v>
      </c>
    </row>
    <row r="4" spans="1:14">
      <c r="A4" s="4">
        <v>3</v>
      </c>
      <c r="B4" t="s">
        <v>33</v>
      </c>
      <c r="C4" t="s">
        <v>34</v>
      </c>
      <c r="D4" s="4" t="s">
        <v>60</v>
      </c>
      <c r="E4" s="4" t="s">
        <v>94</v>
      </c>
      <c r="G4" t="s">
        <v>95</v>
      </c>
      <c r="H4" s="4" t="s">
        <v>244</v>
      </c>
      <c r="I4" s="28">
        <v>6000</v>
      </c>
      <c r="J4" s="4" t="s">
        <v>392</v>
      </c>
      <c r="K4" s="32">
        <v>45697</v>
      </c>
      <c r="L4" s="4" t="s">
        <v>14</v>
      </c>
      <c r="M4" s="79" t="s">
        <v>202</v>
      </c>
      <c r="N4">
        <v>2026</v>
      </c>
    </row>
    <row r="5" spans="1:14">
      <c r="A5" s="4">
        <v>4</v>
      </c>
      <c r="B5" t="s">
        <v>33</v>
      </c>
      <c r="C5" t="s">
        <v>34</v>
      </c>
      <c r="D5" s="4" t="s">
        <v>60</v>
      </c>
      <c r="E5" s="4" t="s">
        <v>94</v>
      </c>
      <c r="G5" t="s">
        <v>95</v>
      </c>
      <c r="H5" s="4" t="s">
        <v>244</v>
      </c>
      <c r="I5" s="28">
        <v>5250</v>
      </c>
      <c r="J5" s="4" t="s">
        <v>393</v>
      </c>
      <c r="K5" s="32">
        <v>45717</v>
      </c>
      <c r="L5" s="4" t="s">
        <v>14</v>
      </c>
      <c r="M5" s="79" t="s">
        <v>202</v>
      </c>
      <c r="N5">
        <v>2026</v>
      </c>
    </row>
    <row r="6" spans="1:14">
      <c r="A6" s="4">
        <v>5</v>
      </c>
      <c r="B6" t="s">
        <v>27</v>
      </c>
      <c r="C6" t="s">
        <v>28</v>
      </c>
      <c r="D6" s="4" t="s">
        <v>60</v>
      </c>
      <c r="E6" s="4" t="s">
        <v>94</v>
      </c>
      <c r="G6" t="s">
        <v>95</v>
      </c>
      <c r="H6" s="4" t="s">
        <v>244</v>
      </c>
      <c r="I6" s="28">
        <v>500</v>
      </c>
      <c r="J6" s="4" t="s">
        <v>394</v>
      </c>
      <c r="K6" s="32">
        <v>46068</v>
      </c>
      <c r="L6" s="4" t="s">
        <v>14</v>
      </c>
      <c r="M6" s="79" t="s">
        <v>202</v>
      </c>
      <c r="N6">
        <v>2026</v>
      </c>
    </row>
    <row r="7" spans="1:14">
      <c r="A7" s="4">
        <v>6</v>
      </c>
      <c r="B7" t="s">
        <v>33</v>
      </c>
      <c r="C7" t="s">
        <v>34</v>
      </c>
      <c r="D7" s="4" t="s">
        <v>60</v>
      </c>
      <c r="E7" s="4" t="s">
        <v>94</v>
      </c>
      <c r="G7" t="s">
        <v>95</v>
      </c>
      <c r="H7" s="4" t="s">
        <v>96</v>
      </c>
      <c r="I7" s="28">
        <v>5040</v>
      </c>
      <c r="J7" s="4" t="s">
        <v>395</v>
      </c>
      <c r="K7" s="32">
        <v>46082</v>
      </c>
      <c r="L7" s="4" t="s">
        <v>14</v>
      </c>
      <c r="M7" s="79" t="s">
        <v>202</v>
      </c>
      <c r="N7">
        <v>2026</v>
      </c>
    </row>
    <row r="8" spans="1:14">
      <c r="A8" s="4">
        <v>7</v>
      </c>
      <c r="B8" t="s">
        <v>33</v>
      </c>
      <c r="C8" t="s">
        <v>34</v>
      </c>
      <c r="D8" s="4" t="s">
        <v>60</v>
      </c>
      <c r="E8" s="4" t="s">
        <v>94</v>
      </c>
      <c r="G8" t="s">
        <v>95</v>
      </c>
      <c r="H8" s="4" t="s">
        <v>96</v>
      </c>
      <c r="I8" s="31">
        <v>12360</v>
      </c>
      <c r="J8" s="4" t="s">
        <v>396</v>
      </c>
      <c r="K8" s="32">
        <v>46082</v>
      </c>
      <c r="L8" s="4" t="s">
        <v>14</v>
      </c>
      <c r="M8" s="79" t="s">
        <v>202</v>
      </c>
      <c r="N8">
        <v>2026</v>
      </c>
    </row>
    <row r="9" spans="1:14">
      <c r="A9" s="4">
        <v>8</v>
      </c>
      <c r="B9" t="s">
        <v>17</v>
      </c>
      <c r="C9" t="s">
        <v>25</v>
      </c>
      <c r="D9" s="4" t="s">
        <v>60</v>
      </c>
      <c r="E9" s="4" t="s">
        <v>94</v>
      </c>
      <c r="G9" t="s">
        <v>95</v>
      </c>
      <c r="H9" t="s">
        <v>244</v>
      </c>
      <c r="I9" s="28">
        <v>14000</v>
      </c>
      <c r="J9" t="s">
        <v>397</v>
      </c>
      <c r="K9" s="32">
        <v>46082</v>
      </c>
      <c r="L9" s="4" t="s">
        <v>14</v>
      </c>
      <c r="M9" s="79" t="s">
        <v>202</v>
      </c>
      <c r="N9">
        <v>2026</v>
      </c>
    </row>
    <row r="10" spans="1:14">
      <c r="A10" s="4">
        <v>9</v>
      </c>
      <c r="B10" t="s">
        <v>17</v>
      </c>
      <c r="C10" t="s">
        <v>25</v>
      </c>
      <c r="D10" s="4" t="s">
        <v>60</v>
      </c>
      <c r="E10" s="4" t="s">
        <v>94</v>
      </c>
      <c r="G10" t="s">
        <v>95</v>
      </c>
      <c r="H10" t="s">
        <v>96</v>
      </c>
      <c r="I10" s="28">
        <v>3360</v>
      </c>
      <c r="J10" t="s">
        <v>398</v>
      </c>
      <c r="K10" s="32">
        <v>46082</v>
      </c>
      <c r="L10" s="4" t="s">
        <v>14</v>
      </c>
      <c r="M10" s="79" t="s">
        <v>202</v>
      </c>
      <c r="N10">
        <v>2026</v>
      </c>
    </row>
    <row r="11" spans="1:14">
      <c r="A11" s="4">
        <v>10</v>
      </c>
      <c r="B11" t="s">
        <v>54</v>
      </c>
      <c r="C11" t="s">
        <v>55</v>
      </c>
      <c r="D11" s="4" t="s">
        <v>60</v>
      </c>
      <c r="E11" s="4" t="s">
        <v>94</v>
      </c>
      <c r="G11" t="s">
        <v>97</v>
      </c>
      <c r="H11" t="s">
        <v>96</v>
      </c>
      <c r="I11" s="28">
        <v>11520</v>
      </c>
      <c r="J11" t="s">
        <v>400</v>
      </c>
      <c r="K11" s="37">
        <v>46081</v>
      </c>
      <c r="L11" s="4" t="s">
        <v>14</v>
      </c>
      <c r="M11" s="79" t="s">
        <v>202</v>
      </c>
      <c r="N11">
        <v>2026</v>
      </c>
    </row>
    <row r="12" spans="1:14">
      <c r="A12" s="4">
        <v>11</v>
      </c>
      <c r="B12" t="s">
        <v>17</v>
      </c>
      <c r="C12" t="s">
        <v>23</v>
      </c>
      <c r="D12" s="4" t="s">
        <v>60</v>
      </c>
      <c r="E12" s="4" t="s">
        <v>94</v>
      </c>
      <c r="G12" t="s">
        <v>97</v>
      </c>
      <c r="H12" t="s">
        <v>96</v>
      </c>
      <c r="I12" s="28">
        <v>4500</v>
      </c>
      <c r="J12" t="s">
        <v>400</v>
      </c>
      <c r="K12" s="37">
        <v>46081</v>
      </c>
      <c r="L12" s="4" t="s">
        <v>14</v>
      </c>
      <c r="M12" s="79" t="s">
        <v>202</v>
      </c>
      <c r="N12">
        <v>2026</v>
      </c>
    </row>
    <row r="13" spans="1:14">
      <c r="A13" s="4">
        <v>12</v>
      </c>
      <c r="B13" t="s">
        <v>17</v>
      </c>
      <c r="C13" t="s">
        <v>23</v>
      </c>
      <c r="D13" s="4" t="s">
        <v>60</v>
      </c>
      <c r="E13" s="4" t="s">
        <v>94</v>
      </c>
      <c r="G13" t="s">
        <v>97</v>
      </c>
      <c r="H13" t="s">
        <v>96</v>
      </c>
      <c r="I13" s="28">
        <v>1000</v>
      </c>
      <c r="J13" t="s">
        <v>400</v>
      </c>
      <c r="K13" s="37">
        <v>46081</v>
      </c>
      <c r="L13" s="4" t="s">
        <v>14</v>
      </c>
      <c r="M13" s="79" t="s">
        <v>202</v>
      </c>
      <c r="N13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2000000}">
          <x14:formula1>
            <xm:f>List!$C$2:$C$3</xm:f>
          </x14:formula1>
          <xm:sqref>D2:D13</xm:sqref>
        </x14:dataValidation>
        <x14:dataValidation type="list" allowBlank="1" showInputMessage="1" showErrorMessage="1" xr:uid="{00000000-0002-0000-0900-000003000000}">
          <x14:formula1>
            <xm:f>List!$E$2:$E$32</xm:f>
          </x14:formula1>
          <xm:sqref>E2:E13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6"/>
  <sheetViews>
    <sheetView topLeftCell="C1" workbookViewId="0">
      <selection activeCell="I2" sqref="I2:I6"/>
    </sheetView>
  </sheetViews>
  <sheetFormatPr defaultColWidth="9" defaultRowHeight="14.25"/>
  <cols>
    <col min="1" max="1" width="5.33203125" customWidth="1"/>
    <col min="2" max="2" width="9.33203125" bestFit="1" customWidth="1"/>
    <col min="3" max="3" width="9.59765625" bestFit="1" customWidth="1"/>
    <col min="4" max="4" width="8.9296875" customWidth="1"/>
    <col min="5" max="5" width="11.53125" bestFit="1" customWidth="1"/>
    <col min="6" max="6" width="10.06640625" customWidth="1"/>
    <col min="7" max="7" width="48.19921875" bestFit="1" customWidth="1"/>
    <col min="8" max="8" width="17.19921875" bestFit="1" customWidth="1"/>
    <col min="9" max="9" width="18" customWidth="1"/>
    <col min="10" max="10" width="10.06640625" customWidth="1"/>
    <col min="11" max="11" width="11.06640625" customWidth="1"/>
    <col min="12" max="12" width="10.796875" bestFit="1" customWidth="1"/>
    <col min="13" max="13" width="6.46484375" customWidth="1"/>
    <col min="14" max="14" width="4.7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3">
        <v>1</v>
      </c>
      <c r="B2" s="90" t="s">
        <v>54</v>
      </c>
      <c r="C2" s="90" t="s">
        <v>55</v>
      </c>
      <c r="D2" s="4" t="s">
        <v>60</v>
      </c>
      <c r="E2" s="4" t="s">
        <v>98</v>
      </c>
      <c r="G2" t="s">
        <v>21</v>
      </c>
      <c r="H2" s="4" t="s">
        <v>99</v>
      </c>
      <c r="I2" s="92">
        <v>2500</v>
      </c>
      <c r="J2" s="4" t="s">
        <v>14</v>
      </c>
      <c r="K2" s="13" t="s">
        <v>14</v>
      </c>
      <c r="L2" s="4" t="s">
        <v>14</v>
      </c>
      <c r="M2" s="130" t="s">
        <v>202</v>
      </c>
      <c r="N2">
        <v>2026</v>
      </c>
    </row>
    <row r="3" spans="1:14">
      <c r="A3" s="43">
        <v>2</v>
      </c>
      <c r="B3" s="91" t="s">
        <v>52</v>
      </c>
      <c r="C3" s="91" t="s">
        <v>62</v>
      </c>
      <c r="D3" s="4" t="s">
        <v>19</v>
      </c>
      <c r="E3" s="4" t="s">
        <v>98</v>
      </c>
      <c r="G3" s="4" t="s">
        <v>236</v>
      </c>
      <c r="H3" s="4" t="s">
        <v>98</v>
      </c>
      <c r="I3" s="28">
        <v>4000</v>
      </c>
      <c r="J3" s="4" t="s">
        <v>14</v>
      </c>
      <c r="K3" s="13" t="s">
        <v>14</v>
      </c>
      <c r="L3" s="4" t="s">
        <v>14</v>
      </c>
      <c r="M3" s="130" t="s">
        <v>202</v>
      </c>
      <c r="N3">
        <v>2026</v>
      </c>
    </row>
    <row r="4" spans="1:14">
      <c r="A4" s="43">
        <v>3</v>
      </c>
      <c r="B4" s="130" t="s">
        <v>17</v>
      </c>
      <c r="C4" s="130" t="s">
        <v>25</v>
      </c>
      <c r="D4" s="4" t="s">
        <v>19</v>
      </c>
      <c r="E4" s="4" t="s">
        <v>98</v>
      </c>
      <c r="G4" s="4" t="s">
        <v>236</v>
      </c>
      <c r="H4" s="4" t="s">
        <v>98</v>
      </c>
      <c r="I4" s="28">
        <v>4500</v>
      </c>
      <c r="J4" s="4" t="s">
        <v>14</v>
      </c>
      <c r="K4" s="13" t="s">
        <v>14</v>
      </c>
      <c r="L4" s="4" t="s">
        <v>14</v>
      </c>
      <c r="M4" s="130" t="s">
        <v>202</v>
      </c>
      <c r="N4">
        <v>2026</v>
      </c>
    </row>
    <row r="5" spans="1:14">
      <c r="A5" s="43">
        <v>4</v>
      </c>
      <c r="B5" s="130" t="s">
        <v>42</v>
      </c>
      <c r="C5" t="s">
        <v>45</v>
      </c>
      <c r="D5" s="4" t="s">
        <v>19</v>
      </c>
      <c r="E5" s="4" t="s">
        <v>98</v>
      </c>
      <c r="G5" s="4" t="s">
        <v>236</v>
      </c>
      <c r="H5" s="4" t="s">
        <v>98</v>
      </c>
      <c r="I5" s="28">
        <v>4000</v>
      </c>
      <c r="J5" s="4" t="s">
        <v>14</v>
      </c>
      <c r="K5" s="13" t="s">
        <v>14</v>
      </c>
      <c r="L5" s="4" t="s">
        <v>14</v>
      </c>
      <c r="M5" s="130" t="s">
        <v>202</v>
      </c>
      <c r="N5">
        <v>2026</v>
      </c>
    </row>
    <row r="6" spans="1:14">
      <c r="A6" s="43">
        <v>5</v>
      </c>
      <c r="B6" s="91" t="s">
        <v>52</v>
      </c>
      <c r="C6" s="91" t="s">
        <v>62</v>
      </c>
      <c r="D6" s="4" t="s">
        <v>19</v>
      </c>
      <c r="E6" s="4" t="s">
        <v>98</v>
      </c>
      <c r="G6" s="4" t="s">
        <v>236</v>
      </c>
      <c r="H6" s="4" t="s">
        <v>98</v>
      </c>
      <c r="I6" s="28">
        <v>800</v>
      </c>
      <c r="J6" s="4" t="s">
        <v>14</v>
      </c>
      <c r="K6" s="13" t="s">
        <v>14</v>
      </c>
      <c r="L6" s="4" t="s">
        <v>14</v>
      </c>
      <c r="M6" s="130" t="s">
        <v>202</v>
      </c>
      <c r="N6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3000000}">
          <x14:formula1>
            <xm:f>List!$E$2:$E$32</xm:f>
          </x14:formula1>
          <xm:sqref>E2:E6 H3:H6</xm:sqref>
        </x14:dataValidation>
        <x14:dataValidation type="list" allowBlank="1" showInputMessage="1" showErrorMessage="1" xr:uid="{00000000-0002-0000-0A00-000002000000}">
          <x14:formula1>
            <xm:f>List!$C$2:$C$3</xm:f>
          </x14:formula1>
          <xm:sqref>D2:D6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20"/>
  <sheetViews>
    <sheetView workbookViewId="0">
      <selection activeCell="I13" sqref="I13"/>
    </sheetView>
  </sheetViews>
  <sheetFormatPr defaultColWidth="9" defaultRowHeight="14.25"/>
  <cols>
    <col min="1" max="1" width="5.46484375" bestFit="1" customWidth="1"/>
    <col min="2" max="2" width="9.33203125" bestFit="1" customWidth="1"/>
    <col min="3" max="3" width="10.59765625" bestFit="1" customWidth="1"/>
    <col min="4" max="4" width="9" bestFit="1" customWidth="1"/>
    <col min="5" max="5" width="22.9296875" bestFit="1" customWidth="1"/>
    <col min="6" max="6" width="10.19921875" bestFit="1" customWidth="1"/>
    <col min="7" max="7" width="13.796875" bestFit="1" customWidth="1"/>
    <col min="8" max="8" width="19" customWidth="1"/>
    <col min="9" max="9" width="17.9296875" bestFit="1" customWidth="1"/>
    <col min="10" max="10" width="11.9296875" bestFit="1" customWidth="1"/>
    <col min="11" max="11" width="11.19921875" bestFit="1" customWidth="1"/>
    <col min="12" max="12" width="10.33203125" bestFit="1" customWidth="1"/>
    <col min="13" max="13" width="6.46484375" customWidth="1"/>
    <col min="14" max="14" width="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>
      <c r="A2" s="4">
        <v>1</v>
      </c>
      <c r="B2" s="4" t="s">
        <v>17</v>
      </c>
      <c r="C2" s="4" t="s">
        <v>22</v>
      </c>
      <c r="D2" s="129" t="s">
        <v>19</v>
      </c>
      <c r="E2" s="4" t="s">
        <v>100</v>
      </c>
      <c r="F2" s="4"/>
      <c r="G2" t="s">
        <v>101</v>
      </c>
      <c r="H2" s="4" t="s">
        <v>102</v>
      </c>
      <c r="I2" s="6">
        <f>1683000/1490</f>
        <v>1129.5302013422818</v>
      </c>
      <c r="J2" s="131" t="s">
        <v>14</v>
      </c>
      <c r="K2" s="13">
        <v>46054</v>
      </c>
      <c r="L2" s="4" t="s">
        <v>14</v>
      </c>
      <c r="M2" s="79" t="s">
        <v>202</v>
      </c>
      <c r="N2">
        <v>2026</v>
      </c>
    </row>
    <row r="3" spans="1:16">
      <c r="A3" s="4">
        <v>4</v>
      </c>
      <c r="B3" t="s">
        <v>29</v>
      </c>
      <c r="C3" s="4" t="s">
        <v>30</v>
      </c>
      <c r="D3" s="4" t="s">
        <v>60</v>
      </c>
      <c r="E3" s="4" t="s">
        <v>100</v>
      </c>
      <c r="G3" t="s">
        <v>103</v>
      </c>
      <c r="H3" s="4" t="s">
        <v>104</v>
      </c>
      <c r="I3" s="7">
        <v>1.4722505533320887</v>
      </c>
      <c r="J3" s="4">
        <v>63</v>
      </c>
      <c r="K3" s="13">
        <v>46025</v>
      </c>
      <c r="L3" s="4" t="s">
        <v>14</v>
      </c>
      <c r="M3" s="79" t="s">
        <v>202</v>
      </c>
      <c r="N3">
        <v>2026</v>
      </c>
    </row>
    <row r="4" spans="1:16">
      <c r="A4" s="4">
        <v>5</v>
      </c>
      <c r="B4" t="s">
        <v>17</v>
      </c>
      <c r="C4" t="s">
        <v>241</v>
      </c>
      <c r="D4" s="4" t="s">
        <v>60</v>
      </c>
      <c r="E4" s="4" t="s">
        <v>100</v>
      </c>
      <c r="G4" t="s">
        <v>103</v>
      </c>
      <c r="H4" s="4" t="s">
        <v>104</v>
      </c>
      <c r="I4" s="7">
        <v>1784.4673664634199</v>
      </c>
      <c r="J4" s="4">
        <v>63</v>
      </c>
      <c r="K4" s="13">
        <v>46025</v>
      </c>
      <c r="L4" s="4" t="s">
        <v>14</v>
      </c>
      <c r="M4" s="79" t="s">
        <v>202</v>
      </c>
      <c r="N4">
        <v>2026</v>
      </c>
    </row>
    <row r="5" spans="1:16">
      <c r="A5" s="4">
        <v>6</v>
      </c>
      <c r="B5" t="s">
        <v>58</v>
      </c>
      <c r="C5" t="s">
        <v>59</v>
      </c>
      <c r="D5" s="4" t="s">
        <v>60</v>
      </c>
      <c r="E5" s="4" t="s">
        <v>100</v>
      </c>
      <c r="G5" t="s">
        <v>103</v>
      </c>
      <c r="H5" s="4" t="s">
        <v>104</v>
      </c>
      <c r="I5" s="7">
        <v>32.078853799667073</v>
      </c>
      <c r="J5" s="4">
        <v>63</v>
      </c>
      <c r="K5" s="13">
        <v>46025</v>
      </c>
      <c r="L5" s="4" t="s">
        <v>14</v>
      </c>
      <c r="M5" s="79" t="s">
        <v>202</v>
      </c>
      <c r="N5">
        <v>2026</v>
      </c>
    </row>
    <row r="6" spans="1:16">
      <c r="A6" s="4">
        <v>7</v>
      </c>
      <c r="B6" t="s">
        <v>33</v>
      </c>
      <c r="C6" t="s">
        <v>242</v>
      </c>
      <c r="D6" s="4" t="s">
        <v>60</v>
      </c>
      <c r="E6" s="4" t="s">
        <v>100</v>
      </c>
      <c r="G6" t="s">
        <v>103</v>
      </c>
      <c r="H6" s="4" t="s">
        <v>104</v>
      </c>
      <c r="I6" s="28">
        <v>194.55655993425449</v>
      </c>
      <c r="J6" s="4">
        <v>63</v>
      </c>
      <c r="K6" s="13">
        <v>46025</v>
      </c>
      <c r="L6" s="4" t="s">
        <v>14</v>
      </c>
      <c r="M6" s="79" t="s">
        <v>202</v>
      </c>
      <c r="N6">
        <v>2026</v>
      </c>
    </row>
    <row r="7" spans="1:16">
      <c r="A7" s="4">
        <v>8</v>
      </c>
      <c r="B7" t="s">
        <v>35</v>
      </c>
      <c r="C7" t="s">
        <v>35</v>
      </c>
      <c r="D7" s="4" t="s">
        <v>60</v>
      </c>
      <c r="E7" s="4" t="s">
        <v>100</v>
      </c>
      <c r="G7" t="s">
        <v>103</v>
      </c>
      <c r="H7" s="4" t="s">
        <v>104</v>
      </c>
      <c r="I7" s="28">
        <v>600</v>
      </c>
      <c r="J7" s="4">
        <v>63</v>
      </c>
      <c r="K7" s="13">
        <v>46025</v>
      </c>
      <c r="L7" s="4" t="s">
        <v>14</v>
      </c>
      <c r="M7" s="79" t="s">
        <v>202</v>
      </c>
      <c r="N7">
        <v>2026</v>
      </c>
    </row>
    <row r="8" spans="1:16">
      <c r="A8" s="4">
        <v>9</v>
      </c>
      <c r="B8" t="s">
        <v>42</v>
      </c>
      <c r="C8" t="s">
        <v>42</v>
      </c>
      <c r="D8" s="4" t="s">
        <v>60</v>
      </c>
      <c r="E8" s="4" t="s">
        <v>100</v>
      </c>
      <c r="G8" t="s">
        <v>103</v>
      </c>
      <c r="H8" s="4" t="s">
        <v>104</v>
      </c>
      <c r="I8" s="28">
        <v>1893.7599388168089</v>
      </c>
      <c r="J8" s="4">
        <v>63</v>
      </c>
      <c r="K8" s="13">
        <v>46025</v>
      </c>
      <c r="L8" s="4" t="s">
        <v>14</v>
      </c>
      <c r="M8" s="79" t="s">
        <v>202</v>
      </c>
      <c r="N8">
        <v>2026</v>
      </c>
    </row>
    <row r="9" spans="1:16">
      <c r="A9" s="4">
        <v>10</v>
      </c>
      <c r="B9" t="s">
        <v>52</v>
      </c>
      <c r="C9" t="s">
        <v>62</v>
      </c>
      <c r="D9" s="4" t="s">
        <v>60</v>
      </c>
      <c r="E9" s="4" t="s">
        <v>100</v>
      </c>
      <c r="G9" t="s">
        <v>103</v>
      </c>
      <c r="H9" s="4" t="s">
        <v>104</v>
      </c>
      <c r="I9" s="28">
        <v>1222.93370160108</v>
      </c>
      <c r="J9" s="4">
        <v>63</v>
      </c>
      <c r="K9" s="13">
        <v>46025</v>
      </c>
      <c r="L9" s="4" t="s">
        <v>14</v>
      </c>
      <c r="M9" s="79" t="s">
        <v>202</v>
      </c>
      <c r="N9">
        <v>2026</v>
      </c>
    </row>
    <row r="10" spans="1:16">
      <c r="I10" s="7"/>
    </row>
    <row r="11" spans="1:16">
      <c r="I11" s="28"/>
      <c r="J11" s="28"/>
      <c r="K11" s="39"/>
      <c r="L11" s="89"/>
    </row>
    <row r="12" spans="1:16">
      <c r="G12" s="87"/>
      <c r="J12" s="28"/>
      <c r="K12" s="39"/>
      <c r="L12" s="89"/>
    </row>
    <row r="13" spans="1:16">
      <c r="G13" s="87"/>
      <c r="I13" s="87"/>
      <c r="J13" s="28"/>
      <c r="K13" s="39"/>
      <c r="L13" s="89"/>
    </row>
    <row r="14" spans="1:16">
      <c r="G14" s="87"/>
      <c r="H14" s="39"/>
      <c r="I14" s="6"/>
      <c r="J14" s="28"/>
      <c r="K14" s="39"/>
      <c r="L14" s="89"/>
      <c r="M14" s="28"/>
      <c r="N14" s="28"/>
      <c r="O14" s="28"/>
      <c r="P14" s="28"/>
    </row>
    <row r="15" spans="1:16">
      <c r="G15" s="87"/>
      <c r="H15" s="39"/>
      <c r="I15" s="6"/>
      <c r="J15" s="88"/>
      <c r="K15" s="39"/>
      <c r="L15" s="89"/>
      <c r="M15" s="38"/>
      <c r="N15" s="38"/>
      <c r="O15" s="38"/>
      <c r="P15" s="38"/>
    </row>
    <row r="16" spans="1:16">
      <c r="G16" s="87"/>
      <c r="H16" s="39"/>
      <c r="I16" s="6"/>
      <c r="J16" s="28"/>
      <c r="K16" s="39"/>
      <c r="L16" s="89"/>
    </row>
    <row r="17" spans="7:12">
      <c r="G17" s="87"/>
      <c r="H17" s="39"/>
      <c r="I17" s="6"/>
      <c r="J17" s="28"/>
      <c r="K17" s="39"/>
      <c r="L17" s="89"/>
    </row>
    <row r="18" spans="7:12">
      <c r="G18" s="87"/>
      <c r="H18" s="39"/>
      <c r="I18" s="6"/>
    </row>
    <row r="19" spans="7:12">
      <c r="H19" s="39"/>
      <c r="I19" s="6"/>
    </row>
    <row r="20" spans="7:12">
      <c r="H20" s="39"/>
      <c r="I20" s="6"/>
    </row>
  </sheetData>
  <dataValidations count="1">
    <dataValidation type="list" allowBlank="1" showInputMessage="1" showErrorMessage="1" sqref="C2:C3" xr:uid="{00000000-0002-0000-0B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B00-000002000000}">
          <x14:formula1>
            <xm:f>List!$C$2:$C$3</xm:f>
          </x14:formula1>
          <xm:sqref>D2:D9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N2"/>
  <sheetViews>
    <sheetView workbookViewId="0">
      <selection activeCell="B2" sqref="B2:N2"/>
    </sheetView>
  </sheetViews>
  <sheetFormatPr defaultColWidth="9" defaultRowHeight="14.25"/>
  <cols>
    <col min="1" max="1" width="5.33203125" customWidth="1"/>
    <col min="2" max="2" width="6.9296875" customWidth="1"/>
    <col min="3" max="3" width="9.33203125" customWidth="1"/>
    <col min="4" max="4" width="8.9296875" customWidth="1"/>
    <col min="5" max="5" width="12.46484375" customWidth="1"/>
    <col min="6" max="6" width="10.06640625" customWidth="1"/>
    <col min="7" max="7" width="13.9296875" customWidth="1"/>
    <col min="8" max="8" width="12.46484375" customWidth="1"/>
    <col min="9" max="9" width="18" customWidth="1"/>
    <col min="10" max="10" width="10.06640625" customWidth="1"/>
    <col min="11" max="11" width="11.06640625" customWidth="1"/>
    <col min="12" max="12" width="10.46484375" customWidth="1"/>
    <col min="13" max="13" width="6.46484375" customWidth="1"/>
    <col min="14" max="14" width="4.7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58</v>
      </c>
      <c r="C2" t="s">
        <v>105</v>
      </c>
      <c r="D2" s="4" t="s">
        <v>19</v>
      </c>
      <c r="E2" s="4" t="s">
        <v>106</v>
      </c>
      <c r="F2" s="4"/>
      <c r="G2" t="s">
        <v>21</v>
      </c>
      <c r="H2" s="4" t="s">
        <v>106</v>
      </c>
      <c r="I2" s="6">
        <v>25000</v>
      </c>
      <c r="J2" s="4" t="s">
        <v>14</v>
      </c>
      <c r="K2" s="4" t="s">
        <v>14</v>
      </c>
      <c r="L2" s="4" t="s">
        <v>14</v>
      </c>
      <c r="M2" s="130" t="s">
        <v>202</v>
      </c>
      <c r="N2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C00-000001000000}">
          <x14:formula1>
            <xm:f>List!$C$2:$C$3</xm:f>
          </x14:formula1>
          <xm:sqref>D2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N2"/>
  <sheetViews>
    <sheetView workbookViewId="0">
      <selection activeCell="B2" sqref="B2:N2"/>
    </sheetView>
  </sheetViews>
  <sheetFormatPr defaultColWidth="9" defaultRowHeight="14.25"/>
  <cols>
    <col min="1" max="1" width="5.33203125" bestFit="1" customWidth="1"/>
    <col min="2" max="2" width="6.9296875" bestFit="1" customWidth="1"/>
    <col min="3" max="3" width="9.46484375" bestFit="1" customWidth="1"/>
    <col min="5" max="5" width="15.59765625" bestFit="1" customWidth="1"/>
    <col min="6" max="6" width="10.19921875" bestFit="1" customWidth="1"/>
    <col min="7" max="7" width="7" bestFit="1" customWidth="1"/>
    <col min="8" max="8" width="15.59765625" bestFit="1" customWidth="1"/>
    <col min="9" max="9" width="18.06640625" bestFit="1" customWidth="1"/>
    <col min="10" max="10" width="10.06640625" bestFit="1" customWidth="1"/>
    <col min="11" max="11" width="11.19921875" bestFit="1" customWidth="1"/>
    <col min="12" max="12" width="10.53125" bestFit="1" customWidth="1"/>
    <col min="13" max="13" width="6.53125" bestFit="1" customWidth="1"/>
    <col min="14" max="14" width="4.796875" bestFit="1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10">
        <v>1</v>
      </c>
      <c r="B2" s="25" t="s">
        <v>58</v>
      </c>
      <c r="C2" s="25" t="s">
        <v>59</v>
      </c>
      <c r="D2" s="11" t="s">
        <v>60</v>
      </c>
      <c r="E2" s="25" t="s">
        <v>223</v>
      </c>
      <c r="F2" s="10"/>
      <c r="G2" s="25" t="s">
        <v>21</v>
      </c>
      <c r="H2" s="25" t="s">
        <v>223</v>
      </c>
      <c r="I2" s="12">
        <v>817000</v>
      </c>
      <c r="J2" s="10" t="s">
        <v>14</v>
      </c>
      <c r="K2" s="10" t="s">
        <v>14</v>
      </c>
      <c r="L2" s="10" t="s">
        <v>14</v>
      </c>
      <c r="M2" s="136" t="s">
        <v>202</v>
      </c>
      <c r="N2" s="10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FE03FE-EB31-4FBB-B774-9F848699ADB8}">
          <x14:formula1>
            <xm:f>List!$C$2:$C$3</xm:f>
          </x14:formula1>
          <xm:sqref>D2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26F-881C-4843-AB25-DB1EA872EC94}">
  <sheetPr>
    <tabColor rgb="FFFFFF00"/>
  </sheetPr>
  <dimension ref="A1:N6"/>
  <sheetViews>
    <sheetView workbookViewId="0">
      <selection activeCell="B2" sqref="B2:N6"/>
    </sheetView>
  </sheetViews>
  <sheetFormatPr defaultRowHeight="14.25"/>
  <cols>
    <col min="1" max="1" width="5.33203125" bestFit="1" customWidth="1"/>
    <col min="2" max="2" width="11.9296875" bestFit="1" customWidth="1"/>
    <col min="3" max="3" width="12.06640625" bestFit="1" customWidth="1"/>
    <col min="4" max="4" width="9" bestFit="1" customWidth="1"/>
    <col min="5" max="5" width="15.59765625" bestFit="1" customWidth="1"/>
    <col min="6" max="6" width="10.19921875" bestFit="1" customWidth="1"/>
    <col min="7" max="7" width="14.53125" bestFit="1" customWidth="1"/>
    <col min="8" max="8" width="15.59765625" bestFit="1" customWidth="1"/>
    <col min="9" max="9" width="18.06640625" bestFit="1" customWidth="1"/>
    <col min="10" max="10" width="10.06640625" bestFit="1" customWidth="1"/>
    <col min="11" max="11" width="11.19921875" bestFit="1" customWidth="1"/>
    <col min="12" max="12" width="10.53125" bestFit="1" customWidth="1"/>
    <col min="13" max="13" width="6.53125" bestFit="1" customWidth="1"/>
    <col min="14" max="14" width="4.796875" bestFit="1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10">
        <v>1</v>
      </c>
      <c r="B2" s="136" t="s">
        <v>42</v>
      </c>
      <c r="C2" s="136" t="s">
        <v>50</v>
      </c>
      <c r="D2" s="94" t="s">
        <v>60</v>
      </c>
      <c r="E2" s="25" t="s">
        <v>126</v>
      </c>
      <c r="F2" s="10"/>
      <c r="G2" s="25" t="s">
        <v>224</v>
      </c>
      <c r="H2" s="25" t="s">
        <v>126</v>
      </c>
      <c r="I2" s="29">
        <v>1350</v>
      </c>
      <c r="J2" s="66">
        <v>82</v>
      </c>
      <c r="K2" s="68">
        <v>46085</v>
      </c>
      <c r="L2" s="10" t="s">
        <v>14</v>
      </c>
      <c r="M2" s="136" t="s">
        <v>202</v>
      </c>
      <c r="N2" s="10">
        <v>2026</v>
      </c>
    </row>
    <row r="3" spans="1:14">
      <c r="A3" s="10"/>
      <c r="B3" s="136" t="s">
        <v>305</v>
      </c>
      <c r="C3" s="136" t="s">
        <v>401</v>
      </c>
      <c r="D3" s="94" t="s">
        <v>60</v>
      </c>
      <c r="E3" s="25" t="s">
        <v>126</v>
      </c>
      <c r="F3" s="10"/>
      <c r="G3" s="25" t="s">
        <v>224</v>
      </c>
      <c r="H3" s="25" t="s">
        <v>126</v>
      </c>
      <c r="I3" s="29">
        <v>278</v>
      </c>
      <c r="J3" s="66">
        <v>82</v>
      </c>
      <c r="K3" s="68">
        <v>46085</v>
      </c>
      <c r="L3" s="136" t="s">
        <v>14</v>
      </c>
      <c r="M3" s="136" t="s">
        <v>202</v>
      </c>
      <c r="N3" s="10">
        <v>2026</v>
      </c>
    </row>
    <row r="4" spans="1:14">
      <c r="A4" s="10">
        <v>2</v>
      </c>
      <c r="B4" s="93" t="s">
        <v>275</v>
      </c>
      <c r="C4" s="93" t="s">
        <v>275</v>
      </c>
      <c r="D4" s="94" t="s">
        <v>60</v>
      </c>
      <c r="E4" s="25" t="s">
        <v>126</v>
      </c>
      <c r="F4" s="10"/>
      <c r="G4" s="25" t="s">
        <v>224</v>
      </c>
      <c r="H4" s="25" t="s">
        <v>126</v>
      </c>
      <c r="I4" s="29">
        <v>3470</v>
      </c>
      <c r="J4" s="66">
        <v>82</v>
      </c>
      <c r="K4" s="68">
        <v>46085</v>
      </c>
      <c r="L4" s="10" t="s">
        <v>14</v>
      </c>
      <c r="M4" s="136" t="s">
        <v>202</v>
      </c>
      <c r="N4" s="10">
        <v>2026</v>
      </c>
    </row>
    <row r="5" spans="1:14">
      <c r="A5" s="10">
        <v>3</v>
      </c>
      <c r="B5" s="93" t="s">
        <v>275</v>
      </c>
      <c r="C5" s="93" t="s">
        <v>275</v>
      </c>
      <c r="D5" s="94" t="s">
        <v>60</v>
      </c>
      <c r="E5" s="25" t="s">
        <v>126</v>
      </c>
      <c r="F5" s="10"/>
      <c r="G5" s="25" t="s">
        <v>224</v>
      </c>
      <c r="H5" s="25" t="s">
        <v>126</v>
      </c>
      <c r="I5" s="29">
        <f>3714999/1450</f>
        <v>2562.0682758620692</v>
      </c>
      <c r="J5" s="66">
        <v>83</v>
      </c>
      <c r="K5" s="68">
        <v>46085</v>
      </c>
      <c r="L5" s="10" t="s">
        <v>14</v>
      </c>
      <c r="M5" s="136" t="s">
        <v>202</v>
      </c>
      <c r="N5" s="10">
        <v>2026</v>
      </c>
    </row>
    <row r="6" spans="1:14">
      <c r="A6" s="10">
        <v>4</v>
      </c>
      <c r="B6" s="136" t="s">
        <v>305</v>
      </c>
      <c r="C6" s="136" t="s">
        <v>401</v>
      </c>
      <c r="D6" s="94" t="s">
        <v>60</v>
      </c>
      <c r="E6" s="25" t="s">
        <v>126</v>
      </c>
      <c r="F6" s="10"/>
      <c r="G6" s="25" t="s">
        <v>224</v>
      </c>
      <c r="H6" s="25" t="s">
        <v>126</v>
      </c>
      <c r="I6" s="29">
        <f>465000/1490</f>
        <v>312.08053691275165</v>
      </c>
      <c r="J6" s="66">
        <v>83</v>
      </c>
      <c r="K6" s="68">
        <v>46085</v>
      </c>
      <c r="L6" s="10" t="s">
        <v>14</v>
      </c>
      <c r="M6" s="136" t="s">
        <v>202</v>
      </c>
      <c r="N6" s="10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B243F6-E0BD-4811-A841-949721841676}">
          <x14:formula1>
            <xm:f>List!$C$2:$C$3</xm:f>
          </x14:formula1>
          <xm:sqref>D2:D6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N316"/>
  <sheetViews>
    <sheetView topLeftCell="D266" workbookViewId="0">
      <selection activeCell="G283" sqref="G283"/>
    </sheetView>
  </sheetViews>
  <sheetFormatPr defaultColWidth="9" defaultRowHeight="14.25"/>
  <cols>
    <col min="1" max="1" width="5.33203125" style="106" customWidth="1"/>
    <col min="2" max="4" width="18.46484375" style="106" customWidth="1"/>
    <col min="5" max="5" width="33.59765625" style="106" customWidth="1"/>
    <col min="6" max="6" width="10.59765625" style="106" customWidth="1"/>
    <col min="7" max="7" width="44.33203125" style="106" customWidth="1"/>
    <col min="8" max="8" width="23.19921875" style="106" bestFit="1" customWidth="1"/>
    <col min="9" max="9" width="18.46484375" style="124" customWidth="1"/>
    <col min="10" max="13" width="18.46484375" style="106" customWidth="1"/>
    <col min="14" max="14" width="10.33203125" style="106" customWidth="1"/>
    <col min="15" max="16384" width="9" style="106"/>
  </cols>
  <sheetData>
    <row r="1" spans="1:14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23" t="s">
        <v>8</v>
      </c>
      <c r="J1" s="105" t="s">
        <v>9</v>
      </c>
      <c r="K1" s="105" t="s">
        <v>10</v>
      </c>
      <c r="L1" s="105" t="s">
        <v>11</v>
      </c>
      <c r="M1" s="105" t="s">
        <v>12</v>
      </c>
      <c r="N1" s="105" t="s">
        <v>13</v>
      </c>
    </row>
    <row r="2" spans="1:14">
      <c r="A2" s="106">
        <v>1</v>
      </c>
      <c r="B2" s="106" t="s">
        <v>52</v>
      </c>
      <c r="C2" s="106" t="s">
        <v>62</v>
      </c>
      <c r="D2" s="106" t="s">
        <v>60</v>
      </c>
      <c r="E2" s="125" t="s">
        <v>70</v>
      </c>
      <c r="G2" s="106" t="s">
        <v>113</v>
      </c>
      <c r="H2" s="139" t="s">
        <v>114</v>
      </c>
      <c r="I2" s="140">
        <v>5362.4161073825508</v>
      </c>
      <c r="J2" s="106" t="s">
        <v>429</v>
      </c>
      <c r="K2" s="109">
        <v>46076</v>
      </c>
      <c r="L2" s="106">
        <v>2026400219</v>
      </c>
      <c r="M2" s="112" t="s">
        <v>202</v>
      </c>
      <c r="N2" s="106">
        <v>2026</v>
      </c>
    </row>
    <row r="3" spans="1:14">
      <c r="A3" s="106">
        <v>2</v>
      </c>
      <c r="B3" s="106" t="s">
        <v>17</v>
      </c>
      <c r="C3" s="106" t="s">
        <v>687</v>
      </c>
      <c r="D3" s="106" t="s">
        <v>60</v>
      </c>
      <c r="E3" s="125" t="s">
        <v>70</v>
      </c>
      <c r="G3" s="106" t="s">
        <v>113</v>
      </c>
      <c r="H3" s="139" t="s">
        <v>114</v>
      </c>
      <c r="I3" s="140">
        <v>3154.3624161073826</v>
      </c>
      <c r="J3" s="106" t="s">
        <v>435</v>
      </c>
      <c r="K3" s="109">
        <v>46055</v>
      </c>
      <c r="L3" s="106">
        <v>2026400506</v>
      </c>
      <c r="M3" s="112" t="s">
        <v>202</v>
      </c>
      <c r="N3" s="106">
        <v>2026</v>
      </c>
    </row>
    <row r="4" spans="1:14">
      <c r="A4" s="106">
        <v>3</v>
      </c>
      <c r="B4" s="106" t="s">
        <v>52</v>
      </c>
      <c r="C4" s="106" t="s">
        <v>62</v>
      </c>
      <c r="D4" s="106" t="s">
        <v>60</v>
      </c>
      <c r="E4" s="125" t="s">
        <v>70</v>
      </c>
      <c r="G4" s="106" t="s">
        <v>113</v>
      </c>
      <c r="H4" s="139" t="s">
        <v>114</v>
      </c>
      <c r="I4" s="140">
        <v>2600.6711409395975</v>
      </c>
      <c r="J4" s="106" t="s">
        <v>439</v>
      </c>
      <c r="K4" s="109">
        <v>46064</v>
      </c>
      <c r="L4" s="106">
        <v>2026400521</v>
      </c>
      <c r="M4" s="112" t="s">
        <v>202</v>
      </c>
      <c r="N4" s="106">
        <v>2026</v>
      </c>
    </row>
    <row r="5" spans="1:14">
      <c r="A5" s="106">
        <v>4</v>
      </c>
      <c r="B5" s="106" t="s">
        <v>42</v>
      </c>
      <c r="C5" s="106" t="s">
        <v>50</v>
      </c>
      <c r="D5" s="106" t="s">
        <v>60</v>
      </c>
      <c r="E5" s="106" t="s">
        <v>70</v>
      </c>
      <c r="G5" s="106" t="s">
        <v>113</v>
      </c>
      <c r="H5" s="139" t="s">
        <v>114</v>
      </c>
      <c r="I5" s="140">
        <v>2181.2080536912754</v>
      </c>
      <c r="J5" s="106" t="s">
        <v>444</v>
      </c>
      <c r="K5" s="109">
        <v>46064</v>
      </c>
      <c r="L5" s="106">
        <v>2026400599</v>
      </c>
      <c r="M5" s="112" t="s">
        <v>202</v>
      </c>
      <c r="N5" s="106">
        <v>2026</v>
      </c>
    </row>
    <row r="6" spans="1:14">
      <c r="A6" s="106">
        <v>5</v>
      </c>
      <c r="B6" s="106" t="s">
        <v>42</v>
      </c>
      <c r="C6" s="106" t="s">
        <v>50</v>
      </c>
      <c r="D6" s="106" t="s">
        <v>60</v>
      </c>
      <c r="E6" s="125" t="s">
        <v>70</v>
      </c>
      <c r="G6" s="106" t="s">
        <v>113</v>
      </c>
      <c r="H6" s="139" t="s">
        <v>114</v>
      </c>
      <c r="I6" s="140">
        <v>2181.2080536912754</v>
      </c>
      <c r="J6" s="106" t="s">
        <v>445</v>
      </c>
      <c r="K6" s="109">
        <v>46069</v>
      </c>
      <c r="L6" s="106">
        <v>2026400664</v>
      </c>
      <c r="M6" s="112" t="s">
        <v>202</v>
      </c>
      <c r="N6" s="106">
        <v>2026</v>
      </c>
    </row>
    <row r="7" spans="1:14">
      <c r="A7" s="106">
        <v>6</v>
      </c>
      <c r="B7" s="106" t="s">
        <v>52</v>
      </c>
      <c r="C7" s="106" t="s">
        <v>62</v>
      </c>
      <c r="D7" s="106" t="s">
        <v>60</v>
      </c>
      <c r="E7" s="125" t="s">
        <v>70</v>
      </c>
      <c r="G7" s="106" t="s">
        <v>113</v>
      </c>
      <c r="H7" s="139" t="s">
        <v>114</v>
      </c>
      <c r="I7" s="140">
        <v>1986.5771812080536</v>
      </c>
      <c r="J7" s="106" t="s">
        <v>448</v>
      </c>
      <c r="K7" s="109">
        <v>46061</v>
      </c>
      <c r="L7" s="106">
        <v>2026400520</v>
      </c>
      <c r="M7" s="112" t="s">
        <v>202</v>
      </c>
      <c r="N7" s="106">
        <v>2026</v>
      </c>
    </row>
    <row r="8" spans="1:14">
      <c r="A8" s="106">
        <v>7</v>
      </c>
      <c r="B8" s="106" t="s">
        <v>42</v>
      </c>
      <c r="C8" s="106" t="s">
        <v>47</v>
      </c>
      <c r="D8" s="106" t="s">
        <v>60</v>
      </c>
      <c r="E8" s="125" t="s">
        <v>70</v>
      </c>
      <c r="G8" s="106" t="s">
        <v>113</v>
      </c>
      <c r="H8" s="139" t="s">
        <v>114</v>
      </c>
      <c r="I8" s="140">
        <v>1786.9127516778524</v>
      </c>
      <c r="J8" s="106" t="s">
        <v>450</v>
      </c>
      <c r="K8" s="109">
        <v>46068</v>
      </c>
      <c r="L8" s="106">
        <v>2026400720</v>
      </c>
      <c r="M8" s="112" t="s">
        <v>202</v>
      </c>
      <c r="N8" s="106">
        <v>2026</v>
      </c>
    </row>
    <row r="9" spans="1:14">
      <c r="A9" s="106">
        <v>8</v>
      </c>
      <c r="B9" s="125" t="s">
        <v>33</v>
      </c>
      <c r="C9" s="125" t="s">
        <v>34</v>
      </c>
      <c r="D9" s="106" t="s">
        <v>60</v>
      </c>
      <c r="E9" s="125" t="s">
        <v>70</v>
      </c>
      <c r="G9" s="125" t="s">
        <v>113</v>
      </c>
      <c r="H9" s="139" t="s">
        <v>114</v>
      </c>
      <c r="I9" s="140">
        <v>906.04026845637588</v>
      </c>
      <c r="J9" s="106" t="s">
        <v>468</v>
      </c>
      <c r="K9" s="109">
        <v>46056</v>
      </c>
      <c r="L9" s="106">
        <v>2026400503</v>
      </c>
      <c r="M9" s="112" t="s">
        <v>202</v>
      </c>
      <c r="N9" s="106">
        <v>2026</v>
      </c>
    </row>
    <row r="10" spans="1:14">
      <c r="A10" s="106">
        <v>9</v>
      </c>
      <c r="B10" s="125" t="s">
        <v>17</v>
      </c>
      <c r="C10" s="125" t="s">
        <v>22</v>
      </c>
      <c r="D10" s="106" t="s">
        <v>60</v>
      </c>
      <c r="E10" s="106" t="s">
        <v>70</v>
      </c>
      <c r="G10" s="106" t="s">
        <v>113</v>
      </c>
      <c r="H10" s="139" t="s">
        <v>114</v>
      </c>
      <c r="I10" s="140">
        <v>167.78523489932886</v>
      </c>
      <c r="J10" s="106" t="s">
        <v>232</v>
      </c>
      <c r="K10" s="109">
        <v>46079</v>
      </c>
      <c r="L10" s="106">
        <v>2026400780</v>
      </c>
      <c r="M10" s="112" t="s">
        <v>202</v>
      </c>
      <c r="N10" s="106">
        <v>2026</v>
      </c>
    </row>
    <row r="11" spans="1:14">
      <c r="A11" s="106">
        <v>10</v>
      </c>
      <c r="B11" s="106" t="s">
        <v>54</v>
      </c>
      <c r="C11" s="106" t="s">
        <v>93</v>
      </c>
      <c r="D11" s="106" t="s">
        <v>60</v>
      </c>
      <c r="E11" s="125" t="s">
        <v>70</v>
      </c>
      <c r="G11" s="106" t="s">
        <v>230</v>
      </c>
      <c r="H11" s="139" t="s">
        <v>690</v>
      </c>
      <c r="I11" s="140">
        <v>7214.7651006711412</v>
      </c>
      <c r="J11" s="106" t="s">
        <v>424</v>
      </c>
      <c r="K11" s="109">
        <v>46061</v>
      </c>
      <c r="L11" s="106">
        <v>2026400496</v>
      </c>
      <c r="M11" s="112" t="s">
        <v>202</v>
      </c>
      <c r="N11" s="106">
        <v>2026</v>
      </c>
    </row>
    <row r="12" spans="1:14">
      <c r="A12" s="106">
        <v>11</v>
      </c>
      <c r="B12" s="106" t="s">
        <v>54</v>
      </c>
      <c r="C12" s="106" t="s">
        <v>93</v>
      </c>
      <c r="D12" s="106" t="s">
        <v>60</v>
      </c>
      <c r="E12" s="125" t="s">
        <v>70</v>
      </c>
      <c r="G12" s="106" t="s">
        <v>230</v>
      </c>
      <c r="H12" s="139" t="s">
        <v>690</v>
      </c>
      <c r="I12" s="140">
        <v>323.22147651006713</v>
      </c>
      <c r="J12" s="106" t="s">
        <v>483</v>
      </c>
      <c r="K12" s="109">
        <v>46069</v>
      </c>
      <c r="L12" s="106">
        <v>2026400622</v>
      </c>
      <c r="M12" s="112" t="s">
        <v>202</v>
      </c>
      <c r="N12" s="106">
        <v>2026</v>
      </c>
    </row>
    <row r="13" spans="1:14">
      <c r="A13" s="106">
        <v>12</v>
      </c>
      <c r="B13" s="106" t="s">
        <v>42</v>
      </c>
      <c r="C13" s="106" t="s">
        <v>48</v>
      </c>
      <c r="D13" s="106" t="s">
        <v>60</v>
      </c>
      <c r="E13" s="106" t="s">
        <v>70</v>
      </c>
      <c r="G13" s="106" t="s">
        <v>287</v>
      </c>
      <c r="H13" s="106" t="s">
        <v>115</v>
      </c>
      <c r="I13" s="140">
        <v>469.79865771812081</v>
      </c>
      <c r="J13" s="106" t="s">
        <v>479</v>
      </c>
      <c r="K13" s="109">
        <v>46076</v>
      </c>
      <c r="L13" s="106">
        <v>2026400667</v>
      </c>
      <c r="M13" s="112" t="s">
        <v>202</v>
      </c>
      <c r="N13" s="106">
        <v>2026</v>
      </c>
    </row>
    <row r="14" spans="1:14">
      <c r="A14" s="106">
        <v>13</v>
      </c>
      <c r="B14" s="106" t="s">
        <v>42</v>
      </c>
      <c r="C14" s="106" t="s">
        <v>50</v>
      </c>
      <c r="D14" s="106" t="s">
        <v>60</v>
      </c>
      <c r="E14" s="106" t="s">
        <v>70</v>
      </c>
      <c r="G14" s="106" t="s">
        <v>287</v>
      </c>
      <c r="H14" s="106" t="s">
        <v>115</v>
      </c>
      <c r="I14" s="140">
        <v>221.47651006711411</v>
      </c>
      <c r="J14" s="106" t="s">
        <v>486</v>
      </c>
      <c r="K14" s="109">
        <v>46076</v>
      </c>
      <c r="L14" s="106">
        <v>2026400666</v>
      </c>
      <c r="M14" s="112" t="s">
        <v>202</v>
      </c>
      <c r="N14" s="106">
        <v>2026</v>
      </c>
    </row>
    <row r="15" spans="1:14">
      <c r="A15" s="106">
        <v>14</v>
      </c>
      <c r="B15" s="106" t="s">
        <v>17</v>
      </c>
      <c r="C15" s="106" t="s">
        <v>22</v>
      </c>
      <c r="D15" s="106" t="s">
        <v>60</v>
      </c>
      <c r="E15" s="106" t="s">
        <v>70</v>
      </c>
      <c r="G15" s="106" t="s">
        <v>408</v>
      </c>
      <c r="H15" s="106" t="s">
        <v>115</v>
      </c>
      <c r="I15" s="140">
        <v>1997.3154362416108</v>
      </c>
      <c r="J15" s="106" t="s">
        <v>447</v>
      </c>
      <c r="K15" s="109">
        <v>46074</v>
      </c>
      <c r="L15" s="106">
        <v>2026400746</v>
      </c>
      <c r="M15" s="112" t="s">
        <v>202</v>
      </c>
      <c r="N15" s="106">
        <v>2026</v>
      </c>
    </row>
    <row r="16" spans="1:14">
      <c r="A16" s="106">
        <v>15</v>
      </c>
      <c r="B16" s="106" t="s">
        <v>54</v>
      </c>
      <c r="C16" s="106" t="s">
        <v>55</v>
      </c>
      <c r="D16" s="106" t="s">
        <v>60</v>
      </c>
      <c r="E16" s="125" t="s">
        <v>70</v>
      </c>
      <c r="G16" s="106" t="s">
        <v>291</v>
      </c>
      <c r="H16" s="106" t="s">
        <v>115</v>
      </c>
      <c r="I16" s="140">
        <v>1375.8389261744967</v>
      </c>
      <c r="J16" s="106" t="s">
        <v>232</v>
      </c>
      <c r="K16" s="109">
        <v>46060</v>
      </c>
      <c r="L16" s="106">
        <v>2026400243</v>
      </c>
      <c r="M16" s="112" t="s">
        <v>202</v>
      </c>
      <c r="N16" s="106">
        <v>2026</v>
      </c>
    </row>
    <row r="17" spans="1:14">
      <c r="A17" s="106">
        <v>16</v>
      </c>
      <c r="B17" s="106" t="s">
        <v>54</v>
      </c>
      <c r="C17" s="106" t="s">
        <v>93</v>
      </c>
      <c r="D17" s="106" t="s">
        <v>60</v>
      </c>
      <c r="E17" s="125" t="s">
        <v>70</v>
      </c>
      <c r="G17" s="106" t="s">
        <v>291</v>
      </c>
      <c r="H17" s="106" t="s">
        <v>115</v>
      </c>
      <c r="I17" s="140">
        <v>973.15436241610735</v>
      </c>
      <c r="J17" s="106" t="s">
        <v>232</v>
      </c>
      <c r="K17" s="109">
        <v>46083</v>
      </c>
      <c r="L17" s="106">
        <v>2026400566</v>
      </c>
      <c r="M17" s="112" t="s">
        <v>202</v>
      </c>
      <c r="N17" s="106">
        <v>2026</v>
      </c>
    </row>
    <row r="18" spans="1:14">
      <c r="A18" s="106">
        <v>17</v>
      </c>
      <c r="B18" s="106" t="s">
        <v>54</v>
      </c>
      <c r="C18" s="106" t="s">
        <v>55</v>
      </c>
      <c r="D18" s="106" t="s">
        <v>60</v>
      </c>
      <c r="E18" s="106" t="s">
        <v>70</v>
      </c>
      <c r="G18" s="106" t="s">
        <v>291</v>
      </c>
      <c r="H18" s="106" t="s">
        <v>115</v>
      </c>
      <c r="I18" s="140">
        <v>93.959731543624159</v>
      </c>
      <c r="J18" s="106" t="s">
        <v>232</v>
      </c>
      <c r="K18" s="109">
        <v>46060</v>
      </c>
      <c r="L18" s="106">
        <v>2026400243</v>
      </c>
      <c r="M18" s="112" t="s">
        <v>202</v>
      </c>
      <c r="N18" s="106">
        <v>2026</v>
      </c>
    </row>
    <row r="19" spans="1:14">
      <c r="A19" s="106">
        <v>18</v>
      </c>
      <c r="B19" s="106" t="s">
        <v>42</v>
      </c>
      <c r="C19" s="106" t="s">
        <v>43</v>
      </c>
      <c r="D19" s="106" t="s">
        <v>60</v>
      </c>
      <c r="E19" s="106" t="s">
        <v>70</v>
      </c>
      <c r="G19" s="106" t="s">
        <v>290</v>
      </c>
      <c r="H19" s="106" t="s">
        <v>243</v>
      </c>
      <c r="I19" s="140">
        <v>11409.395973154362</v>
      </c>
      <c r="J19" s="106" t="s">
        <v>422</v>
      </c>
      <c r="K19" s="109">
        <v>46075</v>
      </c>
      <c r="L19" s="106">
        <v>2026400705</v>
      </c>
      <c r="M19" s="112" t="s">
        <v>202</v>
      </c>
      <c r="N19" s="106">
        <v>2026</v>
      </c>
    </row>
    <row r="20" spans="1:14">
      <c r="A20" s="106">
        <v>19</v>
      </c>
      <c r="B20" s="106" t="s">
        <v>17</v>
      </c>
      <c r="C20" s="106" t="s">
        <v>22</v>
      </c>
      <c r="D20" s="106" t="s">
        <v>60</v>
      </c>
      <c r="E20" s="125" t="s">
        <v>70</v>
      </c>
      <c r="G20" s="106" t="s">
        <v>290</v>
      </c>
      <c r="H20" s="122" t="s">
        <v>234</v>
      </c>
      <c r="I20" s="140">
        <v>1426.1744966442952</v>
      </c>
      <c r="J20" s="106" t="s">
        <v>453</v>
      </c>
      <c r="K20" s="109">
        <v>46068</v>
      </c>
      <c r="L20" s="106">
        <v>2026400562</v>
      </c>
      <c r="M20" s="112" t="s">
        <v>202</v>
      </c>
      <c r="N20" s="106">
        <v>2026</v>
      </c>
    </row>
    <row r="21" spans="1:14">
      <c r="A21" s="106">
        <v>20</v>
      </c>
      <c r="B21" s="106" t="s">
        <v>33</v>
      </c>
      <c r="C21" s="106" t="s">
        <v>34</v>
      </c>
      <c r="D21" s="106" t="s">
        <v>60</v>
      </c>
      <c r="E21" s="125" t="s">
        <v>70</v>
      </c>
      <c r="G21" s="106" t="s">
        <v>403</v>
      </c>
      <c r="H21" s="139" t="s">
        <v>691</v>
      </c>
      <c r="I21" s="140">
        <v>4664.4295302013425</v>
      </c>
      <c r="J21" s="106" t="s">
        <v>430</v>
      </c>
      <c r="K21" s="109">
        <v>46073</v>
      </c>
      <c r="L21" s="106">
        <v>2025400651</v>
      </c>
      <c r="M21" s="112" t="s">
        <v>202</v>
      </c>
      <c r="N21" s="106">
        <v>2026</v>
      </c>
    </row>
    <row r="22" spans="1:14">
      <c r="A22" s="106">
        <v>21</v>
      </c>
      <c r="B22" s="106" t="s">
        <v>42</v>
      </c>
      <c r="C22" s="106" t="s">
        <v>43</v>
      </c>
      <c r="D22" s="106" t="s">
        <v>60</v>
      </c>
      <c r="E22" s="125" t="s">
        <v>70</v>
      </c>
      <c r="G22" s="106" t="s">
        <v>403</v>
      </c>
      <c r="H22" s="139" t="s">
        <v>691</v>
      </c>
      <c r="I22" s="140">
        <v>4664.4295302013425</v>
      </c>
      <c r="J22" s="106" t="s">
        <v>431</v>
      </c>
      <c r="K22" s="109">
        <v>46078</v>
      </c>
      <c r="L22" s="106">
        <v>2026403333</v>
      </c>
      <c r="M22" s="112" t="s">
        <v>202</v>
      </c>
      <c r="N22" s="106">
        <v>2026</v>
      </c>
    </row>
    <row r="23" spans="1:14">
      <c r="A23" s="106">
        <v>22</v>
      </c>
      <c r="B23" s="125" t="s">
        <v>54</v>
      </c>
      <c r="C23" s="125" t="s">
        <v>93</v>
      </c>
      <c r="D23" s="106" t="s">
        <v>60</v>
      </c>
      <c r="E23" s="125" t="s">
        <v>70</v>
      </c>
      <c r="G23" s="125" t="s">
        <v>281</v>
      </c>
      <c r="H23" s="106" t="s">
        <v>115</v>
      </c>
      <c r="I23" s="140">
        <v>637.58389261744969</v>
      </c>
      <c r="J23" s="106" t="s">
        <v>474</v>
      </c>
      <c r="K23" s="109">
        <v>46067</v>
      </c>
      <c r="L23" s="106">
        <v>2026400587</v>
      </c>
      <c r="M23" s="112" t="s">
        <v>202</v>
      </c>
      <c r="N23" s="106">
        <v>2026</v>
      </c>
    </row>
    <row r="24" spans="1:14">
      <c r="A24" s="106">
        <v>23</v>
      </c>
      <c r="B24" s="106" t="s">
        <v>52</v>
      </c>
      <c r="C24" s="106" t="s">
        <v>62</v>
      </c>
      <c r="D24" s="106" t="s">
        <v>60</v>
      </c>
      <c r="E24" s="125" t="s">
        <v>70</v>
      </c>
      <c r="G24" s="106" t="s">
        <v>116</v>
      </c>
      <c r="H24" s="139" t="s">
        <v>269</v>
      </c>
      <c r="I24" s="140">
        <v>71200</v>
      </c>
      <c r="J24" s="106" t="s">
        <v>509</v>
      </c>
      <c r="K24" s="109">
        <v>46061</v>
      </c>
      <c r="L24" s="106">
        <v>2026400399</v>
      </c>
      <c r="M24" s="112" t="s">
        <v>202</v>
      </c>
      <c r="N24" s="106">
        <v>2026</v>
      </c>
    </row>
    <row r="25" spans="1:14">
      <c r="A25" s="106">
        <v>24</v>
      </c>
      <c r="B25" s="106" t="s">
        <v>42</v>
      </c>
      <c r="C25" s="106" t="s">
        <v>689</v>
      </c>
      <c r="D25" s="106" t="s">
        <v>60</v>
      </c>
      <c r="E25" s="125" t="s">
        <v>70</v>
      </c>
      <c r="G25" s="106" t="s">
        <v>116</v>
      </c>
      <c r="H25" s="139" t="s">
        <v>269</v>
      </c>
      <c r="I25" s="140">
        <v>13950</v>
      </c>
      <c r="J25" s="106">
        <v>490</v>
      </c>
      <c r="K25" s="109">
        <v>46061</v>
      </c>
      <c r="L25" s="106">
        <v>2026400398</v>
      </c>
      <c r="M25" s="112" t="s">
        <v>202</v>
      </c>
      <c r="N25" s="106">
        <v>2026</v>
      </c>
    </row>
    <row r="26" spans="1:14">
      <c r="A26" s="106">
        <v>25</v>
      </c>
      <c r="B26" s="106" t="s">
        <v>54</v>
      </c>
      <c r="C26" s="106" t="s">
        <v>93</v>
      </c>
      <c r="D26" s="106" t="s">
        <v>60</v>
      </c>
      <c r="E26" s="125" t="s">
        <v>70</v>
      </c>
      <c r="G26" s="106" t="s">
        <v>116</v>
      </c>
      <c r="H26" s="139" t="s">
        <v>269</v>
      </c>
      <c r="I26" s="140">
        <v>2400</v>
      </c>
      <c r="J26" s="106" t="s">
        <v>522</v>
      </c>
      <c r="K26" s="109">
        <v>46062</v>
      </c>
      <c r="L26" s="106">
        <v>2026400403</v>
      </c>
      <c r="M26" s="112" t="s">
        <v>202</v>
      </c>
      <c r="N26" s="106">
        <v>2026</v>
      </c>
    </row>
    <row r="27" spans="1:14">
      <c r="A27" s="106">
        <v>26</v>
      </c>
      <c r="B27" s="106" t="s">
        <v>42</v>
      </c>
      <c r="C27" s="106" t="s">
        <v>44</v>
      </c>
      <c r="D27" s="106" t="s">
        <v>60</v>
      </c>
      <c r="E27" s="125" t="s">
        <v>70</v>
      </c>
      <c r="G27" s="106" t="s">
        <v>116</v>
      </c>
      <c r="H27" s="139" t="s">
        <v>269</v>
      </c>
      <c r="I27" s="140">
        <v>3100</v>
      </c>
      <c r="J27" s="106" t="s">
        <v>524</v>
      </c>
      <c r="K27" s="109">
        <v>46063</v>
      </c>
      <c r="L27" s="106">
        <v>2026400206</v>
      </c>
      <c r="M27" s="112" t="s">
        <v>202</v>
      </c>
      <c r="N27" s="106">
        <v>2026</v>
      </c>
    </row>
    <row r="28" spans="1:14">
      <c r="A28" s="106">
        <v>27</v>
      </c>
      <c r="B28" s="106" t="s">
        <v>17</v>
      </c>
      <c r="C28" s="106" t="s">
        <v>22</v>
      </c>
      <c r="D28" s="106" t="s">
        <v>60</v>
      </c>
      <c r="E28" s="125" t="s">
        <v>70</v>
      </c>
      <c r="G28" s="106" t="s">
        <v>116</v>
      </c>
      <c r="H28" s="139" t="s">
        <v>269</v>
      </c>
      <c r="I28" s="140">
        <v>9050</v>
      </c>
      <c r="J28" s="106" t="s">
        <v>526</v>
      </c>
      <c r="K28" s="109">
        <v>46064</v>
      </c>
      <c r="L28" s="106">
        <v>2026400479</v>
      </c>
      <c r="M28" s="112" t="s">
        <v>202</v>
      </c>
      <c r="N28" s="106">
        <v>2026</v>
      </c>
    </row>
    <row r="29" spans="1:14">
      <c r="A29" s="106">
        <v>28</v>
      </c>
      <c r="B29" s="106" t="s">
        <v>17</v>
      </c>
      <c r="C29" s="106" t="s">
        <v>25</v>
      </c>
      <c r="D29" s="106" t="s">
        <v>60</v>
      </c>
      <c r="E29" s="125" t="s">
        <v>70</v>
      </c>
      <c r="G29" s="106" t="s">
        <v>116</v>
      </c>
      <c r="H29" s="139" t="s">
        <v>269</v>
      </c>
      <c r="I29" s="140">
        <v>2218.5</v>
      </c>
      <c r="J29" s="106" t="s">
        <v>527</v>
      </c>
      <c r="K29" s="109">
        <v>46065</v>
      </c>
      <c r="L29" s="106">
        <v>2026400493</v>
      </c>
      <c r="M29" s="112" t="s">
        <v>202</v>
      </c>
      <c r="N29" s="106">
        <v>2026</v>
      </c>
    </row>
    <row r="30" spans="1:14">
      <c r="A30" s="106">
        <v>29</v>
      </c>
      <c r="B30" s="106" t="s">
        <v>17</v>
      </c>
      <c r="C30" s="106" t="s">
        <v>25</v>
      </c>
      <c r="D30" s="106" t="s">
        <v>60</v>
      </c>
      <c r="E30" s="125" t="s">
        <v>70</v>
      </c>
      <c r="G30" s="106" t="s">
        <v>116</v>
      </c>
      <c r="H30" s="139" t="s">
        <v>269</v>
      </c>
      <c r="I30" s="140">
        <v>13696.5</v>
      </c>
      <c r="J30" s="106" t="s">
        <v>528</v>
      </c>
      <c r="K30" s="109">
        <v>46065</v>
      </c>
      <c r="L30" s="106">
        <v>2025403470</v>
      </c>
      <c r="M30" s="112" t="s">
        <v>202</v>
      </c>
      <c r="N30" s="106">
        <v>2026</v>
      </c>
    </row>
    <row r="31" spans="1:14">
      <c r="A31" s="106">
        <v>30</v>
      </c>
      <c r="B31" s="106" t="s">
        <v>42</v>
      </c>
      <c r="C31" s="106" t="s">
        <v>50</v>
      </c>
      <c r="D31" s="106" t="s">
        <v>60</v>
      </c>
      <c r="E31" s="125" t="s">
        <v>70</v>
      </c>
      <c r="G31" s="106" t="s">
        <v>116</v>
      </c>
      <c r="H31" s="139" t="s">
        <v>269</v>
      </c>
      <c r="I31" s="140">
        <v>642.6</v>
      </c>
      <c r="J31" s="106" t="s">
        <v>530</v>
      </c>
      <c r="K31" s="109">
        <v>46070</v>
      </c>
      <c r="L31" s="106">
        <v>2026400392</v>
      </c>
      <c r="M31" s="112" t="s">
        <v>202</v>
      </c>
      <c r="N31" s="106">
        <v>2026</v>
      </c>
    </row>
    <row r="32" spans="1:14">
      <c r="A32" s="106">
        <v>31</v>
      </c>
      <c r="B32" s="106" t="s">
        <v>52</v>
      </c>
      <c r="C32" s="106" t="s">
        <v>62</v>
      </c>
      <c r="D32" s="106" t="s">
        <v>60</v>
      </c>
      <c r="E32" s="125" t="s">
        <v>70</v>
      </c>
      <c r="G32" s="106" t="s">
        <v>116</v>
      </c>
      <c r="H32" s="139" t="s">
        <v>269</v>
      </c>
      <c r="I32" s="140">
        <v>4627.8</v>
      </c>
      <c r="J32" s="106" t="s">
        <v>533</v>
      </c>
      <c r="K32" s="109">
        <v>46072</v>
      </c>
      <c r="L32" s="106">
        <v>2026400476</v>
      </c>
      <c r="M32" s="112" t="s">
        <v>202</v>
      </c>
      <c r="N32" s="106">
        <v>2026</v>
      </c>
    </row>
    <row r="33" spans="1:14">
      <c r="A33" s="106">
        <v>32</v>
      </c>
      <c r="B33" s="106" t="s">
        <v>52</v>
      </c>
      <c r="C33" s="106" t="s">
        <v>62</v>
      </c>
      <c r="D33" s="106" t="s">
        <v>60</v>
      </c>
      <c r="E33" s="125" t="s">
        <v>70</v>
      </c>
      <c r="G33" s="106" t="s">
        <v>116</v>
      </c>
      <c r="H33" s="139" t="s">
        <v>269</v>
      </c>
      <c r="I33" s="140">
        <v>33200</v>
      </c>
      <c r="J33" s="106" t="s">
        <v>534</v>
      </c>
      <c r="K33" s="109">
        <v>46075</v>
      </c>
      <c r="L33" s="106">
        <v>2026400585</v>
      </c>
      <c r="M33" s="112" t="s">
        <v>202</v>
      </c>
      <c r="N33" s="106">
        <v>2026</v>
      </c>
    </row>
    <row r="34" spans="1:14">
      <c r="A34" s="106">
        <v>33</v>
      </c>
      <c r="B34" s="106" t="s">
        <v>17</v>
      </c>
      <c r="C34" s="106" t="s">
        <v>22</v>
      </c>
      <c r="D34" s="106" t="s">
        <v>60</v>
      </c>
      <c r="E34" s="125" t="s">
        <v>70</v>
      </c>
      <c r="G34" s="106" t="s">
        <v>116</v>
      </c>
      <c r="H34" s="139" t="s">
        <v>269</v>
      </c>
      <c r="I34" s="140">
        <v>1565.6</v>
      </c>
      <c r="J34" s="106" t="s">
        <v>553</v>
      </c>
      <c r="K34" s="109">
        <v>46070</v>
      </c>
      <c r="L34" s="106">
        <v>2026400531</v>
      </c>
      <c r="M34" s="112" t="s">
        <v>202</v>
      </c>
      <c r="N34" s="106">
        <v>2026</v>
      </c>
    </row>
    <row r="35" spans="1:14">
      <c r="A35" s="106">
        <v>34</v>
      </c>
      <c r="B35" s="106" t="s">
        <v>17</v>
      </c>
      <c r="C35" s="106" t="s">
        <v>22</v>
      </c>
      <c r="D35" s="106" t="s">
        <v>60</v>
      </c>
      <c r="E35" s="125" t="s">
        <v>70</v>
      </c>
      <c r="G35" s="106" t="s">
        <v>116</v>
      </c>
      <c r="H35" s="139" t="s">
        <v>269</v>
      </c>
      <c r="I35" s="140">
        <v>1200</v>
      </c>
      <c r="J35" s="106" t="s">
        <v>577</v>
      </c>
      <c r="K35" s="109">
        <v>46070</v>
      </c>
      <c r="L35" s="106">
        <v>2026400533</v>
      </c>
      <c r="M35" s="112" t="s">
        <v>202</v>
      </c>
      <c r="N35" s="106">
        <v>2026</v>
      </c>
    </row>
    <row r="36" spans="1:14">
      <c r="A36" s="106">
        <v>35</v>
      </c>
      <c r="B36" s="106" t="s">
        <v>42</v>
      </c>
      <c r="C36" s="106" t="s">
        <v>50</v>
      </c>
      <c r="D36" s="106" t="s">
        <v>60</v>
      </c>
      <c r="E36" s="125" t="s">
        <v>70</v>
      </c>
      <c r="G36" s="106" t="s">
        <v>116</v>
      </c>
      <c r="H36" s="139" t="s">
        <v>269</v>
      </c>
      <c r="I36" s="140">
        <v>1901.8</v>
      </c>
      <c r="J36" s="106" t="s">
        <v>584</v>
      </c>
      <c r="K36" s="109">
        <v>46067</v>
      </c>
      <c r="L36" s="106">
        <v>2026400530</v>
      </c>
      <c r="M36" s="112" t="s">
        <v>202</v>
      </c>
      <c r="N36" s="106">
        <v>2026</v>
      </c>
    </row>
    <row r="37" spans="1:14">
      <c r="A37" s="106">
        <v>36</v>
      </c>
      <c r="B37" s="106" t="s">
        <v>17</v>
      </c>
      <c r="C37" s="106" t="s">
        <v>22</v>
      </c>
      <c r="D37" s="106" t="s">
        <v>60</v>
      </c>
      <c r="E37" s="125" t="s">
        <v>70</v>
      </c>
      <c r="G37" s="106" t="s">
        <v>116</v>
      </c>
      <c r="H37" s="139" t="s">
        <v>269</v>
      </c>
      <c r="I37" s="140">
        <v>696</v>
      </c>
      <c r="J37" s="106" t="s">
        <v>585</v>
      </c>
      <c r="K37" s="126">
        <v>46067</v>
      </c>
      <c r="L37" s="106">
        <v>2026400478</v>
      </c>
      <c r="M37" s="112" t="s">
        <v>202</v>
      </c>
      <c r="N37" s="106">
        <v>2026</v>
      </c>
    </row>
    <row r="38" spans="1:14">
      <c r="A38" s="106">
        <v>37</v>
      </c>
      <c r="B38" s="106" t="s">
        <v>42</v>
      </c>
      <c r="C38" s="106" t="s">
        <v>47</v>
      </c>
      <c r="D38" s="106" t="s">
        <v>60</v>
      </c>
      <c r="E38" s="125" t="s">
        <v>70</v>
      </c>
      <c r="G38" s="106" t="s">
        <v>116</v>
      </c>
      <c r="H38" s="139" t="s">
        <v>269</v>
      </c>
      <c r="I38" s="140">
        <v>4260</v>
      </c>
      <c r="J38" s="106" t="s">
        <v>620</v>
      </c>
      <c r="K38" s="109">
        <v>46079</v>
      </c>
      <c r="L38" s="106">
        <v>2026400673</v>
      </c>
      <c r="M38" s="112" t="s">
        <v>202</v>
      </c>
      <c r="N38" s="106">
        <v>2026</v>
      </c>
    </row>
    <row r="39" spans="1:14">
      <c r="A39" s="106">
        <v>38</v>
      </c>
      <c r="B39" s="106" t="s">
        <v>42</v>
      </c>
      <c r="C39" s="106" t="s">
        <v>50</v>
      </c>
      <c r="D39" s="106" t="s">
        <v>60</v>
      </c>
      <c r="E39" s="125" t="s">
        <v>70</v>
      </c>
      <c r="G39" s="106" t="s">
        <v>116</v>
      </c>
      <c r="H39" s="139" t="s">
        <v>269</v>
      </c>
      <c r="I39" s="140">
        <v>2286</v>
      </c>
      <c r="J39" s="106" t="s">
        <v>622</v>
      </c>
      <c r="K39" s="109">
        <v>46079</v>
      </c>
      <c r="L39" s="106">
        <v>2026400684</v>
      </c>
      <c r="M39" s="112" t="s">
        <v>202</v>
      </c>
      <c r="N39" s="106">
        <v>2026</v>
      </c>
    </row>
    <row r="40" spans="1:14">
      <c r="A40" s="106">
        <v>39</v>
      </c>
      <c r="B40" s="106" t="s">
        <v>42</v>
      </c>
      <c r="C40" s="106" t="s">
        <v>47</v>
      </c>
      <c r="D40" s="106" t="s">
        <v>60</v>
      </c>
      <c r="E40" s="125" t="s">
        <v>70</v>
      </c>
      <c r="G40" s="106" t="s">
        <v>116</v>
      </c>
      <c r="H40" s="139" t="s">
        <v>269</v>
      </c>
      <c r="I40" s="140">
        <v>2749.4</v>
      </c>
      <c r="J40" s="106" t="s">
        <v>679</v>
      </c>
      <c r="K40" s="109">
        <v>46067</v>
      </c>
      <c r="L40" s="106">
        <v>2026400428</v>
      </c>
      <c r="M40" s="139" t="s">
        <v>202</v>
      </c>
      <c r="N40" s="106">
        <v>2026</v>
      </c>
    </row>
    <row r="41" spans="1:14">
      <c r="A41" s="106">
        <v>40</v>
      </c>
      <c r="B41" s="106" t="s">
        <v>42</v>
      </c>
      <c r="C41" s="106" t="s">
        <v>47</v>
      </c>
      <c r="D41" s="106" t="s">
        <v>60</v>
      </c>
      <c r="E41" s="125" t="s">
        <v>70</v>
      </c>
      <c r="G41" s="106" t="s">
        <v>116</v>
      </c>
      <c r="H41" s="139" t="s">
        <v>269</v>
      </c>
      <c r="I41" s="140">
        <v>971.6</v>
      </c>
      <c r="J41" s="106" t="s">
        <v>680</v>
      </c>
      <c r="K41" s="109">
        <v>46079</v>
      </c>
      <c r="L41" s="106">
        <v>2026400682</v>
      </c>
      <c r="M41" s="139" t="s">
        <v>202</v>
      </c>
      <c r="N41" s="106">
        <v>2026</v>
      </c>
    </row>
    <row r="42" spans="1:14">
      <c r="A42" s="106">
        <v>41</v>
      </c>
      <c r="B42" s="106" t="s">
        <v>271</v>
      </c>
      <c r="C42" s="106" t="s">
        <v>688</v>
      </c>
      <c r="D42" s="106" t="s">
        <v>60</v>
      </c>
      <c r="E42" s="125" t="s">
        <v>70</v>
      </c>
      <c r="G42" s="106" t="s">
        <v>413</v>
      </c>
      <c r="H42" s="106" t="s">
        <v>115</v>
      </c>
      <c r="I42" s="140">
        <v>1179.1946308724832</v>
      </c>
      <c r="J42" s="106" t="s">
        <v>460</v>
      </c>
      <c r="K42" s="109">
        <v>46069</v>
      </c>
      <c r="L42" s="106">
        <v>2026400789</v>
      </c>
      <c r="M42" s="112" t="s">
        <v>202</v>
      </c>
      <c r="N42" s="106">
        <v>2026</v>
      </c>
    </row>
    <row r="43" spans="1:14">
      <c r="A43" s="106">
        <v>42</v>
      </c>
      <c r="B43" s="106" t="s">
        <v>17</v>
      </c>
      <c r="C43" s="106" t="s">
        <v>22</v>
      </c>
      <c r="D43" s="106" t="s">
        <v>60</v>
      </c>
      <c r="E43" s="125" t="s">
        <v>70</v>
      </c>
      <c r="G43" s="106" t="s">
        <v>117</v>
      </c>
      <c r="H43" s="106" t="s">
        <v>115</v>
      </c>
      <c r="I43" s="140">
        <v>939.59731543624162</v>
      </c>
      <c r="J43" s="106" t="s">
        <v>467</v>
      </c>
      <c r="K43" s="109">
        <v>46071</v>
      </c>
      <c r="L43" s="106">
        <v>2026400670</v>
      </c>
      <c r="M43" s="112" t="s">
        <v>202</v>
      </c>
      <c r="N43" s="106">
        <v>2026</v>
      </c>
    </row>
    <row r="44" spans="1:14">
      <c r="A44" s="106">
        <v>43</v>
      </c>
      <c r="B44" s="106" t="s">
        <v>35</v>
      </c>
      <c r="C44" s="106" t="s">
        <v>36</v>
      </c>
      <c r="D44" s="106" t="s">
        <v>60</v>
      </c>
      <c r="E44" s="125" t="s">
        <v>70</v>
      </c>
      <c r="G44" s="106" t="s">
        <v>117</v>
      </c>
      <c r="H44" s="106" t="s">
        <v>115</v>
      </c>
      <c r="I44" s="140">
        <v>536.91275167785238</v>
      </c>
      <c r="J44" s="106" t="s">
        <v>476</v>
      </c>
      <c r="K44" s="109">
        <v>46054</v>
      </c>
      <c r="L44" s="106">
        <v>2026400404</v>
      </c>
      <c r="M44" s="112" t="s">
        <v>202</v>
      </c>
      <c r="N44" s="106">
        <v>2026</v>
      </c>
    </row>
    <row r="45" spans="1:14">
      <c r="A45" s="106">
        <v>44</v>
      </c>
      <c r="B45" s="106" t="s">
        <v>42</v>
      </c>
      <c r="C45" s="106" t="s">
        <v>50</v>
      </c>
      <c r="D45" s="106" t="s">
        <v>60</v>
      </c>
      <c r="E45" s="125" t="s">
        <v>70</v>
      </c>
      <c r="G45" s="106" t="s">
        <v>117</v>
      </c>
      <c r="H45" s="106" t="s">
        <v>115</v>
      </c>
      <c r="I45" s="140">
        <v>268.45637583892619</v>
      </c>
      <c r="J45" s="106" t="s">
        <v>484</v>
      </c>
      <c r="K45" s="109">
        <v>46065</v>
      </c>
      <c r="L45" s="106">
        <v>2026400536</v>
      </c>
      <c r="M45" s="112" t="s">
        <v>202</v>
      </c>
      <c r="N45" s="106">
        <v>2026</v>
      </c>
    </row>
    <row r="46" spans="1:14">
      <c r="A46" s="106">
        <v>45</v>
      </c>
      <c r="B46" s="106" t="s">
        <v>35</v>
      </c>
      <c r="C46" s="106" t="s">
        <v>38</v>
      </c>
      <c r="D46" s="106" t="s">
        <v>60</v>
      </c>
      <c r="E46" s="125" t="s">
        <v>70</v>
      </c>
      <c r="G46" s="106" t="s">
        <v>117</v>
      </c>
      <c r="H46" s="106" t="s">
        <v>115</v>
      </c>
      <c r="I46" s="140">
        <v>117.11409395973155</v>
      </c>
      <c r="J46" s="106" t="s">
        <v>488</v>
      </c>
      <c r="K46" s="109">
        <v>46051</v>
      </c>
      <c r="L46" s="106">
        <v>2026400385</v>
      </c>
      <c r="M46" s="112" t="s">
        <v>202</v>
      </c>
      <c r="N46" s="106">
        <v>2026</v>
      </c>
    </row>
    <row r="47" spans="1:14">
      <c r="A47" s="106">
        <v>46</v>
      </c>
      <c r="B47" s="106" t="s">
        <v>35</v>
      </c>
      <c r="C47" s="106" t="s">
        <v>37</v>
      </c>
      <c r="D47" s="106" t="s">
        <v>60</v>
      </c>
      <c r="E47" s="125" t="s">
        <v>70</v>
      </c>
      <c r="G47" s="106" t="s">
        <v>117</v>
      </c>
      <c r="H47" s="106" t="s">
        <v>115</v>
      </c>
      <c r="I47" s="140">
        <v>83.892617449664428</v>
      </c>
      <c r="J47" s="106" t="s">
        <v>490</v>
      </c>
      <c r="K47" s="109">
        <v>46054</v>
      </c>
      <c r="L47" s="106">
        <v>2026400390</v>
      </c>
      <c r="M47" s="112" t="s">
        <v>202</v>
      </c>
      <c r="N47" s="106">
        <v>2026</v>
      </c>
    </row>
    <row r="48" spans="1:14">
      <c r="A48" s="106">
        <v>47</v>
      </c>
      <c r="B48" s="106" t="s">
        <v>35</v>
      </c>
      <c r="C48" s="106" t="s">
        <v>41</v>
      </c>
      <c r="D48" s="106" t="s">
        <v>60</v>
      </c>
      <c r="E48" s="125" t="s">
        <v>70</v>
      </c>
      <c r="G48" s="106" t="s">
        <v>117</v>
      </c>
      <c r="H48" s="106" t="s">
        <v>115</v>
      </c>
      <c r="I48" s="140">
        <v>72.818791946308721</v>
      </c>
      <c r="J48" s="106" t="s">
        <v>491</v>
      </c>
      <c r="K48" s="109">
        <v>46053</v>
      </c>
      <c r="L48" s="106">
        <v>2026400386</v>
      </c>
      <c r="M48" s="112" t="s">
        <v>202</v>
      </c>
      <c r="N48" s="106">
        <v>2026</v>
      </c>
    </row>
    <row r="49" spans="1:14">
      <c r="A49" s="106">
        <v>48</v>
      </c>
      <c r="B49" s="106" t="s">
        <v>42</v>
      </c>
      <c r="C49" s="106" t="s">
        <v>44</v>
      </c>
      <c r="D49" s="106" t="s">
        <v>60</v>
      </c>
      <c r="E49" s="125" t="s">
        <v>70</v>
      </c>
      <c r="G49" s="106" t="s">
        <v>117</v>
      </c>
      <c r="H49" s="106" t="s">
        <v>115</v>
      </c>
      <c r="I49" s="140">
        <v>53.691275167785236</v>
      </c>
      <c r="J49" s="106" t="s">
        <v>492</v>
      </c>
      <c r="K49" s="109">
        <v>46060</v>
      </c>
      <c r="L49" s="106">
        <v>2026400484</v>
      </c>
      <c r="M49" s="112" t="s">
        <v>202</v>
      </c>
      <c r="N49" s="106">
        <v>2026</v>
      </c>
    </row>
    <row r="50" spans="1:14">
      <c r="A50" s="106">
        <v>49</v>
      </c>
      <c r="B50" s="106" t="s">
        <v>35</v>
      </c>
      <c r="C50" s="106" t="s">
        <v>38</v>
      </c>
      <c r="D50" s="106" t="s">
        <v>60</v>
      </c>
      <c r="E50" s="125" t="s">
        <v>70</v>
      </c>
      <c r="G50" s="106" t="s">
        <v>117</v>
      </c>
      <c r="H50" s="106" t="s">
        <v>115</v>
      </c>
      <c r="I50" s="140">
        <v>34.899328859060404</v>
      </c>
      <c r="J50" s="106" t="s">
        <v>493</v>
      </c>
      <c r="K50" s="109">
        <v>46063</v>
      </c>
      <c r="L50" s="106">
        <v>2026400526</v>
      </c>
      <c r="M50" s="112" t="s">
        <v>202</v>
      </c>
      <c r="N50" s="106">
        <v>2026</v>
      </c>
    </row>
    <row r="51" spans="1:14">
      <c r="A51" s="106">
        <v>50</v>
      </c>
      <c r="B51" s="106" t="s">
        <v>35</v>
      </c>
      <c r="C51" s="106" t="s">
        <v>38</v>
      </c>
      <c r="D51" s="106" t="s">
        <v>60</v>
      </c>
      <c r="E51" s="125" t="s">
        <v>70</v>
      </c>
      <c r="G51" s="106" t="s">
        <v>117</v>
      </c>
      <c r="H51" s="106" t="s">
        <v>115</v>
      </c>
      <c r="I51" s="140">
        <v>32.214765100671144</v>
      </c>
      <c r="J51" s="106" t="s">
        <v>494</v>
      </c>
      <c r="K51" s="109">
        <v>46053</v>
      </c>
      <c r="L51" s="106">
        <v>2026400389</v>
      </c>
      <c r="M51" s="112" t="s">
        <v>202</v>
      </c>
      <c r="N51" s="106">
        <v>2026</v>
      </c>
    </row>
    <row r="52" spans="1:14">
      <c r="A52" s="106">
        <v>51</v>
      </c>
      <c r="B52" s="106" t="s">
        <v>17</v>
      </c>
      <c r="C52" s="106" t="s">
        <v>388</v>
      </c>
      <c r="D52" s="106" t="s">
        <v>60</v>
      </c>
      <c r="E52" s="125" t="s">
        <v>70</v>
      </c>
      <c r="G52" s="106" t="s">
        <v>262</v>
      </c>
      <c r="H52" s="106" t="s">
        <v>243</v>
      </c>
      <c r="I52" s="140">
        <v>11220.469798657718</v>
      </c>
      <c r="J52" s="106" t="s">
        <v>423</v>
      </c>
      <c r="K52" s="109">
        <v>46065</v>
      </c>
      <c r="L52" s="106">
        <v>2026400642</v>
      </c>
      <c r="M52" s="112" t="s">
        <v>202</v>
      </c>
      <c r="N52" s="106">
        <v>2026</v>
      </c>
    </row>
    <row r="53" spans="1:14">
      <c r="A53" s="106">
        <v>52</v>
      </c>
      <c r="B53" s="106" t="s">
        <v>54</v>
      </c>
      <c r="C53" s="106" t="s">
        <v>55</v>
      </c>
      <c r="D53" s="106" t="s">
        <v>60</v>
      </c>
      <c r="E53" s="125" t="s">
        <v>70</v>
      </c>
      <c r="G53" s="106" t="s">
        <v>262</v>
      </c>
      <c r="H53" s="106" t="s">
        <v>115</v>
      </c>
      <c r="I53" s="140">
        <v>1073.8255033557048</v>
      </c>
      <c r="J53" s="106" t="s">
        <v>462</v>
      </c>
      <c r="K53" s="109">
        <v>46074</v>
      </c>
      <c r="L53" s="106">
        <v>2026400727</v>
      </c>
      <c r="M53" s="112" t="s">
        <v>202</v>
      </c>
      <c r="N53" s="106">
        <v>2026</v>
      </c>
    </row>
    <row r="54" spans="1:14">
      <c r="A54" s="106">
        <v>53</v>
      </c>
      <c r="B54" s="106" t="s">
        <v>35</v>
      </c>
      <c r="C54" s="106" t="s">
        <v>37</v>
      </c>
      <c r="D54" s="106" t="s">
        <v>60</v>
      </c>
      <c r="E54" s="125" t="s">
        <v>70</v>
      </c>
      <c r="G54" s="106" t="s">
        <v>404</v>
      </c>
      <c r="H54" s="122" t="s">
        <v>269</v>
      </c>
      <c r="I54" s="140">
        <v>2912.7516778523491</v>
      </c>
      <c r="J54" s="106" t="s">
        <v>437</v>
      </c>
      <c r="K54" s="109">
        <v>46076</v>
      </c>
      <c r="L54" s="106">
        <v>2026400909</v>
      </c>
      <c r="M54" s="112" t="s">
        <v>202</v>
      </c>
      <c r="N54" s="106">
        <v>2026</v>
      </c>
    </row>
    <row r="55" spans="1:14">
      <c r="A55" s="106">
        <v>54</v>
      </c>
      <c r="B55" s="106" t="s">
        <v>42</v>
      </c>
      <c r="C55" s="106" t="s">
        <v>50</v>
      </c>
      <c r="D55" s="106" t="s">
        <v>60</v>
      </c>
      <c r="E55" s="125" t="s">
        <v>70</v>
      </c>
      <c r="G55" s="106" t="s">
        <v>414</v>
      </c>
      <c r="H55" s="106" t="s">
        <v>115</v>
      </c>
      <c r="I55" s="140">
        <v>1006.7114093959732</v>
      </c>
      <c r="J55" s="106" t="s">
        <v>464</v>
      </c>
      <c r="K55" s="109">
        <v>46075</v>
      </c>
      <c r="L55" s="106">
        <v>2026400662</v>
      </c>
      <c r="M55" s="112" t="s">
        <v>202</v>
      </c>
      <c r="N55" s="106">
        <v>2026</v>
      </c>
    </row>
    <row r="56" spans="1:14">
      <c r="A56" s="106">
        <v>55</v>
      </c>
      <c r="B56" s="106" t="s">
        <v>54</v>
      </c>
      <c r="C56" s="106" t="s">
        <v>55</v>
      </c>
      <c r="D56" s="106" t="s">
        <v>60</v>
      </c>
      <c r="E56" s="106" t="s">
        <v>70</v>
      </c>
      <c r="G56" s="106" t="s">
        <v>402</v>
      </c>
      <c r="H56" s="122" t="s">
        <v>114</v>
      </c>
      <c r="I56" s="140">
        <v>14093.959731543624</v>
      </c>
      <c r="J56" s="106" t="s">
        <v>420</v>
      </c>
      <c r="K56" s="109">
        <v>46055</v>
      </c>
      <c r="L56" s="106">
        <v>2026400593</v>
      </c>
      <c r="M56" s="112" t="s">
        <v>202</v>
      </c>
      <c r="N56" s="106">
        <v>2026</v>
      </c>
    </row>
    <row r="57" spans="1:14">
      <c r="A57" s="106">
        <v>56</v>
      </c>
      <c r="B57" s="106" t="s">
        <v>54</v>
      </c>
      <c r="C57" s="106" t="s">
        <v>55</v>
      </c>
      <c r="D57" s="106" t="s">
        <v>60</v>
      </c>
      <c r="E57" s="125" t="s">
        <v>70</v>
      </c>
      <c r="G57" s="106" t="s">
        <v>231</v>
      </c>
      <c r="H57" s="139" t="s">
        <v>234</v>
      </c>
      <c r="I57" s="140">
        <v>7014.7651006711412</v>
      </c>
      <c r="J57" s="106" t="s">
        <v>425</v>
      </c>
      <c r="K57" s="126">
        <v>46063</v>
      </c>
      <c r="L57" s="106">
        <v>2026400590</v>
      </c>
      <c r="M57" s="112" t="s">
        <v>202</v>
      </c>
      <c r="N57" s="106">
        <v>2026</v>
      </c>
    </row>
    <row r="58" spans="1:14">
      <c r="A58" s="106">
        <v>57</v>
      </c>
      <c r="B58" s="106" t="s">
        <v>54</v>
      </c>
      <c r="C58" s="106" t="s">
        <v>55</v>
      </c>
      <c r="D58" s="106" t="s">
        <v>60</v>
      </c>
      <c r="E58" s="106" t="s">
        <v>70</v>
      </c>
      <c r="G58" s="106" t="s">
        <v>231</v>
      </c>
      <c r="H58" s="139" t="s">
        <v>234</v>
      </c>
      <c r="I58" s="140">
        <v>5444.2953020134228</v>
      </c>
      <c r="J58" s="106" t="s">
        <v>427</v>
      </c>
      <c r="K58" s="109">
        <v>46054</v>
      </c>
      <c r="L58" s="106">
        <v>2026400444</v>
      </c>
      <c r="M58" s="112" t="s">
        <v>202</v>
      </c>
      <c r="N58" s="106">
        <v>2026</v>
      </c>
    </row>
    <row r="59" spans="1:14">
      <c r="A59" s="106">
        <v>58</v>
      </c>
      <c r="B59" s="106" t="s">
        <v>52</v>
      </c>
      <c r="C59" s="106" t="s">
        <v>62</v>
      </c>
      <c r="D59" s="106" t="s">
        <v>60</v>
      </c>
      <c r="E59" s="125" t="s">
        <v>70</v>
      </c>
      <c r="G59" s="106" t="s">
        <v>231</v>
      </c>
      <c r="H59" s="139" t="s">
        <v>234</v>
      </c>
      <c r="I59" s="140">
        <v>5444.2953020134228</v>
      </c>
      <c r="J59" s="106" t="s">
        <v>428</v>
      </c>
      <c r="K59" s="109">
        <v>46068</v>
      </c>
      <c r="L59" s="106">
        <v>2026400504</v>
      </c>
      <c r="M59" s="112" t="s">
        <v>202</v>
      </c>
      <c r="N59" s="106">
        <v>2026</v>
      </c>
    </row>
    <row r="60" spans="1:14">
      <c r="A60" s="106">
        <v>59</v>
      </c>
      <c r="B60" s="106" t="s">
        <v>17</v>
      </c>
      <c r="C60" s="106" t="s">
        <v>25</v>
      </c>
      <c r="D60" s="106" t="s">
        <v>60</v>
      </c>
      <c r="E60" s="125" t="s">
        <v>70</v>
      </c>
      <c r="G60" s="106" t="s">
        <v>231</v>
      </c>
      <c r="H60" s="139" t="s">
        <v>234</v>
      </c>
      <c r="I60" s="140">
        <v>3926.1744966442952</v>
      </c>
      <c r="J60" s="106" t="s">
        <v>432</v>
      </c>
      <c r="K60" s="109">
        <v>46050</v>
      </c>
      <c r="L60" s="106">
        <v>2026400507</v>
      </c>
      <c r="M60" s="112" t="s">
        <v>202</v>
      </c>
      <c r="N60" s="106">
        <v>2026</v>
      </c>
    </row>
    <row r="61" spans="1:14">
      <c r="A61" s="106">
        <v>60</v>
      </c>
      <c r="B61" s="106" t="s">
        <v>42</v>
      </c>
      <c r="C61" s="106" t="s">
        <v>50</v>
      </c>
      <c r="D61" s="106" t="s">
        <v>60</v>
      </c>
      <c r="E61" s="125" t="s">
        <v>70</v>
      </c>
      <c r="G61" s="106" t="s">
        <v>231</v>
      </c>
      <c r="H61" s="139" t="s">
        <v>234</v>
      </c>
      <c r="I61" s="140">
        <v>3926.1744966442952</v>
      </c>
      <c r="J61" s="106" t="s">
        <v>433</v>
      </c>
      <c r="K61" s="109">
        <v>46068</v>
      </c>
      <c r="L61" s="106">
        <v>2026400600</v>
      </c>
      <c r="M61" s="112" t="s">
        <v>202</v>
      </c>
      <c r="N61" s="106">
        <v>2026</v>
      </c>
    </row>
    <row r="62" spans="1:14">
      <c r="A62" s="106">
        <v>61</v>
      </c>
      <c r="B62" s="106" t="s">
        <v>42</v>
      </c>
      <c r="C62" s="106" t="s">
        <v>48</v>
      </c>
      <c r="D62" s="106" t="s">
        <v>60</v>
      </c>
      <c r="E62" s="125" t="s">
        <v>70</v>
      </c>
      <c r="G62" s="106" t="s">
        <v>229</v>
      </c>
      <c r="H62" s="139" t="s">
        <v>235</v>
      </c>
      <c r="I62" s="140">
        <v>1006.7114093959732</v>
      </c>
      <c r="J62" s="106" t="s">
        <v>465</v>
      </c>
      <c r="K62" s="109">
        <v>46076</v>
      </c>
      <c r="L62" s="106">
        <v>2026400683</v>
      </c>
      <c r="M62" s="112" t="s">
        <v>202</v>
      </c>
      <c r="N62" s="106">
        <v>2026</v>
      </c>
    </row>
    <row r="63" spans="1:14">
      <c r="A63" s="106">
        <v>62</v>
      </c>
      <c r="B63" s="106" t="s">
        <v>17</v>
      </c>
      <c r="C63" s="106" t="s">
        <v>687</v>
      </c>
      <c r="D63" s="106" t="s">
        <v>60</v>
      </c>
      <c r="E63" s="125" t="s">
        <v>70</v>
      </c>
      <c r="G63" s="106" t="s">
        <v>229</v>
      </c>
      <c r="H63" s="139" t="s">
        <v>235</v>
      </c>
      <c r="I63" s="140">
        <v>724.83221476510062</v>
      </c>
      <c r="J63" s="106" t="s">
        <v>472</v>
      </c>
      <c r="K63" s="109">
        <v>46057</v>
      </c>
      <c r="L63" s="106">
        <v>2026400477</v>
      </c>
      <c r="M63" s="112" t="s">
        <v>202</v>
      </c>
      <c r="N63" s="106">
        <v>2026</v>
      </c>
    </row>
    <row r="64" spans="1:14">
      <c r="A64" s="106">
        <v>63</v>
      </c>
      <c r="B64" s="106" t="s">
        <v>17</v>
      </c>
      <c r="C64" s="106" t="s">
        <v>22</v>
      </c>
      <c r="D64" s="106" t="s">
        <v>60</v>
      </c>
      <c r="E64" s="125" t="s">
        <v>70</v>
      </c>
      <c r="G64" s="106" t="s">
        <v>229</v>
      </c>
      <c r="H64" s="139" t="s">
        <v>235</v>
      </c>
      <c r="I64" s="140">
        <v>604.02684563758385</v>
      </c>
      <c r="J64" s="106" t="s">
        <v>475</v>
      </c>
      <c r="K64" s="109">
        <v>46055</v>
      </c>
      <c r="L64" s="106">
        <v>2026400414</v>
      </c>
      <c r="M64" s="112" t="s">
        <v>202</v>
      </c>
      <c r="N64" s="106">
        <v>2026</v>
      </c>
    </row>
    <row r="65" spans="1:14">
      <c r="A65" s="106">
        <v>64</v>
      </c>
      <c r="B65" s="106" t="s">
        <v>42</v>
      </c>
      <c r="C65" s="106" t="s">
        <v>48</v>
      </c>
      <c r="D65" s="106" t="s">
        <v>60</v>
      </c>
      <c r="E65" s="125" t="s">
        <v>70</v>
      </c>
      <c r="G65" s="106" t="s">
        <v>229</v>
      </c>
      <c r="H65" s="139" t="s">
        <v>235</v>
      </c>
      <c r="I65" s="140">
        <v>372.48322147651004</v>
      </c>
      <c r="J65" s="106" t="s">
        <v>480</v>
      </c>
      <c r="K65" s="109">
        <v>46072</v>
      </c>
      <c r="L65" s="106">
        <v>2026400672</v>
      </c>
      <c r="M65" s="112" t="s">
        <v>202</v>
      </c>
      <c r="N65" s="106">
        <v>2026</v>
      </c>
    </row>
    <row r="66" spans="1:14">
      <c r="A66" s="106">
        <v>65</v>
      </c>
      <c r="B66" s="106" t="s">
        <v>52</v>
      </c>
      <c r="C66" s="106" t="s">
        <v>62</v>
      </c>
      <c r="D66" s="106" t="s">
        <v>60</v>
      </c>
      <c r="E66" s="106" t="s">
        <v>70</v>
      </c>
      <c r="G66" s="106" t="s">
        <v>229</v>
      </c>
      <c r="H66" s="139" t="s">
        <v>235</v>
      </c>
      <c r="I66" s="140">
        <v>328.85906040268458</v>
      </c>
      <c r="J66" s="106" t="s">
        <v>482</v>
      </c>
      <c r="K66" s="109">
        <v>46048</v>
      </c>
      <c r="L66" s="106">
        <v>2026400722</v>
      </c>
      <c r="M66" s="112" t="s">
        <v>202</v>
      </c>
      <c r="N66" s="106">
        <v>2026</v>
      </c>
    </row>
    <row r="67" spans="1:14">
      <c r="A67" s="106">
        <v>66</v>
      </c>
      <c r="B67" s="106" t="s">
        <v>42</v>
      </c>
      <c r="C67" s="106" t="s">
        <v>50</v>
      </c>
      <c r="D67" s="106" t="s">
        <v>60</v>
      </c>
      <c r="E67" s="125" t="s">
        <v>70</v>
      </c>
      <c r="G67" s="106" t="s">
        <v>410</v>
      </c>
      <c r="H67" s="122" t="s">
        <v>234</v>
      </c>
      <c r="I67" s="140">
        <v>1385.234899328859</v>
      </c>
      <c r="J67" s="106" t="s">
        <v>455</v>
      </c>
      <c r="K67" s="109">
        <v>46078</v>
      </c>
      <c r="L67" s="106">
        <v>2026400946</v>
      </c>
      <c r="M67" s="112" t="s">
        <v>202</v>
      </c>
      <c r="N67" s="106">
        <v>2026</v>
      </c>
    </row>
    <row r="68" spans="1:14">
      <c r="A68" s="106">
        <v>67</v>
      </c>
      <c r="B68" s="106" t="s">
        <v>42</v>
      </c>
      <c r="C68" s="106" t="s">
        <v>50</v>
      </c>
      <c r="D68" s="106" t="s">
        <v>60</v>
      </c>
      <c r="E68" s="125" t="s">
        <v>70</v>
      </c>
      <c r="G68" s="106" t="s">
        <v>410</v>
      </c>
      <c r="H68" s="122" t="s">
        <v>235</v>
      </c>
      <c r="I68" s="140">
        <v>1348.9932885906039</v>
      </c>
      <c r="J68" s="106" t="s">
        <v>456</v>
      </c>
      <c r="K68" s="109">
        <v>46078</v>
      </c>
      <c r="L68" s="106">
        <v>2026400945</v>
      </c>
      <c r="M68" s="112" t="s">
        <v>202</v>
      </c>
      <c r="N68" s="106">
        <v>2026</v>
      </c>
    </row>
    <row r="69" spans="1:14">
      <c r="A69" s="106">
        <v>68</v>
      </c>
      <c r="B69" s="106" t="s">
        <v>54</v>
      </c>
      <c r="C69" s="106" t="s">
        <v>55</v>
      </c>
      <c r="D69" s="106" t="s">
        <v>60</v>
      </c>
      <c r="E69" s="125" t="s">
        <v>70</v>
      </c>
      <c r="G69" s="106" t="s">
        <v>409</v>
      </c>
      <c r="H69" s="106" t="s">
        <v>115</v>
      </c>
      <c r="I69" s="140">
        <v>1667.7852348993288</v>
      </c>
      <c r="J69" s="106" t="s">
        <v>452</v>
      </c>
      <c r="K69" s="109">
        <v>46061</v>
      </c>
      <c r="L69" s="106">
        <v>2026400376</v>
      </c>
      <c r="M69" s="112" t="s">
        <v>202</v>
      </c>
      <c r="N69" s="106">
        <v>2026</v>
      </c>
    </row>
    <row r="70" spans="1:14">
      <c r="A70" s="106">
        <v>69</v>
      </c>
      <c r="B70" s="106" t="s">
        <v>54</v>
      </c>
      <c r="C70" s="106" t="s">
        <v>93</v>
      </c>
      <c r="D70" s="106" t="s">
        <v>60</v>
      </c>
      <c r="E70" s="125" t="s">
        <v>70</v>
      </c>
      <c r="G70" s="106" t="s">
        <v>260</v>
      </c>
      <c r="H70" s="106" t="s">
        <v>115</v>
      </c>
      <c r="I70" s="140">
        <v>3020.1342281879197</v>
      </c>
      <c r="J70" s="106" t="s">
        <v>436</v>
      </c>
      <c r="K70" s="109">
        <v>46068</v>
      </c>
      <c r="L70" s="106">
        <v>2026400527</v>
      </c>
      <c r="M70" s="112" t="s">
        <v>202</v>
      </c>
      <c r="N70" s="106">
        <v>2026</v>
      </c>
    </row>
    <row r="71" spans="1:14">
      <c r="A71" s="106">
        <v>70</v>
      </c>
      <c r="B71" s="106" t="s">
        <v>17</v>
      </c>
      <c r="C71" s="106" t="s">
        <v>25</v>
      </c>
      <c r="D71" s="106" t="s">
        <v>60</v>
      </c>
      <c r="E71" s="125" t="s">
        <v>70</v>
      </c>
      <c r="G71" s="106" t="s">
        <v>260</v>
      </c>
      <c r="H71" s="106" t="s">
        <v>115</v>
      </c>
      <c r="I71" s="140">
        <v>2416.1073825503354</v>
      </c>
      <c r="J71" s="106" t="s">
        <v>442</v>
      </c>
      <c r="K71" s="109">
        <v>46051</v>
      </c>
      <c r="L71" s="106">
        <v>2026400351</v>
      </c>
      <c r="M71" s="112" t="s">
        <v>202</v>
      </c>
      <c r="N71" s="106">
        <v>2026</v>
      </c>
    </row>
    <row r="72" spans="1:14">
      <c r="A72" s="106">
        <v>71</v>
      </c>
      <c r="B72" s="125" t="s">
        <v>42</v>
      </c>
      <c r="C72" s="125" t="s">
        <v>72</v>
      </c>
      <c r="D72" s="106" t="s">
        <v>60</v>
      </c>
      <c r="E72" s="106" t="s">
        <v>70</v>
      </c>
      <c r="G72" s="106" t="s">
        <v>118</v>
      </c>
      <c r="H72" s="106" t="s">
        <v>115</v>
      </c>
      <c r="I72" s="140">
        <v>884</v>
      </c>
      <c r="J72" s="106" t="s">
        <v>568</v>
      </c>
      <c r="K72" s="109">
        <v>46069</v>
      </c>
      <c r="L72" s="106">
        <v>2026400539</v>
      </c>
      <c r="M72" s="112" t="s">
        <v>202</v>
      </c>
      <c r="N72" s="106">
        <v>2026</v>
      </c>
    </row>
    <row r="73" spans="1:14">
      <c r="A73" s="106">
        <v>72</v>
      </c>
      <c r="B73" s="106" t="s">
        <v>42</v>
      </c>
      <c r="C73" s="106" t="s">
        <v>50</v>
      </c>
      <c r="D73" s="106" t="s">
        <v>60</v>
      </c>
      <c r="E73" s="125" t="s">
        <v>70</v>
      </c>
      <c r="G73" s="106" t="s">
        <v>407</v>
      </c>
      <c r="H73" s="106" t="s">
        <v>115</v>
      </c>
      <c r="I73" s="140">
        <v>2302.0134228187922</v>
      </c>
      <c r="J73" s="106" t="s">
        <v>443</v>
      </c>
      <c r="K73" s="109">
        <v>46074</v>
      </c>
      <c r="L73" s="106">
        <v>2026400645</v>
      </c>
      <c r="M73" s="112" t="s">
        <v>202</v>
      </c>
      <c r="N73" s="106">
        <v>2026</v>
      </c>
    </row>
    <row r="74" spans="1:14">
      <c r="A74" s="106">
        <v>73</v>
      </c>
      <c r="B74" s="106" t="s">
        <v>42</v>
      </c>
      <c r="C74" s="106" t="s">
        <v>50</v>
      </c>
      <c r="D74" s="106" t="s">
        <v>60</v>
      </c>
      <c r="E74" s="125" t="s">
        <v>70</v>
      </c>
      <c r="G74" s="106" t="s">
        <v>119</v>
      </c>
      <c r="H74" s="106" t="s">
        <v>115</v>
      </c>
      <c r="I74" s="140">
        <v>3092.54</v>
      </c>
      <c r="J74" s="106" t="s">
        <v>660</v>
      </c>
      <c r="K74" s="109">
        <v>46073</v>
      </c>
      <c r="L74" s="106">
        <v>2026400741</v>
      </c>
      <c r="M74" s="112" t="s">
        <v>202</v>
      </c>
      <c r="N74" s="106">
        <v>2026</v>
      </c>
    </row>
    <row r="75" spans="1:14">
      <c r="A75" s="106">
        <v>74</v>
      </c>
      <c r="B75" s="106" t="s">
        <v>42</v>
      </c>
      <c r="C75" s="106" t="s">
        <v>50</v>
      </c>
      <c r="D75" s="106" t="s">
        <v>60</v>
      </c>
      <c r="E75" s="125" t="s">
        <v>70</v>
      </c>
      <c r="G75" s="106" t="s">
        <v>119</v>
      </c>
      <c r="H75" s="106" t="s">
        <v>115</v>
      </c>
      <c r="I75" s="140">
        <v>92.25</v>
      </c>
      <c r="J75" s="106" t="s">
        <v>661</v>
      </c>
      <c r="K75" s="109">
        <v>46078</v>
      </c>
      <c r="L75" s="106">
        <v>2026400772</v>
      </c>
      <c r="M75" s="112" t="s">
        <v>202</v>
      </c>
      <c r="N75" s="106">
        <v>2026</v>
      </c>
    </row>
    <row r="76" spans="1:14">
      <c r="A76" s="106">
        <v>75</v>
      </c>
      <c r="B76" s="106" t="s">
        <v>35</v>
      </c>
      <c r="C76" s="106" t="s">
        <v>37</v>
      </c>
      <c r="D76" s="106" t="s">
        <v>60</v>
      </c>
      <c r="E76" s="125" t="s">
        <v>70</v>
      </c>
      <c r="G76" s="106" t="s">
        <v>119</v>
      </c>
      <c r="H76" s="106" t="s">
        <v>115</v>
      </c>
      <c r="I76" s="140">
        <v>42.47</v>
      </c>
      <c r="J76" s="106" t="s">
        <v>662</v>
      </c>
      <c r="K76" s="109">
        <v>46075</v>
      </c>
      <c r="L76" s="106">
        <v>2026400774</v>
      </c>
      <c r="M76" s="112" t="s">
        <v>202</v>
      </c>
      <c r="N76" s="106">
        <v>2026</v>
      </c>
    </row>
    <row r="77" spans="1:14">
      <c r="A77" s="106">
        <v>76</v>
      </c>
      <c r="B77" s="106" t="s">
        <v>42</v>
      </c>
      <c r="C77" s="106" t="s">
        <v>51</v>
      </c>
      <c r="D77" s="106" t="s">
        <v>60</v>
      </c>
      <c r="E77" s="125" t="s">
        <v>70</v>
      </c>
      <c r="G77" s="106" t="s">
        <v>119</v>
      </c>
      <c r="H77" s="106" t="s">
        <v>115</v>
      </c>
      <c r="I77" s="140">
        <v>262.14</v>
      </c>
      <c r="J77" s="106" t="s">
        <v>663</v>
      </c>
      <c r="K77" s="109">
        <v>46073</v>
      </c>
      <c r="L77" s="106">
        <v>2026400805</v>
      </c>
      <c r="M77" s="112" t="s">
        <v>202</v>
      </c>
      <c r="N77" s="106">
        <v>2026</v>
      </c>
    </row>
    <row r="78" spans="1:14">
      <c r="A78" s="106">
        <v>77</v>
      </c>
      <c r="B78" s="106" t="s">
        <v>42</v>
      </c>
      <c r="C78" s="106" t="s">
        <v>47</v>
      </c>
      <c r="D78" s="106" t="s">
        <v>60</v>
      </c>
      <c r="E78" s="125" t="s">
        <v>70</v>
      </c>
      <c r="G78" s="106" t="s">
        <v>119</v>
      </c>
      <c r="H78" s="106" t="s">
        <v>115</v>
      </c>
      <c r="I78" s="140">
        <v>166.14</v>
      </c>
      <c r="J78" s="106" t="s">
        <v>664</v>
      </c>
      <c r="K78" s="109">
        <v>46073</v>
      </c>
      <c r="L78" s="106">
        <v>2026400807</v>
      </c>
      <c r="M78" s="112" t="s">
        <v>202</v>
      </c>
      <c r="N78" s="106">
        <v>2026</v>
      </c>
    </row>
    <row r="79" spans="1:14">
      <c r="A79" s="106">
        <v>78</v>
      </c>
      <c r="B79" s="106" t="s">
        <v>54</v>
      </c>
      <c r="C79" s="106" t="s">
        <v>93</v>
      </c>
      <c r="D79" s="106" t="s">
        <v>60</v>
      </c>
      <c r="E79" s="125" t="s">
        <v>70</v>
      </c>
      <c r="G79" s="106" t="s">
        <v>119</v>
      </c>
      <c r="H79" s="106" t="s">
        <v>115</v>
      </c>
      <c r="I79" s="140">
        <v>830.7</v>
      </c>
      <c r="J79" s="106" t="s">
        <v>665</v>
      </c>
      <c r="K79" s="109">
        <v>46073</v>
      </c>
      <c r="L79" s="106">
        <v>2026400810</v>
      </c>
      <c r="M79" s="112" t="s">
        <v>202</v>
      </c>
      <c r="N79" s="106">
        <v>2026</v>
      </c>
    </row>
    <row r="80" spans="1:14">
      <c r="A80" s="106">
        <v>79</v>
      </c>
      <c r="B80" s="106" t="s">
        <v>54</v>
      </c>
      <c r="C80" s="106" t="s">
        <v>93</v>
      </c>
      <c r="D80" s="106" t="s">
        <v>60</v>
      </c>
      <c r="E80" s="125" t="s">
        <v>70</v>
      </c>
      <c r="G80" s="106" t="s">
        <v>119</v>
      </c>
      <c r="H80" s="106" t="s">
        <v>115</v>
      </c>
      <c r="I80" s="140">
        <v>64.599999999999994</v>
      </c>
      <c r="J80" s="106" t="s">
        <v>666</v>
      </c>
      <c r="K80" s="109">
        <v>46073</v>
      </c>
      <c r="L80" s="106">
        <v>2026400812</v>
      </c>
      <c r="M80" s="112" t="s">
        <v>202</v>
      </c>
      <c r="N80" s="106">
        <v>2026</v>
      </c>
    </row>
    <row r="81" spans="1:14">
      <c r="A81" s="106">
        <v>80</v>
      </c>
      <c r="B81" s="106" t="s">
        <v>17</v>
      </c>
      <c r="C81" s="106" t="s">
        <v>265</v>
      </c>
      <c r="D81" s="106" t="s">
        <v>60</v>
      </c>
      <c r="E81" s="125" t="s">
        <v>70</v>
      </c>
      <c r="G81" s="106" t="s">
        <v>119</v>
      </c>
      <c r="H81" s="106" t="s">
        <v>115</v>
      </c>
      <c r="I81" s="140">
        <v>461.54</v>
      </c>
      <c r="J81" s="106" t="s">
        <v>667</v>
      </c>
      <c r="K81" s="109">
        <v>46073</v>
      </c>
      <c r="L81" s="106">
        <v>2026400819</v>
      </c>
      <c r="M81" s="112" t="s">
        <v>202</v>
      </c>
      <c r="N81" s="106">
        <v>2026</v>
      </c>
    </row>
    <row r="82" spans="1:14">
      <c r="A82" s="106">
        <v>81</v>
      </c>
      <c r="B82" s="106" t="s">
        <v>17</v>
      </c>
      <c r="C82" s="106" t="s">
        <v>22</v>
      </c>
      <c r="D82" s="106" t="s">
        <v>60</v>
      </c>
      <c r="E82" s="125" t="s">
        <v>70</v>
      </c>
      <c r="G82" s="106" t="s">
        <v>119</v>
      </c>
      <c r="H82" s="106" t="s">
        <v>115</v>
      </c>
      <c r="I82" s="140">
        <v>64.599999999999994</v>
      </c>
      <c r="J82" s="106" t="s">
        <v>668</v>
      </c>
      <c r="K82" s="109">
        <v>46073</v>
      </c>
      <c r="L82" s="106">
        <v>2026400823</v>
      </c>
      <c r="M82" s="139" t="s">
        <v>202</v>
      </c>
      <c r="N82" s="106">
        <v>2026</v>
      </c>
    </row>
    <row r="83" spans="1:14">
      <c r="A83" s="106">
        <v>82</v>
      </c>
      <c r="B83" s="106" t="s">
        <v>42</v>
      </c>
      <c r="C83" s="106" t="s">
        <v>47</v>
      </c>
      <c r="D83" s="106" t="s">
        <v>60</v>
      </c>
      <c r="E83" s="125" t="s">
        <v>70</v>
      </c>
      <c r="G83" s="106" t="s">
        <v>119</v>
      </c>
      <c r="H83" s="106" t="s">
        <v>115</v>
      </c>
      <c r="I83" s="140">
        <v>281.26</v>
      </c>
      <c r="J83" s="106" t="s">
        <v>669</v>
      </c>
      <c r="K83" s="109">
        <v>46073</v>
      </c>
      <c r="L83" s="106">
        <v>2026400800</v>
      </c>
      <c r="M83" s="139" t="s">
        <v>202</v>
      </c>
      <c r="N83" s="106">
        <v>2026</v>
      </c>
    </row>
    <row r="84" spans="1:14">
      <c r="A84" s="106">
        <v>83</v>
      </c>
      <c r="B84" s="106" t="s">
        <v>42</v>
      </c>
      <c r="C84" s="106" t="s">
        <v>48</v>
      </c>
      <c r="D84" s="106" t="s">
        <v>60</v>
      </c>
      <c r="E84" s="125" t="s">
        <v>70</v>
      </c>
      <c r="G84" s="106" t="s">
        <v>119</v>
      </c>
      <c r="H84" s="106" t="s">
        <v>115</v>
      </c>
      <c r="I84" s="140">
        <v>646.20000000000005</v>
      </c>
      <c r="J84" s="106" t="s">
        <v>670</v>
      </c>
      <c r="K84" s="109">
        <v>46073</v>
      </c>
      <c r="L84" s="106">
        <v>2026400801</v>
      </c>
      <c r="M84" s="139" t="s">
        <v>202</v>
      </c>
      <c r="N84" s="106">
        <v>2026</v>
      </c>
    </row>
    <row r="85" spans="1:14">
      <c r="A85" s="106">
        <v>84</v>
      </c>
      <c r="B85" s="106" t="s">
        <v>42</v>
      </c>
      <c r="C85" s="106" t="s">
        <v>50</v>
      </c>
      <c r="D85" s="106" t="s">
        <v>60</v>
      </c>
      <c r="E85" s="125" t="s">
        <v>70</v>
      </c>
      <c r="G85" s="106" t="s">
        <v>119</v>
      </c>
      <c r="H85" s="106" t="s">
        <v>115</v>
      </c>
      <c r="I85" s="140">
        <v>1269.23</v>
      </c>
      <c r="J85" s="106" t="s">
        <v>671</v>
      </c>
      <c r="K85" s="109">
        <v>46073</v>
      </c>
      <c r="L85" s="106">
        <v>2026400802</v>
      </c>
      <c r="M85" s="139" t="s">
        <v>202</v>
      </c>
      <c r="N85" s="106">
        <v>2026</v>
      </c>
    </row>
    <row r="86" spans="1:14">
      <c r="A86" s="106">
        <v>85</v>
      </c>
      <c r="B86" s="106" t="s">
        <v>35</v>
      </c>
      <c r="C86" s="106" t="s">
        <v>36</v>
      </c>
      <c r="D86" s="106" t="s">
        <v>60</v>
      </c>
      <c r="E86" s="125" t="s">
        <v>70</v>
      </c>
      <c r="G86" s="106" t="s">
        <v>119</v>
      </c>
      <c r="H86" s="106" t="s">
        <v>115</v>
      </c>
      <c r="I86" s="140">
        <v>686.76</v>
      </c>
      <c r="J86" s="106" t="s">
        <v>672</v>
      </c>
      <c r="K86" s="109">
        <v>46073</v>
      </c>
      <c r="L86" s="106">
        <v>2026400803</v>
      </c>
      <c r="M86" s="139" t="s">
        <v>202</v>
      </c>
      <c r="N86" s="106">
        <v>2026</v>
      </c>
    </row>
    <row r="87" spans="1:14">
      <c r="A87" s="106">
        <v>86</v>
      </c>
      <c r="B87" s="106" t="s">
        <v>42</v>
      </c>
      <c r="C87" s="106" t="s">
        <v>48</v>
      </c>
      <c r="D87" s="106" t="s">
        <v>60</v>
      </c>
      <c r="E87" s="125" t="s">
        <v>70</v>
      </c>
      <c r="G87" s="106" t="s">
        <v>119</v>
      </c>
      <c r="H87" s="106" t="s">
        <v>115</v>
      </c>
      <c r="I87" s="140">
        <v>1600.2</v>
      </c>
      <c r="J87" s="106" t="s">
        <v>673</v>
      </c>
      <c r="K87" s="109">
        <v>46073</v>
      </c>
      <c r="L87" s="106">
        <v>2026400804</v>
      </c>
      <c r="M87" s="139" t="s">
        <v>202</v>
      </c>
      <c r="N87" s="106">
        <v>2026</v>
      </c>
    </row>
    <row r="88" spans="1:14">
      <c r="A88" s="106">
        <v>87</v>
      </c>
      <c r="B88" s="106" t="s">
        <v>54</v>
      </c>
      <c r="C88" s="106" t="s">
        <v>55</v>
      </c>
      <c r="D88" s="106" t="s">
        <v>60</v>
      </c>
      <c r="E88" s="125" t="s">
        <v>70</v>
      </c>
      <c r="G88" s="106" t="s">
        <v>119</v>
      </c>
      <c r="H88" s="106" t="s">
        <v>115</v>
      </c>
      <c r="I88" s="140">
        <v>73.8</v>
      </c>
      <c r="J88" s="106" t="s">
        <v>674</v>
      </c>
      <c r="K88" s="109">
        <v>46073</v>
      </c>
      <c r="L88" s="106">
        <v>2026400808</v>
      </c>
      <c r="M88" s="139" t="s">
        <v>202</v>
      </c>
      <c r="N88" s="106">
        <v>2026</v>
      </c>
    </row>
    <row r="89" spans="1:14">
      <c r="A89" s="106">
        <v>88</v>
      </c>
      <c r="B89" s="106" t="s">
        <v>17</v>
      </c>
      <c r="C89" s="106" t="s">
        <v>22</v>
      </c>
      <c r="D89" s="106" t="s">
        <v>60</v>
      </c>
      <c r="E89" s="125" t="s">
        <v>70</v>
      </c>
      <c r="G89" s="106" t="s">
        <v>119</v>
      </c>
      <c r="H89" s="106" t="s">
        <v>115</v>
      </c>
      <c r="I89" s="140">
        <v>244.3</v>
      </c>
      <c r="J89" s="106" t="s">
        <v>675</v>
      </c>
      <c r="K89" s="109">
        <v>46073</v>
      </c>
      <c r="L89" s="106">
        <v>2026400813</v>
      </c>
      <c r="M89" s="139" t="s">
        <v>202</v>
      </c>
      <c r="N89" s="106">
        <v>2026</v>
      </c>
    </row>
    <row r="90" spans="1:14">
      <c r="A90" s="106">
        <v>89</v>
      </c>
      <c r="B90" s="106" t="s">
        <v>17</v>
      </c>
      <c r="C90" s="106" t="s">
        <v>265</v>
      </c>
      <c r="D90" s="106" t="s">
        <v>60</v>
      </c>
      <c r="E90" s="125" t="s">
        <v>70</v>
      </c>
      <c r="G90" s="106" t="s">
        <v>119</v>
      </c>
      <c r="H90" s="106" t="s">
        <v>115</v>
      </c>
      <c r="I90" s="140">
        <v>461.55</v>
      </c>
      <c r="J90" s="106" t="s">
        <v>676</v>
      </c>
      <c r="K90" s="109">
        <v>46073</v>
      </c>
      <c r="L90" s="106">
        <v>2026400814</v>
      </c>
      <c r="M90" s="139" t="s">
        <v>202</v>
      </c>
      <c r="N90" s="106">
        <v>2026</v>
      </c>
    </row>
    <row r="91" spans="1:14">
      <c r="A91" s="106">
        <v>90</v>
      </c>
      <c r="B91" s="106" t="s">
        <v>17</v>
      </c>
      <c r="C91" s="106" t="s">
        <v>22</v>
      </c>
      <c r="D91" s="106" t="s">
        <v>60</v>
      </c>
      <c r="E91" s="125" t="s">
        <v>70</v>
      </c>
      <c r="G91" s="106" t="s">
        <v>119</v>
      </c>
      <c r="H91" s="106" t="s">
        <v>115</v>
      </c>
      <c r="I91" s="140">
        <v>466.14</v>
      </c>
      <c r="J91" s="106" t="s">
        <v>677</v>
      </c>
      <c r="K91" s="109">
        <v>46073</v>
      </c>
      <c r="L91" s="106">
        <v>2026400815</v>
      </c>
      <c r="M91" s="139" t="s">
        <v>202</v>
      </c>
      <c r="N91" s="106">
        <v>2026</v>
      </c>
    </row>
    <row r="92" spans="1:14">
      <c r="A92" s="106">
        <v>91</v>
      </c>
      <c r="B92" s="106" t="s">
        <v>42</v>
      </c>
      <c r="C92" s="106" t="s">
        <v>50</v>
      </c>
      <c r="D92" s="106" t="s">
        <v>60</v>
      </c>
      <c r="E92" s="125" t="s">
        <v>70</v>
      </c>
      <c r="G92" s="106" t="s">
        <v>119</v>
      </c>
      <c r="H92" s="106" t="s">
        <v>115</v>
      </c>
      <c r="I92" s="140">
        <v>1210</v>
      </c>
      <c r="J92" s="106" t="s">
        <v>681</v>
      </c>
      <c r="K92" s="109">
        <v>46073</v>
      </c>
      <c r="L92" s="106">
        <v>2026400742</v>
      </c>
      <c r="M92" s="139" t="s">
        <v>202</v>
      </c>
      <c r="N92" s="106">
        <v>2026</v>
      </c>
    </row>
    <row r="93" spans="1:14">
      <c r="A93" s="106">
        <v>92</v>
      </c>
      <c r="B93" s="106" t="s">
        <v>52</v>
      </c>
      <c r="C93" s="106" t="s">
        <v>62</v>
      </c>
      <c r="D93" s="106" t="s">
        <v>60</v>
      </c>
      <c r="E93" s="125" t="s">
        <v>70</v>
      </c>
      <c r="G93" s="106" t="s">
        <v>417</v>
      </c>
      <c r="H93" s="106" t="s">
        <v>115</v>
      </c>
      <c r="I93" s="140">
        <v>8698</v>
      </c>
      <c r="J93" s="106" t="s">
        <v>508</v>
      </c>
      <c r="K93" s="109">
        <v>46061</v>
      </c>
      <c r="L93" s="106">
        <v>2026400441</v>
      </c>
      <c r="M93" s="112" t="s">
        <v>202</v>
      </c>
      <c r="N93" s="106">
        <v>2026</v>
      </c>
    </row>
    <row r="94" spans="1:14">
      <c r="A94" s="106">
        <v>93</v>
      </c>
      <c r="B94" s="106" t="s">
        <v>42</v>
      </c>
      <c r="C94" s="106" t="s">
        <v>50</v>
      </c>
      <c r="D94" s="106" t="s">
        <v>60</v>
      </c>
      <c r="E94" s="125" t="s">
        <v>70</v>
      </c>
      <c r="G94" s="106" t="s">
        <v>288</v>
      </c>
      <c r="H94" s="106" t="s">
        <v>115</v>
      </c>
      <c r="I94" s="140">
        <v>536.91275167785238</v>
      </c>
      <c r="J94" s="106" t="s">
        <v>232</v>
      </c>
      <c r="K94" s="109">
        <v>46061</v>
      </c>
      <c r="L94" s="106">
        <v>2026400378</v>
      </c>
      <c r="M94" s="112" t="s">
        <v>202</v>
      </c>
      <c r="N94" s="106">
        <v>2026</v>
      </c>
    </row>
    <row r="95" spans="1:14">
      <c r="A95" s="106">
        <v>94</v>
      </c>
      <c r="B95" s="106" t="s">
        <v>42</v>
      </c>
      <c r="C95" s="106" t="s">
        <v>50</v>
      </c>
      <c r="D95" s="106" t="s">
        <v>60</v>
      </c>
      <c r="E95" s="125" t="s">
        <v>70</v>
      </c>
      <c r="G95" s="106" t="s">
        <v>288</v>
      </c>
      <c r="H95" s="106" t="s">
        <v>115</v>
      </c>
      <c r="I95" s="140">
        <v>536.91275167785238</v>
      </c>
      <c r="J95" s="106" t="s">
        <v>477</v>
      </c>
      <c r="K95" s="109">
        <v>46081</v>
      </c>
      <c r="L95" s="106">
        <v>2026400601</v>
      </c>
      <c r="M95" s="112" t="s">
        <v>202</v>
      </c>
      <c r="N95" s="106">
        <v>2026</v>
      </c>
    </row>
    <row r="96" spans="1:14">
      <c r="A96" s="106">
        <v>95</v>
      </c>
      <c r="B96" s="106" t="s">
        <v>54</v>
      </c>
      <c r="C96" s="106" t="s">
        <v>55</v>
      </c>
      <c r="D96" s="106" t="s">
        <v>60</v>
      </c>
      <c r="E96" s="125" t="s">
        <v>70</v>
      </c>
      <c r="G96" s="106" t="s">
        <v>267</v>
      </c>
      <c r="H96" s="106" t="s">
        <v>115</v>
      </c>
      <c r="I96" s="140">
        <v>1409.3959731543623</v>
      </c>
      <c r="J96" s="106" t="s">
        <v>454</v>
      </c>
      <c r="K96" s="109">
        <v>46053</v>
      </c>
      <c r="L96" s="106">
        <v>2026400407</v>
      </c>
      <c r="M96" s="112" t="s">
        <v>202</v>
      </c>
      <c r="N96" s="106">
        <v>2026</v>
      </c>
    </row>
    <row r="97" spans="1:14">
      <c r="A97" s="106">
        <v>96</v>
      </c>
      <c r="B97" s="106" t="s">
        <v>42</v>
      </c>
      <c r="C97" s="106" t="s">
        <v>47</v>
      </c>
      <c r="D97" s="106" t="s">
        <v>60</v>
      </c>
      <c r="E97" s="125" t="s">
        <v>70</v>
      </c>
      <c r="G97" s="106" t="s">
        <v>267</v>
      </c>
      <c r="H97" s="106" t="s">
        <v>115</v>
      </c>
      <c r="I97" s="140">
        <v>845.6375838926175</v>
      </c>
      <c r="J97" s="106" t="s">
        <v>469</v>
      </c>
      <c r="K97" s="109">
        <v>46064</v>
      </c>
      <c r="L97" s="106">
        <v>2026400559</v>
      </c>
      <c r="M97" s="112" t="s">
        <v>202</v>
      </c>
      <c r="N97" s="106">
        <v>2026</v>
      </c>
    </row>
    <row r="98" spans="1:14">
      <c r="A98" s="106">
        <v>97</v>
      </c>
      <c r="B98" s="106" t="s">
        <v>17</v>
      </c>
      <c r="C98" s="106" t="s">
        <v>22</v>
      </c>
      <c r="D98" s="106" t="s">
        <v>60</v>
      </c>
      <c r="E98" s="125" t="s">
        <v>70</v>
      </c>
      <c r="G98" s="106" t="s">
        <v>267</v>
      </c>
      <c r="H98" s="106" t="s">
        <v>115</v>
      </c>
      <c r="I98" s="140">
        <v>93.959731543624159</v>
      </c>
      <c r="J98" s="106" t="s">
        <v>489</v>
      </c>
      <c r="K98" s="109">
        <v>46053</v>
      </c>
      <c r="L98" s="106">
        <v>2026400423</v>
      </c>
      <c r="M98" s="112" t="s">
        <v>202</v>
      </c>
      <c r="N98" s="106">
        <v>2026</v>
      </c>
    </row>
    <row r="99" spans="1:14">
      <c r="A99" s="106">
        <v>99</v>
      </c>
      <c r="B99" s="106" t="s">
        <v>42</v>
      </c>
      <c r="C99" s="106" t="s">
        <v>50</v>
      </c>
      <c r="D99" s="106" t="s">
        <v>60</v>
      </c>
      <c r="E99" s="125" t="s">
        <v>70</v>
      </c>
      <c r="G99" s="106" t="s">
        <v>226</v>
      </c>
      <c r="H99" s="139" t="s">
        <v>233</v>
      </c>
      <c r="I99" s="140">
        <v>51817</v>
      </c>
      <c r="J99" s="106" t="s">
        <v>504</v>
      </c>
      <c r="K99" s="109">
        <v>46055</v>
      </c>
      <c r="L99" s="106">
        <v>2026400030</v>
      </c>
      <c r="M99" s="112" t="s">
        <v>202</v>
      </c>
      <c r="N99" s="106">
        <v>2026</v>
      </c>
    </row>
    <row r="100" spans="1:14">
      <c r="A100" s="106">
        <v>100</v>
      </c>
      <c r="B100" s="106" t="s">
        <v>42</v>
      </c>
      <c r="C100" s="106" t="s">
        <v>50</v>
      </c>
      <c r="D100" s="106" t="s">
        <v>60</v>
      </c>
      <c r="E100" s="125" t="s">
        <v>70</v>
      </c>
      <c r="G100" s="106" t="s">
        <v>226</v>
      </c>
      <c r="H100" s="139" t="s">
        <v>233</v>
      </c>
      <c r="I100" s="140">
        <v>3856</v>
      </c>
      <c r="J100" s="106" t="s">
        <v>505</v>
      </c>
      <c r="K100" s="109">
        <v>46055</v>
      </c>
      <c r="L100" s="106">
        <v>2026400004</v>
      </c>
      <c r="M100" s="112" t="s">
        <v>202</v>
      </c>
      <c r="N100" s="106">
        <v>2026</v>
      </c>
    </row>
    <row r="101" spans="1:14">
      <c r="A101" s="106">
        <v>101</v>
      </c>
      <c r="B101" s="106" t="s">
        <v>54</v>
      </c>
      <c r="C101" s="106" t="s">
        <v>55</v>
      </c>
      <c r="D101" s="106" t="s">
        <v>60</v>
      </c>
      <c r="E101" s="125" t="s">
        <v>70</v>
      </c>
      <c r="G101" s="106" t="s">
        <v>226</v>
      </c>
      <c r="H101" s="139" t="s">
        <v>233</v>
      </c>
      <c r="I101" s="140">
        <v>660</v>
      </c>
      <c r="J101" s="106" t="s">
        <v>507</v>
      </c>
      <c r="K101" s="109">
        <v>46054</v>
      </c>
      <c r="L101" s="106">
        <v>2026400298</v>
      </c>
      <c r="M101" s="112" t="s">
        <v>202</v>
      </c>
      <c r="N101" s="106">
        <v>2026</v>
      </c>
    </row>
    <row r="102" spans="1:14">
      <c r="A102" s="106">
        <v>102</v>
      </c>
      <c r="B102" s="106" t="s">
        <v>17</v>
      </c>
      <c r="C102" s="106" t="s">
        <v>22</v>
      </c>
      <c r="D102" s="106" t="s">
        <v>60</v>
      </c>
      <c r="E102" s="125" t="s">
        <v>70</v>
      </c>
      <c r="G102" s="106" t="s">
        <v>226</v>
      </c>
      <c r="H102" s="139" t="s">
        <v>233</v>
      </c>
      <c r="I102" s="140">
        <v>3436</v>
      </c>
      <c r="J102" s="106" t="s">
        <v>512</v>
      </c>
      <c r="K102" s="109">
        <v>46049</v>
      </c>
      <c r="L102" s="106">
        <v>2026400143</v>
      </c>
      <c r="M102" s="112" t="s">
        <v>202</v>
      </c>
      <c r="N102" s="106">
        <v>2026</v>
      </c>
    </row>
    <row r="103" spans="1:14">
      <c r="A103" s="106">
        <v>103</v>
      </c>
      <c r="B103" s="106" t="s">
        <v>42</v>
      </c>
      <c r="C103" s="106" t="s">
        <v>47</v>
      </c>
      <c r="D103" s="106" t="s">
        <v>60</v>
      </c>
      <c r="E103" s="125" t="s">
        <v>70</v>
      </c>
      <c r="G103" s="106" t="s">
        <v>226</v>
      </c>
      <c r="H103" s="139" t="s">
        <v>233</v>
      </c>
      <c r="I103" s="140">
        <v>916</v>
      </c>
      <c r="J103" s="106" t="s">
        <v>523</v>
      </c>
      <c r="K103" s="109">
        <v>46049</v>
      </c>
      <c r="L103" s="106">
        <v>2026400108</v>
      </c>
      <c r="M103" s="112" t="s">
        <v>202</v>
      </c>
      <c r="N103" s="106">
        <v>2026</v>
      </c>
    </row>
    <row r="104" spans="1:14">
      <c r="A104" s="106">
        <v>104</v>
      </c>
      <c r="B104" s="106" t="s">
        <v>17</v>
      </c>
      <c r="C104" s="106" t="s">
        <v>25</v>
      </c>
      <c r="D104" s="106" t="s">
        <v>60</v>
      </c>
      <c r="E104" s="125" t="s">
        <v>70</v>
      </c>
      <c r="G104" s="106" t="s">
        <v>226</v>
      </c>
      <c r="H104" s="139" t="s">
        <v>233</v>
      </c>
      <c r="I104" s="140">
        <v>220</v>
      </c>
      <c r="J104" s="106" t="s">
        <v>535</v>
      </c>
      <c r="K104" s="109">
        <v>46074</v>
      </c>
      <c r="L104" s="106">
        <v>2026400425</v>
      </c>
      <c r="M104" s="112" t="s">
        <v>202</v>
      </c>
      <c r="N104" s="106">
        <v>2026</v>
      </c>
    </row>
    <row r="105" spans="1:14">
      <c r="A105" s="106">
        <v>105</v>
      </c>
      <c r="B105" s="125" t="s">
        <v>54</v>
      </c>
      <c r="C105" s="125" t="s">
        <v>55</v>
      </c>
      <c r="D105" s="106" t="s">
        <v>60</v>
      </c>
      <c r="E105" s="106" t="s">
        <v>70</v>
      </c>
      <c r="G105" s="106" t="s">
        <v>226</v>
      </c>
      <c r="H105" s="139" t="s">
        <v>233</v>
      </c>
      <c r="I105" s="140">
        <v>278</v>
      </c>
      <c r="J105" s="106" t="s">
        <v>543</v>
      </c>
      <c r="K105" s="109">
        <v>46063</v>
      </c>
      <c r="L105" s="106">
        <v>2026400443</v>
      </c>
      <c r="M105" s="112" t="s">
        <v>202</v>
      </c>
      <c r="N105" s="106">
        <v>2026</v>
      </c>
    </row>
    <row r="106" spans="1:14">
      <c r="A106" s="106">
        <v>106</v>
      </c>
      <c r="B106" s="106" t="s">
        <v>54</v>
      </c>
      <c r="C106" s="106" t="s">
        <v>55</v>
      </c>
      <c r="D106" s="106" t="s">
        <v>60</v>
      </c>
      <c r="E106" s="125" t="s">
        <v>70</v>
      </c>
      <c r="G106" s="106" t="s">
        <v>226</v>
      </c>
      <c r="H106" s="139" t="s">
        <v>233</v>
      </c>
      <c r="I106" s="140">
        <v>7800</v>
      </c>
      <c r="J106" s="106" t="s">
        <v>556</v>
      </c>
      <c r="K106" s="109">
        <v>46068</v>
      </c>
      <c r="L106" s="106">
        <v>2026400374</v>
      </c>
      <c r="M106" s="112" t="s">
        <v>202</v>
      </c>
      <c r="N106" s="106">
        <v>2026</v>
      </c>
    </row>
    <row r="107" spans="1:14">
      <c r="A107" s="106">
        <v>107</v>
      </c>
      <c r="B107" s="106" t="s">
        <v>42</v>
      </c>
      <c r="C107" s="106" t="s">
        <v>50</v>
      </c>
      <c r="D107" s="106" t="s">
        <v>60</v>
      </c>
      <c r="E107" s="125" t="s">
        <v>70</v>
      </c>
      <c r="G107" s="106" t="s">
        <v>226</v>
      </c>
      <c r="H107" s="139" t="s">
        <v>233</v>
      </c>
      <c r="I107" s="140">
        <v>450</v>
      </c>
      <c r="J107" s="106" t="s">
        <v>572</v>
      </c>
      <c r="K107" s="109">
        <v>46062</v>
      </c>
      <c r="L107" s="106">
        <v>2026400432</v>
      </c>
      <c r="M107" s="112" t="s">
        <v>202</v>
      </c>
      <c r="N107" s="106">
        <v>2026</v>
      </c>
    </row>
    <row r="108" spans="1:14">
      <c r="A108" s="106">
        <v>108</v>
      </c>
      <c r="B108" s="106" t="s">
        <v>58</v>
      </c>
      <c r="C108" s="106" t="s">
        <v>59</v>
      </c>
      <c r="D108" s="106" t="s">
        <v>60</v>
      </c>
      <c r="E108" s="106" t="s">
        <v>70</v>
      </c>
      <c r="G108" s="106" t="s">
        <v>412</v>
      </c>
      <c r="H108" s="106" t="s">
        <v>115</v>
      </c>
      <c r="I108" s="140">
        <v>1258.3892617449665</v>
      </c>
      <c r="J108" s="106" t="s">
        <v>458</v>
      </c>
      <c r="K108" s="109">
        <v>46070</v>
      </c>
      <c r="L108" s="106">
        <v>2026400714</v>
      </c>
      <c r="M108" s="112" t="s">
        <v>202</v>
      </c>
      <c r="N108" s="106">
        <v>2026</v>
      </c>
    </row>
    <row r="109" spans="1:14">
      <c r="A109" s="106">
        <v>109</v>
      </c>
      <c r="B109" s="106" t="s">
        <v>271</v>
      </c>
      <c r="C109" s="106" t="s">
        <v>272</v>
      </c>
      <c r="D109" s="106" t="s">
        <v>60</v>
      </c>
      <c r="E109" s="106" t="s">
        <v>70</v>
      </c>
      <c r="G109" s="106" t="s">
        <v>416</v>
      </c>
      <c r="H109" s="106" t="s">
        <v>115</v>
      </c>
      <c r="I109" s="140">
        <v>44.966442953020135</v>
      </c>
      <c r="J109" s="106">
        <v>18334</v>
      </c>
      <c r="K109" s="109">
        <v>46050</v>
      </c>
      <c r="L109" s="106">
        <v>2026400394</v>
      </c>
      <c r="M109" s="112" t="s">
        <v>202</v>
      </c>
      <c r="N109" s="106">
        <v>2026</v>
      </c>
    </row>
    <row r="110" spans="1:14">
      <c r="A110" s="106">
        <v>110</v>
      </c>
      <c r="B110" s="106" t="s">
        <v>54</v>
      </c>
      <c r="C110" s="106" t="s">
        <v>93</v>
      </c>
      <c r="D110" s="106" t="s">
        <v>60</v>
      </c>
      <c r="E110" s="125" t="s">
        <v>70</v>
      </c>
      <c r="G110" s="106" t="s">
        <v>419</v>
      </c>
      <c r="H110" s="106" t="s">
        <v>115</v>
      </c>
      <c r="I110" s="140">
        <v>2870</v>
      </c>
      <c r="J110" s="106" t="s">
        <v>529</v>
      </c>
      <c r="K110" s="109">
        <v>46063</v>
      </c>
      <c r="L110" s="106">
        <v>2026400518</v>
      </c>
      <c r="M110" s="112" t="s">
        <v>202</v>
      </c>
      <c r="N110" s="106">
        <v>2026</v>
      </c>
    </row>
    <row r="111" spans="1:14">
      <c r="A111" s="106">
        <v>111</v>
      </c>
      <c r="B111" s="125" t="s">
        <v>54</v>
      </c>
      <c r="C111" s="125" t="s">
        <v>93</v>
      </c>
      <c r="D111" s="106" t="s">
        <v>60</v>
      </c>
      <c r="E111" s="125" t="s">
        <v>70</v>
      </c>
      <c r="G111" s="125" t="s">
        <v>227</v>
      </c>
      <c r="H111" s="139" t="s">
        <v>269</v>
      </c>
      <c r="I111" s="140">
        <v>2960</v>
      </c>
      <c r="J111" s="106" t="s">
        <v>521</v>
      </c>
      <c r="K111" s="109">
        <v>46057</v>
      </c>
      <c r="L111" s="106">
        <v>2026400482</v>
      </c>
      <c r="M111" s="112" t="s">
        <v>202</v>
      </c>
      <c r="N111" s="106">
        <v>2026</v>
      </c>
    </row>
    <row r="112" spans="1:14">
      <c r="A112" s="106">
        <v>112</v>
      </c>
      <c r="B112" s="106" t="s">
        <v>42</v>
      </c>
      <c r="C112" s="106" t="s">
        <v>50</v>
      </c>
      <c r="D112" s="106" t="s">
        <v>60</v>
      </c>
      <c r="E112" s="125" t="s">
        <v>70</v>
      </c>
      <c r="G112" s="127" t="s">
        <v>227</v>
      </c>
      <c r="H112" s="139" t="s">
        <v>269</v>
      </c>
      <c r="I112" s="140">
        <v>950</v>
      </c>
      <c r="J112" s="127" t="s">
        <v>539</v>
      </c>
      <c r="K112" s="109">
        <v>46054</v>
      </c>
      <c r="L112" s="127">
        <v>2026400495</v>
      </c>
      <c r="M112" s="112" t="s">
        <v>202</v>
      </c>
      <c r="N112" s="106">
        <v>2026</v>
      </c>
    </row>
    <row r="113" spans="1:14">
      <c r="A113" s="106">
        <v>113</v>
      </c>
      <c r="B113" s="106" t="s">
        <v>17</v>
      </c>
      <c r="C113" s="106" t="s">
        <v>22</v>
      </c>
      <c r="D113" s="106" t="s">
        <v>60</v>
      </c>
      <c r="E113" s="106" t="s">
        <v>70</v>
      </c>
      <c r="G113" s="106" t="s">
        <v>227</v>
      </c>
      <c r="H113" s="139" t="s">
        <v>269</v>
      </c>
      <c r="I113" s="140">
        <v>5360</v>
      </c>
      <c r="J113" s="106" t="s">
        <v>544</v>
      </c>
      <c r="K113" s="109">
        <v>46070</v>
      </c>
      <c r="L113" s="106">
        <v>2026400618</v>
      </c>
      <c r="M113" s="112" t="s">
        <v>202</v>
      </c>
      <c r="N113" s="106">
        <v>2026</v>
      </c>
    </row>
    <row r="114" spans="1:14">
      <c r="A114" s="106">
        <v>114</v>
      </c>
      <c r="B114" s="106" t="s">
        <v>17</v>
      </c>
      <c r="C114" s="106" t="s">
        <v>687</v>
      </c>
      <c r="D114" s="106" t="s">
        <v>60</v>
      </c>
      <c r="E114" s="125" t="s">
        <v>70</v>
      </c>
      <c r="G114" s="106" t="s">
        <v>227</v>
      </c>
      <c r="H114" s="139" t="s">
        <v>269</v>
      </c>
      <c r="I114" s="140">
        <v>330</v>
      </c>
      <c r="J114" s="106" t="s">
        <v>545</v>
      </c>
      <c r="K114" s="109">
        <v>46069</v>
      </c>
      <c r="L114" s="106">
        <v>2026400610</v>
      </c>
      <c r="M114" s="112" t="s">
        <v>202</v>
      </c>
      <c r="N114" s="106">
        <v>2026</v>
      </c>
    </row>
    <row r="115" spans="1:14">
      <c r="A115" s="106">
        <v>115</v>
      </c>
      <c r="B115" s="106" t="s">
        <v>42</v>
      </c>
      <c r="C115" s="106" t="s">
        <v>45</v>
      </c>
      <c r="D115" s="106" t="s">
        <v>60</v>
      </c>
      <c r="E115" s="125" t="s">
        <v>70</v>
      </c>
      <c r="G115" s="106" t="s">
        <v>227</v>
      </c>
      <c r="H115" s="139" t="s">
        <v>269</v>
      </c>
      <c r="I115" s="140">
        <v>7970</v>
      </c>
      <c r="J115" s="106" t="s">
        <v>546</v>
      </c>
      <c r="K115" s="109">
        <v>46062</v>
      </c>
      <c r="L115" s="106">
        <v>2026400532</v>
      </c>
      <c r="M115" s="112" t="s">
        <v>202</v>
      </c>
      <c r="N115" s="106">
        <v>2026</v>
      </c>
    </row>
    <row r="116" spans="1:14">
      <c r="A116" s="106">
        <v>116</v>
      </c>
      <c r="B116" s="106" t="s">
        <v>42</v>
      </c>
      <c r="C116" s="106" t="s">
        <v>48</v>
      </c>
      <c r="D116" s="106" t="s">
        <v>60</v>
      </c>
      <c r="E116" s="125" t="s">
        <v>70</v>
      </c>
      <c r="G116" s="106" t="s">
        <v>227</v>
      </c>
      <c r="H116" s="139" t="s">
        <v>269</v>
      </c>
      <c r="I116" s="140">
        <v>866</v>
      </c>
      <c r="J116" s="106" t="s">
        <v>559</v>
      </c>
      <c r="K116" s="109">
        <v>46069</v>
      </c>
      <c r="L116" s="106">
        <v>2026400616</v>
      </c>
      <c r="M116" s="112" t="s">
        <v>202</v>
      </c>
      <c r="N116" s="106">
        <v>2026</v>
      </c>
    </row>
    <row r="117" spans="1:14">
      <c r="A117" s="106">
        <v>117</v>
      </c>
      <c r="B117" s="106" t="s">
        <v>42</v>
      </c>
      <c r="C117" s="106" t="s">
        <v>48</v>
      </c>
      <c r="D117" s="106" t="s">
        <v>60</v>
      </c>
      <c r="E117" s="125" t="s">
        <v>70</v>
      </c>
      <c r="G117" s="106" t="s">
        <v>227</v>
      </c>
      <c r="H117" s="139" t="s">
        <v>269</v>
      </c>
      <c r="I117" s="140">
        <v>5238</v>
      </c>
      <c r="J117" s="106" t="s">
        <v>560</v>
      </c>
      <c r="K117" s="109">
        <v>46069</v>
      </c>
      <c r="L117" s="106">
        <v>2026400613</v>
      </c>
      <c r="M117" s="112" t="s">
        <v>202</v>
      </c>
      <c r="N117" s="106">
        <v>2026</v>
      </c>
    </row>
    <row r="118" spans="1:14">
      <c r="A118" s="106">
        <v>118</v>
      </c>
      <c r="B118" s="106" t="s">
        <v>42</v>
      </c>
      <c r="C118" s="106" t="s">
        <v>257</v>
      </c>
      <c r="D118" s="106" t="s">
        <v>60</v>
      </c>
      <c r="E118" s="125" t="s">
        <v>70</v>
      </c>
      <c r="G118" s="106" t="s">
        <v>227</v>
      </c>
      <c r="H118" s="139" t="s">
        <v>269</v>
      </c>
      <c r="I118" s="140">
        <v>360</v>
      </c>
      <c r="J118" s="106" t="s">
        <v>565</v>
      </c>
      <c r="K118" s="126">
        <v>46069</v>
      </c>
      <c r="L118" s="106">
        <v>2026400606</v>
      </c>
      <c r="M118" s="112" t="s">
        <v>202</v>
      </c>
      <c r="N118" s="106">
        <v>2026</v>
      </c>
    </row>
    <row r="119" spans="1:14">
      <c r="A119" s="106">
        <v>119</v>
      </c>
      <c r="B119" s="125" t="s">
        <v>17</v>
      </c>
      <c r="C119" s="125" t="s">
        <v>25</v>
      </c>
      <c r="D119" s="106" t="s">
        <v>60</v>
      </c>
      <c r="E119" s="125" t="s">
        <v>70</v>
      </c>
      <c r="G119" s="125" t="s">
        <v>227</v>
      </c>
      <c r="H119" s="139" t="s">
        <v>269</v>
      </c>
      <c r="I119" s="140">
        <v>1375</v>
      </c>
      <c r="J119" s="106" t="s">
        <v>566</v>
      </c>
      <c r="K119" s="109">
        <v>46074</v>
      </c>
      <c r="L119" s="106">
        <v>2026400695</v>
      </c>
      <c r="M119" s="112" t="s">
        <v>202</v>
      </c>
      <c r="N119" s="106">
        <v>2026</v>
      </c>
    </row>
    <row r="120" spans="1:14">
      <c r="A120" s="106">
        <v>120</v>
      </c>
      <c r="B120" s="106" t="s">
        <v>17</v>
      </c>
      <c r="C120" s="106" t="s">
        <v>25</v>
      </c>
      <c r="D120" s="106" t="s">
        <v>60</v>
      </c>
      <c r="E120" s="106" t="s">
        <v>70</v>
      </c>
      <c r="G120" s="106" t="s">
        <v>227</v>
      </c>
      <c r="H120" s="139" t="s">
        <v>269</v>
      </c>
      <c r="I120" s="140">
        <v>14365</v>
      </c>
      <c r="J120" s="106" t="s">
        <v>576</v>
      </c>
      <c r="K120" s="109">
        <v>46050</v>
      </c>
      <c r="L120" s="106">
        <v>2026400375</v>
      </c>
      <c r="M120" s="112" t="s">
        <v>202</v>
      </c>
      <c r="N120" s="106">
        <v>2026</v>
      </c>
    </row>
    <row r="121" spans="1:14">
      <c r="A121" s="106">
        <v>121</v>
      </c>
      <c r="B121" s="106" t="s">
        <v>17</v>
      </c>
      <c r="C121" s="106" t="s">
        <v>687</v>
      </c>
      <c r="D121" s="106" t="s">
        <v>60</v>
      </c>
      <c r="E121" s="125" t="s">
        <v>70</v>
      </c>
      <c r="G121" s="106" t="s">
        <v>227</v>
      </c>
      <c r="H121" s="139" t="s">
        <v>269</v>
      </c>
      <c r="I121" s="140">
        <v>2680</v>
      </c>
      <c r="J121" s="106" t="s">
        <v>578</v>
      </c>
      <c r="K121" s="109">
        <v>46057</v>
      </c>
      <c r="L121" s="106">
        <v>2026400481</v>
      </c>
      <c r="M121" s="112" t="s">
        <v>202</v>
      </c>
      <c r="N121" s="106">
        <v>2026</v>
      </c>
    </row>
    <row r="122" spans="1:14">
      <c r="A122" s="106">
        <v>122</v>
      </c>
      <c r="B122" s="106" t="s">
        <v>42</v>
      </c>
      <c r="C122" s="106" t="s">
        <v>45</v>
      </c>
      <c r="D122" s="106" t="s">
        <v>60</v>
      </c>
      <c r="E122" s="125" t="s">
        <v>70</v>
      </c>
      <c r="G122" s="106" t="s">
        <v>227</v>
      </c>
      <c r="H122" s="139" t="s">
        <v>269</v>
      </c>
      <c r="I122" s="140">
        <v>1980</v>
      </c>
      <c r="J122" s="106" t="s">
        <v>683</v>
      </c>
      <c r="K122" s="109">
        <v>46064</v>
      </c>
      <c r="L122" s="106">
        <v>2026400534</v>
      </c>
      <c r="M122" s="139" t="s">
        <v>202</v>
      </c>
      <c r="N122" s="106">
        <v>2026</v>
      </c>
    </row>
    <row r="123" spans="1:14">
      <c r="A123" s="106">
        <v>123</v>
      </c>
      <c r="B123" s="125" t="s">
        <v>271</v>
      </c>
      <c r="C123" s="125" t="s">
        <v>272</v>
      </c>
      <c r="D123" s="106" t="s">
        <v>60</v>
      </c>
      <c r="E123" s="125" t="s">
        <v>70</v>
      </c>
      <c r="G123" s="125" t="s">
        <v>415</v>
      </c>
      <c r="H123" s="106" t="s">
        <v>115</v>
      </c>
      <c r="I123" s="140">
        <v>222.48322147651007</v>
      </c>
      <c r="J123" s="106" t="s">
        <v>485</v>
      </c>
      <c r="K123" s="109">
        <v>46062</v>
      </c>
      <c r="L123" s="106">
        <v>2026400419</v>
      </c>
      <c r="M123" s="112" t="s">
        <v>202</v>
      </c>
      <c r="N123" s="106">
        <v>2026</v>
      </c>
    </row>
    <row r="124" spans="1:14">
      <c r="A124" s="106">
        <v>124</v>
      </c>
      <c r="B124" s="106" t="s">
        <v>54</v>
      </c>
      <c r="C124" s="106" t="s">
        <v>93</v>
      </c>
      <c r="D124" s="106" t="s">
        <v>60</v>
      </c>
      <c r="E124" s="125" t="s">
        <v>70</v>
      </c>
      <c r="G124" s="106" t="s">
        <v>120</v>
      </c>
      <c r="H124" s="139" t="s">
        <v>115</v>
      </c>
      <c r="I124" s="140">
        <v>3221.4765100671143</v>
      </c>
      <c r="J124" s="106" t="s">
        <v>434</v>
      </c>
      <c r="K124" s="109">
        <v>46054</v>
      </c>
      <c r="L124" s="106">
        <v>2026400465</v>
      </c>
      <c r="M124" s="112" t="s">
        <v>202</v>
      </c>
      <c r="N124" s="106">
        <v>2026</v>
      </c>
    </row>
    <row r="125" spans="1:14">
      <c r="A125" s="106">
        <v>125</v>
      </c>
      <c r="B125" s="106" t="s">
        <v>42</v>
      </c>
      <c r="C125" s="106" t="s">
        <v>47</v>
      </c>
      <c r="D125" s="106" t="s">
        <v>60</v>
      </c>
      <c r="E125" s="125" t="s">
        <v>70</v>
      </c>
      <c r="G125" s="106" t="s">
        <v>228</v>
      </c>
      <c r="H125" s="139" t="s">
        <v>233</v>
      </c>
      <c r="I125" s="140">
        <v>1845.6375838926174</v>
      </c>
      <c r="J125" s="106" t="s">
        <v>449</v>
      </c>
      <c r="K125" s="109">
        <v>46077</v>
      </c>
      <c r="L125" s="106">
        <v>2026400663</v>
      </c>
      <c r="M125" s="112" t="s">
        <v>202</v>
      </c>
      <c r="N125" s="106">
        <v>2026</v>
      </c>
    </row>
    <row r="126" spans="1:14">
      <c r="A126" s="106">
        <v>126</v>
      </c>
      <c r="B126" s="106" t="s">
        <v>42</v>
      </c>
      <c r="C126" s="106" t="s">
        <v>50</v>
      </c>
      <c r="D126" s="106" t="s">
        <v>60</v>
      </c>
      <c r="E126" s="125" t="s">
        <v>70</v>
      </c>
      <c r="G126" s="106" t="s">
        <v>228</v>
      </c>
      <c r="H126" s="139" t="s">
        <v>233</v>
      </c>
      <c r="I126" s="140">
        <v>994.63087248322142</v>
      </c>
      <c r="J126" s="106" t="s">
        <v>466</v>
      </c>
      <c r="K126" s="109">
        <v>46070</v>
      </c>
      <c r="L126" s="106">
        <v>2026400561</v>
      </c>
      <c r="M126" s="112" t="s">
        <v>202</v>
      </c>
      <c r="N126" s="106">
        <v>2026</v>
      </c>
    </row>
    <row r="127" spans="1:14">
      <c r="A127" s="106">
        <v>127</v>
      </c>
      <c r="B127" s="106" t="s">
        <v>42</v>
      </c>
      <c r="C127" s="106" t="s">
        <v>50</v>
      </c>
      <c r="D127" s="106" t="s">
        <v>60</v>
      </c>
      <c r="E127" s="125" t="s">
        <v>70</v>
      </c>
      <c r="G127" s="106" t="s">
        <v>282</v>
      </c>
      <c r="H127" s="106" t="s">
        <v>115</v>
      </c>
      <c r="I127" s="140">
        <v>1396</v>
      </c>
      <c r="J127" s="106" t="s">
        <v>542</v>
      </c>
      <c r="K127" s="109">
        <v>46076</v>
      </c>
      <c r="L127" s="106">
        <v>2026400542</v>
      </c>
      <c r="M127" s="112" t="s">
        <v>202</v>
      </c>
      <c r="N127" s="106">
        <v>2026</v>
      </c>
    </row>
    <row r="128" spans="1:14">
      <c r="A128" s="106">
        <v>128</v>
      </c>
      <c r="B128" s="106" t="s">
        <v>17</v>
      </c>
      <c r="C128" s="106" t="s">
        <v>388</v>
      </c>
      <c r="D128" s="106" t="s">
        <v>60</v>
      </c>
      <c r="E128" s="106" t="s">
        <v>70</v>
      </c>
      <c r="G128" s="106" t="s">
        <v>289</v>
      </c>
      <c r="H128" s="106" t="s">
        <v>115</v>
      </c>
      <c r="I128" s="140">
        <v>13708.053691275169</v>
      </c>
      <c r="J128" s="106" t="s">
        <v>421</v>
      </c>
      <c r="K128" s="109">
        <v>46064</v>
      </c>
      <c r="L128" s="106">
        <v>2026400643</v>
      </c>
      <c r="M128" s="112" t="s">
        <v>202</v>
      </c>
      <c r="N128" s="106">
        <v>2026</v>
      </c>
    </row>
    <row r="129" spans="1:14">
      <c r="A129" s="106">
        <v>129</v>
      </c>
      <c r="B129" s="106" t="s">
        <v>42</v>
      </c>
      <c r="C129" s="106" t="s">
        <v>43</v>
      </c>
      <c r="D129" s="106" t="s">
        <v>60</v>
      </c>
      <c r="E129" s="106" t="s">
        <v>70</v>
      </c>
      <c r="G129" s="106" t="s">
        <v>289</v>
      </c>
      <c r="H129" s="106" t="s">
        <v>115</v>
      </c>
      <c r="I129" s="140">
        <v>5838.9261744966443</v>
      </c>
      <c r="J129" s="106" t="s">
        <v>426</v>
      </c>
      <c r="K129" s="109">
        <v>46074</v>
      </c>
      <c r="L129" s="106">
        <v>2026400806</v>
      </c>
      <c r="M129" s="112" t="s">
        <v>202</v>
      </c>
      <c r="N129" s="106">
        <v>2026</v>
      </c>
    </row>
    <row r="130" spans="1:14">
      <c r="A130" s="106">
        <v>130</v>
      </c>
      <c r="B130" s="106" t="s">
        <v>17</v>
      </c>
      <c r="C130" s="106" t="s">
        <v>22</v>
      </c>
      <c r="D130" s="106" t="s">
        <v>60</v>
      </c>
      <c r="E130" s="125" t="s">
        <v>70</v>
      </c>
      <c r="G130" s="106" t="s">
        <v>289</v>
      </c>
      <c r="H130" s="106" t="s">
        <v>115</v>
      </c>
      <c r="I130" s="140">
        <v>2620.8053691275168</v>
      </c>
      <c r="J130" s="106" t="s">
        <v>438</v>
      </c>
      <c r="K130" s="109">
        <v>46076</v>
      </c>
      <c r="L130" s="106">
        <v>2026400957</v>
      </c>
      <c r="M130" s="112" t="s">
        <v>202</v>
      </c>
      <c r="N130" s="106">
        <v>2026</v>
      </c>
    </row>
    <row r="131" spans="1:14">
      <c r="A131" s="106">
        <v>131</v>
      </c>
      <c r="B131" s="106" t="s">
        <v>17</v>
      </c>
      <c r="C131" s="106" t="s">
        <v>22</v>
      </c>
      <c r="D131" s="106" t="s">
        <v>60</v>
      </c>
      <c r="E131" s="125" t="s">
        <v>70</v>
      </c>
      <c r="G131" s="127" t="s">
        <v>289</v>
      </c>
      <c r="H131" s="106" t="s">
        <v>115</v>
      </c>
      <c r="I131" s="140">
        <v>1771.8120805369128</v>
      </c>
      <c r="J131" s="127" t="s">
        <v>451</v>
      </c>
      <c r="K131" s="109">
        <v>46070</v>
      </c>
      <c r="L131" s="127">
        <v>2026400656</v>
      </c>
      <c r="M131" s="112" t="s">
        <v>202</v>
      </c>
      <c r="N131" s="106">
        <v>2026</v>
      </c>
    </row>
    <row r="132" spans="1:14">
      <c r="A132" s="106">
        <v>132</v>
      </c>
      <c r="B132" s="106" t="s">
        <v>54</v>
      </c>
      <c r="C132" s="106" t="s">
        <v>93</v>
      </c>
      <c r="D132" s="106" t="s">
        <v>60</v>
      </c>
      <c r="E132" s="125" t="s">
        <v>70</v>
      </c>
      <c r="G132" s="106" t="s">
        <v>406</v>
      </c>
      <c r="H132" s="106" t="s">
        <v>115</v>
      </c>
      <c r="I132" s="140">
        <v>2567.1140939597317</v>
      </c>
      <c r="J132" s="106" t="s">
        <v>441</v>
      </c>
      <c r="K132" s="109">
        <v>46068</v>
      </c>
      <c r="L132" s="106">
        <v>2026400565</v>
      </c>
      <c r="M132" s="112" t="s">
        <v>202</v>
      </c>
      <c r="N132" s="106">
        <v>2026</v>
      </c>
    </row>
    <row r="133" spans="1:14">
      <c r="A133" s="106">
        <v>133</v>
      </c>
      <c r="B133" s="106" t="s">
        <v>35</v>
      </c>
      <c r="C133" s="106" t="s">
        <v>39</v>
      </c>
      <c r="D133" s="106" t="s">
        <v>60</v>
      </c>
      <c r="E133" s="125" t="s">
        <v>70</v>
      </c>
      <c r="G133" s="106" t="s">
        <v>406</v>
      </c>
      <c r="H133" s="106" t="s">
        <v>115</v>
      </c>
      <c r="I133" s="140">
        <v>1197.9865771812081</v>
      </c>
      <c r="J133" s="106" t="s">
        <v>459</v>
      </c>
      <c r="K133" s="109">
        <v>46075</v>
      </c>
      <c r="L133" s="106">
        <v>2026400624</v>
      </c>
      <c r="M133" s="112" t="s">
        <v>202</v>
      </c>
      <c r="N133" s="106">
        <v>2026</v>
      </c>
    </row>
    <row r="134" spans="1:14">
      <c r="A134" s="106">
        <v>134</v>
      </c>
      <c r="B134" s="106" t="s">
        <v>54</v>
      </c>
      <c r="C134" s="106" t="s">
        <v>93</v>
      </c>
      <c r="D134" s="106" t="s">
        <v>60</v>
      </c>
      <c r="E134" s="106" t="s">
        <v>70</v>
      </c>
      <c r="G134" s="106" t="s">
        <v>406</v>
      </c>
      <c r="H134" s="106" t="s">
        <v>115</v>
      </c>
      <c r="I134" s="140">
        <v>1006.7114093959732</v>
      </c>
      <c r="J134" s="106" t="s">
        <v>463</v>
      </c>
      <c r="K134" s="109">
        <v>46062</v>
      </c>
      <c r="L134" s="106">
        <v>2026400497</v>
      </c>
      <c r="M134" s="112" t="s">
        <v>202</v>
      </c>
      <c r="N134" s="106">
        <v>2026</v>
      </c>
    </row>
    <row r="135" spans="1:14">
      <c r="A135" s="106">
        <v>135</v>
      </c>
      <c r="B135" s="106" t="s">
        <v>17</v>
      </c>
      <c r="C135" s="106" t="s">
        <v>25</v>
      </c>
      <c r="D135" s="106" t="s">
        <v>60</v>
      </c>
      <c r="E135" s="106" t="s">
        <v>70</v>
      </c>
      <c r="G135" s="106" t="s">
        <v>406</v>
      </c>
      <c r="H135" s="106" t="s">
        <v>115</v>
      </c>
      <c r="I135" s="140">
        <v>825.50335570469804</v>
      </c>
      <c r="J135" s="106" t="s">
        <v>470</v>
      </c>
      <c r="K135" s="109">
        <v>46078</v>
      </c>
      <c r="L135" s="106">
        <v>2026400711</v>
      </c>
      <c r="M135" s="112" t="s">
        <v>202</v>
      </c>
      <c r="N135" s="106">
        <v>2026</v>
      </c>
    </row>
    <row r="136" spans="1:14">
      <c r="A136" s="106">
        <v>136</v>
      </c>
      <c r="B136" s="106" t="s">
        <v>54</v>
      </c>
      <c r="C136" s="106" t="s">
        <v>93</v>
      </c>
      <c r="D136" s="106" t="s">
        <v>60</v>
      </c>
      <c r="E136" s="125" t="s">
        <v>70</v>
      </c>
      <c r="G136" s="106" t="s">
        <v>406</v>
      </c>
      <c r="H136" s="106" t="s">
        <v>115</v>
      </c>
      <c r="I136" s="140">
        <v>771.81208053691273</v>
      </c>
      <c r="J136" s="106" t="s">
        <v>471</v>
      </c>
      <c r="K136" s="109">
        <v>46068</v>
      </c>
      <c r="L136" s="106">
        <v>2026400541</v>
      </c>
      <c r="M136" s="112" t="s">
        <v>202</v>
      </c>
      <c r="N136" s="106">
        <v>2026</v>
      </c>
    </row>
    <row r="137" spans="1:14">
      <c r="A137" s="106">
        <v>137</v>
      </c>
      <c r="B137" s="106" t="s">
        <v>35</v>
      </c>
      <c r="C137" s="106" t="s">
        <v>37</v>
      </c>
      <c r="D137" s="106" t="s">
        <v>60</v>
      </c>
      <c r="E137" s="125" t="s">
        <v>70</v>
      </c>
      <c r="G137" s="127" t="s">
        <v>406</v>
      </c>
      <c r="H137" s="106" t="s">
        <v>115</v>
      </c>
      <c r="I137" s="140">
        <v>330.20134228187919</v>
      </c>
      <c r="J137" s="127" t="s">
        <v>481</v>
      </c>
      <c r="K137" s="126">
        <v>46068</v>
      </c>
      <c r="L137" s="127">
        <v>2026400529</v>
      </c>
      <c r="M137" s="112" t="s">
        <v>202</v>
      </c>
      <c r="N137" s="106">
        <v>2026</v>
      </c>
    </row>
    <row r="138" spans="1:14">
      <c r="A138" s="106">
        <v>138</v>
      </c>
      <c r="B138" s="106" t="s">
        <v>17</v>
      </c>
      <c r="C138" s="106" t="s">
        <v>687</v>
      </c>
      <c r="D138" s="106" t="s">
        <v>60</v>
      </c>
      <c r="E138" s="106" t="s">
        <v>70</v>
      </c>
      <c r="G138" s="106" t="s">
        <v>406</v>
      </c>
      <c r="H138" s="106" t="s">
        <v>115</v>
      </c>
      <c r="I138" s="140">
        <v>218.12080536912751</v>
      </c>
      <c r="J138" s="106" t="s">
        <v>487</v>
      </c>
      <c r="K138" s="109">
        <v>46068</v>
      </c>
      <c r="L138" s="106">
        <v>2026400498</v>
      </c>
      <c r="M138" s="112" t="s">
        <v>202</v>
      </c>
      <c r="N138" s="106">
        <v>2026</v>
      </c>
    </row>
    <row r="139" spans="1:14">
      <c r="A139" s="106">
        <v>139</v>
      </c>
      <c r="B139" s="106" t="s">
        <v>35</v>
      </c>
      <c r="C139" s="106" t="s">
        <v>36</v>
      </c>
      <c r="D139" s="106" t="s">
        <v>60</v>
      </c>
      <c r="E139" s="125" t="s">
        <v>70</v>
      </c>
      <c r="G139" s="106" t="s">
        <v>418</v>
      </c>
      <c r="H139" s="106" t="s">
        <v>115</v>
      </c>
      <c r="I139" s="140">
        <v>3300</v>
      </c>
      <c r="J139" s="106" t="s">
        <v>525</v>
      </c>
      <c r="K139" s="109">
        <v>46055</v>
      </c>
      <c r="L139" s="106">
        <v>2026400449</v>
      </c>
      <c r="M139" s="112" t="s">
        <v>202</v>
      </c>
      <c r="N139" s="106">
        <v>2026</v>
      </c>
    </row>
    <row r="140" spans="1:14">
      <c r="A140" s="106">
        <v>140</v>
      </c>
      <c r="B140" s="106" t="s">
        <v>42</v>
      </c>
      <c r="C140" s="106" t="s">
        <v>50</v>
      </c>
      <c r="D140" s="106" t="s">
        <v>60</v>
      </c>
      <c r="E140" s="125" t="s">
        <v>70</v>
      </c>
      <c r="G140" s="106" t="s">
        <v>286</v>
      </c>
      <c r="H140" s="106" t="s">
        <v>115</v>
      </c>
      <c r="I140" s="140">
        <v>8617</v>
      </c>
      <c r="J140" s="106" t="s">
        <v>510</v>
      </c>
      <c r="K140" s="109">
        <v>46061</v>
      </c>
      <c r="L140" s="106">
        <v>2026400431</v>
      </c>
      <c r="M140" s="112" t="s">
        <v>202</v>
      </c>
      <c r="N140" s="106">
        <v>2026</v>
      </c>
    </row>
    <row r="141" spans="1:14">
      <c r="A141" s="106">
        <v>141</v>
      </c>
      <c r="B141" s="106" t="s">
        <v>54</v>
      </c>
      <c r="C141" s="106" t="s">
        <v>55</v>
      </c>
      <c r="D141" s="106" t="s">
        <v>60</v>
      </c>
      <c r="E141" s="125" t="s">
        <v>70</v>
      </c>
      <c r="G141" s="106" t="s">
        <v>286</v>
      </c>
      <c r="H141" s="106" t="s">
        <v>115</v>
      </c>
      <c r="I141" s="140">
        <v>2580</v>
      </c>
      <c r="J141" s="106" t="s">
        <v>557</v>
      </c>
      <c r="K141" s="109">
        <v>46076</v>
      </c>
      <c r="L141" s="106">
        <v>2026400698</v>
      </c>
      <c r="M141" s="112" t="s">
        <v>202</v>
      </c>
      <c r="N141" s="106">
        <v>2026</v>
      </c>
    </row>
    <row r="142" spans="1:14">
      <c r="A142" s="106">
        <v>142</v>
      </c>
      <c r="B142" s="106" t="s">
        <v>17</v>
      </c>
      <c r="C142" s="106" t="s">
        <v>25</v>
      </c>
      <c r="D142" s="106" t="s">
        <v>60</v>
      </c>
      <c r="E142" s="106" t="s">
        <v>70</v>
      </c>
      <c r="G142" s="106" t="s">
        <v>286</v>
      </c>
      <c r="H142" s="106" t="s">
        <v>115</v>
      </c>
      <c r="I142" s="140">
        <v>405</v>
      </c>
      <c r="J142" s="106" t="s">
        <v>558</v>
      </c>
      <c r="K142" s="109">
        <v>46079</v>
      </c>
      <c r="L142" s="106">
        <v>2026400700</v>
      </c>
      <c r="M142" s="112" t="s">
        <v>202</v>
      </c>
      <c r="N142" s="106">
        <v>2026</v>
      </c>
    </row>
    <row r="143" spans="1:14">
      <c r="A143" s="106">
        <v>143</v>
      </c>
      <c r="B143" s="106" t="s">
        <v>305</v>
      </c>
      <c r="C143" s="106" t="s">
        <v>401</v>
      </c>
      <c r="D143" s="106" t="s">
        <v>60</v>
      </c>
      <c r="E143" s="125" t="s">
        <v>70</v>
      </c>
      <c r="G143" s="106" t="s">
        <v>405</v>
      </c>
      <c r="H143" s="139" t="s">
        <v>691</v>
      </c>
      <c r="I143" s="140">
        <v>2570.469798657718</v>
      </c>
      <c r="J143" s="106" t="s">
        <v>440</v>
      </c>
      <c r="K143" s="109">
        <v>46074</v>
      </c>
      <c r="L143" s="106">
        <v>2026400644</v>
      </c>
      <c r="M143" s="112" t="s">
        <v>202</v>
      </c>
      <c r="N143" s="106">
        <v>2026</v>
      </c>
    </row>
    <row r="144" spans="1:14">
      <c r="A144" s="106">
        <v>144</v>
      </c>
      <c r="B144" s="106" t="s">
        <v>42</v>
      </c>
      <c r="C144" s="106" t="s">
        <v>50</v>
      </c>
      <c r="D144" s="106" t="s">
        <v>60</v>
      </c>
      <c r="E144" s="125" t="s">
        <v>70</v>
      </c>
      <c r="G144" s="106" t="s">
        <v>411</v>
      </c>
      <c r="H144" s="106" t="s">
        <v>115</v>
      </c>
      <c r="I144" s="140">
        <v>1275.1677852348994</v>
      </c>
      <c r="J144" s="106" t="s">
        <v>457</v>
      </c>
      <c r="K144" s="109">
        <v>46050</v>
      </c>
      <c r="L144" s="106">
        <v>2026400300</v>
      </c>
      <c r="M144" s="112" t="s">
        <v>202</v>
      </c>
      <c r="N144" s="106">
        <v>2026</v>
      </c>
    </row>
    <row r="145" spans="1:14">
      <c r="A145" s="106">
        <v>145</v>
      </c>
      <c r="B145" s="106" t="s">
        <v>17</v>
      </c>
      <c r="C145" s="106" t="s">
        <v>687</v>
      </c>
      <c r="D145" s="106" t="s">
        <v>60</v>
      </c>
      <c r="E145" s="106" t="s">
        <v>70</v>
      </c>
      <c r="G145" s="106" t="s">
        <v>266</v>
      </c>
      <c r="H145" s="106" t="s">
        <v>115</v>
      </c>
      <c r="I145" s="140">
        <v>2093.959731543624</v>
      </c>
      <c r="J145" s="106" t="s">
        <v>446</v>
      </c>
      <c r="K145" s="109">
        <v>46076</v>
      </c>
      <c r="L145" s="106">
        <v>2026400604</v>
      </c>
      <c r="M145" s="112" t="s">
        <v>202</v>
      </c>
      <c r="N145" s="106">
        <v>2026</v>
      </c>
    </row>
    <row r="146" spans="1:14">
      <c r="A146" s="106">
        <v>146</v>
      </c>
      <c r="B146" s="106" t="s">
        <v>52</v>
      </c>
      <c r="C146" s="106" t="s">
        <v>62</v>
      </c>
      <c r="D146" s="106" t="s">
        <v>60</v>
      </c>
      <c r="E146" s="125" t="s">
        <v>70</v>
      </c>
      <c r="G146" s="106" t="s">
        <v>266</v>
      </c>
      <c r="H146" s="106" t="s">
        <v>115</v>
      </c>
      <c r="I146" s="140">
        <v>1087.2483221476509</v>
      </c>
      <c r="J146" s="106" t="s">
        <v>461</v>
      </c>
      <c r="K146" s="109">
        <v>46076</v>
      </c>
      <c r="L146" s="106">
        <v>2026400661</v>
      </c>
      <c r="M146" s="112" t="s">
        <v>202</v>
      </c>
      <c r="N146" s="106">
        <v>2026</v>
      </c>
    </row>
    <row r="147" spans="1:14">
      <c r="A147" s="106">
        <v>147</v>
      </c>
      <c r="B147" s="106" t="s">
        <v>52</v>
      </c>
      <c r="C147" s="106" t="s">
        <v>62</v>
      </c>
      <c r="D147" s="106" t="s">
        <v>60</v>
      </c>
      <c r="E147" s="125" t="s">
        <v>70</v>
      </c>
      <c r="G147" s="106" t="s">
        <v>266</v>
      </c>
      <c r="H147" s="106" t="s">
        <v>115</v>
      </c>
      <c r="I147" s="140">
        <v>671.14093959731542</v>
      </c>
      <c r="J147" s="106" t="s">
        <v>473</v>
      </c>
      <c r="K147" s="109">
        <v>46078</v>
      </c>
      <c r="L147" s="106">
        <v>2026400712</v>
      </c>
      <c r="M147" s="112" t="s">
        <v>202</v>
      </c>
      <c r="N147" s="106">
        <v>2026</v>
      </c>
    </row>
    <row r="148" spans="1:14">
      <c r="A148" s="106">
        <v>148</v>
      </c>
      <c r="B148" s="106" t="s">
        <v>17</v>
      </c>
      <c r="C148" s="106" t="s">
        <v>25</v>
      </c>
      <c r="D148" s="106" t="s">
        <v>60</v>
      </c>
      <c r="E148" s="106" t="s">
        <v>70</v>
      </c>
      <c r="G148" s="106" t="s">
        <v>266</v>
      </c>
      <c r="H148" s="106" t="s">
        <v>115</v>
      </c>
      <c r="I148" s="140">
        <v>483.22147651006713</v>
      </c>
      <c r="J148" s="106" t="s">
        <v>478</v>
      </c>
      <c r="K148" s="109">
        <v>46076</v>
      </c>
      <c r="L148" s="106">
        <v>2026400699</v>
      </c>
      <c r="M148" s="112" t="s">
        <v>202</v>
      </c>
      <c r="N148" s="106">
        <v>2026</v>
      </c>
    </row>
    <row r="149" spans="1:14">
      <c r="A149" s="106">
        <v>149</v>
      </c>
      <c r="B149" s="106" t="s">
        <v>42</v>
      </c>
      <c r="C149" s="106" t="s">
        <v>50</v>
      </c>
      <c r="D149" s="106" t="s">
        <v>60</v>
      </c>
      <c r="E149" s="125" t="s">
        <v>70</v>
      </c>
      <c r="G149" s="106" t="s">
        <v>121</v>
      </c>
      <c r="H149" s="106" t="s">
        <v>115</v>
      </c>
      <c r="I149" s="140">
        <v>541.5</v>
      </c>
      <c r="J149" s="106" t="s">
        <v>495</v>
      </c>
      <c r="K149" s="109">
        <v>46054</v>
      </c>
      <c r="L149" s="106">
        <v>2026400358</v>
      </c>
      <c r="M149" s="112" t="s">
        <v>202</v>
      </c>
      <c r="N149" s="106">
        <v>2026</v>
      </c>
    </row>
    <row r="150" spans="1:14">
      <c r="A150" s="106">
        <v>150</v>
      </c>
      <c r="B150" s="106" t="s">
        <v>17</v>
      </c>
      <c r="C150" s="106" t="s">
        <v>22</v>
      </c>
      <c r="D150" s="106" t="s">
        <v>60</v>
      </c>
      <c r="E150" s="125" t="s">
        <v>70</v>
      </c>
      <c r="G150" s="106" t="s">
        <v>121</v>
      </c>
      <c r="H150" s="106" t="s">
        <v>115</v>
      </c>
      <c r="I150" s="140">
        <v>393</v>
      </c>
      <c r="J150" s="106" t="s">
        <v>496</v>
      </c>
      <c r="K150" s="109">
        <v>46054</v>
      </c>
      <c r="L150" s="106">
        <v>2026400355</v>
      </c>
      <c r="M150" s="112" t="s">
        <v>202</v>
      </c>
      <c r="N150" s="106">
        <v>2026</v>
      </c>
    </row>
    <row r="151" spans="1:14">
      <c r="A151" s="106">
        <v>151</v>
      </c>
      <c r="B151" s="106" t="s">
        <v>52</v>
      </c>
      <c r="C151" s="106" t="s">
        <v>62</v>
      </c>
      <c r="D151" s="106" t="s">
        <v>60</v>
      </c>
      <c r="E151" s="125" t="s">
        <v>70</v>
      </c>
      <c r="G151" s="106" t="s">
        <v>121</v>
      </c>
      <c r="H151" s="106" t="s">
        <v>115</v>
      </c>
      <c r="I151" s="140">
        <v>60</v>
      </c>
      <c r="J151" s="106" t="s">
        <v>497</v>
      </c>
      <c r="K151" s="109">
        <v>46054</v>
      </c>
      <c r="L151" s="106">
        <v>2026400353</v>
      </c>
      <c r="M151" s="112" t="s">
        <v>202</v>
      </c>
      <c r="N151" s="106">
        <v>2026</v>
      </c>
    </row>
    <row r="152" spans="1:14">
      <c r="A152" s="106">
        <v>152</v>
      </c>
      <c r="B152" s="106" t="s">
        <v>42</v>
      </c>
      <c r="C152" s="106" t="s">
        <v>47</v>
      </c>
      <c r="D152" s="106" t="s">
        <v>60</v>
      </c>
      <c r="E152" s="125" t="s">
        <v>70</v>
      </c>
      <c r="G152" s="106" t="s">
        <v>121</v>
      </c>
      <c r="H152" s="106" t="s">
        <v>115</v>
      </c>
      <c r="I152" s="140">
        <v>989.4</v>
      </c>
      <c r="J152" s="106" t="s">
        <v>498</v>
      </c>
      <c r="K152" s="109">
        <v>46054</v>
      </c>
      <c r="L152" s="106">
        <v>2026400297</v>
      </c>
      <c r="M152" s="112" t="s">
        <v>202</v>
      </c>
      <c r="N152" s="106">
        <v>2026</v>
      </c>
    </row>
    <row r="153" spans="1:14">
      <c r="A153" s="106">
        <v>153</v>
      </c>
      <c r="B153" s="106" t="s">
        <v>52</v>
      </c>
      <c r="C153" s="106" t="s">
        <v>62</v>
      </c>
      <c r="D153" s="106" t="s">
        <v>60</v>
      </c>
      <c r="E153" s="125" t="s">
        <v>70</v>
      </c>
      <c r="G153" s="106" t="s">
        <v>121</v>
      </c>
      <c r="H153" s="106" t="s">
        <v>115</v>
      </c>
      <c r="I153" s="140">
        <v>120</v>
      </c>
      <c r="J153" s="106" t="s">
        <v>499</v>
      </c>
      <c r="K153" s="109">
        <v>46054</v>
      </c>
      <c r="L153" s="106">
        <v>2026400316</v>
      </c>
      <c r="M153" s="112" t="s">
        <v>202</v>
      </c>
      <c r="N153" s="106">
        <v>2026</v>
      </c>
    </row>
    <row r="154" spans="1:14">
      <c r="A154" s="106">
        <v>154</v>
      </c>
      <c r="B154" s="106" t="s">
        <v>17</v>
      </c>
      <c r="C154" s="106" t="s">
        <v>22</v>
      </c>
      <c r="D154" s="106" t="s">
        <v>60</v>
      </c>
      <c r="E154" s="125" t="s">
        <v>70</v>
      </c>
      <c r="G154" s="106" t="s">
        <v>121</v>
      </c>
      <c r="H154" s="106" t="s">
        <v>115</v>
      </c>
      <c r="I154" s="140">
        <v>750</v>
      </c>
      <c r="J154" s="106" t="s">
        <v>500</v>
      </c>
      <c r="K154" s="109">
        <v>46054</v>
      </c>
      <c r="L154" s="106">
        <v>2026400312</v>
      </c>
      <c r="M154" s="112" t="s">
        <v>202</v>
      </c>
      <c r="N154" s="106">
        <v>2026</v>
      </c>
    </row>
    <row r="155" spans="1:14">
      <c r="A155" s="106">
        <v>155</v>
      </c>
      <c r="B155" s="106" t="s">
        <v>35</v>
      </c>
      <c r="C155" s="106" t="s">
        <v>36</v>
      </c>
      <c r="D155" s="106" t="s">
        <v>60</v>
      </c>
      <c r="E155" s="125" t="s">
        <v>70</v>
      </c>
      <c r="G155" s="106" t="s">
        <v>121</v>
      </c>
      <c r="H155" s="106" t="s">
        <v>115</v>
      </c>
      <c r="I155" s="140">
        <v>105.6</v>
      </c>
      <c r="J155" s="106" t="s">
        <v>501</v>
      </c>
      <c r="K155" s="109">
        <v>46054</v>
      </c>
      <c r="L155" s="106">
        <v>2026400314</v>
      </c>
      <c r="M155" s="112" t="s">
        <v>202</v>
      </c>
      <c r="N155" s="106">
        <v>2026</v>
      </c>
    </row>
    <row r="156" spans="1:14">
      <c r="A156" s="106">
        <v>156</v>
      </c>
      <c r="B156" s="106" t="s">
        <v>42</v>
      </c>
      <c r="C156" s="106" t="s">
        <v>50</v>
      </c>
      <c r="D156" s="106" t="s">
        <v>60</v>
      </c>
      <c r="E156" s="125" t="s">
        <v>70</v>
      </c>
      <c r="G156" s="106" t="s">
        <v>121</v>
      </c>
      <c r="H156" s="106" t="s">
        <v>115</v>
      </c>
      <c r="I156" s="140">
        <v>305</v>
      </c>
      <c r="J156" s="106" t="s">
        <v>502</v>
      </c>
      <c r="K156" s="109">
        <v>46054</v>
      </c>
      <c r="L156" s="106">
        <v>2026400313</v>
      </c>
      <c r="M156" s="112" t="s">
        <v>202</v>
      </c>
      <c r="N156" s="106">
        <v>2026</v>
      </c>
    </row>
    <row r="157" spans="1:14">
      <c r="A157" s="106">
        <v>157</v>
      </c>
      <c r="B157" s="106" t="s">
        <v>35</v>
      </c>
      <c r="C157" s="106" t="s">
        <v>36</v>
      </c>
      <c r="D157" s="106" t="s">
        <v>60</v>
      </c>
      <c r="E157" s="125" t="s">
        <v>70</v>
      </c>
      <c r="G157" s="106" t="s">
        <v>121</v>
      </c>
      <c r="H157" s="106" t="s">
        <v>115</v>
      </c>
      <c r="I157" s="140">
        <v>157.1</v>
      </c>
      <c r="J157" s="106" t="s">
        <v>503</v>
      </c>
      <c r="K157" s="109">
        <v>46054</v>
      </c>
      <c r="L157" s="106">
        <v>2026400315</v>
      </c>
      <c r="M157" s="112" t="s">
        <v>202</v>
      </c>
      <c r="N157" s="106">
        <v>2026</v>
      </c>
    </row>
    <row r="158" spans="1:14">
      <c r="A158" s="106">
        <v>158</v>
      </c>
      <c r="B158" s="106" t="s">
        <v>17</v>
      </c>
      <c r="C158" s="106" t="s">
        <v>25</v>
      </c>
      <c r="D158" s="106" t="s">
        <v>60</v>
      </c>
      <c r="E158" s="125" t="s">
        <v>70</v>
      </c>
      <c r="G158" s="106" t="s">
        <v>121</v>
      </c>
      <c r="H158" s="106" t="s">
        <v>115</v>
      </c>
      <c r="I158" s="140">
        <v>1500</v>
      </c>
      <c r="J158" s="106" t="s">
        <v>506</v>
      </c>
      <c r="K158" s="109">
        <v>46054</v>
      </c>
      <c r="L158" s="106">
        <v>2026400282</v>
      </c>
      <c r="M158" s="112" t="s">
        <v>202</v>
      </c>
      <c r="N158" s="106">
        <v>2026</v>
      </c>
    </row>
    <row r="159" spans="1:14">
      <c r="A159" s="106">
        <v>159</v>
      </c>
      <c r="B159" s="106" t="s">
        <v>42</v>
      </c>
      <c r="C159" s="106" t="s">
        <v>50</v>
      </c>
      <c r="D159" s="106" t="s">
        <v>60</v>
      </c>
      <c r="E159" s="125" t="s">
        <v>70</v>
      </c>
      <c r="G159" s="106" t="s">
        <v>121</v>
      </c>
      <c r="H159" s="106" t="s">
        <v>115</v>
      </c>
      <c r="I159" s="140">
        <v>2288.6999999999998</v>
      </c>
      <c r="J159" s="106" t="s">
        <v>511</v>
      </c>
      <c r="K159" s="109">
        <v>46060</v>
      </c>
      <c r="L159" s="106">
        <v>2026400388</v>
      </c>
      <c r="M159" s="112" t="s">
        <v>202</v>
      </c>
      <c r="N159" s="106">
        <v>2026</v>
      </c>
    </row>
    <row r="160" spans="1:14">
      <c r="A160" s="106">
        <v>160</v>
      </c>
      <c r="B160" s="106" t="s">
        <v>17</v>
      </c>
      <c r="C160" s="106" t="s">
        <v>25</v>
      </c>
      <c r="D160" s="106" t="s">
        <v>60</v>
      </c>
      <c r="E160" s="125" t="s">
        <v>70</v>
      </c>
      <c r="G160" s="106" t="s">
        <v>121</v>
      </c>
      <c r="H160" s="106" t="s">
        <v>115</v>
      </c>
      <c r="I160" s="140">
        <v>238.3</v>
      </c>
      <c r="J160" s="106" t="s">
        <v>513</v>
      </c>
      <c r="K160" s="109">
        <v>46060</v>
      </c>
      <c r="L160" s="106">
        <v>2026400363</v>
      </c>
      <c r="M160" s="112" t="s">
        <v>202</v>
      </c>
      <c r="N160" s="106">
        <v>2026</v>
      </c>
    </row>
    <row r="161" spans="1:14">
      <c r="A161" s="106">
        <v>161</v>
      </c>
      <c r="B161" s="106" t="s">
        <v>52</v>
      </c>
      <c r="C161" s="106" t="s">
        <v>62</v>
      </c>
      <c r="D161" s="106" t="s">
        <v>60</v>
      </c>
      <c r="E161" s="125" t="s">
        <v>70</v>
      </c>
      <c r="G161" s="106" t="s">
        <v>121</v>
      </c>
      <c r="H161" s="106" t="s">
        <v>115</v>
      </c>
      <c r="I161" s="140">
        <v>465</v>
      </c>
      <c r="J161" s="106" t="s">
        <v>514</v>
      </c>
      <c r="K161" s="109">
        <v>46058</v>
      </c>
      <c r="L161" s="106">
        <v>2026400338</v>
      </c>
      <c r="M161" s="112" t="s">
        <v>202</v>
      </c>
      <c r="N161" s="106">
        <v>2026</v>
      </c>
    </row>
    <row r="162" spans="1:14">
      <c r="A162" s="106">
        <v>162</v>
      </c>
      <c r="B162" s="106" t="s">
        <v>42</v>
      </c>
      <c r="C162" s="106" t="s">
        <v>50</v>
      </c>
      <c r="D162" s="106" t="s">
        <v>60</v>
      </c>
      <c r="E162" s="125" t="s">
        <v>70</v>
      </c>
      <c r="G162" s="106" t="s">
        <v>121</v>
      </c>
      <c r="H162" s="106" t="s">
        <v>115</v>
      </c>
      <c r="I162" s="140">
        <v>2018.5</v>
      </c>
      <c r="J162" s="106" t="s">
        <v>515</v>
      </c>
      <c r="K162" s="109">
        <v>46058</v>
      </c>
      <c r="L162" s="106">
        <v>2026400347</v>
      </c>
      <c r="M162" s="112" t="s">
        <v>202</v>
      </c>
      <c r="N162" s="106">
        <v>2026</v>
      </c>
    </row>
    <row r="163" spans="1:14">
      <c r="A163" s="106">
        <v>163</v>
      </c>
      <c r="B163" s="106" t="s">
        <v>42</v>
      </c>
      <c r="C163" s="106" t="s">
        <v>50</v>
      </c>
      <c r="D163" s="106" t="s">
        <v>60</v>
      </c>
      <c r="E163" s="125" t="s">
        <v>70</v>
      </c>
      <c r="G163" s="106" t="s">
        <v>121</v>
      </c>
      <c r="H163" s="106" t="s">
        <v>115</v>
      </c>
      <c r="I163" s="140">
        <v>1972.7</v>
      </c>
      <c r="J163" s="106" t="s">
        <v>516</v>
      </c>
      <c r="K163" s="109">
        <v>46060</v>
      </c>
      <c r="L163" s="106">
        <v>2026400346</v>
      </c>
      <c r="M163" s="112" t="s">
        <v>202</v>
      </c>
      <c r="N163" s="106">
        <v>2026</v>
      </c>
    </row>
    <row r="164" spans="1:14">
      <c r="A164" s="106">
        <v>164</v>
      </c>
      <c r="B164" s="106" t="s">
        <v>52</v>
      </c>
      <c r="C164" s="106" t="s">
        <v>62</v>
      </c>
      <c r="D164" s="106" t="s">
        <v>60</v>
      </c>
      <c r="E164" s="125" t="s">
        <v>70</v>
      </c>
      <c r="G164" s="106" t="s">
        <v>121</v>
      </c>
      <c r="H164" s="106" t="s">
        <v>115</v>
      </c>
      <c r="I164" s="140">
        <v>424.2</v>
      </c>
      <c r="J164" s="106" t="s">
        <v>517</v>
      </c>
      <c r="K164" s="109">
        <v>46058</v>
      </c>
      <c r="L164" s="106">
        <v>2026400339</v>
      </c>
      <c r="M164" s="112" t="s">
        <v>202</v>
      </c>
      <c r="N164" s="106">
        <v>2026</v>
      </c>
    </row>
    <row r="165" spans="1:14">
      <c r="A165" s="106">
        <v>165</v>
      </c>
      <c r="B165" s="106" t="s">
        <v>52</v>
      </c>
      <c r="C165" s="106" t="s">
        <v>62</v>
      </c>
      <c r="D165" s="106" t="s">
        <v>60</v>
      </c>
      <c r="E165" s="125" t="s">
        <v>70</v>
      </c>
      <c r="G165" s="106" t="s">
        <v>121</v>
      </c>
      <c r="H165" s="106" t="s">
        <v>115</v>
      </c>
      <c r="I165" s="140">
        <v>1050</v>
      </c>
      <c r="J165" s="106" t="s">
        <v>518</v>
      </c>
      <c r="K165" s="109">
        <v>46058</v>
      </c>
      <c r="L165" s="106">
        <v>2026400340</v>
      </c>
      <c r="M165" s="112" t="s">
        <v>202</v>
      </c>
      <c r="N165" s="106">
        <v>2026</v>
      </c>
    </row>
    <row r="166" spans="1:14">
      <c r="A166" s="106">
        <v>166</v>
      </c>
      <c r="B166" s="106" t="s">
        <v>52</v>
      </c>
      <c r="C166" s="106" t="s">
        <v>62</v>
      </c>
      <c r="D166" s="106" t="s">
        <v>60</v>
      </c>
      <c r="E166" s="125" t="s">
        <v>70</v>
      </c>
      <c r="G166" s="106" t="s">
        <v>121</v>
      </c>
      <c r="H166" s="106" t="s">
        <v>115</v>
      </c>
      <c r="I166" s="140">
        <v>1904</v>
      </c>
      <c r="J166" s="106" t="s">
        <v>519</v>
      </c>
      <c r="K166" s="109">
        <v>46058</v>
      </c>
      <c r="L166" s="106">
        <v>2026400341</v>
      </c>
      <c r="M166" s="112" t="s">
        <v>202</v>
      </c>
      <c r="N166" s="106">
        <v>2026</v>
      </c>
    </row>
    <row r="167" spans="1:14">
      <c r="A167" s="106">
        <v>167</v>
      </c>
      <c r="B167" s="106" t="s">
        <v>17</v>
      </c>
      <c r="C167" s="106" t="s">
        <v>25</v>
      </c>
      <c r="D167" s="106" t="s">
        <v>60</v>
      </c>
      <c r="E167" s="125" t="s">
        <v>70</v>
      </c>
      <c r="G167" s="106" t="s">
        <v>121</v>
      </c>
      <c r="H167" s="106" t="s">
        <v>115</v>
      </c>
      <c r="I167" s="140">
        <v>454.1</v>
      </c>
      <c r="J167" s="106" t="s">
        <v>520</v>
      </c>
      <c r="K167" s="109">
        <v>46060</v>
      </c>
      <c r="L167" s="106">
        <v>2026400352</v>
      </c>
      <c r="M167" s="112" t="s">
        <v>202</v>
      </c>
      <c r="N167" s="106">
        <v>2026</v>
      </c>
    </row>
    <row r="168" spans="1:14">
      <c r="A168" s="106">
        <v>168</v>
      </c>
      <c r="B168" s="106" t="s">
        <v>17</v>
      </c>
      <c r="C168" s="106" t="s">
        <v>388</v>
      </c>
      <c r="D168" s="106" t="s">
        <v>60</v>
      </c>
      <c r="E168" s="125" t="s">
        <v>70</v>
      </c>
      <c r="G168" s="106" t="s">
        <v>121</v>
      </c>
      <c r="H168" s="106" t="s">
        <v>115</v>
      </c>
      <c r="I168" s="140">
        <v>1620</v>
      </c>
      <c r="J168" s="106" t="s">
        <v>532</v>
      </c>
      <c r="K168" s="109">
        <v>46075</v>
      </c>
      <c r="L168" s="106">
        <v>2026400558</v>
      </c>
      <c r="M168" s="112" t="s">
        <v>202</v>
      </c>
      <c r="N168" s="106">
        <v>2026</v>
      </c>
    </row>
    <row r="169" spans="1:14">
      <c r="A169" s="106">
        <v>169</v>
      </c>
      <c r="B169" s="106" t="s">
        <v>42</v>
      </c>
      <c r="C169" s="106" t="s">
        <v>48</v>
      </c>
      <c r="D169" s="106" t="s">
        <v>60</v>
      </c>
      <c r="E169" s="106" t="s">
        <v>70</v>
      </c>
      <c r="G169" s="106" t="s">
        <v>121</v>
      </c>
      <c r="H169" s="106" t="s">
        <v>115</v>
      </c>
      <c r="I169" s="140">
        <v>214</v>
      </c>
      <c r="J169" s="106" t="s">
        <v>536</v>
      </c>
      <c r="K169" s="109">
        <v>46075</v>
      </c>
      <c r="L169" s="106">
        <v>2026400557</v>
      </c>
      <c r="M169" s="112" t="s">
        <v>202</v>
      </c>
      <c r="N169" s="106">
        <v>2026</v>
      </c>
    </row>
    <row r="170" spans="1:14">
      <c r="A170" s="106">
        <v>170</v>
      </c>
      <c r="B170" s="106" t="s">
        <v>42</v>
      </c>
      <c r="C170" s="106" t="s">
        <v>48</v>
      </c>
      <c r="D170" s="106" t="s">
        <v>60</v>
      </c>
      <c r="E170" s="125" t="s">
        <v>70</v>
      </c>
      <c r="G170" s="106" t="s">
        <v>121</v>
      </c>
      <c r="H170" s="106" t="s">
        <v>115</v>
      </c>
      <c r="I170" s="140">
        <v>748.5</v>
      </c>
      <c r="J170" s="106" t="s">
        <v>537</v>
      </c>
      <c r="K170" s="109">
        <v>46075</v>
      </c>
      <c r="L170" s="106">
        <v>2026400560</v>
      </c>
      <c r="M170" s="112" t="s">
        <v>202</v>
      </c>
      <c r="N170" s="106">
        <v>2026</v>
      </c>
    </row>
    <row r="171" spans="1:14">
      <c r="A171" s="106">
        <v>171</v>
      </c>
      <c r="B171" s="106" t="s">
        <v>42</v>
      </c>
      <c r="C171" s="106" t="s">
        <v>50</v>
      </c>
      <c r="D171" s="106" t="s">
        <v>60</v>
      </c>
      <c r="E171" s="125" t="s">
        <v>70</v>
      </c>
      <c r="G171" s="106" t="s">
        <v>121</v>
      </c>
      <c r="H171" s="106" t="s">
        <v>115</v>
      </c>
      <c r="I171" s="140">
        <v>664.2</v>
      </c>
      <c r="J171" s="106" t="s">
        <v>538</v>
      </c>
      <c r="K171" s="109">
        <v>46075</v>
      </c>
      <c r="L171" s="106">
        <v>2026400382</v>
      </c>
      <c r="M171" s="112" t="s">
        <v>202</v>
      </c>
      <c r="N171" s="106">
        <v>2026</v>
      </c>
    </row>
    <row r="172" spans="1:14">
      <c r="A172" s="106">
        <v>172</v>
      </c>
      <c r="B172" s="106" t="s">
        <v>42</v>
      </c>
      <c r="C172" s="106" t="s">
        <v>50</v>
      </c>
      <c r="D172" s="106" t="s">
        <v>60</v>
      </c>
      <c r="E172" s="125" t="s">
        <v>70</v>
      </c>
      <c r="G172" s="106" t="s">
        <v>121</v>
      </c>
      <c r="H172" s="106" t="s">
        <v>115</v>
      </c>
      <c r="I172" s="140">
        <v>300</v>
      </c>
      <c r="J172" s="106" t="s">
        <v>540</v>
      </c>
      <c r="K172" s="109">
        <v>46076</v>
      </c>
      <c r="L172" s="106">
        <v>2026400574</v>
      </c>
      <c r="M172" s="112" t="s">
        <v>202</v>
      </c>
      <c r="N172" s="106">
        <v>2026</v>
      </c>
    </row>
    <row r="173" spans="1:14">
      <c r="A173" s="106">
        <v>173</v>
      </c>
      <c r="B173" s="106" t="s">
        <v>52</v>
      </c>
      <c r="C173" s="106" t="s">
        <v>62</v>
      </c>
      <c r="D173" s="106" t="s">
        <v>60</v>
      </c>
      <c r="E173" s="125" t="s">
        <v>70</v>
      </c>
      <c r="G173" s="106" t="s">
        <v>121</v>
      </c>
      <c r="H173" s="106" t="s">
        <v>115</v>
      </c>
      <c r="I173" s="140">
        <v>3125.8</v>
      </c>
      <c r="J173" s="106" t="s">
        <v>541</v>
      </c>
      <c r="K173" s="109">
        <v>46075</v>
      </c>
      <c r="L173" s="106">
        <v>2026400409</v>
      </c>
      <c r="M173" s="112" t="s">
        <v>202</v>
      </c>
      <c r="N173" s="106">
        <v>2026</v>
      </c>
    </row>
    <row r="174" spans="1:14">
      <c r="A174" s="106">
        <v>174</v>
      </c>
      <c r="B174" s="106" t="s">
        <v>42</v>
      </c>
      <c r="C174" s="106" t="s">
        <v>45</v>
      </c>
      <c r="D174" s="106" t="s">
        <v>60</v>
      </c>
      <c r="E174" s="106" t="s">
        <v>70</v>
      </c>
      <c r="G174" s="106" t="s">
        <v>121</v>
      </c>
      <c r="H174" s="106" t="s">
        <v>115</v>
      </c>
      <c r="I174" s="140">
        <v>1571.4</v>
      </c>
      <c r="J174" s="106" t="s">
        <v>547</v>
      </c>
      <c r="K174" s="109">
        <v>46076</v>
      </c>
      <c r="L174" s="106">
        <v>2026400569</v>
      </c>
      <c r="M174" s="112" t="s">
        <v>202</v>
      </c>
      <c r="N174" s="106">
        <v>2026</v>
      </c>
    </row>
    <row r="175" spans="1:14">
      <c r="A175" s="106">
        <v>175</v>
      </c>
      <c r="B175" s="106" t="s">
        <v>42</v>
      </c>
      <c r="C175" s="106" t="s">
        <v>48</v>
      </c>
      <c r="D175" s="106" t="s">
        <v>60</v>
      </c>
      <c r="E175" s="106" t="s">
        <v>70</v>
      </c>
      <c r="G175" s="106" t="s">
        <v>121</v>
      </c>
      <c r="H175" s="106" t="s">
        <v>115</v>
      </c>
      <c r="I175" s="140">
        <v>120</v>
      </c>
      <c r="J175" s="106" t="s">
        <v>548</v>
      </c>
      <c r="K175" s="109">
        <v>46076</v>
      </c>
      <c r="L175" s="106">
        <v>2026400567</v>
      </c>
      <c r="M175" s="112" t="s">
        <v>202</v>
      </c>
      <c r="N175" s="106">
        <v>2026</v>
      </c>
    </row>
    <row r="176" spans="1:14">
      <c r="A176" s="106">
        <v>176</v>
      </c>
      <c r="B176" s="106" t="s">
        <v>42</v>
      </c>
      <c r="C176" s="106" t="s">
        <v>48</v>
      </c>
      <c r="D176" s="106" t="s">
        <v>60</v>
      </c>
      <c r="E176" s="125" t="s">
        <v>70</v>
      </c>
      <c r="G176" s="106" t="s">
        <v>121</v>
      </c>
      <c r="H176" s="106" t="s">
        <v>115</v>
      </c>
      <c r="I176" s="140">
        <v>872.8</v>
      </c>
      <c r="J176" s="106" t="s">
        <v>549</v>
      </c>
      <c r="K176" s="109">
        <v>46076</v>
      </c>
      <c r="L176" s="106">
        <v>2026400571</v>
      </c>
      <c r="M176" s="112" t="s">
        <v>202</v>
      </c>
      <c r="N176" s="106">
        <v>2026</v>
      </c>
    </row>
    <row r="177" spans="1:14">
      <c r="A177" s="106">
        <v>177</v>
      </c>
      <c r="B177" s="106" t="s">
        <v>52</v>
      </c>
      <c r="C177" s="106" t="s">
        <v>62</v>
      </c>
      <c r="D177" s="106" t="s">
        <v>60</v>
      </c>
      <c r="E177" s="106" t="s">
        <v>70</v>
      </c>
      <c r="G177" s="106" t="s">
        <v>121</v>
      </c>
      <c r="H177" s="106" t="s">
        <v>115</v>
      </c>
      <c r="I177" s="140">
        <v>1250</v>
      </c>
      <c r="J177" s="106" t="s">
        <v>550</v>
      </c>
      <c r="K177" s="109">
        <v>46076</v>
      </c>
      <c r="L177" s="106">
        <v>2026400570</v>
      </c>
      <c r="M177" s="112" t="s">
        <v>202</v>
      </c>
      <c r="N177" s="106">
        <v>2026</v>
      </c>
    </row>
    <row r="178" spans="1:14">
      <c r="A178" s="106">
        <v>178</v>
      </c>
      <c r="B178" s="106" t="s">
        <v>35</v>
      </c>
      <c r="C178" s="106" t="s">
        <v>36</v>
      </c>
      <c r="D178" s="106" t="s">
        <v>60</v>
      </c>
      <c r="E178" s="106" t="s">
        <v>70</v>
      </c>
      <c r="G178" s="106" t="s">
        <v>121</v>
      </c>
      <c r="H178" s="106" t="s">
        <v>115</v>
      </c>
      <c r="I178" s="140">
        <v>340</v>
      </c>
      <c r="J178" s="106" t="s">
        <v>551</v>
      </c>
      <c r="K178" s="109">
        <v>46076</v>
      </c>
      <c r="L178" s="106">
        <v>2026400573</v>
      </c>
      <c r="M178" s="112" t="s">
        <v>202</v>
      </c>
      <c r="N178" s="106">
        <v>2026</v>
      </c>
    </row>
    <row r="179" spans="1:14">
      <c r="A179" s="106">
        <v>179</v>
      </c>
      <c r="B179" s="125" t="s">
        <v>17</v>
      </c>
      <c r="C179" s="125" t="s">
        <v>25</v>
      </c>
      <c r="D179" s="106" t="s">
        <v>60</v>
      </c>
      <c r="E179" s="106" t="s">
        <v>70</v>
      </c>
      <c r="G179" s="106" t="s">
        <v>121</v>
      </c>
      <c r="H179" s="106" t="s">
        <v>115</v>
      </c>
      <c r="I179" s="140">
        <v>4650.2</v>
      </c>
      <c r="J179" s="106" t="s">
        <v>552</v>
      </c>
      <c r="K179" s="109">
        <v>46075</v>
      </c>
      <c r="L179" s="106">
        <v>2026400422</v>
      </c>
      <c r="M179" s="112" t="s">
        <v>202</v>
      </c>
      <c r="N179" s="106">
        <v>2026</v>
      </c>
    </row>
    <row r="180" spans="1:14">
      <c r="A180" s="106">
        <v>180</v>
      </c>
      <c r="B180" s="106" t="s">
        <v>42</v>
      </c>
      <c r="C180" s="106" t="s">
        <v>50</v>
      </c>
      <c r="D180" s="106" t="s">
        <v>60</v>
      </c>
      <c r="E180" s="125" t="s">
        <v>70</v>
      </c>
      <c r="G180" s="106" t="s">
        <v>121</v>
      </c>
      <c r="H180" s="106" t="s">
        <v>115</v>
      </c>
      <c r="I180" s="140">
        <v>708</v>
      </c>
      <c r="J180" s="106" t="s">
        <v>554</v>
      </c>
      <c r="K180" s="109">
        <v>46076</v>
      </c>
      <c r="L180" s="106">
        <v>2026400568</v>
      </c>
      <c r="M180" s="112" t="s">
        <v>202</v>
      </c>
      <c r="N180" s="106">
        <v>2026</v>
      </c>
    </row>
    <row r="181" spans="1:14">
      <c r="A181" s="106">
        <v>181</v>
      </c>
      <c r="B181" s="106" t="s">
        <v>42</v>
      </c>
      <c r="C181" s="106" t="s">
        <v>50</v>
      </c>
      <c r="D181" s="106" t="s">
        <v>60</v>
      </c>
      <c r="E181" s="125" t="s">
        <v>70</v>
      </c>
      <c r="G181" s="106" t="s">
        <v>121</v>
      </c>
      <c r="H181" s="106" t="s">
        <v>115</v>
      </c>
      <c r="I181" s="140">
        <v>1296.8</v>
      </c>
      <c r="J181" s="106" t="s">
        <v>555</v>
      </c>
      <c r="K181" s="109">
        <v>46068</v>
      </c>
      <c r="L181" s="106">
        <v>2026400492</v>
      </c>
      <c r="M181" s="112" t="s">
        <v>202</v>
      </c>
      <c r="N181" s="106">
        <v>2026</v>
      </c>
    </row>
    <row r="182" spans="1:14">
      <c r="A182" s="106">
        <v>182</v>
      </c>
      <c r="B182" s="106" t="s">
        <v>52</v>
      </c>
      <c r="C182" s="106" t="s">
        <v>62</v>
      </c>
      <c r="D182" s="106" t="s">
        <v>60</v>
      </c>
      <c r="E182" s="125" t="s">
        <v>70</v>
      </c>
      <c r="G182" s="106" t="s">
        <v>121</v>
      </c>
      <c r="H182" s="106" t="s">
        <v>115</v>
      </c>
      <c r="I182" s="140">
        <v>1781</v>
      </c>
      <c r="J182" s="106" t="s">
        <v>561</v>
      </c>
      <c r="K182" s="109">
        <v>46078</v>
      </c>
      <c r="L182" s="106">
        <v>2026400580</v>
      </c>
      <c r="M182" s="112" t="s">
        <v>202</v>
      </c>
      <c r="N182" s="106">
        <v>2026</v>
      </c>
    </row>
    <row r="183" spans="1:14">
      <c r="A183" s="106">
        <v>183</v>
      </c>
      <c r="B183" s="106" t="s">
        <v>17</v>
      </c>
      <c r="C183" s="106" t="s">
        <v>18</v>
      </c>
      <c r="D183" s="106" t="s">
        <v>60</v>
      </c>
      <c r="E183" s="125" t="s">
        <v>70</v>
      </c>
      <c r="G183" s="106" t="s">
        <v>121</v>
      </c>
      <c r="H183" s="106" t="s">
        <v>115</v>
      </c>
      <c r="I183" s="140">
        <v>650</v>
      </c>
      <c r="J183" s="106" t="s">
        <v>562</v>
      </c>
      <c r="K183" s="109">
        <v>46078</v>
      </c>
      <c r="L183" s="106">
        <v>2026400605</v>
      </c>
      <c r="M183" s="112" t="s">
        <v>202</v>
      </c>
      <c r="N183" s="106">
        <v>2026</v>
      </c>
    </row>
    <row r="184" spans="1:14">
      <c r="A184" s="106">
        <v>184</v>
      </c>
      <c r="B184" s="106" t="s">
        <v>17</v>
      </c>
      <c r="C184" s="106" t="s">
        <v>22</v>
      </c>
      <c r="D184" s="106" t="s">
        <v>60</v>
      </c>
      <c r="E184" s="125" t="s">
        <v>70</v>
      </c>
      <c r="G184" s="106" t="s">
        <v>121</v>
      </c>
      <c r="H184" s="106" t="s">
        <v>115</v>
      </c>
      <c r="I184" s="140">
        <v>1030</v>
      </c>
      <c r="J184" s="106" t="s">
        <v>563</v>
      </c>
      <c r="K184" s="109">
        <v>46078</v>
      </c>
      <c r="L184" s="106">
        <v>2026400588</v>
      </c>
      <c r="M184" s="112" t="s">
        <v>202</v>
      </c>
      <c r="N184" s="106">
        <v>2026</v>
      </c>
    </row>
    <row r="185" spans="1:14">
      <c r="A185" s="106">
        <v>185</v>
      </c>
      <c r="B185" s="106" t="s">
        <v>17</v>
      </c>
      <c r="C185" s="106" t="s">
        <v>18</v>
      </c>
      <c r="D185" s="106" t="s">
        <v>60</v>
      </c>
      <c r="E185" s="125" t="s">
        <v>70</v>
      </c>
      <c r="G185" s="106" t="s">
        <v>121</v>
      </c>
      <c r="H185" s="106" t="s">
        <v>115</v>
      </c>
      <c r="I185" s="140">
        <v>80</v>
      </c>
      <c r="J185" s="106" t="s">
        <v>564</v>
      </c>
      <c r="K185" s="109">
        <v>46081</v>
      </c>
      <c r="L185" s="106">
        <v>2026400677</v>
      </c>
      <c r="M185" s="112" t="s">
        <v>202</v>
      </c>
      <c r="N185" s="106">
        <v>2026</v>
      </c>
    </row>
    <row r="186" spans="1:14">
      <c r="A186" s="106">
        <v>186</v>
      </c>
      <c r="B186" s="106" t="s">
        <v>54</v>
      </c>
      <c r="C186" s="106" t="s">
        <v>93</v>
      </c>
      <c r="D186" s="106" t="s">
        <v>60</v>
      </c>
      <c r="E186" s="106" t="s">
        <v>70</v>
      </c>
      <c r="G186" s="106" t="s">
        <v>121</v>
      </c>
      <c r="H186" s="106" t="s">
        <v>115</v>
      </c>
      <c r="I186" s="140">
        <v>965</v>
      </c>
      <c r="J186" s="106" t="s">
        <v>567</v>
      </c>
      <c r="K186" s="109">
        <v>46076</v>
      </c>
      <c r="L186" s="106">
        <v>2026400577</v>
      </c>
      <c r="M186" s="112" t="s">
        <v>202</v>
      </c>
      <c r="N186" s="106">
        <v>2026</v>
      </c>
    </row>
    <row r="187" spans="1:14">
      <c r="A187" s="106">
        <v>187</v>
      </c>
      <c r="B187" s="106" t="s">
        <v>54</v>
      </c>
      <c r="C187" s="106" t="s">
        <v>55</v>
      </c>
      <c r="D187" s="106" t="s">
        <v>60</v>
      </c>
      <c r="E187" s="125" t="s">
        <v>70</v>
      </c>
      <c r="G187" s="106" t="s">
        <v>121</v>
      </c>
      <c r="H187" s="106" t="s">
        <v>115</v>
      </c>
      <c r="I187" s="140">
        <v>64</v>
      </c>
      <c r="J187" s="106" t="s">
        <v>569</v>
      </c>
      <c r="K187" s="109">
        <v>46068</v>
      </c>
      <c r="L187" s="106">
        <v>2026400402</v>
      </c>
      <c r="M187" s="112" t="s">
        <v>202</v>
      </c>
      <c r="N187" s="106">
        <v>2026</v>
      </c>
    </row>
    <row r="188" spans="1:14">
      <c r="A188" s="106">
        <v>188</v>
      </c>
      <c r="B188" s="106" t="s">
        <v>52</v>
      </c>
      <c r="C188" s="106" t="s">
        <v>62</v>
      </c>
      <c r="D188" s="106" t="s">
        <v>60</v>
      </c>
      <c r="E188" s="125" t="s">
        <v>70</v>
      </c>
      <c r="G188" s="106" t="s">
        <v>121</v>
      </c>
      <c r="H188" s="106" t="s">
        <v>115</v>
      </c>
      <c r="I188" s="140">
        <v>737.5</v>
      </c>
      <c r="J188" s="106" t="s">
        <v>570</v>
      </c>
      <c r="K188" s="109">
        <v>46068</v>
      </c>
      <c r="L188" s="106">
        <v>2026400401</v>
      </c>
      <c r="M188" s="112" t="s">
        <v>202</v>
      </c>
      <c r="N188" s="106">
        <v>2026</v>
      </c>
    </row>
    <row r="189" spans="1:14">
      <c r="A189" s="106">
        <v>189</v>
      </c>
      <c r="B189" s="125" t="s">
        <v>17</v>
      </c>
      <c r="C189" s="125" t="s">
        <v>687</v>
      </c>
      <c r="D189" s="106" t="s">
        <v>60</v>
      </c>
      <c r="E189" s="125" t="s">
        <v>70</v>
      </c>
      <c r="G189" s="125" t="s">
        <v>121</v>
      </c>
      <c r="H189" s="106" t="s">
        <v>115</v>
      </c>
      <c r="I189" s="140">
        <v>90</v>
      </c>
      <c r="J189" s="106" t="s">
        <v>571</v>
      </c>
      <c r="K189" s="109">
        <v>46068</v>
      </c>
      <c r="L189" s="106">
        <v>2026400424</v>
      </c>
      <c r="M189" s="112" t="s">
        <v>202</v>
      </c>
      <c r="N189" s="106">
        <v>2026</v>
      </c>
    </row>
    <row r="190" spans="1:14">
      <c r="A190" s="106">
        <v>190</v>
      </c>
      <c r="B190" s="106" t="s">
        <v>54</v>
      </c>
      <c r="C190" s="106" t="s">
        <v>55</v>
      </c>
      <c r="D190" s="106" t="s">
        <v>60</v>
      </c>
      <c r="E190" s="125" t="s">
        <v>70</v>
      </c>
      <c r="G190" s="106" t="s">
        <v>121</v>
      </c>
      <c r="H190" s="106" t="s">
        <v>115</v>
      </c>
      <c r="I190" s="140">
        <v>860</v>
      </c>
      <c r="J190" s="106" t="s">
        <v>573</v>
      </c>
      <c r="K190" s="109">
        <v>46068</v>
      </c>
      <c r="L190" s="106">
        <v>2026400445</v>
      </c>
      <c r="M190" s="112" t="s">
        <v>202</v>
      </c>
      <c r="N190" s="106">
        <v>2026</v>
      </c>
    </row>
    <row r="191" spans="1:14">
      <c r="A191" s="106">
        <v>191</v>
      </c>
      <c r="B191" s="106" t="s">
        <v>54</v>
      </c>
      <c r="C191" s="106" t="s">
        <v>93</v>
      </c>
      <c r="D191" s="106" t="s">
        <v>60</v>
      </c>
      <c r="E191" s="125" t="s">
        <v>70</v>
      </c>
      <c r="G191" s="106" t="s">
        <v>121</v>
      </c>
      <c r="H191" s="106" t="s">
        <v>115</v>
      </c>
      <c r="I191" s="140">
        <v>730</v>
      </c>
      <c r="J191" s="106" t="s">
        <v>574</v>
      </c>
      <c r="K191" s="109">
        <v>46069</v>
      </c>
      <c r="L191" s="106">
        <v>2026400505</v>
      </c>
      <c r="M191" s="112" t="s">
        <v>202</v>
      </c>
      <c r="N191" s="106">
        <v>2026</v>
      </c>
    </row>
    <row r="192" spans="1:14">
      <c r="A192" s="106">
        <v>192</v>
      </c>
      <c r="B192" s="125" t="s">
        <v>54</v>
      </c>
      <c r="C192" s="125" t="s">
        <v>93</v>
      </c>
      <c r="D192" s="106" t="s">
        <v>60</v>
      </c>
      <c r="E192" s="125" t="s">
        <v>70</v>
      </c>
      <c r="G192" s="125" t="s">
        <v>121</v>
      </c>
      <c r="H192" s="106" t="s">
        <v>115</v>
      </c>
      <c r="I192" s="140">
        <v>510</v>
      </c>
      <c r="J192" s="106" t="s">
        <v>575</v>
      </c>
      <c r="K192" s="109">
        <v>46069</v>
      </c>
      <c r="L192" s="106">
        <v>2026400501</v>
      </c>
      <c r="M192" s="112" t="s">
        <v>202</v>
      </c>
      <c r="N192" s="106">
        <v>2026</v>
      </c>
    </row>
    <row r="193" spans="1:14">
      <c r="A193" s="106">
        <v>193</v>
      </c>
      <c r="B193" s="106" t="s">
        <v>42</v>
      </c>
      <c r="C193" s="106" t="s">
        <v>47</v>
      </c>
      <c r="D193" s="106" t="s">
        <v>60</v>
      </c>
      <c r="E193" s="125" t="s">
        <v>70</v>
      </c>
      <c r="G193" s="106" t="s">
        <v>121</v>
      </c>
      <c r="H193" s="106" t="s">
        <v>115</v>
      </c>
      <c r="I193" s="140">
        <v>720</v>
      </c>
      <c r="J193" s="106" t="s">
        <v>579</v>
      </c>
      <c r="K193" s="109">
        <v>46068</v>
      </c>
      <c r="L193" s="106">
        <v>2026400429</v>
      </c>
      <c r="M193" s="112" t="s">
        <v>202</v>
      </c>
      <c r="N193" s="106">
        <v>2026</v>
      </c>
    </row>
    <row r="194" spans="1:14">
      <c r="A194" s="106">
        <v>194</v>
      </c>
      <c r="B194" s="125" t="s">
        <v>42</v>
      </c>
      <c r="C194" s="125" t="s">
        <v>50</v>
      </c>
      <c r="D194" s="106" t="s">
        <v>60</v>
      </c>
      <c r="E194" s="106" t="s">
        <v>70</v>
      </c>
      <c r="G194" s="106" t="s">
        <v>121</v>
      </c>
      <c r="H194" s="106" t="s">
        <v>115</v>
      </c>
      <c r="I194" s="140">
        <v>2240</v>
      </c>
      <c r="J194" s="106" t="s">
        <v>580</v>
      </c>
      <c r="K194" s="109">
        <v>46068</v>
      </c>
      <c r="L194" s="106">
        <v>2026400490</v>
      </c>
      <c r="M194" s="112" t="s">
        <v>202</v>
      </c>
      <c r="N194" s="106">
        <v>2026</v>
      </c>
    </row>
    <row r="195" spans="1:14">
      <c r="A195" s="106">
        <v>195</v>
      </c>
      <c r="B195" s="106" t="s">
        <v>17</v>
      </c>
      <c r="C195" s="106" t="s">
        <v>687</v>
      </c>
      <c r="D195" s="106" t="s">
        <v>60</v>
      </c>
      <c r="E195" s="106" t="s">
        <v>70</v>
      </c>
      <c r="G195" s="106" t="s">
        <v>121</v>
      </c>
      <c r="H195" s="106" t="s">
        <v>115</v>
      </c>
      <c r="I195" s="140">
        <v>31.5</v>
      </c>
      <c r="J195" s="106" t="s">
        <v>581</v>
      </c>
      <c r="K195" s="109">
        <v>46070</v>
      </c>
      <c r="L195" s="106">
        <v>2026400528</v>
      </c>
      <c r="M195" s="112" t="s">
        <v>202</v>
      </c>
      <c r="N195" s="106">
        <v>2026</v>
      </c>
    </row>
    <row r="196" spans="1:14">
      <c r="A196" s="106">
        <v>196</v>
      </c>
      <c r="B196" s="106" t="s">
        <v>17</v>
      </c>
      <c r="C196" s="106" t="s">
        <v>687</v>
      </c>
      <c r="D196" s="106" t="s">
        <v>60</v>
      </c>
      <c r="E196" s="125" t="s">
        <v>70</v>
      </c>
      <c r="G196" s="106" t="s">
        <v>121</v>
      </c>
      <c r="H196" s="106" t="s">
        <v>115</v>
      </c>
      <c r="I196" s="140">
        <v>2521.9</v>
      </c>
      <c r="J196" s="106" t="s">
        <v>582</v>
      </c>
      <c r="K196" s="109">
        <v>46070</v>
      </c>
      <c r="L196" s="106">
        <v>2026400440</v>
      </c>
      <c r="M196" s="112" t="s">
        <v>202</v>
      </c>
      <c r="N196" s="106">
        <v>2026</v>
      </c>
    </row>
    <row r="197" spans="1:14">
      <c r="A197" s="106">
        <v>197</v>
      </c>
      <c r="B197" s="106" t="s">
        <v>42</v>
      </c>
      <c r="C197" s="106" t="s">
        <v>48</v>
      </c>
      <c r="D197" s="106" t="s">
        <v>60</v>
      </c>
      <c r="E197" s="125" t="s">
        <v>70</v>
      </c>
      <c r="G197" s="106" t="s">
        <v>121</v>
      </c>
      <c r="H197" s="106" t="s">
        <v>115</v>
      </c>
      <c r="I197" s="140">
        <v>205.5</v>
      </c>
      <c r="J197" s="106" t="s">
        <v>583</v>
      </c>
      <c r="K197" s="109">
        <v>46070</v>
      </c>
      <c r="L197" s="106">
        <v>2026400535</v>
      </c>
      <c r="M197" s="112" t="s">
        <v>202</v>
      </c>
      <c r="N197" s="106">
        <v>2026</v>
      </c>
    </row>
    <row r="198" spans="1:14">
      <c r="A198" s="106">
        <v>198</v>
      </c>
      <c r="B198" s="106" t="s">
        <v>17</v>
      </c>
      <c r="C198" s="106" t="s">
        <v>22</v>
      </c>
      <c r="D198" s="106" t="s">
        <v>60</v>
      </c>
      <c r="E198" s="125" t="s">
        <v>70</v>
      </c>
      <c r="G198" s="127" t="s">
        <v>121</v>
      </c>
      <c r="H198" s="106" t="s">
        <v>115</v>
      </c>
      <c r="I198" s="140">
        <v>817</v>
      </c>
      <c r="J198" s="127" t="s">
        <v>586</v>
      </c>
      <c r="K198" s="109">
        <v>46069</v>
      </c>
      <c r="L198" s="127">
        <v>2026400494</v>
      </c>
      <c r="M198" s="112" t="s">
        <v>202</v>
      </c>
      <c r="N198" s="106">
        <v>2026</v>
      </c>
    </row>
    <row r="199" spans="1:14">
      <c r="A199" s="106">
        <v>199</v>
      </c>
      <c r="B199" s="106" t="s">
        <v>54</v>
      </c>
      <c r="C199" s="106" t="s">
        <v>93</v>
      </c>
      <c r="D199" s="106" t="s">
        <v>60</v>
      </c>
      <c r="E199" s="125" t="s">
        <v>70</v>
      </c>
      <c r="G199" s="106" t="s">
        <v>121</v>
      </c>
      <c r="H199" s="106" t="s">
        <v>115</v>
      </c>
      <c r="I199" s="140">
        <v>94</v>
      </c>
      <c r="J199" s="106" t="s">
        <v>587</v>
      </c>
      <c r="K199" s="109">
        <v>46069</v>
      </c>
      <c r="L199" s="106">
        <v>2026400483</v>
      </c>
      <c r="M199" s="112" t="s">
        <v>202</v>
      </c>
      <c r="N199" s="106">
        <v>2026</v>
      </c>
    </row>
    <row r="200" spans="1:14">
      <c r="A200" s="106">
        <v>200</v>
      </c>
      <c r="B200" s="106" t="s">
        <v>54</v>
      </c>
      <c r="C200" s="106" t="s">
        <v>55</v>
      </c>
      <c r="D200" s="106" t="s">
        <v>60</v>
      </c>
      <c r="E200" s="125" t="s">
        <v>70</v>
      </c>
      <c r="G200" s="106" t="s">
        <v>121</v>
      </c>
      <c r="H200" s="106" t="s">
        <v>115</v>
      </c>
      <c r="I200" s="140">
        <v>520</v>
      </c>
      <c r="J200" s="106" t="s">
        <v>588</v>
      </c>
      <c r="K200" s="109">
        <v>46070</v>
      </c>
      <c r="L200" s="106">
        <v>2026400408</v>
      </c>
      <c r="M200" s="112" t="s">
        <v>202</v>
      </c>
      <c r="N200" s="106">
        <v>2026</v>
      </c>
    </row>
    <row r="201" spans="1:14">
      <c r="A201" s="106">
        <v>201</v>
      </c>
      <c r="B201" s="106" t="s">
        <v>35</v>
      </c>
      <c r="C201" s="106" t="s">
        <v>36</v>
      </c>
      <c r="D201" s="106" t="s">
        <v>60</v>
      </c>
      <c r="E201" s="125" t="s">
        <v>70</v>
      </c>
      <c r="G201" s="106" t="s">
        <v>121</v>
      </c>
      <c r="H201" s="106" t="s">
        <v>115</v>
      </c>
      <c r="I201" s="140">
        <v>321</v>
      </c>
      <c r="J201" s="106" t="s">
        <v>589</v>
      </c>
      <c r="K201" s="109">
        <v>46068</v>
      </c>
      <c r="L201" s="106">
        <v>2026400502</v>
      </c>
      <c r="M201" s="112" t="s">
        <v>202</v>
      </c>
      <c r="N201" s="106">
        <v>2026</v>
      </c>
    </row>
    <row r="202" spans="1:14">
      <c r="A202" s="106">
        <v>202</v>
      </c>
      <c r="B202" s="106" t="s">
        <v>52</v>
      </c>
      <c r="C202" s="106" t="s">
        <v>62</v>
      </c>
      <c r="D202" s="106" t="s">
        <v>60</v>
      </c>
      <c r="E202" s="125" t="s">
        <v>70</v>
      </c>
      <c r="G202" s="106" t="s">
        <v>121</v>
      </c>
      <c r="H202" s="106" t="s">
        <v>115</v>
      </c>
      <c r="I202" s="140">
        <v>2339.1999999999998</v>
      </c>
      <c r="J202" s="106" t="s">
        <v>590</v>
      </c>
      <c r="K202" s="109">
        <v>46068</v>
      </c>
      <c r="L202" s="106">
        <v>2026400307</v>
      </c>
      <c r="M202" s="112" t="s">
        <v>202</v>
      </c>
      <c r="N202" s="106">
        <v>2026</v>
      </c>
    </row>
    <row r="203" spans="1:14">
      <c r="A203" s="106">
        <v>203</v>
      </c>
      <c r="B203" s="106" t="s">
        <v>52</v>
      </c>
      <c r="C203" s="106" t="s">
        <v>62</v>
      </c>
      <c r="D203" s="106" t="s">
        <v>60</v>
      </c>
      <c r="E203" s="125" t="s">
        <v>70</v>
      </c>
      <c r="G203" s="106" t="s">
        <v>121</v>
      </c>
      <c r="H203" s="106" t="s">
        <v>115</v>
      </c>
      <c r="I203" s="140">
        <v>462</v>
      </c>
      <c r="J203" s="106" t="s">
        <v>591</v>
      </c>
      <c r="K203" s="109">
        <v>46068</v>
      </c>
      <c r="L203" s="127">
        <v>2026400442</v>
      </c>
      <c r="M203" s="112" t="s">
        <v>202</v>
      </c>
      <c r="N203" s="106">
        <v>2026</v>
      </c>
    </row>
    <row r="204" spans="1:14">
      <c r="A204" s="106">
        <v>204</v>
      </c>
      <c r="B204" s="106" t="s">
        <v>42</v>
      </c>
      <c r="C204" s="106" t="s">
        <v>50</v>
      </c>
      <c r="D204" s="106" t="s">
        <v>60</v>
      </c>
      <c r="E204" s="125" t="s">
        <v>70</v>
      </c>
      <c r="G204" s="106" t="s">
        <v>121</v>
      </c>
      <c r="H204" s="106" t="s">
        <v>115</v>
      </c>
      <c r="I204" s="140">
        <v>1707.6</v>
      </c>
      <c r="J204" s="106" t="s">
        <v>592</v>
      </c>
      <c r="K204" s="109">
        <v>46068</v>
      </c>
      <c r="L204" s="106">
        <v>2026400458</v>
      </c>
      <c r="M204" s="112" t="s">
        <v>202</v>
      </c>
      <c r="N204" s="106">
        <v>2026</v>
      </c>
    </row>
    <row r="205" spans="1:14">
      <c r="A205" s="106">
        <v>205</v>
      </c>
      <c r="B205" s="106" t="s">
        <v>52</v>
      </c>
      <c r="C205" s="106" t="s">
        <v>62</v>
      </c>
      <c r="D205" s="106" t="s">
        <v>60</v>
      </c>
      <c r="E205" s="125" t="s">
        <v>70</v>
      </c>
      <c r="G205" s="106" t="s">
        <v>121</v>
      </c>
      <c r="H205" s="106" t="s">
        <v>115</v>
      </c>
      <c r="I205" s="140">
        <v>2412.1</v>
      </c>
      <c r="J205" s="106" t="s">
        <v>593</v>
      </c>
      <c r="K205" s="109">
        <v>46069</v>
      </c>
      <c r="L205" s="106">
        <v>2026400450</v>
      </c>
      <c r="M205" s="112" t="s">
        <v>202</v>
      </c>
      <c r="N205" s="106">
        <v>2026</v>
      </c>
    </row>
    <row r="206" spans="1:14">
      <c r="A206" s="106">
        <v>206</v>
      </c>
      <c r="B206" s="106" t="s">
        <v>17</v>
      </c>
      <c r="C206" s="106" t="s">
        <v>25</v>
      </c>
      <c r="D206" s="106" t="s">
        <v>60</v>
      </c>
      <c r="E206" s="125" t="s">
        <v>70</v>
      </c>
      <c r="G206" s="106" t="s">
        <v>121</v>
      </c>
      <c r="H206" s="106" t="s">
        <v>115</v>
      </c>
      <c r="I206" s="140">
        <v>2990</v>
      </c>
      <c r="J206" s="106" t="s">
        <v>594</v>
      </c>
      <c r="K206" s="109">
        <v>46069</v>
      </c>
      <c r="L206" s="106">
        <v>2026400459</v>
      </c>
      <c r="M206" s="112" t="s">
        <v>202</v>
      </c>
      <c r="N206" s="106">
        <v>2026</v>
      </c>
    </row>
    <row r="207" spans="1:14">
      <c r="A207" s="106">
        <v>207</v>
      </c>
      <c r="B207" s="106" t="s">
        <v>17</v>
      </c>
      <c r="C207" s="106" t="s">
        <v>25</v>
      </c>
      <c r="D207" s="106" t="s">
        <v>60</v>
      </c>
      <c r="E207" s="125" t="s">
        <v>70</v>
      </c>
      <c r="G207" s="106" t="s">
        <v>121</v>
      </c>
      <c r="H207" s="106" t="s">
        <v>115</v>
      </c>
      <c r="I207" s="140">
        <v>247.7</v>
      </c>
      <c r="J207" s="106" t="s">
        <v>595</v>
      </c>
      <c r="K207" s="109">
        <v>46069</v>
      </c>
      <c r="L207" s="106">
        <v>2026400454</v>
      </c>
      <c r="M207" s="112" t="s">
        <v>202</v>
      </c>
      <c r="N207" s="106">
        <v>2026</v>
      </c>
    </row>
    <row r="208" spans="1:14">
      <c r="A208" s="106">
        <v>208</v>
      </c>
      <c r="B208" s="106" t="s">
        <v>42</v>
      </c>
      <c r="C208" s="106" t="s">
        <v>50</v>
      </c>
      <c r="D208" s="106" t="s">
        <v>60</v>
      </c>
      <c r="E208" s="125" t="s">
        <v>70</v>
      </c>
      <c r="G208" s="106" t="s">
        <v>121</v>
      </c>
      <c r="H208" s="106" t="s">
        <v>115</v>
      </c>
      <c r="I208" s="140">
        <v>3247.5</v>
      </c>
      <c r="J208" s="106" t="s">
        <v>596</v>
      </c>
      <c r="K208" s="109">
        <v>46069</v>
      </c>
      <c r="L208" s="106">
        <v>2026400463</v>
      </c>
      <c r="M208" s="112" t="s">
        <v>202</v>
      </c>
      <c r="N208" s="106">
        <v>2026</v>
      </c>
    </row>
    <row r="209" spans="1:14">
      <c r="A209" s="106">
        <v>209</v>
      </c>
      <c r="B209" s="106" t="s">
        <v>42</v>
      </c>
      <c r="C209" s="106" t="s">
        <v>50</v>
      </c>
      <c r="D209" s="106" t="s">
        <v>60</v>
      </c>
      <c r="E209" s="125" t="s">
        <v>70</v>
      </c>
      <c r="G209" s="106" t="s">
        <v>121</v>
      </c>
      <c r="H209" s="106" t="s">
        <v>115</v>
      </c>
      <c r="I209" s="140">
        <v>1396.1</v>
      </c>
      <c r="J209" s="106" t="s">
        <v>597</v>
      </c>
      <c r="K209" s="109">
        <v>46069</v>
      </c>
      <c r="L209" s="106">
        <v>2026400430</v>
      </c>
      <c r="M209" s="112" t="s">
        <v>202</v>
      </c>
      <c r="N209" s="106">
        <v>2026</v>
      </c>
    </row>
    <row r="210" spans="1:14">
      <c r="A210" s="106">
        <v>210</v>
      </c>
      <c r="B210" s="106" t="s">
        <v>35</v>
      </c>
      <c r="C210" s="106" t="s">
        <v>36</v>
      </c>
      <c r="D210" s="106" t="s">
        <v>60</v>
      </c>
      <c r="E210" s="125" t="s">
        <v>70</v>
      </c>
      <c r="G210" s="106" t="s">
        <v>121</v>
      </c>
      <c r="H210" s="106" t="s">
        <v>115</v>
      </c>
      <c r="I210" s="140">
        <v>298</v>
      </c>
      <c r="J210" s="106" t="s">
        <v>598</v>
      </c>
      <c r="K210" s="109">
        <v>46069</v>
      </c>
      <c r="L210" s="106">
        <v>2026400512</v>
      </c>
      <c r="M210" s="112" t="s">
        <v>202</v>
      </c>
      <c r="N210" s="106">
        <v>2026</v>
      </c>
    </row>
    <row r="211" spans="1:14">
      <c r="A211" s="106">
        <v>211</v>
      </c>
      <c r="B211" s="106" t="s">
        <v>52</v>
      </c>
      <c r="C211" s="106" t="s">
        <v>62</v>
      </c>
      <c r="D211" s="106" t="s">
        <v>60</v>
      </c>
      <c r="E211" s="125" t="s">
        <v>70</v>
      </c>
      <c r="G211" s="106" t="s">
        <v>121</v>
      </c>
      <c r="H211" s="106" t="s">
        <v>115</v>
      </c>
      <c r="I211" s="140">
        <v>1800</v>
      </c>
      <c r="J211" s="106" t="s">
        <v>599</v>
      </c>
      <c r="K211" s="109">
        <v>46068</v>
      </c>
      <c r="L211" s="106">
        <v>2026400451</v>
      </c>
      <c r="M211" s="112" t="s">
        <v>202</v>
      </c>
      <c r="N211" s="106">
        <v>2026</v>
      </c>
    </row>
    <row r="212" spans="1:14">
      <c r="A212" s="106">
        <v>212</v>
      </c>
      <c r="B212" s="106" t="s">
        <v>52</v>
      </c>
      <c r="C212" s="106" t="s">
        <v>62</v>
      </c>
      <c r="D212" s="106" t="s">
        <v>60</v>
      </c>
      <c r="E212" s="125" t="s">
        <v>70</v>
      </c>
      <c r="G212" s="106" t="s">
        <v>121</v>
      </c>
      <c r="H212" s="106" t="s">
        <v>115</v>
      </c>
      <c r="I212" s="140">
        <v>1166</v>
      </c>
      <c r="J212" s="106" t="s">
        <v>600</v>
      </c>
      <c r="K212" s="109">
        <v>46068</v>
      </c>
      <c r="L212" s="106">
        <v>2026400452</v>
      </c>
      <c r="M212" s="112" t="s">
        <v>202</v>
      </c>
      <c r="N212" s="106">
        <v>2026</v>
      </c>
    </row>
    <row r="213" spans="1:14">
      <c r="A213" s="106">
        <v>213</v>
      </c>
      <c r="B213" s="106" t="s">
        <v>17</v>
      </c>
      <c r="C213" s="106" t="s">
        <v>388</v>
      </c>
      <c r="D213" s="106" t="s">
        <v>60</v>
      </c>
      <c r="E213" s="125" t="s">
        <v>70</v>
      </c>
      <c r="G213" s="106" t="s">
        <v>121</v>
      </c>
      <c r="H213" s="106" t="s">
        <v>115</v>
      </c>
      <c r="I213" s="140">
        <v>1039</v>
      </c>
      <c r="J213" s="106" t="s">
        <v>601</v>
      </c>
      <c r="K213" s="109">
        <v>46069</v>
      </c>
      <c r="L213" s="106">
        <v>2026400460</v>
      </c>
      <c r="M213" s="112" t="s">
        <v>202</v>
      </c>
      <c r="N213" s="106">
        <v>2026</v>
      </c>
    </row>
    <row r="214" spans="1:14">
      <c r="A214" s="106">
        <v>214</v>
      </c>
      <c r="B214" s="106" t="s">
        <v>52</v>
      </c>
      <c r="C214" s="106" t="s">
        <v>62</v>
      </c>
      <c r="D214" s="106" t="s">
        <v>60</v>
      </c>
      <c r="E214" s="125" t="s">
        <v>70</v>
      </c>
      <c r="G214" s="106" t="s">
        <v>121</v>
      </c>
      <c r="H214" s="106" t="s">
        <v>115</v>
      </c>
      <c r="I214" s="140">
        <v>2816.2</v>
      </c>
      <c r="J214" s="106" t="s">
        <v>602</v>
      </c>
      <c r="K214" s="109">
        <v>46068</v>
      </c>
      <c r="L214" s="106">
        <v>2026400448</v>
      </c>
      <c r="M214" s="112" t="s">
        <v>202</v>
      </c>
      <c r="N214" s="106">
        <v>2026</v>
      </c>
    </row>
    <row r="215" spans="1:14">
      <c r="A215" s="106">
        <v>215</v>
      </c>
      <c r="B215" s="106" t="s">
        <v>35</v>
      </c>
      <c r="C215" s="106" t="s">
        <v>37</v>
      </c>
      <c r="D215" s="106" t="s">
        <v>60</v>
      </c>
      <c r="E215" s="125" t="s">
        <v>70</v>
      </c>
      <c r="G215" s="106" t="s">
        <v>121</v>
      </c>
      <c r="H215" s="106" t="s">
        <v>115</v>
      </c>
      <c r="I215" s="140">
        <v>1020</v>
      </c>
      <c r="J215" s="106" t="s">
        <v>603</v>
      </c>
      <c r="K215" s="126">
        <v>46069</v>
      </c>
      <c r="L215" s="106">
        <v>2026400462</v>
      </c>
      <c r="M215" s="112" t="s">
        <v>202</v>
      </c>
      <c r="N215" s="106">
        <v>2026</v>
      </c>
    </row>
    <row r="216" spans="1:14">
      <c r="A216" s="106">
        <v>216</v>
      </c>
      <c r="B216" s="106" t="s">
        <v>42</v>
      </c>
      <c r="C216" s="106" t="s">
        <v>49</v>
      </c>
      <c r="D216" s="106" t="s">
        <v>60</v>
      </c>
      <c r="E216" s="125" t="s">
        <v>70</v>
      </c>
      <c r="G216" s="127" t="s">
        <v>121</v>
      </c>
      <c r="H216" s="106" t="s">
        <v>115</v>
      </c>
      <c r="I216" s="140">
        <v>3497</v>
      </c>
      <c r="J216" s="127" t="s">
        <v>604</v>
      </c>
      <c r="K216" s="109">
        <v>46068</v>
      </c>
      <c r="L216" s="127">
        <v>2026400461</v>
      </c>
      <c r="M216" s="112" t="s">
        <v>202</v>
      </c>
      <c r="N216" s="106">
        <v>2026</v>
      </c>
    </row>
    <row r="217" spans="1:14">
      <c r="A217" s="106">
        <v>217</v>
      </c>
      <c r="B217" s="106" t="s">
        <v>42</v>
      </c>
      <c r="C217" s="106" t="s">
        <v>50</v>
      </c>
      <c r="D217" s="106" t="s">
        <v>60</v>
      </c>
      <c r="E217" s="125" t="s">
        <v>70</v>
      </c>
      <c r="G217" s="106" t="s">
        <v>121</v>
      </c>
      <c r="H217" s="106" t="s">
        <v>115</v>
      </c>
      <c r="I217" s="140">
        <v>1483</v>
      </c>
      <c r="J217" s="106" t="s">
        <v>605</v>
      </c>
      <c r="K217" s="109">
        <v>46075</v>
      </c>
      <c r="L217" s="106">
        <v>2026400485</v>
      </c>
      <c r="M217" s="112" t="s">
        <v>202</v>
      </c>
      <c r="N217" s="106">
        <v>2026</v>
      </c>
    </row>
    <row r="218" spans="1:14">
      <c r="A218" s="106">
        <v>218</v>
      </c>
      <c r="B218" s="106" t="s">
        <v>35</v>
      </c>
      <c r="C218" s="106" t="s">
        <v>37</v>
      </c>
      <c r="D218" s="106" t="s">
        <v>60</v>
      </c>
      <c r="E218" s="125" t="s">
        <v>70</v>
      </c>
      <c r="G218" s="106" t="s">
        <v>121</v>
      </c>
      <c r="H218" s="106" t="s">
        <v>115</v>
      </c>
      <c r="I218" s="140">
        <v>70</v>
      </c>
      <c r="J218" s="106" t="s">
        <v>606</v>
      </c>
      <c r="K218" s="109">
        <v>46069</v>
      </c>
      <c r="L218" s="106">
        <v>2026400464</v>
      </c>
      <c r="M218" s="112" t="s">
        <v>202</v>
      </c>
      <c r="N218" s="106">
        <v>2026</v>
      </c>
    </row>
    <row r="219" spans="1:14">
      <c r="A219" s="106">
        <v>219</v>
      </c>
      <c r="B219" s="106" t="s">
        <v>17</v>
      </c>
      <c r="C219" s="106" t="s">
        <v>388</v>
      </c>
      <c r="D219" s="106" t="s">
        <v>60</v>
      </c>
      <c r="E219" s="106" t="s">
        <v>70</v>
      </c>
      <c r="G219" s="106" t="s">
        <v>121</v>
      </c>
      <c r="H219" s="106" t="s">
        <v>115</v>
      </c>
      <c r="I219" s="140">
        <v>369.2</v>
      </c>
      <c r="J219" s="106" t="s">
        <v>607</v>
      </c>
      <c r="K219" s="109">
        <v>46069</v>
      </c>
      <c r="L219" s="106">
        <v>2026400456</v>
      </c>
      <c r="M219" s="112" t="s">
        <v>202</v>
      </c>
      <c r="N219" s="106">
        <v>2026</v>
      </c>
    </row>
    <row r="220" spans="1:14">
      <c r="A220" s="106">
        <v>220</v>
      </c>
      <c r="B220" s="106" t="s">
        <v>42</v>
      </c>
      <c r="C220" s="106" t="s">
        <v>47</v>
      </c>
      <c r="D220" s="106" t="s">
        <v>60</v>
      </c>
      <c r="E220" s="125" t="s">
        <v>70</v>
      </c>
      <c r="G220" s="106" t="s">
        <v>121</v>
      </c>
      <c r="H220" s="106" t="s">
        <v>115</v>
      </c>
      <c r="I220" s="140">
        <v>1059</v>
      </c>
      <c r="J220" s="106" t="s">
        <v>608</v>
      </c>
      <c r="K220" s="109">
        <v>46068</v>
      </c>
      <c r="L220" s="106">
        <v>2026400457</v>
      </c>
      <c r="M220" s="112" t="s">
        <v>202</v>
      </c>
      <c r="N220" s="106">
        <v>2026</v>
      </c>
    </row>
    <row r="221" spans="1:14">
      <c r="A221" s="106">
        <v>221</v>
      </c>
      <c r="B221" s="106" t="s">
        <v>52</v>
      </c>
      <c r="C221" s="106" t="s">
        <v>62</v>
      </c>
      <c r="D221" s="106" t="s">
        <v>60</v>
      </c>
      <c r="E221" s="125" t="s">
        <v>70</v>
      </c>
      <c r="G221" s="106" t="s">
        <v>121</v>
      </c>
      <c r="H221" s="106" t="s">
        <v>115</v>
      </c>
      <c r="I221" s="140">
        <v>1358</v>
      </c>
      <c r="J221" s="106" t="s">
        <v>609</v>
      </c>
      <c r="K221" s="109">
        <v>46068</v>
      </c>
      <c r="L221" s="106">
        <v>2026400336</v>
      </c>
      <c r="M221" s="112" t="s">
        <v>202</v>
      </c>
      <c r="N221" s="106">
        <v>2026</v>
      </c>
    </row>
    <row r="222" spans="1:14">
      <c r="A222" s="106">
        <v>222</v>
      </c>
      <c r="B222" s="106" t="s">
        <v>58</v>
      </c>
      <c r="C222" s="106" t="s">
        <v>59</v>
      </c>
      <c r="D222" s="106" t="s">
        <v>60</v>
      </c>
      <c r="E222" s="106" t="s">
        <v>70</v>
      </c>
      <c r="G222" s="106" t="s">
        <v>121</v>
      </c>
      <c r="H222" s="106" t="s">
        <v>115</v>
      </c>
      <c r="I222" s="140">
        <v>948</v>
      </c>
      <c r="J222" s="106" t="s">
        <v>610</v>
      </c>
      <c r="K222" s="109">
        <v>46068</v>
      </c>
      <c r="L222" s="106">
        <v>2026400396</v>
      </c>
      <c r="M222" s="112" t="s">
        <v>202</v>
      </c>
      <c r="N222" s="106">
        <v>2026</v>
      </c>
    </row>
    <row r="223" spans="1:14">
      <c r="A223" s="106">
        <v>223</v>
      </c>
      <c r="B223" s="106" t="s">
        <v>17</v>
      </c>
      <c r="C223" s="106" t="s">
        <v>25</v>
      </c>
      <c r="D223" s="106" t="s">
        <v>60</v>
      </c>
      <c r="E223" s="125" t="s">
        <v>70</v>
      </c>
      <c r="G223" s="106" t="s">
        <v>121</v>
      </c>
      <c r="H223" s="106" t="s">
        <v>115</v>
      </c>
      <c r="I223" s="140">
        <v>2100</v>
      </c>
      <c r="J223" s="106" t="s">
        <v>611</v>
      </c>
      <c r="K223" s="109">
        <v>46068</v>
      </c>
      <c r="L223" s="106">
        <v>2026400397</v>
      </c>
      <c r="M223" s="112" t="s">
        <v>202</v>
      </c>
      <c r="N223" s="106">
        <v>2026</v>
      </c>
    </row>
    <row r="224" spans="1:14">
      <c r="A224" s="106">
        <v>224</v>
      </c>
      <c r="B224" s="106" t="s">
        <v>17</v>
      </c>
      <c r="C224" s="106" t="s">
        <v>22</v>
      </c>
      <c r="D224" s="106" t="s">
        <v>60</v>
      </c>
      <c r="E224" s="125" t="s">
        <v>70</v>
      </c>
      <c r="G224" s="106" t="s">
        <v>121</v>
      </c>
      <c r="H224" s="106" t="s">
        <v>115</v>
      </c>
      <c r="I224" s="140">
        <v>390</v>
      </c>
      <c r="J224" s="106" t="s">
        <v>612</v>
      </c>
      <c r="K224" s="109">
        <v>46068</v>
      </c>
      <c r="L224" s="106">
        <v>2026400420</v>
      </c>
      <c r="M224" s="112" t="s">
        <v>202</v>
      </c>
      <c r="N224" s="106">
        <v>2026</v>
      </c>
    </row>
    <row r="225" spans="1:14">
      <c r="A225" s="106">
        <v>225</v>
      </c>
      <c r="B225" s="106" t="s">
        <v>42</v>
      </c>
      <c r="C225" s="106" t="s">
        <v>44</v>
      </c>
      <c r="D225" s="106" t="s">
        <v>60</v>
      </c>
      <c r="E225" s="125" t="s">
        <v>70</v>
      </c>
      <c r="G225" s="106" t="s">
        <v>121</v>
      </c>
      <c r="H225" s="106" t="s">
        <v>115</v>
      </c>
      <c r="I225" s="140">
        <v>475.8</v>
      </c>
      <c r="J225" s="106" t="s">
        <v>613</v>
      </c>
      <c r="K225" s="109">
        <v>46068</v>
      </c>
      <c r="L225" s="106">
        <v>2026400373</v>
      </c>
      <c r="M225" s="112" t="s">
        <v>202</v>
      </c>
      <c r="N225" s="106">
        <v>2026</v>
      </c>
    </row>
    <row r="226" spans="1:14">
      <c r="A226" s="106">
        <v>226</v>
      </c>
      <c r="B226" s="106" t="s">
        <v>42</v>
      </c>
      <c r="C226" s="106" t="s">
        <v>48</v>
      </c>
      <c r="D226" s="106" t="s">
        <v>60</v>
      </c>
      <c r="E226" s="125" t="s">
        <v>70</v>
      </c>
      <c r="G226" s="106" t="s">
        <v>121</v>
      </c>
      <c r="H226" s="106" t="s">
        <v>115</v>
      </c>
      <c r="I226" s="140">
        <v>82.4</v>
      </c>
      <c r="J226" s="106" t="s">
        <v>614</v>
      </c>
      <c r="K226" s="109">
        <v>46068</v>
      </c>
      <c r="L226" s="106">
        <v>2026400372</v>
      </c>
      <c r="M226" s="112" t="s">
        <v>202</v>
      </c>
      <c r="N226" s="106">
        <v>2026</v>
      </c>
    </row>
    <row r="227" spans="1:14">
      <c r="A227" s="106">
        <v>227</v>
      </c>
      <c r="B227" s="106" t="s">
        <v>17</v>
      </c>
      <c r="C227" s="106" t="s">
        <v>388</v>
      </c>
      <c r="D227" s="106" t="s">
        <v>60</v>
      </c>
      <c r="E227" s="125" t="s">
        <v>70</v>
      </c>
      <c r="G227" s="106" t="s">
        <v>121</v>
      </c>
      <c r="H227" s="106" t="s">
        <v>115</v>
      </c>
      <c r="I227" s="140">
        <v>855</v>
      </c>
      <c r="J227" s="106" t="s">
        <v>615</v>
      </c>
      <c r="K227" s="109">
        <v>46069</v>
      </c>
      <c r="L227" s="106">
        <v>2026400421</v>
      </c>
      <c r="M227" s="112" t="s">
        <v>202</v>
      </c>
      <c r="N227" s="106">
        <v>2026</v>
      </c>
    </row>
    <row r="228" spans="1:14">
      <c r="A228" s="106">
        <v>228</v>
      </c>
      <c r="B228" s="106" t="s">
        <v>42</v>
      </c>
      <c r="C228" s="106" t="s">
        <v>50</v>
      </c>
      <c r="D228" s="106" t="s">
        <v>60</v>
      </c>
      <c r="E228" s="125" t="s">
        <v>70</v>
      </c>
      <c r="G228" s="106" t="s">
        <v>121</v>
      </c>
      <c r="H228" s="106" t="s">
        <v>115</v>
      </c>
      <c r="I228" s="140">
        <v>195</v>
      </c>
      <c r="J228" s="106" t="s">
        <v>616</v>
      </c>
      <c r="K228" s="109">
        <v>46068</v>
      </c>
      <c r="L228" s="106">
        <v>2026400381</v>
      </c>
      <c r="M228" s="112" t="s">
        <v>202</v>
      </c>
      <c r="N228" s="106">
        <v>2026</v>
      </c>
    </row>
    <row r="229" spans="1:14">
      <c r="A229" s="106">
        <v>229</v>
      </c>
      <c r="B229" s="106" t="s">
        <v>42</v>
      </c>
      <c r="C229" s="106" t="s">
        <v>50</v>
      </c>
      <c r="D229" s="106" t="s">
        <v>60</v>
      </c>
      <c r="E229" s="125" t="s">
        <v>70</v>
      </c>
      <c r="G229" s="106" t="s">
        <v>121</v>
      </c>
      <c r="H229" s="106" t="s">
        <v>115</v>
      </c>
      <c r="I229" s="140">
        <v>520</v>
      </c>
      <c r="J229" s="106" t="s">
        <v>617</v>
      </c>
      <c r="K229" s="109">
        <v>46068</v>
      </c>
      <c r="L229" s="106">
        <v>2026400380</v>
      </c>
      <c r="M229" s="112" t="s">
        <v>202</v>
      </c>
      <c r="N229" s="106">
        <v>2026</v>
      </c>
    </row>
    <row r="230" spans="1:14">
      <c r="A230" s="106">
        <v>230</v>
      </c>
      <c r="B230" s="106" t="s">
        <v>42</v>
      </c>
      <c r="C230" s="106" t="s">
        <v>48</v>
      </c>
      <c r="D230" s="106" t="s">
        <v>60</v>
      </c>
      <c r="E230" s="125" t="s">
        <v>70</v>
      </c>
      <c r="G230" s="106" t="s">
        <v>121</v>
      </c>
      <c r="H230" s="106" t="s">
        <v>115</v>
      </c>
      <c r="I230" s="140">
        <v>810</v>
      </c>
      <c r="J230" s="106" t="s">
        <v>618</v>
      </c>
      <c r="K230" s="109">
        <v>46068</v>
      </c>
      <c r="L230" s="106">
        <v>2026400072</v>
      </c>
      <c r="M230" s="112" t="s">
        <v>202</v>
      </c>
      <c r="N230" s="106">
        <v>2026</v>
      </c>
    </row>
    <row r="231" spans="1:14">
      <c r="A231" s="106">
        <v>231</v>
      </c>
      <c r="B231" s="106" t="s">
        <v>42</v>
      </c>
      <c r="C231" s="106" t="s">
        <v>50</v>
      </c>
      <c r="D231" s="106" t="s">
        <v>60</v>
      </c>
      <c r="E231" s="125" t="s">
        <v>70</v>
      </c>
      <c r="G231" s="106" t="s">
        <v>121</v>
      </c>
      <c r="H231" s="106" t="s">
        <v>115</v>
      </c>
      <c r="I231" s="140">
        <v>609</v>
      </c>
      <c r="J231" s="106" t="s">
        <v>619</v>
      </c>
      <c r="K231" s="109">
        <v>46069</v>
      </c>
      <c r="L231" s="106">
        <v>2026400229</v>
      </c>
      <c r="M231" s="112" t="s">
        <v>202</v>
      </c>
      <c r="N231" s="106">
        <v>2026</v>
      </c>
    </row>
    <row r="232" spans="1:14">
      <c r="A232" s="106">
        <v>232</v>
      </c>
      <c r="B232" s="106" t="s">
        <v>52</v>
      </c>
      <c r="C232" s="106" t="s">
        <v>62</v>
      </c>
      <c r="D232" s="106" t="s">
        <v>60</v>
      </c>
      <c r="E232" s="125" t="s">
        <v>70</v>
      </c>
      <c r="G232" s="106" t="s">
        <v>121</v>
      </c>
      <c r="H232" s="106" t="s">
        <v>115</v>
      </c>
      <c r="I232" s="140">
        <v>830</v>
      </c>
      <c r="J232" s="106" t="s">
        <v>621</v>
      </c>
      <c r="K232" s="109">
        <v>46081</v>
      </c>
      <c r="L232" s="106">
        <v>2026400621</v>
      </c>
      <c r="M232" s="112" t="s">
        <v>202</v>
      </c>
      <c r="N232" s="106">
        <v>2026</v>
      </c>
    </row>
    <row r="233" spans="1:14">
      <c r="A233" s="106">
        <v>233</v>
      </c>
      <c r="B233" s="106" t="s">
        <v>42</v>
      </c>
      <c r="C233" s="106" t="s">
        <v>48</v>
      </c>
      <c r="D233" s="106" t="s">
        <v>60</v>
      </c>
      <c r="E233" s="125" t="s">
        <v>70</v>
      </c>
      <c r="G233" s="106" t="s">
        <v>121</v>
      </c>
      <c r="H233" s="106" t="s">
        <v>115</v>
      </c>
      <c r="I233" s="140">
        <v>817.6</v>
      </c>
      <c r="J233" s="106" t="s">
        <v>623</v>
      </c>
      <c r="K233" s="109">
        <v>46081</v>
      </c>
      <c r="L233" s="106">
        <v>2026400619</v>
      </c>
      <c r="M233" s="112" t="s">
        <v>202</v>
      </c>
      <c r="N233" s="106">
        <v>2026</v>
      </c>
    </row>
    <row r="234" spans="1:14">
      <c r="A234" s="106">
        <v>234</v>
      </c>
      <c r="B234" s="106" t="s">
        <v>42</v>
      </c>
      <c r="C234" s="106" t="s">
        <v>47</v>
      </c>
      <c r="D234" s="106" t="s">
        <v>60</v>
      </c>
      <c r="E234" s="125" t="s">
        <v>70</v>
      </c>
      <c r="G234" s="106" t="s">
        <v>121</v>
      </c>
      <c r="H234" s="106" t="s">
        <v>115</v>
      </c>
      <c r="I234" s="140">
        <v>165</v>
      </c>
      <c r="J234" s="106" t="s">
        <v>624</v>
      </c>
      <c r="K234" s="109">
        <v>46078</v>
      </c>
      <c r="L234" s="106">
        <v>2026400658</v>
      </c>
      <c r="M234" s="112" t="s">
        <v>202</v>
      </c>
      <c r="N234" s="106">
        <v>2026</v>
      </c>
    </row>
    <row r="235" spans="1:14">
      <c r="A235" s="106">
        <v>235</v>
      </c>
      <c r="B235" s="106" t="s">
        <v>52</v>
      </c>
      <c r="C235" s="106" t="s">
        <v>62</v>
      </c>
      <c r="D235" s="106" t="s">
        <v>60</v>
      </c>
      <c r="E235" s="125" t="s">
        <v>70</v>
      </c>
      <c r="G235" s="106" t="s">
        <v>121</v>
      </c>
      <c r="H235" s="106" t="s">
        <v>115</v>
      </c>
      <c r="I235" s="140">
        <v>428.6</v>
      </c>
      <c r="J235" s="106" t="s">
        <v>625</v>
      </c>
      <c r="K235" s="109">
        <v>46081</v>
      </c>
      <c r="L235" s="106">
        <v>2026400620</v>
      </c>
      <c r="M235" s="112" t="s">
        <v>202</v>
      </c>
      <c r="N235" s="106">
        <v>2026</v>
      </c>
    </row>
    <row r="236" spans="1:14">
      <c r="A236" s="106">
        <v>236</v>
      </c>
      <c r="B236" s="106" t="s">
        <v>42</v>
      </c>
      <c r="C236" s="106" t="s">
        <v>50</v>
      </c>
      <c r="D236" s="106" t="s">
        <v>60</v>
      </c>
      <c r="E236" s="125" t="s">
        <v>70</v>
      </c>
      <c r="G236" s="106" t="s">
        <v>121</v>
      </c>
      <c r="H236" s="106" t="s">
        <v>115</v>
      </c>
      <c r="I236" s="140">
        <v>67.599999999999994</v>
      </c>
      <c r="J236" s="106" t="s">
        <v>626</v>
      </c>
      <c r="K236" s="109">
        <v>46081</v>
      </c>
      <c r="L236" s="106">
        <v>2026400678</v>
      </c>
      <c r="M236" s="112" t="s">
        <v>202</v>
      </c>
      <c r="N236" s="106">
        <v>2026</v>
      </c>
    </row>
    <row r="237" spans="1:14">
      <c r="A237" s="106">
        <v>237</v>
      </c>
      <c r="B237" s="106" t="s">
        <v>42</v>
      </c>
      <c r="C237" s="106" t="s">
        <v>48</v>
      </c>
      <c r="D237" s="106" t="s">
        <v>60</v>
      </c>
      <c r="E237" s="125" t="s">
        <v>70</v>
      </c>
      <c r="G237" s="106" t="s">
        <v>121</v>
      </c>
      <c r="H237" s="106" t="s">
        <v>115</v>
      </c>
      <c r="I237" s="140">
        <v>257.2</v>
      </c>
      <c r="J237" s="106" t="s">
        <v>627</v>
      </c>
      <c r="K237" s="109">
        <v>46081</v>
      </c>
      <c r="L237" s="106">
        <v>2026400665</v>
      </c>
      <c r="M237" s="112" t="s">
        <v>202</v>
      </c>
      <c r="N237" s="106">
        <v>2026</v>
      </c>
    </row>
    <row r="238" spans="1:14">
      <c r="A238" s="106">
        <v>238</v>
      </c>
      <c r="B238" s="106" t="s">
        <v>17</v>
      </c>
      <c r="C238" s="106" t="s">
        <v>25</v>
      </c>
      <c r="D238" s="106" t="s">
        <v>60</v>
      </c>
      <c r="E238" s="125" t="s">
        <v>70</v>
      </c>
      <c r="G238" s="106" t="s">
        <v>121</v>
      </c>
      <c r="H238" s="106" t="s">
        <v>115</v>
      </c>
      <c r="I238" s="140">
        <v>247.5</v>
      </c>
      <c r="J238" s="106" t="s">
        <v>628</v>
      </c>
      <c r="K238" s="109">
        <v>46082</v>
      </c>
      <c r="L238" s="106">
        <v>2026400636</v>
      </c>
      <c r="M238" s="112" t="s">
        <v>202</v>
      </c>
      <c r="N238" s="106">
        <v>2026</v>
      </c>
    </row>
    <row r="239" spans="1:14">
      <c r="A239" s="106">
        <v>239</v>
      </c>
      <c r="B239" s="106" t="s">
        <v>17</v>
      </c>
      <c r="C239" s="106" t="s">
        <v>25</v>
      </c>
      <c r="D239" s="106" t="s">
        <v>60</v>
      </c>
      <c r="E239" s="125" t="s">
        <v>70</v>
      </c>
      <c r="G239" s="106" t="s">
        <v>121</v>
      </c>
      <c r="H239" s="106" t="s">
        <v>115</v>
      </c>
      <c r="I239" s="140">
        <v>90</v>
      </c>
      <c r="J239" s="106" t="s">
        <v>629</v>
      </c>
      <c r="K239" s="109">
        <v>46081</v>
      </c>
      <c r="L239" s="106">
        <v>2026400647</v>
      </c>
      <c r="M239" s="112" t="s">
        <v>202</v>
      </c>
      <c r="N239" s="106">
        <v>2026</v>
      </c>
    </row>
    <row r="240" spans="1:14">
      <c r="A240" s="106">
        <v>240</v>
      </c>
      <c r="B240" s="106" t="s">
        <v>17</v>
      </c>
      <c r="C240" s="106" t="s">
        <v>687</v>
      </c>
      <c r="D240" s="106" t="s">
        <v>60</v>
      </c>
      <c r="E240" s="125" t="s">
        <v>70</v>
      </c>
      <c r="G240" s="106" t="s">
        <v>121</v>
      </c>
      <c r="H240" s="106" t="s">
        <v>115</v>
      </c>
      <c r="I240" s="140">
        <v>1867</v>
      </c>
      <c r="J240" s="106" t="s">
        <v>630</v>
      </c>
      <c r="K240" s="109">
        <v>46081</v>
      </c>
      <c r="L240" s="106">
        <v>2026400660</v>
      </c>
      <c r="M240" s="112" t="s">
        <v>202</v>
      </c>
      <c r="N240" s="106">
        <v>2026</v>
      </c>
    </row>
    <row r="241" spans="1:14">
      <c r="A241" s="106">
        <v>241</v>
      </c>
      <c r="B241" s="106" t="s">
        <v>35</v>
      </c>
      <c r="C241" s="106" t="s">
        <v>37</v>
      </c>
      <c r="D241" s="106" t="s">
        <v>60</v>
      </c>
      <c r="E241" s="125" t="s">
        <v>70</v>
      </c>
      <c r="G241" s="106" t="s">
        <v>121</v>
      </c>
      <c r="H241" s="106" t="s">
        <v>115</v>
      </c>
      <c r="I241" s="140">
        <v>1290</v>
      </c>
      <c r="J241" s="106" t="s">
        <v>631</v>
      </c>
      <c r="K241" s="109">
        <v>46081</v>
      </c>
      <c r="L241" s="106">
        <v>2026400628</v>
      </c>
      <c r="M241" s="112" t="s">
        <v>202</v>
      </c>
      <c r="N241" s="106">
        <v>2026</v>
      </c>
    </row>
    <row r="242" spans="1:14">
      <c r="A242" s="106">
        <v>242</v>
      </c>
      <c r="B242" s="106" t="s">
        <v>54</v>
      </c>
      <c r="C242" s="106" t="s">
        <v>93</v>
      </c>
      <c r="D242" s="106" t="s">
        <v>60</v>
      </c>
      <c r="E242" s="125" t="s">
        <v>70</v>
      </c>
      <c r="G242" s="106" t="s">
        <v>121</v>
      </c>
      <c r="H242" s="106" t="s">
        <v>115</v>
      </c>
      <c r="I242" s="140">
        <v>838.5</v>
      </c>
      <c r="J242" s="106" t="s">
        <v>632</v>
      </c>
      <c r="K242" s="109">
        <v>46081</v>
      </c>
      <c r="L242" s="106">
        <v>2026400640</v>
      </c>
      <c r="M242" s="112" t="s">
        <v>202</v>
      </c>
      <c r="N242" s="106">
        <v>2026</v>
      </c>
    </row>
    <row r="243" spans="1:14">
      <c r="A243" s="106">
        <v>243</v>
      </c>
      <c r="B243" s="106" t="s">
        <v>17</v>
      </c>
      <c r="C243" s="106" t="s">
        <v>22</v>
      </c>
      <c r="D243" s="106" t="s">
        <v>60</v>
      </c>
      <c r="E243" s="125" t="s">
        <v>70</v>
      </c>
      <c r="G243" s="106" t="s">
        <v>121</v>
      </c>
      <c r="H243" s="106" t="s">
        <v>115</v>
      </c>
      <c r="I243" s="140">
        <v>185</v>
      </c>
      <c r="J243" s="106" t="s">
        <v>633</v>
      </c>
      <c r="K243" s="109">
        <v>46081</v>
      </c>
      <c r="L243" s="106">
        <v>2026400679</v>
      </c>
      <c r="M243" s="112" t="s">
        <v>202</v>
      </c>
      <c r="N243" s="106">
        <v>2026</v>
      </c>
    </row>
    <row r="244" spans="1:14">
      <c r="A244" s="106">
        <v>244</v>
      </c>
      <c r="B244" s="106" t="s">
        <v>17</v>
      </c>
      <c r="C244" s="106" t="s">
        <v>22</v>
      </c>
      <c r="D244" s="106" t="s">
        <v>60</v>
      </c>
      <c r="E244" s="125" t="s">
        <v>70</v>
      </c>
      <c r="G244" s="106" t="s">
        <v>121</v>
      </c>
      <c r="H244" s="106" t="s">
        <v>115</v>
      </c>
      <c r="I244" s="140">
        <v>40</v>
      </c>
      <c r="J244" s="106" t="s">
        <v>634</v>
      </c>
      <c r="K244" s="109">
        <v>46081</v>
      </c>
      <c r="L244" s="106">
        <v>2026400675</v>
      </c>
      <c r="M244" s="112" t="s">
        <v>202</v>
      </c>
      <c r="N244" s="106">
        <v>2026</v>
      </c>
    </row>
    <row r="245" spans="1:14">
      <c r="A245" s="106">
        <v>245</v>
      </c>
      <c r="B245" s="106" t="s">
        <v>17</v>
      </c>
      <c r="C245" s="106" t="s">
        <v>22</v>
      </c>
      <c r="D245" s="106" t="s">
        <v>60</v>
      </c>
      <c r="E245" s="125" t="s">
        <v>70</v>
      </c>
      <c r="G245" s="106" t="s">
        <v>121</v>
      </c>
      <c r="H245" s="106" t="s">
        <v>115</v>
      </c>
      <c r="I245" s="140">
        <v>860.4</v>
      </c>
      <c r="J245" s="106" t="s">
        <v>635</v>
      </c>
      <c r="K245" s="109">
        <v>46081</v>
      </c>
      <c r="L245" s="106">
        <v>2026400611</v>
      </c>
      <c r="M245" s="112" t="s">
        <v>202</v>
      </c>
      <c r="N245" s="106">
        <v>2026</v>
      </c>
    </row>
    <row r="246" spans="1:14">
      <c r="A246" s="106">
        <v>246</v>
      </c>
      <c r="B246" s="106" t="s">
        <v>17</v>
      </c>
      <c r="C246" s="106" t="s">
        <v>22</v>
      </c>
      <c r="D246" s="106" t="s">
        <v>60</v>
      </c>
      <c r="E246" s="125" t="s">
        <v>70</v>
      </c>
      <c r="G246" s="106" t="s">
        <v>121</v>
      </c>
      <c r="H246" s="106" t="s">
        <v>115</v>
      </c>
      <c r="I246" s="140">
        <v>290</v>
      </c>
      <c r="J246" s="106" t="s">
        <v>636</v>
      </c>
      <c r="K246" s="109">
        <v>46081</v>
      </c>
      <c r="L246" s="106">
        <v>2026400638</v>
      </c>
      <c r="M246" s="112" t="s">
        <v>202</v>
      </c>
      <c r="N246" s="106">
        <v>2026</v>
      </c>
    </row>
    <row r="247" spans="1:14">
      <c r="A247" s="106">
        <v>247</v>
      </c>
      <c r="B247" s="106" t="s">
        <v>17</v>
      </c>
      <c r="C247" s="106" t="s">
        <v>22</v>
      </c>
      <c r="D247" s="106" t="s">
        <v>60</v>
      </c>
      <c r="E247" s="125" t="s">
        <v>70</v>
      </c>
      <c r="G247" s="106" t="s">
        <v>121</v>
      </c>
      <c r="H247" s="106" t="s">
        <v>115</v>
      </c>
      <c r="I247" s="140">
        <v>1262.2</v>
      </c>
      <c r="J247" s="106" t="s">
        <v>637</v>
      </c>
      <c r="K247" s="109">
        <v>46081</v>
      </c>
      <c r="L247" s="106">
        <v>2026400629</v>
      </c>
      <c r="M247" s="112" t="s">
        <v>202</v>
      </c>
      <c r="N247" s="106">
        <v>2026</v>
      </c>
    </row>
    <row r="248" spans="1:14">
      <c r="A248" s="106">
        <v>248</v>
      </c>
      <c r="B248" s="106" t="s">
        <v>17</v>
      </c>
      <c r="C248" s="106" t="s">
        <v>687</v>
      </c>
      <c r="D248" s="106" t="s">
        <v>60</v>
      </c>
      <c r="E248" s="125" t="s">
        <v>70</v>
      </c>
      <c r="G248" s="106" t="s">
        <v>121</v>
      </c>
      <c r="H248" s="106" t="s">
        <v>115</v>
      </c>
      <c r="I248" s="140">
        <v>1680.9</v>
      </c>
      <c r="J248" s="106" t="s">
        <v>638</v>
      </c>
      <c r="K248" s="109">
        <v>46082</v>
      </c>
      <c r="L248" s="106">
        <v>2026400637</v>
      </c>
      <c r="M248" s="112" t="s">
        <v>202</v>
      </c>
      <c r="N248" s="106">
        <v>2026</v>
      </c>
    </row>
    <row r="249" spans="1:14">
      <c r="A249" s="106">
        <v>249</v>
      </c>
      <c r="B249" s="106" t="s">
        <v>42</v>
      </c>
      <c r="C249" s="106" t="s">
        <v>50</v>
      </c>
      <c r="D249" s="106" t="s">
        <v>60</v>
      </c>
      <c r="E249" s="125" t="s">
        <v>70</v>
      </c>
      <c r="G249" s="106" t="s">
        <v>121</v>
      </c>
      <c r="H249" s="106" t="s">
        <v>115</v>
      </c>
      <c r="I249" s="140">
        <v>2255</v>
      </c>
      <c r="J249" s="106" t="s">
        <v>639</v>
      </c>
      <c r="K249" s="109">
        <v>46081</v>
      </c>
      <c r="L249" s="106">
        <v>2026400635</v>
      </c>
      <c r="M249" s="112" t="s">
        <v>202</v>
      </c>
      <c r="N249" s="106">
        <v>2026</v>
      </c>
    </row>
    <row r="250" spans="1:14">
      <c r="A250" s="106">
        <v>250</v>
      </c>
      <c r="B250" s="106" t="s">
        <v>42</v>
      </c>
      <c r="C250" s="106" t="s">
        <v>50</v>
      </c>
      <c r="D250" s="106" t="s">
        <v>60</v>
      </c>
      <c r="E250" s="125" t="s">
        <v>70</v>
      </c>
      <c r="G250" s="106" t="s">
        <v>121</v>
      </c>
      <c r="H250" s="106" t="s">
        <v>115</v>
      </c>
      <c r="I250" s="140">
        <v>707.5</v>
      </c>
      <c r="J250" s="106" t="s">
        <v>640</v>
      </c>
      <c r="K250" s="109">
        <v>46081</v>
      </c>
      <c r="L250" s="106">
        <v>2026400641</v>
      </c>
      <c r="M250" s="112" t="s">
        <v>202</v>
      </c>
      <c r="N250" s="106">
        <v>2026</v>
      </c>
    </row>
    <row r="251" spans="1:14">
      <c r="A251" s="106">
        <v>251</v>
      </c>
      <c r="B251" s="106" t="s">
        <v>17</v>
      </c>
      <c r="C251" s="106" t="s">
        <v>25</v>
      </c>
      <c r="D251" s="106" t="s">
        <v>60</v>
      </c>
      <c r="E251" s="125" t="s">
        <v>70</v>
      </c>
      <c r="G251" s="106" t="s">
        <v>121</v>
      </c>
      <c r="H251" s="106" t="s">
        <v>115</v>
      </c>
      <c r="I251" s="140">
        <v>275</v>
      </c>
      <c r="J251" s="106" t="s">
        <v>641</v>
      </c>
      <c r="K251" s="109">
        <v>46082</v>
      </c>
      <c r="L251" s="106">
        <v>2026400609</v>
      </c>
      <c r="M251" s="112" t="s">
        <v>202</v>
      </c>
      <c r="N251" s="106">
        <v>2026</v>
      </c>
    </row>
    <row r="252" spans="1:14">
      <c r="A252" s="106">
        <v>252</v>
      </c>
      <c r="B252" s="106" t="s">
        <v>17</v>
      </c>
      <c r="C252" s="106" t="s">
        <v>25</v>
      </c>
      <c r="D252" s="106" t="s">
        <v>60</v>
      </c>
      <c r="E252" s="125" t="s">
        <v>70</v>
      </c>
      <c r="G252" s="106" t="s">
        <v>121</v>
      </c>
      <c r="H252" s="106" t="s">
        <v>115</v>
      </c>
      <c r="I252" s="140">
        <v>653</v>
      </c>
      <c r="J252" s="106" t="s">
        <v>642</v>
      </c>
      <c r="K252" s="109">
        <v>46082</v>
      </c>
      <c r="L252" s="106">
        <v>2026400612</v>
      </c>
      <c r="M252" s="112" t="s">
        <v>202</v>
      </c>
      <c r="N252" s="106">
        <v>2026</v>
      </c>
    </row>
    <row r="253" spans="1:14">
      <c r="A253" s="106">
        <v>253</v>
      </c>
      <c r="B253" s="106" t="s">
        <v>52</v>
      </c>
      <c r="C253" s="106" t="s">
        <v>62</v>
      </c>
      <c r="D253" s="106" t="s">
        <v>60</v>
      </c>
      <c r="E253" s="125" t="s">
        <v>70</v>
      </c>
      <c r="G253" s="106" t="s">
        <v>121</v>
      </c>
      <c r="H253" s="106" t="s">
        <v>115</v>
      </c>
      <c r="I253" s="140">
        <v>225</v>
      </c>
      <c r="J253" s="106" t="s">
        <v>643</v>
      </c>
      <c r="K253" s="109">
        <v>46082</v>
      </c>
      <c r="L253" s="106">
        <v>2026400630</v>
      </c>
      <c r="M253" s="112" t="s">
        <v>202</v>
      </c>
      <c r="N253" s="106">
        <v>2026</v>
      </c>
    </row>
    <row r="254" spans="1:14">
      <c r="A254" s="106">
        <v>254</v>
      </c>
      <c r="B254" s="106" t="s">
        <v>17</v>
      </c>
      <c r="C254" s="106" t="s">
        <v>388</v>
      </c>
      <c r="D254" s="106" t="s">
        <v>60</v>
      </c>
      <c r="E254" s="125" t="s">
        <v>70</v>
      </c>
      <c r="G254" s="106" t="s">
        <v>121</v>
      </c>
      <c r="H254" s="106" t="s">
        <v>115</v>
      </c>
      <c r="I254" s="140">
        <v>1090</v>
      </c>
      <c r="J254" s="106" t="s">
        <v>644</v>
      </c>
      <c r="K254" s="109">
        <v>46082</v>
      </c>
      <c r="L254" s="106">
        <v>2026400646</v>
      </c>
      <c r="M254" s="112" t="s">
        <v>202</v>
      </c>
      <c r="N254" s="106">
        <v>2026</v>
      </c>
    </row>
    <row r="255" spans="1:14">
      <c r="A255" s="106">
        <v>255</v>
      </c>
      <c r="B255" s="106" t="s">
        <v>42</v>
      </c>
      <c r="C255" s="106" t="s">
        <v>48</v>
      </c>
      <c r="D255" s="106" t="s">
        <v>60</v>
      </c>
      <c r="E255" s="125" t="s">
        <v>70</v>
      </c>
      <c r="G255" s="106" t="s">
        <v>121</v>
      </c>
      <c r="H255" s="106" t="s">
        <v>115</v>
      </c>
      <c r="I255" s="140">
        <v>80</v>
      </c>
      <c r="J255" s="106" t="s">
        <v>645</v>
      </c>
      <c r="K255" s="109">
        <v>46082</v>
      </c>
      <c r="L255" s="106">
        <v>2026400653</v>
      </c>
      <c r="M255" s="112" t="s">
        <v>202</v>
      </c>
      <c r="N255" s="106">
        <v>2026</v>
      </c>
    </row>
    <row r="256" spans="1:14">
      <c r="A256" s="106">
        <v>256</v>
      </c>
      <c r="B256" s="106" t="s">
        <v>17</v>
      </c>
      <c r="C256" s="106" t="s">
        <v>22</v>
      </c>
      <c r="D256" s="106" t="s">
        <v>60</v>
      </c>
      <c r="E256" s="125" t="s">
        <v>70</v>
      </c>
      <c r="G256" s="106" t="s">
        <v>121</v>
      </c>
      <c r="H256" s="106" t="s">
        <v>115</v>
      </c>
      <c r="I256" s="140">
        <v>104</v>
      </c>
      <c r="J256" s="106" t="s">
        <v>646</v>
      </c>
      <c r="K256" s="109">
        <v>46082</v>
      </c>
      <c r="L256" s="106">
        <v>2026400608</v>
      </c>
      <c r="M256" s="112" t="s">
        <v>202</v>
      </c>
      <c r="N256" s="106">
        <v>2026</v>
      </c>
    </row>
    <row r="257" spans="1:14">
      <c r="A257" s="106">
        <v>257</v>
      </c>
      <c r="B257" s="106" t="s">
        <v>52</v>
      </c>
      <c r="C257" s="106" t="s">
        <v>62</v>
      </c>
      <c r="D257" s="106" t="s">
        <v>60</v>
      </c>
      <c r="E257" s="125" t="s">
        <v>70</v>
      </c>
      <c r="G257" s="106" t="s">
        <v>121</v>
      </c>
      <c r="H257" s="106" t="s">
        <v>115</v>
      </c>
      <c r="I257" s="140">
        <v>236</v>
      </c>
      <c r="J257" s="106" t="s">
        <v>647</v>
      </c>
      <c r="K257" s="109">
        <v>46081</v>
      </c>
      <c r="L257" s="106">
        <v>2026400617</v>
      </c>
      <c r="M257" s="112" t="s">
        <v>202</v>
      </c>
      <c r="N257" s="106">
        <v>2026</v>
      </c>
    </row>
    <row r="258" spans="1:14">
      <c r="A258" s="106">
        <v>258</v>
      </c>
      <c r="B258" s="106" t="s">
        <v>52</v>
      </c>
      <c r="C258" s="106" t="s">
        <v>62</v>
      </c>
      <c r="D258" s="106" t="s">
        <v>60</v>
      </c>
      <c r="E258" s="125" t="s">
        <v>70</v>
      </c>
      <c r="G258" s="106" t="s">
        <v>121</v>
      </c>
      <c r="H258" s="106" t="s">
        <v>115</v>
      </c>
      <c r="I258" s="140">
        <v>1854.5</v>
      </c>
      <c r="J258" s="106" t="s">
        <v>648</v>
      </c>
      <c r="K258" s="109">
        <v>46082</v>
      </c>
      <c r="L258" s="106">
        <v>2026400615</v>
      </c>
      <c r="M258" s="112" t="s">
        <v>202</v>
      </c>
      <c r="N258" s="106">
        <v>2026</v>
      </c>
    </row>
    <row r="259" spans="1:14">
      <c r="A259" s="106">
        <v>259</v>
      </c>
      <c r="B259" s="106" t="s">
        <v>42</v>
      </c>
      <c r="C259" s="106" t="s">
        <v>50</v>
      </c>
      <c r="D259" s="106" t="s">
        <v>60</v>
      </c>
      <c r="E259" s="125" t="s">
        <v>70</v>
      </c>
      <c r="G259" s="106" t="s">
        <v>121</v>
      </c>
      <c r="H259" s="106" t="s">
        <v>115</v>
      </c>
      <c r="I259" s="140">
        <v>380</v>
      </c>
      <c r="J259" s="106" t="s">
        <v>649</v>
      </c>
      <c r="K259" s="109">
        <v>46082</v>
      </c>
      <c r="L259" s="106">
        <v>2026400652</v>
      </c>
      <c r="M259" s="112" t="s">
        <v>202</v>
      </c>
      <c r="N259" s="106">
        <v>2026</v>
      </c>
    </row>
    <row r="260" spans="1:14">
      <c r="A260" s="106">
        <v>260</v>
      </c>
      <c r="B260" s="106" t="s">
        <v>52</v>
      </c>
      <c r="C260" s="106" t="s">
        <v>62</v>
      </c>
      <c r="D260" s="106" t="s">
        <v>60</v>
      </c>
      <c r="E260" s="125" t="s">
        <v>70</v>
      </c>
      <c r="G260" s="106" t="s">
        <v>121</v>
      </c>
      <c r="H260" s="106" t="s">
        <v>115</v>
      </c>
      <c r="I260" s="140">
        <v>1000</v>
      </c>
      <c r="J260" s="106" t="s">
        <v>650</v>
      </c>
      <c r="K260" s="109">
        <v>46081</v>
      </c>
      <c r="L260" s="106">
        <v>2026400639</v>
      </c>
      <c r="M260" s="112" t="s">
        <v>202</v>
      </c>
      <c r="N260" s="106">
        <v>2026</v>
      </c>
    </row>
    <row r="261" spans="1:14">
      <c r="A261" s="106">
        <v>261</v>
      </c>
      <c r="B261" s="106" t="s">
        <v>35</v>
      </c>
      <c r="C261" s="106" t="s">
        <v>41</v>
      </c>
      <c r="D261" s="106" t="s">
        <v>60</v>
      </c>
      <c r="E261" s="125" t="s">
        <v>70</v>
      </c>
      <c r="G261" s="106" t="s">
        <v>121</v>
      </c>
      <c r="H261" s="106" t="s">
        <v>115</v>
      </c>
      <c r="I261" s="140">
        <v>160</v>
      </c>
      <c r="J261" s="106" t="s">
        <v>651</v>
      </c>
      <c r="K261" s="109">
        <v>46081</v>
      </c>
      <c r="L261" s="106">
        <v>2026400576</v>
      </c>
      <c r="M261" s="112" t="s">
        <v>202</v>
      </c>
      <c r="N261" s="106">
        <v>2026</v>
      </c>
    </row>
    <row r="262" spans="1:14">
      <c r="A262" s="106">
        <v>262</v>
      </c>
      <c r="B262" s="106" t="s">
        <v>52</v>
      </c>
      <c r="C262" s="106" t="s">
        <v>62</v>
      </c>
      <c r="D262" s="106" t="s">
        <v>60</v>
      </c>
      <c r="E262" s="125" t="s">
        <v>70</v>
      </c>
      <c r="G262" s="106" t="s">
        <v>121</v>
      </c>
      <c r="H262" s="106" t="s">
        <v>115</v>
      </c>
      <c r="I262" s="140">
        <v>300</v>
      </c>
      <c r="J262" s="106" t="s">
        <v>652</v>
      </c>
      <c r="K262" s="109">
        <v>46081</v>
      </c>
      <c r="L262" s="106">
        <v>2026400625</v>
      </c>
      <c r="M262" s="112" t="s">
        <v>202</v>
      </c>
      <c r="N262" s="106">
        <v>2026</v>
      </c>
    </row>
    <row r="263" spans="1:14">
      <c r="A263" s="106">
        <v>263</v>
      </c>
      <c r="B263" s="106" t="s">
        <v>52</v>
      </c>
      <c r="C263" s="106" t="s">
        <v>62</v>
      </c>
      <c r="D263" s="106" t="s">
        <v>60</v>
      </c>
      <c r="E263" s="125" t="s">
        <v>70</v>
      </c>
      <c r="G263" s="106" t="s">
        <v>121</v>
      </c>
      <c r="H263" s="106" t="s">
        <v>115</v>
      </c>
      <c r="I263" s="140">
        <v>1602.2</v>
      </c>
      <c r="J263" s="106" t="s">
        <v>653</v>
      </c>
      <c r="K263" s="109">
        <v>46081</v>
      </c>
      <c r="L263" s="106">
        <v>2026400626</v>
      </c>
      <c r="M263" s="112" t="s">
        <v>202</v>
      </c>
      <c r="N263" s="106">
        <v>2026</v>
      </c>
    </row>
    <row r="264" spans="1:14">
      <c r="A264" s="106">
        <v>264</v>
      </c>
      <c r="B264" s="106" t="s">
        <v>52</v>
      </c>
      <c r="C264" s="106" t="s">
        <v>62</v>
      </c>
      <c r="D264" s="106" t="s">
        <v>60</v>
      </c>
      <c r="E264" s="125" t="s">
        <v>70</v>
      </c>
      <c r="G264" s="106" t="s">
        <v>121</v>
      </c>
      <c r="H264" s="106" t="s">
        <v>115</v>
      </c>
      <c r="I264" s="140">
        <v>1440</v>
      </c>
      <c r="J264" s="106" t="s">
        <v>654</v>
      </c>
      <c r="K264" s="109">
        <v>46081</v>
      </c>
      <c r="L264" s="106">
        <v>2026400648</v>
      </c>
      <c r="M264" s="112" t="s">
        <v>202</v>
      </c>
      <c r="N264" s="106">
        <v>2026</v>
      </c>
    </row>
    <row r="265" spans="1:14">
      <c r="A265" s="106">
        <v>265</v>
      </c>
      <c r="B265" s="106" t="s">
        <v>54</v>
      </c>
      <c r="C265" s="106" t="s">
        <v>55</v>
      </c>
      <c r="D265" s="106" t="s">
        <v>60</v>
      </c>
      <c r="E265" s="125" t="s">
        <v>70</v>
      </c>
      <c r="G265" s="106" t="s">
        <v>121</v>
      </c>
      <c r="H265" s="106" t="s">
        <v>115</v>
      </c>
      <c r="I265" s="140">
        <v>267.60000000000002</v>
      </c>
      <c r="J265" s="106" t="s">
        <v>655</v>
      </c>
      <c r="K265" s="109">
        <v>46082</v>
      </c>
      <c r="L265" s="106">
        <v>2026400634</v>
      </c>
      <c r="M265" s="112" t="s">
        <v>202</v>
      </c>
      <c r="N265" s="106">
        <v>2026</v>
      </c>
    </row>
    <row r="266" spans="1:14">
      <c r="A266" s="106">
        <v>266</v>
      </c>
      <c r="B266" s="106" t="s">
        <v>35</v>
      </c>
      <c r="C266" s="106" t="s">
        <v>36</v>
      </c>
      <c r="D266" s="106" t="s">
        <v>60</v>
      </c>
      <c r="E266" s="125" t="s">
        <v>70</v>
      </c>
      <c r="G266" s="106" t="s">
        <v>121</v>
      </c>
      <c r="H266" s="106" t="s">
        <v>115</v>
      </c>
      <c r="I266" s="140">
        <v>390</v>
      </c>
      <c r="J266" s="106" t="s">
        <v>656</v>
      </c>
      <c r="K266" s="109">
        <v>46081</v>
      </c>
      <c r="L266" s="106">
        <v>2026400633</v>
      </c>
      <c r="M266" s="112" t="s">
        <v>202</v>
      </c>
      <c r="N266" s="106">
        <v>2026</v>
      </c>
    </row>
    <row r="267" spans="1:14">
      <c r="A267" s="106">
        <v>267</v>
      </c>
      <c r="B267" s="106" t="s">
        <v>52</v>
      </c>
      <c r="C267" s="106" t="s">
        <v>62</v>
      </c>
      <c r="D267" s="106" t="s">
        <v>60</v>
      </c>
      <c r="E267" s="125" t="s">
        <v>70</v>
      </c>
      <c r="G267" s="106" t="s">
        <v>121</v>
      </c>
      <c r="H267" s="106" t="s">
        <v>115</v>
      </c>
      <c r="I267" s="140">
        <v>3370</v>
      </c>
      <c r="J267" s="106" t="s">
        <v>657</v>
      </c>
      <c r="K267" s="109">
        <v>46081</v>
      </c>
      <c r="L267" s="106">
        <v>2026400627</v>
      </c>
      <c r="M267" s="112" t="s">
        <v>202</v>
      </c>
      <c r="N267" s="106">
        <v>2026</v>
      </c>
    </row>
    <row r="268" spans="1:14">
      <c r="A268" s="106">
        <v>268</v>
      </c>
      <c r="B268" s="106" t="s">
        <v>52</v>
      </c>
      <c r="C268" s="106" t="s">
        <v>62</v>
      </c>
      <c r="D268" s="106" t="s">
        <v>60</v>
      </c>
      <c r="E268" s="125" t="s">
        <v>70</v>
      </c>
      <c r="G268" s="106" t="s">
        <v>121</v>
      </c>
      <c r="H268" s="106" t="s">
        <v>115</v>
      </c>
      <c r="I268" s="140">
        <v>914.6</v>
      </c>
      <c r="J268" s="106" t="s">
        <v>658</v>
      </c>
      <c r="K268" s="109">
        <v>46082</v>
      </c>
      <c r="L268" s="106">
        <v>2026400631</v>
      </c>
      <c r="M268" s="112" t="s">
        <v>202</v>
      </c>
      <c r="N268" s="106">
        <v>2026</v>
      </c>
    </row>
    <row r="269" spans="1:14">
      <c r="A269" s="106">
        <v>269</v>
      </c>
      <c r="B269" s="106" t="s">
        <v>54</v>
      </c>
      <c r="C269" s="106" t="s">
        <v>93</v>
      </c>
      <c r="D269" s="106" t="s">
        <v>60</v>
      </c>
      <c r="E269" s="125" t="s">
        <v>70</v>
      </c>
      <c r="G269" s="106" t="s">
        <v>121</v>
      </c>
      <c r="H269" s="106" t="s">
        <v>115</v>
      </c>
      <c r="I269" s="140">
        <v>70</v>
      </c>
      <c r="J269" s="106" t="s">
        <v>659</v>
      </c>
      <c r="K269" s="109">
        <v>46076</v>
      </c>
      <c r="L269" s="106">
        <v>2026400578</v>
      </c>
      <c r="M269" s="112" t="s">
        <v>202</v>
      </c>
      <c r="N269" s="106">
        <v>2026</v>
      </c>
    </row>
    <row r="270" spans="1:14">
      <c r="A270" s="106">
        <v>270</v>
      </c>
      <c r="B270" s="106" t="s">
        <v>54</v>
      </c>
      <c r="C270" s="106" t="s">
        <v>55</v>
      </c>
      <c r="D270" s="106" t="s">
        <v>60</v>
      </c>
      <c r="E270" s="125" t="s">
        <v>70</v>
      </c>
      <c r="G270" s="106" t="s">
        <v>121</v>
      </c>
      <c r="H270" s="106" t="s">
        <v>115</v>
      </c>
      <c r="I270" s="140">
        <v>1601</v>
      </c>
      <c r="J270" s="106" t="s">
        <v>678</v>
      </c>
      <c r="K270" s="109">
        <v>46060</v>
      </c>
      <c r="L270" s="106">
        <v>2026400344</v>
      </c>
      <c r="M270" s="139" t="s">
        <v>202</v>
      </c>
      <c r="N270" s="106">
        <v>2026</v>
      </c>
    </row>
    <row r="271" spans="1:14">
      <c r="A271" s="106">
        <v>271</v>
      </c>
      <c r="B271" s="106" t="s">
        <v>54</v>
      </c>
      <c r="C271" s="106" t="s">
        <v>93</v>
      </c>
      <c r="D271" s="106" t="s">
        <v>60</v>
      </c>
      <c r="E271" s="125" t="s">
        <v>70</v>
      </c>
      <c r="G271" s="106" t="s">
        <v>121</v>
      </c>
      <c r="H271" s="106" t="s">
        <v>115</v>
      </c>
      <c r="I271" s="140">
        <v>72</v>
      </c>
      <c r="J271" s="106" t="s">
        <v>682</v>
      </c>
      <c r="K271" s="109">
        <v>46082</v>
      </c>
      <c r="L271" s="106">
        <v>2026400654</v>
      </c>
      <c r="M271" s="139" t="s">
        <v>202</v>
      </c>
      <c r="N271" s="106">
        <v>2026</v>
      </c>
    </row>
    <row r="272" spans="1:14">
      <c r="A272" s="106">
        <v>272</v>
      </c>
      <c r="B272" s="106" t="s">
        <v>42</v>
      </c>
      <c r="C272" s="106" t="s">
        <v>43</v>
      </c>
      <c r="D272" s="106" t="s">
        <v>60</v>
      </c>
      <c r="E272" s="125" t="s">
        <v>70</v>
      </c>
      <c r="G272" s="106" t="s">
        <v>121</v>
      </c>
      <c r="H272" s="106" t="s">
        <v>115</v>
      </c>
      <c r="I272" s="140">
        <v>727.7</v>
      </c>
      <c r="J272" s="106" t="s">
        <v>684</v>
      </c>
      <c r="K272" s="109">
        <v>46082</v>
      </c>
      <c r="L272" s="106">
        <v>2026400623</v>
      </c>
      <c r="M272" s="139" t="s">
        <v>202</v>
      </c>
      <c r="N272" s="106">
        <v>2026</v>
      </c>
    </row>
    <row r="273" spans="1:14">
      <c r="A273" s="106">
        <v>273</v>
      </c>
      <c r="B273" s="106" t="s">
        <v>52</v>
      </c>
      <c r="C273" s="106" t="s">
        <v>62</v>
      </c>
      <c r="D273" s="106" t="s">
        <v>60</v>
      </c>
      <c r="E273" s="125" t="s">
        <v>70</v>
      </c>
      <c r="G273" s="106" t="s">
        <v>121</v>
      </c>
      <c r="H273" s="106" t="s">
        <v>115</v>
      </c>
      <c r="I273" s="140">
        <v>1066.3</v>
      </c>
      <c r="J273" s="106" t="s">
        <v>685</v>
      </c>
      <c r="K273" s="109">
        <v>46092</v>
      </c>
      <c r="L273" s="106">
        <v>2026400290</v>
      </c>
      <c r="M273" s="139" t="s">
        <v>202</v>
      </c>
      <c r="N273" s="106">
        <v>2026</v>
      </c>
    </row>
    <row r="274" spans="1:14">
      <c r="A274" s="106">
        <v>274</v>
      </c>
      <c r="B274" s="106" t="s">
        <v>17</v>
      </c>
      <c r="C274" s="106" t="s">
        <v>22</v>
      </c>
      <c r="D274" s="106" t="s">
        <v>60</v>
      </c>
      <c r="E274" s="125" t="s">
        <v>70</v>
      </c>
      <c r="G274" s="106" t="s">
        <v>121</v>
      </c>
      <c r="H274" s="106" t="s">
        <v>115</v>
      </c>
      <c r="I274" s="140">
        <v>288</v>
      </c>
      <c r="J274" s="106" t="s">
        <v>686</v>
      </c>
      <c r="K274" s="109">
        <v>46050</v>
      </c>
      <c r="L274" s="106">
        <v>2026400246</v>
      </c>
      <c r="M274" s="139" t="s">
        <v>202</v>
      </c>
      <c r="N274" s="106">
        <v>2026</v>
      </c>
    </row>
    <row r="275" spans="1:14">
      <c r="B275" s="106" t="s">
        <v>54</v>
      </c>
      <c r="C275" s="106" t="s">
        <v>93</v>
      </c>
      <c r="D275" s="106" t="s">
        <v>60</v>
      </c>
      <c r="E275" s="125" t="s">
        <v>70</v>
      </c>
      <c r="G275" s="106" t="s">
        <v>268</v>
      </c>
      <c r="H275" s="106" t="s">
        <v>115</v>
      </c>
      <c r="I275" s="140">
        <v>209.26430517711171</v>
      </c>
      <c r="J275" s="106" t="s">
        <v>14</v>
      </c>
      <c r="K275" s="107" t="s">
        <v>14</v>
      </c>
      <c r="L275" s="106">
        <v>2025404811</v>
      </c>
      <c r="M275" s="139" t="s">
        <v>202</v>
      </c>
      <c r="N275" s="106">
        <v>2026</v>
      </c>
    </row>
    <row r="276" spans="1:14">
      <c r="B276" s="106" t="s">
        <v>52</v>
      </c>
      <c r="C276" s="106" t="s">
        <v>62</v>
      </c>
      <c r="D276" s="106" t="s">
        <v>60</v>
      </c>
      <c r="E276" s="125" t="s">
        <v>70</v>
      </c>
      <c r="G276" s="106" t="s">
        <v>268</v>
      </c>
      <c r="H276" s="106" t="s">
        <v>115</v>
      </c>
      <c r="I276" s="140">
        <v>12777.929155313352</v>
      </c>
      <c r="J276" s="106" t="s">
        <v>531</v>
      </c>
      <c r="K276" s="109">
        <v>46061</v>
      </c>
      <c r="L276" s="106">
        <v>2025404041</v>
      </c>
      <c r="M276" s="139" t="s">
        <v>202</v>
      </c>
      <c r="N276" s="106">
        <v>2026</v>
      </c>
    </row>
    <row r="277" spans="1:14">
      <c r="B277" s="106" t="s">
        <v>42</v>
      </c>
      <c r="C277" s="106" t="s">
        <v>50</v>
      </c>
      <c r="D277" s="106" t="s">
        <v>60</v>
      </c>
      <c r="E277" s="125" t="s">
        <v>70</v>
      </c>
      <c r="G277" s="106" t="s">
        <v>268</v>
      </c>
      <c r="H277" s="106" t="s">
        <v>115</v>
      </c>
      <c r="I277" s="140">
        <v>143669.75476839236</v>
      </c>
      <c r="J277" s="106" t="s">
        <v>14</v>
      </c>
      <c r="K277" s="107" t="s">
        <v>14</v>
      </c>
      <c r="L277" s="106">
        <v>2026400276</v>
      </c>
      <c r="M277" s="139" t="s">
        <v>202</v>
      </c>
      <c r="N277" s="106">
        <v>2026</v>
      </c>
    </row>
    <row r="278" spans="1:14">
      <c r="B278" s="106" t="s">
        <v>42</v>
      </c>
      <c r="C278" s="106" t="s">
        <v>50</v>
      </c>
      <c r="D278" s="106" t="s">
        <v>60</v>
      </c>
      <c r="E278" s="125" t="s">
        <v>70</v>
      </c>
      <c r="G278" s="106" t="s">
        <v>268</v>
      </c>
      <c r="H278" s="106" t="s">
        <v>115</v>
      </c>
      <c r="I278" s="140">
        <v>71534.059945504094</v>
      </c>
      <c r="J278" s="106" t="s">
        <v>14</v>
      </c>
      <c r="K278" s="107" t="s">
        <v>14</v>
      </c>
      <c r="L278" s="106" t="s">
        <v>14</v>
      </c>
      <c r="M278" s="139" t="s">
        <v>202</v>
      </c>
      <c r="N278" s="106">
        <v>2026</v>
      </c>
    </row>
    <row r="279" spans="1:14">
      <c r="B279" s="106" t="s">
        <v>42</v>
      </c>
      <c r="C279" s="106" t="s">
        <v>47</v>
      </c>
      <c r="D279" s="106" t="s">
        <v>60</v>
      </c>
      <c r="E279" s="125" t="s">
        <v>70</v>
      </c>
      <c r="G279" s="106" t="s">
        <v>268</v>
      </c>
      <c r="H279" s="106" t="s">
        <v>115</v>
      </c>
      <c r="I279" s="140">
        <v>2654.4959128065398</v>
      </c>
      <c r="J279" s="106" t="s">
        <v>14</v>
      </c>
      <c r="K279" s="107" t="s">
        <v>14</v>
      </c>
      <c r="L279" s="106">
        <v>2025404040</v>
      </c>
      <c r="M279" s="139" t="s">
        <v>202</v>
      </c>
      <c r="N279" s="106">
        <v>2026</v>
      </c>
    </row>
    <row r="280" spans="1:14">
      <c r="B280" s="106" t="s">
        <v>52</v>
      </c>
      <c r="C280" s="106" t="s">
        <v>62</v>
      </c>
      <c r="D280" s="106" t="s">
        <v>60</v>
      </c>
      <c r="E280" s="125" t="s">
        <v>70</v>
      </c>
      <c r="G280" s="106" t="s">
        <v>268</v>
      </c>
      <c r="H280" s="106" t="s">
        <v>115</v>
      </c>
      <c r="I280" s="140">
        <v>125535.81471389646</v>
      </c>
      <c r="J280" s="106" t="s">
        <v>14</v>
      </c>
      <c r="K280" s="107" t="s">
        <v>14</v>
      </c>
      <c r="L280" s="106" t="s">
        <v>14</v>
      </c>
      <c r="M280" s="139" t="s">
        <v>202</v>
      </c>
      <c r="N280" s="106">
        <v>2026</v>
      </c>
    </row>
    <row r="281" spans="1:14">
      <c r="B281" s="106" t="s">
        <v>52</v>
      </c>
      <c r="C281" s="106" t="s">
        <v>62</v>
      </c>
      <c r="D281" s="106" t="s">
        <v>60</v>
      </c>
      <c r="E281" s="125" t="s">
        <v>70</v>
      </c>
      <c r="G281" s="106" t="s">
        <v>268</v>
      </c>
      <c r="H281" s="106" t="s">
        <v>115</v>
      </c>
      <c r="I281" s="140">
        <v>4340.0544959128065</v>
      </c>
      <c r="J281" s="106" t="s">
        <v>14</v>
      </c>
      <c r="K281" s="107" t="s">
        <v>14</v>
      </c>
      <c r="L281" s="106">
        <v>2025404329</v>
      </c>
      <c r="M281" s="139" t="s">
        <v>202</v>
      </c>
      <c r="N281" s="106">
        <v>2026</v>
      </c>
    </row>
    <row r="282" spans="1:14">
      <c r="B282" s="106" t="s">
        <v>52</v>
      </c>
      <c r="C282" s="106" t="s">
        <v>62</v>
      </c>
      <c r="D282" s="106" t="s">
        <v>60</v>
      </c>
      <c r="E282" s="125" t="s">
        <v>70</v>
      </c>
      <c r="G282" s="106" t="s">
        <v>268</v>
      </c>
      <c r="H282" s="106" t="s">
        <v>115</v>
      </c>
      <c r="I282" s="140">
        <v>1614.2888283378745</v>
      </c>
      <c r="J282" s="106" t="s">
        <v>14</v>
      </c>
      <c r="K282" s="107" t="s">
        <v>14</v>
      </c>
      <c r="L282" s="106" t="s">
        <v>14</v>
      </c>
      <c r="M282" s="139" t="s">
        <v>202</v>
      </c>
      <c r="N282" s="106">
        <v>2026</v>
      </c>
    </row>
    <row r="283" spans="1:14">
      <c r="B283" s="106" t="s">
        <v>52</v>
      </c>
      <c r="C283" s="106" t="s">
        <v>62</v>
      </c>
      <c r="D283" s="106" t="s">
        <v>60</v>
      </c>
      <c r="E283" s="125" t="s">
        <v>70</v>
      </c>
      <c r="G283" s="106" t="s">
        <v>268</v>
      </c>
      <c r="H283" s="106" t="s">
        <v>115</v>
      </c>
      <c r="I283" s="140">
        <v>27652.043596730247</v>
      </c>
      <c r="J283" s="106" t="s">
        <v>14</v>
      </c>
      <c r="K283" s="107" t="s">
        <v>14</v>
      </c>
      <c r="L283" s="106">
        <v>2025404329</v>
      </c>
      <c r="M283" s="139" t="s">
        <v>202</v>
      </c>
      <c r="N283" s="106">
        <v>2026</v>
      </c>
    </row>
    <row r="284" spans="1:14">
      <c r="I284" s="140"/>
      <c r="K284" s="107"/>
      <c r="M284" s="139"/>
    </row>
    <row r="285" spans="1:14">
      <c r="K285" s="107"/>
    </row>
    <row r="286" spans="1:14">
      <c r="K286" s="107"/>
    </row>
    <row r="287" spans="1:14">
      <c r="K287" s="107"/>
    </row>
    <row r="288" spans="1:14">
      <c r="K288" s="107"/>
    </row>
    <row r="289" spans="11:11">
      <c r="K289" s="107"/>
    </row>
    <row r="290" spans="11:11">
      <c r="K290" s="107"/>
    </row>
    <row r="291" spans="11:11">
      <c r="K291" s="107"/>
    </row>
    <row r="292" spans="11:11">
      <c r="K292" s="107"/>
    </row>
    <row r="293" spans="11:11">
      <c r="K293" s="107"/>
    </row>
    <row r="294" spans="11:11">
      <c r="K294" s="107"/>
    </row>
    <row r="295" spans="11:11">
      <c r="K295" s="107"/>
    </row>
    <row r="296" spans="11:11">
      <c r="K296" s="107"/>
    </row>
    <row r="297" spans="11:11">
      <c r="K297" s="107"/>
    </row>
    <row r="298" spans="11:11">
      <c r="K298" s="107"/>
    </row>
    <row r="299" spans="11:11">
      <c r="K299" s="107"/>
    </row>
    <row r="300" spans="11:11">
      <c r="K300" s="107"/>
    </row>
    <row r="301" spans="11:11">
      <c r="K301" s="107"/>
    </row>
    <row r="302" spans="11:11">
      <c r="K302" s="107"/>
    </row>
    <row r="303" spans="11:11">
      <c r="K303" s="107"/>
    </row>
    <row r="304" spans="11:11">
      <c r="K304" s="107"/>
    </row>
    <row r="305" spans="11:11">
      <c r="K305" s="107"/>
    </row>
    <row r="306" spans="11:11">
      <c r="K306" s="107"/>
    </row>
    <row r="307" spans="11:11">
      <c r="K307" s="107"/>
    </row>
    <row r="308" spans="11:11">
      <c r="K308" s="107"/>
    </row>
    <row r="309" spans="11:11">
      <c r="K309" s="107"/>
    </row>
    <row r="310" spans="11:11">
      <c r="K310" s="107"/>
    </row>
    <row r="311" spans="11:11">
      <c r="K311" s="107"/>
    </row>
    <row r="312" spans="11:11">
      <c r="K312" s="107"/>
    </row>
    <row r="313" spans="11:11">
      <c r="K313" s="107"/>
    </row>
    <row r="314" spans="11:11">
      <c r="K314" s="107"/>
    </row>
    <row r="315" spans="11:11">
      <c r="K315" s="107"/>
    </row>
    <row r="316" spans="11:11">
      <c r="K316" s="107"/>
    </row>
  </sheetData>
  <autoFilter ref="A1:N284" xr:uid="{00000000-0009-0000-0000-000011000000}">
    <sortState xmlns:xlrd2="http://schemas.microsoft.com/office/spreadsheetml/2017/richdata2" ref="A2:N274">
      <sortCondition ref="G1:G186"/>
    </sortState>
  </autoFilter>
  <conditionalFormatting sqref="L1:L1048576">
    <cfRule type="duplicateValues" dxfId="27" priority="1"/>
  </conditionalFormatting>
  <dataValidations count="1">
    <dataValidation type="list" allowBlank="1" showInputMessage="1" showErrorMessage="1" sqref="C2:C67 I2:I186" xr:uid="{00000000-0002-0000-11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0000000}">
          <x14:formula1>
            <xm:f>List!$P$2:$P$11</xm:f>
          </x14:formula1>
          <xm:sqref>B2:B67</xm:sqref>
        </x14:dataValidation>
        <x14:dataValidation type="list" allowBlank="1" showInputMessage="1" showErrorMessage="1" xr:uid="{00000000-0002-0000-1100-000002000000}">
          <x14:formula1>
            <xm:f>List!$C$2:$C$3</xm:f>
          </x14:formula1>
          <xm:sqref>D2:D283</xm:sqref>
        </x14:dataValidation>
        <x14:dataValidation type="list" allowBlank="1" showInputMessage="1" showErrorMessage="1" xr:uid="{00000000-0002-0000-1100-000003000000}">
          <x14:formula1>
            <xm:f>List!$E$2:$E$32</xm:f>
          </x14:formula1>
          <xm:sqref>E2:E283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O64"/>
  <sheetViews>
    <sheetView topLeftCell="B25" workbookViewId="0">
      <selection activeCell="I42" sqref="I42"/>
    </sheetView>
  </sheetViews>
  <sheetFormatPr defaultColWidth="9" defaultRowHeight="14.25"/>
  <cols>
    <col min="1" max="1" width="5.33203125" style="106" customWidth="1"/>
    <col min="2" max="2" width="9.33203125" style="106" customWidth="1"/>
    <col min="3" max="3" width="15.06640625" style="106" customWidth="1"/>
    <col min="4" max="4" width="9" style="106" customWidth="1"/>
    <col min="5" max="5" width="25.46484375" style="106" customWidth="1"/>
    <col min="6" max="6" width="10.19921875" style="106" customWidth="1"/>
    <col min="7" max="7" width="51.796875" style="106" customWidth="1"/>
    <col min="8" max="8" width="26.796875" style="106" customWidth="1"/>
    <col min="9" max="9" width="18.06640625" style="110" customWidth="1"/>
    <col min="10" max="10" width="20.19921875" style="106" bestFit="1" customWidth="1"/>
    <col min="11" max="11" width="11.19921875" style="106" customWidth="1"/>
    <col min="12" max="12" width="10.796875" style="106" customWidth="1"/>
    <col min="13" max="13" width="6.53125" style="106" customWidth="1"/>
    <col min="14" max="14" width="4.796875" style="106" customWidth="1"/>
    <col min="15" max="16384" width="9" style="106"/>
  </cols>
  <sheetData>
    <row r="1" spans="1:15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05" t="s">
        <v>8</v>
      </c>
      <c r="J1" s="105" t="s">
        <v>9</v>
      </c>
      <c r="K1" s="105" t="s">
        <v>10</v>
      </c>
      <c r="L1" s="105" t="s">
        <v>11</v>
      </c>
      <c r="M1" s="105" t="s">
        <v>12</v>
      </c>
      <c r="N1" s="105" t="s">
        <v>13</v>
      </c>
    </row>
    <row r="2" spans="1:15">
      <c r="A2" s="106">
        <v>1</v>
      </c>
      <c r="B2" s="106" t="s">
        <v>42</v>
      </c>
      <c r="C2" s="106" t="s">
        <v>48</v>
      </c>
      <c r="D2" s="106" t="s">
        <v>60</v>
      </c>
      <c r="E2" s="106" t="s">
        <v>109</v>
      </c>
      <c r="G2" s="106" t="s">
        <v>254</v>
      </c>
      <c r="H2" s="106" t="s">
        <v>284</v>
      </c>
      <c r="I2" s="110">
        <v>6880.5369127516778</v>
      </c>
      <c r="J2" s="110" t="s">
        <v>712</v>
      </c>
      <c r="K2" s="109">
        <v>46076</v>
      </c>
      <c r="L2" s="106">
        <v>2026400696</v>
      </c>
      <c r="M2" s="145" t="s">
        <v>202</v>
      </c>
      <c r="N2" s="106">
        <v>2026</v>
      </c>
      <c r="O2" s="108"/>
    </row>
    <row r="3" spans="1:15">
      <c r="A3" s="106">
        <v>2</v>
      </c>
      <c r="B3" s="106" t="s">
        <v>54</v>
      </c>
      <c r="C3" s="106" t="s">
        <v>55</v>
      </c>
      <c r="D3" s="106" t="s">
        <v>60</v>
      </c>
      <c r="E3" s="106" t="s">
        <v>109</v>
      </c>
      <c r="G3" s="106" t="s">
        <v>110</v>
      </c>
      <c r="H3" s="106" t="s">
        <v>284</v>
      </c>
      <c r="I3" s="110">
        <v>4372.1476510067114</v>
      </c>
      <c r="J3" s="110" t="s">
        <v>713</v>
      </c>
      <c r="K3" s="109">
        <v>46064</v>
      </c>
      <c r="L3" s="106">
        <v>2026400584</v>
      </c>
      <c r="M3" s="145" t="s">
        <v>202</v>
      </c>
      <c r="N3" s="106">
        <v>2026</v>
      </c>
    </row>
    <row r="4" spans="1:15">
      <c r="A4" s="106">
        <v>3</v>
      </c>
      <c r="B4" s="106" t="s">
        <v>42</v>
      </c>
      <c r="C4" s="106" t="s">
        <v>50</v>
      </c>
      <c r="D4" s="106" t="s">
        <v>60</v>
      </c>
      <c r="E4" s="106" t="s">
        <v>109</v>
      </c>
      <c r="G4" s="106" t="s">
        <v>254</v>
      </c>
      <c r="H4" s="106" t="s">
        <v>284</v>
      </c>
      <c r="I4" s="110">
        <v>2697.9865771812078</v>
      </c>
      <c r="J4" s="110" t="s">
        <v>714</v>
      </c>
      <c r="K4" s="109">
        <v>46063</v>
      </c>
      <c r="L4" s="106">
        <v>2026400586</v>
      </c>
      <c r="M4" s="145" t="s">
        <v>202</v>
      </c>
      <c r="N4" s="106">
        <v>2026</v>
      </c>
    </row>
    <row r="5" spans="1:15">
      <c r="A5" s="106">
        <v>4</v>
      </c>
      <c r="B5" s="106" t="s">
        <v>54</v>
      </c>
      <c r="C5" s="106" t="s">
        <v>55</v>
      </c>
      <c r="D5" s="106" t="s">
        <v>60</v>
      </c>
      <c r="E5" s="106" t="s">
        <v>109</v>
      </c>
      <c r="G5" s="106" t="s">
        <v>110</v>
      </c>
      <c r="H5" s="106" t="s">
        <v>284</v>
      </c>
      <c r="I5" s="110">
        <v>2587.4161073825503</v>
      </c>
      <c r="J5" s="110" t="s">
        <v>715</v>
      </c>
      <c r="K5" s="109">
        <v>46047</v>
      </c>
      <c r="L5" s="106">
        <v>2026400584</v>
      </c>
      <c r="M5" s="145" t="s">
        <v>202</v>
      </c>
      <c r="N5" s="106">
        <v>2026</v>
      </c>
    </row>
    <row r="6" spans="1:15">
      <c r="A6" s="106">
        <v>5</v>
      </c>
      <c r="B6" s="122" t="s">
        <v>42</v>
      </c>
      <c r="C6" s="106" t="s">
        <v>44</v>
      </c>
      <c r="D6" s="106" t="s">
        <v>60</v>
      </c>
      <c r="E6" s="106" t="s">
        <v>109</v>
      </c>
      <c r="G6" s="106" t="s">
        <v>707</v>
      </c>
      <c r="H6" s="106" t="s">
        <v>284</v>
      </c>
      <c r="I6" s="110">
        <v>2013.4228187919464</v>
      </c>
      <c r="J6" s="110" t="s">
        <v>67</v>
      </c>
      <c r="K6" s="109">
        <v>46083</v>
      </c>
      <c r="L6" s="106">
        <v>2026400544</v>
      </c>
      <c r="M6" s="145" t="s">
        <v>202</v>
      </c>
      <c r="N6" s="106">
        <v>2026</v>
      </c>
    </row>
    <row r="7" spans="1:15">
      <c r="A7" s="106">
        <v>6</v>
      </c>
      <c r="B7" s="106" t="s">
        <v>54</v>
      </c>
      <c r="C7" s="106" t="s">
        <v>55</v>
      </c>
      <c r="D7" s="106" t="s">
        <v>60</v>
      </c>
      <c r="E7" s="106" t="s">
        <v>109</v>
      </c>
      <c r="G7" s="106" t="s">
        <v>708</v>
      </c>
      <c r="H7" s="106" t="s">
        <v>284</v>
      </c>
      <c r="I7" s="110">
        <v>1812.0805369127518</v>
      </c>
      <c r="J7" s="110" t="s">
        <v>716</v>
      </c>
      <c r="K7" s="109">
        <v>46070</v>
      </c>
      <c r="L7" s="106">
        <v>2026401028</v>
      </c>
      <c r="M7" s="145" t="s">
        <v>202</v>
      </c>
      <c r="N7" s="106">
        <v>2026</v>
      </c>
    </row>
    <row r="8" spans="1:15">
      <c r="A8" s="106">
        <v>7</v>
      </c>
      <c r="B8" s="106" t="s">
        <v>54</v>
      </c>
      <c r="C8" s="106" t="s">
        <v>55</v>
      </c>
      <c r="D8" s="106" t="s">
        <v>60</v>
      </c>
      <c r="E8" s="106" t="s">
        <v>109</v>
      </c>
      <c r="G8" s="106" t="s">
        <v>110</v>
      </c>
      <c r="H8" s="106" t="s">
        <v>284</v>
      </c>
      <c r="I8" s="110">
        <v>1430.5369127516778</v>
      </c>
      <c r="J8" s="106" t="s">
        <v>717</v>
      </c>
      <c r="K8" s="109">
        <v>46076</v>
      </c>
      <c r="L8" s="106">
        <v>2026400794</v>
      </c>
      <c r="M8" s="145" t="s">
        <v>202</v>
      </c>
      <c r="N8" s="106">
        <v>2026</v>
      </c>
    </row>
    <row r="9" spans="1:15">
      <c r="A9" s="106">
        <v>8</v>
      </c>
      <c r="B9" s="106" t="s">
        <v>52</v>
      </c>
      <c r="C9" s="106" t="s">
        <v>62</v>
      </c>
      <c r="D9" s="106" t="s">
        <v>60</v>
      </c>
      <c r="E9" s="106" t="s">
        <v>109</v>
      </c>
      <c r="G9" s="106" t="s">
        <v>709</v>
      </c>
      <c r="H9" s="106" t="s">
        <v>284</v>
      </c>
      <c r="I9" s="110">
        <v>1349.6644295302012</v>
      </c>
      <c r="J9" s="106" t="s">
        <v>718</v>
      </c>
      <c r="K9" s="109">
        <v>46076</v>
      </c>
      <c r="L9" s="106">
        <v>2026400657</v>
      </c>
      <c r="M9" s="145" t="s">
        <v>202</v>
      </c>
      <c r="N9" s="106">
        <v>2026</v>
      </c>
    </row>
    <row r="10" spans="1:15">
      <c r="A10" s="106">
        <v>9</v>
      </c>
      <c r="B10" s="106" t="s">
        <v>17</v>
      </c>
      <c r="C10" s="106" t="s">
        <v>388</v>
      </c>
      <c r="D10" s="106" t="s">
        <v>60</v>
      </c>
      <c r="E10" s="106" t="s">
        <v>109</v>
      </c>
      <c r="G10" s="106" t="s">
        <v>188</v>
      </c>
      <c r="H10" s="106" t="s">
        <v>284</v>
      </c>
      <c r="I10" s="110">
        <v>1057.0469798657718</v>
      </c>
      <c r="J10" s="106" t="s">
        <v>719</v>
      </c>
      <c r="K10" s="109">
        <v>46053</v>
      </c>
      <c r="L10" s="106">
        <v>2026400554</v>
      </c>
      <c r="M10" s="145" t="s">
        <v>202</v>
      </c>
      <c r="N10" s="106">
        <v>2026</v>
      </c>
    </row>
    <row r="11" spans="1:15">
      <c r="A11" s="106">
        <v>10</v>
      </c>
      <c r="B11" s="106" t="s">
        <v>17</v>
      </c>
      <c r="C11" s="106" t="s">
        <v>388</v>
      </c>
      <c r="D11" s="106" t="s">
        <v>60</v>
      </c>
      <c r="E11" s="106" t="s">
        <v>109</v>
      </c>
      <c r="G11" s="106" t="s">
        <v>270</v>
      </c>
      <c r="H11" s="106" t="s">
        <v>284</v>
      </c>
      <c r="I11" s="110">
        <v>976.510067114094</v>
      </c>
      <c r="J11" s="106" t="s">
        <v>720</v>
      </c>
      <c r="K11" s="109">
        <v>46077</v>
      </c>
      <c r="L11" s="106">
        <v>2026400796</v>
      </c>
      <c r="M11" s="145" t="s">
        <v>202</v>
      </c>
      <c r="N11" s="106">
        <v>2026</v>
      </c>
    </row>
    <row r="12" spans="1:15">
      <c r="A12" s="106">
        <v>11</v>
      </c>
      <c r="B12" s="106" t="s">
        <v>17</v>
      </c>
      <c r="C12" s="106" t="s">
        <v>388</v>
      </c>
      <c r="D12" s="106" t="s">
        <v>60</v>
      </c>
      <c r="E12" s="106" t="s">
        <v>109</v>
      </c>
      <c r="G12" s="106" t="s">
        <v>188</v>
      </c>
      <c r="H12" s="106" t="s">
        <v>284</v>
      </c>
      <c r="I12" s="110">
        <v>704.69798657718115</v>
      </c>
      <c r="J12" s="106" t="s">
        <v>721</v>
      </c>
      <c r="K12" s="109">
        <v>46053</v>
      </c>
      <c r="L12" s="106">
        <v>2026400548</v>
      </c>
      <c r="M12" s="145" t="s">
        <v>202</v>
      </c>
      <c r="N12" s="106">
        <v>2026</v>
      </c>
    </row>
    <row r="13" spans="1:15">
      <c r="A13" s="106">
        <v>12</v>
      </c>
      <c r="B13" s="106" t="s">
        <v>17</v>
      </c>
      <c r="C13" s="106" t="s">
        <v>388</v>
      </c>
      <c r="D13" s="106" t="s">
        <v>60</v>
      </c>
      <c r="E13" s="106" t="s">
        <v>109</v>
      </c>
      <c r="G13" s="106" t="s">
        <v>188</v>
      </c>
      <c r="H13" s="106" t="s">
        <v>284</v>
      </c>
      <c r="I13" s="110">
        <v>704.69798657718115</v>
      </c>
      <c r="J13" s="106" t="s">
        <v>722</v>
      </c>
      <c r="K13" s="109">
        <v>46053</v>
      </c>
      <c r="L13" s="106">
        <v>2026400553</v>
      </c>
      <c r="M13" s="145" t="s">
        <v>202</v>
      </c>
      <c r="N13" s="106">
        <v>2026</v>
      </c>
    </row>
    <row r="14" spans="1:15">
      <c r="A14" s="106">
        <v>13</v>
      </c>
      <c r="B14" s="106" t="s">
        <v>17</v>
      </c>
      <c r="C14" s="106" t="s">
        <v>18</v>
      </c>
      <c r="D14" s="106" t="s">
        <v>60</v>
      </c>
      <c r="E14" s="106" t="s">
        <v>109</v>
      </c>
      <c r="G14" s="106" t="s">
        <v>270</v>
      </c>
      <c r="H14" s="106" t="s">
        <v>284</v>
      </c>
      <c r="I14" s="110">
        <v>651.00671140939596</v>
      </c>
      <c r="J14" s="106" t="s">
        <v>723</v>
      </c>
      <c r="K14" s="109">
        <v>46051</v>
      </c>
      <c r="L14" s="106">
        <v>2026400552</v>
      </c>
      <c r="M14" s="145" t="s">
        <v>202</v>
      </c>
      <c r="N14" s="106">
        <v>2026</v>
      </c>
    </row>
    <row r="15" spans="1:15">
      <c r="A15" s="106">
        <v>14</v>
      </c>
      <c r="B15" s="106" t="s">
        <v>17</v>
      </c>
      <c r="C15" s="106" t="s">
        <v>18</v>
      </c>
      <c r="D15" s="106" t="s">
        <v>60</v>
      </c>
      <c r="E15" s="106" t="s">
        <v>109</v>
      </c>
      <c r="G15" s="106" t="s">
        <v>270</v>
      </c>
      <c r="H15" s="106" t="s">
        <v>284</v>
      </c>
      <c r="I15" s="110">
        <v>651.00671140939596</v>
      </c>
      <c r="J15" s="106" t="s">
        <v>724</v>
      </c>
      <c r="K15" s="109">
        <v>46055</v>
      </c>
      <c r="L15" s="106">
        <v>2026400547</v>
      </c>
      <c r="M15" s="145" t="s">
        <v>202</v>
      </c>
      <c r="N15" s="106">
        <v>2026</v>
      </c>
    </row>
    <row r="16" spans="1:15">
      <c r="A16" s="106">
        <v>15</v>
      </c>
      <c r="B16" s="106" t="s">
        <v>17</v>
      </c>
      <c r="C16" s="106" t="s">
        <v>18</v>
      </c>
      <c r="D16" s="106" t="s">
        <v>60</v>
      </c>
      <c r="E16" s="106" t="s">
        <v>109</v>
      </c>
      <c r="G16" s="106" t="s">
        <v>270</v>
      </c>
      <c r="H16" s="106" t="s">
        <v>284</v>
      </c>
      <c r="I16" s="110">
        <v>651.00671140939596</v>
      </c>
      <c r="J16" s="106" t="s">
        <v>725</v>
      </c>
      <c r="K16" s="109">
        <v>46053</v>
      </c>
      <c r="L16" s="106">
        <v>2026400551</v>
      </c>
      <c r="M16" s="145" t="s">
        <v>202</v>
      </c>
      <c r="N16" s="106">
        <v>2026</v>
      </c>
    </row>
    <row r="17" spans="1:14">
      <c r="A17" s="106">
        <v>16</v>
      </c>
      <c r="B17" s="106" t="s">
        <v>42</v>
      </c>
      <c r="C17" s="106" t="s">
        <v>45</v>
      </c>
      <c r="D17" s="106" t="s">
        <v>60</v>
      </c>
      <c r="E17" s="106" t="s">
        <v>109</v>
      </c>
      <c r="G17" s="106" t="s">
        <v>258</v>
      </c>
      <c r="H17" s="106" t="s">
        <v>284</v>
      </c>
      <c r="I17" s="110">
        <v>490.60402684563758</v>
      </c>
      <c r="J17" s="106" t="s">
        <v>726</v>
      </c>
      <c r="K17" s="109">
        <v>46050</v>
      </c>
      <c r="L17" s="106">
        <v>2026400797</v>
      </c>
      <c r="M17" s="145" t="s">
        <v>202</v>
      </c>
      <c r="N17" s="106">
        <v>2026</v>
      </c>
    </row>
    <row r="18" spans="1:14">
      <c r="A18" s="106">
        <v>17</v>
      </c>
      <c r="B18" s="106" t="s">
        <v>17</v>
      </c>
      <c r="C18" s="106" t="s">
        <v>22</v>
      </c>
      <c r="D18" s="106" t="s">
        <v>60</v>
      </c>
      <c r="E18" s="106" t="s">
        <v>109</v>
      </c>
      <c r="G18" s="106" t="s">
        <v>110</v>
      </c>
      <c r="H18" s="106" t="s">
        <v>284</v>
      </c>
      <c r="I18" s="110">
        <v>453.3557046979866</v>
      </c>
      <c r="J18" s="106" t="s">
        <v>727</v>
      </c>
      <c r="K18" s="109">
        <v>46077</v>
      </c>
      <c r="L18" s="106">
        <v>2026400793</v>
      </c>
      <c r="M18" s="145" t="s">
        <v>202</v>
      </c>
      <c r="N18" s="106">
        <v>2026</v>
      </c>
    </row>
    <row r="19" spans="1:14">
      <c r="A19" s="106">
        <v>18</v>
      </c>
      <c r="B19" s="106" t="s">
        <v>52</v>
      </c>
      <c r="C19" s="106" t="s">
        <v>62</v>
      </c>
      <c r="D19" s="106" t="s">
        <v>60</v>
      </c>
      <c r="E19" s="106" t="s">
        <v>109</v>
      </c>
      <c r="G19" s="106" t="s">
        <v>258</v>
      </c>
      <c r="H19" s="106" t="s">
        <v>284</v>
      </c>
      <c r="I19" s="110">
        <v>322.14765100671138</v>
      </c>
      <c r="J19" s="106" t="s">
        <v>728</v>
      </c>
      <c r="K19" s="109">
        <v>46049</v>
      </c>
      <c r="L19" s="106">
        <v>2026400438</v>
      </c>
      <c r="M19" s="145" t="s">
        <v>202</v>
      </c>
      <c r="N19" s="106">
        <v>2026</v>
      </c>
    </row>
    <row r="20" spans="1:14">
      <c r="A20" s="106">
        <v>19</v>
      </c>
      <c r="B20" s="106" t="s">
        <v>52</v>
      </c>
      <c r="C20" s="106" t="s">
        <v>62</v>
      </c>
      <c r="D20" s="106" t="s">
        <v>60</v>
      </c>
      <c r="E20" s="106" t="s">
        <v>109</v>
      </c>
      <c r="G20" s="106" t="s">
        <v>254</v>
      </c>
      <c r="H20" s="106" t="s">
        <v>284</v>
      </c>
      <c r="I20" s="110">
        <v>281.87919463087246</v>
      </c>
      <c r="J20" s="106" t="s">
        <v>729</v>
      </c>
      <c r="K20" s="109">
        <v>46055</v>
      </c>
      <c r="L20" s="106">
        <v>2026400890</v>
      </c>
      <c r="M20" s="145" t="s">
        <v>202</v>
      </c>
      <c r="N20" s="106">
        <v>2026</v>
      </c>
    </row>
    <row r="21" spans="1:14">
      <c r="A21" s="106">
        <v>20</v>
      </c>
      <c r="B21" s="106" t="s">
        <v>17</v>
      </c>
      <c r="C21" s="106" t="s">
        <v>24</v>
      </c>
      <c r="D21" s="106" t="s">
        <v>60</v>
      </c>
      <c r="E21" s="106" t="s">
        <v>109</v>
      </c>
      <c r="G21" s="106" t="s">
        <v>258</v>
      </c>
      <c r="H21" s="106" t="s">
        <v>284</v>
      </c>
      <c r="I21" s="110">
        <v>67.114093959731548</v>
      </c>
      <c r="J21" s="106" t="s">
        <v>730</v>
      </c>
      <c r="K21" s="106">
        <v>46048</v>
      </c>
      <c r="L21" s="106">
        <v>2026400319</v>
      </c>
      <c r="M21" s="145" t="s">
        <v>202</v>
      </c>
      <c r="N21" s="106">
        <v>2026</v>
      </c>
    </row>
    <row r="22" spans="1:14">
      <c r="A22" s="106">
        <v>21</v>
      </c>
      <c r="B22" s="106" t="s">
        <v>42</v>
      </c>
      <c r="C22" s="106" t="s">
        <v>689</v>
      </c>
      <c r="D22" s="106" t="s">
        <v>60</v>
      </c>
      <c r="E22" s="106" t="s">
        <v>109</v>
      </c>
      <c r="G22" s="106" t="s">
        <v>190</v>
      </c>
      <c r="H22" s="106" t="s">
        <v>284</v>
      </c>
      <c r="I22" s="110">
        <v>1200</v>
      </c>
      <c r="J22" s="106" t="s">
        <v>731</v>
      </c>
      <c r="K22" s="106">
        <v>46064</v>
      </c>
      <c r="L22" s="106">
        <v>2026400416</v>
      </c>
      <c r="M22" s="145" t="s">
        <v>202</v>
      </c>
      <c r="N22" s="106">
        <v>2026</v>
      </c>
    </row>
    <row r="23" spans="1:14">
      <c r="A23" s="106">
        <v>22</v>
      </c>
      <c r="B23" s="106" t="s">
        <v>17</v>
      </c>
      <c r="C23" s="106" t="s">
        <v>24</v>
      </c>
      <c r="D23" s="106" t="s">
        <v>60</v>
      </c>
      <c r="E23" s="106" t="s">
        <v>109</v>
      </c>
      <c r="G23" s="106" t="s">
        <v>190</v>
      </c>
      <c r="H23" s="106" t="s">
        <v>284</v>
      </c>
      <c r="I23" s="110">
        <v>2650</v>
      </c>
      <c r="J23" s="106" t="s">
        <v>732</v>
      </c>
      <c r="K23" s="106">
        <v>46055</v>
      </c>
      <c r="L23" s="106">
        <v>2026400308</v>
      </c>
      <c r="M23" s="145" t="s">
        <v>202</v>
      </c>
      <c r="N23" s="106">
        <v>2026</v>
      </c>
    </row>
    <row r="24" spans="1:14">
      <c r="A24" s="106">
        <v>23</v>
      </c>
      <c r="B24" s="106" t="s">
        <v>35</v>
      </c>
      <c r="C24" s="106" t="s">
        <v>37</v>
      </c>
      <c r="D24" s="106" t="s">
        <v>60</v>
      </c>
      <c r="E24" s="106" t="s">
        <v>109</v>
      </c>
      <c r="G24" s="106" t="s">
        <v>190</v>
      </c>
      <c r="H24" s="106" t="s">
        <v>284</v>
      </c>
      <c r="I24" s="110">
        <v>6250</v>
      </c>
      <c r="J24" s="106" t="s">
        <v>733</v>
      </c>
      <c r="K24" s="106">
        <v>46059</v>
      </c>
      <c r="L24" s="106">
        <v>2026400362</v>
      </c>
      <c r="M24" s="145" t="s">
        <v>202</v>
      </c>
      <c r="N24" s="106">
        <v>2026</v>
      </c>
    </row>
    <row r="25" spans="1:14">
      <c r="A25" s="106">
        <v>24</v>
      </c>
      <c r="B25" s="106" t="s">
        <v>58</v>
      </c>
      <c r="C25" s="106" t="s">
        <v>59</v>
      </c>
      <c r="D25" s="106" t="s">
        <v>60</v>
      </c>
      <c r="E25" s="106" t="s">
        <v>109</v>
      </c>
      <c r="G25" s="106" t="s">
        <v>710</v>
      </c>
      <c r="H25" s="106" t="s">
        <v>284</v>
      </c>
      <c r="I25" s="110">
        <v>1838.77</v>
      </c>
      <c r="J25" s="106" t="s">
        <v>734</v>
      </c>
      <c r="K25" s="106">
        <v>46049</v>
      </c>
      <c r="L25" s="106">
        <v>2026400395</v>
      </c>
      <c r="M25" s="145" t="s">
        <v>202</v>
      </c>
      <c r="N25" s="106">
        <v>2026</v>
      </c>
    </row>
    <row r="26" spans="1:14">
      <c r="B26" s="106" t="s">
        <v>42</v>
      </c>
      <c r="C26" s="106" t="s">
        <v>48</v>
      </c>
      <c r="D26" s="106" t="s">
        <v>60</v>
      </c>
      <c r="E26" s="106" t="s">
        <v>109</v>
      </c>
      <c r="G26" s="106" t="s">
        <v>711</v>
      </c>
      <c r="H26" s="106" t="s">
        <v>284</v>
      </c>
      <c r="I26" s="110">
        <v>26000</v>
      </c>
      <c r="J26" s="106" t="s">
        <v>735</v>
      </c>
      <c r="K26" s="106">
        <v>46050</v>
      </c>
      <c r="L26" s="106">
        <v>2026400655</v>
      </c>
      <c r="M26" s="145" t="s">
        <v>202</v>
      </c>
      <c r="N26" s="106">
        <v>2026</v>
      </c>
    </row>
    <row r="27" spans="1:14">
      <c r="A27" s="106">
        <v>25</v>
      </c>
      <c r="B27" s="106" t="s">
        <v>54</v>
      </c>
      <c r="C27" s="106" t="s">
        <v>93</v>
      </c>
      <c r="D27" s="106" t="s">
        <v>60</v>
      </c>
      <c r="E27" s="106" t="s">
        <v>109</v>
      </c>
      <c r="G27" s="106" t="s">
        <v>295</v>
      </c>
      <c r="H27" s="106" t="s">
        <v>284</v>
      </c>
      <c r="I27" s="110">
        <v>2730</v>
      </c>
      <c r="J27" s="106" t="s">
        <v>736</v>
      </c>
      <c r="K27" s="106">
        <v>46048</v>
      </c>
      <c r="L27" s="106">
        <v>2026400555</v>
      </c>
      <c r="M27" s="145" t="s">
        <v>202</v>
      </c>
      <c r="N27" s="106">
        <v>2026</v>
      </c>
    </row>
    <row r="28" spans="1:14">
      <c r="A28" s="106">
        <v>26</v>
      </c>
      <c r="B28" s="106" t="s">
        <v>58</v>
      </c>
      <c r="C28" s="106" t="s">
        <v>59</v>
      </c>
      <c r="D28" s="106" t="s">
        <v>60</v>
      </c>
      <c r="E28" s="106" t="s">
        <v>109</v>
      </c>
      <c r="G28" s="106" t="s">
        <v>225</v>
      </c>
      <c r="H28" s="106" t="s">
        <v>285</v>
      </c>
      <c r="I28" s="110">
        <v>120</v>
      </c>
      <c r="J28" s="106" t="s">
        <v>737</v>
      </c>
      <c r="K28" s="106">
        <v>46081</v>
      </c>
      <c r="L28" s="106">
        <v>0</v>
      </c>
      <c r="M28" s="145" t="s">
        <v>202</v>
      </c>
      <c r="N28" s="106">
        <v>2026</v>
      </c>
    </row>
    <row r="29" spans="1:14">
      <c r="A29" s="106">
        <v>27</v>
      </c>
      <c r="B29" s="106" t="s">
        <v>58</v>
      </c>
      <c r="C29" s="106" t="s">
        <v>59</v>
      </c>
      <c r="D29" s="106" t="s">
        <v>60</v>
      </c>
      <c r="E29" s="106" t="s">
        <v>109</v>
      </c>
      <c r="G29" s="106" t="s">
        <v>225</v>
      </c>
      <c r="H29" s="106" t="s">
        <v>285</v>
      </c>
      <c r="I29" s="110">
        <v>180</v>
      </c>
      <c r="J29" s="106" t="s">
        <v>738</v>
      </c>
      <c r="K29" s="106">
        <v>46081</v>
      </c>
      <c r="L29" s="106">
        <v>0</v>
      </c>
      <c r="M29" s="145" t="s">
        <v>202</v>
      </c>
      <c r="N29" s="106">
        <v>2026</v>
      </c>
    </row>
    <row r="30" spans="1:14">
      <c r="A30" s="106">
        <v>28</v>
      </c>
      <c r="B30" s="106" t="s">
        <v>52</v>
      </c>
      <c r="C30" s="106" t="s">
        <v>62</v>
      </c>
      <c r="D30" s="106" t="s">
        <v>60</v>
      </c>
      <c r="E30" s="106" t="s">
        <v>109</v>
      </c>
      <c r="G30" s="106" t="s">
        <v>259</v>
      </c>
      <c r="H30" s="106" t="s">
        <v>284</v>
      </c>
      <c r="I30" s="110">
        <v>4500</v>
      </c>
      <c r="J30" s="106" t="s">
        <v>739</v>
      </c>
      <c r="K30" s="106">
        <v>46067</v>
      </c>
      <c r="L30" s="106">
        <v>2026400880</v>
      </c>
      <c r="M30" s="145" t="s">
        <v>202</v>
      </c>
      <c r="N30" s="106">
        <v>2026</v>
      </c>
    </row>
    <row r="31" spans="1:14">
      <c r="B31" s="106" t="s">
        <v>52</v>
      </c>
      <c r="C31" s="106" t="s">
        <v>62</v>
      </c>
      <c r="D31" s="106" t="s">
        <v>60</v>
      </c>
      <c r="E31" s="106" t="s">
        <v>109</v>
      </c>
      <c r="G31" s="106" t="s">
        <v>259</v>
      </c>
      <c r="H31" s="106" t="s">
        <v>284</v>
      </c>
      <c r="I31" s="110">
        <v>1800</v>
      </c>
      <c r="J31" s="106" t="s">
        <v>740</v>
      </c>
      <c r="K31" s="109">
        <v>46067</v>
      </c>
      <c r="L31" s="106">
        <v>2026400880</v>
      </c>
      <c r="M31" s="145" t="s">
        <v>202</v>
      </c>
      <c r="N31" s="106">
        <v>2026</v>
      </c>
    </row>
    <row r="32" spans="1:14">
      <c r="B32" s="106" t="s">
        <v>52</v>
      </c>
      <c r="C32" s="106" t="s">
        <v>62</v>
      </c>
      <c r="D32" s="106" t="s">
        <v>19</v>
      </c>
      <c r="E32" s="106" t="s">
        <v>109</v>
      </c>
      <c r="G32" s="106" t="s">
        <v>88</v>
      </c>
      <c r="H32" s="106" t="s">
        <v>704</v>
      </c>
      <c r="I32" s="110">
        <f>17690400/1490</f>
        <v>11872.75167785235</v>
      </c>
      <c r="J32" s="106" t="s">
        <v>14</v>
      </c>
      <c r="K32" s="109" t="s">
        <v>14</v>
      </c>
      <c r="L32" s="106" t="s">
        <v>14</v>
      </c>
      <c r="M32" s="145" t="s">
        <v>202</v>
      </c>
      <c r="N32" s="106">
        <v>2026</v>
      </c>
    </row>
    <row r="33" spans="1:14">
      <c r="B33" s="106" t="s">
        <v>17</v>
      </c>
      <c r="C33" s="106" t="s">
        <v>22</v>
      </c>
      <c r="D33" s="106" t="s">
        <v>19</v>
      </c>
      <c r="E33" s="106" t="s">
        <v>109</v>
      </c>
      <c r="G33" s="106" t="s">
        <v>88</v>
      </c>
      <c r="H33" s="106" t="s">
        <v>283</v>
      </c>
      <c r="I33" s="110">
        <f>35207460/1490</f>
        <v>23629.167785234898</v>
      </c>
      <c r="J33" s="106" t="s">
        <v>14</v>
      </c>
      <c r="K33" s="109" t="s">
        <v>14</v>
      </c>
      <c r="L33" s="106" t="s">
        <v>14</v>
      </c>
      <c r="M33" s="145" t="s">
        <v>202</v>
      </c>
      <c r="N33" s="106">
        <v>2026</v>
      </c>
    </row>
    <row r="34" spans="1:14">
      <c r="B34" s="106" t="s">
        <v>35</v>
      </c>
      <c r="C34" s="106" t="s">
        <v>36</v>
      </c>
      <c r="D34" s="106" t="s">
        <v>19</v>
      </c>
      <c r="E34" s="106" t="s">
        <v>109</v>
      </c>
      <c r="G34" s="106" t="s">
        <v>88</v>
      </c>
      <c r="H34" s="106" t="s">
        <v>283</v>
      </c>
      <c r="I34" s="110">
        <f>8033580/1490</f>
        <v>5391.6644295302012</v>
      </c>
      <c r="J34" s="106" t="s">
        <v>14</v>
      </c>
      <c r="K34" s="109" t="s">
        <v>14</v>
      </c>
      <c r="L34" s="106" t="s">
        <v>14</v>
      </c>
      <c r="M34" s="145" t="s">
        <v>202</v>
      </c>
      <c r="N34" s="106">
        <v>2026</v>
      </c>
    </row>
    <row r="35" spans="1:14">
      <c r="B35" s="106" t="s">
        <v>35</v>
      </c>
      <c r="C35" s="106" t="s">
        <v>37</v>
      </c>
      <c r="D35" s="106" t="s">
        <v>19</v>
      </c>
      <c r="E35" s="106" t="s">
        <v>109</v>
      </c>
      <c r="G35" s="106" t="s">
        <v>88</v>
      </c>
      <c r="H35" s="106" t="s">
        <v>283</v>
      </c>
      <c r="I35" s="110">
        <f>7508700/1490</f>
        <v>5039.3959731543628</v>
      </c>
      <c r="J35" s="106" t="s">
        <v>14</v>
      </c>
      <c r="K35" s="109" t="s">
        <v>14</v>
      </c>
      <c r="L35" s="106" t="s">
        <v>14</v>
      </c>
      <c r="M35" s="145" t="s">
        <v>202</v>
      </c>
      <c r="N35" s="106">
        <v>2026</v>
      </c>
    </row>
    <row r="36" spans="1:14">
      <c r="A36" s="106">
        <v>4</v>
      </c>
      <c r="B36" s="106" t="s">
        <v>52</v>
      </c>
      <c r="C36" s="106" t="s">
        <v>62</v>
      </c>
      <c r="D36" s="106" t="s">
        <v>19</v>
      </c>
      <c r="E36" s="106" t="s">
        <v>109</v>
      </c>
      <c r="G36" s="106" t="s">
        <v>88</v>
      </c>
      <c r="H36" s="106" t="s">
        <v>705</v>
      </c>
      <c r="I36" s="110">
        <f>91368000/1490</f>
        <v>61320.80536912752</v>
      </c>
      <c r="J36" s="106" t="s">
        <v>14</v>
      </c>
      <c r="K36" s="109" t="s">
        <v>14</v>
      </c>
      <c r="L36" s="106" t="s">
        <v>14</v>
      </c>
      <c r="M36" s="145" t="s">
        <v>202</v>
      </c>
      <c r="N36" s="106">
        <v>2026</v>
      </c>
    </row>
    <row r="37" spans="1:14">
      <c r="B37" s="106" t="s">
        <v>52</v>
      </c>
      <c r="C37" s="106" t="s">
        <v>62</v>
      </c>
      <c r="D37" s="106" t="s">
        <v>19</v>
      </c>
      <c r="E37" s="106" t="s">
        <v>109</v>
      </c>
      <c r="G37" s="106" t="s">
        <v>88</v>
      </c>
      <c r="H37" s="106" t="s">
        <v>706</v>
      </c>
      <c r="I37" s="110">
        <f>238430250/1490</f>
        <v>160020.30201342283</v>
      </c>
      <c r="J37" s="106" t="s">
        <v>14</v>
      </c>
      <c r="K37" s="109" t="s">
        <v>14</v>
      </c>
      <c r="L37" s="106" t="s">
        <v>14</v>
      </c>
      <c r="M37" s="145" t="s">
        <v>202</v>
      </c>
      <c r="N37" s="106">
        <v>2026</v>
      </c>
    </row>
    <row r="38" spans="1:14">
      <c r="B38" s="106" t="s">
        <v>17</v>
      </c>
      <c r="C38" s="106" t="s">
        <v>18</v>
      </c>
      <c r="D38" s="106" t="s">
        <v>19</v>
      </c>
      <c r="E38" s="106" t="s">
        <v>109</v>
      </c>
      <c r="G38" s="106" t="s">
        <v>88</v>
      </c>
      <c r="H38" s="106" t="s">
        <v>283</v>
      </c>
      <c r="I38" s="110">
        <f>26244000/1490</f>
        <v>17613.422818791947</v>
      </c>
      <c r="J38" s="106" t="s">
        <v>14</v>
      </c>
      <c r="K38" s="109" t="s">
        <v>14</v>
      </c>
      <c r="L38" s="106" t="s">
        <v>14</v>
      </c>
      <c r="M38" s="145" t="s">
        <v>202</v>
      </c>
      <c r="N38" s="106">
        <v>2026</v>
      </c>
    </row>
    <row r="39" spans="1:14">
      <c r="B39" s="106" t="s">
        <v>17</v>
      </c>
      <c r="C39" s="106" t="s">
        <v>25</v>
      </c>
      <c r="D39" s="106" t="s">
        <v>19</v>
      </c>
      <c r="E39" s="106" t="s">
        <v>109</v>
      </c>
      <c r="G39" s="106" t="s">
        <v>88</v>
      </c>
      <c r="H39" s="106" t="s">
        <v>283</v>
      </c>
      <c r="I39" s="110">
        <f>11907000/1490</f>
        <v>7991.2751677852348</v>
      </c>
      <c r="J39" s="106" t="s">
        <v>14</v>
      </c>
      <c r="K39" s="109" t="s">
        <v>14</v>
      </c>
      <c r="L39" s="106" t="s">
        <v>14</v>
      </c>
      <c r="M39" s="145" t="s">
        <v>202</v>
      </c>
      <c r="N39" s="106">
        <v>2026</v>
      </c>
    </row>
    <row r="40" spans="1:14">
      <c r="B40" s="106" t="s">
        <v>42</v>
      </c>
      <c r="C40" s="106" t="s">
        <v>257</v>
      </c>
      <c r="D40" s="106" t="s">
        <v>19</v>
      </c>
      <c r="E40" s="106" t="s">
        <v>109</v>
      </c>
      <c r="G40" s="106" t="s">
        <v>88</v>
      </c>
      <c r="H40" s="106" t="s">
        <v>283</v>
      </c>
      <c r="I40" s="110">
        <f>13413600/1490</f>
        <v>9002.4161073825508</v>
      </c>
      <c r="J40" s="106" t="s">
        <v>14</v>
      </c>
      <c r="K40" s="109" t="s">
        <v>14</v>
      </c>
      <c r="L40" s="106" t="s">
        <v>14</v>
      </c>
      <c r="M40" s="145" t="s">
        <v>202</v>
      </c>
      <c r="N40" s="106">
        <v>2026</v>
      </c>
    </row>
    <row r="41" spans="1:14">
      <c r="B41" s="106" t="s">
        <v>33</v>
      </c>
      <c r="C41" s="106" t="s">
        <v>34</v>
      </c>
      <c r="D41" s="106" t="s">
        <v>19</v>
      </c>
      <c r="E41" s="106" t="s">
        <v>109</v>
      </c>
      <c r="G41" s="106" t="s">
        <v>268</v>
      </c>
      <c r="H41" s="106" t="s">
        <v>741</v>
      </c>
      <c r="I41" s="110">
        <v>10354.223433242507</v>
      </c>
      <c r="J41" s="106" t="s">
        <v>14</v>
      </c>
      <c r="K41" s="109" t="s">
        <v>14</v>
      </c>
      <c r="L41" s="106" t="s">
        <v>14</v>
      </c>
      <c r="M41" s="145" t="s">
        <v>202</v>
      </c>
      <c r="N41" s="106">
        <v>2026</v>
      </c>
    </row>
    <row r="42" spans="1:14">
      <c r="K42" s="109"/>
      <c r="M42" s="108"/>
    </row>
    <row r="43" spans="1:14">
      <c r="K43" s="109"/>
      <c r="M43" s="108"/>
    </row>
    <row r="44" spans="1:14">
      <c r="K44" s="109"/>
      <c r="M44" s="108"/>
    </row>
    <row r="45" spans="1:14">
      <c r="K45" s="109"/>
      <c r="M45" s="108"/>
    </row>
    <row r="46" spans="1:14">
      <c r="K46" s="109"/>
      <c r="M46" s="108"/>
    </row>
    <row r="47" spans="1:14">
      <c r="K47" s="109"/>
      <c r="M47" s="108"/>
    </row>
    <row r="48" spans="1:14">
      <c r="K48" s="109"/>
      <c r="M48" s="108"/>
    </row>
    <row r="49" spans="11:13">
      <c r="K49" s="109"/>
      <c r="M49" s="108"/>
    </row>
    <row r="50" spans="11:13">
      <c r="K50" s="109"/>
      <c r="M50" s="108"/>
    </row>
    <row r="51" spans="11:13">
      <c r="K51" s="109"/>
      <c r="M51" s="108"/>
    </row>
    <row r="52" spans="11:13">
      <c r="K52" s="109"/>
      <c r="M52" s="108"/>
    </row>
    <row r="53" spans="11:13">
      <c r="K53" s="109"/>
      <c r="M53" s="108"/>
    </row>
    <row r="54" spans="11:13">
      <c r="K54" s="109"/>
      <c r="M54" s="108"/>
    </row>
    <row r="55" spans="11:13">
      <c r="K55" s="109"/>
      <c r="M55" s="108"/>
    </row>
    <row r="56" spans="11:13">
      <c r="K56" s="109"/>
      <c r="M56" s="108"/>
    </row>
    <row r="57" spans="11:13">
      <c r="K57" s="109"/>
      <c r="M57" s="108"/>
    </row>
    <row r="58" spans="11:13">
      <c r="K58" s="109"/>
      <c r="M58" s="108"/>
    </row>
    <row r="59" spans="11:13">
      <c r="K59" s="109"/>
      <c r="M59" s="108"/>
    </row>
    <row r="60" spans="11:13">
      <c r="K60" s="109"/>
      <c r="M60" s="108"/>
    </row>
    <row r="61" spans="11:13">
      <c r="K61" s="109"/>
      <c r="M61" s="108"/>
    </row>
    <row r="62" spans="11:13">
      <c r="K62" s="109"/>
      <c r="M62" s="108"/>
    </row>
    <row r="63" spans="11:13">
      <c r="K63" s="109"/>
      <c r="M63" s="108"/>
    </row>
    <row r="64" spans="11:13">
      <c r="K64" s="109"/>
      <c r="M64" s="108"/>
    </row>
  </sheetData>
  <autoFilter ref="A1:N1" xr:uid="{00000000-0009-0000-0000-00000F000000}"/>
  <dataValidations count="1">
    <dataValidation type="list" allowBlank="1" showInputMessage="1" showErrorMessage="1" sqref="C39 C31:C37 C2:C20 C41:C523" xr:uid="{00000000-0002-0000-0F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F00-000000000000}">
          <x14:formula1>
            <xm:f>List!$P$2:$P$11</xm:f>
          </x14:formula1>
          <xm:sqref>B2:B20 B31:B523</xm:sqref>
        </x14:dataValidation>
        <x14:dataValidation type="list" allowBlank="1" showInputMessage="1" showErrorMessage="1" xr:uid="{00000000-0002-0000-0F00-000003000000}">
          <x14:formula1>
            <xm:f>List!$E$2:$E$32</xm:f>
          </x14:formula1>
          <xm:sqref>E65:E523</xm:sqref>
        </x14:dataValidation>
        <x14:dataValidation type="list" allowBlank="1" showInputMessage="1" showErrorMessage="1" xr:uid="{00000000-0002-0000-0F00-000004000000}">
          <x14:formula1>
            <xm:f>List!$H$2:$H$13</xm:f>
          </x14:formula1>
          <xm:sqref>M65:M523</xm:sqref>
        </x14:dataValidation>
        <x14:dataValidation type="list" allowBlank="1" showInputMessage="1" showErrorMessage="1" xr:uid="{00000000-0002-0000-0F00-000005000000}">
          <x14:formula1>
            <xm:f>List!$J$2:$J$4</xm:f>
          </x14:formula1>
          <xm:sqref>N65:N523</xm:sqref>
        </x14:dataValidation>
        <x14:dataValidation type="list" allowBlank="1" showInputMessage="1" showErrorMessage="1" xr:uid="{00000000-0002-0000-0F00-000002000000}">
          <x14:formula1>
            <xm:f>List!$C$2:$C$3</xm:f>
          </x14:formula1>
          <xm:sqref>D2:D523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N1048476"/>
  <sheetViews>
    <sheetView workbookViewId="0">
      <selection activeCell="B2" sqref="B2:N5"/>
    </sheetView>
  </sheetViews>
  <sheetFormatPr defaultColWidth="9" defaultRowHeight="14.25"/>
  <cols>
    <col min="1" max="1" width="5.33203125" style="106" customWidth="1"/>
    <col min="2" max="2" width="9.33203125" style="106" customWidth="1"/>
    <col min="3" max="3" width="10.59765625" style="106" bestFit="1" customWidth="1"/>
    <col min="4" max="4" width="9" style="106" customWidth="1"/>
    <col min="5" max="5" width="19.796875" style="106" customWidth="1"/>
    <col min="6" max="6" width="10.19921875" style="106" customWidth="1"/>
    <col min="7" max="7" width="19.9296875" style="106" bestFit="1" customWidth="1"/>
    <col min="8" max="8" width="19.796875" style="106" bestFit="1" customWidth="1"/>
    <col min="9" max="9" width="18.06640625" style="106" customWidth="1"/>
    <col min="10" max="10" width="10.06640625" style="106" customWidth="1"/>
    <col min="11" max="11" width="11.19921875" style="106" customWidth="1"/>
    <col min="12" max="12" width="10.53125" style="106" customWidth="1"/>
    <col min="13" max="13" width="6.53125" style="106" customWidth="1"/>
    <col min="14" max="14" width="4.796875" style="106" customWidth="1"/>
    <col min="15" max="16384" width="9" style="106"/>
  </cols>
  <sheetData>
    <row r="1" spans="1:14">
      <c r="A1" s="119" t="s">
        <v>0</v>
      </c>
      <c r="B1" s="119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19" t="s">
        <v>8</v>
      </c>
      <c r="J1" s="119" t="s">
        <v>9</v>
      </c>
      <c r="K1" s="119" t="s">
        <v>10</v>
      </c>
      <c r="L1" s="119" t="s">
        <v>11</v>
      </c>
      <c r="M1" s="119" t="s">
        <v>12</v>
      </c>
      <c r="N1" s="119" t="s">
        <v>13</v>
      </c>
    </row>
    <row r="2" spans="1:14">
      <c r="A2" s="116">
        <v>1</v>
      </c>
      <c r="B2" s="115" t="s">
        <v>17</v>
      </c>
      <c r="C2" s="116" t="s">
        <v>22</v>
      </c>
      <c r="D2" s="116" t="s">
        <v>19</v>
      </c>
      <c r="E2" s="116" t="s">
        <v>107</v>
      </c>
      <c r="F2" s="116"/>
      <c r="G2" s="116" t="s">
        <v>86</v>
      </c>
      <c r="H2" s="116" t="s">
        <v>108</v>
      </c>
      <c r="I2" s="117">
        <v>5907.3825503355702</v>
      </c>
      <c r="J2" s="116" t="s">
        <v>14</v>
      </c>
      <c r="K2" s="116" t="s">
        <v>14</v>
      </c>
      <c r="L2" s="116" t="s">
        <v>14</v>
      </c>
      <c r="M2" s="141" t="s">
        <v>202</v>
      </c>
      <c r="N2" s="116">
        <v>2026</v>
      </c>
    </row>
    <row r="3" spans="1:14">
      <c r="A3" s="116">
        <v>2</v>
      </c>
      <c r="B3" s="115" t="s">
        <v>17</v>
      </c>
      <c r="C3" s="116" t="s">
        <v>24</v>
      </c>
      <c r="D3" s="116" t="s">
        <v>19</v>
      </c>
      <c r="E3" s="116" t="s">
        <v>107</v>
      </c>
      <c r="F3" s="116"/>
      <c r="G3" s="116" t="s">
        <v>86</v>
      </c>
      <c r="H3" s="116" t="s">
        <v>108</v>
      </c>
      <c r="I3" s="117">
        <v>797.31543624161077</v>
      </c>
      <c r="J3" s="116" t="s">
        <v>14</v>
      </c>
      <c r="K3" s="116" t="s">
        <v>14</v>
      </c>
      <c r="L3" s="116" t="s">
        <v>14</v>
      </c>
      <c r="M3" s="141" t="s">
        <v>202</v>
      </c>
      <c r="N3" s="116">
        <v>2026</v>
      </c>
    </row>
    <row r="4" spans="1:14">
      <c r="A4" s="116">
        <v>3</v>
      </c>
      <c r="B4" s="115" t="s">
        <v>17</v>
      </c>
      <c r="C4" s="116" t="s">
        <v>25</v>
      </c>
      <c r="D4" s="116" t="s">
        <v>19</v>
      </c>
      <c r="E4" s="116" t="s">
        <v>107</v>
      </c>
      <c r="F4" s="116"/>
      <c r="G4" s="116" t="s">
        <v>86</v>
      </c>
      <c r="H4" s="116" t="s">
        <v>108</v>
      </c>
      <c r="I4" s="117">
        <v>15330.20134228188</v>
      </c>
      <c r="J4" s="116" t="s">
        <v>14</v>
      </c>
      <c r="K4" s="116" t="s">
        <v>14</v>
      </c>
      <c r="L4" s="116" t="s">
        <v>14</v>
      </c>
      <c r="M4" s="141" t="s">
        <v>202</v>
      </c>
      <c r="N4" s="116">
        <v>2026</v>
      </c>
    </row>
    <row r="5" spans="1:14">
      <c r="A5" s="116">
        <v>29</v>
      </c>
      <c r="B5" s="116" t="s">
        <v>42</v>
      </c>
      <c r="C5" s="116" t="s">
        <v>45</v>
      </c>
      <c r="D5" s="116" t="s">
        <v>19</v>
      </c>
      <c r="E5" s="116" t="s">
        <v>107</v>
      </c>
      <c r="F5" s="116"/>
      <c r="G5" s="116" t="s">
        <v>91</v>
      </c>
      <c r="H5" s="116" t="s">
        <v>108</v>
      </c>
      <c r="I5" s="118">
        <f>3800000/1450</f>
        <v>2620.6896551724139</v>
      </c>
      <c r="J5" s="120" t="s">
        <v>14</v>
      </c>
      <c r="K5" s="121" t="s">
        <v>14</v>
      </c>
      <c r="L5" s="116" t="s">
        <v>14</v>
      </c>
      <c r="M5" s="141" t="s">
        <v>202</v>
      </c>
      <c r="N5" s="116">
        <v>2026</v>
      </c>
    </row>
    <row r="1048476" spans="8:8">
      <c r="H1048476" s="116"/>
    </row>
  </sheetData>
  <autoFilter ref="A1:N5" xr:uid="{00000000-0001-0000-0D00-00000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N8"/>
  <sheetViews>
    <sheetView workbookViewId="0">
      <selection activeCell="E2" sqref="E2"/>
    </sheetView>
  </sheetViews>
  <sheetFormatPr defaultColWidth="9" defaultRowHeight="14.25"/>
  <cols>
    <col min="1" max="1" width="5.33203125" style="43" customWidth="1"/>
    <col min="2" max="2" width="9.33203125" style="43" customWidth="1"/>
    <col min="3" max="3" width="9.46484375" style="43" customWidth="1"/>
    <col min="4" max="4" width="8.9296875" style="43" customWidth="1"/>
    <col min="5" max="5" width="29" style="43" customWidth="1"/>
    <col min="6" max="6" width="10.06640625" style="43" customWidth="1"/>
    <col min="7" max="7" width="28.59765625" style="43" customWidth="1"/>
    <col min="8" max="8" width="23.53125" style="43" bestFit="1" customWidth="1"/>
    <col min="9" max="9" width="15.46484375" style="113" customWidth="1"/>
    <col min="10" max="10" width="10.06640625" style="43" customWidth="1"/>
    <col min="11" max="11" width="11.06640625" style="43" customWidth="1"/>
    <col min="12" max="12" width="10.796875" style="43" customWidth="1"/>
    <col min="13" max="13" width="6.46484375" style="43" customWidth="1"/>
    <col min="14" max="14" width="4.796875" style="43" customWidth="1"/>
    <col min="15" max="16384" width="9" style="43"/>
  </cols>
  <sheetData>
    <row r="1" spans="1:14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16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</row>
    <row r="2" spans="1:14">
      <c r="A2" s="43">
        <v>1</v>
      </c>
      <c r="B2" s="43" t="s">
        <v>42</v>
      </c>
      <c r="C2" s="43" t="s">
        <v>45</v>
      </c>
      <c r="D2" s="43" t="s">
        <v>19</v>
      </c>
      <c r="E2" s="43" t="s">
        <v>111</v>
      </c>
      <c r="G2" s="43" t="s">
        <v>236</v>
      </c>
      <c r="H2" s="43" t="s">
        <v>112</v>
      </c>
      <c r="I2" s="50">
        <v>79296</v>
      </c>
      <c r="J2" s="43" t="s">
        <v>14</v>
      </c>
      <c r="K2" s="43" t="s">
        <v>14</v>
      </c>
      <c r="L2" s="43" t="s">
        <v>14</v>
      </c>
      <c r="M2" s="132" t="s">
        <v>202</v>
      </c>
      <c r="N2" s="43">
        <v>2026</v>
      </c>
    </row>
    <row r="3" spans="1:14">
      <c r="A3" s="43">
        <v>2</v>
      </c>
      <c r="B3" s="43" t="s">
        <v>42</v>
      </c>
      <c r="C3" s="132" t="s">
        <v>44</v>
      </c>
      <c r="D3" s="43" t="s">
        <v>19</v>
      </c>
      <c r="E3" s="43" t="s">
        <v>111</v>
      </c>
      <c r="G3" s="43" t="s">
        <v>293</v>
      </c>
      <c r="H3" s="43" t="s">
        <v>112</v>
      </c>
      <c r="I3" s="113">
        <f>70520000/1490</f>
        <v>47328.859060402683</v>
      </c>
      <c r="J3" s="82" t="s">
        <v>14</v>
      </c>
      <c r="K3" s="111" t="s">
        <v>14</v>
      </c>
      <c r="L3" s="82" t="s">
        <v>14</v>
      </c>
      <c r="M3" s="132" t="s">
        <v>202</v>
      </c>
      <c r="N3" s="43">
        <v>2026</v>
      </c>
    </row>
    <row r="4" spans="1:14">
      <c r="A4" s="43">
        <v>3</v>
      </c>
      <c r="B4" s="132" t="s">
        <v>52</v>
      </c>
      <c r="C4" s="132" t="s">
        <v>62</v>
      </c>
      <c r="D4" s="43" t="s">
        <v>60</v>
      </c>
      <c r="E4" s="43" t="s">
        <v>111</v>
      </c>
      <c r="G4" s="43" t="s">
        <v>236</v>
      </c>
      <c r="H4" s="43" t="s">
        <v>112</v>
      </c>
      <c r="I4" s="113">
        <v>564239.24</v>
      </c>
      <c r="J4" s="142" t="s">
        <v>14</v>
      </c>
      <c r="K4" s="143" t="s">
        <v>14</v>
      </c>
      <c r="L4" s="82" t="s">
        <v>14</v>
      </c>
      <c r="M4" s="132" t="s">
        <v>202</v>
      </c>
      <c r="N4" s="43">
        <v>2026</v>
      </c>
    </row>
    <row r="5" spans="1:14">
      <c r="A5" s="43">
        <v>4</v>
      </c>
      <c r="B5" s="43" t="s">
        <v>54</v>
      </c>
      <c r="C5" s="43" t="s">
        <v>55</v>
      </c>
      <c r="D5" s="43" t="s">
        <v>19</v>
      </c>
      <c r="E5" s="43" t="s">
        <v>111</v>
      </c>
      <c r="G5" s="43" t="s">
        <v>292</v>
      </c>
      <c r="H5" s="43" t="s">
        <v>112</v>
      </c>
      <c r="I5" s="113">
        <v>238369.09</v>
      </c>
      <c r="J5" s="43" t="s">
        <v>14</v>
      </c>
      <c r="K5" s="43" t="s">
        <v>14</v>
      </c>
      <c r="L5" s="43" t="s">
        <v>14</v>
      </c>
      <c r="M5" s="104" t="s">
        <v>273</v>
      </c>
      <c r="N5" s="43">
        <v>2026</v>
      </c>
    </row>
    <row r="6" spans="1:14">
      <c r="A6" s="43">
        <v>5</v>
      </c>
      <c r="B6" s="132" t="s">
        <v>52</v>
      </c>
      <c r="C6" s="132" t="s">
        <v>62</v>
      </c>
      <c r="D6" s="43" t="s">
        <v>19</v>
      </c>
      <c r="E6" s="43" t="s">
        <v>111</v>
      </c>
      <c r="G6" s="132" t="s">
        <v>87</v>
      </c>
      <c r="H6" s="104" t="s">
        <v>294</v>
      </c>
      <c r="I6" s="114">
        <v>49531.8</v>
      </c>
      <c r="J6" s="104" t="s">
        <v>14</v>
      </c>
      <c r="K6" s="104" t="s">
        <v>14</v>
      </c>
      <c r="L6" s="104" t="s">
        <v>14</v>
      </c>
      <c r="M6" s="132" t="s">
        <v>202</v>
      </c>
      <c r="N6" s="43">
        <v>2026</v>
      </c>
    </row>
    <row r="7" spans="1:14">
      <c r="A7" s="43">
        <v>6</v>
      </c>
      <c r="B7" s="132" t="s">
        <v>52</v>
      </c>
      <c r="C7" s="132" t="s">
        <v>62</v>
      </c>
      <c r="D7" s="43" t="s">
        <v>19</v>
      </c>
      <c r="E7" s="43" t="s">
        <v>111</v>
      </c>
      <c r="G7" s="132" t="s">
        <v>86</v>
      </c>
      <c r="H7" s="104" t="s">
        <v>294</v>
      </c>
      <c r="I7" s="114">
        <v>53520.6</v>
      </c>
      <c r="J7" s="104" t="s">
        <v>14</v>
      </c>
      <c r="K7" s="104" t="s">
        <v>14</v>
      </c>
      <c r="L7" s="104" t="s">
        <v>14</v>
      </c>
      <c r="M7" s="132" t="s">
        <v>202</v>
      </c>
      <c r="N7" s="43">
        <v>2026</v>
      </c>
    </row>
    <row r="8" spans="1:14">
      <c r="A8" s="43">
        <v>8</v>
      </c>
      <c r="B8" s="132" t="s">
        <v>17</v>
      </c>
      <c r="C8" s="132" t="s">
        <v>25</v>
      </c>
      <c r="D8" s="43" t="s">
        <v>19</v>
      </c>
      <c r="E8" s="43" t="s">
        <v>111</v>
      </c>
      <c r="G8" s="144" t="s">
        <v>703</v>
      </c>
      <c r="H8" s="104" t="s">
        <v>294</v>
      </c>
      <c r="I8" s="61">
        <f>9761000/1490</f>
        <v>6551.0067114093963</v>
      </c>
      <c r="J8" s="104" t="s">
        <v>14</v>
      </c>
      <c r="K8" s="104" t="s">
        <v>14</v>
      </c>
      <c r="L8" s="104" t="s">
        <v>14</v>
      </c>
      <c r="M8" s="132" t="s">
        <v>202</v>
      </c>
      <c r="N8" s="43">
        <v>2026</v>
      </c>
    </row>
  </sheetData>
  <phoneticPr fontId="21" type="noConversion"/>
  <dataValidations count="1">
    <dataValidation type="list" allowBlank="1" showInputMessage="1" showErrorMessage="1" sqref="C2:C3 C9:C659" xr:uid="{00000000-0002-0000-10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000-000000000000}">
          <x14:formula1>
            <xm:f>List!$P$2:$P$11</xm:f>
          </x14:formula1>
          <xm:sqref>B2:B3 B9:B659</xm:sqref>
        </x14:dataValidation>
        <x14:dataValidation type="list" allowBlank="1" showInputMessage="1" showErrorMessage="1" xr:uid="{00000000-0002-0000-1000-000004000000}">
          <x14:formula1>
            <xm:f>List!$H$2:$H$13</xm:f>
          </x14:formula1>
          <xm:sqref>M9:M659</xm:sqref>
        </x14:dataValidation>
        <x14:dataValidation type="list" allowBlank="1" showInputMessage="1" showErrorMessage="1" xr:uid="{00000000-0002-0000-1000-000005000000}">
          <x14:formula1>
            <xm:f>List!$J$2:$J$4</xm:f>
          </x14:formula1>
          <xm:sqref>N9:N659</xm:sqref>
        </x14:dataValidation>
        <x14:dataValidation type="list" allowBlank="1" showInputMessage="1" showErrorMessage="1" xr:uid="{00000000-0002-0000-1000-000002000000}">
          <x14:formula1>
            <xm:f>List!$C$2:$C$3</xm:f>
          </x14:formula1>
          <xm:sqref>D2:D659</xm:sqref>
        </x14:dataValidation>
        <x14:dataValidation type="list" allowBlank="1" showInputMessage="1" showErrorMessage="1" xr:uid="{00000000-0002-0000-1000-000003000000}">
          <x14:formula1>
            <xm:f>List!$E$2:$E$32</xm:f>
          </x14:formula1>
          <xm:sqref>E2:E659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39"/>
  <sheetViews>
    <sheetView workbookViewId="0">
      <selection activeCell="F1" sqref="F1"/>
    </sheetView>
  </sheetViews>
  <sheetFormatPr defaultColWidth="9" defaultRowHeight="14.25"/>
  <cols>
    <col min="1" max="1" width="5.33203125" customWidth="1"/>
    <col min="2" max="2" width="6.9296875" customWidth="1"/>
    <col min="3" max="3" width="6.46484375" customWidth="1"/>
    <col min="4" max="4" width="11.46484375" customWidth="1"/>
    <col min="5" max="5" width="8.9296875" customWidth="1"/>
    <col min="6" max="6" width="8.19921875" customWidth="1"/>
    <col min="7" max="7" width="10.06640625" customWidth="1"/>
    <col min="8" max="8" width="6.9296875" customWidth="1"/>
    <col min="9" max="9" width="10.19921875" customWidth="1"/>
    <col min="10" max="10" width="10.06640625" customWidth="1"/>
    <col min="11" max="11" width="11.06640625" customWidth="1"/>
    <col min="12" max="12" width="10.46484375" customWidth="1"/>
    <col min="13" max="13" width="6.46484375" customWidth="1"/>
    <col min="14" max="14" width="4.53125" customWidth="1"/>
  </cols>
  <sheetData>
    <row r="1" spans="1:14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/>
      <c r="B2" s="4"/>
      <c r="C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</sheetData>
  <dataValidations count="1">
    <dataValidation type="list" allowBlank="1" showInputMessage="1" showErrorMessage="1" sqref="C2:C539" xr:uid="{00000000-0002-0000-12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200-000000000000}">
          <x14:formula1>
            <xm:f>List!$P$2:$P$11</xm:f>
          </x14:formula1>
          <xm:sqref>B2:B539</xm:sqref>
        </x14:dataValidation>
        <x14:dataValidation type="list" allowBlank="1" showInputMessage="1" showErrorMessage="1" xr:uid="{00000000-0002-0000-1200-000002000000}">
          <x14:formula1>
            <xm:f>List!$C$2:$C$3</xm:f>
          </x14:formula1>
          <xm:sqref>E2:E539</xm:sqref>
        </x14:dataValidation>
        <x14:dataValidation type="list" allowBlank="1" showInputMessage="1" showErrorMessage="1" xr:uid="{00000000-0002-0000-1200-000003000000}">
          <x14:formula1>
            <xm:f>List!$E$2:$E$32</xm:f>
          </x14:formula1>
          <xm:sqref>F2:F539</xm:sqref>
        </x14:dataValidation>
        <x14:dataValidation type="list" allowBlank="1" showInputMessage="1" showErrorMessage="1" xr:uid="{00000000-0002-0000-1200-000004000000}">
          <x14:formula1>
            <xm:f>List!$H$2:$H$13</xm:f>
          </x14:formula1>
          <xm:sqref>M2:M539</xm:sqref>
        </x14:dataValidation>
        <x14:dataValidation type="list" allowBlank="1" showInputMessage="1" showErrorMessage="1" xr:uid="{00000000-0002-0000-1200-000005000000}">
          <x14:formula1>
            <xm:f>List!$J$2:$J$4</xm:f>
          </x14:formula1>
          <xm:sqref>N2:N539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CD97-F4B2-4ECC-B366-4EE797476A02}">
  <sheetPr>
    <tabColor rgb="FFFFFF00"/>
  </sheetPr>
  <dimension ref="A1:N9"/>
  <sheetViews>
    <sheetView workbookViewId="0"/>
  </sheetViews>
  <sheetFormatPr defaultColWidth="8.73046875" defaultRowHeight="14.25"/>
  <cols>
    <col min="1" max="1" width="5.33203125" style="43" bestFit="1" customWidth="1"/>
    <col min="2" max="2" width="8.59765625" style="43" bestFit="1" customWidth="1"/>
    <col min="3" max="3" width="9.59765625" style="43" bestFit="1" customWidth="1"/>
    <col min="4" max="4" width="9" style="43" bestFit="1" customWidth="1"/>
    <col min="5" max="5" width="10.9296875" style="43" bestFit="1" customWidth="1"/>
    <col min="6" max="6" width="10.19921875" style="43" bestFit="1" customWidth="1"/>
    <col min="7" max="7" width="35" style="43" bestFit="1" customWidth="1"/>
    <col min="8" max="8" width="15.19921875" style="43" bestFit="1" customWidth="1"/>
    <col min="9" max="9" width="11.53125" style="43" bestFit="1" customWidth="1"/>
    <col min="10" max="10" width="14.46484375" style="43" bestFit="1" customWidth="1"/>
    <col min="11" max="11" width="11.19921875" style="43" bestFit="1" customWidth="1"/>
    <col min="12" max="12" width="10.796875" style="43" bestFit="1" customWidth="1"/>
    <col min="13" max="13" width="6.53125" style="43" bestFit="1" customWidth="1"/>
    <col min="14" max="14" width="4.796875" style="43" bestFit="1" customWidth="1"/>
    <col min="15" max="16384" width="8.73046875" style="43"/>
  </cols>
  <sheetData>
    <row r="1" spans="1:14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16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</row>
    <row r="2" spans="1:14">
      <c r="A2" s="43">
        <v>1</v>
      </c>
      <c r="B2" s="43" t="s">
        <v>54</v>
      </c>
      <c r="C2" s="43" t="s">
        <v>55</v>
      </c>
      <c r="D2" s="43" t="s">
        <v>60</v>
      </c>
      <c r="E2" s="43" t="s">
        <v>261</v>
      </c>
      <c r="G2" s="82" t="s">
        <v>120</v>
      </c>
      <c r="H2" s="43" t="s">
        <v>261</v>
      </c>
      <c r="I2" s="61">
        <v>1700</v>
      </c>
      <c r="J2" s="82" t="s">
        <v>695</v>
      </c>
      <c r="K2" s="111">
        <v>46053</v>
      </c>
      <c r="L2" s="82">
        <v>2026400411</v>
      </c>
      <c r="M2" s="132" t="s">
        <v>202</v>
      </c>
      <c r="N2" s="43">
        <v>2026</v>
      </c>
    </row>
    <row r="3" spans="1:14">
      <c r="A3" s="43">
        <v>2</v>
      </c>
      <c r="B3" s="43" t="s">
        <v>54</v>
      </c>
      <c r="C3" s="43" t="s">
        <v>55</v>
      </c>
      <c r="D3" s="43" t="s">
        <v>60</v>
      </c>
      <c r="E3" s="43" t="s">
        <v>261</v>
      </c>
      <c r="G3" s="82" t="s">
        <v>280</v>
      </c>
      <c r="H3" s="43" t="s">
        <v>261</v>
      </c>
      <c r="I3" s="61">
        <f>2700000/1490</f>
        <v>1812.0805369127518</v>
      </c>
      <c r="J3" s="82" t="s">
        <v>696</v>
      </c>
      <c r="K3" s="111">
        <v>46057</v>
      </c>
      <c r="L3" s="82">
        <v>2026400524</v>
      </c>
      <c r="M3" s="132" t="s">
        <v>202</v>
      </c>
      <c r="N3" s="43">
        <v>2026</v>
      </c>
    </row>
    <row r="4" spans="1:14">
      <c r="A4" s="43">
        <v>3</v>
      </c>
      <c r="B4" s="43" t="s">
        <v>54</v>
      </c>
      <c r="C4" s="43" t="s">
        <v>55</v>
      </c>
      <c r="D4" s="43" t="s">
        <v>60</v>
      </c>
      <c r="E4" s="43" t="s">
        <v>261</v>
      </c>
      <c r="G4" s="43" t="s">
        <v>692</v>
      </c>
      <c r="H4" s="43" t="s">
        <v>261</v>
      </c>
      <c r="I4" s="61">
        <f>2250000/1490</f>
        <v>1510.0671140939598</v>
      </c>
      <c r="J4" s="43" t="s">
        <v>697</v>
      </c>
      <c r="K4" s="62">
        <v>46048</v>
      </c>
      <c r="L4" s="43">
        <v>2026400500</v>
      </c>
      <c r="M4" s="132" t="s">
        <v>202</v>
      </c>
      <c r="N4" s="43">
        <v>2026</v>
      </c>
    </row>
    <row r="5" spans="1:14">
      <c r="A5" s="43">
        <v>4</v>
      </c>
      <c r="B5" s="43" t="s">
        <v>54</v>
      </c>
      <c r="C5" s="43" t="s">
        <v>55</v>
      </c>
      <c r="D5" s="43" t="s">
        <v>60</v>
      </c>
      <c r="E5" s="43" t="s">
        <v>261</v>
      </c>
      <c r="G5" s="43" t="s">
        <v>120</v>
      </c>
      <c r="H5" s="43" t="s">
        <v>261</v>
      </c>
      <c r="I5" s="61">
        <v>1400</v>
      </c>
      <c r="J5" s="43" t="s">
        <v>698</v>
      </c>
      <c r="K5" s="62">
        <v>46075</v>
      </c>
      <c r="L5" s="43">
        <v>2026400734</v>
      </c>
      <c r="M5" s="132" t="s">
        <v>202</v>
      </c>
      <c r="N5" s="43">
        <v>2026</v>
      </c>
    </row>
    <row r="6" spans="1:14">
      <c r="A6" s="43">
        <v>5</v>
      </c>
      <c r="B6" s="43" t="s">
        <v>54</v>
      </c>
      <c r="C6" s="43" t="s">
        <v>55</v>
      </c>
      <c r="D6" s="43" t="s">
        <v>60</v>
      </c>
      <c r="E6" s="43" t="s">
        <v>261</v>
      </c>
      <c r="G6" s="43" t="s">
        <v>120</v>
      </c>
      <c r="H6" s="43" t="s">
        <v>261</v>
      </c>
      <c r="I6" s="61">
        <v>16500</v>
      </c>
      <c r="J6" s="43" t="s">
        <v>699</v>
      </c>
      <c r="K6" s="62">
        <v>46075</v>
      </c>
      <c r="L6" s="43">
        <v>2026400697</v>
      </c>
      <c r="M6" s="132" t="s">
        <v>202</v>
      </c>
      <c r="N6" s="43">
        <v>2026</v>
      </c>
    </row>
    <row r="7" spans="1:14">
      <c r="A7" s="43">
        <v>6</v>
      </c>
      <c r="B7" s="43" t="s">
        <v>54</v>
      </c>
      <c r="C7" s="43" t="s">
        <v>55</v>
      </c>
      <c r="D7" s="43" t="s">
        <v>60</v>
      </c>
      <c r="E7" s="43" t="s">
        <v>261</v>
      </c>
      <c r="G7" s="43" t="s">
        <v>693</v>
      </c>
      <c r="H7" s="43" t="s">
        <v>261</v>
      </c>
      <c r="I7" s="61">
        <v>37097.5</v>
      </c>
      <c r="J7" s="43" t="s">
        <v>700</v>
      </c>
      <c r="K7" s="62">
        <v>46065</v>
      </c>
      <c r="L7" s="43">
        <v>2025403688</v>
      </c>
      <c r="M7" s="132" t="s">
        <v>202</v>
      </c>
      <c r="N7" s="43">
        <v>2026</v>
      </c>
    </row>
    <row r="8" spans="1:14">
      <c r="A8" s="43">
        <v>7</v>
      </c>
      <c r="B8" s="43" t="s">
        <v>54</v>
      </c>
      <c r="C8" s="43" t="s">
        <v>55</v>
      </c>
      <c r="D8" s="43" t="s">
        <v>60</v>
      </c>
      <c r="E8" s="43" t="s">
        <v>261</v>
      </c>
      <c r="G8" s="43" t="s">
        <v>694</v>
      </c>
      <c r="H8" s="43" t="s">
        <v>261</v>
      </c>
      <c r="I8" s="61">
        <f>9500000/1490</f>
        <v>6375.8389261744969</v>
      </c>
      <c r="J8" s="43" t="s">
        <v>701</v>
      </c>
      <c r="K8" s="62">
        <v>46065</v>
      </c>
      <c r="L8" s="43">
        <v>2026400446</v>
      </c>
      <c r="M8" s="132" t="s">
        <v>202</v>
      </c>
      <c r="N8" s="43">
        <v>2026</v>
      </c>
    </row>
    <row r="9" spans="1:14">
      <c r="A9" s="43">
        <v>8</v>
      </c>
      <c r="B9" s="43" t="s">
        <v>54</v>
      </c>
      <c r="C9" s="43" t="s">
        <v>55</v>
      </c>
      <c r="D9" s="43" t="s">
        <v>60</v>
      </c>
      <c r="E9" s="43" t="s">
        <v>261</v>
      </c>
      <c r="G9" s="43" t="s">
        <v>414</v>
      </c>
      <c r="H9" s="43" t="s">
        <v>261</v>
      </c>
      <c r="I9" s="61">
        <f>525000/1490</f>
        <v>352.34899328859058</v>
      </c>
      <c r="J9" s="43" t="s">
        <v>702</v>
      </c>
      <c r="K9" s="62">
        <v>46069</v>
      </c>
      <c r="L9" s="43">
        <v>2026400603</v>
      </c>
      <c r="M9" s="132" t="s">
        <v>202</v>
      </c>
      <c r="N9" s="43">
        <v>2026</v>
      </c>
    </row>
  </sheetData>
  <dataValidations count="1">
    <dataValidation type="list" allowBlank="1" showInputMessage="1" showErrorMessage="1" sqref="C2:C9" xr:uid="{85B588A3-0488-422B-B533-F36D78599AC1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052925-5688-406A-8AE6-43B5D56FEB99}">
          <x14:formula1>
            <xm:f>List!$P$2:$P$11</xm:f>
          </x14:formula1>
          <xm:sqref>B2:B9</xm:sqref>
        </x14:dataValidation>
        <x14:dataValidation type="list" allowBlank="1" showInputMessage="1" showErrorMessage="1" xr:uid="{CC450906-F721-4152-9D7B-3079E74ECB6E}">
          <x14:formula1>
            <xm:f>List!$C$2:$C$3</xm:f>
          </x14:formula1>
          <xm:sqref>D2:D9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0"/>
  <sheetViews>
    <sheetView workbookViewId="0">
      <selection activeCell="C3" sqref="C3"/>
    </sheetView>
  </sheetViews>
  <sheetFormatPr defaultColWidth="9" defaultRowHeight="14.25"/>
  <cols>
    <col min="1" max="1" width="19.46484375" customWidth="1"/>
    <col min="2" max="9" width="16.9296875" customWidth="1"/>
    <col min="10" max="11" width="13.9296875" customWidth="1"/>
    <col min="12" max="12" width="12.796875" customWidth="1"/>
    <col min="13" max="13" width="20.53125" customWidth="1"/>
    <col min="14" max="14" width="18.19921875" customWidth="1"/>
    <col min="15" max="15" width="15.06640625" customWidth="1"/>
  </cols>
  <sheetData>
    <row r="1" spans="1:16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76</v>
      </c>
      <c r="G1" s="1" t="s">
        <v>80</v>
      </c>
      <c r="H1" s="1" t="s">
        <v>106</v>
      </c>
      <c r="I1" s="1" t="s">
        <v>127</v>
      </c>
      <c r="J1" s="1" t="s">
        <v>94</v>
      </c>
      <c r="K1" s="1" t="s">
        <v>57</v>
      </c>
      <c r="L1" s="1" t="s">
        <v>128</v>
      </c>
      <c r="M1" s="1" t="s">
        <v>83</v>
      </c>
      <c r="N1" s="1" t="s">
        <v>129</v>
      </c>
      <c r="O1" s="1" t="s">
        <v>130</v>
      </c>
      <c r="P1" s="1" t="s">
        <v>131</v>
      </c>
    </row>
    <row r="2" spans="1:16">
      <c r="A2" s="2" t="s">
        <v>132</v>
      </c>
      <c r="B2" s="34" t="s">
        <v>133</v>
      </c>
      <c r="C2" s="2" t="s">
        <v>134</v>
      </c>
      <c r="D2" s="34" t="s">
        <v>135</v>
      </c>
      <c r="E2" s="2" t="s">
        <v>136</v>
      </c>
      <c r="F2" s="2" t="s">
        <v>137</v>
      </c>
      <c r="G2" s="2" t="s">
        <v>138</v>
      </c>
      <c r="H2" s="3" t="s">
        <v>139</v>
      </c>
      <c r="I2" s="2"/>
      <c r="J2" s="2" t="s">
        <v>140</v>
      </c>
      <c r="K2" s="2" t="s">
        <v>141</v>
      </c>
      <c r="L2" s="2" t="s">
        <v>142</v>
      </c>
      <c r="M2" s="2" t="s">
        <v>143</v>
      </c>
      <c r="N2" s="2" t="s">
        <v>144</v>
      </c>
      <c r="O2" s="2" t="s">
        <v>145</v>
      </c>
      <c r="P2" s="2" t="s">
        <v>146</v>
      </c>
    </row>
    <row r="3" spans="1:16">
      <c r="A3" s="2" t="s">
        <v>147</v>
      </c>
      <c r="B3" s="34" t="s">
        <v>148</v>
      </c>
      <c r="C3" s="2" t="s">
        <v>149</v>
      </c>
      <c r="D3" s="34" t="s">
        <v>150</v>
      </c>
      <c r="E3" s="2" t="s">
        <v>151</v>
      </c>
      <c r="F3" s="2" t="s">
        <v>152</v>
      </c>
      <c r="G3" s="2" t="s">
        <v>153</v>
      </c>
      <c r="I3" s="2" t="s">
        <v>154</v>
      </c>
      <c r="J3" s="2" t="s">
        <v>155</v>
      </c>
      <c r="K3" s="2" t="s">
        <v>156</v>
      </c>
      <c r="L3" s="2" t="s">
        <v>157</v>
      </c>
      <c r="M3" s="5" t="s">
        <v>84</v>
      </c>
      <c r="N3" s="2"/>
    </row>
    <row r="4" spans="1:16">
      <c r="A4" s="2" t="s">
        <v>158</v>
      </c>
      <c r="B4" s="2" t="s">
        <v>159</v>
      </c>
      <c r="C4" s="2" t="s">
        <v>160</v>
      </c>
      <c r="D4" s="34" t="s">
        <v>161</v>
      </c>
      <c r="F4" s="2" t="s">
        <v>162</v>
      </c>
      <c r="G4" s="2" t="s">
        <v>163</v>
      </c>
      <c r="I4" s="2" t="s">
        <v>164</v>
      </c>
      <c r="J4" s="2" t="s">
        <v>165</v>
      </c>
      <c r="K4" s="2" t="s">
        <v>166</v>
      </c>
      <c r="L4" s="2" t="s">
        <v>167</v>
      </c>
    </row>
    <row r="5" spans="1:16">
      <c r="A5" s="2" t="s">
        <v>168</v>
      </c>
      <c r="B5" s="2" t="s">
        <v>169</v>
      </c>
      <c r="C5" s="2"/>
      <c r="D5" s="2" t="s">
        <v>170</v>
      </c>
      <c r="J5" s="2" t="s">
        <v>162</v>
      </c>
      <c r="K5" s="2" t="s">
        <v>171</v>
      </c>
      <c r="L5" s="2" t="s">
        <v>172</v>
      </c>
    </row>
    <row r="6" spans="1:16">
      <c r="A6" s="2" t="s">
        <v>173</v>
      </c>
      <c r="B6" s="2" t="s">
        <v>174</v>
      </c>
      <c r="D6" s="2" t="s">
        <v>175</v>
      </c>
      <c r="K6" s="2" t="s">
        <v>171</v>
      </c>
      <c r="L6" s="2" t="s">
        <v>176</v>
      </c>
    </row>
    <row r="7" spans="1:16">
      <c r="A7" s="2" t="s">
        <v>177</v>
      </c>
      <c r="B7" s="2" t="s">
        <v>178</v>
      </c>
      <c r="D7" s="2" t="s">
        <v>179</v>
      </c>
    </row>
    <row r="8" spans="1:16">
      <c r="A8" s="2" t="s">
        <v>180</v>
      </c>
      <c r="B8" s="2" t="s">
        <v>181</v>
      </c>
      <c r="D8" s="2" t="s">
        <v>182</v>
      </c>
    </row>
    <row r="9" spans="1:16">
      <c r="A9" s="2" t="s">
        <v>183</v>
      </c>
      <c r="B9" s="5" t="s">
        <v>110</v>
      </c>
      <c r="C9" s="4"/>
      <c r="D9" s="2" t="s">
        <v>184</v>
      </c>
      <c r="E9" s="4"/>
    </row>
    <row r="10" spans="1:16">
      <c r="A10" s="2" t="s">
        <v>185</v>
      </c>
      <c r="B10" s="5" t="s">
        <v>186</v>
      </c>
      <c r="C10" s="4"/>
      <c r="D10" s="2" t="s">
        <v>187</v>
      </c>
      <c r="E10" s="4"/>
    </row>
    <row r="11" spans="1:16">
      <c r="B11" s="42" t="s">
        <v>188</v>
      </c>
      <c r="C11" s="4"/>
      <c r="D11" s="2" t="s">
        <v>189</v>
      </c>
      <c r="E11" s="4"/>
      <c r="I11" s="4"/>
      <c r="J11" s="4"/>
      <c r="K11" s="4"/>
    </row>
    <row r="12" spans="1:16">
      <c r="B12" s="5" t="s">
        <v>190</v>
      </c>
      <c r="C12" s="4"/>
      <c r="D12" s="2" t="s">
        <v>191</v>
      </c>
      <c r="E12" s="4"/>
      <c r="I12" s="4"/>
      <c r="J12" s="4"/>
      <c r="K12" s="4"/>
    </row>
    <row r="13" spans="1:16">
      <c r="B13" s="5" t="s">
        <v>192</v>
      </c>
      <c r="C13" s="4"/>
      <c r="D13" s="4"/>
      <c r="E13" s="4"/>
      <c r="F13" s="4"/>
      <c r="G13" s="4"/>
      <c r="H13" s="4"/>
      <c r="I13" s="4"/>
      <c r="J13" s="4"/>
      <c r="K13" s="4"/>
    </row>
    <row r="14" spans="1:16">
      <c r="B14" s="2" t="s">
        <v>193</v>
      </c>
      <c r="I14" s="4"/>
      <c r="J14" s="4"/>
      <c r="K14" s="4"/>
    </row>
    <row r="15" spans="1:16">
      <c r="B15" s="5" t="s">
        <v>194</v>
      </c>
      <c r="C15" s="4"/>
      <c r="D15" s="4"/>
      <c r="E15" s="4"/>
      <c r="F15" s="4"/>
      <c r="G15" s="4"/>
      <c r="H15" s="4"/>
      <c r="I15" s="4"/>
      <c r="J15" s="4"/>
      <c r="K15" s="4"/>
    </row>
    <row r="16" spans="1:16">
      <c r="B16" s="41" t="s">
        <v>263</v>
      </c>
      <c r="C16" s="4"/>
      <c r="D16" s="4"/>
      <c r="E16" s="4"/>
      <c r="F16" s="4"/>
      <c r="G16" s="4"/>
      <c r="H16" s="4"/>
      <c r="I16" s="4"/>
      <c r="J16" s="4"/>
      <c r="K16" s="4"/>
    </row>
    <row r="17" spans="2:1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19"/>
  <sheetViews>
    <sheetView workbookViewId="0">
      <selection activeCell="E9" sqref="E9"/>
    </sheetView>
  </sheetViews>
  <sheetFormatPr defaultColWidth="9" defaultRowHeight="14.25"/>
  <cols>
    <col min="1" max="1" width="11.06640625" customWidth="1"/>
    <col min="2" max="2" width="18.06640625" customWidth="1"/>
    <col min="3" max="3" width="12.33203125" customWidth="1"/>
    <col min="4" max="4" width="3.53125" customWidth="1"/>
    <col min="5" max="5" width="31.46484375" customWidth="1"/>
    <col min="6" max="7" width="3.53125" customWidth="1"/>
    <col min="8" max="8" width="9.06640625" customWidth="1"/>
    <col min="9" max="9" width="3.53125" customWidth="1"/>
    <col min="10" max="10" width="7.06640625" customWidth="1"/>
    <col min="16" max="16" width="11.06640625" customWidth="1"/>
    <col min="18" max="18" width="12.33203125" customWidth="1"/>
    <col min="19" max="19" width="3.53125" customWidth="1"/>
    <col min="20" max="20" width="12.33203125" customWidth="1"/>
    <col min="21" max="21" width="3.53125" customWidth="1"/>
    <col min="22" max="22" width="12.33203125" customWidth="1"/>
    <col min="23" max="23" width="3.53125" customWidth="1"/>
    <col min="24" max="24" width="12.33203125" customWidth="1"/>
    <col min="25" max="25" width="3.53125" customWidth="1"/>
    <col min="26" max="26" width="12.33203125" customWidth="1"/>
    <col min="27" max="27" width="3.53125" customWidth="1"/>
    <col min="28" max="28" width="12.33203125" customWidth="1"/>
    <col min="29" max="29" width="3.53125" customWidth="1"/>
    <col min="30" max="30" width="12.33203125" customWidth="1"/>
    <col min="31" max="31" width="3.53125" customWidth="1"/>
    <col min="32" max="32" width="12.33203125" customWidth="1"/>
    <col min="33" max="33" width="3.53125" customWidth="1"/>
    <col min="34" max="34" width="12.33203125" customWidth="1"/>
  </cols>
  <sheetData>
    <row r="1" spans="1:34">
      <c r="A1" t="s">
        <v>195</v>
      </c>
      <c r="B1" t="s">
        <v>196</v>
      </c>
      <c r="C1" t="s">
        <v>197</v>
      </c>
      <c r="E1" t="s">
        <v>198</v>
      </c>
      <c r="H1" t="s">
        <v>12</v>
      </c>
      <c r="J1" t="s">
        <v>13</v>
      </c>
      <c r="P1" t="s">
        <v>199</v>
      </c>
      <c r="R1" t="s">
        <v>27</v>
      </c>
      <c r="T1" t="s">
        <v>17</v>
      </c>
      <c r="V1" t="s">
        <v>33</v>
      </c>
      <c r="X1" t="s">
        <v>35</v>
      </c>
      <c r="Z1" t="s">
        <v>31</v>
      </c>
      <c r="AB1" t="s">
        <v>42</v>
      </c>
      <c r="AD1" t="s">
        <v>54</v>
      </c>
      <c r="AF1" t="s">
        <v>58</v>
      </c>
      <c r="AH1" t="s">
        <v>77</v>
      </c>
    </row>
    <row r="2" spans="1:34">
      <c r="A2" t="s">
        <v>27</v>
      </c>
      <c r="C2" t="s">
        <v>60</v>
      </c>
      <c r="E2" t="s">
        <v>20</v>
      </c>
      <c r="H2" t="s">
        <v>200</v>
      </c>
      <c r="J2">
        <v>2023</v>
      </c>
      <c r="P2" t="s">
        <v>27</v>
      </c>
      <c r="R2" t="s">
        <v>28</v>
      </c>
      <c r="T2" t="s">
        <v>26</v>
      </c>
      <c r="V2" t="s">
        <v>34</v>
      </c>
      <c r="X2" t="s">
        <v>38</v>
      </c>
      <c r="Z2" t="s">
        <v>32</v>
      </c>
      <c r="AB2" t="s">
        <v>49</v>
      </c>
      <c r="AD2" t="s">
        <v>55</v>
      </c>
      <c r="AF2" t="s">
        <v>59</v>
      </c>
      <c r="AH2" t="s">
        <v>78</v>
      </c>
    </row>
    <row r="3" spans="1:34">
      <c r="A3" t="s">
        <v>17</v>
      </c>
      <c r="C3" t="s">
        <v>19</v>
      </c>
      <c r="E3" t="s">
        <v>201</v>
      </c>
      <c r="H3" t="s">
        <v>202</v>
      </c>
      <c r="J3">
        <v>2024</v>
      </c>
      <c r="P3" t="s">
        <v>17</v>
      </c>
      <c r="T3" t="s">
        <v>22</v>
      </c>
      <c r="X3" t="s">
        <v>41</v>
      </c>
      <c r="AB3" t="s">
        <v>50</v>
      </c>
      <c r="AD3" t="s">
        <v>93</v>
      </c>
    </row>
    <row r="4" spans="1:34">
      <c r="A4" t="s">
        <v>33</v>
      </c>
      <c r="E4" t="s">
        <v>85</v>
      </c>
      <c r="H4" t="s">
        <v>203</v>
      </c>
      <c r="J4">
        <v>2025</v>
      </c>
      <c r="P4" t="s">
        <v>33</v>
      </c>
      <c r="T4" t="s">
        <v>25</v>
      </c>
      <c r="X4" t="s">
        <v>37</v>
      </c>
      <c r="AB4" t="s">
        <v>204</v>
      </c>
    </row>
    <row r="5" spans="1:34">
      <c r="A5" t="s">
        <v>35</v>
      </c>
      <c r="E5" t="s">
        <v>111</v>
      </c>
      <c r="H5" t="s">
        <v>205</v>
      </c>
      <c r="P5" t="s">
        <v>35</v>
      </c>
      <c r="T5" t="s">
        <v>90</v>
      </c>
      <c r="X5" t="s">
        <v>40</v>
      </c>
      <c r="AB5" t="s">
        <v>51</v>
      </c>
    </row>
    <row r="6" spans="1:34">
      <c r="A6" t="s">
        <v>31</v>
      </c>
      <c r="E6" t="s">
        <v>82</v>
      </c>
      <c r="H6" t="s">
        <v>206</v>
      </c>
      <c r="P6" t="s">
        <v>31</v>
      </c>
      <c r="T6" t="s">
        <v>24</v>
      </c>
      <c r="X6" t="s">
        <v>39</v>
      </c>
      <c r="AB6" t="s">
        <v>47</v>
      </c>
    </row>
    <row r="7" spans="1:34">
      <c r="A7" t="s">
        <v>42</v>
      </c>
      <c r="E7" t="s">
        <v>207</v>
      </c>
      <c r="H7" t="s">
        <v>208</v>
      </c>
      <c r="P7" t="s">
        <v>42</v>
      </c>
      <c r="T7" t="s">
        <v>73</v>
      </c>
      <c r="X7" t="s">
        <v>209</v>
      </c>
      <c r="AB7" t="s">
        <v>44</v>
      </c>
    </row>
    <row r="8" spans="1:34">
      <c r="A8" t="s">
        <v>54</v>
      </c>
      <c r="E8" t="s">
        <v>210</v>
      </c>
      <c r="H8" t="s">
        <v>211</v>
      </c>
      <c r="P8" t="s">
        <v>54</v>
      </c>
      <c r="T8" t="s">
        <v>23</v>
      </c>
      <c r="X8" t="s">
        <v>36</v>
      </c>
      <c r="AB8" t="s">
        <v>69</v>
      </c>
    </row>
    <row r="9" spans="1:34">
      <c r="A9" t="s">
        <v>54</v>
      </c>
      <c r="E9" t="s">
        <v>98</v>
      </c>
      <c r="H9" t="s">
        <v>212</v>
      </c>
      <c r="P9" t="s">
        <v>54</v>
      </c>
      <c r="AB9" t="s">
        <v>45</v>
      </c>
    </row>
    <row r="10" spans="1:34">
      <c r="A10" t="s">
        <v>58</v>
      </c>
      <c r="E10" t="s">
        <v>70</v>
      </c>
      <c r="H10" t="s">
        <v>15</v>
      </c>
      <c r="P10" t="s">
        <v>58</v>
      </c>
      <c r="AB10" t="s">
        <v>75</v>
      </c>
    </row>
    <row r="11" spans="1:34">
      <c r="A11" t="s">
        <v>77</v>
      </c>
      <c r="E11" t="s">
        <v>213</v>
      </c>
      <c r="H11" t="s">
        <v>214</v>
      </c>
      <c r="P11" t="s">
        <v>77</v>
      </c>
      <c r="AB11" t="s">
        <v>215</v>
      </c>
    </row>
    <row r="12" spans="1:34">
      <c r="E12" t="s">
        <v>56</v>
      </c>
      <c r="H12" t="s">
        <v>216</v>
      </c>
      <c r="AB12" t="s">
        <v>46</v>
      </c>
    </row>
    <row r="13" spans="1:34">
      <c r="E13" t="s">
        <v>80</v>
      </c>
      <c r="H13" t="s">
        <v>217</v>
      </c>
      <c r="AB13" t="s">
        <v>72</v>
      </c>
    </row>
    <row r="14" spans="1:34">
      <c r="E14" t="s">
        <v>218</v>
      </c>
      <c r="AB14" t="s">
        <v>219</v>
      </c>
    </row>
    <row r="15" spans="1:34">
      <c r="E15" t="s">
        <v>220</v>
      </c>
    </row>
    <row r="16" spans="1:34">
      <c r="E16" t="s">
        <v>94</v>
      </c>
    </row>
    <row r="17" spans="5:5">
      <c r="E17" t="s">
        <v>106</v>
      </c>
    </row>
    <row r="18" spans="5:5">
      <c r="E18" t="s">
        <v>221</v>
      </c>
    </row>
    <row r="19" spans="5:5">
      <c r="E19" t="s">
        <v>222</v>
      </c>
    </row>
  </sheetData>
  <pageMargins left="0.7" right="0.7" top="0.75" bottom="0.75" header="0.3" footer="0.3"/>
  <pageSetup paperSize="9" orientation="portrait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6AA56-B517-4622-B270-F0E8AD718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Summay</vt:lpstr>
      <vt:lpstr>Master</vt:lpstr>
      <vt:lpstr>Payroll</vt:lpstr>
      <vt:lpstr>Shipping</vt:lpstr>
      <vt:lpstr>Petty Cash</vt:lpstr>
      <vt:lpstr>Fuel &amp; Lubricant</vt:lpstr>
      <vt:lpstr>Charitable Contributions</vt:lpstr>
      <vt:lpstr>Accommodation</vt:lpstr>
      <vt:lpstr>Logistic</vt:lpstr>
      <vt:lpstr>Security</vt:lpstr>
      <vt:lpstr>Lease &amp; Rent</vt:lpstr>
      <vt:lpstr>Communication &amp; internet</vt:lpstr>
      <vt:lpstr>Social security</vt:lpstr>
      <vt:lpstr>Amman Expenses</vt:lpstr>
      <vt:lpstr>Air ticket &amp; travel</vt:lpstr>
      <vt:lpstr>Materials</vt:lpstr>
      <vt:lpstr>Third party Services</vt:lpstr>
      <vt:lpstr>Third party manpower</vt:lpstr>
      <vt:lpstr>Subcontractors</vt:lpstr>
      <vt:lpstr>Tax</vt:lpstr>
      <vt:lpstr>FA</vt:lpstr>
      <vt:lpstr>Sheet1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Ali Abdulamir</cp:lastModifiedBy>
  <cp:lastPrinted>2024-10-13T07:54:00Z</cp:lastPrinted>
  <dcterms:created xsi:type="dcterms:W3CDTF">2024-10-13T06:49:00Z</dcterms:created>
  <dcterms:modified xsi:type="dcterms:W3CDTF">2026-03-23T19:54:35Z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92CAEB93B0DB422FB444CFE2DFBC07A4_13</vt:lpwstr>
  </property>
  <property fmtid="{D5CDD505-2E9C-101B-9397-08002B2CF9AE}" pid="3" name="KSOProductBuildVer">
    <vt:lpwstr>1033-12.2.0.23131</vt:lpwstr>
  </property>
</Properties>
</file>