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 Work\Saif\P&amp;A Procurment\2026\"/>
    </mc:Choice>
  </mc:AlternateContent>
  <xr:revisionPtr revIDLastSave="0" documentId="13_ncr:1_{5F9DC6A5-348F-48BF-8965-92712F6B03D2}" xr6:coauthVersionLast="47" xr6:coauthVersionMax="47" xr10:uidLastSave="{00000000-0000-0000-0000-000000000000}"/>
  <bookViews>
    <workbookView xWindow="-110" yWindow="-110" windowWidth="19420" windowHeight="10300" tabRatio="766" xr2:uid="{00000000-000D-0000-FFFF-FFFF00000000}"/>
  </bookViews>
  <sheets>
    <sheet name="Summary" sheetId="38" r:id="rId1"/>
    <sheet name="Master" sheetId="9" r:id="rId2"/>
    <sheet name="Payroll" sheetId="2" r:id="rId3"/>
    <sheet name="Shipping" sheetId="14" r:id="rId4"/>
    <sheet name="Petty Cash" sheetId="5" r:id="rId5"/>
    <sheet name="Fuel &amp; Lubricant" sheetId="18" r:id="rId6"/>
    <sheet name="Charitable Contributions" sheetId="17" r:id="rId7"/>
    <sheet name="Accommodation" sheetId="19" r:id="rId8"/>
    <sheet name="Logistic" sheetId="4" r:id="rId9"/>
    <sheet name="Security" sheetId="21" r:id="rId10"/>
    <sheet name="Lease &amp; Rent" sheetId="20" r:id="rId11"/>
    <sheet name="Communication &amp; internet" sheetId="22" r:id="rId12"/>
    <sheet name="Social security" sheetId="25" r:id="rId13"/>
    <sheet name="Amman Expenses" sheetId="23" r:id="rId14"/>
    <sheet name="Air ticket &amp; travel" sheetId="26" r:id="rId15"/>
    <sheet name="Materials" sheetId="1" r:id="rId16"/>
    <sheet name="Third party Services" sheetId="6" r:id="rId17"/>
    <sheet name="Third party manpower" sheetId="15" r:id="rId18"/>
    <sheet name="Subcontractors" sheetId="3" r:id="rId19"/>
    <sheet name="Tax" sheetId="7" state="hidden" r:id="rId20"/>
    <sheet name="FA" sheetId="31" r:id="rId21"/>
    <sheet name="Sheet1" sheetId="11" state="hidden" r:id="rId22"/>
    <sheet name="List" sheetId="10" state="hidden" r:id="rId23"/>
  </sheets>
  <externalReferences>
    <externalReference r:id="rId24"/>
  </externalReferences>
  <definedNames>
    <definedName name="_xlnm._FilterDatabase" localSheetId="8" hidden="1">Logistic!$A$1:$N$85</definedName>
    <definedName name="_xlnm._FilterDatabase" localSheetId="1" hidden="1">Master!$A$1:$N$626</definedName>
    <definedName name="_xlnm._FilterDatabase" localSheetId="15" hidden="1">Materials!$A$1:$N$286</definedName>
    <definedName name="_xlnm._FilterDatabase" localSheetId="2" hidden="1">Payroll!$A$1:$N$1</definedName>
    <definedName name="_xlnm._FilterDatabase" localSheetId="4" hidden="1">'Petty Cash'!$A$1:$N$83</definedName>
    <definedName name="_xlnm._FilterDatabase" localSheetId="17" hidden="1">'Third party manpower'!$A$1:$N$9</definedName>
    <definedName name="_xlnm._FilterDatabase" localSheetId="16" hidden="1">'Third party Services'!$A$1:$N$1</definedName>
    <definedName name="Level_2">[1]List!$G$2:$G$37</definedName>
  </definedNames>
  <calcPr calcId="191029"/>
  <pivotCaches>
    <pivotCache cacheId="70" r:id="rId2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01" i="9" l="1"/>
  <c r="I600" i="9"/>
  <c r="I599" i="9"/>
  <c r="I598" i="9"/>
  <c r="I597" i="9"/>
  <c r="I594" i="9"/>
  <c r="I269" i="9"/>
  <c r="I256" i="9"/>
  <c r="I167" i="9"/>
  <c r="I164" i="9"/>
  <c r="I162" i="9"/>
  <c r="I161" i="9"/>
  <c r="I160" i="9"/>
  <c r="I159" i="9"/>
  <c r="I158" i="9"/>
  <c r="I157" i="9"/>
  <c r="I156" i="9"/>
  <c r="I155" i="9"/>
  <c r="I154" i="9"/>
  <c r="I34" i="9"/>
  <c r="I33" i="9"/>
  <c r="I32" i="9"/>
  <c r="I31" i="9"/>
  <c r="I30" i="9"/>
  <c r="I29" i="9"/>
  <c r="I28" i="9"/>
  <c r="I27" i="9"/>
  <c r="I6" i="18" l="1"/>
  <c r="I5" i="18"/>
  <c r="I4" i="18"/>
  <c r="I3" i="18"/>
  <c r="I9" i="15"/>
  <c r="I2" i="22"/>
  <c r="I2" i="21"/>
  <c r="I3" i="17" l="1"/>
  <c r="I2" i="17"/>
  <c r="I2" i="18"/>
  <c r="I9" i="14" l="1"/>
  <c r="I8" i="14"/>
  <c r="I7" i="14"/>
  <c r="I6" i="14"/>
  <c r="I5" i="14"/>
  <c r="I4" i="14"/>
  <c r="I3" i="14"/>
  <c r="I2" i="14"/>
  <c r="I8" i="19" l="1"/>
  <c r="I5" i="19" l="1"/>
  <c r="I3" i="19"/>
  <c r="I2" i="19"/>
</calcChain>
</file>

<file path=xl/sharedStrings.xml><?xml version="1.0" encoding="utf-8"?>
<sst xmlns="http://schemas.openxmlformats.org/spreadsheetml/2006/main" count="11559" uniqueCount="787">
  <si>
    <t>Serial</t>
  </si>
  <si>
    <t xml:space="preserve">Level 1 </t>
  </si>
  <si>
    <t>Level 2</t>
  </si>
  <si>
    <t>Cost Type</t>
  </si>
  <si>
    <t>GL Name</t>
  </si>
  <si>
    <t>GL Account</t>
  </si>
  <si>
    <t>Vendor</t>
  </si>
  <si>
    <t>Description</t>
  </si>
  <si>
    <t>Invoice Amount USD</t>
  </si>
  <si>
    <t>Invoice No.</t>
  </si>
  <si>
    <t>Invoice Date</t>
  </si>
  <si>
    <t>PO Number</t>
  </si>
  <si>
    <t>Month</t>
  </si>
  <si>
    <t>Year</t>
  </si>
  <si>
    <t>N/A</t>
  </si>
  <si>
    <t>Sep</t>
  </si>
  <si>
    <t>Amount USD</t>
  </si>
  <si>
    <t>BGC_23</t>
  </si>
  <si>
    <t>BNGL-25</t>
  </si>
  <si>
    <t>Accrual</t>
  </si>
  <si>
    <t>Staff Salary &amp; Compensation</t>
  </si>
  <si>
    <t>IGCC</t>
  </si>
  <si>
    <t>KAZ_23</t>
  </si>
  <si>
    <t>QUR_23</t>
  </si>
  <si>
    <t>SPAS_23</t>
  </si>
  <si>
    <t>UQ_23</t>
  </si>
  <si>
    <t>ZBR_23</t>
  </si>
  <si>
    <t>BGCG_23</t>
  </si>
  <si>
    <t>GRLBG_23</t>
  </si>
  <si>
    <t>ROOESP_23</t>
  </si>
  <si>
    <t>EIESP_23</t>
  </si>
  <si>
    <t>ROOG_23</t>
  </si>
  <si>
    <t>GRLRO_23</t>
  </si>
  <si>
    <t>ROOM_23</t>
  </si>
  <si>
    <t>EIMNT_23</t>
  </si>
  <si>
    <t>EISP_23</t>
  </si>
  <si>
    <t>EITAR_23</t>
  </si>
  <si>
    <t>MPMNT_23</t>
  </si>
  <si>
    <t>MPSP_23</t>
  </si>
  <si>
    <t>MPTAR_23</t>
  </si>
  <si>
    <t>ROOP_23</t>
  </si>
  <si>
    <t>E&amp;I-MAJ</t>
  </si>
  <si>
    <t>FFF_23</t>
  </si>
  <si>
    <t>FLWLN_23</t>
  </si>
  <si>
    <t>KBR_23</t>
  </si>
  <si>
    <t>MWP_23</t>
  </si>
  <si>
    <t>OHTL_25</t>
  </si>
  <si>
    <t>PWRI_23</t>
  </si>
  <si>
    <t>PWRI2_23</t>
  </si>
  <si>
    <t>QAWPT_23</t>
  </si>
  <si>
    <t>TOTAL_25</t>
  </si>
  <si>
    <t>GRLTOT_25</t>
  </si>
  <si>
    <t>Camp_23</t>
  </si>
  <si>
    <t>CmpSB_23</t>
  </si>
  <si>
    <t>DHL / Courier Fees / Shipping</t>
  </si>
  <si>
    <t>Shipping</t>
  </si>
  <si>
    <t>HO_23</t>
  </si>
  <si>
    <t>HO_SB_23</t>
  </si>
  <si>
    <t>Actual</t>
  </si>
  <si>
    <t>Total_25</t>
  </si>
  <si>
    <t>GRLTOT</t>
  </si>
  <si>
    <t>Charitable Contributions</t>
  </si>
  <si>
    <t>Petty Cash</t>
  </si>
  <si>
    <t>اكراميات وعشائر</t>
  </si>
  <si>
    <t xml:space="preserve">KAZ-Check point salary </t>
  </si>
  <si>
    <t>##</t>
  </si>
  <si>
    <t xml:space="preserve">Total-Check point salary </t>
  </si>
  <si>
    <t>CPSs_23</t>
  </si>
  <si>
    <t>Material &amp; Supplies</t>
  </si>
  <si>
    <t>WOD_23</t>
  </si>
  <si>
    <t>EX_23</t>
  </si>
  <si>
    <t>Petty Cash for CAMP</t>
  </si>
  <si>
    <t>RTPFL_23</t>
  </si>
  <si>
    <t>Third party manpower</t>
  </si>
  <si>
    <t>WQ1_23</t>
  </si>
  <si>
    <t>WQ1SB_23</t>
  </si>
  <si>
    <t>Third party services</t>
  </si>
  <si>
    <t>Fuel &amp; Lubricant</t>
  </si>
  <si>
    <t>Cleaner Materials</t>
  </si>
  <si>
    <t>Air Ticket / Travel</t>
  </si>
  <si>
    <t>Accommodation</t>
  </si>
  <si>
    <t>Al Majal Business Park (AMBP)</t>
  </si>
  <si>
    <t>Light &amp; Heavy Equipment’s Rental</t>
  </si>
  <si>
    <t>Taqadm Albasrah</t>
  </si>
  <si>
    <t>NAC Logistic</t>
  </si>
  <si>
    <t>Border Transportaion / Al Hodod</t>
  </si>
  <si>
    <t>Light equipment rental</t>
  </si>
  <si>
    <t>MANPR_23</t>
  </si>
  <si>
    <t>Al-Zubair Gate</t>
  </si>
  <si>
    <t>Neema Abdul Hassan</t>
  </si>
  <si>
    <t>MWS_23</t>
  </si>
  <si>
    <t>Security</t>
  </si>
  <si>
    <t>LARSA Security</t>
  </si>
  <si>
    <t>Guards</t>
  </si>
  <si>
    <t>Derraa Al Rumaila Security</t>
  </si>
  <si>
    <t>Lease &amp; Rent</t>
  </si>
  <si>
    <t>Diesel tanker rental</t>
  </si>
  <si>
    <t>Communication &amp; internet</t>
  </si>
  <si>
    <t>Hulum Telecom</t>
  </si>
  <si>
    <t>Internet</t>
  </si>
  <si>
    <t>Zain Telecom</t>
  </si>
  <si>
    <t>Zain Telecom Services</t>
  </si>
  <si>
    <t>HO_SP_23</t>
  </si>
  <si>
    <t>Social security</t>
  </si>
  <si>
    <t>Third party Manpower</t>
  </si>
  <si>
    <t>labourers</t>
  </si>
  <si>
    <t>Third party Servcies</t>
  </si>
  <si>
    <t>Basra Galvanizing Co.</t>
  </si>
  <si>
    <t>Subcontractors</t>
  </si>
  <si>
    <t>Abdullah Gallery</t>
  </si>
  <si>
    <t>Materials/Safety</t>
  </si>
  <si>
    <t>Materials</t>
  </si>
  <si>
    <t>AL MUSTAFA INDUSTRIAL IRON TRADING</t>
  </si>
  <si>
    <t>Al-Ghadeer Print</t>
  </si>
  <si>
    <t>BLUE LINE</t>
  </si>
  <si>
    <t>ZUMZUM ALFAYHAA INSAAT</t>
  </si>
  <si>
    <t>Subcontracters</t>
  </si>
  <si>
    <t>Third party Services</t>
  </si>
  <si>
    <t>Lease &amp; rent</t>
  </si>
  <si>
    <t>Materiales</t>
  </si>
  <si>
    <t>Air ticket &amp; travel</t>
  </si>
  <si>
    <t>Comunication</t>
  </si>
  <si>
    <t>Logistics</t>
  </si>
  <si>
    <t>Charitable</t>
  </si>
  <si>
    <t>Petty Cash Sadeq</t>
  </si>
  <si>
    <t>Payroll</t>
  </si>
  <si>
    <t>Al Ajdar</t>
  </si>
  <si>
    <t>Tohama</t>
  </si>
  <si>
    <t>Machine Al Ajdar</t>
  </si>
  <si>
    <t>Al Taher</t>
  </si>
  <si>
    <t>Jabal Qandeel</t>
  </si>
  <si>
    <t>Burj/ Hamza</t>
  </si>
  <si>
    <t>Desial/ Farooq,Mustafa</t>
  </si>
  <si>
    <t>Haider Khazar</t>
  </si>
  <si>
    <t>Derra Al Rumila</t>
  </si>
  <si>
    <t>Logistic express</t>
  </si>
  <si>
    <t>TB</t>
  </si>
  <si>
    <t>RENT Offices</t>
  </si>
  <si>
    <t>Ashair</t>
  </si>
  <si>
    <t>Sadeq</t>
  </si>
  <si>
    <t>HR</t>
  </si>
  <si>
    <t>Marabaa</t>
  </si>
  <si>
    <t>NAYCO</t>
  </si>
  <si>
    <t>Rent Generators</t>
  </si>
  <si>
    <t>Al jaber</t>
  </si>
  <si>
    <t>Visa fees</t>
  </si>
  <si>
    <t>TB/ MANPOWER</t>
  </si>
  <si>
    <t>Desial/ IGCC</t>
  </si>
  <si>
    <t>HULUM</t>
  </si>
  <si>
    <t>Larsa</t>
  </si>
  <si>
    <t>Qaswa</t>
  </si>
  <si>
    <t>NAC</t>
  </si>
  <si>
    <t>Al Ebdaa</t>
  </si>
  <si>
    <t>Arajeez</t>
  </si>
  <si>
    <t>Civll devices</t>
  </si>
  <si>
    <t>Al Bashair</t>
  </si>
  <si>
    <t>ZQ/قرينات</t>
  </si>
  <si>
    <t>Desial/ Nemma</t>
  </si>
  <si>
    <t>ZAIN</t>
  </si>
  <si>
    <t>Al Huria</t>
  </si>
  <si>
    <t>Al Nahrain</t>
  </si>
  <si>
    <t>Border Heavy</t>
  </si>
  <si>
    <t>Jafar</t>
  </si>
  <si>
    <t>Enjaz</t>
  </si>
  <si>
    <t>Mustafa iron</t>
  </si>
  <si>
    <t>Nypton</t>
  </si>
  <si>
    <t>ZQ</t>
  </si>
  <si>
    <t>Haider</t>
  </si>
  <si>
    <t>Southren servcies</t>
  </si>
  <si>
    <t>KHAN</t>
  </si>
  <si>
    <t>Nemma</t>
  </si>
  <si>
    <t>AlShiraq/ STX</t>
  </si>
  <si>
    <t>SAP Fees</t>
  </si>
  <si>
    <t>JANAAN</t>
  </si>
  <si>
    <t>Ibrahim Abdul QAHAR</t>
  </si>
  <si>
    <t>Yassen</t>
  </si>
  <si>
    <t>ZumZum</t>
  </si>
  <si>
    <t>Al Aqeeda</t>
  </si>
  <si>
    <t>Blue line</t>
  </si>
  <si>
    <t>Al-Ameer</t>
  </si>
  <si>
    <t>Al Mammas Company for Engineering Test</t>
  </si>
  <si>
    <t>Al-Wajeeh</t>
  </si>
  <si>
    <t>Miqias Inspection instrumentation Calibration</t>
  </si>
  <si>
    <t>TB/ SAND</t>
  </si>
  <si>
    <t>NAYA Co</t>
  </si>
  <si>
    <t>Ammar sharif</t>
  </si>
  <si>
    <t>Al-Haram</t>
  </si>
  <si>
    <t>Border HYDROVAC</t>
  </si>
  <si>
    <t>WECO</t>
  </si>
  <si>
    <t xml:space="preserve">Level_1 </t>
  </si>
  <si>
    <t>Level_2</t>
  </si>
  <si>
    <t>Cost_Type</t>
  </si>
  <si>
    <t>GL_Name</t>
  </si>
  <si>
    <t>Level_1</t>
  </si>
  <si>
    <t xml:space="preserve">Jan </t>
  </si>
  <si>
    <t>Third Party Services</t>
  </si>
  <si>
    <t>Feb</t>
  </si>
  <si>
    <t>Mar</t>
  </si>
  <si>
    <t>DG02_PWD</t>
  </si>
  <si>
    <t>Apr</t>
  </si>
  <si>
    <t>May</t>
  </si>
  <si>
    <t>Insurance Fees</t>
  </si>
  <si>
    <t>Jun</t>
  </si>
  <si>
    <t>CMNT_23 </t>
  </si>
  <si>
    <t>Accommodation rental</t>
  </si>
  <si>
    <t>Jul</t>
  </si>
  <si>
    <t>Aug</t>
  </si>
  <si>
    <t>Medical Fees</t>
  </si>
  <si>
    <t>Oct</t>
  </si>
  <si>
    <t>CMSN_23</t>
  </si>
  <si>
    <t>Nov</t>
  </si>
  <si>
    <t>Dec</t>
  </si>
  <si>
    <t>Personal Expense</t>
  </si>
  <si>
    <t>E&amp;I-MAJ_24</t>
  </si>
  <si>
    <t>Training &amp; Development</t>
  </si>
  <si>
    <t>fixed assets</t>
  </si>
  <si>
    <t>Third Party Manpower</t>
  </si>
  <si>
    <t>Amman Expenses</t>
  </si>
  <si>
    <t>Jabal Qendil BRS</t>
  </si>
  <si>
    <t>GULF PEARL GROUP</t>
  </si>
  <si>
    <t>Khan Alhadded Company</t>
  </si>
  <si>
    <t>Rawat Emaar AL-Iraq Co. (JOTUN)</t>
  </si>
  <si>
    <t>Al-Karar Gallery for Wood &amp; MDF</t>
  </si>
  <si>
    <t>Advance Welding Solutions Co</t>
  </si>
  <si>
    <t>Al-Janaeen Al-Mualaka for Water</t>
  </si>
  <si>
    <t>#</t>
  </si>
  <si>
    <t>Materials/Paint</t>
  </si>
  <si>
    <t>Materials/Water</t>
  </si>
  <si>
    <t>Materials/Wood</t>
  </si>
  <si>
    <t>Al Ajdar For General Trading and General Purchasing Ltd</t>
  </si>
  <si>
    <t>Row Labels</t>
  </si>
  <si>
    <t>Grand Total</t>
  </si>
  <si>
    <t>Sum of Invoice Amount USD</t>
  </si>
  <si>
    <t>Column Labels</t>
  </si>
  <si>
    <t>GRLRO</t>
  </si>
  <si>
    <t>PSD</t>
  </si>
  <si>
    <t>Al Hurea Security Services</t>
  </si>
  <si>
    <t xml:space="preserve">Visa &amp; Traveling Expense  </t>
  </si>
  <si>
    <t>تصاريح امنية</t>
  </si>
  <si>
    <t>Petty Cash for OHTL</t>
  </si>
  <si>
    <t>Petty Cash for PWRI2</t>
  </si>
  <si>
    <t>Petty Cash for UQ</t>
  </si>
  <si>
    <t>Petty Cash for WOD</t>
  </si>
  <si>
    <t>Maintenance for basra office &amp; Staff residence</t>
  </si>
  <si>
    <t>AL JUTHOOR WORKSHOP</t>
  </si>
  <si>
    <t>Heavy  equipment rental</t>
  </si>
  <si>
    <t>camp_23</t>
  </si>
  <si>
    <t>OHTL _25</t>
  </si>
  <si>
    <t>DMC FOR PETROLEUM SERVICES &amp; CONTRACTING</t>
  </si>
  <si>
    <t>Tiqaneyat Al-Taqaddum Co. (ATC)</t>
  </si>
  <si>
    <t>Fixed Assets</t>
  </si>
  <si>
    <t>Al-Ghader Gallary</t>
  </si>
  <si>
    <t>Asia</t>
  </si>
  <si>
    <t>Radix General Trading Co</t>
  </si>
  <si>
    <t>NR-NGL_25</t>
  </si>
  <si>
    <t>Zamzam Land Construction Trading</t>
  </si>
  <si>
    <t>EPT LLC (SIKA)</t>
  </si>
  <si>
    <t>Fasco LLC FZ</t>
  </si>
  <si>
    <t>Materials/Iron</t>
  </si>
  <si>
    <t>KRK-BP-25</t>
  </si>
  <si>
    <t>GRL-KR-BP-25</t>
  </si>
  <si>
    <t>Management</t>
  </si>
  <si>
    <t>Management Payroll</t>
  </si>
  <si>
    <t>Managemnt</t>
  </si>
  <si>
    <t xml:space="preserve"> Heavy equipment rental</t>
  </si>
  <si>
    <t>Hydrovac</t>
  </si>
  <si>
    <t>Testing/Calibration</t>
  </si>
  <si>
    <t>SOUTH DEEP JEWEL</t>
  </si>
  <si>
    <t>AL AZIL AL EMIRATI</t>
  </si>
  <si>
    <t>DCP IRAQ</t>
  </si>
  <si>
    <t>Rwad Alenjaz Co.</t>
  </si>
  <si>
    <t>Al Ghasak Office</t>
  </si>
  <si>
    <t>Maraba Al Rafidain</t>
  </si>
  <si>
    <t>Kiosk-25</t>
  </si>
  <si>
    <t>LOGISTIC EXPRESS</t>
  </si>
  <si>
    <t>VLV_26</t>
  </si>
  <si>
    <t> GRL_VLV </t>
  </si>
  <si>
    <t>Petty Cash for Total</t>
  </si>
  <si>
    <t>Petty cCash fro Lifting team</t>
  </si>
  <si>
    <t>Petty Cash for PWRI</t>
  </si>
  <si>
    <t>Reactive internet</t>
  </si>
  <si>
    <t>Expense Claim</t>
  </si>
  <si>
    <t>15/2/2026</t>
  </si>
  <si>
    <t>23/2/2026</t>
  </si>
  <si>
    <t>14/2/2026</t>
  </si>
  <si>
    <t>28/2/2026</t>
  </si>
  <si>
    <t>25/2/2026</t>
  </si>
  <si>
    <t>BNGL_25</t>
  </si>
  <si>
    <t>ROESP_23</t>
  </si>
  <si>
    <t>GRL_VLV</t>
  </si>
  <si>
    <t>AL-GHASAQ OFFICE FOR TRADING AND ELECTRICAL CONSTRUCTION MATERIALS</t>
  </si>
  <si>
    <t>Sahba Technnnology</t>
  </si>
  <si>
    <t>Al-Sard Company (Dewalt)</t>
  </si>
  <si>
    <t>Al-qanaat Altijaria shops</t>
  </si>
  <si>
    <t>YAQOUT PAINTS</t>
  </si>
  <si>
    <t>Ali Hadi</t>
  </si>
  <si>
    <t>Cargo Ship Company</t>
  </si>
  <si>
    <t>Materials/Wire</t>
  </si>
  <si>
    <t>GAMMA PETROLEUM SERVICES</t>
  </si>
  <si>
    <t>Payroll Mar</t>
  </si>
  <si>
    <t>Off Payroll Mar</t>
  </si>
  <si>
    <t>Mar 26 transport allowance</t>
  </si>
  <si>
    <t>SS_23</t>
  </si>
  <si>
    <t>GRL_VLV </t>
  </si>
  <si>
    <t>Acy_23</t>
  </si>
  <si>
    <t>Repairs &amp; Maintenance</t>
  </si>
  <si>
    <t>ROOG-check point salary</t>
  </si>
  <si>
    <t>Petty Cash for ROOG</t>
  </si>
  <si>
    <t>براد حافظ بطل عدد22</t>
  </si>
  <si>
    <t>اكراميات وعشائر - الامل</t>
  </si>
  <si>
    <t>تبرعات للايتام والفقراء Feb.26 &amp; Mar.26</t>
  </si>
  <si>
    <t>UQ-CHECK POINT SALARY - Mar.26 &amp; Road Safety</t>
  </si>
  <si>
    <t>Bicycle x 4ea</t>
  </si>
  <si>
    <t>Hydraulic hand pallet truck 3 x 3ea</t>
  </si>
  <si>
    <t>Petty Cash for BNGL</t>
  </si>
  <si>
    <t>1. COMPLETE ENGINE Assy. For compactor x ea / 2. Transportaion</t>
  </si>
  <si>
    <t>Office Deskx 4ea</t>
  </si>
  <si>
    <t>1. Gutter Ridge cover 6100mm x 100mmx 1ea / 2.flashing for sandwich panel window 50mm x 80ea / 3.flashing for sandwich panel window 200mm x 120ea</t>
  </si>
  <si>
    <t>Stationary material x 45ea</t>
  </si>
  <si>
    <t>Trie x 6ea</t>
  </si>
  <si>
    <t>Self drilling scrow different saize x 52box</t>
  </si>
  <si>
    <t>1. Plastic skirting board 2800mm x 100mm x 15ea / 2. Silicone tube x 120ea</t>
  </si>
  <si>
    <t>Petty Cash foe EISP</t>
  </si>
  <si>
    <t>Petty Cash for EX</t>
  </si>
  <si>
    <t>اجرة نجار فتح وربط اثاث +اجرة عمال وسيارة لنقل الأثاث +  اجرة استبدال شرائح اتصال زين ع/3 + عاكسة كامرات +شاحنة بور لجهاز البصمة + اجرة تنظيف السكن إضافي</t>
  </si>
  <si>
    <t>أجور فتح وربط (شد) غرفه نوم من المكتب الى السكن الجديد + أجور النقل</t>
  </si>
  <si>
    <t>Petty Cash for FL-Total</t>
  </si>
  <si>
    <t>كرسي بلاستك عدد 20</t>
  </si>
  <si>
    <t>FAN Lenovo laptop x 1ea</t>
  </si>
  <si>
    <t>Petty Cah for KBR</t>
  </si>
  <si>
    <t>Data Show x 1ea</t>
  </si>
  <si>
    <t>Consumable tools x 12ea</t>
  </si>
  <si>
    <t>Petty Cash for QA</t>
  </si>
  <si>
    <t>Petty Cash for NGL</t>
  </si>
  <si>
    <t>Office Chair x 1ea</t>
  </si>
  <si>
    <t>Monitor 27" / (LG) x 2ea</t>
  </si>
  <si>
    <t>Advance salary Mar.26</t>
  </si>
  <si>
    <t>Bonus from HA</t>
  </si>
  <si>
    <t>Final dues - OV - 2021</t>
  </si>
  <si>
    <t>OV for finance team - Oct.26</t>
  </si>
  <si>
    <t>Different Salary for Nov.25</t>
  </si>
  <si>
    <t>Manpower x 7personal</t>
  </si>
  <si>
    <t>أجور عمال عدد/4 لتحميل مواد المختبر الى  السيارة لنقلها الى البصرة</t>
  </si>
  <si>
    <t>Shipping Baghdad - Basra</t>
  </si>
  <si>
    <t>Shipping basra - dubai - basra ( Govinda )</t>
  </si>
  <si>
    <t>الحسابات الختامية لسنة 2025 للشركة الجنوبية</t>
  </si>
  <si>
    <t>Food &amp; Meal for Total-FL</t>
  </si>
  <si>
    <t>Difesel 1000LTR for Istqlal</t>
  </si>
  <si>
    <t>Diesel for Mar.26</t>
  </si>
  <si>
    <t>بدل ايجار للايام ( 10/2 و 26/2 - 5/3 )</t>
  </si>
  <si>
    <t>Tax for IGCC Company</t>
  </si>
  <si>
    <t>Scaffolding approval plans</t>
  </si>
  <si>
    <t>Taxi Basra - Baghdad</t>
  </si>
  <si>
    <t>Rental Car- Pickup for Oct-Nov.25</t>
  </si>
  <si>
    <t>Slate forklift rental from 16Jan.26 - 16Feb.26</t>
  </si>
  <si>
    <t>Rent a car with a driver for a month</t>
  </si>
  <si>
    <t>تأجير سيارة بيكب خارجي لزيارة حقل باي حسن ومقالع السبيس</t>
  </si>
  <si>
    <t>اجرة تكسي للمشتريات لشراء وربط بردات البيت السكن+ ربط الكامرات + متابعة تعمير البيت السكن+شراء ونقل تلفزيون</t>
  </si>
  <si>
    <t xml:space="preserve">أجور سيارة للتنقل المشتريات من المكتب الى مشتل محمد + معمل الكاونتر + البيت السكن+ </t>
  </si>
  <si>
    <t>تأجير رافعة شوكية لتصعيد مواد المختبر الى السيارة الكنتر لنقلها الى البصرة</t>
  </si>
  <si>
    <t>اجرة بيكب لتوصيل مواد المختبر للفحص من مكتب كركوك الى سيارة الكنتر في طريق بغداد لنقلها الى البصرة</t>
  </si>
  <si>
    <t xml:space="preserve"> شراء رف مشبك ستيل 120*25 + ميز ستيل قياس 2 متر + اجرة النقل </t>
  </si>
  <si>
    <t>emerjency - BNGL</t>
  </si>
  <si>
    <t>مطاط احاديAR+جلد النمر سندانه ابيض80AT+دارسينيا + زامبيا+شمدوريا+كلانشوة+رجل البط+سنادين+لافسون</t>
  </si>
  <si>
    <t>شراء صبغ وايزوكام وجص وجير وستن وغاز واجرة العمل لتصليح رطوبة جدار السكن</t>
  </si>
  <si>
    <t>أجور تسديد الكهرباء لمكتب الاكاديمية لفترة   لغاية 1/3/202630/01/2026</t>
  </si>
  <si>
    <t>اشتراك مولد 1/3/2026 لغاية 30/4/2026</t>
  </si>
  <si>
    <t>أجور المولد لشهر  اذار 3 / 2026</t>
  </si>
  <si>
    <t>أجور تسديد الكهرباء لسكن الجزائر للفترة 30/1/2026 لغاية 1/3/2026</t>
  </si>
  <si>
    <t>أجور تسديد الكهرباء لمكتب SS للفترة 30/01/2026  لغاية 1/3/2026</t>
  </si>
  <si>
    <t>TKT 2Way  Expense travel</t>
  </si>
  <si>
    <t>Expense Claim ( Ahmed &amp; Nawar) for KRK</t>
  </si>
  <si>
    <t>Pocket Money for Baghdad</t>
  </si>
  <si>
    <t>Pocket Money for Basra - Baghdad - Basra</t>
  </si>
  <si>
    <t>TKT for HE</t>
  </si>
  <si>
    <t>TKT Amman - Egypt</t>
  </si>
  <si>
    <t>15/3/2026</t>
  </si>
  <si>
    <t>28/3/2026</t>
  </si>
  <si>
    <t>18/3/20226</t>
  </si>
  <si>
    <t>16/3/2026</t>
  </si>
  <si>
    <t>17/3/2026</t>
  </si>
  <si>
    <t>14/3/2026</t>
  </si>
  <si>
    <t>24/3/2026</t>
  </si>
  <si>
    <t>30/3/2026</t>
  </si>
  <si>
    <t>29/3/2026</t>
  </si>
  <si>
    <t>15/12/2025</t>
  </si>
  <si>
    <t>18/3/2026</t>
  </si>
  <si>
    <t>31/3/2026</t>
  </si>
  <si>
    <t>14/6/2026</t>
  </si>
  <si>
    <t>18/3/2025</t>
  </si>
  <si>
    <t>IGCC-00221</t>
  </si>
  <si>
    <t>IGCC-00222</t>
  </si>
  <si>
    <t>IGCC-00223</t>
  </si>
  <si>
    <t>6399088194-772257191-7612276862-1666318964-6691830176</t>
  </si>
  <si>
    <t>303-304</t>
  </si>
  <si>
    <t>468-457</t>
  </si>
  <si>
    <t>5807-5401-4800-4602-2406-5005-5609-5203</t>
  </si>
  <si>
    <t>Diesel Official Mar 26</t>
  </si>
  <si>
    <t>Diesel Sites Mar 26</t>
  </si>
  <si>
    <t>2026000705</t>
  </si>
  <si>
    <t>NR-NGL25</t>
  </si>
  <si>
    <t>Burj Al-Sahra Contracting and General Trading Co. Ltd</t>
  </si>
  <si>
    <t>IGCC-BSR-260301</t>
  </si>
  <si>
    <t>INV-IGCC-NORTH RUMILA -26-03-041</t>
  </si>
  <si>
    <t>INV-IGCC-NORTH RUMILA -26-03-045</t>
  </si>
  <si>
    <t>INV-IGCC-SOUTH RUMILA -26-03-042</t>
  </si>
  <si>
    <t>INV-IGCC-UM QASIR ADHOC -26-03-043</t>
  </si>
  <si>
    <t>INV-IGCC-UM QASIR -26-03-044</t>
  </si>
  <si>
    <t>3003100326</t>
  </si>
  <si>
    <t>IN000302494</t>
  </si>
  <si>
    <t>UY SCUTI COMPANY</t>
  </si>
  <si>
    <t>LIFT N SHIFT EQUIPMENT TRADING LLC</t>
  </si>
  <si>
    <t>TAJ AL SHARQI FOR GENERAL TRADING LTD.</t>
  </si>
  <si>
    <t>Remz AL-Kafaa For General Trading</t>
  </si>
  <si>
    <t>Kosha Gallery for Furniture</t>
  </si>
  <si>
    <t>INV-000043</t>
  </si>
  <si>
    <t>202600256</t>
  </si>
  <si>
    <t>260010</t>
  </si>
  <si>
    <t>0121</t>
  </si>
  <si>
    <t>00693</t>
  </si>
  <si>
    <t>Q00487</t>
  </si>
  <si>
    <t>0133</t>
  </si>
  <si>
    <t>13874</t>
  </si>
  <si>
    <t>00696</t>
  </si>
  <si>
    <t>239</t>
  </si>
  <si>
    <t>106</t>
  </si>
  <si>
    <t>PETRONA FZE IEC</t>
  </si>
  <si>
    <t>260259</t>
  </si>
  <si>
    <t>PETRONA FZE IEC Mar 26</t>
  </si>
  <si>
    <t xml:space="preserve">Rent Amal Mar 26 </t>
  </si>
  <si>
    <t xml:space="preserve">Rent Academy Mar 26 </t>
  </si>
  <si>
    <t xml:space="preserve">Rent Al Jazair office Mar 26 </t>
  </si>
  <si>
    <t xml:space="preserve">Rent Southren Services Mar 26 </t>
  </si>
  <si>
    <t>Rent Jazair Accommodation Mar 26</t>
  </si>
  <si>
    <t xml:space="preserve">Rent Junaina Mar 26 </t>
  </si>
  <si>
    <t>Al Majal Business Park (AMBP) Mar 26</t>
  </si>
  <si>
    <t>AL MARJAN FOR CURTAINS</t>
  </si>
  <si>
    <t>AL JANA STORE 2</t>
  </si>
  <si>
    <t>Al-Jorani Factory</t>
  </si>
  <si>
    <t>AL FARTOUSI GALLERY</t>
  </si>
  <si>
    <t>MOHAMMED HADAD OFFICE</t>
  </si>
  <si>
    <t>Al Narges Company for Pipes</t>
  </si>
  <si>
    <t>Deep South Company</t>
  </si>
  <si>
    <t>Barakat Um Al Banin for Batteries</t>
  </si>
  <si>
    <t>Al-Safi Factory and Um Albanin Gallery</t>
  </si>
  <si>
    <t>Al Diyar for Oil and Filters</t>
  </si>
  <si>
    <t>Al-Rafidain Store for Bolts</t>
  </si>
  <si>
    <t>INFINITY PLUS TRADING LLC SOG</t>
  </si>
  <si>
    <t>FUTURE PIPE INDUSTRIES LLC</t>
  </si>
  <si>
    <t>Al-Aqeel Gallery for Electrical Material</t>
  </si>
  <si>
    <t>Amer Essa Salem</t>
  </si>
  <si>
    <t>Al-Sadrain Stores</t>
  </si>
  <si>
    <t>ALSHAARQ FOR BUILDING SYSTEMS</t>
  </si>
  <si>
    <t>ALSAFWA</t>
  </si>
  <si>
    <t>AL JABER FOR FURNITURE</t>
  </si>
  <si>
    <t>5190</t>
  </si>
  <si>
    <t>20</t>
  </si>
  <si>
    <t>520</t>
  </si>
  <si>
    <t>00848</t>
  </si>
  <si>
    <t>8818</t>
  </si>
  <si>
    <t>02316</t>
  </si>
  <si>
    <t>13572</t>
  </si>
  <si>
    <t>008350</t>
  </si>
  <si>
    <t>13568</t>
  </si>
  <si>
    <t>13566</t>
  </si>
  <si>
    <t>13546</t>
  </si>
  <si>
    <t>13556</t>
  </si>
  <si>
    <t>13570</t>
  </si>
  <si>
    <t>13564</t>
  </si>
  <si>
    <t>13574</t>
  </si>
  <si>
    <t>13470</t>
  </si>
  <si>
    <t>00849</t>
  </si>
  <si>
    <t>0904</t>
  </si>
  <si>
    <t>0905</t>
  </si>
  <si>
    <t>13312</t>
  </si>
  <si>
    <t>28702026</t>
  </si>
  <si>
    <t>28712026</t>
  </si>
  <si>
    <t>13314</t>
  </si>
  <si>
    <t>1055</t>
  </si>
  <si>
    <t>287302026</t>
  </si>
  <si>
    <t>287202026</t>
  </si>
  <si>
    <t>13600</t>
  </si>
  <si>
    <t>13604</t>
  </si>
  <si>
    <t>13602</t>
  </si>
  <si>
    <t>13606</t>
  </si>
  <si>
    <t>13608</t>
  </si>
  <si>
    <t>13610</t>
  </si>
  <si>
    <t>13616</t>
  </si>
  <si>
    <t>8928</t>
  </si>
  <si>
    <t>197</t>
  </si>
  <si>
    <t>13624</t>
  </si>
  <si>
    <t>13626</t>
  </si>
  <si>
    <t>13628</t>
  </si>
  <si>
    <t>13620</t>
  </si>
  <si>
    <t>13630</t>
  </si>
  <si>
    <t>13632</t>
  </si>
  <si>
    <t>524</t>
  </si>
  <si>
    <t>13638</t>
  </si>
  <si>
    <t>28742026</t>
  </si>
  <si>
    <t>13612</t>
  </si>
  <si>
    <t>13634</t>
  </si>
  <si>
    <t>13614</t>
  </si>
  <si>
    <t>13618</t>
  </si>
  <si>
    <t>7045</t>
  </si>
  <si>
    <t>7047</t>
  </si>
  <si>
    <t>13668</t>
  </si>
  <si>
    <t>13670</t>
  </si>
  <si>
    <t>333</t>
  </si>
  <si>
    <t>IGCC-033</t>
  </si>
  <si>
    <t>00601</t>
  </si>
  <si>
    <t>GH-2026-088833</t>
  </si>
  <si>
    <t>GH-2026-088821</t>
  </si>
  <si>
    <t>GH-2026-088763</t>
  </si>
  <si>
    <t>13622</t>
  </si>
  <si>
    <t>13756</t>
  </si>
  <si>
    <t>13658</t>
  </si>
  <si>
    <t>13762</t>
  </si>
  <si>
    <t>13596</t>
  </si>
  <si>
    <t>13692</t>
  </si>
  <si>
    <t>13760</t>
  </si>
  <si>
    <t>13764</t>
  </si>
  <si>
    <t>13710</t>
  </si>
  <si>
    <t>13726</t>
  </si>
  <si>
    <t>13724</t>
  </si>
  <si>
    <t>13728</t>
  </si>
  <si>
    <t>13784</t>
  </si>
  <si>
    <t>13792</t>
  </si>
  <si>
    <t>13720</t>
  </si>
  <si>
    <t>13738</t>
  </si>
  <si>
    <t>13744</t>
  </si>
  <si>
    <t>534</t>
  </si>
  <si>
    <t>9083</t>
  </si>
  <si>
    <t>0120</t>
  </si>
  <si>
    <t>13748</t>
  </si>
  <si>
    <t>332</t>
  </si>
  <si>
    <t>0001709</t>
  </si>
  <si>
    <t>00515</t>
  </si>
  <si>
    <t>003368</t>
  </si>
  <si>
    <t>13680</t>
  </si>
  <si>
    <t>532</t>
  </si>
  <si>
    <t>13790</t>
  </si>
  <si>
    <t>8049</t>
  </si>
  <si>
    <t>8050</t>
  </si>
  <si>
    <t>8047</t>
  </si>
  <si>
    <t>IGCC07</t>
  </si>
  <si>
    <t>13678</t>
  </si>
  <si>
    <t>13774</t>
  </si>
  <si>
    <t>13772</t>
  </si>
  <si>
    <t>13754</t>
  </si>
  <si>
    <t>13768</t>
  </si>
  <si>
    <t>13766</t>
  </si>
  <si>
    <t>13714</t>
  </si>
  <si>
    <t>13702</t>
  </si>
  <si>
    <t>13698</t>
  </si>
  <si>
    <t>13686</t>
  </si>
  <si>
    <t>13704</t>
  </si>
  <si>
    <t>13746</t>
  </si>
  <si>
    <t>13778</t>
  </si>
  <si>
    <t>13780</t>
  </si>
  <si>
    <t>13788</t>
  </si>
  <si>
    <t>13782</t>
  </si>
  <si>
    <t>13786</t>
  </si>
  <si>
    <t>13742</t>
  </si>
  <si>
    <t>13730</t>
  </si>
  <si>
    <t>13674</t>
  </si>
  <si>
    <t>13676</t>
  </si>
  <si>
    <t>13696</t>
  </si>
  <si>
    <t>13662</t>
  </si>
  <si>
    <t>13672</t>
  </si>
  <si>
    <t>13664</t>
  </si>
  <si>
    <t>13660</t>
  </si>
  <si>
    <t>13646</t>
  </si>
  <si>
    <t>13644</t>
  </si>
  <si>
    <t>13648</t>
  </si>
  <si>
    <t>13642</t>
  </si>
  <si>
    <t>13652</t>
  </si>
  <si>
    <t>13650</t>
  </si>
  <si>
    <t>13594</t>
  </si>
  <si>
    <t>8048</t>
  </si>
  <si>
    <t>01</t>
  </si>
  <si>
    <t>5937</t>
  </si>
  <si>
    <t>0707</t>
  </si>
  <si>
    <t>7046</t>
  </si>
  <si>
    <t>526</t>
  </si>
  <si>
    <t>9130</t>
  </si>
  <si>
    <t>538</t>
  </si>
  <si>
    <t>0154</t>
  </si>
  <si>
    <t>6786</t>
  </si>
  <si>
    <t>2396</t>
  </si>
  <si>
    <t>13694</t>
  </si>
  <si>
    <t>13770</t>
  </si>
  <si>
    <t>13716</t>
  </si>
  <si>
    <t>542</t>
  </si>
  <si>
    <t>13712</t>
  </si>
  <si>
    <t>13682</t>
  </si>
  <si>
    <t>13684</t>
  </si>
  <si>
    <t>01522</t>
  </si>
  <si>
    <t>01502</t>
  </si>
  <si>
    <t>546</t>
  </si>
  <si>
    <t>13776</t>
  </si>
  <si>
    <t>548</t>
  </si>
  <si>
    <t>13852</t>
  </si>
  <si>
    <t>13880</t>
  </si>
  <si>
    <t>13842</t>
  </si>
  <si>
    <t>IPI-2026-INV00004</t>
  </si>
  <si>
    <t>13876</t>
  </si>
  <si>
    <t>13808</t>
  </si>
  <si>
    <t>13878</t>
  </si>
  <si>
    <t>6805</t>
  </si>
  <si>
    <t>6806</t>
  </si>
  <si>
    <t>6807</t>
  </si>
  <si>
    <t>6808</t>
  </si>
  <si>
    <t>6809</t>
  </si>
  <si>
    <t>6810</t>
  </si>
  <si>
    <t>6811</t>
  </si>
  <si>
    <t>6812</t>
  </si>
  <si>
    <t>6814</t>
  </si>
  <si>
    <t>6815</t>
  </si>
  <si>
    <t>6816</t>
  </si>
  <si>
    <t>6817</t>
  </si>
  <si>
    <t>6818</t>
  </si>
  <si>
    <t>0001708</t>
  </si>
  <si>
    <t>GH-2026-088834</t>
  </si>
  <si>
    <t>13818</t>
  </si>
  <si>
    <t>13796</t>
  </si>
  <si>
    <t>13864</t>
  </si>
  <si>
    <t>13882</t>
  </si>
  <si>
    <t>13824</t>
  </si>
  <si>
    <t>13844</t>
  </si>
  <si>
    <t>13826</t>
  </si>
  <si>
    <t>13860</t>
  </si>
  <si>
    <t>13856</t>
  </si>
  <si>
    <t>13858</t>
  </si>
  <si>
    <t>13866</t>
  </si>
  <si>
    <t>13850</t>
  </si>
  <si>
    <t>13854</t>
  </si>
  <si>
    <t>13848</t>
  </si>
  <si>
    <t>13846</t>
  </si>
  <si>
    <t>13816</t>
  </si>
  <si>
    <t>13806</t>
  </si>
  <si>
    <t>13832</t>
  </si>
  <si>
    <t>13810</t>
  </si>
  <si>
    <t>13838</t>
  </si>
  <si>
    <t>13828</t>
  </si>
  <si>
    <t>13830</t>
  </si>
  <si>
    <t>13804</t>
  </si>
  <si>
    <t>13802</t>
  </si>
  <si>
    <t>13812</t>
  </si>
  <si>
    <t>13840</t>
  </si>
  <si>
    <t>13794</t>
  </si>
  <si>
    <t>13750</t>
  </si>
  <si>
    <t>13656</t>
  </si>
  <si>
    <t>13538</t>
  </si>
  <si>
    <t>1054</t>
  </si>
  <si>
    <t>13872</t>
  </si>
  <si>
    <t>0001707</t>
  </si>
  <si>
    <t>544</t>
  </si>
  <si>
    <t>13588</t>
  </si>
  <si>
    <t>13798</t>
  </si>
  <si>
    <t>FPI/PI/CC/1200/26</t>
  </si>
  <si>
    <t>02372</t>
  </si>
  <si>
    <t>560</t>
  </si>
  <si>
    <t>558</t>
  </si>
  <si>
    <t>550</t>
  </si>
  <si>
    <t>13800</t>
  </si>
  <si>
    <t>13820</t>
  </si>
  <si>
    <t>562</t>
  </si>
  <si>
    <t>13870</t>
  </si>
  <si>
    <t>13868</t>
  </si>
  <si>
    <t>552</t>
  </si>
  <si>
    <t>9127</t>
  </si>
  <si>
    <t>0471</t>
  </si>
  <si>
    <t>02336</t>
  </si>
  <si>
    <t>02337</t>
  </si>
  <si>
    <t>0755</t>
  </si>
  <si>
    <t>13912</t>
  </si>
  <si>
    <t>13636</t>
  </si>
  <si>
    <t>IGCC08</t>
  </si>
  <si>
    <t>3755</t>
  </si>
  <si>
    <t>28802026</t>
  </si>
  <si>
    <t>13910</t>
  </si>
  <si>
    <t>13722</t>
  </si>
  <si>
    <t>13884</t>
  </si>
  <si>
    <t>13900</t>
  </si>
  <si>
    <t>13814</t>
  </si>
  <si>
    <t>13908</t>
  </si>
  <si>
    <t>13906</t>
  </si>
  <si>
    <t>0130</t>
  </si>
  <si>
    <t>13896</t>
  </si>
  <si>
    <t>INV/2026/02408</t>
  </si>
  <si>
    <t>13926</t>
  </si>
  <si>
    <t>02364</t>
  </si>
  <si>
    <t>1059</t>
  </si>
  <si>
    <t>001590</t>
  </si>
  <si>
    <t>13904</t>
  </si>
  <si>
    <t>13924</t>
  </si>
  <si>
    <t>13932</t>
  </si>
  <si>
    <t>13930</t>
  </si>
  <si>
    <t>13922</t>
  </si>
  <si>
    <t>13928</t>
  </si>
  <si>
    <t>12914</t>
  </si>
  <si>
    <t>6820</t>
  </si>
  <si>
    <t>6821</t>
  </si>
  <si>
    <t>6822</t>
  </si>
  <si>
    <t>9128</t>
  </si>
  <si>
    <t>4797</t>
  </si>
  <si>
    <t>1058</t>
  </si>
  <si>
    <t>13822</t>
  </si>
  <si>
    <t>13902</t>
  </si>
  <si>
    <t>000538</t>
  </si>
  <si>
    <t>0869</t>
  </si>
  <si>
    <t>00260</t>
  </si>
  <si>
    <t>0228</t>
  </si>
  <si>
    <t>0229</t>
  </si>
  <si>
    <t>0001898</t>
  </si>
  <si>
    <t>9007</t>
  </si>
  <si>
    <t>556</t>
  </si>
  <si>
    <t>540</t>
  </si>
  <si>
    <t>20264000016</t>
  </si>
  <si>
    <t>28752026</t>
  </si>
  <si>
    <t>13834</t>
  </si>
  <si>
    <t>9026</t>
  </si>
  <si>
    <t>6819</t>
  </si>
  <si>
    <t>568</t>
  </si>
  <si>
    <t>3785</t>
  </si>
  <si>
    <t>OTHL _25</t>
  </si>
  <si>
    <t>Materials/Pipes</t>
  </si>
  <si>
    <t>Materials/Cables</t>
  </si>
  <si>
    <t>Materials/Bolts</t>
  </si>
  <si>
    <t>BGC_25</t>
  </si>
  <si>
    <t>TT-DC-FL-VR/ Hydrovac</t>
  </si>
  <si>
    <t>TT-DC-FL-GRE-UR / Hydrovac</t>
  </si>
  <si>
    <t>TT-DC-A625-CV-UR / Hydrovac</t>
  </si>
  <si>
    <t>TT-DC-QSTR-CVUR / Hydrovac</t>
  </si>
  <si>
    <t>TT-DC-WP-UR / Hydrovac</t>
  </si>
  <si>
    <t>KRK Mar Accommodation</t>
  </si>
  <si>
    <t>KRK Mar office</t>
  </si>
  <si>
    <t>TECHNOMAK ENERGY INTERNATIONAL FZC</t>
  </si>
  <si>
    <t>EGYPTIAN MAINTENANCE COMPANY</t>
  </si>
  <si>
    <t>STEEL HAND GRIP CO.</t>
  </si>
  <si>
    <t>AL ABRAJ AL MUTAHIDA</t>
  </si>
  <si>
    <t>TPS/224101-S1-/INV002/2026</t>
  </si>
  <si>
    <t>0073\2026</t>
  </si>
  <si>
    <t>SH-INV-001</t>
  </si>
  <si>
    <t>SH-INV-002</t>
  </si>
  <si>
    <t>SH-INV-003</t>
  </si>
  <si>
    <t>ABR-43-26</t>
  </si>
  <si>
    <t>Mohammed Dawood Hamad</t>
  </si>
  <si>
    <t>ARD ALKHER FOR EMPLOYMENT SERVICES</t>
  </si>
  <si>
    <t>Basra Seven Stars Company</t>
  </si>
  <si>
    <t>Cihan Insurance Company</t>
  </si>
  <si>
    <t>RAYAT AL-SHARQ COMPANY For Inspection Services</t>
  </si>
  <si>
    <t>FORGING THE FUTURE CO.</t>
  </si>
  <si>
    <t>Enjaz For Training, Testing, Calibation &amp; Enginnering Services</t>
  </si>
  <si>
    <t>TWI LIMITED</t>
  </si>
  <si>
    <t>NAYA Company</t>
  </si>
  <si>
    <t>222</t>
  </si>
  <si>
    <t>B.G.B.I.104</t>
  </si>
  <si>
    <t>26197</t>
  </si>
  <si>
    <t>Invoice No:031-26</t>
  </si>
  <si>
    <t>3017</t>
  </si>
  <si>
    <t>3018</t>
  </si>
  <si>
    <t>ACC-SINV-2026-00555-1</t>
  </si>
  <si>
    <t>INV/022619</t>
  </si>
  <si>
    <t>EBC-INV--2026-0115</t>
  </si>
  <si>
    <t>3027</t>
  </si>
  <si>
    <t>MEM010260</t>
  </si>
  <si>
    <t>20260328/01</t>
  </si>
  <si>
    <t>000694</t>
  </si>
  <si>
    <t>DMC-IGCC-INV-26-0120</t>
  </si>
  <si>
    <t>PUS-260312-252</t>
  </si>
  <si>
    <t>Al Ebdaa Office</t>
  </si>
  <si>
    <t>EPT LLC</t>
  </si>
  <si>
    <t>Invoice INV/2026/00053</t>
  </si>
  <si>
    <t>GLRTOT</t>
  </si>
  <si>
    <t>03.03.26</t>
  </si>
  <si>
    <t>08.03.26</t>
  </si>
  <si>
    <t>IN 2026000017</t>
  </si>
  <si>
    <t>IN 2026000018</t>
  </si>
  <si>
    <t>IN 2026000019</t>
  </si>
  <si>
    <t>IN 2026000023</t>
  </si>
  <si>
    <t>IN 2026000024</t>
  </si>
  <si>
    <t>IN 2026000026</t>
  </si>
  <si>
    <t>IN 2026000027</t>
  </si>
  <si>
    <t>IN 2026000028</t>
  </si>
  <si>
    <t>IN 2026000022</t>
  </si>
  <si>
    <t>04.03.26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</si>
</sst>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3" formatCode="_(* #,##0.00_);_(* \(#,##0.00\);_(* &quot;-&quot;??_);_(@_)"/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[$$-409]* #,##0.00_ ;_-[$$-409]* \-#,##0.00\ ;_-[$$-409]* &quot;-&quot;??_ ;_-@_ "/>
    <numFmt numFmtId="167" formatCode="_([$$-409]* #,##0.00_);_([$$-409]* \(#,##0.00\);_([$$-409]* &quot;-&quot;??_);_(@_)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0" fillId="0" borderId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53">
    <xf numFmtId="0" fontId="0" fillId="0" borderId="0" xfId="0"/>
    <xf numFmtId="0" fontId="0" fillId="2" borderId="0" xfId="0" applyFill="1"/>
    <xf numFmtId="0" fontId="0" fillId="3" borderId="0" xfId="0" applyFill="1"/>
    <xf numFmtId="165" fontId="0" fillId="3" borderId="0" xfId="1" applyFont="1" applyFill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166" fontId="0" fillId="0" borderId="0" xfId="0" applyNumberFormat="1" applyAlignment="1">
      <alignment horizontal="left"/>
    </xf>
    <xf numFmtId="166" fontId="0" fillId="0" borderId="0" xfId="0" applyNumberFormat="1"/>
    <xf numFmtId="0" fontId="17" fillId="2" borderId="0" xfId="0" applyFont="1" applyFill="1"/>
    <xf numFmtId="0" fontId="17" fillId="2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166" fontId="0" fillId="0" borderId="1" xfId="1" applyNumberFormat="1" applyFont="1" applyBorder="1"/>
    <xf numFmtId="14" fontId="0" fillId="0" borderId="0" xfId="0" applyNumberFormat="1" applyAlignment="1">
      <alignment horizontal="left"/>
    </xf>
    <xf numFmtId="0" fontId="17" fillId="4" borderId="1" xfId="0" applyFont="1" applyFill="1" applyBorder="1"/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66" fontId="0" fillId="0" borderId="1" xfId="2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6" fontId="0" fillId="0" borderId="1" xfId="2" applyNumberFormat="1" applyFont="1" applyBorder="1"/>
    <xf numFmtId="166" fontId="0" fillId="0" borderId="1" xfId="2" applyNumberFormat="1" applyFont="1" applyFill="1" applyBorder="1"/>
    <xf numFmtId="167" fontId="0" fillId="0" borderId="1" xfId="1" applyNumberFormat="1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166" fontId="0" fillId="0" borderId="1" xfId="1" applyNumberFormat="1" applyFont="1" applyBorder="1" applyAlignment="1">
      <alignment horizontal="left" vertical="center"/>
    </xf>
    <xf numFmtId="166" fontId="0" fillId="0" borderId="0" xfId="2" applyNumberFormat="1" applyFont="1"/>
    <xf numFmtId="0" fontId="15" fillId="0" borderId="1" xfId="0" applyFont="1" applyBorder="1"/>
    <xf numFmtId="0" fontId="0" fillId="0" borderId="1" xfId="0" applyBorder="1" applyAlignment="1">
      <alignment horizontal="left" vertical="top"/>
    </xf>
    <xf numFmtId="0" fontId="14" fillId="0" borderId="0" xfId="0" applyFont="1" applyAlignment="1">
      <alignment horizontal="left"/>
    </xf>
    <xf numFmtId="167" fontId="0" fillId="0" borderId="0" xfId="0" applyNumberFormat="1"/>
    <xf numFmtId="167" fontId="0" fillId="0" borderId="1" xfId="2" applyNumberFormat="1" applyFont="1" applyBorder="1"/>
    <xf numFmtId="0" fontId="13" fillId="0" borderId="0" xfId="0" applyFont="1" applyAlignment="1">
      <alignment horizontal="left"/>
    </xf>
    <xf numFmtId="167" fontId="0" fillId="0" borderId="0" xfId="1" applyNumberFormat="1" applyFont="1"/>
    <xf numFmtId="14" fontId="0" fillId="0" borderId="0" xfId="0" applyNumberFormat="1" applyAlignment="1">
      <alignment horizontal="center" vertical="center"/>
    </xf>
    <xf numFmtId="0" fontId="0" fillId="6" borderId="0" xfId="0" applyFill="1"/>
    <xf numFmtId="0" fontId="12" fillId="0" borderId="0" xfId="0" applyFont="1"/>
    <xf numFmtId="0" fontId="12" fillId="0" borderId="0" xfId="0" applyFont="1" applyAlignment="1">
      <alignment horizontal="left"/>
    </xf>
    <xf numFmtId="10" fontId="17" fillId="0" borderId="0" xfId="0" applyNumberFormat="1" applyFont="1"/>
    <xf numFmtId="9" fontId="0" fillId="0" borderId="0" xfId="3" applyFont="1"/>
    <xf numFmtId="167" fontId="0" fillId="0" borderId="0" xfId="2" applyNumberFormat="1" applyFont="1"/>
    <xf numFmtId="0" fontId="11" fillId="6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0" fillId="0" borderId="0" xfId="0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167" fontId="0" fillId="0" borderId="1" xfId="2" applyNumberFormat="1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167" fontId="0" fillId="0" borderId="1" xfId="1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8" fillId="5" borderId="1" xfId="0" applyFont="1" applyFill="1" applyBorder="1" applyAlignment="1">
      <alignment horizontal="left" vertical="top"/>
    </xf>
    <xf numFmtId="167" fontId="0" fillId="0" borderId="1" xfId="0" applyNumberForma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0" fontId="16" fillId="0" borderId="1" xfId="0" applyFont="1" applyBorder="1" applyAlignment="1">
      <alignment horizontal="left" vertical="top"/>
    </xf>
    <xf numFmtId="14" fontId="15" fillId="0" borderId="1" xfId="0" applyNumberFormat="1" applyFont="1" applyBorder="1" applyAlignment="1">
      <alignment horizontal="left" vertical="top"/>
    </xf>
    <xf numFmtId="167" fontId="0" fillId="0" borderId="1" xfId="2" applyNumberFormat="1" applyFont="1" applyFill="1" applyBorder="1" applyAlignment="1">
      <alignment horizontal="left" vertical="top"/>
    </xf>
    <xf numFmtId="167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9" fillId="0" borderId="0" xfId="0" applyFont="1" applyAlignment="1">
      <alignment horizontal="left"/>
    </xf>
    <xf numFmtId="0" fontId="9" fillId="0" borderId="0" xfId="0" applyFont="1"/>
    <xf numFmtId="0" fontId="9" fillId="0" borderId="1" xfId="0" applyFont="1" applyBorder="1" applyAlignment="1">
      <alignment horizontal="left" vertical="top"/>
    </xf>
    <xf numFmtId="14" fontId="9" fillId="0" borderId="1" xfId="0" applyNumberFormat="1" applyFont="1" applyBorder="1"/>
    <xf numFmtId="0" fontId="8" fillId="0" borderId="0" xfId="0" applyFont="1" applyAlignment="1">
      <alignment horizontal="left"/>
    </xf>
    <xf numFmtId="0" fontId="8" fillId="0" borderId="1" xfId="0" applyFont="1" applyBorder="1" applyAlignment="1">
      <alignment horizontal="left" vertical="top"/>
    </xf>
    <xf numFmtId="0" fontId="6" fillId="0" borderId="0" xfId="0" applyFont="1"/>
    <xf numFmtId="0" fontId="6" fillId="0" borderId="0" xfId="0" applyFont="1" applyAlignment="1">
      <alignment horizontal="left"/>
    </xf>
    <xf numFmtId="0" fontId="17" fillId="2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166" fontId="0" fillId="0" borderId="0" xfId="2" applyNumberFormat="1" applyFont="1" applyAlignment="1">
      <alignment horizontal="left" vertical="top"/>
    </xf>
    <xf numFmtId="0" fontId="6" fillId="0" borderId="1" xfId="0" applyFont="1" applyBorder="1" applyAlignment="1">
      <alignment horizontal="left" vertical="center"/>
    </xf>
    <xf numFmtId="165" fontId="0" fillId="0" borderId="0" xfId="1" applyFont="1"/>
    <xf numFmtId="167" fontId="17" fillId="0" borderId="0" xfId="0" applyNumberFormat="1" applyFont="1"/>
    <xf numFmtId="43" fontId="0" fillId="0" borderId="0" xfId="0" applyNumberFormat="1"/>
    <xf numFmtId="0" fontId="0" fillId="0" borderId="0" xfId="0" applyAlignment="1">
      <alignment horizontal="center" vertical="center"/>
    </xf>
    <xf numFmtId="0" fontId="13" fillId="0" borderId="0" xfId="0" applyFont="1"/>
    <xf numFmtId="167" fontId="0" fillId="0" borderId="0" xfId="2" applyNumberFormat="1" applyFont="1" applyFill="1" applyBorder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14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14" fontId="6" fillId="0" borderId="1" xfId="0" applyNumberFormat="1" applyFont="1" applyBorder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 indent="1"/>
    </xf>
    <xf numFmtId="0" fontId="5" fillId="0" borderId="1" xfId="0" applyFont="1" applyBorder="1" applyAlignment="1">
      <alignment horizontal="left" vertical="top"/>
    </xf>
    <xf numFmtId="166" fontId="0" fillId="0" borderId="1" xfId="0" applyNumberFormat="1" applyBorder="1" applyAlignment="1">
      <alignment horizontal="left" vertical="top"/>
    </xf>
    <xf numFmtId="167" fontId="5" fillId="0" borderId="1" xfId="0" applyNumberFormat="1" applyFont="1" applyBorder="1" applyAlignment="1">
      <alignment horizontal="left" vertical="top"/>
    </xf>
    <xf numFmtId="14" fontId="5" fillId="0" borderId="1" xfId="0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17" fillId="2" borderId="0" xfId="0" applyFont="1" applyFill="1" applyAlignment="1">
      <alignment vertical="top"/>
    </xf>
    <xf numFmtId="0" fontId="0" fillId="0" borderId="0" xfId="0" applyAlignment="1">
      <alignment vertical="top"/>
    </xf>
    <xf numFmtId="167" fontId="0" fillId="0" borderId="0" xfId="0" applyNumberFormat="1" applyAlignment="1">
      <alignment vertical="top"/>
    </xf>
    <xf numFmtId="0" fontId="6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14" fontId="6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left" vertical="top"/>
    </xf>
    <xf numFmtId="167" fontId="5" fillId="0" borderId="0" xfId="0" applyNumberFormat="1" applyFont="1" applyAlignment="1">
      <alignment horizontal="left" vertical="top"/>
    </xf>
    <xf numFmtId="0" fontId="9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167" fontId="0" fillId="0" borderId="1" xfId="2" applyNumberFormat="1" applyFont="1" applyBorder="1" applyAlignment="1">
      <alignment vertical="top"/>
    </xf>
    <xf numFmtId="167" fontId="0" fillId="0" borderId="1" xfId="0" applyNumberFormat="1" applyBorder="1" applyAlignment="1">
      <alignment vertical="top"/>
    </xf>
    <xf numFmtId="0" fontId="17" fillId="2" borderId="1" xfId="0" applyFont="1" applyFill="1" applyBorder="1" applyAlignment="1">
      <alignment vertical="top"/>
    </xf>
    <xf numFmtId="0" fontId="6" fillId="0" borderId="1" xfId="0" applyFont="1" applyBorder="1" applyAlignment="1">
      <alignment vertical="top"/>
    </xf>
    <xf numFmtId="14" fontId="6" fillId="0" borderId="1" xfId="0" applyNumberFormat="1" applyFont="1" applyBorder="1" applyAlignment="1">
      <alignment vertical="top"/>
    </xf>
    <xf numFmtId="0" fontId="9" fillId="0" borderId="0" xfId="0" applyFont="1" applyAlignment="1">
      <alignment vertical="top"/>
    </xf>
    <xf numFmtId="165" fontId="17" fillId="2" borderId="0" xfId="1" applyFont="1" applyFill="1" applyAlignment="1">
      <alignment vertical="top"/>
    </xf>
    <xf numFmtId="165" fontId="0" fillId="0" borderId="0" xfId="1" applyFont="1" applyAlignment="1">
      <alignment vertical="top"/>
    </xf>
    <xf numFmtId="0" fontId="16" fillId="0" borderId="0" xfId="0" applyFont="1" applyAlignment="1">
      <alignment vertical="top"/>
    </xf>
    <xf numFmtId="14" fontId="15" fillId="0" borderId="0" xfId="0" applyNumberFormat="1" applyFont="1" applyAlignment="1">
      <alignment vertical="top"/>
    </xf>
    <xf numFmtId="0" fontId="15" fillId="0" borderId="0" xfId="0" applyFont="1" applyAlignment="1">
      <alignment vertical="top"/>
    </xf>
    <xf numFmtId="0" fontId="17" fillId="4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166" fontId="4" fillId="0" borderId="0" xfId="2" applyNumberFormat="1" applyFont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/>
    <xf numFmtId="166" fontId="0" fillId="0" borderId="1" xfId="0" applyNumberFormat="1" applyBorder="1"/>
    <xf numFmtId="0" fontId="4" fillId="0" borderId="0" xfId="0" applyFont="1" applyAlignment="1">
      <alignment vertical="top"/>
    </xf>
    <xf numFmtId="167" fontId="0" fillId="0" borderId="0" xfId="1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14" fontId="4" fillId="0" borderId="0" xfId="0" applyNumberFormat="1" applyFont="1" applyAlignment="1">
      <alignment horizontal="left" vertical="top"/>
    </xf>
    <xf numFmtId="0" fontId="17" fillId="2" borderId="2" xfId="0" applyFont="1" applyFill="1" applyBorder="1" applyAlignment="1">
      <alignment horizontal="left" vertical="top"/>
    </xf>
    <xf numFmtId="167" fontId="17" fillId="2" borderId="2" xfId="0" applyNumberFormat="1" applyFont="1" applyFill="1" applyBorder="1" applyAlignment="1">
      <alignment horizontal="left" vertical="top"/>
    </xf>
    <xf numFmtId="14" fontId="17" fillId="2" borderId="2" xfId="0" applyNumberFormat="1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167" fontId="4" fillId="0" borderId="1" xfId="2" applyNumberFormat="1" applyFont="1" applyBorder="1" applyAlignment="1">
      <alignment horizontal="left" vertical="top"/>
    </xf>
    <xf numFmtId="6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167" fontId="0" fillId="0" borderId="0" xfId="0" applyNumberFormat="1" applyAlignment="1">
      <alignment horizontal="left"/>
    </xf>
    <xf numFmtId="0" fontId="3" fillId="0" borderId="1" xfId="0" applyFont="1" applyBorder="1"/>
    <xf numFmtId="165" fontId="0" fillId="0" borderId="0" xfId="1" applyFont="1" applyAlignment="1">
      <alignment horizontal="left"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/>
    <xf numFmtId="14" fontId="5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9" fillId="0" borderId="1" xfId="0" applyNumberFormat="1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</cellXfs>
  <cellStyles count="11">
    <cellStyle name="Comma" xfId="1" builtinId="3"/>
    <cellStyle name="Comma 2" xfId="4" xr:uid="{464C4397-2485-4457-8F46-FE59BBF41F79}"/>
    <cellStyle name="Comma 3" xfId="7" xr:uid="{B21D510C-DCCE-4453-A8A4-00A427BDB343}"/>
    <cellStyle name="Comma 4" xfId="9" xr:uid="{081CE2A3-DB24-4DBF-A671-427D44B85948}"/>
    <cellStyle name="Currency" xfId="2" builtinId="4"/>
    <cellStyle name="Currency 2" xfId="5" xr:uid="{D371D1B3-F073-4168-990C-FADB29ABD862}"/>
    <cellStyle name="Currency 3" xfId="8" xr:uid="{89E87401-D048-46B6-8D5F-D755C0958EAF}"/>
    <cellStyle name="Currency 4" xfId="10" xr:uid="{2B2D9D01-A2E7-4496-96D0-1BAEF05A3E3C}"/>
    <cellStyle name="Normal" xfId="0" builtinId="0"/>
    <cellStyle name="Normal 2" xfId="6" xr:uid="{AB200364-B986-4E08-9B8E-35106E581AD5}"/>
    <cellStyle name="Percent" xfId="3" builtinId="5"/>
  </cellStyles>
  <dxfs count="18"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losing/Petty%20Cash%20Tracker/2024/Oct.24/Petty%20Cash%20Tracker%20For%20Oct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Master data"/>
      <sheetName val="List"/>
      <sheetName val="JAN 24"/>
      <sheetName val="FEB 24"/>
      <sheetName val="MAR 24"/>
      <sheetName val="APR 24"/>
      <sheetName val="MAY 24"/>
      <sheetName val="JUN 24"/>
      <sheetName val="PC"/>
      <sheetName val="AUG 24"/>
      <sheetName val="SEP 24"/>
      <sheetName val="Oct.24"/>
      <sheetName val="Nov.24"/>
      <sheetName val="JUL 24"/>
      <sheetName val="Balan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24.474632407408" createdVersion="8" refreshedVersion="8" minRefreshableVersion="3" recordCount="625" xr:uid="{7A7180CD-DA78-4C32-BE3A-B1A51606B628}">
  <cacheSource type="worksheet">
    <worksheetSource ref="A1:N626" sheet="Master"/>
  </cacheSource>
  <cacheFields count="14">
    <cacheField name="Serial" numFmtId="0">
      <sharedItems containsSemiMixedTypes="0" containsString="0" containsNumber="1" containsInteger="1" minValue="1" maxValue="625"/>
    </cacheField>
    <cacheField name="Level 1 " numFmtId="0">
      <sharedItems count="12">
        <s v="BGC_23"/>
        <s v="BGCG_23"/>
        <s v="camp_23"/>
        <s v="HO_23"/>
        <s v="ROOG_23"/>
        <s v="ROOM_23"/>
        <s v="ROOP_23"/>
        <s v="TOTAL_25"/>
        <s v="Management"/>
        <s v="KRK-BP-25"/>
        <s v="VLV_26"/>
        <s v="ROESP_23"/>
      </sharedItems>
    </cacheField>
    <cacheField name="Level 2" numFmtId="0">
      <sharedItems count="43">
        <s v="BNGL-25"/>
        <s v="KAZ_23"/>
        <s v="MANPR_23"/>
        <s v="NR-NGL25"/>
        <s v="UQ_23"/>
        <s v="GRLBG_23"/>
        <s v="CmpSB_23"/>
        <s v="MWS_23"/>
        <s v="HO_SB_23"/>
        <s v="GRLRO_23"/>
        <s v="EIMNT_23"/>
        <s v="EISP_23"/>
        <s v="E&amp;I-MAJ"/>
        <s v="FFF_23"/>
        <s v="FLWLN_23"/>
        <s v="Kiosk-25"/>
        <s v="MWP_23"/>
        <s v="OHTL _25"/>
        <s v="PWRI_23"/>
        <s v="PWRI2_23"/>
        <s v="QAWPT_23"/>
        <s v="GRLTOT"/>
        <s v="Management"/>
        <s v="GRL-KR-BP-25"/>
        <s v="EX_23"/>
        <s v="KBR_23"/>
        <s v="SPAS_23"/>
        <s v="WOD_23"/>
        <s v="GRL_VLV "/>
        <s v="CPSs_23"/>
        <s v="QUR_23"/>
        <s v="EIESP_23"/>
        <s v="MPMNT_23"/>
        <s v="MPTAR_23"/>
        <s v="BGC_23"/>
        <s v="BGCG_23"/>
        <s v="camp_23"/>
        <s v="HO_23"/>
        <s v="ROOG_23"/>
        <s v="ROOM_23"/>
        <s v="ROOP_23"/>
        <s v="TOTAL_25"/>
        <s v="EITAR_23"/>
      </sharedItems>
    </cacheField>
    <cacheField name="Cost Type" numFmtId="0">
      <sharedItems/>
    </cacheField>
    <cacheField name="GL Name" numFmtId="0">
      <sharedItems count="20">
        <s v="Staff Salary &amp; Compensation"/>
        <s v="DHL / Courier Fees / Shipping"/>
        <s v="Charitable Contributions"/>
        <s v="Material &amp; Supplies"/>
        <s v="Third party services"/>
        <s v="Fuel &amp; Lubricant"/>
        <s v="Accommodation"/>
        <s v="Lease &amp; Rent"/>
        <s v="Light &amp; Heavy Equipment’s Rental"/>
        <s v="Repairs &amp; Maintenance"/>
        <s v="Communication &amp; internet"/>
        <s v="Visa &amp; Traveling Expense  "/>
        <s v="Security"/>
        <s v="Social security"/>
        <s v="Amman Expenses"/>
        <s v="Air ticket &amp; travel"/>
        <s v="Third party Servcies"/>
        <s v="Third party Manpower"/>
        <s v="Subcontractors"/>
        <s v="Fixed Assets"/>
      </sharedItems>
    </cacheField>
    <cacheField name="GL Account" numFmtId="0">
      <sharedItems containsNonDate="0" containsString="0" containsBlank="1"/>
    </cacheField>
    <cacheField name="Vendor" numFmtId="0">
      <sharedItems/>
    </cacheField>
    <cacheField name="Description" numFmtId="0">
      <sharedItems containsBlank="1"/>
    </cacheField>
    <cacheField name="Invoice Amount USD" numFmtId="167">
      <sharedItems containsSemiMixedTypes="0" containsString="0" containsNumber="1" minValue="16.233766233766232" maxValue="380000"/>
    </cacheField>
    <cacheField name="Invoice No." numFmtId="0">
      <sharedItems containsMixedTypes="1" containsNumber="1" minValue="1.28" maxValue="195013"/>
    </cacheField>
    <cacheField name="Invoice Date" numFmtId="14">
      <sharedItems containsDate="1" containsMixedTypes="1" minDate="2025-03-18T00:00:00" maxDate="2026-12-04T00:00:00"/>
    </cacheField>
    <cacheField name="PO Number" numFmtId="0">
      <sharedItems containsMixedTypes="1" containsNumber="1" containsInteger="1" minValue="2024403196" maxValue="2026401264"/>
    </cacheField>
    <cacheField name="Month" numFmtId="0">
      <sharedItems/>
    </cacheField>
    <cacheField name="Year" numFmtId="0">
      <sharedItems containsSemiMixedTypes="0" containsString="0" containsNumber="1" containsInteger="1" minValue="2026" maxValue="2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">
  <r>
    <n v="1"/>
    <x v="0"/>
    <x v="0"/>
    <s v="Actual"/>
    <x v="0"/>
    <m/>
    <s v="IGCC"/>
    <s v="Payroll Mar"/>
    <n v="91545"/>
    <s v="N/A"/>
    <s v="N/A"/>
    <s v="N/A"/>
    <s v="Mar"/>
    <n v="2026"/>
  </r>
  <r>
    <n v="2"/>
    <x v="0"/>
    <x v="1"/>
    <s v="Actual"/>
    <x v="0"/>
    <m/>
    <s v="IGCC"/>
    <s v="Payroll Mar"/>
    <n v="97146"/>
    <s v="N/A"/>
    <s v="N/A"/>
    <s v="N/A"/>
    <s v="Mar"/>
    <n v="2026"/>
  </r>
  <r>
    <n v="3"/>
    <x v="0"/>
    <x v="2"/>
    <s v="Actual"/>
    <x v="0"/>
    <m/>
    <s v="IGCC"/>
    <s v="Payroll Mar"/>
    <n v="13095"/>
    <s v="N/A"/>
    <s v="N/A"/>
    <s v="N/A"/>
    <s v="Mar"/>
    <n v="2026"/>
  </r>
  <r>
    <n v="4"/>
    <x v="0"/>
    <x v="3"/>
    <s v="Actual"/>
    <x v="0"/>
    <m/>
    <s v="IGCC"/>
    <s v="Payroll Mar"/>
    <n v="70959"/>
    <s v="N/A"/>
    <s v="N/A"/>
    <s v="N/A"/>
    <s v="Mar"/>
    <n v="2026"/>
  </r>
  <r>
    <n v="5"/>
    <x v="0"/>
    <x v="4"/>
    <s v="Actual"/>
    <x v="0"/>
    <m/>
    <s v="IGCC"/>
    <s v="Payroll Mar"/>
    <n v="187725"/>
    <s v="N/A"/>
    <s v="N/A"/>
    <s v="N/A"/>
    <s v="Mar"/>
    <n v="2026"/>
  </r>
  <r>
    <n v="6"/>
    <x v="1"/>
    <x v="5"/>
    <s v="Actual"/>
    <x v="0"/>
    <m/>
    <s v="IGCC"/>
    <s v="Payroll Mar"/>
    <n v="18837"/>
    <s v="N/A"/>
    <s v="N/A"/>
    <s v="N/A"/>
    <s v="Mar"/>
    <n v="2026"/>
  </r>
  <r>
    <n v="7"/>
    <x v="2"/>
    <x v="6"/>
    <s v="Actual"/>
    <x v="0"/>
    <m/>
    <s v="IGCC"/>
    <s v="Payroll Mar"/>
    <n v="112309"/>
    <s v="N/A"/>
    <s v="N/A"/>
    <s v="N/A"/>
    <s v="Mar"/>
    <n v="2026"/>
  </r>
  <r>
    <n v="8"/>
    <x v="2"/>
    <x v="7"/>
    <s v="Actual"/>
    <x v="0"/>
    <m/>
    <s v="IGCC"/>
    <s v="Payroll Mar"/>
    <n v="88468"/>
    <s v="N/A"/>
    <s v="N/A"/>
    <s v="N/A"/>
    <s v="Mar"/>
    <n v="2026"/>
  </r>
  <r>
    <n v="9"/>
    <x v="3"/>
    <x v="8"/>
    <s v="Actual"/>
    <x v="0"/>
    <m/>
    <s v="IGCC"/>
    <s v="Payroll Mar"/>
    <n v="98441"/>
    <s v="N/A"/>
    <s v="N/A"/>
    <s v="N/A"/>
    <s v="Mar"/>
    <n v="2026"/>
  </r>
  <r>
    <n v="10"/>
    <x v="4"/>
    <x v="9"/>
    <s v="Actual"/>
    <x v="0"/>
    <m/>
    <s v="IGCC"/>
    <s v="Payroll Mar"/>
    <n v="55208"/>
    <s v="N/A"/>
    <s v="N/A"/>
    <s v="N/A"/>
    <s v="Mar"/>
    <n v="2026"/>
  </r>
  <r>
    <n v="11"/>
    <x v="5"/>
    <x v="10"/>
    <s v="Actual"/>
    <x v="0"/>
    <m/>
    <s v="IGCC"/>
    <s v="Payroll Mar"/>
    <n v="27680"/>
    <s v="N/A"/>
    <s v="N/A"/>
    <s v="N/A"/>
    <s v="Mar"/>
    <n v="2026"/>
  </r>
  <r>
    <n v="12"/>
    <x v="5"/>
    <x v="11"/>
    <s v="Actual"/>
    <x v="0"/>
    <m/>
    <s v="IGCC"/>
    <s v="Payroll Mar"/>
    <n v="48217"/>
    <s v="N/A"/>
    <s v="N/A"/>
    <s v="N/A"/>
    <s v="Mar"/>
    <n v="2026"/>
  </r>
  <r>
    <n v="13"/>
    <x v="6"/>
    <x v="12"/>
    <s v="Actual"/>
    <x v="0"/>
    <m/>
    <s v="IGCC"/>
    <s v="Payroll Mar"/>
    <n v="64126"/>
    <s v="N/A"/>
    <s v="N/A"/>
    <s v="N/A"/>
    <s v="Mar"/>
    <n v="2026"/>
  </r>
  <r>
    <n v="14"/>
    <x v="6"/>
    <x v="13"/>
    <s v="Actual"/>
    <x v="0"/>
    <m/>
    <s v="IGCC"/>
    <s v="Payroll Mar"/>
    <n v="13852"/>
    <s v="N/A"/>
    <s v="N/A"/>
    <s v="N/A"/>
    <s v="Mar"/>
    <n v="2026"/>
  </r>
  <r>
    <n v="15"/>
    <x v="6"/>
    <x v="14"/>
    <s v="Actual"/>
    <x v="0"/>
    <m/>
    <s v="IGCC"/>
    <s v="Payroll Mar"/>
    <n v="27177"/>
    <s v="N/A"/>
    <s v="N/A"/>
    <s v="N/A"/>
    <s v="Mar"/>
    <n v="2026"/>
  </r>
  <r>
    <n v="16"/>
    <x v="6"/>
    <x v="15"/>
    <s v="Actual"/>
    <x v="0"/>
    <m/>
    <s v="IGCC"/>
    <s v="Payroll Mar"/>
    <n v="1861"/>
    <s v="N/A"/>
    <s v="N/A"/>
    <s v="N/A"/>
    <s v="Mar"/>
    <n v="2026"/>
  </r>
  <r>
    <n v="17"/>
    <x v="6"/>
    <x v="16"/>
    <s v="Actual"/>
    <x v="0"/>
    <m/>
    <s v="IGCC"/>
    <s v="Payroll Mar"/>
    <n v="66041"/>
    <s v="N/A"/>
    <s v="N/A"/>
    <s v="N/A"/>
    <s v="Mar"/>
    <n v="2026"/>
  </r>
  <r>
    <n v="18"/>
    <x v="6"/>
    <x v="17"/>
    <s v="Actual"/>
    <x v="0"/>
    <m/>
    <s v="IGCC"/>
    <s v="Payroll Mar"/>
    <n v="87534"/>
    <s v="N/A"/>
    <s v="N/A"/>
    <s v="N/A"/>
    <s v="Mar"/>
    <n v="2026"/>
  </r>
  <r>
    <n v="19"/>
    <x v="6"/>
    <x v="18"/>
    <s v="Actual"/>
    <x v="0"/>
    <m/>
    <s v="IGCC"/>
    <s v="Payroll Mar"/>
    <n v="15846"/>
    <s v="N/A"/>
    <s v="N/A"/>
    <s v="N/A"/>
    <s v="Mar"/>
    <n v="2026"/>
  </r>
  <r>
    <n v="20"/>
    <x v="6"/>
    <x v="19"/>
    <s v="Actual"/>
    <x v="0"/>
    <m/>
    <s v="IGCC"/>
    <s v="Payroll Mar"/>
    <n v="200622"/>
    <s v="N/A"/>
    <s v="N/A"/>
    <s v="N/A"/>
    <s v="Mar"/>
    <n v="2026"/>
  </r>
  <r>
    <n v="21"/>
    <x v="6"/>
    <x v="20"/>
    <s v="Actual"/>
    <x v="0"/>
    <m/>
    <s v="IGCC"/>
    <s v="Payroll Mar"/>
    <n v="3598"/>
    <s v="N/A"/>
    <s v="N/A"/>
    <s v="N/A"/>
    <s v="Mar"/>
    <n v="2026"/>
  </r>
  <r>
    <n v="22"/>
    <x v="7"/>
    <x v="21"/>
    <s v="Actual"/>
    <x v="0"/>
    <m/>
    <s v="IGCC"/>
    <s v="Payroll Mar"/>
    <n v="245681"/>
    <s v="N/A"/>
    <s v="N/A"/>
    <s v="N/A"/>
    <s v="Mar"/>
    <n v="2026"/>
  </r>
  <r>
    <n v="23"/>
    <x v="3"/>
    <x v="8"/>
    <s v="Actual"/>
    <x v="0"/>
    <m/>
    <s v="IGCC"/>
    <s v="Off Payroll Mar"/>
    <n v="9500"/>
    <s v="N/A"/>
    <s v="N/A"/>
    <s v="N/A"/>
    <s v="Mar"/>
    <n v="2026"/>
  </r>
  <r>
    <n v="24"/>
    <x v="3"/>
    <x v="8"/>
    <s v="Actual"/>
    <x v="0"/>
    <m/>
    <s v="IGCC"/>
    <s v="Mar 26 transport allowance"/>
    <n v="20184"/>
    <s v="N/A"/>
    <s v="N/A"/>
    <s v="N/A"/>
    <s v="Mar"/>
    <n v="2026"/>
  </r>
  <r>
    <n v="25"/>
    <x v="8"/>
    <x v="22"/>
    <s v="Actual"/>
    <x v="0"/>
    <m/>
    <s v="IGCC"/>
    <s v="Management Payroll"/>
    <n v="83000"/>
    <s v="N/A"/>
    <s v="N/A"/>
    <s v="N/A"/>
    <s v="Mar"/>
    <n v="2026"/>
  </r>
  <r>
    <n v="26"/>
    <x v="6"/>
    <x v="18"/>
    <s v="Accrual"/>
    <x v="1"/>
    <m/>
    <s v="LOGISTIC EXPRESS"/>
    <s v="DHL / Courier Fees / Shipping"/>
    <n v="2922.0779220779223"/>
    <s v="N/A"/>
    <s v="N/A"/>
    <s v="N/A"/>
    <s v="Mar"/>
    <n v="2026"/>
  </r>
  <r>
    <n v="27"/>
    <x v="7"/>
    <x v="21"/>
    <s v="Accrual"/>
    <x v="1"/>
    <m/>
    <s v="LOGISTIC EXPRESS"/>
    <s v="DHL / Courier Fees / Shipping"/>
    <n v="2532.4675324675327"/>
    <s v="N/A"/>
    <s v="N/A"/>
    <s v="N/A"/>
    <s v="Mar"/>
    <n v="2026"/>
  </r>
  <r>
    <n v="28"/>
    <x v="6"/>
    <x v="18"/>
    <s v="Accrual"/>
    <x v="1"/>
    <m/>
    <s v="LOGISTIC EXPRESS"/>
    <s v="DHL / Courier Fees / Shipping"/>
    <n v="1298.7012987012988"/>
    <s v="N/A"/>
    <s v="N/A"/>
    <s v="N/A"/>
    <s v="Mar"/>
    <n v="2026"/>
  </r>
  <r>
    <n v="29"/>
    <x v="6"/>
    <x v="18"/>
    <s v="Accrual"/>
    <x v="1"/>
    <m/>
    <s v="Radix General Trading Co"/>
    <s v="DHL / Courier Fees / Shipping"/>
    <n v="8571.4285714285706"/>
    <s v="N/A"/>
    <s v="N/A"/>
    <s v="N/A"/>
    <s v="Mar"/>
    <n v="2026"/>
  </r>
  <r>
    <n v="30"/>
    <x v="2"/>
    <x v="6"/>
    <s v="Accrual"/>
    <x v="1"/>
    <m/>
    <s v="Radix General Trading Co"/>
    <s v="DHL / Courier Fees / Shipping"/>
    <n v="8571.4285714285706"/>
    <s v="N/A"/>
    <s v="N/A"/>
    <s v="N/A"/>
    <s v="Mar"/>
    <n v="2026"/>
  </r>
  <r>
    <n v="31"/>
    <x v="6"/>
    <x v="18"/>
    <s v="Accrual"/>
    <x v="1"/>
    <m/>
    <s v="Radix General Trading Co"/>
    <s v="DHL / Courier Fees / Shipping"/>
    <n v="8571.4285714285706"/>
    <s v="N/A"/>
    <s v="N/A"/>
    <s v="N/A"/>
    <s v="Mar"/>
    <n v="2026"/>
  </r>
  <r>
    <n v="32"/>
    <x v="7"/>
    <x v="21"/>
    <s v="Accrual"/>
    <x v="1"/>
    <m/>
    <s v="Radix General Trading Co"/>
    <s v="DHL / Courier Fees / Shipping"/>
    <n v="8571.4285714285706"/>
    <s v="N/A"/>
    <s v="N/A"/>
    <s v="N/A"/>
    <s v="Mar"/>
    <n v="2026"/>
  </r>
  <r>
    <n v="33"/>
    <x v="6"/>
    <x v="18"/>
    <s v="Accrual"/>
    <x v="1"/>
    <m/>
    <s v="Radix General Trading Co"/>
    <s v="DHL / Courier Fees / Shipping"/>
    <n v="8571.4285714285706"/>
    <s v="N/A"/>
    <s v="N/A"/>
    <s v="N/A"/>
    <s v="Mar"/>
    <n v="2026"/>
  </r>
  <r>
    <n v="34"/>
    <x v="9"/>
    <x v="23"/>
    <s v="Actual"/>
    <x v="2"/>
    <m/>
    <s v="Petty Cash"/>
    <s v="اكراميات وعشائر"/>
    <n v="594.80519480519479"/>
    <s v="##"/>
    <d v="2026-02-28T00:00:00"/>
    <s v="N/A"/>
    <s v="Mar"/>
    <n v="2026"/>
  </r>
  <r>
    <n v="35"/>
    <x v="4"/>
    <x v="9"/>
    <s v="Actual"/>
    <x v="2"/>
    <m/>
    <s v="Petty Cash"/>
    <s v="ROOG-check point salary"/>
    <n v="487.01298701298703"/>
    <s v="##"/>
    <d v="2026-03-15T00:00:00"/>
    <s v="N/A"/>
    <s v="Mar"/>
    <n v="2026"/>
  </r>
  <r>
    <n v="36"/>
    <x v="4"/>
    <x v="9"/>
    <s v="Actual"/>
    <x v="2"/>
    <m/>
    <s v="Petty Cash"/>
    <s v="ROOG-check point salary"/>
    <n v="974.02597402597405"/>
    <s v="##"/>
    <d v="2026-11-03T00:00:00"/>
    <s v="N/A"/>
    <s v="Mar"/>
    <n v="2026"/>
  </r>
  <r>
    <n v="37"/>
    <x v="4"/>
    <x v="9"/>
    <s v="Actual"/>
    <x v="2"/>
    <m/>
    <s v="Petty Cash"/>
    <s v="ROOG-check point salary"/>
    <n v="324.6753246753247"/>
    <s v="##"/>
    <d v="2026-02-03T00:00:00"/>
    <s v="N/A"/>
    <s v="Mar"/>
    <n v="2026"/>
  </r>
  <r>
    <n v="38"/>
    <x v="4"/>
    <x v="9"/>
    <s v="Actual"/>
    <x v="2"/>
    <m/>
    <s v="Petty Cash"/>
    <s v="Petty Cash for ROOG"/>
    <n v="185.06493506493507"/>
    <s v="##"/>
    <d v="2026-04-03T00:00:00"/>
    <s v="N/A"/>
    <s v="Mar"/>
    <n v="2026"/>
  </r>
  <r>
    <n v="39"/>
    <x v="7"/>
    <x v="21"/>
    <s v="Actual"/>
    <x v="2"/>
    <m/>
    <s v="Petty Cash"/>
    <s v="Total-Check point salary "/>
    <n v="324.6753246753247"/>
    <s v="##"/>
    <d v="2026-03-15T00:00:00"/>
    <s v="N/A"/>
    <s v="Mar"/>
    <n v="2026"/>
  </r>
  <r>
    <n v="40"/>
    <x v="3"/>
    <x v="8"/>
    <s v="Actual"/>
    <x v="2"/>
    <m/>
    <s v="Petty Cash"/>
    <s v="اكراميات وعشائر"/>
    <n v="2544.8051948051948"/>
    <s v="##"/>
    <d v="2026-03-28T00:00:00"/>
    <s v="N/A"/>
    <s v="Mar"/>
    <n v="2026"/>
  </r>
  <r>
    <n v="41"/>
    <x v="3"/>
    <x v="8"/>
    <s v="Actual"/>
    <x v="2"/>
    <m/>
    <s v="Petty Cash"/>
    <s v="تصاريح امنية"/>
    <n v="7928.5714285714284"/>
    <s v="##"/>
    <d v="2026-03-28T00:00:00"/>
    <s v="N/A"/>
    <s v="Mar"/>
    <n v="2026"/>
  </r>
  <r>
    <n v="42"/>
    <x v="3"/>
    <x v="8"/>
    <s v="Actual"/>
    <x v="2"/>
    <m/>
    <s v="Petty Cash"/>
    <s v="براد حافظ بطل عدد22"/>
    <n v="2357.1428571428573"/>
    <n v="45731"/>
    <d v="2026-03-15T00:00:00"/>
    <s v="N/A"/>
    <s v="Mar"/>
    <n v="2026"/>
  </r>
  <r>
    <n v="43"/>
    <x v="3"/>
    <x v="8"/>
    <s v="Actual"/>
    <x v="2"/>
    <m/>
    <s v="Petty Cash"/>
    <s v="اكراميات وعشائر - الامل"/>
    <n v="178.57142857142858"/>
    <s v="##"/>
    <d v="2026-03-15T00:00:00"/>
    <s v="N/A"/>
    <s v="Mar"/>
    <n v="2026"/>
  </r>
  <r>
    <n v="44"/>
    <x v="3"/>
    <x v="8"/>
    <s v="Actual"/>
    <x v="2"/>
    <m/>
    <s v="Petty Cash"/>
    <s v="تبرعات للايتام والفقراء Feb.26 &amp; Mar.26"/>
    <n v="1461.0389610389611"/>
    <s v="##"/>
    <d v="2026-03-18T00:00:00"/>
    <s v="N/A"/>
    <s v="Mar"/>
    <n v="2026"/>
  </r>
  <r>
    <n v="45"/>
    <x v="0"/>
    <x v="1"/>
    <s v="Actual"/>
    <x v="2"/>
    <m/>
    <s v="Petty Cash"/>
    <s v="KAZ-Check point salary "/>
    <n v="844.15584415584419"/>
    <s v="##"/>
    <d v="2026-03-15T00:00:00"/>
    <s v="N/A"/>
    <s v="Mar"/>
    <n v="2026"/>
  </r>
  <r>
    <n v="46"/>
    <x v="6"/>
    <x v="17"/>
    <s v="Actual"/>
    <x v="2"/>
    <m/>
    <s v="Petty Cash"/>
    <s v="اكراميات وعشائر"/>
    <n v="266.23376623376623"/>
    <s v="##"/>
    <d v="2026-03-28T00:00:00"/>
    <s v="N/A"/>
    <s v="Mar"/>
    <n v="2026"/>
  </r>
  <r>
    <n v="47"/>
    <x v="0"/>
    <x v="4"/>
    <s v="Actual"/>
    <x v="2"/>
    <m/>
    <s v="Petty Cash"/>
    <s v="UQ-CHECK POINT SALARY - Mar.26 &amp; Road Safety"/>
    <n v="1298.7012987012988"/>
    <s v="##"/>
    <d v="2026-12-03T00:00:00"/>
    <s v="N/A"/>
    <s v="Mar"/>
    <n v="2026"/>
  </r>
  <r>
    <n v="48"/>
    <x v="0"/>
    <x v="0"/>
    <s v="Actual"/>
    <x v="3"/>
    <m/>
    <s v="Petty Cash"/>
    <s v="Bicycle x 4ea"/>
    <n v="389.61038961038963"/>
    <n v="4327"/>
    <d v="2026-12-03T00:00:00"/>
    <s v="N/A"/>
    <s v="Mar"/>
    <n v="2026"/>
  </r>
  <r>
    <n v="49"/>
    <x v="0"/>
    <x v="0"/>
    <s v="Actual"/>
    <x v="3"/>
    <m/>
    <s v="Petty Cash"/>
    <s v="Hydraulic hand pallet truck 3 x 3ea"/>
    <n v="876.62337662337666"/>
    <n v="3896"/>
    <d v="2026-03-16T00:00:00"/>
    <s v="N/A"/>
    <s v="Mar"/>
    <n v="2026"/>
  </r>
  <r>
    <n v="50"/>
    <x v="0"/>
    <x v="0"/>
    <s v="Actual"/>
    <x v="3"/>
    <m/>
    <s v="Petty Cash"/>
    <s v="Petty Cash for BNGL"/>
    <n v="995.12987012987014"/>
    <s v="##"/>
    <d v="2026-02-23T00:00:00"/>
    <s v="N/A"/>
    <s v="Mar"/>
    <n v="2026"/>
  </r>
  <r>
    <n v="51"/>
    <x v="0"/>
    <x v="0"/>
    <s v="Actual"/>
    <x v="3"/>
    <m/>
    <s v="Petty Cash"/>
    <s v="Petty Cash for BNGL"/>
    <n v="1018.5064935064935"/>
    <s v="##"/>
    <d v="2026-03-28T00:00:00"/>
    <s v="N/A"/>
    <s v="Mar"/>
    <n v="2026"/>
  </r>
  <r>
    <n v="52"/>
    <x v="2"/>
    <x v="6"/>
    <s v="Actual"/>
    <x v="3"/>
    <m/>
    <s v="Petty Cash"/>
    <s v="1. COMPLETE ENGINE Assy. For compactor x ea / 2. Transportaion"/>
    <n v="292.20779220779218"/>
    <n v="1424"/>
    <d v="2026-03-17T00:00:00"/>
    <s v="N/A"/>
    <s v="Mar"/>
    <n v="2026"/>
  </r>
  <r>
    <n v="53"/>
    <x v="2"/>
    <x v="6"/>
    <s v="Actual"/>
    <x v="3"/>
    <m/>
    <s v="Petty Cash"/>
    <s v="Office Deskx 4ea"/>
    <n v="454.54545454545456"/>
    <n v="602"/>
    <d v="2026-03-17T00:00:00"/>
    <s v="N/A"/>
    <s v="Mar"/>
    <n v="2026"/>
  </r>
  <r>
    <n v="54"/>
    <x v="2"/>
    <x v="6"/>
    <s v="Actual"/>
    <x v="3"/>
    <m/>
    <s v="Petty Cash"/>
    <s v="1. Gutter Ridge cover 6100mm x 100mmx 1ea / 2.flashing for sandwich panel window 50mm x 80ea / 3.flashing for sandwich panel window 200mm x 120ea"/>
    <n v="319.48051948051949"/>
    <n v="420"/>
    <d v="2026-03-16T00:00:00"/>
    <s v="N/A"/>
    <s v="Mar"/>
    <n v="2026"/>
  </r>
  <r>
    <n v="55"/>
    <x v="2"/>
    <x v="6"/>
    <s v="Actual"/>
    <x v="3"/>
    <m/>
    <s v="Petty Cash"/>
    <s v="Stationary material x 45ea"/>
    <n v="110.71428571428571"/>
    <n v="37382"/>
    <d v="2026-10-03T00:00:00"/>
    <s v="N/A"/>
    <s v="Mar"/>
    <n v="2026"/>
  </r>
  <r>
    <n v="56"/>
    <x v="2"/>
    <x v="6"/>
    <s v="Actual"/>
    <x v="3"/>
    <m/>
    <s v="Petty Cash"/>
    <s v="Trie x 6ea"/>
    <n v="750"/>
    <n v="1.28"/>
    <d v="2026-03-14T00:00:00"/>
    <s v="N/A"/>
    <s v="Mar"/>
    <n v="2026"/>
  </r>
  <r>
    <n v="57"/>
    <x v="2"/>
    <x v="6"/>
    <s v="Actual"/>
    <x v="3"/>
    <m/>
    <s v="Petty Cash"/>
    <s v="Self drilling scrow different saize x 52box"/>
    <n v="168.83116883116884"/>
    <n v="3677"/>
    <d v="2026-03-17T00:00:00"/>
    <s v="N/A"/>
    <s v="Mar"/>
    <n v="2026"/>
  </r>
  <r>
    <n v="58"/>
    <x v="2"/>
    <x v="6"/>
    <s v="Actual"/>
    <x v="3"/>
    <m/>
    <s v="Petty Cash"/>
    <s v="Petty Cash for CAMP"/>
    <n v="1716.8831168831168"/>
    <s v="IGCC-00221"/>
    <d v="2026-05-03T00:00:00"/>
    <s v="N/A"/>
    <s v="Mar"/>
    <n v="2026"/>
  </r>
  <r>
    <n v="59"/>
    <x v="2"/>
    <x v="6"/>
    <s v="Actual"/>
    <x v="3"/>
    <m/>
    <s v="Petty Cash"/>
    <s v="Petty Cash for CAMP"/>
    <n v="2269.4805194805194"/>
    <s v="IGCC-00222"/>
    <d v="2026-11-03T00:00:00"/>
    <s v="N/A"/>
    <s v="Mar"/>
    <n v="2026"/>
  </r>
  <r>
    <n v="60"/>
    <x v="2"/>
    <x v="6"/>
    <s v="Actual"/>
    <x v="3"/>
    <m/>
    <s v="Petty Cash"/>
    <s v="Petty Cash for CAMP"/>
    <n v="1648.0519480519481"/>
    <s v="IGCC-00223"/>
    <d v="2026-03-24T00:00:00"/>
    <s v="N/A"/>
    <s v="Mar"/>
    <n v="2026"/>
  </r>
  <r>
    <n v="61"/>
    <x v="2"/>
    <x v="6"/>
    <s v="Actual"/>
    <x v="3"/>
    <m/>
    <s v="Petty Cash"/>
    <s v="Petty Cash for CAMP"/>
    <n v="1392.2077922077922"/>
    <s v="##"/>
    <d v="2026-03-16T00:00:00"/>
    <s v="N/A"/>
    <s v="Mar"/>
    <n v="2026"/>
  </r>
  <r>
    <n v="62"/>
    <x v="2"/>
    <x v="6"/>
    <s v="Actual"/>
    <x v="3"/>
    <m/>
    <s v="Petty Cash"/>
    <s v="1. Plastic skirting board 2800mm x 100mm x 15ea / 2. Silicone tube x 120ea"/>
    <n v="399.35064935064935"/>
    <n v="431"/>
    <d v="2026-03-30T00:00:00"/>
    <s v="N/A"/>
    <s v="Mar"/>
    <n v="2026"/>
  </r>
  <r>
    <n v="63"/>
    <x v="5"/>
    <x v="11"/>
    <s v="Actual"/>
    <x v="3"/>
    <m/>
    <s v="Petty Cash"/>
    <s v="Petty Cash foe EISP"/>
    <n v="262.01298701298703"/>
    <s v="##"/>
    <d v="2025-04-09T00:00:00"/>
    <s v="N/A"/>
    <s v="Mar"/>
    <n v="2026"/>
  </r>
  <r>
    <n v="64"/>
    <x v="0"/>
    <x v="24"/>
    <s v="Actual"/>
    <x v="3"/>
    <m/>
    <s v="Petty Cash"/>
    <s v="Petty Cash for EX"/>
    <n v="542.53246753246754"/>
    <s v="##"/>
    <d v="2026-04-03T00:00:00"/>
    <s v="N/A"/>
    <s v="Mar"/>
    <n v="2026"/>
  </r>
  <r>
    <n v="65"/>
    <x v="9"/>
    <x v="23"/>
    <s v="Actual"/>
    <x v="3"/>
    <m/>
    <s v="Petty Cash"/>
    <s v="اجرة نجار فتح وربط اثاث +اجرة عمال وسيارة لنقل الأثاث +  اجرة استبدال شرائح اتصال زين ع/3 + عاكسة كامرات +شاحنة بور لجهاز البصمة + اجرة تنظيف السكن إضافي"/>
    <n v="194.80519480519482"/>
    <s v="##"/>
    <d v="2026-09-03T00:00:00"/>
    <s v="N/A"/>
    <s v="Mar"/>
    <n v="2026"/>
  </r>
  <r>
    <n v="66"/>
    <x v="9"/>
    <x v="23"/>
    <s v="Actual"/>
    <x v="3"/>
    <m/>
    <s v="Petty Cash"/>
    <s v="أجور فتح وربط (شد) غرفه نوم من المكتب الى السكن الجديد + أجور النقل"/>
    <n v="25.974025974025974"/>
    <s v="##"/>
    <d v="2026-03-17T00:00:00"/>
    <s v="N/A"/>
    <s v="Mar"/>
    <n v="2026"/>
  </r>
  <r>
    <n v="67"/>
    <x v="4"/>
    <x v="9"/>
    <s v="Actual"/>
    <x v="3"/>
    <m/>
    <s v="Petty Cash"/>
    <s v="Petty Cash for ROOG"/>
    <n v="1298.7012987012988"/>
    <s v="##"/>
    <d v="2026-02-25T00:00:00"/>
    <s v="N/A"/>
    <s v="Mar"/>
    <n v="2026"/>
  </r>
  <r>
    <n v="68"/>
    <x v="4"/>
    <x v="9"/>
    <s v="Actual"/>
    <x v="3"/>
    <m/>
    <s v="Petty Cash"/>
    <s v="Petty Cash for ROOG"/>
    <n v="390.90909090909093"/>
    <s v="##"/>
    <d v="2026-02-25T00:00:00"/>
    <s v="N/A"/>
    <s v="Mar"/>
    <n v="2026"/>
  </r>
  <r>
    <n v="69"/>
    <x v="7"/>
    <x v="21"/>
    <s v="Actual"/>
    <x v="3"/>
    <m/>
    <s v="Petty Cash"/>
    <s v="Petty Cash for FL-Total"/>
    <n v="487.01298701298703"/>
    <s v="##"/>
    <d v="2026-10-03T00:00:00"/>
    <s v="N/A"/>
    <s v="Mar"/>
    <n v="2026"/>
  </r>
  <r>
    <n v="70"/>
    <x v="7"/>
    <x v="21"/>
    <s v="Actual"/>
    <x v="3"/>
    <m/>
    <s v="Petty Cash"/>
    <s v="Petty Cash for Total"/>
    <n v="1367.5324675324675"/>
    <s v="##"/>
    <d v="2026-03-17T00:00:00"/>
    <s v="N/A"/>
    <s v="Mar"/>
    <n v="2026"/>
  </r>
  <r>
    <n v="71"/>
    <x v="3"/>
    <x v="8"/>
    <s v="Actual"/>
    <x v="3"/>
    <m/>
    <s v="Petty Cash"/>
    <s v="كرسي بلاستك عدد 20"/>
    <n v="90.909090909090907"/>
    <n v="152931"/>
    <d v="2026-09-03T00:00:00"/>
    <s v="N/A"/>
    <s v="Mar"/>
    <n v="2026"/>
  </r>
  <r>
    <n v="72"/>
    <x v="3"/>
    <x v="8"/>
    <s v="Actual"/>
    <x v="3"/>
    <m/>
    <s v="Petty Cash"/>
    <s v="FAN Lenovo laptop x 1ea"/>
    <n v="51.948051948051948"/>
    <n v="546"/>
    <d v="2026-09-03T00:00:00"/>
    <s v="N/A"/>
    <s v="Mar"/>
    <n v="2026"/>
  </r>
  <r>
    <n v="73"/>
    <x v="3"/>
    <x v="8"/>
    <s v="Actual"/>
    <x v="3"/>
    <m/>
    <s v="Petty Cash"/>
    <s v="Petty cCash fro Lifting team"/>
    <n v="487.01298701298703"/>
    <s v="##"/>
    <d v="2026-03-29T00:00:00"/>
    <s v="N/A"/>
    <s v="Mar"/>
    <n v="2026"/>
  </r>
  <r>
    <n v="74"/>
    <x v="6"/>
    <x v="25"/>
    <s v="Actual"/>
    <x v="3"/>
    <m/>
    <s v="Petty Cash"/>
    <s v="Petty Cah for KBR"/>
    <n v="321.10389610389609"/>
    <s v="##"/>
    <d v="2025-12-15T00:00:00"/>
    <s v="N/A"/>
    <s v="Mar"/>
    <n v="2026"/>
  </r>
  <r>
    <n v="75"/>
    <x v="6"/>
    <x v="17"/>
    <s v="Actual"/>
    <x v="3"/>
    <m/>
    <s v="Petty Cash"/>
    <s v="Petty Cash for OHTL"/>
    <n v="649.35064935064941"/>
    <s v="##"/>
    <d v="2026-02-25T00:00:00"/>
    <s v="N/A"/>
    <s v="Mar"/>
    <n v="2026"/>
  </r>
  <r>
    <n v="76"/>
    <x v="6"/>
    <x v="18"/>
    <s v="Actual"/>
    <x v="3"/>
    <m/>
    <s v="Petty Cash"/>
    <s v="Data Show x 1ea"/>
    <n v="324.6753246753247"/>
    <n v="183"/>
    <d v="2026-11-03T00:00:00"/>
    <s v="N/A"/>
    <s v="Mar"/>
    <n v="2026"/>
  </r>
  <r>
    <n v="77"/>
    <x v="6"/>
    <x v="18"/>
    <s v="Actual"/>
    <x v="3"/>
    <m/>
    <s v="Petty Cash"/>
    <s v="Petty Cash for PWRI"/>
    <n v="978.57142857142856"/>
    <s v="##"/>
    <d v="2026-02-15T00:00:00"/>
    <s v="N/A"/>
    <s v="Mar"/>
    <n v="2026"/>
  </r>
  <r>
    <n v="78"/>
    <x v="6"/>
    <x v="18"/>
    <s v="Actual"/>
    <x v="3"/>
    <m/>
    <s v="Petty Cash"/>
    <s v="Petty Cash for PWRI"/>
    <n v="721.42857142857144"/>
    <s v="##"/>
    <d v="2026-02-25T00:00:00"/>
    <s v="N/A"/>
    <s v="Mar"/>
    <n v="2026"/>
  </r>
  <r>
    <n v="79"/>
    <x v="6"/>
    <x v="19"/>
    <s v="Actual"/>
    <x v="3"/>
    <m/>
    <s v="Petty Cash"/>
    <s v="Petty Cash for PWRI2"/>
    <n v="1193.1818181818182"/>
    <s v="##"/>
    <d v="2026-03-29T00:00:00"/>
    <s v="N/A"/>
    <s v="Mar"/>
    <n v="2026"/>
  </r>
  <r>
    <n v="80"/>
    <x v="6"/>
    <x v="19"/>
    <s v="Actual"/>
    <x v="3"/>
    <m/>
    <s v="Petty Cash"/>
    <s v="Petty Cash for PWRI2"/>
    <n v="968.01948051948057"/>
    <s v="##"/>
    <d v="2026-05-03T00:00:00"/>
    <s v="N/A"/>
    <s v="Mar"/>
    <n v="2026"/>
  </r>
  <r>
    <n v="81"/>
    <x v="6"/>
    <x v="19"/>
    <s v="Actual"/>
    <x v="3"/>
    <m/>
    <s v="Petty Cash"/>
    <s v="Consumable tools x 12ea"/>
    <n v="525.97402597402595"/>
    <n v="4815"/>
    <d v="2026-03-29T00:00:00"/>
    <s v="N/A"/>
    <s v="Mar"/>
    <n v="2026"/>
  </r>
  <r>
    <n v="82"/>
    <x v="6"/>
    <x v="20"/>
    <s v="Actual"/>
    <x v="3"/>
    <m/>
    <s v="Petty Cash"/>
    <s v="Petty Cash for QA"/>
    <n v="716.88311688311683"/>
    <s v="##"/>
    <d v="2026-10-03T00:00:00"/>
    <s v="N/A"/>
    <s v="Mar"/>
    <n v="2026"/>
  </r>
  <r>
    <n v="83"/>
    <x v="0"/>
    <x v="26"/>
    <s v="Actual"/>
    <x v="3"/>
    <m/>
    <s v="Petty Cash"/>
    <s v="Petty Cash for NGL"/>
    <n v="818.18181818181813"/>
    <s v="##"/>
    <d v="2026-02-25T00:00:00"/>
    <s v="N/A"/>
    <s v="Mar"/>
    <n v="2026"/>
  </r>
  <r>
    <n v="84"/>
    <x v="0"/>
    <x v="26"/>
    <s v="Actual"/>
    <x v="3"/>
    <m/>
    <s v="Petty Cash"/>
    <s v="Petty Cash for NGL"/>
    <n v="4321.4285714285716"/>
    <s v="##"/>
    <d v="2026-07-03T00:00:00"/>
    <s v="N/A"/>
    <s v="Mar"/>
    <n v="2026"/>
  </r>
  <r>
    <n v="85"/>
    <x v="0"/>
    <x v="4"/>
    <s v="Actual"/>
    <x v="3"/>
    <m/>
    <s v="Petty Cash"/>
    <s v="Office Chair x 1ea"/>
    <n v="120.12987012987013"/>
    <n v="603"/>
    <d v="2026-03-17T00:00:00"/>
    <s v="N/A"/>
    <s v="Mar"/>
    <n v="2026"/>
  </r>
  <r>
    <n v="86"/>
    <x v="0"/>
    <x v="4"/>
    <s v="Actual"/>
    <x v="3"/>
    <m/>
    <s v="Petty Cash"/>
    <s v="Monitor 27&quot; / (LG) x 2ea"/>
    <n v="220.77922077922079"/>
    <n v="286"/>
    <d v="2026-03-17T00:00:00"/>
    <s v="N/A"/>
    <s v="Mar"/>
    <n v="2026"/>
  </r>
  <r>
    <n v="87"/>
    <x v="0"/>
    <x v="4"/>
    <s v="Actual"/>
    <x v="3"/>
    <m/>
    <s v="Petty Cash"/>
    <s v="Petty Cash for UQ"/>
    <n v="1927.2727272727273"/>
    <s v="##"/>
    <d v="2026-04-03T00:00:00"/>
    <s v="N/A"/>
    <s v="Mar"/>
    <n v="2026"/>
  </r>
  <r>
    <n v="88"/>
    <x v="0"/>
    <x v="4"/>
    <s v="Actual"/>
    <x v="3"/>
    <m/>
    <s v="Petty Cash"/>
    <s v="Petty Cash for UQ"/>
    <n v="2066.8831168831171"/>
    <s v="##"/>
    <d v="2026-03-29T00:00:00"/>
    <s v="N/A"/>
    <s v="Mar"/>
    <n v="2026"/>
  </r>
  <r>
    <n v="89"/>
    <x v="6"/>
    <x v="27"/>
    <s v="Actual"/>
    <x v="3"/>
    <m/>
    <s v="Petty Cash"/>
    <s v="Petty Cash for WOD"/>
    <n v="1901.7857142857142"/>
    <s v="##"/>
    <d v="2026-03-28T00:00:00"/>
    <s v="N/A"/>
    <s v="Mar"/>
    <n v="2026"/>
  </r>
  <r>
    <n v="90"/>
    <x v="10"/>
    <x v="28"/>
    <s v="Actual"/>
    <x v="4"/>
    <m/>
    <s v="Petty Cash"/>
    <s v="Advance salary Mar.26"/>
    <n v="3023.0519480519479"/>
    <s v="##"/>
    <d v="2026-03-18T00:00:00"/>
    <s v="N/A"/>
    <s v="Mar"/>
    <n v="2026"/>
  </r>
  <r>
    <n v="91"/>
    <x v="3"/>
    <x v="8"/>
    <s v="Actual"/>
    <x v="4"/>
    <m/>
    <s v="Petty Cash"/>
    <s v="Bonus from HA"/>
    <n v="324.6753246753247"/>
    <s v="##"/>
    <d v="2026-03-18T00:00:00"/>
    <s v="N/A"/>
    <s v="Mar"/>
    <n v="2026"/>
  </r>
  <r>
    <n v="92"/>
    <x v="3"/>
    <x v="8"/>
    <s v="Actual"/>
    <x v="4"/>
    <m/>
    <s v="Petty Cash"/>
    <s v="Final dues - OV - 2021"/>
    <n v="1352.5974025974026"/>
    <s v="##"/>
    <d v="2026-01-03T00:00:00"/>
    <s v="N/A"/>
    <s v="Mar"/>
    <n v="2026"/>
  </r>
  <r>
    <n v="93"/>
    <x v="3"/>
    <x v="8"/>
    <s v="Actual"/>
    <x v="4"/>
    <m/>
    <s v="Petty Cash"/>
    <s v="OV for finance team - Oct.26"/>
    <n v="3019.4805194805194"/>
    <s v="##"/>
    <d v="2026-04-03T00:00:00"/>
    <s v="N/A"/>
    <s v="Mar"/>
    <n v="2026"/>
  </r>
  <r>
    <n v="94"/>
    <x v="3"/>
    <x v="8"/>
    <s v="Actual"/>
    <x v="4"/>
    <m/>
    <s v="Petty Cash"/>
    <s v="Advance salary Mar.26"/>
    <n v="592.20779220779218"/>
    <s v="##"/>
    <d v="2026-12-03T00:00:00"/>
    <s v="N/A"/>
    <s v="Mar"/>
    <n v="2026"/>
  </r>
  <r>
    <n v="95"/>
    <x v="3"/>
    <x v="8"/>
    <s v="Actual"/>
    <x v="4"/>
    <m/>
    <s v="Petty Cash"/>
    <s v="Advance salary Mar.26"/>
    <n v="576.62337662337666"/>
    <s v="##"/>
    <d v="2026-01-03T00:00:00"/>
    <s v="N/A"/>
    <s v="Mar"/>
    <n v="2026"/>
  </r>
  <r>
    <n v="96"/>
    <x v="3"/>
    <x v="8"/>
    <s v="Actual"/>
    <x v="4"/>
    <m/>
    <s v="Petty Cash"/>
    <s v="Different Salary for Nov.25"/>
    <n v="98.701298701298697"/>
    <s v="##"/>
    <d v="2026-03-29T00:00:00"/>
    <s v="N/A"/>
    <s v="Mar"/>
    <n v="2026"/>
  </r>
  <r>
    <n v="97"/>
    <x v="3"/>
    <x v="8"/>
    <s v="Actual"/>
    <x v="4"/>
    <m/>
    <s v="Petty Cash"/>
    <s v="Different Salary for Nov.25"/>
    <n v="111.03896103896103"/>
    <s v="##"/>
    <d v="2026-03-31T00:00:00"/>
    <s v="N/A"/>
    <s v="Mar"/>
    <n v="2026"/>
  </r>
  <r>
    <n v="98"/>
    <x v="6"/>
    <x v="19"/>
    <s v="Actual"/>
    <x v="4"/>
    <m/>
    <s v="Petty Cash"/>
    <s v="Manpower x 7personal"/>
    <n v="649.35064935064941"/>
    <s v="##"/>
    <d v="2026-03-29T00:00:00"/>
    <s v="N/A"/>
    <s v="Mar"/>
    <n v="2026"/>
  </r>
  <r>
    <n v="99"/>
    <x v="2"/>
    <x v="6"/>
    <s v="Actual"/>
    <x v="1"/>
    <m/>
    <s v="Petty Cash"/>
    <s v="Shipping Baghdad - Basra"/>
    <n v="42.20779220779221"/>
    <s v="##"/>
    <d v="2026-09-03T00:00:00"/>
    <s v="N/A"/>
    <s v="Mar"/>
    <n v="2026"/>
  </r>
  <r>
    <n v="100"/>
    <x v="7"/>
    <x v="21"/>
    <s v="Actual"/>
    <x v="1"/>
    <m/>
    <s v="Petty Cash"/>
    <s v="Shipping basra - dubai - basra ( Govinda )"/>
    <n v="13655.844155844155"/>
    <s v="6399088194-772257191-7612276862-1666318964-6691830176"/>
    <d v="2026-03-28T00:00:00"/>
    <s v="N/A"/>
    <s v="Mar"/>
    <n v="2026"/>
  </r>
  <r>
    <n v="101"/>
    <x v="7"/>
    <x v="21"/>
    <s v="Actual"/>
    <x v="1"/>
    <m/>
    <s v="Petty Cash"/>
    <s v="Shipping Baghdad - Basra"/>
    <n v="51.948051948051948"/>
    <s v="16/3/2026"/>
    <d v="2026-02-14T00:00:00"/>
    <s v="N/A"/>
    <s v="Mar"/>
    <n v="2026"/>
  </r>
  <r>
    <n v="102"/>
    <x v="7"/>
    <x v="21"/>
    <s v="Actual"/>
    <x v="3"/>
    <m/>
    <s v="Petty Cash"/>
    <s v="Food &amp; Meal for Total-FL"/>
    <n v="1128.5714285714287"/>
    <s v="##"/>
    <d v="2026-04-03T00:00:00"/>
    <s v="N/A"/>
    <s v="Mar"/>
    <n v="2026"/>
  </r>
  <r>
    <n v="103"/>
    <x v="7"/>
    <x v="21"/>
    <s v="Actual"/>
    <x v="3"/>
    <m/>
    <s v="Petty Cash"/>
    <s v="Food &amp; Meal for Total-FL"/>
    <n v="1106.4935064935064"/>
    <s v="##"/>
    <d v="2026-03-31T00:00:00"/>
    <s v="N/A"/>
    <s v="Mar"/>
    <n v="2026"/>
  </r>
  <r>
    <n v="104"/>
    <x v="3"/>
    <x v="8"/>
    <s v="Actual"/>
    <x v="5"/>
    <m/>
    <s v="Petty Cash"/>
    <s v="Difesel 1000LTR for Istqlal"/>
    <n v="454.54545454545456"/>
    <s v="##"/>
    <d v="2026-09-03T00:00:00"/>
    <s v="N/A"/>
    <s v="Mar"/>
    <n v="2026"/>
  </r>
  <r>
    <n v="105"/>
    <x v="3"/>
    <x v="8"/>
    <s v="Actual"/>
    <x v="5"/>
    <m/>
    <s v="Petty Cash"/>
    <s v="Diesel for Mar.26"/>
    <n v="116.88311688311688"/>
    <s v="##"/>
    <d v="2026-03-15T00:00:00"/>
    <s v="N/A"/>
    <s v="Mar"/>
    <n v="2026"/>
  </r>
  <r>
    <n v="106"/>
    <x v="3"/>
    <x v="8"/>
    <s v="Actual"/>
    <x v="6"/>
    <m/>
    <s v="Petty Cash"/>
    <s v="بدل ايجار للايام ( 10/2 و 26/2 - 5/3 )"/>
    <n v="719.48051948051943"/>
    <s v="303-304"/>
    <d v="2026-03-24T00:00:00"/>
    <s v="N/A"/>
    <s v="Mar"/>
    <n v="2026"/>
  </r>
  <r>
    <n v="107"/>
    <x v="3"/>
    <x v="8"/>
    <s v="Actual"/>
    <x v="4"/>
    <m/>
    <s v="Petty Cash"/>
    <s v="Tax for IGCC Company"/>
    <n v="649.35064935064941"/>
    <s v="##"/>
    <d v="2026-04-03T00:00:00"/>
    <s v="N/A"/>
    <s v="Mar"/>
    <n v="2026"/>
  </r>
  <r>
    <n v="108"/>
    <x v="6"/>
    <x v="19"/>
    <s v="Actual"/>
    <x v="4"/>
    <m/>
    <s v="Petty Cash"/>
    <s v="Scaffolding approval plans"/>
    <n v="681.81818181818187"/>
    <s v="468-457"/>
    <d v="2026-03-15T00:00:00"/>
    <s v="N/A"/>
    <s v="Mar"/>
    <n v="2026"/>
  </r>
  <r>
    <n v="109"/>
    <x v="6"/>
    <x v="19"/>
    <s v="Actual"/>
    <x v="4"/>
    <m/>
    <s v="Petty Cash"/>
    <s v="Scaffolding approval plans"/>
    <n v="194.80519480519482"/>
    <n v="67"/>
    <d v="2026-03-15T00:00:00"/>
    <s v="N/A"/>
    <s v="Mar"/>
    <n v="2026"/>
  </r>
  <r>
    <n v="110"/>
    <x v="10"/>
    <x v="28"/>
    <s v="Actual"/>
    <x v="7"/>
    <m/>
    <s v="Petty Cash"/>
    <s v="Taxi Basra - Baghdad"/>
    <n v="259.74025974025972"/>
    <s v="##"/>
    <d v="2026-03-18T00:00:00"/>
    <s v="N/A"/>
    <s v="Mar"/>
    <n v="2026"/>
  </r>
  <r>
    <n v="111"/>
    <x v="4"/>
    <x v="9"/>
    <s v="Actual"/>
    <x v="7"/>
    <m/>
    <s v="Petty Cash"/>
    <s v="Rental Car- Pickup for Oct-Nov.25"/>
    <n v="1298.7012987012988"/>
    <s v="##"/>
    <d v="2026-03-15T00:00:00"/>
    <s v="N/A"/>
    <s v="Mar"/>
    <n v="2026"/>
  </r>
  <r>
    <n v="112"/>
    <x v="6"/>
    <x v="19"/>
    <s v="Actual"/>
    <x v="7"/>
    <m/>
    <s v="Petty Cash"/>
    <s v="Slate forklift rental from 16Jan.26 - 16Feb.26"/>
    <n v="6038.9610389610389"/>
    <s v="##"/>
    <d v="2026-02-28T00:00:00"/>
    <s v="N/A"/>
    <s v="Mar"/>
    <n v="2026"/>
  </r>
  <r>
    <n v="113"/>
    <x v="6"/>
    <x v="20"/>
    <s v="Actual"/>
    <x v="7"/>
    <m/>
    <s v="Petty Cash"/>
    <s v="Rental Car- Pickup for Oct-Nov.25"/>
    <n v="1298.7012987012988"/>
    <s v="##"/>
    <d v="2026-03-15T00:00:00"/>
    <s v="N/A"/>
    <s v="Mar"/>
    <n v="2026"/>
  </r>
  <r>
    <n v="114"/>
    <x v="9"/>
    <x v="23"/>
    <s v="Actual"/>
    <x v="8"/>
    <m/>
    <s v="Petty Cash"/>
    <s v="Rent a car with a driver for a month"/>
    <n v="779.22077922077926"/>
    <n v="2713"/>
    <d v="2026-07-03T00:00:00"/>
    <s v="N/A"/>
    <s v="Mar"/>
    <n v="2026"/>
  </r>
  <r>
    <n v="115"/>
    <x v="9"/>
    <x v="23"/>
    <s v="Actual"/>
    <x v="8"/>
    <m/>
    <s v="Petty Cash"/>
    <s v="تأجير سيارة بيكب خارجي لزيارة حقل باي حسن ومقالع السبيس"/>
    <n v="38.961038961038959"/>
    <n v="2714"/>
    <d v="2026-09-03T00:00:00"/>
    <s v="N/A"/>
    <s v="Mar"/>
    <n v="2026"/>
  </r>
  <r>
    <n v="116"/>
    <x v="9"/>
    <x v="23"/>
    <s v="Actual"/>
    <x v="8"/>
    <m/>
    <s v="Petty Cash"/>
    <s v="اجرة تكسي للمشتريات لشراء وربط بردات البيت السكن+ ربط الكامرات + متابعة تعمير البيت السكن+شراء ونقل تلفزيون"/>
    <n v="16.233766233766232"/>
    <s v="##"/>
    <d v="2026-03-14T00:00:00"/>
    <s v="N/A"/>
    <s v="Mar"/>
    <n v="2026"/>
  </r>
  <r>
    <n v="117"/>
    <x v="9"/>
    <x v="23"/>
    <s v="Actual"/>
    <x v="8"/>
    <m/>
    <s v="Petty Cash"/>
    <s v="أجور سيارة للتنقل المشتريات من المكتب الى مشتل محمد + معمل الكاونتر + البيت السكن+ "/>
    <n v="16.233766233766232"/>
    <s v="##"/>
    <d v="2026-03-17T00:00:00"/>
    <s v="N/A"/>
    <s v="Mar"/>
    <n v="2026"/>
  </r>
  <r>
    <n v="118"/>
    <x v="9"/>
    <x v="23"/>
    <s v="Actual"/>
    <x v="3"/>
    <m/>
    <s v="Petty Cash"/>
    <s v=" شراء رف مشبك ستيل 120*25 + ميز ستيل قياس 2 متر + اجرة النقل "/>
    <n v="340.90909090909093"/>
    <n v="434"/>
    <d v="2025-03-18T00:00:00"/>
    <s v="N/A"/>
    <s v="Mar"/>
    <n v="2026"/>
  </r>
  <r>
    <n v="119"/>
    <x v="0"/>
    <x v="0"/>
    <s v="Actual"/>
    <x v="4"/>
    <m/>
    <s v="Petty Cash"/>
    <s v="emerjency - BNGL"/>
    <n v="374.02597402597405"/>
    <s v="##"/>
    <d v="2026-03-15T00:00:00"/>
    <s v="N/A"/>
    <s v="Mar"/>
    <n v="2026"/>
  </r>
  <r>
    <n v="120"/>
    <x v="9"/>
    <x v="23"/>
    <s v="Actual"/>
    <x v="4"/>
    <m/>
    <s v="Petty Cash"/>
    <s v="مطاط احاديAR+جلد النمر سندانه ابيض80AT+دارسينيا + زامبيا+شمدوريا+كلانشوة+رجل البط+سنادين+لافسون"/>
    <n v="64.935064935064929"/>
    <n v="195013"/>
    <d v="2026-03-17T00:00:00"/>
    <s v="N/A"/>
    <s v="Mar"/>
    <n v="2026"/>
  </r>
  <r>
    <n v="121"/>
    <x v="9"/>
    <x v="23"/>
    <s v="Actual"/>
    <x v="9"/>
    <m/>
    <s v="Petty Cash"/>
    <s v="شراء صبغ وايزوكام وجص وجير وستن وغاز واجرة العمل لتصليح رطوبة جدار السكن"/>
    <n v="389.61038961038963"/>
    <n v="20"/>
    <d v="2026-03-14T00:00:00"/>
    <s v="N/A"/>
    <s v="Mar"/>
    <n v="2026"/>
  </r>
  <r>
    <n v="122"/>
    <x v="3"/>
    <x v="8"/>
    <s v="Actual"/>
    <x v="9"/>
    <m/>
    <s v="Petty Cash"/>
    <s v="Maintenance for basra office &amp; Staff residence"/>
    <n v="1071.4285714285713"/>
    <s v="##"/>
    <d v="2026-03-15T00:00:00"/>
    <s v="N/A"/>
    <s v="Mar"/>
    <n v="2026"/>
  </r>
  <r>
    <n v="123"/>
    <x v="10"/>
    <x v="28"/>
    <s v="Actual"/>
    <x v="4"/>
    <m/>
    <s v="Petty Cash"/>
    <s v="Reactive internet"/>
    <n v="34.415584415584412"/>
    <s v="##"/>
    <d v="2026-03-30T00:00:00"/>
    <s v="N/A"/>
    <s v="Mar"/>
    <n v="2026"/>
  </r>
  <r>
    <n v="124"/>
    <x v="0"/>
    <x v="0"/>
    <s v="Actual"/>
    <x v="10"/>
    <m/>
    <s v="Petty Cash"/>
    <s v="Reactive internet"/>
    <n v="309.74025974025972"/>
    <s v="##"/>
    <d v="2026-03-30T00:00:00"/>
    <s v="N/A"/>
    <s v="Mar"/>
    <n v="2026"/>
  </r>
  <r>
    <n v="125"/>
    <x v="2"/>
    <x v="6"/>
    <s v="Actual"/>
    <x v="10"/>
    <m/>
    <s v="Petty Cash"/>
    <s v="Reactive internet"/>
    <n v="251.94805194805195"/>
    <s v="##"/>
    <d v="2026-03-30T00:00:00"/>
    <s v="N/A"/>
    <s v="Mar"/>
    <n v="2026"/>
  </r>
  <r>
    <n v="126"/>
    <x v="6"/>
    <x v="29"/>
    <s v="Actual"/>
    <x v="10"/>
    <m/>
    <s v="Petty Cash"/>
    <s v="Reactive internet"/>
    <n v="568.18181818181813"/>
    <s v="##"/>
    <d v="2026-03-30T00:00:00"/>
    <s v="N/A"/>
    <s v="Mar"/>
    <n v="2026"/>
  </r>
  <r>
    <n v="127"/>
    <x v="5"/>
    <x v="10"/>
    <s v="Actual"/>
    <x v="10"/>
    <m/>
    <s v="Petty Cash"/>
    <s v="Reactive internet"/>
    <n v="68.831168831168824"/>
    <s v="##"/>
    <d v="2026-03-30T00:00:00"/>
    <s v="N/A"/>
    <s v="Mar"/>
    <n v="2026"/>
  </r>
  <r>
    <n v="128"/>
    <x v="6"/>
    <x v="14"/>
    <s v="Actual"/>
    <x v="10"/>
    <m/>
    <s v="Petty Cash"/>
    <s v="Reactive internet"/>
    <n v="34.415584415584412"/>
    <s v="##"/>
    <d v="2026-03-30T00:00:00"/>
    <s v="N/A"/>
    <s v="Mar"/>
    <n v="2026"/>
  </r>
  <r>
    <n v="129"/>
    <x v="9"/>
    <x v="23"/>
    <s v="Actual"/>
    <x v="10"/>
    <m/>
    <s v="Petty Cash"/>
    <s v="أجور المولد لشهر  اذار 3 / 2026"/>
    <n v="155.84415584415584"/>
    <n v="991"/>
    <d v="2026-09-03T00:00:00"/>
    <s v="N/A"/>
    <s v="Mar"/>
    <n v="2026"/>
  </r>
  <r>
    <n v="130"/>
    <x v="9"/>
    <x v="23"/>
    <s v="Actual"/>
    <x v="10"/>
    <m/>
    <s v="Petty Cash"/>
    <s v="Reactive internet"/>
    <n v="29.220779220779221"/>
    <s v="##"/>
    <d v="2026-03-30T00:00:00"/>
    <s v="N/A"/>
    <s v="Mar"/>
    <n v="2026"/>
  </r>
  <r>
    <n v="131"/>
    <x v="4"/>
    <x v="9"/>
    <s v="Actual"/>
    <x v="10"/>
    <m/>
    <s v="Petty Cash"/>
    <s v="Reactive internet"/>
    <n v="224.67532467532467"/>
    <s v="##"/>
    <d v="2026-03-30T00:00:00"/>
    <s v="N/A"/>
    <s v="Mar"/>
    <n v="2026"/>
  </r>
  <r>
    <n v="132"/>
    <x v="7"/>
    <x v="21"/>
    <s v="Actual"/>
    <x v="10"/>
    <m/>
    <s v="Petty Cash"/>
    <s v="Reactive internet"/>
    <n v="251.94805194805195"/>
    <s v="##"/>
    <d v="2026-03-30T00:00:00"/>
    <s v="N/A"/>
    <s v="Mar"/>
    <n v="2026"/>
  </r>
  <r>
    <n v="133"/>
    <x v="3"/>
    <x v="8"/>
    <s v="Actual"/>
    <x v="4"/>
    <m/>
    <s v="Petty Cash"/>
    <s v="أجور تسديد الكهرباء لسكن الجزائر للفترة 30/1/2026 لغاية 1/3/2026"/>
    <n v="438.31168831168833"/>
    <s v="5807-5401-4800-4602-2406-5005-5609-5203"/>
    <d v="2026-09-03T00:00:00"/>
    <s v="N/A"/>
    <s v="Mar"/>
    <n v="2026"/>
  </r>
  <r>
    <n v="134"/>
    <x v="3"/>
    <x v="8"/>
    <s v="Actual"/>
    <x v="3"/>
    <m/>
    <s v="Petty Cash"/>
    <s v="Cleaner Materials"/>
    <n v="75"/>
    <s v="##"/>
    <d v="2026-03-28T00:00:00"/>
    <s v="N/A"/>
    <s v="Mar"/>
    <n v="2026"/>
  </r>
  <r>
    <n v="135"/>
    <x v="3"/>
    <x v="8"/>
    <s v="Actual"/>
    <x v="10"/>
    <m/>
    <s v="Petty Cash"/>
    <s v="Reactive internet"/>
    <n v="584.41558441558436"/>
    <s v="##"/>
    <d v="2026-03-30T00:00:00"/>
    <s v="N/A"/>
    <s v="Mar"/>
    <n v="2026"/>
  </r>
  <r>
    <n v="136"/>
    <x v="6"/>
    <x v="17"/>
    <s v="Actual"/>
    <x v="10"/>
    <m/>
    <s v="Petty Cash"/>
    <s v="Reactive internet"/>
    <n v="251.94805194805195"/>
    <s v="##"/>
    <d v="2026-03-30T00:00:00"/>
    <s v="N/A"/>
    <s v="Mar"/>
    <n v="2026"/>
  </r>
  <r>
    <n v="137"/>
    <x v="6"/>
    <x v="19"/>
    <s v="Actual"/>
    <x v="10"/>
    <m/>
    <s v="Petty Cash"/>
    <s v="Reactive internet"/>
    <n v="327.27272727272725"/>
    <s v="##"/>
    <d v="2026-03-30T00:00:00"/>
    <s v="N/A"/>
    <s v="Mar"/>
    <n v="2026"/>
  </r>
  <r>
    <n v="138"/>
    <x v="6"/>
    <x v="20"/>
    <s v="Actual"/>
    <x v="10"/>
    <m/>
    <s v="Petty Cash"/>
    <s v="Reactive internet"/>
    <n v="137.66233766233765"/>
    <s v="##"/>
    <d v="2026-03-30T00:00:00"/>
    <s v="N/A"/>
    <s v="Mar"/>
    <n v="2026"/>
  </r>
  <r>
    <n v="139"/>
    <x v="0"/>
    <x v="30"/>
    <s v="Actual"/>
    <x v="10"/>
    <m/>
    <s v="Petty Cash"/>
    <s v="Reactive internet"/>
    <n v="172.07792207792207"/>
    <s v="##"/>
    <d v="2026-03-30T00:00:00"/>
    <s v="N/A"/>
    <s v="Mar"/>
    <n v="2026"/>
  </r>
  <r>
    <n v="140"/>
    <x v="0"/>
    <x v="26"/>
    <s v="Actual"/>
    <x v="10"/>
    <m/>
    <s v="Petty Cash"/>
    <s v="Reactive internet"/>
    <n v="240.90909090909091"/>
    <s v="##"/>
    <d v="2026-03-30T00:00:00"/>
    <s v="N/A"/>
    <s v="Mar"/>
    <n v="2026"/>
  </r>
  <r>
    <n v="141"/>
    <x v="0"/>
    <x v="4"/>
    <s v="Actual"/>
    <x v="10"/>
    <m/>
    <s v="Petty Cash"/>
    <s v="Reactive internet"/>
    <n v="464.93506493506493"/>
    <s v="##"/>
    <d v="2026-03-30T00:00:00"/>
    <s v="N/A"/>
    <s v="Mar"/>
    <n v="2026"/>
  </r>
  <r>
    <n v="142"/>
    <x v="10"/>
    <x v="28"/>
    <s v="Actual"/>
    <x v="11"/>
    <m/>
    <s v="Petty Cash"/>
    <s v="TKT 2Way  Expense travel"/>
    <n v="2532.4675324675327"/>
    <s v="##"/>
    <d v="2026-03-18T00:00:00"/>
    <s v="N/A"/>
    <s v="Mar"/>
    <n v="2026"/>
  </r>
  <r>
    <n v="143"/>
    <x v="9"/>
    <x v="23"/>
    <s v="Actual"/>
    <x v="11"/>
    <m/>
    <s v="Petty Cash"/>
    <s v="Expense Claim ( Ahmed &amp; Nawar) for KRK"/>
    <n v="1298.7012987012988"/>
    <s v="##"/>
    <d v="2026-03-31T00:00:00"/>
    <s v="N/A"/>
    <s v="Mar"/>
    <n v="2026"/>
  </r>
  <r>
    <n v="144"/>
    <x v="3"/>
    <x v="8"/>
    <s v="Actual"/>
    <x v="11"/>
    <m/>
    <s v="Petty Cash"/>
    <s v="Pocket Money for Baghdad"/>
    <n v="129.87012987012986"/>
    <s v="##"/>
    <d v="2026-07-03T00:00:00"/>
    <s v="N/A"/>
    <s v="Mar"/>
    <n v="2026"/>
  </r>
  <r>
    <n v="145"/>
    <x v="3"/>
    <x v="8"/>
    <s v="Actual"/>
    <x v="11"/>
    <m/>
    <s v="Petty Cash"/>
    <s v="Expense Claim"/>
    <n v="588.31168831168827"/>
    <s v="##"/>
    <d v="2026-07-03T00:00:00"/>
    <s v="N/A"/>
    <s v="Mar"/>
    <n v="2026"/>
  </r>
  <r>
    <n v="146"/>
    <x v="3"/>
    <x v="8"/>
    <s v="Actual"/>
    <x v="11"/>
    <m/>
    <s v="Petty Cash"/>
    <s v="Expense Claim"/>
    <n v="217.53246753246754"/>
    <s v="##"/>
    <d v="2026-07-03T00:00:00"/>
    <s v="N/A"/>
    <s v="Mar"/>
    <n v="2026"/>
  </r>
  <r>
    <n v="147"/>
    <x v="3"/>
    <x v="8"/>
    <s v="Actual"/>
    <x v="11"/>
    <m/>
    <s v="Petty Cash"/>
    <s v="Pocket Money for Basra - Baghdad - Basra"/>
    <n v="519.48051948051943"/>
    <s v="##"/>
    <d v="2026-03-29T00:00:00"/>
    <s v="N/A"/>
    <s v="Mar"/>
    <n v="2026"/>
  </r>
  <r>
    <n v="148"/>
    <x v="3"/>
    <x v="8"/>
    <s v="Actual"/>
    <x v="11"/>
    <m/>
    <s v="Petty Cash"/>
    <s v="Expense Claim"/>
    <n v="360.38961038961037"/>
    <s v="##"/>
    <d v="2026-03-18T00:00:00"/>
    <s v="N/A"/>
    <s v="Mar"/>
    <n v="2026"/>
  </r>
  <r>
    <n v="149"/>
    <x v="3"/>
    <x v="8"/>
    <s v="Actual"/>
    <x v="11"/>
    <m/>
    <s v="Petty Cash"/>
    <s v="Expense Claim"/>
    <n v="298.7012987012987"/>
    <s v="##"/>
    <d v="2026-03-18T00:00:00"/>
    <s v="N/A"/>
    <s v="Mar"/>
    <n v="2026"/>
  </r>
  <r>
    <n v="150"/>
    <x v="3"/>
    <x v="8"/>
    <s v="Actual"/>
    <x v="11"/>
    <m/>
    <s v="Petty Cash"/>
    <s v="Expense Claim"/>
    <n v="38.961038961038959"/>
    <s v="##"/>
    <d v="2026-03-18T00:00:00"/>
    <s v="N/A"/>
    <s v="Mar"/>
    <n v="2026"/>
  </r>
  <r>
    <n v="151"/>
    <x v="3"/>
    <x v="8"/>
    <s v="Actual"/>
    <x v="11"/>
    <m/>
    <s v="Petty Cash"/>
    <s v="TKT for HE"/>
    <n v="1509.7402597402597"/>
    <s v="##"/>
    <d v="2026-03-18T00:00:00"/>
    <s v="N/A"/>
    <s v="Mar"/>
    <n v="2026"/>
  </r>
  <r>
    <n v="152"/>
    <x v="3"/>
    <x v="8"/>
    <s v="Actual"/>
    <x v="11"/>
    <m/>
    <s v="Petty Cash"/>
    <s v="TKT Amman - Egypt"/>
    <n v="487.01298701298703"/>
    <s v="##"/>
    <d v="2026-03-18T00:00:00"/>
    <s v="N/A"/>
    <s v="Mar"/>
    <n v="2026"/>
  </r>
  <r>
    <n v="153"/>
    <x v="2"/>
    <x v="6"/>
    <s v="Actual"/>
    <x v="5"/>
    <m/>
    <s v="IGCC"/>
    <s v="Diesel Official Mar 26"/>
    <n v="42207.792207792205"/>
    <s v="N/A"/>
    <s v="N/A"/>
    <s v="N/A"/>
    <s v="Mar"/>
    <n v="2026"/>
  </r>
  <r>
    <n v="154"/>
    <x v="0"/>
    <x v="4"/>
    <s v="Accrual"/>
    <x v="5"/>
    <m/>
    <s v="IGCC"/>
    <s v="Diesel Sites Mar 26"/>
    <n v="1948.0519480519481"/>
    <s v="N/A"/>
    <s v="N/A"/>
    <s v="N/A"/>
    <s v="Mar"/>
    <n v="2026"/>
  </r>
  <r>
    <n v="155"/>
    <x v="0"/>
    <x v="1"/>
    <s v="Accrual"/>
    <x v="5"/>
    <m/>
    <s v="IGCC"/>
    <s v="Diesel Sites Mar 26"/>
    <n v="1298.7012987012988"/>
    <s v="N/A"/>
    <s v="N/A"/>
    <s v="N/A"/>
    <s v="Mar"/>
    <n v="2026"/>
  </r>
  <r>
    <n v="156"/>
    <x v="6"/>
    <x v="19"/>
    <s v="Accrual"/>
    <x v="5"/>
    <m/>
    <s v="IGCC"/>
    <s v="Diesel Sites Mar 26"/>
    <n v="1298.7012987012988"/>
    <s v="N/A"/>
    <s v="N/A"/>
    <s v="N/A"/>
    <s v="Mar"/>
    <n v="2026"/>
  </r>
  <r>
    <n v="157"/>
    <x v="7"/>
    <x v="21"/>
    <s v="Accrual"/>
    <x v="5"/>
    <m/>
    <s v="IGCC"/>
    <s v="Diesel Sites Mar 26"/>
    <n v="4545.454545454545"/>
    <s v="N/A"/>
    <s v="N/A"/>
    <s v="N/A"/>
    <s v="Mar"/>
    <n v="2026"/>
  </r>
  <r>
    <n v="158"/>
    <x v="1"/>
    <x v="5"/>
    <s v="Actual"/>
    <x v="2"/>
    <m/>
    <s v="IGCC"/>
    <s v="Charitable Contributions"/>
    <n v="10064.935064935065"/>
    <s v="N/A"/>
    <s v="N/A"/>
    <s v="N/A"/>
    <s v="Mar"/>
    <n v="2026"/>
  </r>
  <r>
    <n v="159"/>
    <x v="7"/>
    <x v="21"/>
    <s v="Actual"/>
    <x v="2"/>
    <m/>
    <s v="IGCC"/>
    <s v="Charitable Contributions"/>
    <n v="3246.7532467532469"/>
    <s v="N/A"/>
    <s v="N/A"/>
    <s v="N/A"/>
    <s v="Mar"/>
    <n v="2026"/>
  </r>
  <r>
    <n v="160"/>
    <x v="3"/>
    <x v="8"/>
    <s v="Actual"/>
    <x v="6"/>
    <m/>
    <s v="IGCC"/>
    <s v="Rent Amal Mar 26 "/>
    <n v="2097.9020979020979"/>
    <s v="N/A"/>
    <s v="N/A"/>
    <s v="N/A"/>
    <s v="Mar"/>
    <n v="2026"/>
  </r>
  <r>
    <n v="161"/>
    <x v="3"/>
    <x v="8"/>
    <s v="Actual"/>
    <x v="6"/>
    <m/>
    <s v="IGCC"/>
    <s v="Rent Academy Mar 26 "/>
    <n v="3496.5034965034965"/>
    <s v="N/A"/>
    <s v="N/A"/>
    <s v="N/A"/>
    <s v="Mar"/>
    <n v="2026"/>
  </r>
  <r>
    <n v="162"/>
    <x v="3"/>
    <x v="8"/>
    <s v="Actual"/>
    <x v="6"/>
    <m/>
    <s v="IGCC"/>
    <s v="Rent Al Jazair office Mar 26 "/>
    <n v="2000"/>
    <s v="N/A"/>
    <s v="N/A"/>
    <s v="N/A"/>
    <s v="Mar"/>
    <n v="2026"/>
  </r>
  <r>
    <n v="163"/>
    <x v="3"/>
    <x v="8"/>
    <s v="Actual"/>
    <x v="6"/>
    <m/>
    <s v="IGCC"/>
    <s v="Rent Southren Services Mar 26 "/>
    <n v="874.12587412587413"/>
    <s v="N/A"/>
    <s v="N/A"/>
    <s v="N/A"/>
    <s v="Mar"/>
    <n v="2026"/>
  </r>
  <r>
    <n v="164"/>
    <x v="3"/>
    <x v="8"/>
    <s v="Actual"/>
    <x v="6"/>
    <m/>
    <s v="IGCC"/>
    <s v="Rent Jazair Accommodation Mar 26"/>
    <n v="4500"/>
    <s v="N/A"/>
    <s v="N/A"/>
    <s v="N/A"/>
    <s v="Mar"/>
    <n v="2026"/>
  </r>
  <r>
    <n v="165"/>
    <x v="3"/>
    <x v="8"/>
    <s v="Actual"/>
    <x v="6"/>
    <m/>
    <s v="IGCC"/>
    <s v="Rent Junaina Mar 26 "/>
    <n v="6000"/>
    <s v="N/A"/>
    <s v="N/A"/>
    <s v="N/A"/>
    <s v="Mar"/>
    <n v="2026"/>
  </r>
  <r>
    <n v="166"/>
    <x v="3"/>
    <x v="8"/>
    <s v="Actual"/>
    <x v="6"/>
    <m/>
    <s v="IGCC"/>
    <s v="KRK Mar Accommodation"/>
    <n v="1677.8523489932886"/>
    <s v="N/A"/>
    <s v="N/A"/>
    <s v="N/A"/>
    <s v="Mar"/>
    <n v="2026"/>
  </r>
  <r>
    <n v="167"/>
    <x v="3"/>
    <x v="8"/>
    <s v="Actual"/>
    <x v="6"/>
    <m/>
    <s v="IGCC"/>
    <s v="KRK Mar office"/>
    <n v="1500"/>
    <s v="N/A"/>
    <s v="N/A"/>
    <s v="N/A"/>
    <s v="Mar"/>
    <n v="2026"/>
  </r>
  <r>
    <n v="168"/>
    <x v="3"/>
    <x v="8"/>
    <s v="Actual"/>
    <x v="6"/>
    <m/>
    <s v="Al Majal Business Park (AMBP)"/>
    <s v="Al Majal Business Park (AMBP) Mar 26"/>
    <n v="2520"/>
    <s v="2026000705"/>
    <d v="2026-02-28T00:00:00"/>
    <s v="N/A"/>
    <s v="Mar"/>
    <n v="2026"/>
  </r>
  <r>
    <n v="169"/>
    <x v="3"/>
    <x v="8"/>
    <s v="Actual"/>
    <x v="6"/>
    <m/>
    <s v="PETRONA FZE IEC"/>
    <s v="PETRONA FZE IEC Mar 26"/>
    <n v="750"/>
    <s v="260259"/>
    <d v="2026-03-09T00:00:00"/>
    <s v="N/A"/>
    <s v="Mar"/>
    <n v="2026"/>
  </r>
  <r>
    <n v="170"/>
    <x v="7"/>
    <x v="21"/>
    <s v="Accrual"/>
    <x v="8"/>
    <m/>
    <s v="Neema Abdul Hassan"/>
    <s v="Light equipment rental"/>
    <n v="2080"/>
    <s v="N/A"/>
    <s v="N/A"/>
    <s v="N/A"/>
    <s v="Mar"/>
    <n v="2026"/>
  </r>
  <r>
    <n v="171"/>
    <x v="0"/>
    <x v="30"/>
    <s v="Accrual"/>
    <x v="8"/>
    <m/>
    <s v="Neema Abdul Hassan"/>
    <s v="Light equipment rental"/>
    <n v="1620"/>
    <s v="N/A"/>
    <s v="N/A"/>
    <s v="N/A"/>
    <s v="Mar"/>
    <n v="2026"/>
  </r>
  <r>
    <n v="172"/>
    <x v="2"/>
    <x v="6"/>
    <s v="Accrual"/>
    <x v="8"/>
    <m/>
    <s v="Border Transportaion / Al Hodod"/>
    <s v=" Heavy equipment rental"/>
    <n v="31874.999935064934"/>
    <s v="N/A"/>
    <s v="N/A"/>
    <s v="N/A"/>
    <s v="Mar"/>
    <n v="2026"/>
  </r>
  <r>
    <n v="173"/>
    <x v="6"/>
    <x v="12"/>
    <s v="Accrual"/>
    <x v="8"/>
    <m/>
    <s v="Border Transportaion / Al Hodod"/>
    <s v=" Heavy equipment rental"/>
    <n v="2405.0949155844155"/>
    <s v="N/A"/>
    <s v="N/A"/>
    <s v="N/A"/>
    <s v="Mar"/>
    <n v="2026"/>
  </r>
  <r>
    <n v="174"/>
    <x v="5"/>
    <x v="10"/>
    <s v="Accrual"/>
    <x v="8"/>
    <m/>
    <s v="Border Transportaion / Al Hodod"/>
    <s v=" Heavy equipment rental"/>
    <n v="239.76024025974027"/>
    <s v="N/A"/>
    <s v="N/A"/>
    <s v="N/A"/>
    <s v="Mar"/>
    <n v="2026"/>
  </r>
  <r>
    <n v="175"/>
    <x v="6"/>
    <x v="13"/>
    <s v="Accrual"/>
    <x v="8"/>
    <m/>
    <s v="Border Transportaion / Al Hodod"/>
    <s v=" Heavy equipment rental"/>
    <n v="571.21940259740256"/>
    <s v="N/A"/>
    <s v="N/A"/>
    <s v="N/A"/>
    <s v="Mar"/>
    <n v="2026"/>
  </r>
  <r>
    <n v="176"/>
    <x v="6"/>
    <x v="14"/>
    <s v="Accrual"/>
    <x v="8"/>
    <m/>
    <s v="Border Transportaion / Al Hodod"/>
    <s v=" Heavy equipment rental"/>
    <n v="11933.316720779221"/>
    <s v="N/A"/>
    <s v="N/A"/>
    <s v="N/A"/>
    <s v="Mar"/>
    <n v="2026"/>
  </r>
  <r>
    <n v="177"/>
    <x v="4"/>
    <x v="9"/>
    <s v="Accrual"/>
    <x v="8"/>
    <m/>
    <s v="Border Transportaion / Al Hodod"/>
    <s v=" Heavy equipment rental"/>
    <n v="6964.1608311688306"/>
    <s v="N/A"/>
    <s v="N/A"/>
    <s v="N/A"/>
    <s v="Mar"/>
    <n v="2026"/>
  </r>
  <r>
    <n v="178"/>
    <x v="7"/>
    <x v="21"/>
    <s v="Accrual"/>
    <x v="8"/>
    <m/>
    <s v="Border Transportaion / Al Hodod"/>
    <s v=" Heavy equipment rental"/>
    <n v="30426.074032467532"/>
    <s v="N/A"/>
    <s v="N/A"/>
    <s v="N/A"/>
    <s v="Mar"/>
    <n v="2026"/>
  </r>
  <r>
    <n v="179"/>
    <x v="0"/>
    <x v="1"/>
    <s v="Accrual"/>
    <x v="8"/>
    <m/>
    <s v="Border Transportaion / Al Hodod"/>
    <s v=" Heavy equipment rental"/>
    <n v="217.28271428571429"/>
    <s v="N/A"/>
    <s v="N/A"/>
    <s v="N/A"/>
    <s v="Mar"/>
    <n v="2026"/>
  </r>
  <r>
    <n v="180"/>
    <x v="6"/>
    <x v="16"/>
    <s v="Accrual"/>
    <x v="8"/>
    <m/>
    <s v="Border Transportaion / Al Hodod"/>
    <s v=" Heavy equipment rental"/>
    <n v="772.85215584415585"/>
    <s v="N/A"/>
    <s v="N/A"/>
    <s v="N/A"/>
    <s v="Mar"/>
    <n v="2026"/>
  </r>
  <r>
    <n v="181"/>
    <x v="6"/>
    <x v="17"/>
    <s v="Accrual"/>
    <x v="8"/>
    <m/>
    <s v="Border Transportaion / Al Hodod"/>
    <s v=" Heavy equipment rental"/>
    <n v="1421.9842662337662"/>
    <s v="N/A"/>
    <s v="N/A"/>
    <s v="N/A"/>
    <s v="Mar"/>
    <n v="2026"/>
  </r>
  <r>
    <n v="182"/>
    <x v="6"/>
    <x v="19"/>
    <s v="Accrual"/>
    <x v="8"/>
    <m/>
    <s v="Border Transportaion / Al Hodod"/>
    <s v=" Heavy equipment rental"/>
    <n v="21335.82051948052"/>
    <s v="N/A"/>
    <s v="N/A"/>
    <s v="N/A"/>
    <s v="Mar"/>
    <n v="2026"/>
  </r>
  <r>
    <n v="183"/>
    <x v="0"/>
    <x v="4"/>
    <s v="Accrual"/>
    <x v="8"/>
    <m/>
    <s v="Border Transportaion / Al Hodod"/>
    <s v=" Heavy equipment rental"/>
    <n v="1873.7824675324675"/>
    <s v="N/A"/>
    <s v="N/A"/>
    <s v="N/A"/>
    <s v="Mar"/>
    <n v="2026"/>
  </r>
  <r>
    <n v="184"/>
    <x v="0"/>
    <x v="0"/>
    <s v="Accrual"/>
    <x v="8"/>
    <m/>
    <s v="NAC Logistic"/>
    <s v=" Heavy equipment rental"/>
    <n v="31379.495415584413"/>
    <s v="N/A"/>
    <s v="N/A"/>
    <s v="N/A"/>
    <s v="Mar"/>
    <n v="2026"/>
  </r>
  <r>
    <n v="185"/>
    <x v="2"/>
    <x v="6"/>
    <s v="Accrual"/>
    <x v="8"/>
    <m/>
    <s v="NAC Logistic"/>
    <s v=" Heavy equipment rental"/>
    <n v="196.92807142857143"/>
    <s v="N/A"/>
    <s v="N/A"/>
    <s v="N/A"/>
    <s v="Mar"/>
    <n v="2026"/>
  </r>
  <r>
    <n v="186"/>
    <x v="5"/>
    <x v="10"/>
    <s v="Accrual"/>
    <x v="8"/>
    <m/>
    <s v="NAC Logistic"/>
    <s v=" Heavy equipment rental"/>
    <n v="2657.3426493506495"/>
    <s v="N/A"/>
    <s v="N/A"/>
    <s v="N/A"/>
    <s v="Mar"/>
    <n v="2026"/>
  </r>
  <r>
    <n v="187"/>
    <x v="5"/>
    <x v="11"/>
    <s v="Accrual"/>
    <x v="8"/>
    <m/>
    <s v="NAC Logistic"/>
    <s v=" Heavy equipment rental"/>
    <n v="15359.140915584416"/>
    <s v="N/A"/>
    <s v="N/A"/>
    <s v="N/A"/>
    <s v="Mar"/>
    <n v="2026"/>
  </r>
  <r>
    <n v="188"/>
    <x v="6"/>
    <x v="14"/>
    <s v="Accrual"/>
    <x v="8"/>
    <m/>
    <s v="NAC Logistic"/>
    <s v=" Heavy equipment rental"/>
    <n v="22668.081740259742"/>
    <s v="N/A"/>
    <s v="N/A"/>
    <s v="N/A"/>
    <s v="Mar"/>
    <n v="2026"/>
  </r>
  <r>
    <n v="189"/>
    <x v="7"/>
    <x v="21"/>
    <s v="Accrual"/>
    <x v="8"/>
    <m/>
    <s v="NAC Logistic"/>
    <s v=" Heavy equipment rental"/>
    <n v="59794.886097402603"/>
    <s v="N/A"/>
    <s v="N/A"/>
    <s v="N/A"/>
    <s v="Mar"/>
    <n v="2026"/>
  </r>
  <r>
    <n v="190"/>
    <x v="0"/>
    <x v="1"/>
    <s v="Accrual"/>
    <x v="8"/>
    <m/>
    <s v="NAC Logistic"/>
    <s v=" Heavy equipment rental"/>
    <n v="27883.379064935063"/>
    <s v="N/A"/>
    <s v="N/A"/>
    <s v="N/A"/>
    <s v="Mar"/>
    <n v="2026"/>
  </r>
  <r>
    <n v="191"/>
    <x v="6"/>
    <x v="16"/>
    <s v="Accrual"/>
    <x v="8"/>
    <m/>
    <s v="NAC Logistic"/>
    <s v="Heavy  equipment rental"/>
    <n v="17840.284636363634"/>
    <s v="N/A"/>
    <s v="N/A"/>
    <s v="N/A"/>
    <s v="Mar"/>
    <n v="2026"/>
  </r>
  <r>
    <n v="192"/>
    <x v="0"/>
    <x v="3"/>
    <s v="Accrual"/>
    <x v="8"/>
    <m/>
    <s v="NAC Logistic"/>
    <s v="Heavy  equipment rental"/>
    <n v="30189.06087012987"/>
    <s v="N/A"/>
    <s v="N/A"/>
    <s v="N/A"/>
    <s v="Mar"/>
    <n v="2026"/>
  </r>
  <r>
    <n v="193"/>
    <x v="6"/>
    <x v="17"/>
    <s v="Accrual"/>
    <x v="8"/>
    <m/>
    <s v="NAC Logistic"/>
    <s v="Heavy  equipment rental"/>
    <n v="3219.280707792208"/>
    <s v="N/A"/>
    <s v="N/A"/>
    <s v="N/A"/>
    <s v="Mar"/>
    <n v="2026"/>
  </r>
  <r>
    <n v="194"/>
    <x v="6"/>
    <x v="19"/>
    <s v="Accrual"/>
    <x v="8"/>
    <m/>
    <s v="NAC Logistic"/>
    <s v="Heavy  equipment rental"/>
    <n v="28148.716233766234"/>
    <s v="N/A"/>
    <s v="N/A"/>
    <s v="N/A"/>
    <s v="Mar"/>
    <n v="2026"/>
  </r>
  <r>
    <n v="195"/>
    <x v="6"/>
    <x v="18"/>
    <s v="Accrual"/>
    <x v="8"/>
    <m/>
    <s v="NAC Logistic"/>
    <s v="Heavy  equipment rental"/>
    <n v="521.97801948051949"/>
    <s v="N/A"/>
    <s v="N/A"/>
    <s v="N/A"/>
    <s v="Mar"/>
    <n v="2026"/>
  </r>
  <r>
    <n v="196"/>
    <x v="0"/>
    <x v="4"/>
    <s v="Accrual"/>
    <x v="8"/>
    <m/>
    <s v="NAC Logistic"/>
    <s v="Heavy  equipment rental"/>
    <n v="81521.177214285708"/>
    <s v="N/A"/>
    <s v="N/A"/>
    <s v="N/A"/>
    <s v="Mar"/>
    <n v="2026"/>
  </r>
  <r>
    <n v="197"/>
    <x v="0"/>
    <x v="0"/>
    <s v="Accrual"/>
    <x v="8"/>
    <m/>
    <s v="Taqadm Albasrah"/>
    <s v="Heavy  equipment rental"/>
    <n v="9879.6003376623376"/>
    <s v="N/A"/>
    <s v="N/A"/>
    <s v="N/A"/>
    <s v="Mar"/>
    <n v="2026"/>
  </r>
  <r>
    <n v="198"/>
    <x v="2"/>
    <x v="6"/>
    <s v="Accrual"/>
    <x v="8"/>
    <m/>
    <s v="Taqadm Albasrah"/>
    <s v="Heavy  equipment rental"/>
    <n v="36203.264058441557"/>
    <s v="N/A"/>
    <s v="N/A"/>
    <s v="N/A"/>
    <s v="Mar"/>
    <n v="2026"/>
  </r>
  <r>
    <n v="199"/>
    <x v="6"/>
    <x v="12"/>
    <s v="Accrual"/>
    <x v="8"/>
    <m/>
    <s v="Taqadm Albasrah"/>
    <s v="Heavy  equipment rental"/>
    <n v="11575.794084415586"/>
    <s v="N/A"/>
    <s v="N/A"/>
    <s v="N/A"/>
    <s v="Mar"/>
    <n v="2026"/>
  </r>
  <r>
    <n v="200"/>
    <x v="11"/>
    <x v="31"/>
    <s v="Accrual"/>
    <x v="8"/>
    <m/>
    <s v="Taqadm Albasrah"/>
    <s v="Heavy  equipment rental"/>
    <n v="1498.5015064935064"/>
    <s v="N/A"/>
    <s v="N/A"/>
    <s v="N/A"/>
    <s v="Mar"/>
    <n v="2026"/>
  </r>
  <r>
    <n v="201"/>
    <x v="5"/>
    <x v="10"/>
    <s v="Accrual"/>
    <x v="8"/>
    <m/>
    <s v="Taqadm Albasrah"/>
    <s v="Heavy  equipment rental"/>
    <n v="3066.9330259740264"/>
    <s v="N/A"/>
    <s v="N/A"/>
    <s v="N/A"/>
    <s v="Mar"/>
    <n v="2026"/>
  </r>
  <r>
    <n v="202"/>
    <x v="5"/>
    <x v="11"/>
    <s v="Accrual"/>
    <x v="8"/>
    <m/>
    <s v="Taqadm Albasrah"/>
    <s v="Heavy  equipment rental"/>
    <n v="23242.627279220778"/>
    <s v="N/A"/>
    <s v="N/A"/>
    <s v="N/A"/>
    <s v="Mar"/>
    <n v="2026"/>
  </r>
  <r>
    <n v="203"/>
    <x v="6"/>
    <x v="13"/>
    <s v="Accrual"/>
    <x v="8"/>
    <m/>
    <s v="Taqadm Albasrah"/>
    <s v="Heavy  equipment rental"/>
    <n v="23889.720207792205"/>
    <s v="N/A"/>
    <s v="N/A"/>
    <s v="N/A"/>
    <s v="Mar"/>
    <n v="2026"/>
  </r>
  <r>
    <n v="204"/>
    <x v="6"/>
    <x v="14"/>
    <s v="Accrual"/>
    <x v="8"/>
    <m/>
    <s v="Taqadm Albasrah"/>
    <s v="Heavy  equipment rental"/>
    <n v="41991.508331168843"/>
    <s v="N/A"/>
    <s v="N/A"/>
    <s v="N/A"/>
    <s v="Mar"/>
    <n v="2026"/>
  </r>
  <r>
    <n v="205"/>
    <x v="4"/>
    <x v="9"/>
    <s v="Accrual"/>
    <x v="8"/>
    <m/>
    <s v="Taqadm Albasrah"/>
    <s v="Heavy  equipment rental"/>
    <n v="9898.6013831168839"/>
    <s v="N/A"/>
    <s v="N/A"/>
    <s v="N/A"/>
    <s v="Mar"/>
    <n v="2026"/>
  </r>
  <r>
    <n v="206"/>
    <x v="7"/>
    <x v="21"/>
    <s v="Accrual"/>
    <x v="8"/>
    <m/>
    <s v="Taqadm Albasrah"/>
    <s v="Heavy  equipment rental"/>
    <n v="168677.55499350649"/>
    <s v="N/A"/>
    <s v="N/A"/>
    <s v="N/A"/>
    <s v="Mar"/>
    <n v="2026"/>
  </r>
  <r>
    <n v="207"/>
    <x v="3"/>
    <x v="8"/>
    <s v="Accrual"/>
    <x v="8"/>
    <m/>
    <s v="Taqadm Albasrah"/>
    <s v="Heavy  equipment rental"/>
    <n v="3564.4354870129873"/>
    <s v="N/A"/>
    <s v="N/A"/>
    <s v="N/A"/>
    <s v="Mar"/>
    <n v="2026"/>
  </r>
  <r>
    <n v="208"/>
    <x v="0"/>
    <x v="1"/>
    <s v="Accrual"/>
    <x v="8"/>
    <m/>
    <s v="Taqadm Albasrah"/>
    <s v="Heavy  equipment rental"/>
    <n v="3224.2756818181815"/>
    <s v="N/A"/>
    <s v="N/A"/>
    <s v="N/A"/>
    <s v="Mar"/>
    <n v="2026"/>
  </r>
  <r>
    <n v="209"/>
    <x v="6"/>
    <x v="25"/>
    <s v="Accrual"/>
    <x v="8"/>
    <m/>
    <s v="Taqadm Albasrah"/>
    <s v="Heavy  equipment rental"/>
    <n v="159.84015584415584"/>
    <s v="N/A"/>
    <s v="N/A"/>
    <s v="N/A"/>
    <s v="Mar"/>
    <n v="2026"/>
  </r>
  <r>
    <n v="210"/>
    <x v="6"/>
    <x v="16"/>
    <s v="Accrual"/>
    <x v="8"/>
    <m/>
    <s v="Taqadm Albasrah"/>
    <s v="Heavy  equipment rental"/>
    <n v="20631.782077922078"/>
    <s v="N/A"/>
    <s v="N/A"/>
    <s v="N/A"/>
    <s v="Mar"/>
    <n v="2026"/>
  </r>
  <r>
    <n v="211"/>
    <x v="0"/>
    <x v="3"/>
    <s v="Accrual"/>
    <x v="8"/>
    <m/>
    <s v="Taqadm Albasrah"/>
    <s v="Heavy  equipment rental"/>
    <n v="9627.3725454545456"/>
    <s v="N/A"/>
    <s v="N/A"/>
    <s v="N/A"/>
    <s v="Mar"/>
    <n v="2026"/>
  </r>
  <r>
    <n v="212"/>
    <x v="6"/>
    <x v="17"/>
    <s v="Accrual"/>
    <x v="8"/>
    <m/>
    <s v="Taqadm Albasrah"/>
    <s v="Heavy  equipment rental"/>
    <n v="40236.263701298703"/>
    <s v="N/A"/>
    <s v="N/A"/>
    <s v="N/A"/>
    <s v="Mar"/>
    <n v="2026"/>
  </r>
  <r>
    <n v="213"/>
    <x v="6"/>
    <x v="19"/>
    <s v="Accrual"/>
    <x v="8"/>
    <m/>
    <s v="Taqadm Albasrah"/>
    <s v="Heavy  equipment rental"/>
    <n v="28443.806045454548"/>
    <s v="N/A"/>
    <s v="N/A"/>
    <s v="N/A"/>
    <s v="Mar"/>
    <n v="2026"/>
  </r>
  <r>
    <n v="214"/>
    <x v="6"/>
    <x v="18"/>
    <s v="Accrual"/>
    <x v="8"/>
    <m/>
    <s v="Taqadm Albasrah"/>
    <s v="Heavy  equipment rental"/>
    <n v="5157.9120649350652"/>
    <s v="N/A"/>
    <s v="N/A"/>
    <s v="N/A"/>
    <s v="Mar"/>
    <n v="2026"/>
  </r>
  <r>
    <n v="215"/>
    <x v="0"/>
    <x v="4"/>
    <s v="Accrual"/>
    <x v="8"/>
    <m/>
    <s v="Taqadm Albasrah"/>
    <s v="Heavy  equipment rental"/>
    <n v="9855.144766233765"/>
    <s v="N/A"/>
    <s v="N/A"/>
    <s v="N/A"/>
    <s v="Mar"/>
    <n v="2026"/>
  </r>
  <r>
    <n v="216"/>
    <x v="0"/>
    <x v="0"/>
    <s v="Accrual"/>
    <x v="8"/>
    <m/>
    <s v="NAC Logistic"/>
    <s v="Light equipment rental"/>
    <n v="20130.97264935065"/>
    <s v="N/A"/>
    <s v="N/A"/>
    <s v="N/A"/>
    <s v="Mar"/>
    <n v="2026"/>
  </r>
  <r>
    <n v="217"/>
    <x v="2"/>
    <x v="6"/>
    <s v="Accrual"/>
    <x v="8"/>
    <m/>
    <s v="NAC Logistic"/>
    <s v="Light equipment rental"/>
    <n v="13603.896103896104"/>
    <s v="N/A"/>
    <s v="N/A"/>
    <s v="N/A"/>
    <s v="Mar"/>
    <n v="2026"/>
  </r>
  <r>
    <n v="218"/>
    <x v="6"/>
    <x v="12"/>
    <s v="Accrual"/>
    <x v="8"/>
    <m/>
    <s v="NAC Logistic"/>
    <s v="Light equipment rental"/>
    <n v="1883.1168831168832"/>
    <s v="N/A"/>
    <s v="N/A"/>
    <s v="N/A"/>
    <s v="Mar"/>
    <n v="2026"/>
  </r>
  <r>
    <n v="219"/>
    <x v="5"/>
    <x v="10"/>
    <s v="Accrual"/>
    <x v="8"/>
    <m/>
    <s v="NAC Logistic"/>
    <s v="Light equipment rental"/>
    <n v="2077.9220779220777"/>
    <s v="N/A"/>
    <s v="N/A"/>
    <s v="N/A"/>
    <s v="Mar"/>
    <n v="2026"/>
  </r>
  <r>
    <n v="220"/>
    <x v="5"/>
    <x v="11"/>
    <s v="Accrual"/>
    <x v="8"/>
    <m/>
    <s v="NAC Logistic"/>
    <s v="Light equipment rental"/>
    <n v="7532.4675324675327"/>
    <s v="N/A"/>
    <s v="N/A"/>
    <s v="N/A"/>
    <s v="Mar"/>
    <n v="2026"/>
  </r>
  <r>
    <n v="221"/>
    <x v="6"/>
    <x v="14"/>
    <s v="Accrual"/>
    <x v="8"/>
    <m/>
    <s v="NAC Logistic"/>
    <s v="Light equipment rental"/>
    <n v="6990.5095194805199"/>
    <s v="N/A"/>
    <s v="N/A"/>
    <s v="N/A"/>
    <s v="Mar"/>
    <n v="2026"/>
  </r>
  <r>
    <n v="222"/>
    <x v="4"/>
    <x v="9"/>
    <s v="Accrual"/>
    <x v="8"/>
    <m/>
    <s v="NAC Logistic"/>
    <s v="Light equipment rental"/>
    <n v="11943.057012987014"/>
    <s v="N/A"/>
    <s v="N/A"/>
    <s v="N/A"/>
    <s v="Mar"/>
    <n v="2026"/>
  </r>
  <r>
    <n v="223"/>
    <x v="7"/>
    <x v="21"/>
    <s v="Accrual"/>
    <x v="8"/>
    <m/>
    <s v="NAC Logistic"/>
    <s v="Light equipment rental"/>
    <n v="17631.454662337663"/>
    <s v="N/A"/>
    <s v="N/A"/>
    <s v="N/A"/>
    <s v="Mar"/>
    <n v="2026"/>
  </r>
  <r>
    <n v="224"/>
    <x v="3"/>
    <x v="8"/>
    <s v="Accrual"/>
    <x v="8"/>
    <m/>
    <s v="NAC Logistic"/>
    <s v="Light equipment rental"/>
    <n v="1033.9660519480519"/>
    <s v="N/A"/>
    <s v="N/A"/>
    <s v="N/A"/>
    <s v="Mar"/>
    <n v="2026"/>
  </r>
  <r>
    <n v="225"/>
    <x v="0"/>
    <x v="1"/>
    <s v="Accrual"/>
    <x v="8"/>
    <m/>
    <s v="NAC Logistic"/>
    <s v="Light equipment rental"/>
    <n v="9493.0409675324681"/>
    <s v="N/A"/>
    <s v="N/A"/>
    <s v="N/A"/>
    <s v="Mar"/>
    <n v="2026"/>
  </r>
  <r>
    <n v="226"/>
    <x v="0"/>
    <x v="2"/>
    <s v="Accrual"/>
    <x v="8"/>
    <m/>
    <s v="NAC Logistic"/>
    <s v="Light equipment rental"/>
    <n v="3636.3636363636365"/>
    <s v="N/A"/>
    <s v="N/A"/>
    <s v="N/A"/>
    <s v="Mar"/>
    <n v="2026"/>
  </r>
  <r>
    <n v="227"/>
    <x v="6"/>
    <x v="16"/>
    <s v="Accrual"/>
    <x v="8"/>
    <m/>
    <s v="NAC Logistic"/>
    <s v="Light equipment rental"/>
    <n v="5798.7012987012986"/>
    <s v="N/A"/>
    <s v="N/A"/>
    <s v="N/A"/>
    <s v="Mar"/>
    <n v="2026"/>
  </r>
  <r>
    <n v="228"/>
    <x v="0"/>
    <x v="3"/>
    <s v="Accrual"/>
    <x v="8"/>
    <m/>
    <s v="NAC Logistic"/>
    <s v="Light equipment rental"/>
    <n v="6628.3956103896107"/>
    <s v="N/A"/>
    <s v="N/A"/>
    <s v="N/A"/>
    <s v="Mar"/>
    <n v="2026"/>
  </r>
  <r>
    <n v="229"/>
    <x v="6"/>
    <x v="17"/>
    <s v="Accrual"/>
    <x v="8"/>
    <m/>
    <s v="NAC Logistic"/>
    <s v="Light equipment rental"/>
    <n v="8311.6883116883109"/>
    <s v="N/A"/>
    <s v="N/A"/>
    <s v="N/A"/>
    <s v="Mar"/>
    <n v="2026"/>
  </r>
  <r>
    <n v="230"/>
    <x v="6"/>
    <x v="19"/>
    <s v="Accrual"/>
    <x v="8"/>
    <m/>
    <s v="NAC Logistic"/>
    <s v="Light equipment rental"/>
    <n v="17904.709357142856"/>
    <s v="N/A"/>
    <s v="N/A"/>
    <s v="N/A"/>
    <s v="Mar"/>
    <n v="2026"/>
  </r>
  <r>
    <n v="231"/>
    <x v="6"/>
    <x v="18"/>
    <s v="Accrual"/>
    <x v="8"/>
    <m/>
    <s v="NAC Logistic"/>
    <s v="Light equipment rental"/>
    <n v="2792.2077922077924"/>
    <s v="N/A"/>
    <s v="N/A"/>
    <s v="N/A"/>
    <s v="Mar"/>
    <n v="2026"/>
  </r>
  <r>
    <n v="232"/>
    <x v="0"/>
    <x v="4"/>
    <s v="Accrual"/>
    <x v="8"/>
    <m/>
    <s v="NAC Logistic"/>
    <s v="Light equipment rental"/>
    <n v="15339.732285714284"/>
    <s v="N/A"/>
    <s v="N/A"/>
    <s v="N/A"/>
    <s v="Mar"/>
    <n v="2026"/>
  </r>
  <r>
    <n v="233"/>
    <x v="0"/>
    <x v="0"/>
    <s v="Accrual"/>
    <x v="8"/>
    <m/>
    <s v="Taqadm Albasrah"/>
    <s v="Light equipment rental"/>
    <n v="10644.855168831169"/>
    <s v="N/A"/>
    <s v="N/A"/>
    <s v="N/A"/>
    <s v="Mar"/>
    <n v="2026"/>
  </r>
  <r>
    <n v="234"/>
    <x v="2"/>
    <x v="6"/>
    <s v="Accrual"/>
    <x v="8"/>
    <m/>
    <s v="Taqadm Albasrah"/>
    <s v="Light equipment rental"/>
    <n v="44137.055051948053"/>
    <s v="N/A"/>
    <s v="N/A"/>
    <s v="N/A"/>
    <s v="Mar"/>
    <n v="2026"/>
  </r>
  <r>
    <n v="235"/>
    <x v="6"/>
    <x v="12"/>
    <s v="Accrual"/>
    <x v="8"/>
    <m/>
    <s v="Taqadm Albasrah"/>
    <s v="Light equipment rental"/>
    <n v="13701.298727272726"/>
    <s v="N/A"/>
    <s v="N/A"/>
    <s v="N/A"/>
    <s v="Mar"/>
    <n v="2026"/>
  </r>
  <r>
    <n v="236"/>
    <x v="5"/>
    <x v="10"/>
    <s v="Accrual"/>
    <x v="8"/>
    <m/>
    <s v="Taqadm Albasrah"/>
    <s v="Light equipment rental"/>
    <n v="1688.3116883116884"/>
    <s v="N/A"/>
    <s v="N/A"/>
    <s v="N/A"/>
    <s v="Mar"/>
    <n v="2026"/>
  </r>
  <r>
    <n v="237"/>
    <x v="5"/>
    <x v="11"/>
    <s v="Accrual"/>
    <x v="8"/>
    <m/>
    <s v="Taqadm Albasrah"/>
    <s v="Light equipment rental"/>
    <n v="13371.628415584417"/>
    <s v="N/A"/>
    <s v="N/A"/>
    <s v="N/A"/>
    <s v="Mar"/>
    <n v="2026"/>
  </r>
  <r>
    <n v="238"/>
    <x v="6"/>
    <x v="13"/>
    <s v="Accrual"/>
    <x v="8"/>
    <m/>
    <s v="Taqadm Albasrah"/>
    <s v="Light equipment rental"/>
    <n v="6149.3506623376625"/>
    <s v="N/A"/>
    <s v="N/A"/>
    <s v="N/A"/>
    <s v="Mar"/>
    <n v="2026"/>
  </r>
  <r>
    <n v="239"/>
    <x v="6"/>
    <x v="14"/>
    <s v="Accrual"/>
    <x v="8"/>
    <m/>
    <s v="Taqadm Albasrah"/>
    <s v="Light equipment rental"/>
    <n v="28218.531551948054"/>
    <s v="N/A"/>
    <s v="N/A"/>
    <s v="N/A"/>
    <s v="Mar"/>
    <n v="2026"/>
  </r>
  <r>
    <n v="240"/>
    <x v="4"/>
    <x v="9"/>
    <s v="Accrual"/>
    <x v="8"/>
    <m/>
    <s v="Taqadm Albasrah"/>
    <s v="Light equipment rental"/>
    <n v="26565.043149350651"/>
    <s v="N/A"/>
    <s v="N/A"/>
    <s v="N/A"/>
    <s v="Mar"/>
    <n v="2026"/>
  </r>
  <r>
    <n v="241"/>
    <x v="7"/>
    <x v="21"/>
    <s v="Accrual"/>
    <x v="8"/>
    <m/>
    <s v="Taqadm Albasrah"/>
    <s v="Light equipment rental"/>
    <n v="91435.965448051938"/>
    <s v="N/A"/>
    <s v="N/A"/>
    <s v="N/A"/>
    <s v="Mar"/>
    <n v="2026"/>
  </r>
  <r>
    <n v="242"/>
    <x v="3"/>
    <x v="8"/>
    <s v="Accrual"/>
    <x v="8"/>
    <m/>
    <s v="Taqadm Albasrah"/>
    <s v="Light equipment rental"/>
    <n v="3503.9960649350642"/>
    <s v="N/A"/>
    <s v="N/A"/>
    <s v="N/A"/>
    <s v="Mar"/>
    <n v="2026"/>
  </r>
  <r>
    <n v="243"/>
    <x v="0"/>
    <x v="1"/>
    <s v="Accrual"/>
    <x v="8"/>
    <m/>
    <s v="Taqadm Albasrah"/>
    <s v="Light equipment rental"/>
    <n v="1925.5744285714286"/>
    <s v="N/A"/>
    <s v="N/A"/>
    <s v="N/A"/>
    <s v="Mar"/>
    <n v="2026"/>
  </r>
  <r>
    <n v="244"/>
    <x v="6"/>
    <x v="25"/>
    <s v="Accrual"/>
    <x v="8"/>
    <m/>
    <s v="Taqadm Albasrah"/>
    <s v="Light equipment rental"/>
    <n v="7330.1698571428569"/>
    <s v="N/A"/>
    <s v="N/A"/>
    <s v="N/A"/>
    <s v="Mar"/>
    <n v="2026"/>
  </r>
  <r>
    <n v="245"/>
    <x v="5"/>
    <x v="32"/>
    <s v="Accrual"/>
    <x v="8"/>
    <m/>
    <s v="Taqadm Albasrah"/>
    <s v="Light equipment rental"/>
    <n v="1168.8311688311687"/>
    <s v="N/A"/>
    <s v="N/A"/>
    <s v="N/A"/>
    <s v="Mar"/>
    <n v="2026"/>
  </r>
  <r>
    <n v="246"/>
    <x v="5"/>
    <x v="33"/>
    <s v="Accrual"/>
    <x v="8"/>
    <m/>
    <s v="Taqadm Albasrah"/>
    <s v="Light equipment rental"/>
    <n v="1835.6643506493508"/>
    <s v="N/A"/>
    <s v="N/A"/>
    <s v="N/A"/>
    <s v="Mar"/>
    <n v="2026"/>
  </r>
  <r>
    <n v="247"/>
    <x v="6"/>
    <x v="16"/>
    <s v="Accrual"/>
    <x v="8"/>
    <m/>
    <s v="Taqadm Albasrah"/>
    <s v="Light equipment rental"/>
    <n v="10594.905103896104"/>
    <s v="N/A"/>
    <s v="N/A"/>
    <s v="N/A"/>
    <s v="Mar"/>
    <n v="2026"/>
  </r>
  <r>
    <n v="248"/>
    <x v="0"/>
    <x v="3"/>
    <s v="Accrual"/>
    <x v="8"/>
    <m/>
    <s v="Taqadm Albasrah"/>
    <s v="Light equipment rental"/>
    <n v="10000.000025974025"/>
    <s v="N/A"/>
    <s v="N/A"/>
    <s v="N/A"/>
    <s v="Mar"/>
    <n v="2026"/>
  </r>
  <r>
    <n v="249"/>
    <x v="6"/>
    <x v="17"/>
    <s v="Accrual"/>
    <x v="8"/>
    <m/>
    <s v="Taqadm Albasrah"/>
    <s v="Light equipment rental"/>
    <n v="50281.540792207794"/>
    <s v="N/A"/>
    <s v="N/A"/>
    <s v="N/A"/>
    <s v="Mar"/>
    <n v="2026"/>
  </r>
  <r>
    <n v="250"/>
    <x v="6"/>
    <x v="19"/>
    <s v="Accrual"/>
    <x v="8"/>
    <m/>
    <s v="Taqadm Albasrah"/>
    <s v="Light equipment rental"/>
    <n v="16988.049980519481"/>
    <s v="N/A"/>
    <s v="N/A"/>
    <s v="N/A"/>
    <s v="Mar"/>
    <n v="2026"/>
  </r>
  <r>
    <n v="251"/>
    <x v="6"/>
    <x v="18"/>
    <s v="Accrual"/>
    <x v="8"/>
    <m/>
    <s v="Taqadm Albasrah"/>
    <s v="Light equipment rental"/>
    <n v="909.09090909090912"/>
    <s v="N/A"/>
    <s v="N/A"/>
    <s v="N/A"/>
    <s v="Mar"/>
    <n v="2026"/>
  </r>
  <r>
    <n v="252"/>
    <x v="6"/>
    <x v="20"/>
    <s v="Accrual"/>
    <x v="8"/>
    <m/>
    <s v="Taqadm Albasrah"/>
    <s v="Light equipment rental"/>
    <n v="516.98302597402596"/>
    <s v="N/A"/>
    <s v="N/A"/>
    <s v="N/A"/>
    <s v="Mar"/>
    <n v="2026"/>
  </r>
  <r>
    <n v="253"/>
    <x v="0"/>
    <x v="4"/>
    <s v="Accrual"/>
    <x v="8"/>
    <m/>
    <s v="Taqadm Albasrah"/>
    <s v="Light equipment rental"/>
    <n v="9865.1348831168834"/>
    <s v="N/A"/>
    <s v="N/A"/>
    <s v="N/A"/>
    <s v="Mar"/>
    <n v="2026"/>
  </r>
  <r>
    <n v="254"/>
    <x v="0"/>
    <x v="0"/>
    <s v="Accrual"/>
    <x v="8"/>
    <m/>
    <s v="Burj Al-Sahra Contracting and General Trading Co. Ltd"/>
    <s v="Light equipment rental"/>
    <n v="5600"/>
    <s v="N/A"/>
    <s v="N/A"/>
    <s v="N/A"/>
    <s v="Mar"/>
    <n v="2026"/>
  </r>
  <r>
    <n v="255"/>
    <x v="6"/>
    <x v="20"/>
    <s v="Accrual"/>
    <x v="12"/>
    <m/>
    <s v="Al-Zubair Gate"/>
    <s v="Guards"/>
    <n v="1298.7012987012988"/>
    <n v="2541"/>
    <d v="2026-03-31T00:00:00"/>
    <s v="N/A"/>
    <s v="Mar"/>
    <n v="2026"/>
  </r>
  <r>
    <n v="256"/>
    <x v="7"/>
    <x v="21"/>
    <s v="Actual"/>
    <x v="12"/>
    <m/>
    <s v="Al Hurea Security Services"/>
    <s v="Guards"/>
    <n v="21168"/>
    <s v="IGCC-BSR-260301"/>
    <d v="2026-03-31T00:00:00"/>
    <s v="N/A"/>
    <s v="Mar"/>
    <n v="2026"/>
  </r>
  <r>
    <n v="257"/>
    <x v="4"/>
    <x v="9"/>
    <s v="Actual"/>
    <x v="12"/>
    <m/>
    <s v="LARSA Security"/>
    <s v="Guards"/>
    <n v="5580"/>
    <s v="INV-IGCC-NORTH RUMILA -26-03-041"/>
    <d v="2026-03-31T00:00:00"/>
    <s v="N/A"/>
    <s v="Mar"/>
    <n v="2026"/>
  </r>
  <r>
    <n v="258"/>
    <x v="4"/>
    <x v="9"/>
    <s v="Actual"/>
    <x v="12"/>
    <m/>
    <s v="LARSA Security"/>
    <s v="PSD"/>
    <n v="7750"/>
    <s v="INV-IGCC-NORTH RUMILA -26-03-045"/>
    <d v="2026-03-31T00:00:00"/>
    <s v="N/A"/>
    <s v="Mar"/>
    <n v="2026"/>
  </r>
  <r>
    <n v="259"/>
    <x v="1"/>
    <x v="5"/>
    <s v="Actual"/>
    <x v="12"/>
    <m/>
    <s v="LARSA Security"/>
    <s v="Guards"/>
    <n v="14880"/>
    <s v="INV-IGCC-SOUTH RUMILA -26-03-042"/>
    <d v="2026-03-31T00:00:00"/>
    <s v="N/A"/>
    <s v="Mar"/>
    <n v="2026"/>
  </r>
  <r>
    <n v="260"/>
    <x v="4"/>
    <x v="9"/>
    <s v="Actual"/>
    <x v="12"/>
    <m/>
    <s v="LARSA Security"/>
    <s v="PSD"/>
    <n v="15500"/>
    <s v="INV-IGCC-UM QASIR ADHOC -26-03-043"/>
    <d v="2026-03-31T00:00:00"/>
    <s v="N/A"/>
    <s v="Mar"/>
    <n v="2026"/>
  </r>
  <r>
    <n v="261"/>
    <x v="4"/>
    <x v="9"/>
    <s v="Actual"/>
    <x v="12"/>
    <m/>
    <s v="LARSA Security"/>
    <s v="Guards"/>
    <n v="3720"/>
    <s v="INV-IGCC-UM QASIR -26-03-044"/>
    <d v="2026-03-31T00:00:00"/>
    <s v="N/A"/>
    <s v="Mar"/>
    <n v="2026"/>
  </r>
  <r>
    <n v="262"/>
    <x v="2"/>
    <x v="6"/>
    <s v="Actual"/>
    <x v="12"/>
    <m/>
    <s v="Derraa Al Rumaila Security"/>
    <s v="Guards"/>
    <n v="11520"/>
    <s v="3003100326"/>
    <d v="2026-03-30T00:00:00"/>
    <s v="N/A"/>
    <s v="Mar"/>
    <n v="2026"/>
  </r>
  <r>
    <n v="263"/>
    <x v="0"/>
    <x v="30"/>
    <s v="Actual"/>
    <x v="12"/>
    <m/>
    <s v="Derraa Al Rumaila Security"/>
    <s v="Guards"/>
    <n v="4500"/>
    <s v="3003100326"/>
    <d v="2026-03-30T00:00:00"/>
    <s v="N/A"/>
    <s v="Mar"/>
    <n v="2026"/>
  </r>
  <r>
    <n v="264"/>
    <x v="0"/>
    <x v="30"/>
    <s v="Actual"/>
    <x v="12"/>
    <m/>
    <s v="Derraa Al Rumaila Security"/>
    <s v="PSD"/>
    <n v="1000"/>
    <s v="3003100326"/>
    <d v="2026-03-30T00:00:00"/>
    <s v="N/A"/>
    <s v="Mar"/>
    <n v="2026"/>
  </r>
  <r>
    <n v="265"/>
    <x v="2"/>
    <x v="6"/>
    <s v="Actual"/>
    <x v="7"/>
    <m/>
    <s v="IGCC"/>
    <s v="Diesel tanker rental"/>
    <n v="2500"/>
    <s v="N/A"/>
    <s v="N/A"/>
    <s v="N/A"/>
    <s v="Mar"/>
    <n v="2026"/>
  </r>
  <r>
    <n v="266"/>
    <x v="7"/>
    <x v="21"/>
    <s v="Accrual"/>
    <x v="7"/>
    <m/>
    <s v="Al Ajdar For General Trading and General Purchasing Ltd"/>
    <s v="Lease &amp; Rent"/>
    <n v="4000"/>
    <s v="N/A"/>
    <s v="N/A"/>
    <s v="N/A"/>
    <s v="Mar"/>
    <n v="2026"/>
  </r>
  <r>
    <n v="267"/>
    <x v="6"/>
    <x v="14"/>
    <s v="Accrual"/>
    <x v="7"/>
    <m/>
    <s v="Al Ajdar For General Trading and General Purchasing Ltd"/>
    <s v="Lease &amp; Rent"/>
    <n v="4000"/>
    <s v="N/A"/>
    <s v="N/A"/>
    <s v="N/A"/>
    <s v="Mar"/>
    <n v="2026"/>
  </r>
  <r>
    <n v="268"/>
    <x v="0"/>
    <x v="34"/>
    <s v="Accrual"/>
    <x v="10"/>
    <m/>
    <s v="Hulum Telecom"/>
    <s v="Internet"/>
    <n v="1092.8571428571429"/>
    <s v="IN000302494"/>
    <d v="2026-01-03T00:00:00"/>
    <s v="N/A"/>
    <s v="Mar"/>
    <n v="2026"/>
  </r>
  <r>
    <n v="269"/>
    <x v="0"/>
    <x v="34"/>
    <s v="Actual"/>
    <x v="10"/>
    <m/>
    <s v="Zain Telecom"/>
    <s v="Zain Telecom Services"/>
    <n v="1454.8047563227256"/>
    <n v="64"/>
    <d v="2026-02-26T00:00:00"/>
    <s v="N/A"/>
    <s v="Mar"/>
    <n v="2026"/>
  </r>
  <r>
    <n v="270"/>
    <x v="1"/>
    <x v="35"/>
    <s v="Actual"/>
    <x v="10"/>
    <m/>
    <s v="Zain Telecom"/>
    <s v="Zain Telecom Services"/>
    <n v="59.513447553263369"/>
    <n v="64"/>
    <d v="2026-02-26T00:00:00"/>
    <s v="N/A"/>
    <s v="Mar"/>
    <n v="2026"/>
  </r>
  <r>
    <n v="271"/>
    <x v="2"/>
    <x v="36"/>
    <s v="Actual"/>
    <x v="10"/>
    <m/>
    <s v="Zain Telecom"/>
    <s v="Zain Telecom Services"/>
    <n v="354.82803956359589"/>
    <n v="64"/>
    <d v="2026-02-26T00:00:00"/>
    <s v="N/A"/>
    <s v="Mar"/>
    <n v="2026"/>
  </r>
  <r>
    <n v="272"/>
    <x v="3"/>
    <x v="37"/>
    <s v="Actual"/>
    <x v="10"/>
    <m/>
    <s v="Zain Telecom"/>
    <s v="Zain Telecom Services"/>
    <n v="404.79696702032538"/>
    <n v="64"/>
    <d v="2026-02-26T00:00:00"/>
    <s v="N/A"/>
    <s v="Mar"/>
    <n v="2026"/>
  </r>
  <r>
    <n v="273"/>
    <x v="8"/>
    <x v="22"/>
    <s v="Actual"/>
    <x v="10"/>
    <m/>
    <s v="Zain Telecom"/>
    <s v="Zain Telecom Services"/>
    <n v="262.22944985511811"/>
    <n v="64"/>
    <d v="2026-02-26T00:00:00"/>
    <s v="N/A"/>
    <s v="Mar"/>
    <n v="2026"/>
  </r>
  <r>
    <n v="274"/>
    <x v="2"/>
    <x v="7"/>
    <s v="Actual"/>
    <x v="10"/>
    <m/>
    <s v="Zain Telecom"/>
    <s v="Zain Telecom Services"/>
    <n v="279.50499963593478"/>
    <n v="64"/>
    <d v="2026-02-26T00:00:00"/>
    <s v="N/A"/>
    <s v="Mar"/>
    <n v="2026"/>
  </r>
  <r>
    <n v="275"/>
    <x v="4"/>
    <x v="38"/>
    <s v="Actual"/>
    <x v="10"/>
    <m/>
    <s v="Zain Telecom"/>
    <s v="Zain Telecom Services"/>
    <n v="174.42365623616095"/>
    <n v="64"/>
    <d v="2026-02-26T00:00:00"/>
    <s v="N/A"/>
    <s v="Mar"/>
    <n v="2026"/>
  </r>
  <r>
    <n v="276"/>
    <x v="5"/>
    <x v="39"/>
    <s v="Actual"/>
    <x v="10"/>
    <m/>
    <s v="Zain Telecom"/>
    <s v="Zain Telecom Services"/>
    <n v="239.7882958512518"/>
    <n v="64"/>
    <d v="2026-02-26T00:00:00"/>
    <s v="N/A"/>
    <s v="Mar"/>
    <n v="2026"/>
  </r>
  <r>
    <n v="277"/>
    <x v="6"/>
    <x v="40"/>
    <s v="Actual"/>
    <x v="10"/>
    <m/>
    <s v="Zain Telecom"/>
    <s v="Zain Telecom Services"/>
    <n v="1518.5833816748373"/>
    <n v="64"/>
    <d v="2026-02-26T00:00:00"/>
    <s v="N/A"/>
    <s v="Mar"/>
    <n v="2026"/>
  </r>
  <r>
    <n v="278"/>
    <x v="7"/>
    <x v="41"/>
    <s v="Actual"/>
    <x v="10"/>
    <m/>
    <s v="Zain Telecom"/>
    <s v="Zain Telecom Services"/>
    <n v="776.20233096211166"/>
    <n v="64"/>
    <d v="2026-02-26T00:00:00"/>
    <s v="N/A"/>
    <s v="Mar"/>
    <n v="2026"/>
  </r>
  <r>
    <n v="279"/>
    <x v="3"/>
    <x v="8"/>
    <s v="Accrual"/>
    <x v="13"/>
    <m/>
    <s v="IGCC"/>
    <s v="Social security"/>
    <n v="25000"/>
    <s v="N/A"/>
    <s v="N/A"/>
    <s v="N/A"/>
    <s v="Mar"/>
    <n v="2026"/>
  </r>
  <r>
    <n v="280"/>
    <x v="3"/>
    <x v="8"/>
    <s v="Actual"/>
    <x v="14"/>
    <m/>
    <s v="IGCC"/>
    <s v="Amman Expenses"/>
    <n v="380000"/>
    <s v="N/A"/>
    <s v="N/A"/>
    <s v="N/A"/>
    <s v="Mar"/>
    <n v="2026"/>
  </r>
  <r>
    <n v="281"/>
    <x v="8"/>
    <x v="22"/>
    <s v="Actual"/>
    <x v="15"/>
    <m/>
    <s v="Jabal Qendil BRS"/>
    <s v="Air ticket &amp; travel"/>
    <n v="1006"/>
    <s v="N/A"/>
    <d v="2026-03-31T00:00:00"/>
    <s v="N/A"/>
    <s v="Mar"/>
    <n v="2026"/>
  </r>
  <r>
    <n v="282"/>
    <x v="0"/>
    <x v="4"/>
    <s v="Actual"/>
    <x v="3"/>
    <m/>
    <s v="Abdullah Gallery"/>
    <s v="Materials/Safety"/>
    <n v="2532.4675324675327"/>
    <s v="00849"/>
    <d v="2026-03-02T00:00:00"/>
    <n v="2026400724"/>
    <s v="Mar"/>
    <n v="2026"/>
  </r>
  <r>
    <n v="283"/>
    <x v="0"/>
    <x v="0"/>
    <s v="Actual"/>
    <x v="3"/>
    <m/>
    <s v="Abdullah Gallery"/>
    <s v="Materials/Safety"/>
    <n v="2137.0129870129872"/>
    <s v="#"/>
    <d v="2026-02-25T00:00:00"/>
    <n v="2026400730"/>
    <s v="Mar"/>
    <n v="2026"/>
  </r>
  <r>
    <n v="284"/>
    <x v="2"/>
    <x v="6"/>
    <s v="Actual"/>
    <x v="3"/>
    <m/>
    <s v="Abdullah Gallery"/>
    <s v="Materials/Safety"/>
    <n v="649.35064935064941"/>
    <s v="0905"/>
    <d v="2026-03-08T00:00:00"/>
    <n v="2026400723"/>
    <s v="Mar"/>
    <n v="2026"/>
  </r>
  <r>
    <n v="285"/>
    <x v="6"/>
    <x v="17"/>
    <s v="Actual"/>
    <x v="3"/>
    <m/>
    <s v="Abdullah Gallery"/>
    <s v="Materials/Safety"/>
    <n v="389.61038961038963"/>
    <s v="0904"/>
    <d v="2026-03-09T00:00:00"/>
    <n v="2026400717"/>
    <s v="Mar"/>
    <n v="2026"/>
  </r>
  <r>
    <n v="286"/>
    <x v="0"/>
    <x v="1"/>
    <s v="Actual"/>
    <x v="3"/>
    <m/>
    <s v="Abdullah Gallery"/>
    <s v="Materials/Safety"/>
    <n v="292.20779220779218"/>
    <s v="00848"/>
    <d v="2026-03-01T00:00:00"/>
    <n v="2026400715"/>
    <s v="Mar"/>
    <n v="2026"/>
  </r>
  <r>
    <n v="287"/>
    <x v="2"/>
    <x v="7"/>
    <s v="Actual"/>
    <x v="3"/>
    <m/>
    <s v="Advance Welding Solutions Co"/>
    <s v="Materials/Wire"/>
    <n v="1363.6363636363637"/>
    <s v="003368"/>
    <d v="2026-03-04T00:00:00"/>
    <n v="2026400886"/>
    <s v="Mar"/>
    <n v="2026"/>
  </r>
  <r>
    <n v="288"/>
    <x v="6"/>
    <x v="17"/>
    <s v="Actual"/>
    <x v="3"/>
    <m/>
    <s v="AL AZIL AL EMIRATI"/>
    <s v="Materials"/>
    <n v="1428.5714285714287"/>
    <s v="8928"/>
    <d v="2026-02-28T00:00:00"/>
    <n v="2026400784"/>
    <s v="Mar"/>
    <n v="2026"/>
  </r>
  <r>
    <n v="289"/>
    <x v="2"/>
    <x v="7"/>
    <s v="Actual"/>
    <x v="3"/>
    <m/>
    <s v="AL AZIL AL EMIRATI"/>
    <s v="Materials"/>
    <n v="1071.4285714285713"/>
    <s v="9007"/>
    <d v="2026-03-16T00:00:00"/>
    <n v="2026401185"/>
    <s v="Mar"/>
    <n v="2026"/>
  </r>
  <r>
    <n v="290"/>
    <x v="6"/>
    <x v="19"/>
    <s v="Actual"/>
    <x v="3"/>
    <m/>
    <s v="AL AZIL AL EMIRATI"/>
    <s v="Materials"/>
    <n v="214.28571428571428"/>
    <s v="9026"/>
    <d v="2026-04-01T00:00:00"/>
    <n v="2026401189"/>
    <s v="Mar"/>
    <n v="2026"/>
  </r>
  <r>
    <n v="291"/>
    <x v="2"/>
    <x v="7"/>
    <s v="Actual"/>
    <x v="3"/>
    <m/>
    <s v="Al Diyar for Oil and Filters"/>
    <s v="Materials"/>
    <n v="1948.0519480519481"/>
    <s v="2396"/>
    <d v="2026-03-11T00:00:00"/>
    <n v="2026401048"/>
    <s v="Mar"/>
    <n v="2026"/>
  </r>
  <r>
    <n v="292"/>
    <x v="6"/>
    <x v="19"/>
    <s v="Actual"/>
    <x v="3"/>
    <m/>
    <s v="AL FARTOUSI GALLERY"/>
    <s v="Materials"/>
    <n v="1870.1298701298701"/>
    <s v="00601"/>
    <d v="2026-03-01T00:00:00"/>
    <n v="2026400935"/>
    <s v="Mar"/>
    <n v="2026"/>
  </r>
  <r>
    <n v="293"/>
    <x v="0"/>
    <x v="1"/>
    <s v="Actual"/>
    <x v="3"/>
    <m/>
    <s v="Al Ghasak Office"/>
    <s v="Materials"/>
    <n v="4155.8441558441555"/>
    <s v="GH-2026-088833"/>
    <d v="2026-03-05T00:00:00"/>
    <n v="2026400943"/>
    <s v="Mar"/>
    <n v="2026"/>
  </r>
  <r>
    <n v="294"/>
    <x v="0"/>
    <x v="1"/>
    <s v="Actual"/>
    <x v="3"/>
    <m/>
    <s v="Al Ghasak Office"/>
    <s v="Materials"/>
    <n v="584.41558441558436"/>
    <s v="GH-2026-088834"/>
    <d v="2026-03-05T00:00:00"/>
    <n v="2026400872"/>
    <s v="Mar"/>
    <n v="2026"/>
  </r>
  <r>
    <n v="295"/>
    <x v="0"/>
    <x v="0"/>
    <s v="Actual"/>
    <x v="3"/>
    <m/>
    <s v="AL JABER FOR FURNITURE"/>
    <s v="Materials"/>
    <n v="1262.3376623376623"/>
    <s v="0001898"/>
    <d v="2026-03-11T00:00:00"/>
    <n v="2026401077"/>
    <s v="Mar"/>
    <n v="2026"/>
  </r>
  <r>
    <n v="296"/>
    <x v="2"/>
    <x v="6"/>
    <s v="Actual"/>
    <x v="3"/>
    <m/>
    <s v="AL JANA STORE 2"/>
    <s v="Materials"/>
    <n v="340.90909090909093"/>
    <s v="008350"/>
    <d v="2026-02-26T00:00:00"/>
    <n v="2026400834"/>
    <s v="Mar"/>
    <n v="2026"/>
  </r>
  <r>
    <n v="297"/>
    <x v="9"/>
    <x v="23"/>
    <s v="Actual"/>
    <x v="3"/>
    <m/>
    <s v="AL MARJAN FOR CURTAINS"/>
    <s v="Materials"/>
    <n v="454.54545454545456"/>
    <s v="20"/>
    <d v="2026-02-28T00:00:00"/>
    <n v="2026400787"/>
    <s v="Mar"/>
    <n v="2026"/>
  </r>
  <r>
    <n v="298"/>
    <x v="6"/>
    <x v="16"/>
    <s v="Actual"/>
    <x v="3"/>
    <m/>
    <s v="AL MUSTAFA INDUSTRIAL IRON TRADING"/>
    <s v="Materials/Iron"/>
    <n v="2186.1"/>
    <s v="520"/>
    <d v="2026-02-26T00:00:00"/>
    <n v="2026400427"/>
    <s v="Mar"/>
    <n v="2026"/>
  </r>
  <r>
    <n v="299"/>
    <x v="0"/>
    <x v="0"/>
    <s v="Actual"/>
    <x v="3"/>
    <m/>
    <s v="AL MUSTAFA INDUSTRIAL IRON TRADING"/>
    <s v="Materials/Iron"/>
    <n v="2284.9"/>
    <s v="524"/>
    <d v="2026-02-26T00:00:00"/>
    <n v="2026400680"/>
    <s v="Mar"/>
    <n v="2026"/>
  </r>
  <r>
    <n v="300"/>
    <x v="7"/>
    <x v="21"/>
    <s v="Actual"/>
    <x v="3"/>
    <m/>
    <s v="AL MUSTAFA INDUSTRIAL IRON TRADING"/>
    <s v="Materials/Iron"/>
    <n v="1963"/>
    <s v="534"/>
    <d v="2026-03-11T00:00:00"/>
    <n v="2026400713"/>
    <s v="Mar"/>
    <n v="2026"/>
  </r>
  <r>
    <n v="301"/>
    <x v="7"/>
    <x v="21"/>
    <s v="Actual"/>
    <x v="3"/>
    <m/>
    <s v="AL MUSTAFA INDUSTRIAL IRON TRADING"/>
    <s v="Materials/Iron"/>
    <n v="914.4"/>
    <s v="532"/>
    <d v="2026-03-11T00:00:00"/>
    <n v="2026400716"/>
    <s v="Mar"/>
    <n v="2026"/>
  </r>
  <r>
    <n v="302"/>
    <x v="6"/>
    <x v="19"/>
    <s v="Actual"/>
    <x v="3"/>
    <m/>
    <s v="AL MUSTAFA INDUSTRIAL IRON TRADING"/>
    <s v="Materials/Iron"/>
    <n v="287.89999999999998"/>
    <s v="526"/>
    <d v="2026-03-11T00:00:00"/>
    <n v="2026400681"/>
    <s v="Mar"/>
    <n v="2026"/>
  </r>
  <r>
    <n v="303"/>
    <x v="6"/>
    <x v="17"/>
    <s v="Actual"/>
    <x v="3"/>
    <m/>
    <s v="AL MUSTAFA INDUSTRIAL IRON TRADING"/>
    <s v="Materials/Iron"/>
    <n v="1637.1"/>
    <s v="538"/>
    <d v="2026-03-11T00:00:00"/>
    <n v="2026400732"/>
    <s v="Mar"/>
    <n v="2026"/>
  </r>
  <r>
    <n v="304"/>
    <x v="2"/>
    <x v="7"/>
    <s v="Actual"/>
    <x v="3"/>
    <m/>
    <s v="AL MUSTAFA INDUSTRIAL IRON TRADING"/>
    <s v="Materials/Iron"/>
    <n v="2500"/>
    <s v="542"/>
    <d v="2026-03-14T00:00:00"/>
    <n v="2026400960"/>
    <s v="Mar"/>
    <n v="2026"/>
  </r>
  <r>
    <n v="305"/>
    <x v="0"/>
    <x v="0"/>
    <s v="Actual"/>
    <x v="3"/>
    <m/>
    <s v="AL MUSTAFA INDUSTRIAL IRON TRADING"/>
    <s v="Materials/Iron"/>
    <n v="1141"/>
    <s v="546"/>
    <d v="2026-03-14T00:00:00"/>
    <n v="2026401030"/>
    <s v="Mar"/>
    <n v="2026"/>
  </r>
  <r>
    <n v="306"/>
    <x v="0"/>
    <x v="3"/>
    <s v="Actual"/>
    <x v="3"/>
    <m/>
    <s v="AL MUSTAFA INDUSTRIAL IRON TRADING"/>
    <s v="Materials/Iron"/>
    <n v="1390"/>
    <s v="548"/>
    <d v="2026-03-15T00:00:00"/>
    <n v="2026401031"/>
    <s v="Mar"/>
    <n v="2026"/>
  </r>
  <r>
    <n v="307"/>
    <x v="6"/>
    <x v="17"/>
    <s v="Actual"/>
    <x v="3"/>
    <m/>
    <s v="AL MUSTAFA INDUSTRIAL IRON TRADING"/>
    <s v="Materials/Iron"/>
    <n v="728.4"/>
    <s v="544"/>
    <d v="2026-03-16T00:00:00"/>
    <n v="2026400965"/>
    <s v="Mar"/>
    <n v="2026"/>
  </r>
  <r>
    <n v="308"/>
    <x v="0"/>
    <x v="0"/>
    <s v="Actual"/>
    <x v="3"/>
    <m/>
    <s v="AL MUSTAFA INDUSTRIAL IRON TRADING"/>
    <s v="Materials/Iron"/>
    <n v="1200"/>
    <s v="560"/>
    <d v="2026-03-18T00:00:00"/>
    <n v="2026401089"/>
    <s v="Mar"/>
    <n v="2026"/>
  </r>
  <r>
    <n v="309"/>
    <x v="0"/>
    <x v="0"/>
    <s v="Actual"/>
    <x v="3"/>
    <m/>
    <s v="AL MUSTAFA INDUSTRIAL IRON TRADING"/>
    <s v="Materials/Iron"/>
    <n v="2970.5"/>
    <s v="558"/>
    <d v="2026-03-18T00:00:00"/>
    <n v="2026401085"/>
    <s v="Mar"/>
    <n v="2026"/>
  </r>
  <r>
    <n v="310"/>
    <x v="0"/>
    <x v="0"/>
    <s v="Actual"/>
    <x v="3"/>
    <m/>
    <s v="AL MUSTAFA INDUSTRIAL IRON TRADING"/>
    <s v="Materials/Iron"/>
    <n v="12060"/>
    <s v="550"/>
    <d v="2026-03-17T00:00:00"/>
    <n v="2026401069"/>
    <s v="Mar"/>
    <n v="2026"/>
  </r>
  <r>
    <n v="311"/>
    <x v="0"/>
    <x v="0"/>
    <s v="Actual"/>
    <x v="3"/>
    <m/>
    <s v="AL MUSTAFA INDUSTRIAL IRON TRADING"/>
    <s v="Materials/Iron"/>
    <n v="1540"/>
    <s v="562"/>
    <d v="2026-03-18T00:00:00"/>
    <n v="2026401090"/>
    <s v="Mar"/>
    <n v="2026"/>
  </r>
  <r>
    <n v="312"/>
    <x v="6"/>
    <x v="17"/>
    <s v="Actual"/>
    <x v="3"/>
    <m/>
    <s v="AL MUSTAFA INDUSTRIAL IRON TRADING"/>
    <s v="Materials/Iron"/>
    <n v="24140"/>
    <s v="552"/>
    <d v="2026-03-18T00:00:00"/>
    <n v="2026401067"/>
    <s v="Mar"/>
    <n v="2026"/>
  </r>
  <r>
    <n v="313"/>
    <x v="6"/>
    <x v="19"/>
    <s v="Actual"/>
    <x v="3"/>
    <m/>
    <s v="AL MUSTAFA INDUSTRIAL IRON TRADING"/>
    <s v="Materials/Iron"/>
    <n v="16709.900000000001"/>
    <s v="556"/>
    <d v="2026-03-15T00:00:00"/>
    <n v="2026401065"/>
    <s v="Mar"/>
    <n v="2026"/>
  </r>
  <r>
    <n v="314"/>
    <x v="7"/>
    <x v="21"/>
    <s v="Actual"/>
    <x v="3"/>
    <m/>
    <s v="AL MUSTAFA INDUSTRIAL IRON TRADING"/>
    <s v="Materials/Iron"/>
    <n v="13812.4"/>
    <s v="540"/>
    <d v="2026-03-17T00:00:00"/>
    <n v="2026400898"/>
    <s v="Mar"/>
    <n v="2026"/>
  </r>
  <r>
    <n v="315"/>
    <x v="6"/>
    <x v="19"/>
    <s v="Actual"/>
    <x v="3"/>
    <m/>
    <s v="AL MUSTAFA INDUSTRIAL IRON TRADING"/>
    <s v="Materials/Iron"/>
    <n v="760.2"/>
    <s v="568"/>
    <d v="2026-04-06T00:00:00"/>
    <n v="2026401264"/>
    <s v="Mar"/>
    <n v="2026"/>
  </r>
  <r>
    <n v="316"/>
    <x v="6"/>
    <x v="19"/>
    <s v="Actual"/>
    <x v="3"/>
    <m/>
    <s v="Al Narges Company for Pipes"/>
    <s v="Materials/Pipes"/>
    <n v="5481.818181818182"/>
    <s v="8050"/>
    <d v="2026-03-12T00:00:00"/>
    <n v="2026400873"/>
    <s v="Mar"/>
    <n v="2026"/>
  </r>
  <r>
    <n v="317"/>
    <x v="7"/>
    <x v="21"/>
    <s v="Actual"/>
    <x v="3"/>
    <m/>
    <s v="Al Narges Company for Pipes"/>
    <s v="Materials/Pipes"/>
    <n v="1357.1428571428571"/>
    <s v="8047"/>
    <d v="2026-03-12T00:00:00"/>
    <n v="2026400845"/>
    <s v="Mar"/>
    <n v="2026"/>
  </r>
  <r>
    <n v="318"/>
    <x v="6"/>
    <x v="19"/>
    <s v="Actual"/>
    <x v="3"/>
    <m/>
    <s v="Al Narges Company for Pipes"/>
    <s v="Materials/Pipes"/>
    <n v="857.14285714285711"/>
    <s v="8049"/>
    <d v="2026-03-12T00:00:00"/>
    <n v="2026400888"/>
    <s v="Mar"/>
    <n v="2026"/>
  </r>
  <r>
    <n v="319"/>
    <x v="7"/>
    <x v="21"/>
    <s v="Actual"/>
    <x v="3"/>
    <m/>
    <s v="Al Narges Company for Pipes"/>
    <s v="Materials/Pipes"/>
    <n v="740.25974025974028"/>
    <s v="8048"/>
    <d v="2026-03-12T00:00:00"/>
    <n v="2026400846"/>
    <s v="Mar"/>
    <n v="2026"/>
  </r>
  <r>
    <n v="320"/>
    <x v="2"/>
    <x v="7"/>
    <s v="Actual"/>
    <x v="3"/>
    <m/>
    <s v="Al-Aqeel Gallery for Electrical Material"/>
    <s v="Materials/Cables"/>
    <n v="1899.3506493506493"/>
    <s v="0755"/>
    <d v="2026-03-16T00:00:00"/>
    <n v="2026401103"/>
    <s v="Mar"/>
    <n v="2026"/>
  </r>
  <r>
    <n v="321"/>
    <x v="0"/>
    <x v="1"/>
    <s v="Actual"/>
    <x v="3"/>
    <m/>
    <s v="Al-Ghadeer Print"/>
    <s v="Materials"/>
    <n v="35.714285714285715"/>
    <s v="0228"/>
    <d v="2026-03-18T00:00:00"/>
    <n v="2026401174"/>
    <s v="Mar"/>
    <n v="2026"/>
  </r>
  <r>
    <n v="322"/>
    <x v="0"/>
    <x v="1"/>
    <s v="Actual"/>
    <x v="3"/>
    <m/>
    <s v="Al-Ghadeer Print"/>
    <s v="Materials"/>
    <n v="32.467532467532465"/>
    <s v="0229"/>
    <d v="2026-03-25T00:00:00"/>
    <n v="2026401175"/>
    <s v="Mar"/>
    <n v="2026"/>
  </r>
  <r>
    <n v="323"/>
    <x v="7"/>
    <x v="21"/>
    <s v="Actual"/>
    <x v="3"/>
    <m/>
    <s v="Al-Ghader Gallary"/>
    <s v="Materials"/>
    <n v="8701.2987012987014"/>
    <s v="7045"/>
    <d v="2026-03-01T00:00:00"/>
    <n v="2026400901"/>
    <s v="Mar"/>
    <n v="2026"/>
  </r>
  <r>
    <n v="324"/>
    <x v="7"/>
    <x v="21"/>
    <s v="Actual"/>
    <x v="3"/>
    <m/>
    <s v="Al-Ghader Gallary"/>
    <s v="Materials"/>
    <n v="6337.6623376623374"/>
    <s v="7046"/>
    <d v="2026-03-01T00:00:00"/>
    <n v="2026400896"/>
    <s v="Mar"/>
    <n v="2026"/>
  </r>
  <r>
    <n v="325"/>
    <x v="6"/>
    <x v="12"/>
    <s v="Actual"/>
    <x v="3"/>
    <m/>
    <s v="Al-Ghader Gallary"/>
    <s v="Materials"/>
    <n v="1344.1558441558441"/>
    <s v="7047"/>
    <d v="2026-03-07T00:00:00"/>
    <n v="2026400904"/>
    <s v="Mar"/>
    <n v="2026"/>
  </r>
  <r>
    <n v="326"/>
    <x v="5"/>
    <x v="11"/>
    <s v="Actual"/>
    <x v="3"/>
    <m/>
    <s v="AL-GHASAQ OFFICE FOR TRADING AND ELECTRICAL CONSTRUCTION MATERIALS"/>
    <s v="Materials/Water"/>
    <n v="2127.2727272727275"/>
    <s v="GH-2026-088763"/>
    <d v="2026-02-18T00:00:00"/>
    <n v="2026400907"/>
    <s v="Mar"/>
    <n v="2026"/>
  </r>
  <r>
    <n v="327"/>
    <x v="5"/>
    <x v="11"/>
    <s v="Actual"/>
    <x v="3"/>
    <m/>
    <s v="AL-GHASAQ OFFICE FOR TRADING AND ELECTRICAL CONSTRUCTION MATERIALS"/>
    <s v="Materials/Water"/>
    <n v="1872.7272727272727"/>
    <s v="GH-2026-088821"/>
    <d v="2026-03-03T00:00:00"/>
    <n v="2026400910"/>
    <s v="Mar"/>
    <n v="2026"/>
  </r>
  <r>
    <n v="328"/>
    <x v="6"/>
    <x v="17"/>
    <s v="Actual"/>
    <x v="3"/>
    <m/>
    <s v="Ali Hadi"/>
    <s v="Materials"/>
    <n v="1866.8831168831168"/>
    <s v="0707"/>
    <d v="2026-03-13T00:00:00"/>
    <n v="2026400964"/>
    <s v="Mar"/>
    <n v="2026"/>
  </r>
  <r>
    <n v="329"/>
    <x v="0"/>
    <x v="4"/>
    <s v="Actual"/>
    <x v="3"/>
    <m/>
    <s v="Al-Janaeen Al-Mualaka for Water"/>
    <s v="Materials/Water"/>
    <n v="5267.5324675324673"/>
    <s v="3755"/>
    <d v="2026-03-11T00:00:00"/>
    <n v="2026401123"/>
    <s v="Mar"/>
    <n v="2026"/>
  </r>
  <r>
    <n v="330"/>
    <x v="2"/>
    <x v="7"/>
    <s v="Actual"/>
    <x v="3"/>
    <m/>
    <s v="Al-Janaeen Al-Mualaka for Water"/>
    <s v="Materials/Water"/>
    <n v="5267.5324675324673"/>
    <s v="3785"/>
    <d v="2026-03-16T00:00:00"/>
    <n v="2026401245"/>
    <s v="Mar"/>
    <n v="2026"/>
  </r>
  <r>
    <n v="331"/>
    <x v="6"/>
    <x v="16"/>
    <s v="Actual"/>
    <x v="3"/>
    <m/>
    <s v="Al-Jorani Factory"/>
    <s v="Materials/Iron"/>
    <n v="1920.6"/>
    <s v="333"/>
    <d v="2026-03-08T00:00:00"/>
    <n v="2026400922"/>
    <s v="Mar"/>
    <n v="2026"/>
  </r>
  <r>
    <n v="332"/>
    <x v="5"/>
    <x v="10"/>
    <s v="Actual"/>
    <x v="3"/>
    <m/>
    <s v="Al-Jorani Factory"/>
    <s v="Materials"/>
    <n v="1552"/>
    <s v="332"/>
    <d v="2026-03-08T00:00:00"/>
    <n v="2026400958"/>
    <s v="Mar"/>
    <n v="2026"/>
  </r>
  <r>
    <n v="333"/>
    <x v="10"/>
    <x v="28"/>
    <s v="Actual"/>
    <x v="3"/>
    <m/>
    <s v="Al-Karar Gallery for Wood &amp; MDF"/>
    <s v="Materials/Wood"/>
    <n v="3672.0779220779223"/>
    <s v="0001709"/>
    <d v="2026-03-09T00:00:00"/>
    <n v="2026400951"/>
    <s v="Mar"/>
    <n v="2026"/>
  </r>
  <r>
    <n v="334"/>
    <x v="2"/>
    <x v="6"/>
    <s v="Actual"/>
    <x v="3"/>
    <m/>
    <s v="Al-Karar Gallery for Wood &amp; MDF"/>
    <s v="Materials/Wood"/>
    <n v="2857.1428571428573"/>
    <s v="0001707"/>
    <d v="2026-03-03T00:00:00"/>
    <n v="2026400882"/>
    <s v="Mar"/>
    <n v="2026"/>
  </r>
  <r>
    <n v="335"/>
    <x v="0"/>
    <x v="1"/>
    <s v="Actual"/>
    <x v="3"/>
    <m/>
    <s v="Al-Karar Gallery for Wood &amp; MDF"/>
    <s v="Materials/Wood"/>
    <n v="817.53246753246754"/>
    <s v="0001708"/>
    <d v="2026-03-09T00:00:00"/>
    <n v="2026400963"/>
    <s v="Mar"/>
    <n v="2026"/>
  </r>
  <r>
    <n v="336"/>
    <x v="6"/>
    <x v="19"/>
    <s v="Actual"/>
    <x v="3"/>
    <m/>
    <s v="Al-qanaat Altijaria shops"/>
    <s v="Materials/Bolts"/>
    <n v="879.87012987012986"/>
    <s v="0471"/>
    <d v="2026-03-16T00:00:00"/>
    <n v="2026401072"/>
    <s v="Mar"/>
    <n v="2026"/>
  </r>
  <r>
    <n v="337"/>
    <x v="6"/>
    <x v="19"/>
    <s v="Actual"/>
    <x v="3"/>
    <m/>
    <s v="Al-Rafidain Store for Bolts"/>
    <s v="Materials"/>
    <n v="2042.2077922077922"/>
    <s v="01502"/>
    <d v="2026-02-24T00:00:00"/>
    <n v="2026400986"/>
    <s v="Mar"/>
    <n v="2026"/>
  </r>
  <r>
    <n v="338"/>
    <x v="6"/>
    <x v="19"/>
    <s v="Actual"/>
    <x v="3"/>
    <m/>
    <s v="Al-Rafidain Store for Bolts"/>
    <s v="Materials"/>
    <n v="1261.3636363636363"/>
    <s v="01522"/>
    <d v="2026-03-08T00:00:00"/>
    <n v="2026400985"/>
    <s v="Mar"/>
    <n v="2026"/>
  </r>
  <r>
    <n v="339"/>
    <x v="2"/>
    <x v="6"/>
    <s v="Actual"/>
    <x v="3"/>
    <m/>
    <s v="Al-Sadrain Stores"/>
    <s v="Materials"/>
    <n v="1589.6103896103896"/>
    <s v="000538"/>
    <d v="2026-03-18T00:00:00"/>
    <n v="2026401137"/>
    <s v="Mar"/>
    <n v="2026"/>
  </r>
  <r>
    <n v="340"/>
    <x v="2"/>
    <x v="7"/>
    <s v="Actual"/>
    <x v="3"/>
    <m/>
    <s v="Al-Safi Factory and Um Albanin Gallery"/>
    <s v="Materials"/>
    <n v="5357.1428571428569"/>
    <s v="0154"/>
    <d v="2026-03-12T00:00:00"/>
    <n v="2026401053"/>
    <s v="Mar"/>
    <n v="2026"/>
  </r>
  <r>
    <n v="341"/>
    <x v="2"/>
    <x v="7"/>
    <s v="Actual"/>
    <x v="3"/>
    <m/>
    <s v="ALSAFWA"/>
    <s v="Materials"/>
    <n v="1191.5584415584415"/>
    <s v="00260"/>
    <d v="2026-03-16T00:00:00"/>
    <n v="2026401080"/>
    <s v="Mar"/>
    <n v="2026"/>
  </r>
  <r>
    <n v="342"/>
    <x v="6"/>
    <x v="12"/>
    <s v="Actual"/>
    <x v="3"/>
    <m/>
    <s v="Al-Sard Company (Dewalt)"/>
    <s v="Materials"/>
    <n v="1542.8571428571429"/>
    <s v="001590"/>
    <d v="2026-03-11T00:00:00"/>
    <n v="2026401099"/>
    <s v="Mar"/>
    <n v="2026"/>
  </r>
  <r>
    <n v="343"/>
    <x v="2"/>
    <x v="6"/>
    <s v="Actual"/>
    <x v="3"/>
    <m/>
    <s v="ALSHAARQ FOR BUILDING SYSTEMS"/>
    <s v="Materials"/>
    <n v="1948.0519480519481"/>
    <s v="0869"/>
    <d v="2026-03-18T00:00:00"/>
    <n v="2026401079"/>
    <s v="Mar"/>
    <n v="2026"/>
  </r>
  <r>
    <n v="344"/>
    <x v="0"/>
    <x v="4"/>
    <s v="Actual"/>
    <x v="3"/>
    <m/>
    <s v="Amer Essa Salem"/>
    <s v="Materials"/>
    <n v="925.32467532467535"/>
    <s v="4797"/>
    <d v="2026-03-16T00:00:00"/>
    <n v="2026401158"/>
    <s v="Mar"/>
    <n v="2026"/>
  </r>
  <r>
    <n v="345"/>
    <x v="2"/>
    <x v="7"/>
    <s v="Actual"/>
    <x v="3"/>
    <m/>
    <s v="Barakat Um Al Banin for Batteries"/>
    <s v="Materials"/>
    <n v="2821.4285714285716"/>
    <s v="9130"/>
    <d v="2026-03-10T00:00:00"/>
    <n v="2026401049"/>
    <s v="Mar"/>
    <n v="2026"/>
  </r>
  <r>
    <n v="346"/>
    <x v="7"/>
    <x v="21"/>
    <s v="Actual"/>
    <x v="3"/>
    <m/>
    <s v="BLUE LINE"/>
    <s v="Materials"/>
    <n v="1570"/>
    <s v="6786"/>
    <d v="2026-02-20T00:00:00"/>
    <n v="2026400953"/>
    <s v="Mar"/>
    <n v="2026"/>
  </r>
  <r>
    <n v="347"/>
    <x v="6"/>
    <x v="19"/>
    <s v="Actual"/>
    <x v="3"/>
    <m/>
    <s v="BLUE LINE"/>
    <s v="Materials"/>
    <n v="1449.52"/>
    <s v="6805"/>
    <d v="2026-03-01T00:00:00"/>
    <n v="2026400984"/>
    <s v="Mar"/>
    <n v="2026"/>
  </r>
  <r>
    <n v="348"/>
    <x v="2"/>
    <x v="7"/>
    <s v="Actual"/>
    <x v="3"/>
    <m/>
    <s v="BLUE LINE"/>
    <s v="Materials"/>
    <n v="110.7"/>
    <s v="6806"/>
    <d v="2026-03-01T00:00:00"/>
    <n v="2026400989"/>
    <s v="Mar"/>
    <n v="2026"/>
  </r>
  <r>
    <n v="349"/>
    <x v="5"/>
    <x v="10"/>
    <s v="Actual"/>
    <x v="3"/>
    <m/>
    <s v="BLUE LINE"/>
    <s v="Materials"/>
    <n v="839.67"/>
    <s v="6807"/>
    <d v="2026-03-01T00:00:00"/>
    <n v="2026400983"/>
    <s v="Mar"/>
    <n v="2026"/>
  </r>
  <r>
    <n v="350"/>
    <x v="2"/>
    <x v="7"/>
    <s v="Actual"/>
    <x v="3"/>
    <m/>
    <s v="BLUE LINE"/>
    <s v="Materials"/>
    <n v="1035.98"/>
    <s v="6808"/>
    <d v="2026-03-01T00:00:00"/>
    <n v="2026400990"/>
    <s v="Mar"/>
    <n v="2026"/>
  </r>
  <r>
    <n v="351"/>
    <x v="2"/>
    <x v="7"/>
    <s v="Actual"/>
    <x v="3"/>
    <m/>
    <s v="BLUE LINE"/>
    <s v="Materials"/>
    <n v="231"/>
    <s v="6809"/>
    <d v="2026-03-01T00:00:00"/>
    <n v="2026400988"/>
    <s v="Mar"/>
    <n v="2026"/>
  </r>
  <r>
    <n v="352"/>
    <x v="5"/>
    <x v="11"/>
    <s v="Actual"/>
    <x v="3"/>
    <m/>
    <s v="BLUE LINE"/>
    <s v="Materials"/>
    <n v="57.5"/>
    <s v="6810"/>
    <d v="2026-03-01T00:00:00"/>
    <n v="2026400980"/>
    <s v="Mar"/>
    <n v="2026"/>
  </r>
  <r>
    <n v="353"/>
    <x v="6"/>
    <x v="19"/>
    <s v="Actual"/>
    <x v="3"/>
    <m/>
    <s v="BLUE LINE"/>
    <s v="Materials"/>
    <n v="60.05"/>
    <s v="6811"/>
    <d v="2026-03-01T00:00:00"/>
    <n v="2026400993"/>
    <s v="Mar"/>
    <n v="2026"/>
  </r>
  <r>
    <n v="354"/>
    <x v="6"/>
    <x v="19"/>
    <s v="Actual"/>
    <x v="3"/>
    <m/>
    <s v="BLUE LINE"/>
    <s v="Materials"/>
    <n v="725.85"/>
    <s v="6812"/>
    <d v="2026-03-01T00:00:00"/>
    <n v="2026400982"/>
    <s v="Mar"/>
    <n v="2026"/>
  </r>
  <r>
    <n v="355"/>
    <x v="6"/>
    <x v="19"/>
    <s v="Actual"/>
    <x v="3"/>
    <m/>
    <s v="BLUE LINE"/>
    <s v="Materials"/>
    <n v="143.08000000000001"/>
    <s v="6814"/>
    <d v="2026-03-01T00:00:00"/>
    <n v="2026400981"/>
    <s v="Mar"/>
    <n v="2026"/>
  </r>
  <r>
    <n v="356"/>
    <x v="0"/>
    <x v="1"/>
    <s v="Actual"/>
    <x v="3"/>
    <m/>
    <s v="BLUE LINE"/>
    <s v="Materials"/>
    <n v="747.38"/>
    <s v="6815"/>
    <d v="2026-03-01T00:00:00"/>
    <n v="2026401003"/>
    <s v="Mar"/>
    <n v="2026"/>
  </r>
  <r>
    <n v="357"/>
    <x v="0"/>
    <x v="1"/>
    <s v="Actual"/>
    <x v="3"/>
    <m/>
    <s v="BLUE LINE"/>
    <s v="Materials"/>
    <n v="138.6"/>
    <s v="6816"/>
    <d v="2026-03-01T00:00:00"/>
    <n v="2026400997"/>
    <s v="Mar"/>
    <n v="2026"/>
  </r>
  <r>
    <n v="358"/>
    <x v="0"/>
    <x v="1"/>
    <s v="Actual"/>
    <x v="3"/>
    <m/>
    <s v="BLUE LINE"/>
    <s v="Materials"/>
    <n v="31.44"/>
    <s v="6817"/>
    <d v="2026-03-01T00:00:00"/>
    <n v="2026401002"/>
    <s v="Mar"/>
    <n v="2026"/>
  </r>
  <r>
    <n v="359"/>
    <x v="5"/>
    <x v="11"/>
    <s v="Actual"/>
    <x v="3"/>
    <m/>
    <s v="BLUE LINE"/>
    <s v="Materials"/>
    <n v="124.5"/>
    <s v="6818"/>
    <d v="2026-03-01T00:00:00"/>
    <n v="2026400987"/>
    <s v="Mar"/>
    <n v="2026"/>
  </r>
  <r>
    <n v="360"/>
    <x v="6"/>
    <x v="17"/>
    <s v="Actual"/>
    <x v="3"/>
    <m/>
    <s v="BLUE LINE"/>
    <s v="Materials"/>
    <n v="295.36"/>
    <s v="6820"/>
    <d v="2026-03-15T00:00:00"/>
    <n v="2026401149"/>
    <s v="Mar"/>
    <n v="2026"/>
  </r>
  <r>
    <n v="361"/>
    <x v="7"/>
    <x v="21"/>
    <s v="Actual"/>
    <x v="3"/>
    <m/>
    <s v="BLUE LINE"/>
    <s v="Materials"/>
    <n v="646.5"/>
    <s v="6821"/>
    <d v="2026-03-15T00:00:00"/>
    <n v="2026401148"/>
    <s v="Mar"/>
    <n v="2026"/>
  </r>
  <r>
    <n v="362"/>
    <x v="6"/>
    <x v="13"/>
    <s v="Actual"/>
    <x v="3"/>
    <m/>
    <s v="BLUE LINE"/>
    <s v="Materials"/>
    <n v="177.12"/>
    <s v="6822"/>
    <d v="2026-03-15T00:00:00"/>
    <n v="2026401150"/>
    <s v="Mar"/>
    <n v="2026"/>
  </r>
  <r>
    <n v="363"/>
    <x v="7"/>
    <x v="21"/>
    <s v="Actual"/>
    <x v="3"/>
    <m/>
    <s v="BLUE LINE"/>
    <s v="Materials"/>
    <n v="496.26"/>
    <s v="6819"/>
    <d v="2026-03-15T00:00:00"/>
    <n v="2026401220"/>
    <s v="Mar"/>
    <n v="2026"/>
  </r>
  <r>
    <n v="364"/>
    <x v="6"/>
    <x v="19"/>
    <s v="Actual"/>
    <x v="3"/>
    <m/>
    <s v="Cargo Ship Company"/>
    <s v="Materials"/>
    <n v="2000"/>
    <s v="239"/>
    <d v="2026-03-25T00:00:00"/>
    <n v="2026401131"/>
    <s v="Mar"/>
    <n v="2026"/>
  </r>
  <r>
    <n v="365"/>
    <x v="6"/>
    <x v="17"/>
    <s v="Actual"/>
    <x v="3"/>
    <m/>
    <s v="DCP IRAQ"/>
    <s v="Materials"/>
    <n v="551.9480519480519"/>
    <s v="#"/>
    <d v="2026-03-15T00:00:00"/>
    <n v="2026401015"/>
    <s v="Mar"/>
    <n v="2026"/>
  </r>
  <r>
    <n v="366"/>
    <x v="7"/>
    <x v="21"/>
    <s v="Actual"/>
    <x v="3"/>
    <m/>
    <s v="Deep South Company"/>
    <s v="Materials"/>
    <n v="3800"/>
    <s v="IGCC07"/>
    <d v="2026-03-11T00:00:00"/>
    <n v="2026401009"/>
    <s v="Mar"/>
    <n v="2026"/>
  </r>
  <r>
    <n v="367"/>
    <x v="6"/>
    <x v="16"/>
    <s v="Actual"/>
    <x v="3"/>
    <m/>
    <s v="EPT LLC (SIKA)"/>
    <s v="Materials/Iron"/>
    <n v="727.27272727272725"/>
    <s v="197"/>
    <d v="2026-02-26T00:00:00"/>
    <n v="2026400750"/>
    <s v="Mar"/>
    <n v="2026"/>
  </r>
  <r>
    <n v="368"/>
    <x v="6"/>
    <x v="19"/>
    <s v="Actual"/>
    <x v="3"/>
    <m/>
    <s v="Fasco LLC FZ"/>
    <s v="Materials"/>
    <n v="749.31880108991822"/>
    <s v="20264000016"/>
    <d v="2026-03-03T00:00:00"/>
    <n v="2026401197"/>
    <s v="Mar"/>
    <n v="2026"/>
  </r>
  <r>
    <n v="369"/>
    <x v="4"/>
    <x v="9"/>
    <s v="Actual"/>
    <x v="3"/>
    <m/>
    <s v="FUTURE PIPE INDUSTRIES LLC"/>
    <s v="Materials"/>
    <n v="55777.32"/>
    <s v="FPI/PI/CC/1200/26"/>
    <d v="2026-03-18T00:00:00"/>
    <n v="2026400820"/>
    <s v="Mar"/>
    <n v="2026"/>
  </r>
  <r>
    <n v="370"/>
    <x v="0"/>
    <x v="4"/>
    <s v="Actual"/>
    <x v="3"/>
    <m/>
    <s v="GULF PEARL GROUP"/>
    <s v="Materials/Paint"/>
    <n v="7620"/>
    <s v="28702026"/>
    <d v="2026-03-05T00:00:00"/>
    <n v="2026400782"/>
    <s v="Mar"/>
    <n v="2026"/>
  </r>
  <r>
    <n v="371"/>
    <x v="0"/>
    <x v="4"/>
    <s v="Actual"/>
    <x v="3"/>
    <m/>
    <s v="GULF PEARL GROUP"/>
    <s v="Materials/Paint"/>
    <n v="794"/>
    <s v="28712026"/>
    <d v="2026-03-05T00:00:00"/>
    <n v="2026400783"/>
    <s v="Mar"/>
    <n v="2026"/>
  </r>
  <r>
    <n v="372"/>
    <x v="0"/>
    <x v="0"/>
    <s v="Actual"/>
    <x v="3"/>
    <m/>
    <s v="GULF PEARL GROUP"/>
    <s v="Materials/Paint"/>
    <n v="850"/>
    <s v="287302026"/>
    <d v="2026-03-08T00:00:00"/>
    <n v="2026400525"/>
    <s v="Mar"/>
    <n v="2026"/>
  </r>
  <r>
    <n v="373"/>
    <x v="2"/>
    <x v="7"/>
    <s v="Actual"/>
    <x v="3"/>
    <m/>
    <s v="GULF PEARL GROUP"/>
    <s v="Materials/Paint"/>
    <n v="1920.4"/>
    <s v="287202026"/>
    <d v="2026-03-08T00:00:00"/>
    <n v="2026400728"/>
    <s v="Mar"/>
    <n v="2026"/>
  </r>
  <r>
    <n v="374"/>
    <x v="0"/>
    <x v="4"/>
    <s v="Actual"/>
    <x v="3"/>
    <m/>
    <s v="GULF PEARL GROUP"/>
    <s v="Materials/Paint"/>
    <n v="1854"/>
    <s v="28742026"/>
    <d v="2026-03-08T00:00:00"/>
    <n v="2026400781"/>
    <s v="Mar"/>
    <n v="2026"/>
  </r>
  <r>
    <n v="375"/>
    <x v="7"/>
    <x v="21"/>
    <s v="Actual"/>
    <x v="3"/>
    <m/>
    <s v="GULF PEARL GROUP"/>
    <s v="Materials/Paint"/>
    <n v="15600"/>
    <s v="28802026"/>
    <d v="2026-03-25T00:00:00"/>
    <n v="2026401117"/>
    <s v="Mar"/>
    <n v="2026"/>
  </r>
  <r>
    <n v="376"/>
    <x v="0"/>
    <x v="0"/>
    <s v="Actual"/>
    <x v="3"/>
    <m/>
    <s v="GULF PEARL GROUP"/>
    <s v="Materials/Paint"/>
    <n v="2392"/>
    <s v="28752026"/>
    <d v="2026-03-09T00:00:00"/>
    <n v="2026400923"/>
    <s v="Mar"/>
    <n v="2026"/>
  </r>
  <r>
    <n v="377"/>
    <x v="6"/>
    <x v="27"/>
    <s v="Actual"/>
    <x v="3"/>
    <m/>
    <s v="INFINITY PLUS TRADING LLC SOG"/>
    <s v="Materials"/>
    <n v="3792.71"/>
    <s v="IPI-2026-INV00004"/>
    <d v="2026-03-11T00:00:00"/>
    <n v="2026400659"/>
    <s v="Mar"/>
    <n v="2026"/>
  </r>
  <r>
    <n v="378"/>
    <x v="5"/>
    <x v="32"/>
    <s v="Actual"/>
    <x v="3"/>
    <m/>
    <s v="Khan Alhadded Company"/>
    <s v="Materials/Iron"/>
    <n v="325"/>
    <s v="1055"/>
    <d v="2026-03-03T00:00:00"/>
    <n v="2026400885"/>
    <s v="Mar"/>
    <n v="2026"/>
  </r>
  <r>
    <n v="379"/>
    <x v="2"/>
    <x v="7"/>
    <s v="Actual"/>
    <x v="3"/>
    <m/>
    <s v="Khan Alhadded Company"/>
    <s v="Materials/Iron"/>
    <n v="14940"/>
    <s v="1054"/>
    <d v="2026-03-03T00:00:00"/>
    <n v="2026400900"/>
    <s v="Mar"/>
    <n v="2026"/>
  </r>
  <r>
    <n v="380"/>
    <x v="5"/>
    <x v="10"/>
    <s v="Actual"/>
    <x v="3"/>
    <m/>
    <s v="Khan Alhadded Company"/>
    <s v="Materials/Iron"/>
    <n v="216"/>
    <s v="1059"/>
    <d v="2026-03-13T00:00:00"/>
    <n v="2026401153"/>
    <s v="Mar"/>
    <n v="2026"/>
  </r>
  <r>
    <n v="381"/>
    <x v="0"/>
    <x v="0"/>
    <s v="Actual"/>
    <x v="3"/>
    <m/>
    <s v="Khan Alhadded Company"/>
    <s v="Materials/Iron"/>
    <n v="1130"/>
    <s v="1058"/>
    <d v="2026-03-11T00:00:00"/>
    <n v="2026401177"/>
    <s v="Mar"/>
    <n v="2026"/>
  </r>
  <r>
    <n v="382"/>
    <x v="0"/>
    <x v="0"/>
    <s v="Actual"/>
    <x v="3"/>
    <m/>
    <s v="MOHAMMED HADAD OFFICE"/>
    <s v="Materials"/>
    <n v="1152.5974025974026"/>
    <s v="00515"/>
    <d v="2026-02-27T00:00:00"/>
    <n v="2026400968"/>
    <s v="Mar"/>
    <n v="2026"/>
  </r>
  <r>
    <n v="383"/>
    <x v="2"/>
    <x v="6"/>
    <s v="Actual"/>
    <x v="3"/>
    <m/>
    <s v="Rawat Emaar AL-Iraq Co. (JOTUN)"/>
    <s v="Materials/Paint"/>
    <n v="4138.1168831168834"/>
    <s v="IGCC-033"/>
    <d v="2026-03-02T00:00:00"/>
    <n v="2026400918"/>
    <s v="Mar"/>
    <n v="2026"/>
  </r>
  <r>
    <n v="384"/>
    <x v="7"/>
    <x v="21"/>
    <s v="Actual"/>
    <x v="3"/>
    <m/>
    <s v="Rawat Emaar AL-Iraq Co. (JOTUN)"/>
    <s v="Materials/Paint"/>
    <n v="3678.5714285714284"/>
    <s v="01"/>
    <d v="2026-03-02T00:00:00"/>
    <n v="2026401032"/>
    <s v="Mar"/>
    <n v="2026"/>
  </r>
  <r>
    <n v="385"/>
    <x v="0"/>
    <x v="4"/>
    <s v="Actual"/>
    <x v="3"/>
    <m/>
    <s v="Rawat Emaar AL-Iraq Co. (JOTUN)"/>
    <s v="Materials/Paint"/>
    <n v="3246.7532467532469"/>
    <s v="5190"/>
    <d v="2026-03-01T00:00:00"/>
    <n v="2026400725"/>
    <s v="Mar"/>
    <n v="2026"/>
  </r>
  <r>
    <n v="386"/>
    <x v="0"/>
    <x v="4"/>
    <s v="Actual"/>
    <x v="3"/>
    <m/>
    <s v="Rawat Emaar AL-Iraq Co. (JOTUN)"/>
    <s v="Materials/Paint"/>
    <n v="2438.3116883116882"/>
    <s v="5937"/>
    <d v="2026-03-11T00:00:00"/>
    <n v="2026401033"/>
    <s v="Mar"/>
    <n v="2026"/>
  </r>
  <r>
    <n v="387"/>
    <x v="2"/>
    <x v="6"/>
    <s v="Actual"/>
    <x v="3"/>
    <m/>
    <s v="Rawat Emaar AL-Iraq Co. (JOTUN)"/>
    <s v="Materials/Paint"/>
    <n v="519.48051948051943"/>
    <s v="#"/>
    <d v="2026-03-11T00:00:00"/>
    <n v="2026401013"/>
    <s v="Mar"/>
    <n v="2026"/>
  </r>
  <r>
    <n v="388"/>
    <x v="6"/>
    <x v="14"/>
    <s v="Actual"/>
    <x v="3"/>
    <m/>
    <s v="Remz AL-Kafaa For General Trading"/>
    <s v="Materials"/>
    <n v="1200"/>
    <s v="0120"/>
    <d v="2026-03-01T00:00:00"/>
    <n v="2026400959"/>
    <s v="Mar"/>
    <n v="2026"/>
  </r>
  <r>
    <n v="389"/>
    <x v="0"/>
    <x v="0"/>
    <s v="Actual"/>
    <x v="3"/>
    <m/>
    <s v="Remz AL-Kafaa For General Trading"/>
    <s v="Materials"/>
    <n v="15800"/>
    <s v="0130"/>
    <d v="2026-03-10T00:00:00"/>
    <n v="2026401068"/>
    <s v="Mar"/>
    <n v="2026"/>
  </r>
  <r>
    <n v="390"/>
    <x v="6"/>
    <x v="14"/>
    <s v="Actual"/>
    <x v="3"/>
    <m/>
    <s v="Remz AL-Kafaa For General Trading"/>
    <s v="Materials"/>
    <n v="1200"/>
    <s v="0120"/>
    <d v="2026-03-01T00:00:00"/>
    <n v="2026401260"/>
    <s v="Mar"/>
    <n v="2026"/>
  </r>
  <r>
    <n v="391"/>
    <x v="5"/>
    <x v="11"/>
    <s v="Actual"/>
    <x v="3"/>
    <m/>
    <s v="Rwad Alenjaz Co."/>
    <s v="Materials"/>
    <n v="7408.7662337662341"/>
    <s v="02336"/>
    <d v="2026-03-09T00:00:00"/>
    <n v="2026401097"/>
    <s v="Mar"/>
    <n v="2026"/>
  </r>
  <r>
    <n v="392"/>
    <x v="5"/>
    <x v="11"/>
    <s v="Actual"/>
    <x v="3"/>
    <m/>
    <s v="Rwad Alenjaz Co."/>
    <s v="Materials"/>
    <n v="6720.7792207792209"/>
    <s v="02372"/>
    <d v="2026-03-17T00:00:00"/>
    <n v="2026401098"/>
    <s v="Mar"/>
    <n v="2026"/>
  </r>
  <r>
    <n v="393"/>
    <x v="5"/>
    <x v="11"/>
    <s v="Actual"/>
    <x v="3"/>
    <m/>
    <s v="Rwad Alenjaz Co."/>
    <s v="Materials"/>
    <n v="6720.7792207792209"/>
    <s v="02337"/>
    <d v="2026-03-09T00:00:00"/>
    <n v="2026401100"/>
    <s v="Mar"/>
    <n v="2026"/>
  </r>
  <r>
    <n v="394"/>
    <x v="0"/>
    <x v="1"/>
    <s v="Actual"/>
    <x v="3"/>
    <m/>
    <s v="Rwad Alenjaz Co."/>
    <s v="Materials"/>
    <n v="5324.6753246753251"/>
    <s v="02364"/>
    <d v="2026-03-15T00:00:00"/>
    <n v="2026401104"/>
    <s v="Mar"/>
    <n v="2026"/>
  </r>
  <r>
    <n v="395"/>
    <x v="5"/>
    <x v="10"/>
    <s v="Actual"/>
    <x v="3"/>
    <m/>
    <s v="Rwad Alenjaz Co."/>
    <s v="Materials"/>
    <n v="905.84415584415581"/>
    <s v="02316"/>
    <d v="2026-03-01T00:00:00"/>
    <n v="2026400799"/>
    <s v="Mar"/>
    <n v="2026"/>
  </r>
  <r>
    <n v="396"/>
    <x v="2"/>
    <x v="7"/>
    <s v="Actual"/>
    <x v="3"/>
    <m/>
    <s v="Sahba Technnnology"/>
    <s v="Materials"/>
    <n v="3032.4675324675327"/>
    <s v="8818"/>
    <d v="2026-02-26T00:00:00"/>
    <n v="2026400480"/>
    <s v="Mar"/>
    <n v="2026"/>
  </r>
  <r>
    <n v="397"/>
    <x v="6"/>
    <x v="19"/>
    <s v="Actual"/>
    <x v="3"/>
    <m/>
    <s v="Sahba Technnnology"/>
    <s v="Materials"/>
    <n v="1344.1558441558441"/>
    <s v="9083"/>
    <d v="2026-03-08T00:00:00"/>
    <n v="2026400947"/>
    <s v="Mar"/>
    <n v="2026"/>
  </r>
  <r>
    <n v="398"/>
    <x v="6"/>
    <x v="17"/>
    <s v="Actual"/>
    <x v="3"/>
    <m/>
    <s v="Sahba Technnnology"/>
    <s v="Materials"/>
    <n v="805.19480519480521"/>
    <s v="9127"/>
    <d v="2026-03-12T00:00:00"/>
    <n v="2026400883"/>
    <s v="Mar"/>
    <n v="2026"/>
  </r>
  <r>
    <n v="399"/>
    <x v="0"/>
    <x v="0"/>
    <s v="Actual"/>
    <x v="3"/>
    <m/>
    <s v="Sahba Technnnology"/>
    <s v="Materials"/>
    <n v="178.57142857142858"/>
    <s v="9128"/>
    <d v="2026-03-12T00:00:00"/>
    <n v="2026400962"/>
    <s v="Mar"/>
    <n v="2026"/>
  </r>
  <r>
    <n v="400"/>
    <x v="0"/>
    <x v="0"/>
    <s v="Actual"/>
    <x v="3"/>
    <m/>
    <s v="SOUTH DEEP JEWEL"/>
    <s v="Materials"/>
    <n v="7866"/>
    <s v="IGCC08"/>
    <d v="2026-03-25T00:00:00"/>
    <n v="2026401122"/>
    <s v="Mar"/>
    <n v="2026"/>
  </r>
  <r>
    <n v="401"/>
    <x v="2"/>
    <x v="7"/>
    <s v="Actual"/>
    <x v="3"/>
    <m/>
    <s v="YAQOUT PAINTS"/>
    <s v="Materials"/>
    <n v="616.88311688311683"/>
    <s v="8048"/>
    <d v="2026-03-11T00:00:00"/>
    <n v="2026401011"/>
    <s v="Mar"/>
    <n v="2026"/>
  </r>
  <r>
    <n v="402"/>
    <x v="6"/>
    <x v="17"/>
    <s v="Actual"/>
    <x v="3"/>
    <m/>
    <s v="Zamzam Land Construction Trading"/>
    <s v="Materials"/>
    <n v="181.81818181818181"/>
    <s v="INV/2026/02408"/>
    <d v="2026-03-14T00:00:00"/>
    <n v="2026401050"/>
    <s v="Mar"/>
    <n v="2026"/>
  </r>
  <r>
    <n v="403"/>
    <x v="2"/>
    <x v="7"/>
    <s v="Actual"/>
    <x v="3"/>
    <m/>
    <s v="ZUMZUM ALFAYHAA INSAAT"/>
    <s v="Materials"/>
    <n v="410"/>
    <s v="13572"/>
    <d v="2026-03-01T00:00:00"/>
    <n v="2026400691"/>
    <s v="Mar"/>
    <n v="2026"/>
  </r>
  <r>
    <n v="404"/>
    <x v="6"/>
    <x v="19"/>
    <s v="Actual"/>
    <x v="3"/>
    <m/>
    <s v="ZUMZUM ALFAYHAA INSAAT"/>
    <s v="Materials"/>
    <n v="2744.1"/>
    <s v="13568"/>
    <d v="2026-03-01T00:00:00"/>
    <n v="2026400689"/>
    <s v="Mar"/>
    <n v="2026"/>
  </r>
  <r>
    <n v="405"/>
    <x v="6"/>
    <x v="19"/>
    <s v="Actual"/>
    <x v="3"/>
    <m/>
    <s v="ZUMZUM ALFAYHAA INSAAT"/>
    <s v="Materials"/>
    <n v="1276"/>
    <s v="13566"/>
    <d v="2026-03-01T00:00:00"/>
    <n v="2026400688"/>
    <s v="Mar"/>
    <n v="2026"/>
  </r>
  <r>
    <n v="406"/>
    <x v="6"/>
    <x v="19"/>
    <s v="Actual"/>
    <x v="3"/>
    <m/>
    <s v="ZUMZUM ALFAYHAA INSAAT"/>
    <s v="Materials"/>
    <n v="540"/>
    <s v="13546"/>
    <d v="2026-02-28T00:00:00"/>
    <n v="2026400668"/>
    <s v="Mar"/>
    <n v="2026"/>
  </r>
  <r>
    <n v="407"/>
    <x v="0"/>
    <x v="4"/>
    <s v="Actual"/>
    <x v="3"/>
    <m/>
    <s v="ZUMZUM ALFAYHAA INSAAT"/>
    <s v="Materials"/>
    <n v="613.1"/>
    <s v="13556"/>
    <d v="2026-02-28T00:00:00"/>
    <n v="2026400676"/>
    <s v="Mar"/>
    <n v="2026"/>
  </r>
  <r>
    <n v="408"/>
    <x v="7"/>
    <x v="21"/>
    <s v="Actual"/>
    <x v="3"/>
    <m/>
    <s v="ZUMZUM ALFAYHAA INSAAT"/>
    <s v="Materials"/>
    <n v="1991.1"/>
    <s v="13570"/>
    <d v="2026-03-01T00:00:00"/>
    <n v="2026400690"/>
    <s v="Mar"/>
    <n v="2026"/>
  </r>
  <r>
    <n v="409"/>
    <x v="7"/>
    <x v="21"/>
    <s v="Actual"/>
    <x v="3"/>
    <m/>
    <s v="ZUMZUM ALFAYHAA INSAAT"/>
    <s v="Materials"/>
    <n v="228"/>
    <s v="13564"/>
    <d v="2026-03-01T00:00:00"/>
    <n v="2026400687"/>
    <s v="Mar"/>
    <n v="2026"/>
  </r>
  <r>
    <n v="410"/>
    <x v="2"/>
    <x v="6"/>
    <s v="Actual"/>
    <x v="3"/>
    <m/>
    <s v="ZUMZUM ALFAYHAA INSAAT"/>
    <s v="Materials"/>
    <n v="2185.8000000000002"/>
    <s v="13574"/>
    <d v="2026-03-01T00:00:00"/>
    <n v="2026400692"/>
    <s v="Mar"/>
    <n v="2026"/>
  </r>
  <r>
    <n v="411"/>
    <x v="6"/>
    <x v="16"/>
    <s v="Actual"/>
    <x v="3"/>
    <m/>
    <s v="ZUMZUM ALFAYHAA INSAAT"/>
    <s v="Materials"/>
    <n v="287.27999999999997"/>
    <s v="13470"/>
    <d v="2026-03-01T00:00:00"/>
    <n v="2026400581"/>
    <s v="Mar"/>
    <n v="2026"/>
  </r>
  <r>
    <n v="412"/>
    <x v="6"/>
    <x v="19"/>
    <s v="Actual"/>
    <x v="3"/>
    <m/>
    <s v="ZUMZUM ALFAYHAA INSAAT"/>
    <s v="Materials"/>
    <n v="280"/>
    <s v="13312"/>
    <d v="2026-03-01T00:00:00"/>
    <n v="2026400434"/>
    <s v="Mar"/>
    <n v="2026"/>
  </r>
  <r>
    <n v="413"/>
    <x v="6"/>
    <x v="19"/>
    <s v="Actual"/>
    <x v="3"/>
    <m/>
    <s v="ZUMZUM ALFAYHAA INSAAT"/>
    <s v="Materials"/>
    <n v="385.8"/>
    <s v="13314"/>
    <d v="2026-03-01T00:00:00"/>
    <n v="2026400433"/>
    <s v="Mar"/>
    <n v="2026"/>
  </r>
  <r>
    <n v="414"/>
    <x v="5"/>
    <x v="11"/>
    <s v="Actual"/>
    <x v="3"/>
    <m/>
    <s v="ZUMZUM ALFAYHAA INSAAT"/>
    <s v="Materials"/>
    <n v="1360.5"/>
    <s v="13600"/>
    <d v="2026-03-07T00:00:00"/>
    <n v="2026400686"/>
    <s v="Mar"/>
    <n v="2026"/>
  </r>
  <r>
    <n v="415"/>
    <x v="2"/>
    <x v="7"/>
    <s v="Actual"/>
    <x v="3"/>
    <m/>
    <s v="ZUMZUM ALFAYHAA INSAAT"/>
    <s v="Materials"/>
    <n v="359.5"/>
    <s v="13604"/>
    <d v="2026-03-07T00:00:00"/>
    <n v="2026400775"/>
    <s v="Mar"/>
    <n v="2026"/>
  </r>
  <r>
    <n v="416"/>
    <x v="0"/>
    <x v="1"/>
    <s v="Actual"/>
    <x v="3"/>
    <m/>
    <s v="ZUMZUM ALFAYHAA INSAAT"/>
    <s v="Materials"/>
    <n v="80"/>
    <s v="13602"/>
    <d v="2026-03-07T00:00:00"/>
    <n v="2026400771"/>
    <s v="Mar"/>
    <n v="2026"/>
  </r>
  <r>
    <n v="417"/>
    <x v="0"/>
    <x v="1"/>
    <s v="Actual"/>
    <x v="3"/>
    <m/>
    <s v="ZUMZUM ALFAYHAA INSAAT"/>
    <s v="Materials"/>
    <n v="175"/>
    <s v="13606"/>
    <d v="2026-03-07T00:00:00"/>
    <n v="2026400685"/>
    <s v="Mar"/>
    <n v="2026"/>
  </r>
  <r>
    <n v="418"/>
    <x v="6"/>
    <x v="16"/>
    <s v="Actual"/>
    <x v="3"/>
    <m/>
    <s v="ZUMZUM ALFAYHAA INSAAT"/>
    <s v="Materials"/>
    <n v="2319.9"/>
    <s v="13608"/>
    <d v="2026-03-07T00:00:00"/>
    <n v="2026400754"/>
    <s v="Mar"/>
    <n v="2026"/>
  </r>
  <r>
    <n v="419"/>
    <x v="6"/>
    <x v="12"/>
    <s v="Actual"/>
    <x v="3"/>
    <m/>
    <s v="ZUMZUM ALFAYHAA INSAAT"/>
    <s v="Materials"/>
    <n v="1834.8"/>
    <s v="13610"/>
    <d v="2026-03-07T00:00:00"/>
    <n v="2026400773"/>
    <s v="Mar"/>
    <n v="2026"/>
  </r>
  <r>
    <n v="420"/>
    <x v="0"/>
    <x v="1"/>
    <s v="Actual"/>
    <x v="3"/>
    <m/>
    <s v="ZUMZUM ALFAYHAA INSAAT"/>
    <s v="Materials"/>
    <n v="180"/>
    <s v="13616"/>
    <d v="2026-03-07T00:00:00"/>
    <n v="2026400768"/>
    <s v="Mar"/>
    <n v="2026"/>
  </r>
  <r>
    <n v="421"/>
    <x v="7"/>
    <x v="21"/>
    <s v="Actual"/>
    <x v="3"/>
    <m/>
    <s v="ZUMZUM ALFAYHAA INSAAT"/>
    <s v="Materials"/>
    <n v="2861.7"/>
    <s v="13624"/>
    <d v="2026-03-07T00:00:00"/>
    <n v="2026400761"/>
    <s v="Mar"/>
    <n v="2026"/>
  </r>
  <r>
    <n v="422"/>
    <x v="7"/>
    <x v="21"/>
    <s v="Actual"/>
    <x v="3"/>
    <m/>
    <s v="ZUMZUM ALFAYHAA INSAAT"/>
    <s v="Materials"/>
    <n v="2550"/>
    <s v="13626"/>
    <d v="2026-03-07T00:00:00"/>
    <n v="2026400762"/>
    <s v="Mar"/>
    <n v="2026"/>
  </r>
  <r>
    <n v="423"/>
    <x v="7"/>
    <x v="21"/>
    <s v="Actual"/>
    <x v="3"/>
    <m/>
    <s v="ZUMZUM ALFAYHAA INSAAT"/>
    <s v="Materials"/>
    <n v="2720"/>
    <s v="13628"/>
    <d v="2026-03-07T00:00:00"/>
    <n v="2026400755"/>
    <s v="Mar"/>
    <n v="2026"/>
  </r>
  <r>
    <n v="424"/>
    <x v="5"/>
    <x v="42"/>
    <s v="Actual"/>
    <x v="3"/>
    <m/>
    <s v="ZUMZUM ALFAYHAA INSAAT"/>
    <s v="Materials"/>
    <n v="1360"/>
    <s v="13620"/>
    <d v="2026-03-07T00:00:00"/>
    <n v="2026400765"/>
    <s v="Mar"/>
    <n v="2026"/>
  </r>
  <r>
    <n v="425"/>
    <x v="2"/>
    <x v="7"/>
    <s v="Actual"/>
    <x v="3"/>
    <m/>
    <s v="ZUMZUM ALFAYHAA INSAAT"/>
    <s v="Materials"/>
    <n v="60"/>
    <s v="13630"/>
    <d v="2026-03-07T00:00:00"/>
    <n v="2026400770"/>
    <s v="Mar"/>
    <n v="2026"/>
  </r>
  <r>
    <n v="426"/>
    <x v="2"/>
    <x v="7"/>
    <s v="Actual"/>
    <x v="3"/>
    <m/>
    <s v="ZUMZUM ALFAYHAA INSAAT"/>
    <s v="Materials"/>
    <n v="947"/>
    <s v="13632"/>
    <d v="2026-03-02T00:00:00"/>
    <n v="2026400763"/>
    <s v="Mar"/>
    <n v="2026"/>
  </r>
  <r>
    <n v="427"/>
    <x v="7"/>
    <x v="21"/>
    <s v="Actual"/>
    <x v="3"/>
    <m/>
    <s v="ZUMZUM ALFAYHAA INSAAT"/>
    <s v="Materials"/>
    <n v="250"/>
    <s v="13638"/>
    <d v="2026-03-07T00:00:00"/>
    <n v="2026400519"/>
    <s v="Mar"/>
    <n v="2026"/>
  </r>
  <r>
    <n v="428"/>
    <x v="2"/>
    <x v="7"/>
    <s v="Actual"/>
    <x v="3"/>
    <m/>
    <s v="ZUMZUM ALFAYHAA INSAAT"/>
    <s v="Materials"/>
    <n v="945"/>
    <s v="13612"/>
    <d v="2026-03-07T00:00:00"/>
    <n v="2026400769"/>
    <s v="Mar"/>
    <n v="2026"/>
  </r>
  <r>
    <n v="429"/>
    <x v="6"/>
    <x v="17"/>
    <s v="Actual"/>
    <x v="3"/>
    <m/>
    <s v="ZUMZUM ALFAYHAA INSAAT"/>
    <s v="Materials"/>
    <n v="672"/>
    <s v="13634"/>
    <d v="2026-03-07T00:00:00"/>
    <n v="2026400764"/>
    <s v="Mar"/>
    <n v="2026"/>
  </r>
  <r>
    <n v="430"/>
    <x v="6"/>
    <x v="19"/>
    <s v="Actual"/>
    <x v="3"/>
    <m/>
    <s v="ZUMZUM ALFAYHAA INSAAT"/>
    <s v="Materials"/>
    <n v="1213"/>
    <s v="13614"/>
    <d v="2026-03-07T00:00:00"/>
    <n v="2026400766"/>
    <s v="Mar"/>
    <n v="2026"/>
  </r>
  <r>
    <n v="431"/>
    <x v="6"/>
    <x v="19"/>
    <s v="Actual"/>
    <x v="3"/>
    <m/>
    <s v="ZUMZUM ALFAYHAA INSAAT"/>
    <s v="Materials"/>
    <n v="560"/>
    <s v="13618"/>
    <d v="2026-03-07T00:00:00"/>
    <n v="2026400760"/>
    <s v="Mar"/>
    <n v="2026"/>
  </r>
  <r>
    <n v="432"/>
    <x v="6"/>
    <x v="19"/>
    <s v="Actual"/>
    <x v="3"/>
    <m/>
    <s v="ZUMZUM ALFAYHAA INSAAT"/>
    <s v="Materials"/>
    <n v="600"/>
    <s v="13668"/>
    <d v="2026-03-10T00:00:00"/>
    <n v="2026400864"/>
    <s v="Mar"/>
    <n v="2026"/>
  </r>
  <r>
    <n v="433"/>
    <x v="6"/>
    <x v="19"/>
    <s v="Actual"/>
    <x v="3"/>
    <m/>
    <s v="ZUMZUM ALFAYHAA INSAAT"/>
    <s v="Materials"/>
    <n v="310"/>
    <s v="13670"/>
    <d v="2026-03-10T00:00:00"/>
    <n v="2026400863"/>
    <s v="Mar"/>
    <n v="2026"/>
  </r>
  <r>
    <n v="434"/>
    <x v="7"/>
    <x v="21"/>
    <s v="Actual"/>
    <x v="3"/>
    <m/>
    <s v="ZUMZUM ALFAYHAA INSAAT"/>
    <s v="Materials"/>
    <n v="3224"/>
    <s v="13622"/>
    <d v="2026-03-07T00:00:00"/>
    <n v="2026400740"/>
    <s v="Mar"/>
    <n v="2026"/>
  </r>
  <r>
    <n v="435"/>
    <x v="0"/>
    <x v="1"/>
    <s v="Actual"/>
    <x v="3"/>
    <m/>
    <s v="ZUMZUM ALFAYHAA INSAAT"/>
    <s v="Materials"/>
    <n v="1499.4"/>
    <s v="13756"/>
    <d v="2026-03-11T00:00:00"/>
    <n v="2026400941"/>
    <s v="Mar"/>
    <n v="2026"/>
  </r>
  <r>
    <n v="436"/>
    <x v="0"/>
    <x v="1"/>
    <s v="Actual"/>
    <x v="3"/>
    <m/>
    <s v="ZUMZUM ALFAYHAA INSAAT"/>
    <s v="Materials"/>
    <n v="45"/>
    <s v="13658"/>
    <d v="2026-03-10T00:00:00"/>
    <n v="2026400870"/>
    <s v="Mar"/>
    <n v="2026"/>
  </r>
  <r>
    <n v="437"/>
    <x v="0"/>
    <x v="4"/>
    <s v="Actual"/>
    <x v="3"/>
    <m/>
    <s v="ZUMZUM ALFAYHAA INSAAT"/>
    <s v="Materials"/>
    <n v="96"/>
    <s v="13762"/>
    <d v="2026-03-11T00:00:00"/>
    <n v="2026400937"/>
    <s v="Mar"/>
    <n v="2026"/>
  </r>
  <r>
    <n v="438"/>
    <x v="6"/>
    <x v="16"/>
    <s v="Actual"/>
    <x v="3"/>
    <m/>
    <s v="ZUMZUM ALFAYHAA INSAAT"/>
    <s v="Materials"/>
    <n v="77.400000000000006"/>
    <s v="13596"/>
    <d v="2026-03-10T00:00:00"/>
    <n v="2026400751"/>
    <s v="Mar"/>
    <n v="2026"/>
  </r>
  <r>
    <n v="439"/>
    <x v="0"/>
    <x v="1"/>
    <s v="Actual"/>
    <x v="3"/>
    <m/>
    <s v="ZUMZUM ALFAYHAA INSAAT"/>
    <s v="Materials"/>
    <n v="72"/>
    <s v="13692"/>
    <d v="2026-03-11T00:00:00"/>
    <n v="2026400702"/>
    <s v="Mar"/>
    <n v="2026"/>
  </r>
  <r>
    <n v="440"/>
    <x v="0"/>
    <x v="4"/>
    <s v="Actual"/>
    <x v="3"/>
    <m/>
    <s v="ZUMZUM ALFAYHAA INSAAT"/>
    <s v="Materials"/>
    <n v="746"/>
    <s v="13760"/>
    <d v="2026-03-11T00:00:00"/>
    <n v="2026400938"/>
    <s v="Mar"/>
    <n v="2026"/>
  </r>
  <r>
    <n v="441"/>
    <x v="0"/>
    <x v="1"/>
    <s v="Actual"/>
    <x v="3"/>
    <m/>
    <s v="ZUMZUM ALFAYHAA INSAAT"/>
    <s v="Materials"/>
    <n v="96"/>
    <s v="13764"/>
    <d v="2026-03-11T00:00:00"/>
    <n v="2026400936"/>
    <s v="Mar"/>
    <n v="2026"/>
  </r>
  <r>
    <n v="442"/>
    <x v="6"/>
    <x v="16"/>
    <s v="Actual"/>
    <x v="3"/>
    <m/>
    <s v="ZUMZUM ALFAYHAA INSAAT"/>
    <s v="Materials"/>
    <n v="163"/>
    <s v="13710"/>
    <d v="2026-03-11T00:00:00"/>
    <n v="2026400916"/>
    <s v="Mar"/>
    <n v="2026"/>
  </r>
  <r>
    <n v="443"/>
    <x v="3"/>
    <x v="8"/>
    <s v="Actual"/>
    <x v="3"/>
    <m/>
    <s v="ZUMZUM ALFAYHAA INSAAT"/>
    <s v="Materials"/>
    <n v="450"/>
    <s v="13726"/>
    <d v="2026-03-11T00:00:00"/>
    <n v="2026400848"/>
    <s v="Mar"/>
    <n v="2026"/>
  </r>
  <r>
    <n v="444"/>
    <x v="10"/>
    <x v="28"/>
    <s v="Actual"/>
    <x v="3"/>
    <m/>
    <s v="ZUMZUM ALFAYHAA INSAAT"/>
    <s v="Materials"/>
    <n v="65"/>
    <s v="13724"/>
    <d v="2026-03-11T00:00:00"/>
    <n v="2026400849"/>
    <s v="Mar"/>
    <n v="2026"/>
  </r>
  <r>
    <n v="445"/>
    <x v="10"/>
    <x v="28"/>
    <s v="Actual"/>
    <x v="3"/>
    <m/>
    <s v="ZUMZUM ALFAYHAA INSAAT"/>
    <s v="Materials"/>
    <n v="2007.9"/>
    <s v="13728"/>
    <d v="2026-03-11T00:00:00"/>
    <n v="2026400847"/>
    <s v="Mar"/>
    <n v="2026"/>
  </r>
  <r>
    <n v="446"/>
    <x v="0"/>
    <x v="1"/>
    <s v="Actual"/>
    <x v="3"/>
    <m/>
    <s v="ZUMZUM ALFAYHAA INSAAT"/>
    <s v="Materials"/>
    <n v="2975"/>
    <s v="13784"/>
    <d v="2026-03-11T00:00:00"/>
    <n v="2026400915"/>
    <s v="Mar"/>
    <n v="2026"/>
  </r>
  <r>
    <n v="447"/>
    <x v="0"/>
    <x v="1"/>
    <s v="Actual"/>
    <x v="3"/>
    <m/>
    <s v="ZUMZUM ALFAYHAA INSAAT"/>
    <s v="Materials"/>
    <n v="1930.8"/>
    <s v="13792"/>
    <d v="2026-03-11T00:00:00"/>
    <n v="2026400889"/>
    <s v="Mar"/>
    <n v="2026"/>
  </r>
  <r>
    <n v="448"/>
    <x v="0"/>
    <x v="1"/>
    <s v="Actual"/>
    <x v="3"/>
    <m/>
    <s v="ZUMZUM ALFAYHAA INSAAT"/>
    <s v="Materials"/>
    <n v="181.8"/>
    <s v="13720"/>
    <d v="2026-03-11T00:00:00"/>
    <n v="2026400851"/>
    <s v="Mar"/>
    <n v="2026"/>
  </r>
  <r>
    <n v="449"/>
    <x v="0"/>
    <x v="1"/>
    <s v="Actual"/>
    <x v="3"/>
    <m/>
    <s v="ZUMZUM ALFAYHAA INSAAT"/>
    <s v="Materials"/>
    <n v="152.1"/>
    <s v="13738"/>
    <d v="2026-03-11T00:00:00"/>
    <n v="2026400931"/>
    <s v="Mar"/>
    <n v="2026"/>
  </r>
  <r>
    <n v="450"/>
    <x v="0"/>
    <x v="1"/>
    <s v="Actual"/>
    <x v="3"/>
    <m/>
    <s v="ZUMZUM ALFAYHAA INSAAT"/>
    <s v="Materials"/>
    <n v="925"/>
    <s v="13744"/>
    <d v="2026-03-11T00:00:00"/>
    <n v="2026400928"/>
    <s v="Mar"/>
    <n v="2026"/>
  </r>
  <r>
    <n v="451"/>
    <x v="0"/>
    <x v="1"/>
    <s v="Actual"/>
    <x v="3"/>
    <m/>
    <s v="ZUMZUM ALFAYHAA INSAAT"/>
    <s v="Materials"/>
    <n v="240"/>
    <s v="13748"/>
    <d v="2026-03-11T00:00:00"/>
    <n v="2026400926"/>
    <s v="Mar"/>
    <n v="2026"/>
  </r>
  <r>
    <n v="452"/>
    <x v="6"/>
    <x v="19"/>
    <s v="Actual"/>
    <x v="3"/>
    <m/>
    <s v="ZUMZUM ALFAYHAA INSAAT"/>
    <s v="Materials"/>
    <n v="1583.6"/>
    <s v="13680"/>
    <d v="2026-03-11T00:00:00"/>
    <n v="2026400840"/>
    <s v="Mar"/>
    <n v="2026"/>
  </r>
  <r>
    <n v="453"/>
    <x v="0"/>
    <x v="0"/>
    <s v="Actual"/>
    <x v="3"/>
    <m/>
    <s v="ZUMZUM ALFAYHAA INSAAT"/>
    <s v="Materials"/>
    <n v="344.9"/>
    <s v="13790"/>
    <d v="2026-03-11T00:00:00"/>
    <n v="2026400920"/>
    <s v="Mar"/>
    <n v="2026"/>
  </r>
  <r>
    <n v="454"/>
    <x v="0"/>
    <x v="0"/>
    <s v="Actual"/>
    <x v="3"/>
    <m/>
    <s v="ZUMZUM ALFAYHAA INSAAT"/>
    <s v="Materials"/>
    <n v="175"/>
    <s v="13678"/>
    <d v="2026-03-11T00:00:00"/>
    <n v="2026400884"/>
    <s v="Mar"/>
    <n v="2026"/>
  </r>
  <r>
    <n v="455"/>
    <x v="10"/>
    <x v="28"/>
    <s v="Actual"/>
    <x v="3"/>
    <m/>
    <s v="ZUMZUM ALFAYHAA INSAAT"/>
    <s v="Materials"/>
    <n v="1600"/>
    <s v="13774"/>
    <d v="2026-03-11T00:00:00"/>
    <n v="2026400950"/>
    <s v="Mar"/>
    <n v="2026"/>
  </r>
  <r>
    <n v="456"/>
    <x v="7"/>
    <x v="21"/>
    <s v="Actual"/>
    <x v="3"/>
    <m/>
    <s v="ZUMZUM ALFAYHAA INSAAT"/>
    <s v="Materials"/>
    <n v="1479.1"/>
    <s v="13772"/>
    <d v="2026-03-11T00:00:00"/>
    <n v="2026400905"/>
    <s v="Mar"/>
    <n v="2026"/>
  </r>
  <r>
    <n v="457"/>
    <x v="5"/>
    <x v="11"/>
    <s v="Actual"/>
    <x v="3"/>
    <m/>
    <s v="ZUMZUM ALFAYHAA INSAAT"/>
    <s v="Materials"/>
    <n v="154"/>
    <s v="13754"/>
    <d v="2026-03-11T00:00:00"/>
    <n v="2026400934"/>
    <s v="Mar"/>
    <n v="2026"/>
  </r>
  <r>
    <n v="458"/>
    <x v="6"/>
    <x v="19"/>
    <s v="Actual"/>
    <x v="3"/>
    <m/>
    <s v="ZUMZUM ALFAYHAA INSAAT"/>
    <s v="Materials"/>
    <n v="500"/>
    <s v="13768"/>
    <d v="2026-03-11T00:00:00"/>
    <n v="2026400903"/>
    <s v="Mar"/>
    <n v="2026"/>
  </r>
  <r>
    <n v="459"/>
    <x v="6"/>
    <x v="19"/>
    <s v="Actual"/>
    <x v="3"/>
    <m/>
    <s v="ZUMZUM ALFAYHAA INSAAT"/>
    <s v="Materials"/>
    <n v="99"/>
    <s v="13766"/>
    <d v="2026-03-11T00:00:00"/>
    <n v="2026400911"/>
    <s v="Mar"/>
    <n v="2026"/>
  </r>
  <r>
    <n v="460"/>
    <x v="6"/>
    <x v="19"/>
    <s v="Actual"/>
    <x v="3"/>
    <m/>
    <s v="ZUMZUM ALFAYHAA INSAAT"/>
    <s v="Materials"/>
    <n v="805.1"/>
    <s v="13714"/>
    <d v="2026-03-11T00:00:00"/>
    <n v="2026400854"/>
    <s v="Mar"/>
    <n v="2026"/>
  </r>
  <r>
    <n v="461"/>
    <x v="6"/>
    <x v="19"/>
    <s v="Actual"/>
    <x v="3"/>
    <m/>
    <s v="ZUMZUM ALFAYHAA INSAAT"/>
    <s v="Materials"/>
    <n v="320"/>
    <s v="13702"/>
    <d v="2026-03-11T00:00:00"/>
    <n v="2026400841"/>
    <s v="Mar"/>
    <n v="2026"/>
  </r>
  <r>
    <n v="462"/>
    <x v="6"/>
    <x v="19"/>
    <s v="Actual"/>
    <x v="3"/>
    <m/>
    <s v="ZUMZUM ALFAYHAA INSAAT"/>
    <s v="Materials"/>
    <n v="135"/>
    <s v="13698"/>
    <d v="2026-03-11T00:00:00"/>
    <n v="2026400838"/>
    <s v="Mar"/>
    <n v="2026"/>
  </r>
  <r>
    <n v="463"/>
    <x v="6"/>
    <x v="19"/>
    <s v="Actual"/>
    <x v="3"/>
    <m/>
    <s v="ZUMZUM ALFAYHAA INSAAT"/>
    <s v="Materials"/>
    <n v="2355"/>
    <s v="13686"/>
    <d v="2026-03-11T00:00:00"/>
    <n v="2026400856"/>
    <s v="Mar"/>
    <n v="2026"/>
  </r>
  <r>
    <n v="464"/>
    <x v="6"/>
    <x v="19"/>
    <s v="Actual"/>
    <x v="3"/>
    <m/>
    <s v="ZUMZUM ALFAYHAA INSAAT"/>
    <s v="Materials"/>
    <n v="840"/>
    <s v="13704"/>
    <d v="2026-03-11T00:00:00"/>
    <n v="2026400843"/>
    <s v="Mar"/>
    <n v="2026"/>
  </r>
  <r>
    <n v="465"/>
    <x v="0"/>
    <x v="0"/>
    <s v="Actual"/>
    <x v="3"/>
    <m/>
    <s v="ZUMZUM ALFAYHAA INSAAT"/>
    <s v="Materials"/>
    <n v="72"/>
    <s v="13746"/>
    <d v="2026-03-11T00:00:00"/>
    <n v="2026400927"/>
    <s v="Mar"/>
    <n v="2026"/>
  </r>
  <r>
    <n v="466"/>
    <x v="0"/>
    <x v="0"/>
    <s v="Actual"/>
    <x v="3"/>
    <m/>
    <s v="ZUMZUM ALFAYHAA INSAAT"/>
    <s v="Materials"/>
    <n v="70"/>
    <s v="13778"/>
    <d v="2026-03-11T00:00:00"/>
    <n v="2026400939"/>
    <s v="Mar"/>
    <n v="2026"/>
  </r>
  <r>
    <n v="467"/>
    <x v="7"/>
    <x v="21"/>
    <s v="Actual"/>
    <x v="3"/>
    <m/>
    <s v="ZUMZUM ALFAYHAA INSAAT"/>
    <s v="Materials"/>
    <n v="128"/>
    <s v="13780"/>
    <d v="2026-03-11T00:00:00"/>
    <n v="2026400887"/>
    <s v="Mar"/>
    <n v="2026"/>
  </r>
  <r>
    <n v="468"/>
    <x v="7"/>
    <x v="21"/>
    <s v="Actual"/>
    <x v="3"/>
    <m/>
    <s v="ZUMZUM ALFAYHAA INSAAT"/>
    <s v="Materials"/>
    <n v="646"/>
    <s v="13788"/>
    <d v="2026-03-11T00:00:00"/>
    <n v="2026400949"/>
    <s v="Mar"/>
    <n v="2026"/>
  </r>
  <r>
    <n v="469"/>
    <x v="2"/>
    <x v="7"/>
    <s v="Actual"/>
    <x v="3"/>
    <m/>
    <s v="ZUMZUM ALFAYHAA INSAAT"/>
    <s v="Materials"/>
    <n v="1190"/>
    <s v="13782"/>
    <d v="2026-03-11T00:00:00"/>
    <n v="2026400902"/>
    <s v="Mar"/>
    <n v="2026"/>
  </r>
  <r>
    <n v="470"/>
    <x v="0"/>
    <x v="0"/>
    <s v="Actual"/>
    <x v="3"/>
    <m/>
    <s v="ZUMZUM ALFAYHAA INSAAT"/>
    <s v="Materials"/>
    <n v="78"/>
    <s v="13786"/>
    <d v="2026-03-11T00:00:00"/>
    <n v="2026400942"/>
    <s v="Mar"/>
    <n v="2026"/>
  </r>
  <r>
    <n v="471"/>
    <x v="0"/>
    <x v="0"/>
    <s v="Actual"/>
    <x v="3"/>
    <m/>
    <s v="ZUMZUM ALFAYHAA INSAAT"/>
    <s v="Materials"/>
    <n v="575"/>
    <s v="13742"/>
    <d v="2026-03-11T00:00:00"/>
    <n v="2026400929"/>
    <s v="Mar"/>
    <n v="2026"/>
  </r>
  <r>
    <n v="472"/>
    <x v="2"/>
    <x v="6"/>
    <s v="Actual"/>
    <x v="3"/>
    <m/>
    <s v="ZUMZUM ALFAYHAA INSAAT"/>
    <s v="Materials"/>
    <n v="90"/>
    <s v="13730"/>
    <d v="2026-03-11T00:00:00"/>
    <n v="2026400869"/>
    <s v="Mar"/>
    <n v="2026"/>
  </r>
  <r>
    <n v="473"/>
    <x v="7"/>
    <x v="21"/>
    <s v="Actual"/>
    <x v="3"/>
    <m/>
    <s v="ZUMZUM ALFAYHAA INSAAT"/>
    <s v="Materials"/>
    <n v="399"/>
    <s v="13674"/>
    <d v="2026-03-10T00:00:00"/>
    <n v="2026400861"/>
    <s v="Mar"/>
    <n v="2026"/>
  </r>
  <r>
    <n v="474"/>
    <x v="6"/>
    <x v="19"/>
    <s v="Actual"/>
    <x v="3"/>
    <m/>
    <s v="ZUMZUM ALFAYHAA INSAAT"/>
    <s v="Materials"/>
    <n v="700"/>
    <s v="13676"/>
    <d v="2026-03-10T00:00:00"/>
    <n v="2026400860"/>
    <s v="Mar"/>
    <n v="2026"/>
  </r>
  <r>
    <n v="475"/>
    <x v="2"/>
    <x v="6"/>
    <s v="Actual"/>
    <x v="3"/>
    <m/>
    <s v="ZUMZUM ALFAYHAA INSAAT"/>
    <s v="Materials"/>
    <n v="350"/>
    <s v="13696"/>
    <d v="2026-03-11T00:00:00"/>
    <n v="2026400837"/>
    <s v="Mar"/>
    <n v="2026"/>
  </r>
  <r>
    <n v="476"/>
    <x v="4"/>
    <x v="9"/>
    <s v="Actual"/>
    <x v="3"/>
    <m/>
    <s v="ZUMZUM ALFAYHAA INSAAT"/>
    <s v="Materials"/>
    <n v="338.6"/>
    <s v="13662"/>
    <d v="2026-03-10T00:00:00"/>
    <n v="2026400858"/>
    <s v="Mar"/>
    <n v="2026"/>
  </r>
  <r>
    <n v="477"/>
    <x v="6"/>
    <x v="12"/>
    <s v="Actual"/>
    <x v="3"/>
    <m/>
    <s v="ZUMZUM ALFAYHAA INSAAT"/>
    <s v="Materials"/>
    <n v="2737.4"/>
    <s v="13672"/>
    <d v="2026-03-10T00:00:00"/>
    <n v="2026400862"/>
    <s v="Mar"/>
    <n v="2026"/>
  </r>
  <r>
    <n v="478"/>
    <x v="6"/>
    <x v="16"/>
    <s v="Actual"/>
    <x v="3"/>
    <m/>
    <s v="ZUMZUM ALFAYHAA INSAAT"/>
    <s v="Materials"/>
    <n v="150"/>
    <s v="13664"/>
    <d v="2026-03-10T00:00:00"/>
    <n v="2026400859"/>
    <s v="Mar"/>
    <n v="2026"/>
  </r>
  <r>
    <n v="479"/>
    <x v="0"/>
    <x v="0"/>
    <s v="Actual"/>
    <x v="3"/>
    <m/>
    <s v="ZUMZUM ALFAYHAA INSAAT"/>
    <s v="Materials"/>
    <n v="1175"/>
    <s v="13660"/>
    <d v="2026-03-10T00:00:00"/>
    <n v="2026400871"/>
    <s v="Mar"/>
    <n v="2026"/>
  </r>
  <r>
    <n v="480"/>
    <x v="6"/>
    <x v="19"/>
    <s v="Actual"/>
    <x v="3"/>
    <m/>
    <s v="ZUMZUM ALFAYHAA INSAAT"/>
    <s v="Materials"/>
    <n v="400"/>
    <s v="13646"/>
    <d v="2026-03-10T00:00:00"/>
    <n v="2026400825"/>
    <s v="Mar"/>
    <n v="2026"/>
  </r>
  <r>
    <n v="481"/>
    <x v="6"/>
    <x v="19"/>
    <s v="Actual"/>
    <x v="3"/>
    <m/>
    <s v="ZUMZUM ALFAYHAA INSAAT"/>
    <s v="Materials"/>
    <n v="3088.6"/>
    <s v="13644"/>
    <d v="2026-03-10T00:00:00"/>
    <n v="2026400795"/>
    <s v="Mar"/>
    <n v="2026"/>
  </r>
  <r>
    <n v="482"/>
    <x v="0"/>
    <x v="1"/>
    <s v="Actual"/>
    <x v="3"/>
    <m/>
    <s v="ZUMZUM ALFAYHAA INSAAT"/>
    <s v="Materials"/>
    <n v="544"/>
    <s v="13648"/>
    <d v="2026-03-10T00:00:00"/>
    <n v="2026400818"/>
    <s v="Mar"/>
    <n v="2026"/>
  </r>
  <r>
    <n v="483"/>
    <x v="6"/>
    <x v="12"/>
    <s v="Actual"/>
    <x v="3"/>
    <m/>
    <s v="ZUMZUM ALFAYHAA INSAAT"/>
    <s v="Materials"/>
    <n v="1175.5"/>
    <s v="13642"/>
    <d v="2026-03-10T00:00:00"/>
    <n v="2026400826"/>
    <s v="Mar"/>
    <n v="2026"/>
  </r>
  <r>
    <n v="484"/>
    <x v="0"/>
    <x v="0"/>
    <s v="Actual"/>
    <x v="3"/>
    <m/>
    <s v="ZUMZUM ALFAYHAA INSAAT"/>
    <s v="Materials"/>
    <n v="1035"/>
    <s v="13652"/>
    <d v="2026-03-10T00:00:00"/>
    <n v="2026400817"/>
    <s v="Mar"/>
    <n v="2026"/>
  </r>
  <r>
    <n v="485"/>
    <x v="5"/>
    <x v="10"/>
    <s v="Actual"/>
    <x v="3"/>
    <m/>
    <s v="ZUMZUM ALFAYHAA INSAAT"/>
    <s v="Materials"/>
    <n v="1620"/>
    <s v="13650"/>
    <d v="2026-03-10T00:00:00"/>
    <n v="2026400816"/>
    <s v="Mar"/>
    <n v="2026"/>
  </r>
  <r>
    <n v="486"/>
    <x v="5"/>
    <x v="11"/>
    <s v="Actual"/>
    <x v="3"/>
    <m/>
    <s v="ZUMZUM ALFAYHAA INSAAT"/>
    <s v="Materials"/>
    <n v="62"/>
    <s v="13594"/>
    <d v="2026-03-10T00:00:00"/>
    <n v="2026400739"/>
    <s v="Mar"/>
    <n v="2026"/>
  </r>
  <r>
    <n v="487"/>
    <x v="0"/>
    <x v="1"/>
    <s v="Actual"/>
    <x v="3"/>
    <m/>
    <s v="ZUMZUM ALFAYHAA INSAAT"/>
    <s v="Materials"/>
    <n v="70"/>
    <s v="13694"/>
    <d v="2026-03-11T00:00:00"/>
    <n v="2026400703"/>
    <s v="Mar"/>
    <n v="2026"/>
  </r>
  <r>
    <n v="488"/>
    <x v="6"/>
    <x v="16"/>
    <s v="Actual"/>
    <x v="3"/>
    <m/>
    <s v="ZUMZUM ALFAYHAA INSAAT"/>
    <s v="Materials"/>
    <n v="1253.5999999999999"/>
    <s v="13770"/>
    <d v="2026-03-11T00:00:00"/>
    <n v="2026400906"/>
    <s v="Mar"/>
    <n v="2026"/>
  </r>
  <r>
    <n v="489"/>
    <x v="7"/>
    <x v="21"/>
    <s v="Actual"/>
    <x v="3"/>
    <m/>
    <s v="ZUMZUM ALFAYHAA INSAAT"/>
    <s v="Materials"/>
    <n v="1123"/>
    <s v="13716"/>
    <d v="2026-03-11T00:00:00"/>
    <n v="2026400853"/>
    <s v="Mar"/>
    <n v="2026"/>
  </r>
  <r>
    <n v="490"/>
    <x v="7"/>
    <x v="21"/>
    <s v="Actual"/>
    <x v="3"/>
    <m/>
    <s v="ZUMZUM ALFAYHAA INSAAT"/>
    <s v="Materials"/>
    <n v="2194"/>
    <s v="13712"/>
    <d v="2026-03-11T00:00:00"/>
    <n v="2026400842"/>
    <s v="Mar"/>
    <n v="2026"/>
  </r>
  <r>
    <n v="491"/>
    <x v="7"/>
    <x v="21"/>
    <s v="Actual"/>
    <x v="3"/>
    <m/>
    <s v="ZUMZUM ALFAYHAA INSAAT"/>
    <s v="Materials"/>
    <n v="280"/>
    <s v="13682"/>
    <d v="2026-03-11T00:00:00"/>
    <n v="2026400874"/>
    <s v="Mar"/>
    <n v="2026"/>
  </r>
  <r>
    <n v="492"/>
    <x v="7"/>
    <x v="21"/>
    <s v="Actual"/>
    <x v="3"/>
    <m/>
    <s v="ZUMZUM ALFAYHAA INSAAT"/>
    <s v="Materials"/>
    <n v="710"/>
    <s v="13684"/>
    <d v="2026-03-11T00:00:00"/>
    <n v="2026400855"/>
    <s v="Mar"/>
    <n v="2026"/>
  </r>
  <r>
    <n v="493"/>
    <x v="6"/>
    <x v="19"/>
    <s v="Actual"/>
    <x v="3"/>
    <m/>
    <s v="ZUMZUM ALFAYHAA INSAAT"/>
    <s v="Materials"/>
    <n v="134"/>
    <s v="13776"/>
    <d v="2026-03-11T00:00:00"/>
    <n v="2026400948"/>
    <s v="Mar"/>
    <n v="2026"/>
  </r>
  <r>
    <n v="494"/>
    <x v="0"/>
    <x v="0"/>
    <s v="Actual"/>
    <x v="3"/>
    <m/>
    <s v="ZUMZUM ALFAYHAA INSAAT"/>
    <s v="Materials"/>
    <n v="375"/>
    <s v="13852"/>
    <d v="2026-03-16T00:00:00"/>
    <n v="2026401036"/>
    <s v="Mar"/>
    <n v="2026"/>
  </r>
  <r>
    <n v="495"/>
    <x v="0"/>
    <x v="4"/>
    <s v="Actual"/>
    <x v="3"/>
    <m/>
    <s v="ZUMZUM ALFAYHAA INSAAT"/>
    <s v="Materials"/>
    <n v="235"/>
    <s v="13880"/>
    <d v="2026-03-16T00:00:00"/>
    <n v="2026401063"/>
    <s v="Mar"/>
    <n v="2026"/>
  </r>
  <r>
    <n v="496"/>
    <x v="6"/>
    <x v="19"/>
    <s v="Actual"/>
    <x v="3"/>
    <m/>
    <s v="ZUMZUM ALFAYHAA INSAAT"/>
    <s v="Materials"/>
    <n v="473"/>
    <s v="13842"/>
    <d v="2026-03-16T00:00:00"/>
    <n v="2026401044"/>
    <s v="Mar"/>
    <n v="2026"/>
  </r>
  <r>
    <n v="497"/>
    <x v="6"/>
    <x v="19"/>
    <s v="Actual"/>
    <x v="3"/>
    <m/>
    <s v="ZUMZUM ALFAYHAA INSAAT"/>
    <s v="Materials"/>
    <n v="921.6"/>
    <s v="13876"/>
    <d v="2026-03-16T00:00:00"/>
    <n v="2026401057"/>
    <s v="Mar"/>
    <n v="2026"/>
  </r>
  <r>
    <n v="498"/>
    <x v="6"/>
    <x v="19"/>
    <s v="Actual"/>
    <x v="3"/>
    <m/>
    <s v="ZUMZUM ALFAYHAA INSAAT"/>
    <s v="Materials"/>
    <n v="100"/>
    <s v="13808"/>
    <d v="2026-03-16T00:00:00"/>
    <n v="2026400976"/>
    <s v="Mar"/>
    <n v="2026"/>
  </r>
  <r>
    <n v="499"/>
    <x v="0"/>
    <x v="1"/>
    <s v="Actual"/>
    <x v="3"/>
    <m/>
    <s v="ZUMZUM ALFAYHAA INSAAT"/>
    <s v="Materials"/>
    <n v="90"/>
    <s v="13878"/>
    <d v="2026-03-16T00:00:00"/>
    <n v="2026401062"/>
    <s v="Mar"/>
    <n v="2026"/>
  </r>
  <r>
    <n v="500"/>
    <x v="6"/>
    <x v="19"/>
    <s v="Actual"/>
    <x v="3"/>
    <m/>
    <s v="ZUMZUM ALFAYHAA INSAAT"/>
    <s v="Materials"/>
    <n v="1257.5999999999999"/>
    <s v="13818"/>
    <d v="2026-03-16T00:00:00"/>
    <n v="2026400974"/>
    <s v="Mar"/>
    <n v="2026"/>
  </r>
  <r>
    <n v="501"/>
    <x v="2"/>
    <x v="7"/>
    <s v="Actual"/>
    <x v="3"/>
    <m/>
    <s v="ZUMZUM ALFAYHAA INSAAT"/>
    <s v="Materials"/>
    <n v="3703.6"/>
    <s v="13796"/>
    <d v="2026-03-16T00:00:00"/>
    <n v="2026400956"/>
    <s v="Mar"/>
    <n v="2026"/>
  </r>
  <r>
    <n v="502"/>
    <x v="0"/>
    <x v="0"/>
    <s v="Actual"/>
    <x v="3"/>
    <m/>
    <s v="ZUMZUM ALFAYHAA INSAAT"/>
    <s v="Materials"/>
    <n v="265.2"/>
    <s v="13864"/>
    <d v="2026-03-16T00:00:00"/>
    <n v="2026401041"/>
    <s v="Mar"/>
    <n v="2026"/>
  </r>
  <r>
    <n v="503"/>
    <x v="0"/>
    <x v="0"/>
    <s v="Actual"/>
    <x v="3"/>
    <m/>
    <s v="ZUMZUM ALFAYHAA INSAAT"/>
    <s v="Materials"/>
    <n v="85"/>
    <s v="13882"/>
    <d v="2026-03-16T00:00:00"/>
    <n v="2026401060"/>
    <s v="Mar"/>
    <n v="2026"/>
  </r>
  <r>
    <n v="504"/>
    <x v="2"/>
    <x v="7"/>
    <s v="Actual"/>
    <x v="3"/>
    <m/>
    <s v="ZUMZUM ALFAYHAA INSAAT"/>
    <s v="Materials"/>
    <n v="360"/>
    <s v="13824"/>
    <d v="2026-03-16T00:00:00"/>
    <n v="2026401020"/>
    <s v="Mar"/>
    <n v="2026"/>
  </r>
  <r>
    <n v="505"/>
    <x v="7"/>
    <x v="21"/>
    <s v="Actual"/>
    <x v="3"/>
    <m/>
    <s v="ZUMZUM ALFAYHAA INSAAT"/>
    <s v="Materials"/>
    <n v="1298.5"/>
    <s v="13844"/>
    <d v="2026-03-17T00:00:00"/>
    <n v="2026401045"/>
    <s v="Mar"/>
    <n v="2026"/>
  </r>
  <r>
    <n v="506"/>
    <x v="7"/>
    <x v="21"/>
    <s v="Actual"/>
    <x v="3"/>
    <m/>
    <s v="ZUMZUM ALFAYHAA INSAAT"/>
    <s v="Materials"/>
    <n v="600"/>
    <s v="13826"/>
    <d v="2026-03-16T00:00:00"/>
    <n v="2026401005"/>
    <s v="Mar"/>
    <n v="2026"/>
  </r>
  <r>
    <n v="507"/>
    <x v="0"/>
    <x v="4"/>
    <s v="Actual"/>
    <x v="3"/>
    <m/>
    <s v="ZUMZUM ALFAYHAA INSAAT"/>
    <s v="Materials"/>
    <n v="165"/>
    <s v="13860"/>
    <d v="2026-03-16T00:00:00"/>
    <n v="2026401039"/>
    <s v="Mar"/>
    <n v="2026"/>
  </r>
  <r>
    <n v="508"/>
    <x v="0"/>
    <x v="1"/>
    <s v="Actual"/>
    <x v="3"/>
    <m/>
    <s v="ZUMZUM ALFAYHAA INSAAT"/>
    <s v="Materials"/>
    <n v="75"/>
    <s v="13856"/>
    <d v="2026-03-16T00:00:00"/>
    <n v="2026401046"/>
    <s v="Mar"/>
    <n v="2026"/>
  </r>
  <r>
    <n v="509"/>
    <x v="0"/>
    <x v="0"/>
    <s v="Actual"/>
    <x v="3"/>
    <m/>
    <s v="ZUMZUM ALFAYHAA INSAAT"/>
    <s v="Materials"/>
    <n v="771"/>
    <s v="13858"/>
    <d v="2026-03-16T00:00:00"/>
    <n v="2026401038"/>
    <s v="Mar"/>
    <n v="2026"/>
  </r>
  <r>
    <n v="510"/>
    <x v="2"/>
    <x v="7"/>
    <s v="Actual"/>
    <x v="3"/>
    <m/>
    <s v="ZUMZUM ALFAYHAA INSAAT"/>
    <s v="Materials"/>
    <n v="650"/>
    <s v="13866"/>
    <d v="2026-03-16T00:00:00"/>
    <n v="2026401042"/>
    <s v="Mar"/>
    <n v="2026"/>
  </r>
  <r>
    <n v="511"/>
    <x v="0"/>
    <x v="0"/>
    <s v="Actual"/>
    <x v="3"/>
    <m/>
    <s v="ZUMZUM ALFAYHAA INSAAT"/>
    <s v="Materials"/>
    <n v="185.1"/>
    <s v="13850"/>
    <d v="2026-03-16T00:00:00"/>
    <n v="2026401035"/>
    <s v="Mar"/>
    <n v="2026"/>
  </r>
  <r>
    <n v="512"/>
    <x v="0"/>
    <x v="4"/>
    <s v="Actual"/>
    <x v="3"/>
    <m/>
    <s v="ZUMZUM ALFAYHAA INSAAT"/>
    <s v="Materials"/>
    <n v="1452.6"/>
    <s v="13854"/>
    <d v="2026-03-16T00:00:00"/>
    <n v="2026401037"/>
    <s v="Mar"/>
    <n v="2026"/>
  </r>
  <r>
    <n v="513"/>
    <x v="0"/>
    <x v="4"/>
    <s v="Actual"/>
    <x v="3"/>
    <m/>
    <s v="ZUMZUM ALFAYHAA INSAAT"/>
    <s v="Materials"/>
    <n v="225.5"/>
    <s v="13848"/>
    <d v="2026-03-16T00:00:00"/>
    <n v="2026401034"/>
    <s v="Mar"/>
    <n v="2026"/>
  </r>
  <r>
    <n v="514"/>
    <x v="0"/>
    <x v="0"/>
    <s v="Actual"/>
    <x v="3"/>
    <m/>
    <s v="ZUMZUM ALFAYHAA INSAAT"/>
    <s v="Materials"/>
    <n v="187.9"/>
    <s v="13846"/>
    <d v="2026-03-16T00:00:00"/>
    <n v="2026401047"/>
    <s v="Mar"/>
    <n v="2026"/>
  </r>
  <r>
    <n v="515"/>
    <x v="5"/>
    <x v="11"/>
    <s v="Actual"/>
    <x v="3"/>
    <m/>
    <s v="ZUMZUM ALFAYHAA INSAAT"/>
    <s v="Materials"/>
    <n v="2283.5"/>
    <s v="13816"/>
    <d v="2026-03-16T00:00:00"/>
    <n v="2026400973"/>
    <s v="Mar"/>
    <n v="2026"/>
  </r>
  <r>
    <n v="516"/>
    <x v="6"/>
    <x v="17"/>
    <s v="Actual"/>
    <x v="3"/>
    <m/>
    <s v="ZUMZUM ALFAYHAA INSAAT"/>
    <s v="Materials"/>
    <n v="1280"/>
    <s v="13806"/>
    <d v="2026-03-16T00:00:00"/>
    <n v="2026400970"/>
    <s v="Mar"/>
    <n v="2026"/>
  </r>
  <r>
    <n v="517"/>
    <x v="6"/>
    <x v="18"/>
    <s v="Actual"/>
    <x v="3"/>
    <m/>
    <s v="ZUMZUM ALFAYHAA INSAAT"/>
    <s v="Materials"/>
    <n v="72"/>
    <s v="13832"/>
    <d v="2026-03-16T00:00:00"/>
    <n v="2026401017"/>
    <s v="Mar"/>
    <n v="2026"/>
  </r>
  <r>
    <n v="518"/>
    <x v="7"/>
    <x v="21"/>
    <s v="Actual"/>
    <x v="3"/>
    <m/>
    <s v="ZUMZUM ALFAYHAA INSAAT"/>
    <s v="Materials"/>
    <n v="1595"/>
    <s v="13810"/>
    <d v="2026-03-16T00:00:00"/>
    <n v="2026400975"/>
    <s v="Mar"/>
    <n v="2026"/>
  </r>
  <r>
    <n v="519"/>
    <x v="6"/>
    <x v="27"/>
    <s v="Actual"/>
    <x v="3"/>
    <m/>
    <s v="ZUMZUM ALFAYHAA INSAAT"/>
    <s v="Materials"/>
    <n v="329.5"/>
    <s v="13826"/>
    <d v="2026-03-16T00:00:00"/>
    <n v="2026401006"/>
    <s v="Mar"/>
    <n v="2026"/>
  </r>
  <r>
    <n v="520"/>
    <x v="5"/>
    <x v="11"/>
    <s v="Actual"/>
    <x v="3"/>
    <m/>
    <s v="ZUMZUM ALFAYHAA INSAAT"/>
    <s v="Materials"/>
    <n v="305"/>
    <s v="13838"/>
    <d v="2026-03-16T00:00:00"/>
    <n v="2026400978"/>
    <s v="Mar"/>
    <n v="2026"/>
  </r>
  <r>
    <n v="521"/>
    <x v="0"/>
    <x v="0"/>
    <s v="Actual"/>
    <x v="3"/>
    <m/>
    <s v="ZUMZUM ALFAYHAA INSAAT"/>
    <s v="Materials"/>
    <n v="115"/>
    <s v="13828"/>
    <d v="2026-03-16T00:00:00"/>
    <n v="2026400995"/>
    <s v="Mar"/>
    <n v="2026"/>
  </r>
  <r>
    <n v="522"/>
    <x v="2"/>
    <x v="7"/>
    <s v="Actual"/>
    <x v="3"/>
    <m/>
    <s v="ZUMZUM ALFAYHAA INSAAT"/>
    <s v="Materials"/>
    <n v="510"/>
    <s v="13830"/>
    <d v="2026-03-16T00:00:00"/>
    <n v="2026400994"/>
    <s v="Mar"/>
    <n v="2026"/>
  </r>
  <r>
    <n v="523"/>
    <x v="3"/>
    <x v="8"/>
    <s v="Actual"/>
    <x v="3"/>
    <m/>
    <s v="ZUMZUM ALFAYHAA INSAAT"/>
    <s v="Materials"/>
    <n v="150"/>
    <s v="13804"/>
    <d v="2026-03-16T00:00:00"/>
    <n v="2026400966"/>
    <s v="Mar"/>
    <n v="2026"/>
  </r>
  <r>
    <n v="524"/>
    <x v="2"/>
    <x v="7"/>
    <s v="Actual"/>
    <x v="3"/>
    <m/>
    <s v="ZUMZUM ALFAYHAA INSAAT"/>
    <s v="Materials"/>
    <n v="600"/>
    <s v="13802"/>
    <d v="2026-03-16T00:00:00"/>
    <n v="2026400977"/>
    <s v="Mar"/>
    <n v="2026"/>
  </r>
  <r>
    <n v="525"/>
    <x v="2"/>
    <x v="7"/>
    <s v="Actual"/>
    <x v="3"/>
    <m/>
    <s v="ZUMZUM ALFAYHAA INSAAT"/>
    <s v="Materials"/>
    <n v="120"/>
    <s v="13812"/>
    <d v="2026-03-16T00:00:00"/>
    <n v="2026400971"/>
    <s v="Mar"/>
    <n v="2026"/>
  </r>
  <r>
    <n v="526"/>
    <x v="0"/>
    <x v="4"/>
    <s v="Actual"/>
    <x v="3"/>
    <m/>
    <s v="ZUMZUM ALFAYHAA INSAAT"/>
    <s v="Materials"/>
    <n v="110"/>
    <s v="13840"/>
    <d v="2026-03-16T00:00:00"/>
    <n v="2026400921"/>
    <s v="Mar"/>
    <n v="2026"/>
  </r>
  <r>
    <n v="527"/>
    <x v="0"/>
    <x v="1"/>
    <s v="Actual"/>
    <x v="3"/>
    <m/>
    <s v="ZUMZUM ALFAYHAA INSAAT"/>
    <s v="Materials"/>
    <n v="356.4"/>
    <s v="13794"/>
    <d v="2026-03-16T00:00:00"/>
    <n v="2026400850"/>
    <s v="Mar"/>
    <n v="2026"/>
  </r>
  <r>
    <n v="528"/>
    <x v="0"/>
    <x v="1"/>
    <s v="Actual"/>
    <x v="3"/>
    <m/>
    <s v="ZUMZUM ALFAYHAA INSAAT"/>
    <s v="Materials"/>
    <n v="3229.9"/>
    <s v="13750"/>
    <d v="2026-03-16T00:00:00"/>
    <n v="2026400925"/>
    <s v="Mar"/>
    <n v="2026"/>
  </r>
  <r>
    <n v="529"/>
    <x v="6"/>
    <x v="17"/>
    <s v="Actual"/>
    <x v="3"/>
    <m/>
    <s v="ZUMZUM ALFAYHAA INSAAT"/>
    <s v="Materials"/>
    <n v="2577"/>
    <s v="13656"/>
    <d v="2026-03-15T00:00:00"/>
    <n v="2026400792"/>
    <s v="Mar"/>
    <n v="2026"/>
  </r>
  <r>
    <n v="530"/>
    <x v="6"/>
    <x v="12"/>
    <s v="Actual"/>
    <x v="3"/>
    <m/>
    <s v="ZUMZUM ALFAYHAA INSAAT"/>
    <s v="Materials"/>
    <n v="254.4"/>
    <s v="13538"/>
    <d v="2026-03-15T00:00:00"/>
    <n v="2026400632"/>
    <s v="Mar"/>
    <n v="2026"/>
  </r>
  <r>
    <n v="531"/>
    <x v="5"/>
    <x v="11"/>
    <s v="Actual"/>
    <x v="3"/>
    <m/>
    <s v="ZUMZUM ALFAYHAA INSAAT"/>
    <s v="Materials"/>
    <n v="240"/>
    <s v="13872"/>
    <d v="2026-03-17T00:00:00"/>
    <n v="2026401056"/>
    <s v="Mar"/>
    <n v="2026"/>
  </r>
  <r>
    <n v="532"/>
    <x v="6"/>
    <x v="19"/>
    <s v="Actual"/>
    <x v="3"/>
    <m/>
    <s v="ZUMZUM ALFAYHAA INSAAT"/>
    <s v="Materials"/>
    <n v="1398"/>
    <s v="13588"/>
    <d v="2026-03-16T00:00:00"/>
    <n v="2026400718"/>
    <s v="Mar"/>
    <n v="2026"/>
  </r>
  <r>
    <n v="533"/>
    <x v="4"/>
    <x v="9"/>
    <s v="Actual"/>
    <x v="3"/>
    <m/>
    <s v="ZUMZUM ALFAYHAA INSAAT"/>
    <s v="Materials"/>
    <n v="60"/>
    <s v="13798"/>
    <d v="2026-03-17T00:00:00"/>
    <n v="2026401008"/>
    <s v="Mar"/>
    <n v="2026"/>
  </r>
  <r>
    <n v="534"/>
    <x v="0"/>
    <x v="4"/>
    <s v="Actual"/>
    <x v="3"/>
    <m/>
    <s v="ZUMZUM ALFAYHAA INSAAT"/>
    <s v="Materials"/>
    <n v="180"/>
    <s v="13800"/>
    <d v="2026-03-16T00:00:00"/>
    <n v="2026401021"/>
    <s v="Mar"/>
    <n v="2026"/>
  </r>
  <r>
    <n v="535"/>
    <x v="6"/>
    <x v="19"/>
    <s v="Actual"/>
    <x v="3"/>
    <m/>
    <s v="ZUMZUM ALFAYHAA INSAAT"/>
    <s v="Materials"/>
    <n v="979.5"/>
    <s v="13820"/>
    <d v="2026-03-16T00:00:00"/>
    <n v="2026400979"/>
    <s v="Mar"/>
    <n v="2026"/>
  </r>
  <r>
    <n v="536"/>
    <x v="2"/>
    <x v="7"/>
    <s v="Actual"/>
    <x v="3"/>
    <m/>
    <s v="ZUMZUM ALFAYHAA INSAAT"/>
    <s v="Materials"/>
    <n v="165"/>
    <s v="13870"/>
    <d v="2026-03-16T00:00:00"/>
    <n v="2026401059"/>
    <s v="Mar"/>
    <n v="2026"/>
  </r>
  <r>
    <n v="537"/>
    <x v="2"/>
    <x v="7"/>
    <s v="Actual"/>
    <x v="3"/>
    <m/>
    <s v="ZUMZUM ALFAYHAA INSAAT"/>
    <s v="Materials"/>
    <n v="390"/>
    <s v="13868"/>
    <d v="2026-03-16T00:00:00"/>
    <n v="2026401043"/>
    <s v="Mar"/>
    <n v="2026"/>
  </r>
  <r>
    <n v="538"/>
    <x v="6"/>
    <x v="12"/>
    <s v="Actual"/>
    <x v="3"/>
    <m/>
    <s v="ZUMZUM ALFAYHAA INSAAT"/>
    <s v="Materials"/>
    <n v="115.7"/>
    <s v="13912"/>
    <d v="2026-03-25T00:00:00"/>
    <n v="2026401105"/>
    <s v="Mar"/>
    <n v="2026"/>
  </r>
  <r>
    <n v="539"/>
    <x v="2"/>
    <x v="7"/>
    <s v="Actual"/>
    <x v="3"/>
    <m/>
    <s v="ZUMZUM ALFAYHAA INSAAT"/>
    <s v="Materials"/>
    <n v="250"/>
    <s v="13636"/>
    <d v="2026-03-07T00:00:00"/>
    <n v="2026400733"/>
    <s v="Mar"/>
    <n v="2026"/>
  </r>
  <r>
    <n v="540"/>
    <x v="7"/>
    <x v="21"/>
    <s v="Actual"/>
    <x v="3"/>
    <m/>
    <s v="ZUMZUM ALFAYHAA INSAAT"/>
    <s v="Materials"/>
    <n v="337"/>
    <s v="13910"/>
    <d v="2026-03-25T00:00:00"/>
    <n v="2026401101"/>
    <s v="Mar"/>
    <n v="2026"/>
  </r>
  <r>
    <n v="541"/>
    <x v="7"/>
    <x v="21"/>
    <s v="Actual"/>
    <x v="3"/>
    <m/>
    <s v="ZUMZUM ALFAYHAA INSAAT"/>
    <s v="Materials"/>
    <n v="955"/>
    <s v="13722"/>
    <d v="2026-03-11T00:00:00"/>
    <n v="2026400866"/>
    <s v="Mar"/>
    <n v="2026"/>
  </r>
  <r>
    <n v="542"/>
    <x v="0"/>
    <x v="4"/>
    <s v="Actual"/>
    <x v="3"/>
    <m/>
    <s v="ZUMZUM ALFAYHAA INSAAT"/>
    <s v="Materials"/>
    <n v="2384"/>
    <s v="13884"/>
    <d v="2026-03-17T00:00:00"/>
    <n v="2026401070"/>
    <s v="Mar"/>
    <n v="2026"/>
  </r>
  <r>
    <n v="543"/>
    <x v="0"/>
    <x v="0"/>
    <s v="Actual"/>
    <x v="3"/>
    <m/>
    <s v="ZUMZUM ALFAYHAA INSAAT"/>
    <s v="Materials"/>
    <n v="650"/>
    <s v="13900"/>
    <d v="2026-03-25T00:00:00"/>
    <n v="2026401092"/>
    <s v="Mar"/>
    <n v="2026"/>
  </r>
  <r>
    <n v="544"/>
    <x v="5"/>
    <x v="11"/>
    <s v="Actual"/>
    <x v="3"/>
    <m/>
    <s v="ZUMZUM ALFAYHAA INSAAT"/>
    <s v="Materials"/>
    <n v="846"/>
    <s v="13814"/>
    <d v="2026-03-25T00:00:00"/>
    <n v="2026400972"/>
    <s v="Mar"/>
    <n v="2026"/>
  </r>
  <r>
    <n v="545"/>
    <x v="2"/>
    <x v="6"/>
    <s v="Actual"/>
    <x v="3"/>
    <m/>
    <s v="ZUMZUM ALFAYHAA INSAAT"/>
    <s v="Materials"/>
    <n v="300"/>
    <s v="13908"/>
    <d v="2026-03-25T00:00:00"/>
    <n v="2026401076"/>
    <s v="Mar"/>
    <n v="2026"/>
  </r>
  <r>
    <n v="546"/>
    <x v="0"/>
    <x v="0"/>
    <s v="Actual"/>
    <x v="3"/>
    <m/>
    <s v="ZUMZUM ALFAYHAA INSAAT"/>
    <s v="Materials"/>
    <n v="75"/>
    <s v="13906"/>
    <d v="2026-03-25T00:00:00"/>
    <n v="2026401087"/>
    <s v="Mar"/>
    <n v="2026"/>
  </r>
  <r>
    <n v="547"/>
    <x v="6"/>
    <x v="17"/>
    <s v="Actual"/>
    <x v="3"/>
    <m/>
    <s v="ZUMZUM ALFAYHAA INSAAT"/>
    <s v="Materials"/>
    <n v="96"/>
    <s v="13896"/>
    <d v="2026-03-25T00:00:00"/>
    <n v="2026401094"/>
    <s v="Mar"/>
    <n v="2026"/>
  </r>
  <r>
    <n v="548"/>
    <x v="6"/>
    <x v="19"/>
    <s v="Actual"/>
    <x v="3"/>
    <m/>
    <s v="ZUMZUM ALFAYHAA INSAAT"/>
    <s v="Materials"/>
    <n v="210"/>
    <s v="13926"/>
    <d v="2026-03-28T00:00:00"/>
    <n v="2026401074"/>
    <s v="Mar"/>
    <n v="2026"/>
  </r>
  <r>
    <n v="549"/>
    <x v="0"/>
    <x v="1"/>
    <s v="Actual"/>
    <x v="3"/>
    <m/>
    <s v="ZUMZUM ALFAYHAA INSAAT"/>
    <s v="Materials"/>
    <n v="480"/>
    <s v="13904"/>
    <d v="2026-03-28T00:00:00"/>
    <n v="2026401086"/>
    <s v="Mar"/>
    <n v="2026"/>
  </r>
  <r>
    <n v="550"/>
    <x v="6"/>
    <x v="16"/>
    <s v="Actual"/>
    <x v="3"/>
    <m/>
    <s v="ZUMZUM ALFAYHAA INSAAT"/>
    <s v="Materials"/>
    <n v="220"/>
    <s v="13924"/>
    <d v="2026-03-28T00:00:00"/>
    <n v="2026401095"/>
    <s v="Mar"/>
    <n v="2026"/>
  </r>
  <r>
    <n v="551"/>
    <x v="7"/>
    <x v="21"/>
    <s v="Actual"/>
    <x v="3"/>
    <m/>
    <s v="ZUMZUM ALFAYHAA INSAAT"/>
    <s v="Materials"/>
    <n v="375"/>
    <s v="13932"/>
    <d v="2026-03-28T00:00:00"/>
    <n v="2026401113"/>
    <s v="Mar"/>
    <n v="2026"/>
  </r>
  <r>
    <n v="552"/>
    <x v="5"/>
    <x v="10"/>
    <s v="Actual"/>
    <x v="3"/>
    <m/>
    <s v="ZUMZUM ALFAYHAA INSAAT"/>
    <s v="Materials"/>
    <n v="401.5"/>
    <s v="13930"/>
    <d v="2026-03-28T00:00:00"/>
    <n v="2026401096"/>
    <s v="Mar"/>
    <n v="2026"/>
  </r>
  <r>
    <n v="553"/>
    <x v="5"/>
    <x v="11"/>
    <s v="Actual"/>
    <x v="3"/>
    <m/>
    <s v="ZUMZUM ALFAYHAA INSAAT"/>
    <s v="Materials"/>
    <n v="80"/>
    <s v="13922"/>
    <d v="2026-03-28T00:00:00"/>
    <n v="2026401110"/>
    <s v="Mar"/>
    <n v="2026"/>
  </r>
  <r>
    <n v="554"/>
    <x v="0"/>
    <x v="4"/>
    <s v="Actual"/>
    <x v="3"/>
    <m/>
    <s v="ZUMZUM ALFAYHAA INSAAT"/>
    <s v="Materials"/>
    <n v="209"/>
    <s v="13928"/>
    <d v="2026-03-28T00:00:00"/>
    <n v="2026401102"/>
    <s v="Mar"/>
    <n v="2026"/>
  </r>
  <r>
    <n v="555"/>
    <x v="0"/>
    <x v="4"/>
    <s v="Actual"/>
    <x v="3"/>
    <m/>
    <s v="ZUMZUM ALFAYHAA INSAAT"/>
    <s v="Materials"/>
    <n v="300"/>
    <s v="12914"/>
    <d v="2026-03-28T00:00:00"/>
    <n v="2025404925"/>
    <s v="Mar"/>
    <n v="2026"/>
  </r>
  <r>
    <n v="556"/>
    <x v="0"/>
    <x v="0"/>
    <s v="Actual"/>
    <x v="3"/>
    <m/>
    <s v="ZUMZUM ALFAYHAA INSAAT"/>
    <s v="Materials"/>
    <n v="300"/>
    <s v="13822"/>
    <d v="2026-03-16T00:00:00"/>
    <n v="2026400996"/>
    <s v="Mar"/>
    <n v="2026"/>
  </r>
  <r>
    <n v="557"/>
    <x v="0"/>
    <x v="3"/>
    <s v="Actual"/>
    <x v="3"/>
    <m/>
    <s v="ZUMZUM ALFAYHAA INSAAT"/>
    <s v="Materials"/>
    <n v="148"/>
    <s v="13902"/>
    <d v="2026-03-28T00:00:00"/>
    <n v="2026401088"/>
    <s v="Mar"/>
    <n v="2026"/>
  </r>
  <r>
    <n v="558"/>
    <x v="6"/>
    <x v="19"/>
    <s v="Actual"/>
    <x v="3"/>
    <m/>
    <s v="ZUMZUM ALFAYHAA INSAAT"/>
    <s v="Materials"/>
    <n v="1121.8"/>
    <s v="13834"/>
    <d v="2026-03-30T00:00:00"/>
    <n v="2026400992"/>
    <s v="Mar"/>
    <n v="2026"/>
  </r>
  <r>
    <n v="559"/>
    <x v="9"/>
    <x v="23"/>
    <s v="Actual"/>
    <x v="16"/>
    <m/>
    <s v="ARD ALKHER FOR EMPLOYMENT SERVICES"/>
    <s v="Testing/Calibration"/>
    <n v="422.0779220779221"/>
    <s v="222"/>
    <d v="2026-03-01T00:00:00"/>
    <n v="2026400791"/>
    <s v="Mar"/>
    <n v="2026"/>
  </r>
  <r>
    <n v="560"/>
    <x v="6"/>
    <x v="14"/>
    <s v="Actual"/>
    <x v="16"/>
    <m/>
    <s v="Basra Galvanizing Co."/>
    <s v="Testing/Calibration"/>
    <n v="4172.727272727273"/>
    <s v="B.G.B.I.104"/>
    <d v="2026-03-03T00:00:00"/>
    <n v="2026400876"/>
    <s v="Mar"/>
    <n v="2026"/>
  </r>
  <r>
    <n v="561"/>
    <x v="10"/>
    <x v="28"/>
    <s v="Actual"/>
    <x v="16"/>
    <m/>
    <s v="Basra Seven Stars Company"/>
    <s v="Testing/Calibration"/>
    <n v="380"/>
    <s v="26197"/>
    <d v="2026-03-12T00:00:00"/>
    <n v="2026400881"/>
    <s v="Mar"/>
    <n v="2026"/>
  </r>
  <r>
    <n v="562"/>
    <x v="9"/>
    <x v="23"/>
    <s v="Actual"/>
    <x v="16"/>
    <m/>
    <s v="Cihan Insurance Company"/>
    <s v="Testing/Calibration"/>
    <n v="1883.1168831168832"/>
    <s v="Invoice No:031-26"/>
    <d v="2026-02-25T00:00:00"/>
    <s v="N/A"/>
    <s v="Mar"/>
    <n v="2026"/>
  </r>
  <r>
    <n v="563"/>
    <x v="0"/>
    <x v="4"/>
    <s v="Actual"/>
    <x v="16"/>
    <m/>
    <s v="RAYAT AL-SHARQ COMPANY For Inspection Services"/>
    <s v="Testing/Calibration"/>
    <n v="600"/>
    <s v="3017"/>
    <d v="2026-03-14T00:00:00"/>
    <n v="2026400895"/>
    <s v="Mar"/>
    <n v="2026"/>
  </r>
  <r>
    <n v="564"/>
    <x v="7"/>
    <x v="21"/>
    <s v="Actual"/>
    <x v="16"/>
    <m/>
    <s v="RAYAT AL-SHARQ COMPANY For Inspection Services"/>
    <s v="Testing/Calibration"/>
    <n v="120"/>
    <s v="3018"/>
    <d v="2026-03-14T00:00:00"/>
    <n v="2026400878"/>
    <s v="Mar"/>
    <n v="2026"/>
  </r>
  <r>
    <n v="565"/>
    <x v="7"/>
    <x v="21"/>
    <s v="Actual"/>
    <x v="16"/>
    <m/>
    <s v="Tiqaneyat Al-Taqaddum Co. (ATC)"/>
    <s v="Testing/Calibration"/>
    <n v="256.49350649350652"/>
    <s v="ACC-SINV-2026-00555-1"/>
    <d v="2026-03-01T00:00:00"/>
    <n v="2026400737"/>
    <s v="Mar"/>
    <n v="2026"/>
  </r>
  <r>
    <n v="566"/>
    <x v="0"/>
    <x v="4"/>
    <s v="Actual"/>
    <x v="16"/>
    <m/>
    <s v="FORGING THE FUTURE CO."/>
    <s v="Testing/Calibration"/>
    <n v="292.20779220779218"/>
    <s v="INV/022619"/>
    <d v="2026-02-28T00:00:00"/>
    <n v="2026401023"/>
    <s v="Mar"/>
    <n v="2026"/>
  </r>
  <r>
    <n v="567"/>
    <x v="2"/>
    <x v="7"/>
    <s v="Actual"/>
    <x v="16"/>
    <m/>
    <s v="Enjaz For Training, Testing, Calibation &amp; Enginnering Services"/>
    <s v="Testing/Calibration"/>
    <n v="107.14285714285714"/>
    <s v="EBC-INV--2026-0115"/>
    <d v="2026-03-17T00:00:00"/>
    <n v="2026401055"/>
    <s v="Mar"/>
    <n v="2026"/>
  </r>
  <r>
    <n v="568"/>
    <x v="0"/>
    <x v="4"/>
    <s v="Actual"/>
    <x v="16"/>
    <m/>
    <s v="RAYAT AL-SHARQ COMPANY For Inspection Services"/>
    <s v="Testing/Calibration"/>
    <n v="900"/>
    <s v="3027"/>
    <d v="2026-03-17T00:00:00"/>
    <n v="2026401029"/>
    <s v="Mar"/>
    <n v="2026"/>
  </r>
  <r>
    <n v="569"/>
    <x v="7"/>
    <x v="21"/>
    <s v="Actual"/>
    <x v="16"/>
    <m/>
    <s v="TWI LIMITED"/>
    <s v="Testing/Calibration"/>
    <n v="16052.57"/>
    <s v="MEM010260"/>
    <d v="2026-02-18T00:00:00"/>
    <n v="2026400582"/>
    <s v="Mar"/>
    <n v="2026"/>
  </r>
  <r>
    <n v="570"/>
    <x v="6"/>
    <x v="17"/>
    <s v="Actual"/>
    <x v="16"/>
    <m/>
    <s v="GAMMA PETROLEUM SERVICES"/>
    <s v="Testing/Calibration"/>
    <n v="884.09090909090912"/>
    <s v="20260328/01"/>
    <d v="2026-03-28T00:00:00"/>
    <n v="2026401133"/>
    <s v="Mar"/>
    <n v="2026"/>
  </r>
  <r>
    <n v="571"/>
    <x v="0"/>
    <x v="4"/>
    <s v="Actual"/>
    <x v="16"/>
    <m/>
    <s v="AL JUTHOOR WORKSHOP"/>
    <s v="Testing/Calibration"/>
    <n v="974.02597402597405"/>
    <s v="000694"/>
    <d v="2026-03-12T00:00:00"/>
    <n v="2026401162"/>
    <s v="Mar"/>
    <n v="2026"/>
  </r>
  <r>
    <n v="572"/>
    <x v="6"/>
    <x v="19"/>
    <s v="Actual"/>
    <x v="16"/>
    <m/>
    <s v="DMC FOR PETROLEUM SERVICES &amp; CONTRACTING"/>
    <s v="Testing/Calibration"/>
    <n v="389.61038961038963"/>
    <s v="DMC-IGCC-INV-26-0120"/>
    <d v="2026-03-15T00:00:00"/>
    <n v="2026401219"/>
    <s v="Mar"/>
    <n v="2026"/>
  </r>
  <r>
    <n v="573"/>
    <x v="0"/>
    <x v="0"/>
    <s v="Actual"/>
    <x v="16"/>
    <m/>
    <s v="FORGING THE FUTURE CO."/>
    <s v="Testing/Calibration"/>
    <n v="7685.7142857142853"/>
    <s v="#"/>
    <d v="2026-04-02T00:00:00"/>
    <n v="2026401169"/>
    <s v="Mar"/>
    <n v="2026"/>
  </r>
  <r>
    <n v="574"/>
    <x v="7"/>
    <x v="21"/>
    <s v="Actual"/>
    <x v="16"/>
    <m/>
    <s v="NAYA Company"/>
    <s v="Testing/Calibration"/>
    <n v="3000"/>
    <s v="PUS-260312-252"/>
    <d v="2026-03-12T00:00:00"/>
    <n v="2026400596"/>
    <s v="Mar"/>
    <n v="2026"/>
  </r>
  <r>
    <n v="575"/>
    <x v="0"/>
    <x v="0"/>
    <s v="Accrual"/>
    <x v="16"/>
    <m/>
    <s v="Border Transportaion / Al Hodod"/>
    <s v="Hydrovac"/>
    <n v="946.7532467532468"/>
    <s v="N/A"/>
    <s v="N/A"/>
    <s v="N/A"/>
    <s v="Mar"/>
    <n v="2026"/>
  </r>
  <r>
    <n v="576"/>
    <x v="0"/>
    <x v="4"/>
    <s v="Accrual"/>
    <x v="16"/>
    <m/>
    <s v="Border Transportaion / Al Hodod"/>
    <s v="Hydrovac"/>
    <n v="4812.6623376623374"/>
    <s v="N/A"/>
    <s v="N/A"/>
    <s v="N/A"/>
    <s v="Mar"/>
    <n v="2026"/>
  </r>
  <r>
    <n v="577"/>
    <x v="0"/>
    <x v="1"/>
    <s v="Accrual"/>
    <x v="16"/>
    <m/>
    <s v="Border Transportaion / Al Hodod"/>
    <s v="Hydrovac"/>
    <n v="22258.344155844155"/>
    <s v="N/A"/>
    <s v="N/A"/>
    <s v="N/A"/>
    <s v="Mar"/>
    <n v="2026"/>
  </r>
  <r>
    <n v="578"/>
    <x v="5"/>
    <x v="11"/>
    <s v="Accrual"/>
    <x v="16"/>
    <m/>
    <s v="Border Transportaion / Al Hodod"/>
    <s v="Hydrovac"/>
    <n v="2051.2987012987014"/>
    <s v="N/A"/>
    <s v="N/A"/>
    <s v="N/A"/>
    <s v="Mar"/>
    <n v="2026"/>
  </r>
  <r>
    <n v="579"/>
    <x v="6"/>
    <x v="16"/>
    <s v="Accrual"/>
    <x v="16"/>
    <m/>
    <s v="Border Transportaion / Al Hodod"/>
    <s v="Hydrovac"/>
    <n v="22012.012987012986"/>
    <s v="N/A"/>
    <s v="N/A"/>
    <s v="N/A"/>
    <s v="Mar"/>
    <n v="2026"/>
  </r>
  <r>
    <n v="580"/>
    <x v="6"/>
    <x v="17"/>
    <s v="Accrual"/>
    <x v="16"/>
    <m/>
    <s v="Border Transportaion / Al Hodod"/>
    <s v="Hydrovac"/>
    <n v="2366.8831168831171"/>
    <s v="N/A"/>
    <s v="N/A"/>
    <s v="N/A"/>
    <s v="Mar"/>
    <n v="2026"/>
  </r>
  <r>
    <n v="581"/>
    <x v="7"/>
    <x v="21"/>
    <s v="Accrual"/>
    <x v="16"/>
    <m/>
    <s v="Border Transportaion / Al Hodod"/>
    <s v="TT-DC-FL-VR/ Hydrovac"/>
    <n v="55605.974025974028"/>
    <s v="N/A"/>
    <s v="N/A"/>
    <s v="N/A"/>
    <s v="Mar"/>
    <n v="2026"/>
  </r>
  <r>
    <n v="582"/>
    <x v="7"/>
    <x v="21"/>
    <s v="Accrual"/>
    <x v="16"/>
    <m/>
    <s v="Border Transportaion / Al Hodod"/>
    <s v="TT-DC-FL-GRE-UR / Hydrovac"/>
    <n v="11818.636363636364"/>
    <s v="N/A"/>
    <s v="N/A"/>
    <s v="N/A"/>
    <s v="Mar"/>
    <n v="2026"/>
  </r>
  <r>
    <n v="583"/>
    <x v="7"/>
    <x v="21"/>
    <s v="Accrual"/>
    <x v="16"/>
    <m/>
    <s v="Border Transportaion / Al Hodod"/>
    <s v="TT-DC-A625-CV-UR / Hydrovac"/>
    <n v="7858.0519480519479"/>
    <s v="N/A"/>
    <s v="N/A"/>
    <s v="N/A"/>
    <s v="Mar"/>
    <n v="2026"/>
  </r>
  <r>
    <n v="584"/>
    <x v="7"/>
    <x v="21"/>
    <s v="Accrual"/>
    <x v="16"/>
    <m/>
    <s v="Border Transportaion / Al Hodod"/>
    <s v="TT-DC-QSTR-CVUR / Hydrovac"/>
    <n v="2792.9220779220777"/>
    <s v="N/A"/>
    <s v="N/A"/>
    <s v="N/A"/>
    <s v="Mar"/>
    <n v="2026"/>
  </r>
  <r>
    <n v="585"/>
    <x v="7"/>
    <x v="21"/>
    <s v="Accrual"/>
    <x v="16"/>
    <m/>
    <s v="Border Transportaion / Al Hodod"/>
    <s v="TT-DC-WP-UR / Hydrovac"/>
    <n v="3550.3246753246754"/>
    <s v="N/A"/>
    <s v="N/A"/>
    <s v="N/A"/>
    <s v="Mar"/>
    <n v="2026"/>
  </r>
  <r>
    <n v="586"/>
    <x v="0"/>
    <x v="1"/>
    <s v="Accrual"/>
    <x v="17"/>
    <m/>
    <s v="Taqadm Albasrah"/>
    <s v="labourers"/>
    <n v="3612.9870129870133"/>
    <s v="N/A"/>
    <s v="N/A"/>
    <s v="N/A"/>
    <s v="Mar"/>
    <n v="2026"/>
  </r>
  <r>
    <n v="587"/>
    <x v="0"/>
    <x v="26"/>
    <s v="Accrual"/>
    <x v="17"/>
    <m/>
    <s v="Taqadm Albasrah"/>
    <s v="labourers"/>
    <n v="607.79220779220782"/>
    <s v="N/A"/>
    <s v="N/A"/>
    <s v="N/A"/>
    <s v="Mar"/>
    <n v="2026"/>
  </r>
  <r>
    <n v="588"/>
    <x v="0"/>
    <x v="4"/>
    <s v="Accrual"/>
    <x v="17"/>
    <m/>
    <s v="Taqadm Albasrah"/>
    <s v="labourers"/>
    <n v="11514.285714285716"/>
    <s v="N/A"/>
    <s v="N/A"/>
    <s v="N/A"/>
    <s v="Mar"/>
    <n v="2026"/>
  </r>
  <r>
    <n v="589"/>
    <x v="4"/>
    <x v="9"/>
    <s v="Accrual"/>
    <x v="17"/>
    <m/>
    <s v="Taqadm Albasrah"/>
    <s v="labourers"/>
    <n v="675.32467532467535"/>
    <s v="N/A"/>
    <s v="N/A"/>
    <s v="N/A"/>
    <s v="Mar"/>
    <n v="2026"/>
  </r>
  <r>
    <n v="590"/>
    <x v="4"/>
    <x v="9"/>
    <s v="Accrual"/>
    <x v="17"/>
    <m/>
    <s v="Taqadm Albasrah"/>
    <s v="labourers"/>
    <n v="1316.8831168831171"/>
    <s v="N/A"/>
    <s v="N/A"/>
    <s v="N/A"/>
    <s v="Mar"/>
    <n v="2026"/>
  </r>
  <r>
    <n v="591"/>
    <x v="6"/>
    <x v="17"/>
    <s v="Accrual"/>
    <x v="17"/>
    <m/>
    <s v="Taqadm Albasrah"/>
    <s v="labourers"/>
    <n v="641.55844155844159"/>
    <s v="N/A"/>
    <s v="N/A"/>
    <s v="N/A"/>
    <s v="Mar"/>
    <n v="2026"/>
  </r>
  <r>
    <n v="592"/>
    <x v="5"/>
    <x v="10"/>
    <s v="Accrual"/>
    <x v="17"/>
    <m/>
    <s v="Taqadm Albasrah"/>
    <s v="labourers"/>
    <n v="675.32467532467535"/>
    <s v="N/A"/>
    <s v="N/A"/>
    <s v="N/A"/>
    <s v="Mar"/>
    <n v="2026"/>
  </r>
  <r>
    <n v="593"/>
    <x v="6"/>
    <x v="20"/>
    <s v="Actual"/>
    <x v="17"/>
    <m/>
    <s v="Al-Zubair Gate"/>
    <s v="labourers"/>
    <n v="1266.2337662337663"/>
    <n v="2540"/>
    <d v="2026-03-31T00:00:00"/>
    <s v="N/A"/>
    <s v="Mar"/>
    <n v="2026"/>
  </r>
  <r>
    <n v="594"/>
    <x v="7"/>
    <x v="21"/>
    <s v="Actual"/>
    <x v="18"/>
    <m/>
    <s v="TECHNOMAK ENERGY INTERNATIONAL FZC"/>
    <m/>
    <n v="20578"/>
    <s v="TPS/224101-S1-/INV002/2026"/>
    <d v="2026-03-02T00:00:00"/>
    <n v="2026400693"/>
    <s v="Mar"/>
    <n v="2026"/>
  </r>
  <r>
    <n v="595"/>
    <x v="6"/>
    <x v="19"/>
    <s v="Actual"/>
    <x v="18"/>
    <m/>
    <s v="EGYPTIAN MAINTENANCE COMPANY"/>
    <m/>
    <n v="13184"/>
    <s v="0073\2026"/>
    <d v="2026-03-07T00:00:00"/>
    <n v="2026400597"/>
    <s v="Mar"/>
    <n v="2026"/>
  </r>
  <r>
    <n v="596"/>
    <x v="2"/>
    <x v="7"/>
    <s v="Actual"/>
    <x v="18"/>
    <m/>
    <s v="STEEL HAND GRIP CO."/>
    <m/>
    <n v="37012.987012987011"/>
    <s v="SH-INV-001"/>
    <d v="2026-03-12T00:00:00"/>
    <n v="2026400893"/>
    <s v="Mar"/>
    <n v="2026"/>
  </r>
  <r>
    <n v="597"/>
    <x v="2"/>
    <x v="7"/>
    <s v="Actual"/>
    <x v="18"/>
    <m/>
    <s v="STEEL HAND GRIP CO."/>
    <m/>
    <n v="18181.81818181818"/>
    <s v="SH-INV-002"/>
    <d v="2026-03-12T00:00:00"/>
    <n v="2026400891"/>
    <s v="Mar"/>
    <n v="2026"/>
  </r>
  <r>
    <n v="598"/>
    <x v="2"/>
    <x v="7"/>
    <s v="Actual"/>
    <x v="18"/>
    <m/>
    <s v="STEEL HAND GRIP CO."/>
    <m/>
    <n v="20779.220779220781"/>
    <s v="SH-INV-003"/>
    <d v="2026-03-12T00:00:00"/>
    <n v="2026400892"/>
    <s v="Mar"/>
    <n v="2026"/>
  </r>
  <r>
    <n v="599"/>
    <x v="0"/>
    <x v="26"/>
    <s v="Actual"/>
    <x v="18"/>
    <m/>
    <s v="AL ABRAJ AL MUTAHIDA"/>
    <m/>
    <n v="73090.909090909088"/>
    <s v="ABR-43-26"/>
    <d v="2026-03-11T00:00:00"/>
    <n v="2026400031"/>
    <s v="Mar"/>
    <n v="2026"/>
  </r>
  <r>
    <n v="600"/>
    <x v="6"/>
    <x v="19"/>
    <s v="Actual"/>
    <x v="18"/>
    <m/>
    <s v="Mohammed Dawood Hamad"/>
    <m/>
    <n v="5681.818181818182"/>
    <s v="N/A"/>
    <d v="2026-03-10T00:00:00"/>
    <n v="2026401204"/>
    <s v="Mar"/>
    <n v="2026"/>
  </r>
  <r>
    <n v="601"/>
    <x v="2"/>
    <x v="6"/>
    <s v="Accrual"/>
    <x v="18"/>
    <m/>
    <s v="Maraba Al Rafidain"/>
    <m/>
    <n v="127524"/>
    <s v="N/A"/>
    <s v="N/A"/>
    <s v="N/A"/>
    <s v="Mar"/>
    <n v="2026"/>
  </r>
  <r>
    <n v="602"/>
    <x v="7"/>
    <x v="21"/>
    <s v="Accrual"/>
    <x v="18"/>
    <m/>
    <s v="Al Ajdar For General Trading and General Purchasing Ltd"/>
    <m/>
    <n v="160000"/>
    <s v="N/A"/>
    <s v="N/A"/>
    <s v="N/A"/>
    <s v="Mar"/>
    <n v="2026"/>
  </r>
  <r>
    <n v="603"/>
    <x v="6"/>
    <x v="14"/>
    <s v="Accrual"/>
    <x v="18"/>
    <m/>
    <s v="Al Ajdar For General Trading and General Purchasing Ltd"/>
    <m/>
    <n v="65000"/>
    <s v="N/A"/>
    <s v="N/A"/>
    <s v="N/A"/>
    <s v="Mar"/>
    <n v="2026"/>
  </r>
  <r>
    <n v="604"/>
    <x v="0"/>
    <x v="4"/>
    <s v="Accrual"/>
    <x v="18"/>
    <m/>
    <s v="Al Ebdaa Office"/>
    <m/>
    <n v="68255"/>
    <s v="N/A"/>
    <s v="N/A"/>
    <s v="N/A"/>
    <s v="Mar"/>
    <n v="2026"/>
  </r>
  <r>
    <n v="605"/>
    <x v="2"/>
    <x v="6"/>
    <s v="Actual"/>
    <x v="19"/>
    <m/>
    <s v="UY SCUTI COMPANY"/>
    <s v="Fixed Assets"/>
    <n v="2000"/>
    <s v="INV-000043"/>
    <d v="2026-03-02T00:00:00"/>
    <n v="2026400748"/>
    <s v="Mar"/>
    <n v="2026"/>
  </r>
  <r>
    <n v="606"/>
    <x v="2"/>
    <x v="6"/>
    <s v="Actual"/>
    <x v="19"/>
    <m/>
    <s v="LIFT N SHIFT EQUIPMENT TRADING LLC"/>
    <s v="Fixed Assets"/>
    <n v="2260"/>
    <s v="202600256"/>
    <d v="2026-03-03T00:00:00"/>
    <n v="2026400747"/>
    <s v="Mar"/>
    <n v="2026"/>
  </r>
  <r>
    <n v="607"/>
    <x v="2"/>
    <x v="6"/>
    <s v="Actual"/>
    <x v="19"/>
    <m/>
    <s v="TAJ AL SHARQI FOR GENERAL TRADING LTD."/>
    <s v="Fixed Assets"/>
    <n v="3616.8831168831171"/>
    <s v="260010"/>
    <d v="2026-03-04T00:00:00"/>
    <n v="2026400785"/>
    <s v="Mar"/>
    <n v="2026"/>
  </r>
  <r>
    <n v="608"/>
    <x v="2"/>
    <x v="6"/>
    <s v="Actual"/>
    <x v="19"/>
    <m/>
    <s v="Remz AL-Kafaa For General Trading"/>
    <s v="Fixed Assets"/>
    <n v="6500"/>
    <s v="0121"/>
    <d v="2026-03-02T00:00:00"/>
    <n v="2026400721"/>
    <s v="Mar"/>
    <n v="2026"/>
  </r>
  <r>
    <n v="609"/>
    <x v="2"/>
    <x v="6"/>
    <s v="Actual"/>
    <x v="19"/>
    <m/>
    <s v="Al Ghasak Office"/>
    <s v="Fixed Assets"/>
    <n v="795.4545454545455"/>
    <s v="00693"/>
    <d v="2026-03-04T00:00:00"/>
    <n v="2026400752"/>
    <s v="Mar"/>
    <n v="2026"/>
  </r>
  <r>
    <n v="610"/>
    <x v="2"/>
    <x v="6"/>
    <s v="Actual"/>
    <x v="19"/>
    <m/>
    <s v="Miqias Inspection instrumentation Calibration"/>
    <s v="Fixed Assets"/>
    <n v="8754"/>
    <s v="Q00487"/>
    <d v="2026-03-09T00:00:00"/>
    <n v="2026400749"/>
    <s v="Mar"/>
    <n v="2026"/>
  </r>
  <r>
    <n v="611"/>
    <x v="2"/>
    <x v="6"/>
    <s v="Actual"/>
    <x v="19"/>
    <m/>
    <s v="Remz AL-Kafaa For General Trading"/>
    <s v="Fixed Assets"/>
    <n v="21080"/>
    <s v="0133"/>
    <d v="2026-03-13T00:00:00"/>
    <n v="2026400758"/>
    <s v="Mar"/>
    <n v="2026"/>
  </r>
  <r>
    <n v="612"/>
    <x v="2"/>
    <x v="6"/>
    <s v="Actual"/>
    <x v="19"/>
    <m/>
    <s v="ZUMZUM ALFAYHAA INSAAT"/>
    <s v="Fixed Assets"/>
    <n v="550"/>
    <s v="13874"/>
    <d v="2026-03-16T00:00:00"/>
    <n v="2026401061"/>
    <s v="Mar"/>
    <n v="2026"/>
  </r>
  <r>
    <n v="613"/>
    <x v="2"/>
    <x v="6"/>
    <s v="Actual"/>
    <x v="19"/>
    <m/>
    <s v="AL-GHASAQ OFFICE FOR TRADING AND ELECTRICAL CONSTRUCTION MATERIALS"/>
    <s v="Fixed Assets"/>
    <n v="928.57142857142856"/>
    <s v="00696"/>
    <d v="2026-03-14T00:00:00"/>
    <n v="2026401125"/>
    <s v="Mar"/>
    <n v="2026"/>
  </r>
  <r>
    <n v="614"/>
    <x v="2"/>
    <x v="6"/>
    <s v="Actual"/>
    <x v="19"/>
    <m/>
    <s v="Cargo Ship Company"/>
    <s v="Fixed Assets"/>
    <n v="9800"/>
    <s v="239"/>
    <d v="2026-03-25T00:00:00"/>
    <n v="2026401128"/>
    <s v="Mar"/>
    <n v="2026"/>
  </r>
  <r>
    <n v="615"/>
    <x v="2"/>
    <x v="6"/>
    <s v="Actual"/>
    <x v="19"/>
    <m/>
    <s v="Kosha Gallery for Furniture"/>
    <s v="Fixed Assets"/>
    <n v="1120.1298701298701"/>
    <s v="106"/>
    <d v="2026-03-15T00:00:00"/>
    <n v="2026401183"/>
    <s v="Mar"/>
    <n v="2026"/>
  </r>
  <r>
    <n v="616"/>
    <x v="0"/>
    <x v="4"/>
    <s v="Actual"/>
    <x v="18"/>
    <m/>
    <s v="EPT LLC"/>
    <m/>
    <n v="4063.3116883116882"/>
    <s v="Invoice INV/2026/00053"/>
    <d v="2026-02-21T00:00:00"/>
    <n v="2026401168"/>
    <s v="Mar"/>
    <n v="2026"/>
  </r>
  <r>
    <n v="617"/>
    <x v="2"/>
    <x v="7"/>
    <s v="Accrual"/>
    <x v="3"/>
    <m/>
    <s v="Fasco LLC FZ"/>
    <s v="Materials"/>
    <n v="3528.5531335149867"/>
    <s v="IN 2026000017"/>
    <d v="2026-03-03T00:00:00"/>
    <n v="2025403317"/>
    <s v="Mar"/>
    <n v="2026"/>
  </r>
  <r>
    <n v="618"/>
    <x v="2"/>
    <x v="7"/>
    <s v="Accrual"/>
    <x v="3"/>
    <m/>
    <s v="Fasco LLC FZ"/>
    <s v="Materials"/>
    <n v="59291.553133514986"/>
    <s v="IN 2026000018"/>
    <d v="2026-03-03T00:00:00"/>
    <n v="2025403316"/>
    <s v="Mar"/>
    <n v="2026"/>
  </r>
  <r>
    <n v="619"/>
    <x v="2"/>
    <x v="7"/>
    <s v="Accrual"/>
    <x v="3"/>
    <m/>
    <s v="Fasco LLC FZ"/>
    <s v="Materials"/>
    <n v="2070.8446866485015"/>
    <s v="IN 2026000019"/>
    <d v="2026-03-03T00:00:00"/>
    <s v="N/A"/>
    <s v="Mar"/>
    <n v="2026"/>
  </r>
  <r>
    <n v="620"/>
    <x v="7"/>
    <x v="21"/>
    <s v="Accrual"/>
    <x v="3"/>
    <m/>
    <s v="Fasco LLC FZ"/>
    <s v="Materials"/>
    <n v="269.75476839237058"/>
    <s v="IN 2026000023"/>
    <d v="2026-03-08T00:00:00"/>
    <n v="2025404329"/>
    <s v="Mar"/>
    <n v="2026"/>
  </r>
  <r>
    <n v="621"/>
    <x v="6"/>
    <x v="18"/>
    <s v="Accrual"/>
    <x v="3"/>
    <m/>
    <s v="Fasco LLC FZ"/>
    <s v="Materials"/>
    <n v="33142.016348773839"/>
    <s v="IN 2026000024"/>
    <d v="2026-03-08T00:00:00"/>
    <n v="2024403196"/>
    <s v="Mar"/>
    <n v="2026"/>
  </r>
  <r>
    <n v="622"/>
    <x v="7"/>
    <x v="21"/>
    <s v="Accrual"/>
    <x v="3"/>
    <m/>
    <s v="Fasco LLC FZ"/>
    <s v="Materials"/>
    <n v="9195.6512261580392"/>
    <s v="IN 2026000026"/>
    <d v="2026-03-08T00:00:00"/>
    <n v="2025404729"/>
    <s v="Mar"/>
    <n v="2026"/>
  </r>
  <r>
    <n v="623"/>
    <x v="7"/>
    <x v="21"/>
    <s v="Accrual"/>
    <x v="3"/>
    <m/>
    <s v="Fasco LLC FZ"/>
    <s v="Materials"/>
    <n v="1609.0463215258856"/>
    <s v="IN 2026000027"/>
    <d v="2026-03-08T00:00:00"/>
    <s v="N/A"/>
    <s v="Mar"/>
    <n v="2026"/>
  </r>
  <r>
    <n v="624"/>
    <x v="7"/>
    <x v="21"/>
    <s v="Accrual"/>
    <x v="3"/>
    <m/>
    <s v="Fasco LLC FZ"/>
    <s v="Materials"/>
    <n v="8141.6893732970029"/>
    <s v="IN 2026000028"/>
    <d v="2026-03-08T00:00:00"/>
    <s v="N/A"/>
    <s v="Mar"/>
    <n v="2026"/>
  </r>
  <r>
    <n v="625"/>
    <x v="4"/>
    <x v="9"/>
    <s v="Accrual"/>
    <x v="16"/>
    <m/>
    <s v="Fasco LLC FZ"/>
    <m/>
    <n v="11665.122615803815"/>
    <s v="IN 2026000022"/>
    <d v="2026-03-04T00:00:00"/>
    <s v="N/A"/>
    <s v="Mar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F8FE52-CE12-4A6D-92B4-3EE689860D2D}" name="PivotTable3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V60" firstHeaderRow="1" firstDataRow="2" firstDataCol="1"/>
  <pivotFields count="14">
    <pivotField showAll="0"/>
    <pivotField axis="axisRow" showAll="0">
      <items count="13">
        <item x="0"/>
        <item x="1"/>
        <item x="2"/>
        <item x="3"/>
        <item x="9"/>
        <item x="8"/>
        <item x="11"/>
        <item x="4"/>
        <item x="5"/>
        <item x="6"/>
        <item x="7"/>
        <item x="10"/>
        <item t="default"/>
      </items>
    </pivotField>
    <pivotField axis="axisRow" showAll="0">
      <items count="44">
        <item x="34"/>
        <item x="35"/>
        <item x="0"/>
        <item x="36"/>
        <item x="6"/>
        <item x="29"/>
        <item x="12"/>
        <item x="31"/>
        <item x="10"/>
        <item x="11"/>
        <item x="42"/>
        <item x="24"/>
        <item x="13"/>
        <item x="14"/>
        <item x="28"/>
        <item x="5"/>
        <item x="23"/>
        <item x="9"/>
        <item x="21"/>
        <item x="37"/>
        <item x="8"/>
        <item x="1"/>
        <item x="25"/>
        <item x="15"/>
        <item x="22"/>
        <item x="2"/>
        <item x="32"/>
        <item x="33"/>
        <item x="16"/>
        <item x="7"/>
        <item x="3"/>
        <item x="17"/>
        <item x="18"/>
        <item x="19"/>
        <item x="20"/>
        <item x="30"/>
        <item x="38"/>
        <item x="39"/>
        <item x="40"/>
        <item x="26"/>
        <item x="41"/>
        <item x="4"/>
        <item x="27"/>
        <item t="default"/>
      </items>
    </pivotField>
    <pivotField showAll="0"/>
    <pivotField axis="axisCol" showAll="0">
      <items count="21">
        <item x="6"/>
        <item x="15"/>
        <item x="14"/>
        <item x="2"/>
        <item x="10"/>
        <item x="1"/>
        <item x="19"/>
        <item x="5"/>
        <item x="7"/>
        <item x="8"/>
        <item x="3"/>
        <item x="9"/>
        <item x="12"/>
        <item x="13"/>
        <item x="0"/>
        <item x="18"/>
        <item x="17"/>
        <item x="16"/>
        <item x="4"/>
        <item x="11"/>
        <item t="default"/>
      </items>
    </pivotField>
    <pivotField showAll="0"/>
    <pivotField showAll="0"/>
    <pivotField showAll="0"/>
    <pivotField dataField="1" numFmtId="167" showAll="0"/>
    <pivotField showAll="0"/>
    <pivotField showAll="0"/>
    <pivotField showAll="0"/>
    <pivotField showAll="0"/>
    <pivotField showAll="0"/>
  </pivotFields>
  <rowFields count="2">
    <field x="1"/>
    <field x="2"/>
  </rowFields>
  <rowItems count="56">
    <i>
      <x/>
    </i>
    <i r="1">
      <x/>
    </i>
    <i r="1">
      <x v="2"/>
    </i>
    <i r="1">
      <x v="11"/>
    </i>
    <i r="1">
      <x v="21"/>
    </i>
    <i r="1">
      <x v="25"/>
    </i>
    <i r="1">
      <x v="30"/>
    </i>
    <i r="1">
      <x v="35"/>
    </i>
    <i r="1">
      <x v="39"/>
    </i>
    <i r="1">
      <x v="41"/>
    </i>
    <i>
      <x v="1"/>
    </i>
    <i r="1">
      <x v="1"/>
    </i>
    <i r="1">
      <x v="15"/>
    </i>
    <i>
      <x v="2"/>
    </i>
    <i r="1">
      <x v="3"/>
    </i>
    <i r="1">
      <x v="4"/>
    </i>
    <i r="1">
      <x v="29"/>
    </i>
    <i>
      <x v="3"/>
    </i>
    <i r="1">
      <x v="19"/>
    </i>
    <i r="1">
      <x v="20"/>
    </i>
    <i>
      <x v="4"/>
    </i>
    <i r="1">
      <x v="16"/>
    </i>
    <i>
      <x v="5"/>
    </i>
    <i r="1">
      <x v="24"/>
    </i>
    <i>
      <x v="6"/>
    </i>
    <i r="1">
      <x v="7"/>
    </i>
    <i>
      <x v="7"/>
    </i>
    <i r="1">
      <x v="17"/>
    </i>
    <i r="1">
      <x v="36"/>
    </i>
    <i>
      <x v="8"/>
    </i>
    <i r="1">
      <x v="8"/>
    </i>
    <i r="1">
      <x v="9"/>
    </i>
    <i r="1">
      <x v="10"/>
    </i>
    <i r="1">
      <x v="26"/>
    </i>
    <i r="1">
      <x v="27"/>
    </i>
    <i r="1">
      <x v="37"/>
    </i>
    <i>
      <x v="9"/>
    </i>
    <i r="1">
      <x v="5"/>
    </i>
    <i r="1">
      <x v="6"/>
    </i>
    <i r="1">
      <x v="12"/>
    </i>
    <i r="1">
      <x v="13"/>
    </i>
    <i r="1">
      <x v="22"/>
    </i>
    <i r="1">
      <x v="23"/>
    </i>
    <i r="1">
      <x v="28"/>
    </i>
    <i r="1">
      <x v="31"/>
    </i>
    <i r="1">
      <x v="32"/>
    </i>
    <i r="1">
      <x v="33"/>
    </i>
    <i r="1">
      <x v="34"/>
    </i>
    <i r="1">
      <x v="38"/>
    </i>
    <i r="1">
      <x v="42"/>
    </i>
    <i>
      <x v="10"/>
    </i>
    <i r="1">
      <x v="18"/>
    </i>
    <i r="1">
      <x v="40"/>
    </i>
    <i>
      <x v="11"/>
    </i>
    <i r="1">
      <x v="14"/>
    </i>
    <i t="grand">
      <x/>
    </i>
  </rowItems>
  <colFields count="1">
    <field x="4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Sum of Invoice Amount USD" fld="8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BGCG_23" displayName="BGCG_23" ref="R1:R2" totalsRowShown="0">
  <autoFilter ref="R1:R2" xr:uid="{00000000-0009-0000-0100-000002000000}"/>
  <tableColumns count="1">
    <tableColumn id="1" xr3:uid="{00000000-0010-0000-0000-000001000000}" name="BGCG_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BGC_23" displayName="BGC_23" ref="T1:T8" totalsRowShown="0">
  <autoFilter ref="T1:T8" xr:uid="{00000000-0009-0000-0100-000001000000}"/>
  <tableColumns count="1">
    <tableColumn id="1" xr3:uid="{00000000-0010-0000-0100-000001000000}" name="BGC_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OOG_23" displayName="ROOG_23" ref="V1:V2" totalsRowShown="0">
  <autoFilter ref="V1:V2" xr:uid="{00000000-0009-0000-0100-000003000000}"/>
  <tableColumns count="1">
    <tableColumn id="1" xr3:uid="{00000000-0010-0000-0200-000001000000}" name="ROOG_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OOM_23" displayName="ROOM_23" ref="X1:X8" totalsRowShown="0">
  <autoFilter ref="X1:X8" xr:uid="{00000000-0009-0000-0100-000004000000}"/>
  <tableColumns count="1">
    <tableColumn id="1" xr3:uid="{00000000-0010-0000-0300-000001000000}" name="ROOM_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OOESP_23" displayName="ROOESP_23" ref="Z1:Z2" totalsRowShown="0">
  <autoFilter ref="Z1:Z2" xr:uid="{00000000-0009-0000-0100-000005000000}"/>
  <tableColumns count="1">
    <tableColumn id="1" xr3:uid="{00000000-0010-0000-0400-000001000000}" name="ROOESP_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OOP_23" displayName="ROOP_23" ref="AB1:AB14" totalsRowShown="0">
  <autoFilter ref="AB1:AB14" xr:uid="{00000000-0009-0000-0100-000006000000}"/>
  <tableColumns count="1">
    <tableColumn id="1" xr3:uid="{00000000-0010-0000-0500-000001000000}" name="ROOP_2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mp_23" displayName="Camp_23" ref="AD1:AD3" totalsRowShown="0">
  <autoFilter ref="AD1:AD3" xr:uid="{00000000-0009-0000-0100-000007000000}"/>
  <tableColumns count="1">
    <tableColumn id="1" xr3:uid="{00000000-0010-0000-0600-000001000000}" name="Camp_2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HO_23" displayName="HO_23" ref="AF1:AF2" totalsRowShown="0">
  <autoFilter ref="AF1:AF2" xr:uid="{00000000-0009-0000-0100-000008000000}"/>
  <tableColumns count="1">
    <tableColumn id="1" xr3:uid="{00000000-0010-0000-0700-000001000000}" name="HO_2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WQ1_23" displayName="WQ1_23" ref="AH1:AH2" totalsRowShown="0">
  <autoFilter ref="AH1:AH2" xr:uid="{00000000-0009-0000-0100-000009000000}"/>
  <tableColumns count="1">
    <tableColumn id="1" xr3:uid="{00000000-0010-0000-0800-000001000000}" name="WQ1_2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Level_1" displayName="Level_1" ref="P1:P11" totalsRowShown="0">
  <autoFilter ref="P1:P11" xr:uid="{00000000-0009-0000-0100-00000A000000}"/>
  <tableColumns count="1">
    <tableColumn id="1" xr3:uid="{00000000-0010-0000-0900-000001000000}" name="Level_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ost_Type" displayName="Cost_Type" ref="C1:C3" totalsRowShown="0">
  <autoFilter ref="C1:C3" xr:uid="{00000000-0009-0000-0100-00000B000000}"/>
  <tableColumns count="1">
    <tableColumn id="1" xr3:uid="{00000000-0010-0000-0A00-000001000000}" name="Cost_Typ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GL_Name" displayName="GL_Name" ref="E1:E38" totalsRowShown="0">
  <autoFilter ref="E1:E38" xr:uid="{00000000-0009-0000-0100-00000C000000}"/>
  <tableColumns count="1">
    <tableColumn id="1" xr3:uid="{00000000-0010-0000-0B00-000001000000}" name="GL_Nam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Month" displayName="Month" ref="H1:H13" totalsRowShown="0">
  <autoFilter ref="H1:H13" xr:uid="{00000000-0009-0000-0100-00000E000000}"/>
  <tableColumns count="1">
    <tableColumn id="1" xr3:uid="{00000000-0010-0000-0C00-000001000000}" name="Month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D000000}" name="Year" displayName="Year" ref="J1:J4" totalsRowShown="0">
  <autoFilter ref="J1:J4" xr:uid="{00000000-0009-0000-0100-00000F000000}"/>
  <tableColumns count="1">
    <tableColumn id="1" xr3:uid="{00000000-0010-0000-0D00-000001000000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D3BF7-11AE-482A-87F9-4A38DBB235B9}">
  <dimension ref="A3:V60"/>
  <sheetViews>
    <sheetView tabSelected="1" topLeftCell="A3" workbookViewId="0">
      <selection activeCell="A3" sqref="A3"/>
    </sheetView>
  </sheetViews>
  <sheetFormatPr defaultRowHeight="14.5"/>
  <cols>
    <col min="1" max="1" width="24.453125" bestFit="1" customWidth="1"/>
    <col min="2" max="2" width="15.26953125" bestFit="1" customWidth="1"/>
    <col min="3" max="4" width="15.6328125" bestFit="1" customWidth="1"/>
    <col min="5" max="5" width="21.7265625" bestFit="1" customWidth="1"/>
    <col min="6" max="6" width="23.54296875" bestFit="1" customWidth="1"/>
    <col min="7" max="7" width="25.453125" bestFit="1" customWidth="1"/>
    <col min="8" max="8" width="11.1796875" bestFit="1" customWidth="1"/>
    <col min="9" max="9" width="14.54296875" bestFit="1" customWidth="1"/>
    <col min="10" max="10" width="11.7265625" bestFit="1" customWidth="1"/>
    <col min="11" max="11" width="29.54296875" bestFit="1" customWidth="1"/>
    <col min="12" max="12" width="17.36328125" bestFit="1" customWidth="1"/>
    <col min="13" max="13" width="20.54296875" bestFit="1" customWidth="1"/>
    <col min="14" max="14" width="11.1796875" bestFit="1" customWidth="1"/>
    <col min="15" max="15" width="12.54296875" bestFit="1" customWidth="1"/>
    <col min="16" max="16" width="25" bestFit="1" customWidth="1"/>
    <col min="17" max="17" width="13.6328125" bestFit="1" customWidth="1"/>
    <col min="18" max="18" width="19.90625" bestFit="1" customWidth="1"/>
    <col min="19" max="19" width="17.36328125" bestFit="1" customWidth="1"/>
    <col min="20" max="20" width="17.26953125" bestFit="1" customWidth="1"/>
    <col min="21" max="21" width="22.7265625" bestFit="1" customWidth="1"/>
    <col min="22" max="22" width="13.81640625" bestFit="1" customWidth="1"/>
    <col min="23" max="24" width="7.08984375" bestFit="1" customWidth="1"/>
    <col min="25" max="25" width="7.90625" bestFit="1" customWidth="1"/>
    <col min="26" max="26" width="12" bestFit="1" customWidth="1"/>
    <col min="27" max="27" width="10.1796875" bestFit="1" customWidth="1"/>
    <col min="28" max="28" width="10.6328125" bestFit="1" customWidth="1"/>
    <col min="29" max="29" width="9.90625" bestFit="1" customWidth="1"/>
    <col min="30" max="30" width="8.453125" bestFit="1" customWidth="1"/>
    <col min="31" max="31" width="8.26953125" bestFit="1" customWidth="1"/>
    <col min="32" max="32" width="9.1796875" bestFit="1" customWidth="1"/>
    <col min="34" max="34" width="8.36328125" bestFit="1" customWidth="1"/>
    <col min="35" max="35" width="9.36328125" bestFit="1" customWidth="1"/>
    <col min="36" max="36" width="10.26953125" bestFit="1" customWidth="1"/>
    <col min="37" max="37" width="7.54296875" bestFit="1" customWidth="1"/>
    <col min="38" max="38" width="8.90625" bestFit="1" customWidth="1"/>
    <col min="39" max="39" width="9.36328125" bestFit="1" customWidth="1"/>
    <col min="41" max="41" width="7.90625" bestFit="1" customWidth="1"/>
    <col min="42" max="42" width="9.1796875" bestFit="1" customWidth="1"/>
    <col min="43" max="43" width="6.453125" bestFit="1" customWidth="1"/>
    <col min="44" max="44" width="8.26953125" bestFit="1" customWidth="1"/>
    <col min="45" max="45" width="10.7265625" bestFit="1" customWidth="1"/>
  </cols>
  <sheetData>
    <row r="3" spans="1:22">
      <c r="A3" s="82" t="s">
        <v>232</v>
      </c>
      <c r="B3" s="82" t="s">
        <v>233</v>
      </c>
    </row>
    <row r="4" spans="1:22">
      <c r="A4" s="82" t="s">
        <v>230</v>
      </c>
      <c r="B4" t="s">
        <v>80</v>
      </c>
      <c r="C4" t="s">
        <v>120</v>
      </c>
      <c r="D4" t="s">
        <v>217</v>
      </c>
      <c r="E4" t="s">
        <v>61</v>
      </c>
      <c r="F4" t="s">
        <v>97</v>
      </c>
      <c r="G4" t="s">
        <v>54</v>
      </c>
      <c r="H4" t="s">
        <v>250</v>
      </c>
      <c r="I4" t="s">
        <v>77</v>
      </c>
      <c r="J4" t="s">
        <v>95</v>
      </c>
      <c r="K4" t="s">
        <v>82</v>
      </c>
      <c r="L4" t="s">
        <v>68</v>
      </c>
      <c r="M4" t="s">
        <v>305</v>
      </c>
      <c r="N4" t="s">
        <v>91</v>
      </c>
      <c r="O4" t="s">
        <v>103</v>
      </c>
      <c r="P4" t="s">
        <v>20</v>
      </c>
      <c r="Q4" t="s">
        <v>108</v>
      </c>
      <c r="R4" t="s">
        <v>104</v>
      </c>
      <c r="S4" t="s">
        <v>106</v>
      </c>
      <c r="T4" t="s">
        <v>76</v>
      </c>
      <c r="U4" t="s">
        <v>237</v>
      </c>
      <c r="V4" t="s">
        <v>231</v>
      </c>
    </row>
    <row r="5" spans="1:22">
      <c r="A5" s="4" t="s">
        <v>17</v>
      </c>
      <c r="B5" s="28"/>
      <c r="C5" s="28"/>
      <c r="D5" s="28"/>
      <c r="E5" s="28">
        <v>2142.8571428571431</v>
      </c>
      <c r="F5" s="28">
        <v>3735.3242368422066</v>
      </c>
      <c r="G5" s="28"/>
      <c r="H5" s="28"/>
      <c r="I5" s="28">
        <v>3246.7532467532469</v>
      </c>
      <c r="J5" s="28"/>
      <c r="K5" s="28">
        <v>300534.64073376625</v>
      </c>
      <c r="L5" s="28">
        <v>132286.36415584414</v>
      </c>
      <c r="M5" s="28"/>
      <c r="N5" s="28">
        <v>5500</v>
      </c>
      <c r="O5" s="28"/>
      <c r="P5" s="28">
        <v>460470</v>
      </c>
      <c r="Q5" s="28">
        <v>145409.22077922078</v>
      </c>
      <c r="R5" s="28">
        <v>15735.064935064936</v>
      </c>
      <c r="S5" s="28">
        <v>38469.707792207795</v>
      </c>
      <c r="T5" s="28">
        <v>374.02597402597405</v>
      </c>
      <c r="U5" s="28"/>
      <c r="V5" s="28">
        <v>1107903.9589965825</v>
      </c>
    </row>
    <row r="6" spans="1:22">
      <c r="A6" s="83" t="s">
        <v>17</v>
      </c>
      <c r="B6" s="28"/>
      <c r="C6" s="28"/>
      <c r="D6" s="28"/>
      <c r="E6" s="28"/>
      <c r="F6" s="28">
        <v>2547.6618991798687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>
        <v>2547.6618991798687</v>
      </c>
    </row>
    <row r="7" spans="1:22">
      <c r="A7" s="83" t="s">
        <v>18</v>
      </c>
      <c r="B7" s="28"/>
      <c r="C7" s="28"/>
      <c r="D7" s="28"/>
      <c r="E7" s="28"/>
      <c r="F7" s="28">
        <v>309.74025974025972</v>
      </c>
      <c r="G7" s="28"/>
      <c r="H7" s="28"/>
      <c r="I7" s="28"/>
      <c r="J7" s="28"/>
      <c r="K7" s="28">
        <v>77634.923571428575</v>
      </c>
      <c r="L7" s="28">
        <v>63778.889610389604</v>
      </c>
      <c r="M7" s="28"/>
      <c r="N7" s="28"/>
      <c r="O7" s="28"/>
      <c r="P7" s="28">
        <v>91545</v>
      </c>
      <c r="Q7" s="28"/>
      <c r="R7" s="28"/>
      <c r="S7" s="28">
        <v>8632.4675324675318</v>
      </c>
      <c r="T7" s="28">
        <v>374.02597402597405</v>
      </c>
      <c r="U7" s="28"/>
      <c r="V7" s="28">
        <v>242275.04694805195</v>
      </c>
    </row>
    <row r="8" spans="1:22">
      <c r="A8" s="83" t="s">
        <v>70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>
        <v>542.53246753246754</v>
      </c>
      <c r="M8" s="28"/>
      <c r="N8" s="28"/>
      <c r="O8" s="28"/>
      <c r="P8" s="28"/>
      <c r="Q8" s="28"/>
      <c r="R8" s="28"/>
      <c r="S8" s="28"/>
      <c r="T8" s="28"/>
      <c r="U8" s="28"/>
      <c r="V8" s="28">
        <v>542.53246753246754</v>
      </c>
    </row>
    <row r="9" spans="1:22">
      <c r="A9" s="83" t="s">
        <v>22</v>
      </c>
      <c r="B9" s="28"/>
      <c r="C9" s="28"/>
      <c r="D9" s="28"/>
      <c r="E9" s="28">
        <v>844.15584415584419</v>
      </c>
      <c r="F9" s="28"/>
      <c r="G9" s="28"/>
      <c r="H9" s="28"/>
      <c r="I9" s="28">
        <v>1298.7012987012988</v>
      </c>
      <c r="J9" s="28"/>
      <c r="K9" s="28">
        <v>42743.552857142859</v>
      </c>
      <c r="L9" s="28">
        <v>25557.677142857145</v>
      </c>
      <c r="M9" s="28"/>
      <c r="N9" s="28"/>
      <c r="O9" s="28"/>
      <c r="P9" s="28">
        <v>97146</v>
      </c>
      <c r="Q9" s="28"/>
      <c r="R9" s="28">
        <v>3612.9870129870133</v>
      </c>
      <c r="S9" s="28">
        <v>22258.344155844155</v>
      </c>
      <c r="T9" s="28"/>
      <c r="U9" s="28"/>
      <c r="V9" s="28">
        <v>193461.41831168832</v>
      </c>
    </row>
    <row r="10" spans="1:22">
      <c r="A10" s="83" t="s">
        <v>87</v>
      </c>
      <c r="B10" s="28"/>
      <c r="C10" s="28"/>
      <c r="D10" s="28"/>
      <c r="E10" s="28"/>
      <c r="F10" s="28"/>
      <c r="G10" s="28"/>
      <c r="H10" s="28"/>
      <c r="I10" s="28"/>
      <c r="J10" s="28"/>
      <c r="K10" s="28">
        <v>3636.3636363636365</v>
      </c>
      <c r="L10" s="28"/>
      <c r="M10" s="28"/>
      <c r="N10" s="28"/>
      <c r="O10" s="28"/>
      <c r="P10" s="28">
        <v>13095</v>
      </c>
      <c r="Q10" s="28"/>
      <c r="R10" s="28"/>
      <c r="S10" s="28"/>
      <c r="T10" s="28"/>
      <c r="U10" s="28"/>
      <c r="V10" s="28">
        <v>16731.363636363636</v>
      </c>
    </row>
    <row r="11" spans="1:22">
      <c r="A11" s="83" t="s">
        <v>400</v>
      </c>
      <c r="B11" s="28"/>
      <c r="C11" s="28"/>
      <c r="D11" s="28"/>
      <c r="E11" s="28"/>
      <c r="F11" s="28"/>
      <c r="G11" s="28"/>
      <c r="H11" s="28"/>
      <c r="I11" s="28"/>
      <c r="J11" s="28"/>
      <c r="K11" s="28">
        <v>56444.829051948051</v>
      </c>
      <c r="L11" s="28">
        <v>1538</v>
      </c>
      <c r="M11" s="28"/>
      <c r="N11" s="28"/>
      <c r="O11" s="28"/>
      <c r="P11" s="28">
        <v>70959</v>
      </c>
      <c r="Q11" s="28"/>
      <c r="R11" s="28"/>
      <c r="S11" s="28"/>
      <c r="T11" s="28"/>
      <c r="U11" s="28"/>
      <c r="V11" s="28">
        <v>128941.82905194805</v>
      </c>
    </row>
    <row r="12" spans="1:22">
      <c r="A12" s="83" t="s">
        <v>23</v>
      </c>
      <c r="B12" s="28"/>
      <c r="C12" s="28"/>
      <c r="D12" s="28"/>
      <c r="E12" s="28"/>
      <c r="F12" s="28">
        <v>172.07792207792207</v>
      </c>
      <c r="G12" s="28"/>
      <c r="H12" s="28"/>
      <c r="I12" s="28"/>
      <c r="J12" s="28"/>
      <c r="K12" s="28">
        <v>1620</v>
      </c>
      <c r="L12" s="28"/>
      <c r="M12" s="28"/>
      <c r="N12" s="28">
        <v>5500</v>
      </c>
      <c r="O12" s="28"/>
      <c r="P12" s="28"/>
      <c r="Q12" s="28"/>
      <c r="R12" s="28"/>
      <c r="S12" s="28"/>
      <c r="T12" s="28"/>
      <c r="U12" s="28"/>
      <c r="V12" s="28">
        <v>7292.0779220779223</v>
      </c>
    </row>
    <row r="13" spans="1:22">
      <c r="A13" s="83" t="s">
        <v>24</v>
      </c>
      <c r="B13" s="28"/>
      <c r="C13" s="28"/>
      <c r="D13" s="28"/>
      <c r="E13" s="28"/>
      <c r="F13" s="28">
        <v>240.90909090909091</v>
      </c>
      <c r="G13" s="28"/>
      <c r="H13" s="28"/>
      <c r="I13" s="28"/>
      <c r="J13" s="28"/>
      <c r="K13" s="28"/>
      <c r="L13" s="28">
        <v>5139.6103896103896</v>
      </c>
      <c r="M13" s="28"/>
      <c r="N13" s="28"/>
      <c r="O13" s="28"/>
      <c r="P13" s="28"/>
      <c r="Q13" s="28">
        <v>73090.909090909088</v>
      </c>
      <c r="R13" s="28">
        <v>607.79220779220782</v>
      </c>
      <c r="S13" s="28"/>
      <c r="T13" s="28"/>
      <c r="U13" s="28"/>
      <c r="V13" s="28">
        <v>79079.220779220777</v>
      </c>
    </row>
    <row r="14" spans="1:22">
      <c r="A14" s="83" t="s">
        <v>25</v>
      </c>
      <c r="B14" s="28"/>
      <c r="C14" s="28"/>
      <c r="D14" s="28"/>
      <c r="E14" s="28">
        <v>1298.7012987012988</v>
      </c>
      <c r="F14" s="28">
        <v>464.93506493506493</v>
      </c>
      <c r="G14" s="28"/>
      <c r="H14" s="28"/>
      <c r="I14" s="28">
        <v>1948.0519480519481</v>
      </c>
      <c r="J14" s="28"/>
      <c r="K14" s="28">
        <v>118454.97161688311</v>
      </c>
      <c r="L14" s="28">
        <v>35729.654545454541</v>
      </c>
      <c r="M14" s="28"/>
      <c r="N14" s="28"/>
      <c r="O14" s="28"/>
      <c r="P14" s="28">
        <v>187725</v>
      </c>
      <c r="Q14" s="28">
        <v>72318.311688311689</v>
      </c>
      <c r="R14" s="28">
        <v>11514.285714285716</v>
      </c>
      <c r="S14" s="28">
        <v>7578.8961038961043</v>
      </c>
      <c r="T14" s="28"/>
      <c r="U14" s="28"/>
      <c r="V14" s="28">
        <v>437032.80798051949</v>
      </c>
    </row>
    <row r="15" spans="1:22">
      <c r="A15" s="4" t="s">
        <v>27</v>
      </c>
      <c r="B15" s="28"/>
      <c r="C15" s="28"/>
      <c r="D15" s="28"/>
      <c r="E15" s="28">
        <v>10064.935064935065</v>
      </c>
      <c r="F15" s="28">
        <v>59.513447553263369</v>
      </c>
      <c r="G15" s="28"/>
      <c r="H15" s="28"/>
      <c r="I15" s="28"/>
      <c r="J15" s="28"/>
      <c r="K15" s="28"/>
      <c r="L15" s="28"/>
      <c r="M15" s="28"/>
      <c r="N15" s="28">
        <v>14880</v>
      </c>
      <c r="O15" s="28"/>
      <c r="P15" s="28">
        <v>18837</v>
      </c>
      <c r="Q15" s="28"/>
      <c r="R15" s="28"/>
      <c r="S15" s="28"/>
      <c r="T15" s="28"/>
      <c r="U15" s="28"/>
      <c r="V15" s="28">
        <v>43841.448512488329</v>
      </c>
    </row>
    <row r="16" spans="1:22">
      <c r="A16" s="83" t="s">
        <v>27</v>
      </c>
      <c r="B16" s="28"/>
      <c r="C16" s="28"/>
      <c r="D16" s="28"/>
      <c r="E16" s="28"/>
      <c r="F16" s="28">
        <v>59.513447553263369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>
        <v>59.513447553263369</v>
      </c>
    </row>
    <row r="17" spans="1:22">
      <c r="A17" s="83" t="s">
        <v>28</v>
      </c>
      <c r="B17" s="28"/>
      <c r="C17" s="28"/>
      <c r="D17" s="28"/>
      <c r="E17" s="28">
        <v>10064.935064935065</v>
      </c>
      <c r="F17" s="28"/>
      <c r="G17" s="28"/>
      <c r="H17" s="28"/>
      <c r="I17" s="28"/>
      <c r="J17" s="28"/>
      <c r="K17" s="28"/>
      <c r="L17" s="28"/>
      <c r="M17" s="28"/>
      <c r="N17" s="28">
        <v>14880</v>
      </c>
      <c r="O17" s="28"/>
      <c r="P17" s="28">
        <v>18837</v>
      </c>
      <c r="Q17" s="28"/>
      <c r="R17" s="28"/>
      <c r="S17" s="28"/>
      <c r="T17" s="28"/>
      <c r="U17" s="28"/>
      <c r="V17" s="28">
        <v>43781.935064935067</v>
      </c>
    </row>
    <row r="18" spans="1:22">
      <c r="A18" s="4" t="s">
        <v>246</v>
      </c>
      <c r="B18" s="28"/>
      <c r="C18" s="28"/>
      <c r="D18" s="28"/>
      <c r="E18" s="28"/>
      <c r="F18" s="28">
        <v>886.28109114758263</v>
      </c>
      <c r="G18" s="28">
        <v>8613.6363636363621</v>
      </c>
      <c r="H18" s="28">
        <v>57405.038961038961</v>
      </c>
      <c r="I18" s="28">
        <v>42207.792207792205</v>
      </c>
      <c r="J18" s="28">
        <v>2500</v>
      </c>
      <c r="K18" s="28">
        <v>126016.14322077922</v>
      </c>
      <c r="L18" s="28">
        <v>145348.82705757458</v>
      </c>
      <c r="M18" s="28"/>
      <c r="N18" s="28">
        <v>11520</v>
      </c>
      <c r="O18" s="28"/>
      <c r="P18" s="28">
        <v>200777</v>
      </c>
      <c r="Q18" s="28">
        <v>203498.02597402595</v>
      </c>
      <c r="R18" s="28"/>
      <c r="S18" s="28">
        <v>107.14285714285714</v>
      </c>
      <c r="T18" s="28"/>
      <c r="U18" s="28"/>
      <c r="V18" s="28">
        <v>798879.8877331377</v>
      </c>
    </row>
    <row r="19" spans="1:22">
      <c r="A19" s="83" t="s">
        <v>246</v>
      </c>
      <c r="B19" s="28"/>
      <c r="C19" s="28"/>
      <c r="D19" s="28"/>
      <c r="E19" s="28"/>
      <c r="F19" s="28">
        <v>354.82803956359589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>
        <v>354.82803956359589</v>
      </c>
    </row>
    <row r="20" spans="1:22">
      <c r="A20" s="83" t="s">
        <v>53</v>
      </c>
      <c r="B20" s="28"/>
      <c r="C20" s="28"/>
      <c r="D20" s="28"/>
      <c r="E20" s="28"/>
      <c r="F20" s="28">
        <v>251.94805194805195</v>
      </c>
      <c r="G20" s="28">
        <v>8613.6363636363621</v>
      </c>
      <c r="H20" s="28">
        <v>57405.038961038961</v>
      </c>
      <c r="I20" s="28">
        <v>42207.792207792205</v>
      </c>
      <c r="J20" s="28">
        <v>2500</v>
      </c>
      <c r="K20" s="28">
        <v>126016.14322077922</v>
      </c>
      <c r="L20" s="28">
        <v>24490.215584415582</v>
      </c>
      <c r="M20" s="28"/>
      <c r="N20" s="28">
        <v>11520</v>
      </c>
      <c r="O20" s="28"/>
      <c r="P20" s="28">
        <v>112309</v>
      </c>
      <c r="Q20" s="28">
        <v>127524</v>
      </c>
      <c r="R20" s="28"/>
      <c r="S20" s="28"/>
      <c r="T20" s="28"/>
      <c r="U20" s="28"/>
      <c r="V20" s="28">
        <v>512837.77438961039</v>
      </c>
    </row>
    <row r="21" spans="1:22">
      <c r="A21" s="83" t="s">
        <v>90</v>
      </c>
      <c r="B21" s="28"/>
      <c r="C21" s="28"/>
      <c r="D21" s="28"/>
      <c r="E21" s="28"/>
      <c r="F21" s="28">
        <v>279.50499963593478</v>
      </c>
      <c r="G21" s="28"/>
      <c r="H21" s="28"/>
      <c r="I21" s="28"/>
      <c r="J21" s="28"/>
      <c r="K21" s="28"/>
      <c r="L21" s="28">
        <v>120858.61147315899</v>
      </c>
      <c r="M21" s="28"/>
      <c r="N21" s="28"/>
      <c r="O21" s="28"/>
      <c r="P21" s="28">
        <v>88468</v>
      </c>
      <c r="Q21" s="28">
        <v>75974.025974025964</v>
      </c>
      <c r="R21" s="28"/>
      <c r="S21" s="28">
        <v>107.14285714285714</v>
      </c>
      <c r="T21" s="28"/>
      <c r="U21" s="28"/>
      <c r="V21" s="28">
        <v>285687.2853039637</v>
      </c>
    </row>
    <row r="22" spans="1:22">
      <c r="A22" s="4" t="s">
        <v>56</v>
      </c>
      <c r="B22" s="28">
        <v>26135.864337005278</v>
      </c>
      <c r="C22" s="28"/>
      <c r="D22" s="28">
        <v>380000</v>
      </c>
      <c r="E22" s="28">
        <v>14470.129870129871</v>
      </c>
      <c r="F22" s="28">
        <v>989.21255143590975</v>
      </c>
      <c r="G22" s="28"/>
      <c r="H22" s="28"/>
      <c r="I22" s="28">
        <v>571.42857142857144</v>
      </c>
      <c r="J22" s="28"/>
      <c r="K22" s="28">
        <v>8102.3976038961036</v>
      </c>
      <c r="L22" s="28">
        <v>1304.8701298701299</v>
      </c>
      <c r="M22" s="28">
        <v>1071.4285714285713</v>
      </c>
      <c r="N22" s="28"/>
      <c r="O22" s="28">
        <v>25000</v>
      </c>
      <c r="P22" s="28">
        <v>128125</v>
      </c>
      <c r="Q22" s="28"/>
      <c r="R22" s="28"/>
      <c r="S22" s="28"/>
      <c r="T22" s="28">
        <v>7162.9870129870123</v>
      </c>
      <c r="U22" s="28">
        <v>4150</v>
      </c>
      <c r="V22" s="28">
        <v>597083.31864818151</v>
      </c>
    </row>
    <row r="23" spans="1:22">
      <c r="A23" s="83" t="s">
        <v>56</v>
      </c>
      <c r="B23" s="28"/>
      <c r="C23" s="28"/>
      <c r="D23" s="28"/>
      <c r="E23" s="28"/>
      <c r="F23" s="28">
        <v>404.79696702032538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>
        <v>404.79696702032538</v>
      </c>
    </row>
    <row r="24" spans="1:22">
      <c r="A24" s="83" t="s">
        <v>57</v>
      </c>
      <c r="B24" s="28">
        <v>26135.864337005278</v>
      </c>
      <c r="C24" s="28"/>
      <c r="D24" s="28">
        <v>380000</v>
      </c>
      <c r="E24" s="28">
        <v>14470.129870129871</v>
      </c>
      <c r="F24" s="28">
        <v>584.41558441558436</v>
      </c>
      <c r="G24" s="28"/>
      <c r="H24" s="28"/>
      <c r="I24" s="28">
        <v>571.42857142857144</v>
      </c>
      <c r="J24" s="28"/>
      <c r="K24" s="28">
        <v>8102.3976038961036</v>
      </c>
      <c r="L24" s="28">
        <v>1304.8701298701299</v>
      </c>
      <c r="M24" s="28">
        <v>1071.4285714285713</v>
      </c>
      <c r="N24" s="28"/>
      <c r="O24" s="28">
        <v>25000</v>
      </c>
      <c r="P24" s="28">
        <v>128125</v>
      </c>
      <c r="Q24" s="28"/>
      <c r="R24" s="28"/>
      <c r="S24" s="28"/>
      <c r="T24" s="28">
        <v>7162.9870129870123</v>
      </c>
      <c r="U24" s="28">
        <v>4150</v>
      </c>
      <c r="V24" s="28">
        <v>596678.52168116113</v>
      </c>
    </row>
    <row r="25" spans="1:22">
      <c r="A25" s="4" t="s">
        <v>259</v>
      </c>
      <c r="B25" s="28"/>
      <c r="C25" s="28"/>
      <c r="D25" s="28"/>
      <c r="E25" s="28">
        <v>594.80519480519479</v>
      </c>
      <c r="F25" s="28">
        <v>185.06493506493507</v>
      </c>
      <c r="G25" s="28"/>
      <c r="H25" s="28"/>
      <c r="I25" s="28"/>
      <c r="J25" s="28"/>
      <c r="K25" s="28">
        <v>850.64935064935071</v>
      </c>
      <c r="L25" s="28">
        <v>1016.2337662337663</v>
      </c>
      <c r="M25" s="28">
        <v>389.61038961038963</v>
      </c>
      <c r="N25" s="28"/>
      <c r="O25" s="28"/>
      <c r="P25" s="28"/>
      <c r="Q25" s="28"/>
      <c r="R25" s="28"/>
      <c r="S25" s="28">
        <v>2305.1948051948052</v>
      </c>
      <c r="T25" s="28">
        <v>64.935064935064929</v>
      </c>
      <c r="U25" s="28">
        <v>1298.7012987012988</v>
      </c>
      <c r="V25" s="28">
        <v>6705.1948051948057</v>
      </c>
    </row>
    <row r="26" spans="1:22">
      <c r="A26" s="83" t="s">
        <v>260</v>
      </c>
      <c r="B26" s="28"/>
      <c r="C26" s="28"/>
      <c r="D26" s="28"/>
      <c r="E26" s="28">
        <v>594.80519480519479</v>
      </c>
      <c r="F26" s="28">
        <v>185.06493506493507</v>
      </c>
      <c r="G26" s="28"/>
      <c r="H26" s="28"/>
      <c r="I26" s="28"/>
      <c r="J26" s="28"/>
      <c r="K26" s="28">
        <v>850.64935064935071</v>
      </c>
      <c r="L26" s="28">
        <v>1016.2337662337663</v>
      </c>
      <c r="M26" s="28">
        <v>389.61038961038963</v>
      </c>
      <c r="N26" s="28"/>
      <c r="O26" s="28"/>
      <c r="P26" s="28"/>
      <c r="Q26" s="28"/>
      <c r="R26" s="28"/>
      <c r="S26" s="28">
        <v>2305.1948051948052</v>
      </c>
      <c r="T26" s="28">
        <v>64.935064935064929</v>
      </c>
      <c r="U26" s="28">
        <v>1298.7012987012988</v>
      </c>
      <c r="V26" s="28">
        <v>6705.1948051948057</v>
      </c>
    </row>
    <row r="27" spans="1:22">
      <c r="A27" s="4" t="s">
        <v>261</v>
      </c>
      <c r="B27" s="28"/>
      <c r="C27" s="28">
        <v>1006</v>
      </c>
      <c r="D27" s="28"/>
      <c r="E27" s="28"/>
      <c r="F27" s="28">
        <v>262.22944985511811</v>
      </c>
      <c r="G27" s="28"/>
      <c r="H27" s="28"/>
      <c r="I27" s="28"/>
      <c r="J27" s="28"/>
      <c r="K27" s="28"/>
      <c r="L27" s="28"/>
      <c r="M27" s="28"/>
      <c r="N27" s="28"/>
      <c r="O27" s="28"/>
      <c r="P27" s="28">
        <v>83000</v>
      </c>
      <c r="Q27" s="28"/>
      <c r="R27" s="28"/>
      <c r="S27" s="28"/>
      <c r="T27" s="28"/>
      <c r="U27" s="28"/>
      <c r="V27" s="28">
        <v>84268.22944985512</v>
      </c>
    </row>
    <row r="28" spans="1:22">
      <c r="A28" s="83" t="s">
        <v>261</v>
      </c>
      <c r="B28" s="28"/>
      <c r="C28" s="28">
        <v>1006</v>
      </c>
      <c r="D28" s="28"/>
      <c r="E28" s="28"/>
      <c r="F28" s="28">
        <v>262.22944985511811</v>
      </c>
      <c r="G28" s="28"/>
      <c r="H28" s="28"/>
      <c r="I28" s="28"/>
      <c r="J28" s="28"/>
      <c r="K28" s="28"/>
      <c r="L28" s="28"/>
      <c r="M28" s="28"/>
      <c r="N28" s="28"/>
      <c r="O28" s="28"/>
      <c r="P28" s="28">
        <v>83000</v>
      </c>
      <c r="Q28" s="28"/>
      <c r="R28" s="28"/>
      <c r="S28" s="28"/>
      <c r="T28" s="28"/>
      <c r="U28" s="28"/>
      <c r="V28" s="28">
        <v>84268.22944985512</v>
      </c>
    </row>
    <row r="29" spans="1:22">
      <c r="A29" s="4" t="s">
        <v>288</v>
      </c>
      <c r="B29" s="28"/>
      <c r="C29" s="28"/>
      <c r="D29" s="28"/>
      <c r="E29" s="28"/>
      <c r="F29" s="28"/>
      <c r="G29" s="28"/>
      <c r="H29" s="28"/>
      <c r="I29" s="28"/>
      <c r="J29" s="28"/>
      <c r="K29" s="28">
        <v>1498.5015064935064</v>
      </c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>
        <v>1498.5015064935064</v>
      </c>
    </row>
    <row r="30" spans="1:22">
      <c r="A30" s="83" t="s">
        <v>30</v>
      </c>
      <c r="B30" s="28"/>
      <c r="C30" s="28"/>
      <c r="D30" s="28"/>
      <c r="E30" s="28"/>
      <c r="F30" s="28"/>
      <c r="G30" s="28"/>
      <c r="H30" s="28"/>
      <c r="I30" s="28"/>
      <c r="J30" s="28"/>
      <c r="K30" s="28">
        <v>1498.5015064935064</v>
      </c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>
        <v>1498.5015064935064</v>
      </c>
    </row>
    <row r="31" spans="1:22">
      <c r="A31" s="4" t="s">
        <v>31</v>
      </c>
      <c r="B31" s="28"/>
      <c r="C31" s="28"/>
      <c r="D31" s="28"/>
      <c r="E31" s="28">
        <v>1970.7792207792209</v>
      </c>
      <c r="F31" s="28">
        <v>399.09898091148563</v>
      </c>
      <c r="G31" s="28"/>
      <c r="H31" s="28"/>
      <c r="I31" s="28"/>
      <c r="J31" s="28">
        <v>1298.7012987012988</v>
      </c>
      <c r="K31" s="28">
        <v>55370.86237662338</v>
      </c>
      <c r="L31" s="28">
        <v>57865.530389610387</v>
      </c>
      <c r="M31" s="28"/>
      <c r="N31" s="28">
        <v>32550</v>
      </c>
      <c r="O31" s="28"/>
      <c r="P31" s="28">
        <v>55208</v>
      </c>
      <c r="Q31" s="28"/>
      <c r="R31" s="28">
        <v>1992.2077922077924</v>
      </c>
      <c r="S31" s="28">
        <v>11665.122615803815</v>
      </c>
      <c r="T31" s="28"/>
      <c r="U31" s="28"/>
      <c r="V31" s="28">
        <v>218320.30267463738</v>
      </c>
    </row>
    <row r="32" spans="1:22">
      <c r="A32" s="83" t="s">
        <v>32</v>
      </c>
      <c r="B32" s="28"/>
      <c r="C32" s="28"/>
      <c r="D32" s="28"/>
      <c r="E32" s="28">
        <v>1970.7792207792209</v>
      </c>
      <c r="F32" s="28">
        <v>224.67532467532467</v>
      </c>
      <c r="G32" s="28"/>
      <c r="H32" s="28"/>
      <c r="I32" s="28"/>
      <c r="J32" s="28">
        <v>1298.7012987012988</v>
      </c>
      <c r="K32" s="28">
        <v>55370.86237662338</v>
      </c>
      <c r="L32" s="28">
        <v>57865.530389610387</v>
      </c>
      <c r="M32" s="28"/>
      <c r="N32" s="28">
        <v>32550</v>
      </c>
      <c r="O32" s="28"/>
      <c r="P32" s="28">
        <v>55208</v>
      </c>
      <c r="Q32" s="28"/>
      <c r="R32" s="28">
        <v>1992.2077922077924</v>
      </c>
      <c r="S32" s="28">
        <v>11665.122615803815</v>
      </c>
      <c r="T32" s="28"/>
      <c r="U32" s="28"/>
      <c r="V32" s="28">
        <v>218145.87901840123</v>
      </c>
    </row>
    <row r="33" spans="1:22">
      <c r="A33" s="83" t="s">
        <v>31</v>
      </c>
      <c r="B33" s="28"/>
      <c r="C33" s="28"/>
      <c r="D33" s="28"/>
      <c r="E33" s="28"/>
      <c r="F33" s="28">
        <v>174.42365623616095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>
        <v>174.42365623616095</v>
      </c>
    </row>
    <row r="34" spans="1:22">
      <c r="A34" s="4" t="s">
        <v>33</v>
      </c>
      <c r="B34" s="28"/>
      <c r="C34" s="28"/>
      <c r="D34" s="28"/>
      <c r="E34" s="28"/>
      <c r="F34" s="28">
        <v>308.61946468242064</v>
      </c>
      <c r="G34" s="28"/>
      <c r="H34" s="28"/>
      <c r="I34" s="28"/>
      <c r="J34" s="28"/>
      <c r="K34" s="28">
        <v>72240.629344155852</v>
      </c>
      <c r="L34" s="28">
        <v>37845.351818181822</v>
      </c>
      <c r="M34" s="28"/>
      <c r="N34" s="28"/>
      <c r="O34" s="28"/>
      <c r="P34" s="28">
        <v>75897</v>
      </c>
      <c r="Q34" s="28"/>
      <c r="R34" s="28">
        <v>675.32467532467535</v>
      </c>
      <c r="S34" s="28">
        <v>2051.2987012987014</v>
      </c>
      <c r="T34" s="28"/>
      <c r="U34" s="28"/>
      <c r="V34" s="28">
        <v>189018.2240036435</v>
      </c>
    </row>
    <row r="35" spans="1:22">
      <c r="A35" s="83" t="s">
        <v>34</v>
      </c>
      <c r="B35" s="28"/>
      <c r="C35" s="28"/>
      <c r="D35" s="28"/>
      <c r="E35" s="28"/>
      <c r="F35" s="28">
        <v>68.831168831168824</v>
      </c>
      <c r="G35" s="28"/>
      <c r="H35" s="28"/>
      <c r="I35" s="28"/>
      <c r="J35" s="28"/>
      <c r="K35" s="28">
        <v>9730.269681818183</v>
      </c>
      <c r="L35" s="28">
        <v>5535.0141558441555</v>
      </c>
      <c r="M35" s="28"/>
      <c r="N35" s="28"/>
      <c r="O35" s="28"/>
      <c r="P35" s="28">
        <v>27680</v>
      </c>
      <c r="Q35" s="28"/>
      <c r="R35" s="28">
        <v>675.32467532467535</v>
      </c>
      <c r="S35" s="28"/>
      <c r="T35" s="28"/>
      <c r="U35" s="28"/>
      <c r="V35" s="28">
        <v>43689.439681818185</v>
      </c>
    </row>
    <row r="36" spans="1:22">
      <c r="A36" s="83" t="s">
        <v>35</v>
      </c>
      <c r="B36" s="28"/>
      <c r="C36" s="28"/>
      <c r="D36" s="28"/>
      <c r="E36" s="28"/>
      <c r="F36" s="28"/>
      <c r="G36" s="28"/>
      <c r="H36" s="28"/>
      <c r="I36" s="28"/>
      <c r="J36" s="28"/>
      <c r="K36" s="28">
        <v>59505.864142857143</v>
      </c>
      <c r="L36" s="28">
        <v>30625.337662337668</v>
      </c>
      <c r="M36" s="28"/>
      <c r="N36" s="28"/>
      <c r="O36" s="28"/>
      <c r="P36" s="28">
        <v>48217</v>
      </c>
      <c r="Q36" s="28"/>
      <c r="R36" s="28"/>
      <c r="S36" s="28">
        <v>2051.2987012987014</v>
      </c>
      <c r="T36" s="28"/>
      <c r="U36" s="28"/>
      <c r="V36" s="28">
        <v>140399.50050649352</v>
      </c>
    </row>
    <row r="37" spans="1:22">
      <c r="A37" s="83" t="s">
        <v>36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>
        <v>1360</v>
      </c>
      <c r="M37" s="28"/>
      <c r="N37" s="28"/>
      <c r="O37" s="28"/>
      <c r="P37" s="28"/>
      <c r="Q37" s="28"/>
      <c r="R37" s="28"/>
      <c r="S37" s="28"/>
      <c r="T37" s="28"/>
      <c r="U37" s="28"/>
      <c r="V37" s="28">
        <v>1360</v>
      </c>
    </row>
    <row r="38" spans="1:22">
      <c r="A38" s="83" t="s">
        <v>37</v>
      </c>
      <c r="B38" s="28"/>
      <c r="C38" s="28"/>
      <c r="D38" s="28"/>
      <c r="E38" s="28"/>
      <c r="F38" s="28"/>
      <c r="G38" s="28"/>
      <c r="H38" s="28"/>
      <c r="I38" s="28"/>
      <c r="J38" s="28"/>
      <c r="K38" s="28">
        <v>1168.8311688311687</v>
      </c>
      <c r="L38" s="28">
        <v>325</v>
      </c>
      <c r="M38" s="28"/>
      <c r="N38" s="28"/>
      <c r="O38" s="28"/>
      <c r="P38" s="28"/>
      <c r="Q38" s="28"/>
      <c r="R38" s="28"/>
      <c r="S38" s="28"/>
      <c r="T38" s="28"/>
      <c r="U38" s="28"/>
      <c r="V38" s="28">
        <v>1493.8311688311687</v>
      </c>
    </row>
    <row r="39" spans="1:22">
      <c r="A39" s="83" t="s">
        <v>39</v>
      </c>
      <c r="B39" s="28"/>
      <c r="C39" s="28"/>
      <c r="D39" s="28"/>
      <c r="E39" s="28"/>
      <c r="F39" s="28"/>
      <c r="G39" s="28"/>
      <c r="H39" s="28"/>
      <c r="I39" s="28"/>
      <c r="J39" s="28"/>
      <c r="K39" s="28">
        <v>1835.6643506493508</v>
      </c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>
        <v>1835.6643506493508</v>
      </c>
    </row>
    <row r="40" spans="1:22">
      <c r="A40" s="83" t="s">
        <v>33</v>
      </c>
      <c r="B40" s="28"/>
      <c r="C40" s="28"/>
      <c r="D40" s="28"/>
      <c r="E40" s="28"/>
      <c r="F40" s="28">
        <v>239.7882958512518</v>
      </c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>
        <v>239.7882958512518</v>
      </c>
    </row>
    <row r="41" spans="1:22">
      <c r="A41" s="4" t="s">
        <v>40</v>
      </c>
      <c r="B41" s="28"/>
      <c r="C41" s="28"/>
      <c r="D41" s="28"/>
      <c r="E41" s="28">
        <v>266.23376623376623</v>
      </c>
      <c r="F41" s="28">
        <v>2838.0639011553567</v>
      </c>
      <c r="G41" s="28">
        <v>29935.064935064933</v>
      </c>
      <c r="H41" s="28"/>
      <c r="I41" s="28">
        <v>1298.7012987012988</v>
      </c>
      <c r="J41" s="28">
        <v>11337.662337662337</v>
      </c>
      <c r="K41" s="28">
        <v>461296.10975974024</v>
      </c>
      <c r="L41" s="28">
        <v>165341.66489012347</v>
      </c>
      <c r="M41" s="28"/>
      <c r="N41" s="28">
        <v>1298.7012987012988</v>
      </c>
      <c r="O41" s="28"/>
      <c r="P41" s="28">
        <v>480657</v>
      </c>
      <c r="Q41" s="28">
        <v>83865.818181818177</v>
      </c>
      <c r="R41" s="28">
        <v>1907.792207792208</v>
      </c>
      <c r="S41" s="28">
        <v>29825.324675324671</v>
      </c>
      <c r="T41" s="28">
        <v>1525.9740259740261</v>
      </c>
      <c r="U41" s="28"/>
      <c r="V41" s="28">
        <v>1271394.111278292</v>
      </c>
    </row>
    <row r="42" spans="1:22">
      <c r="A42" s="83" t="s">
        <v>67</v>
      </c>
      <c r="B42" s="28"/>
      <c r="C42" s="28"/>
      <c r="D42" s="28"/>
      <c r="E42" s="28"/>
      <c r="F42" s="28">
        <v>568.18181818181813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>
        <v>568.18181818181813</v>
      </c>
    </row>
    <row r="43" spans="1:22">
      <c r="A43" s="83" t="s">
        <v>41</v>
      </c>
      <c r="B43" s="28"/>
      <c r="C43" s="28"/>
      <c r="D43" s="28"/>
      <c r="E43" s="28"/>
      <c r="F43" s="28"/>
      <c r="G43" s="28"/>
      <c r="H43" s="28"/>
      <c r="I43" s="28"/>
      <c r="J43" s="28"/>
      <c r="K43" s="28">
        <v>29565.304610389612</v>
      </c>
      <c r="L43" s="28">
        <v>9004.8129870129869</v>
      </c>
      <c r="M43" s="28"/>
      <c r="N43" s="28"/>
      <c r="O43" s="28"/>
      <c r="P43" s="28">
        <v>64126</v>
      </c>
      <c r="Q43" s="28"/>
      <c r="R43" s="28"/>
      <c r="S43" s="28"/>
      <c r="T43" s="28"/>
      <c r="U43" s="28"/>
      <c r="V43" s="28">
        <v>102696.1175974026</v>
      </c>
    </row>
    <row r="44" spans="1:22">
      <c r="A44" s="83" t="s">
        <v>42</v>
      </c>
      <c r="B44" s="28"/>
      <c r="C44" s="28"/>
      <c r="D44" s="28"/>
      <c r="E44" s="28"/>
      <c r="F44" s="28"/>
      <c r="G44" s="28"/>
      <c r="H44" s="28"/>
      <c r="I44" s="28"/>
      <c r="J44" s="28"/>
      <c r="K44" s="28">
        <v>30610.29027272727</v>
      </c>
      <c r="L44" s="28">
        <v>177.12</v>
      </c>
      <c r="M44" s="28"/>
      <c r="N44" s="28"/>
      <c r="O44" s="28"/>
      <c r="P44" s="28">
        <v>13852</v>
      </c>
      <c r="Q44" s="28"/>
      <c r="R44" s="28"/>
      <c r="S44" s="28"/>
      <c r="T44" s="28"/>
      <c r="U44" s="28"/>
      <c r="V44" s="28">
        <v>44639.410272727269</v>
      </c>
    </row>
    <row r="45" spans="1:22">
      <c r="A45" s="83" t="s">
        <v>43</v>
      </c>
      <c r="B45" s="28"/>
      <c r="C45" s="28"/>
      <c r="D45" s="28"/>
      <c r="E45" s="28"/>
      <c r="F45" s="28">
        <v>34.415584415584412</v>
      </c>
      <c r="G45" s="28"/>
      <c r="H45" s="28"/>
      <c r="I45" s="28"/>
      <c r="J45" s="28">
        <v>4000</v>
      </c>
      <c r="K45" s="28">
        <v>111801.94786363636</v>
      </c>
      <c r="L45" s="28">
        <v>2400</v>
      </c>
      <c r="M45" s="28"/>
      <c r="N45" s="28"/>
      <c r="O45" s="28"/>
      <c r="P45" s="28">
        <v>27177</v>
      </c>
      <c r="Q45" s="28">
        <v>65000</v>
      </c>
      <c r="R45" s="28"/>
      <c r="S45" s="28">
        <v>4172.727272727273</v>
      </c>
      <c r="T45" s="28"/>
      <c r="U45" s="28"/>
      <c r="V45" s="28">
        <v>214586.09072077923</v>
      </c>
    </row>
    <row r="46" spans="1:22">
      <c r="A46" s="83" t="s">
        <v>44</v>
      </c>
      <c r="B46" s="28"/>
      <c r="C46" s="28"/>
      <c r="D46" s="28"/>
      <c r="E46" s="28"/>
      <c r="F46" s="28"/>
      <c r="G46" s="28"/>
      <c r="H46" s="28"/>
      <c r="I46" s="28"/>
      <c r="J46" s="28"/>
      <c r="K46" s="28">
        <v>7490.0100129870125</v>
      </c>
      <c r="L46" s="28">
        <v>321.10389610389609</v>
      </c>
      <c r="M46" s="28"/>
      <c r="N46" s="28"/>
      <c r="O46" s="28"/>
      <c r="P46" s="28"/>
      <c r="Q46" s="28"/>
      <c r="R46" s="28"/>
      <c r="S46" s="28"/>
      <c r="T46" s="28"/>
      <c r="U46" s="28"/>
      <c r="V46" s="28">
        <v>7811.1139090909082</v>
      </c>
    </row>
    <row r="47" spans="1:22">
      <c r="A47" s="83" t="s">
        <v>273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>
        <v>1861</v>
      </c>
      <c r="Q47" s="28"/>
      <c r="R47" s="28"/>
      <c r="S47" s="28"/>
      <c r="T47" s="28"/>
      <c r="U47" s="28"/>
      <c r="V47" s="28">
        <v>1861</v>
      </c>
    </row>
    <row r="48" spans="1:22">
      <c r="A48" s="83" t="s">
        <v>45</v>
      </c>
      <c r="B48" s="28"/>
      <c r="C48" s="28"/>
      <c r="D48" s="28"/>
      <c r="E48" s="28"/>
      <c r="F48" s="28"/>
      <c r="G48" s="28"/>
      <c r="H48" s="28"/>
      <c r="I48" s="28"/>
      <c r="J48" s="28"/>
      <c r="K48" s="28">
        <v>55638.525272727275</v>
      </c>
      <c r="L48" s="28">
        <v>9305.1527272727271</v>
      </c>
      <c r="M48" s="28"/>
      <c r="N48" s="28"/>
      <c r="O48" s="28"/>
      <c r="P48" s="28">
        <v>66041</v>
      </c>
      <c r="Q48" s="28"/>
      <c r="R48" s="28"/>
      <c r="S48" s="28">
        <v>22012.012987012986</v>
      </c>
      <c r="T48" s="28"/>
      <c r="U48" s="28"/>
      <c r="V48" s="28">
        <v>152996.69098701299</v>
      </c>
    </row>
    <row r="49" spans="1:22">
      <c r="A49" s="83" t="s">
        <v>247</v>
      </c>
      <c r="B49" s="28"/>
      <c r="C49" s="28"/>
      <c r="D49" s="28"/>
      <c r="E49" s="28">
        <v>266.23376623376623</v>
      </c>
      <c r="F49" s="28">
        <v>251.94805194805195</v>
      </c>
      <c r="G49" s="28"/>
      <c r="H49" s="28"/>
      <c r="I49" s="28"/>
      <c r="J49" s="28"/>
      <c r="K49" s="28">
        <v>103470.75777922079</v>
      </c>
      <c r="L49" s="28">
        <v>37299.236623376622</v>
      </c>
      <c r="M49" s="28"/>
      <c r="N49" s="28"/>
      <c r="O49" s="28"/>
      <c r="P49" s="28">
        <v>87534</v>
      </c>
      <c r="Q49" s="28"/>
      <c r="R49" s="28">
        <v>641.55844155844159</v>
      </c>
      <c r="S49" s="28">
        <v>3250.9740259740261</v>
      </c>
      <c r="T49" s="28"/>
      <c r="U49" s="28"/>
      <c r="V49" s="28">
        <v>232714.70868831172</v>
      </c>
    </row>
    <row r="50" spans="1:22">
      <c r="A50" s="83" t="s">
        <v>47</v>
      </c>
      <c r="B50" s="28"/>
      <c r="C50" s="28"/>
      <c r="D50" s="28"/>
      <c r="E50" s="28"/>
      <c r="F50" s="28"/>
      <c r="G50" s="28">
        <v>29935.064935064933</v>
      </c>
      <c r="H50" s="28"/>
      <c r="I50" s="28"/>
      <c r="J50" s="28"/>
      <c r="K50" s="28">
        <v>9381.1887857142883</v>
      </c>
      <c r="L50" s="28">
        <v>35238.691673449161</v>
      </c>
      <c r="M50" s="28"/>
      <c r="N50" s="28"/>
      <c r="O50" s="28"/>
      <c r="P50" s="28">
        <v>15846</v>
      </c>
      <c r="Q50" s="28"/>
      <c r="R50" s="28"/>
      <c r="S50" s="28"/>
      <c r="T50" s="28"/>
      <c r="U50" s="28"/>
      <c r="V50" s="28">
        <v>90400.945394228387</v>
      </c>
    </row>
    <row r="51" spans="1:22">
      <c r="A51" s="83" t="s">
        <v>48</v>
      </c>
      <c r="B51" s="28"/>
      <c r="C51" s="28"/>
      <c r="D51" s="28"/>
      <c r="E51" s="28"/>
      <c r="F51" s="28">
        <v>327.27272727272725</v>
      </c>
      <c r="G51" s="28"/>
      <c r="H51" s="28"/>
      <c r="I51" s="28">
        <v>1298.7012987012988</v>
      </c>
      <c r="J51" s="28">
        <v>6038.9610389610389</v>
      </c>
      <c r="K51" s="28">
        <v>112821.10213636364</v>
      </c>
      <c r="L51" s="28">
        <v>64854.668151739272</v>
      </c>
      <c r="M51" s="28"/>
      <c r="N51" s="28"/>
      <c r="O51" s="28"/>
      <c r="P51" s="28">
        <v>200622</v>
      </c>
      <c r="Q51" s="28">
        <v>18865.818181818184</v>
      </c>
      <c r="R51" s="28"/>
      <c r="S51" s="28">
        <v>389.61038961038963</v>
      </c>
      <c r="T51" s="28">
        <v>1525.9740259740261</v>
      </c>
      <c r="U51" s="28"/>
      <c r="V51" s="28">
        <v>406744.10795044061</v>
      </c>
    </row>
    <row r="52" spans="1:22">
      <c r="A52" s="83" t="s">
        <v>49</v>
      </c>
      <c r="B52" s="28"/>
      <c r="C52" s="28"/>
      <c r="D52" s="28"/>
      <c r="E52" s="28"/>
      <c r="F52" s="28">
        <v>137.66233766233765</v>
      </c>
      <c r="G52" s="28"/>
      <c r="H52" s="28"/>
      <c r="I52" s="28"/>
      <c r="J52" s="28">
        <v>1298.7012987012988</v>
      </c>
      <c r="K52" s="28">
        <v>516.98302597402596</v>
      </c>
      <c r="L52" s="28">
        <v>716.88311688311683</v>
      </c>
      <c r="M52" s="28"/>
      <c r="N52" s="28">
        <v>1298.7012987012988</v>
      </c>
      <c r="O52" s="28"/>
      <c r="P52" s="28">
        <v>3598</v>
      </c>
      <c r="Q52" s="28"/>
      <c r="R52" s="28">
        <v>1266.2337662337663</v>
      </c>
      <c r="S52" s="28"/>
      <c r="T52" s="28"/>
      <c r="U52" s="28"/>
      <c r="V52" s="28">
        <v>8833.1648441558445</v>
      </c>
    </row>
    <row r="53" spans="1:22">
      <c r="A53" s="83" t="s">
        <v>40</v>
      </c>
      <c r="B53" s="28"/>
      <c r="C53" s="28"/>
      <c r="D53" s="28"/>
      <c r="E53" s="28"/>
      <c r="F53" s="28">
        <v>1518.5833816748373</v>
      </c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>
        <v>1518.5833816748373</v>
      </c>
    </row>
    <row r="54" spans="1:22">
      <c r="A54" s="83" t="s">
        <v>69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>
        <v>6023.9957142857147</v>
      </c>
      <c r="M54" s="28"/>
      <c r="N54" s="28"/>
      <c r="O54" s="28"/>
      <c r="P54" s="28"/>
      <c r="Q54" s="28"/>
      <c r="R54" s="28"/>
      <c r="S54" s="28"/>
      <c r="T54" s="28"/>
      <c r="U54" s="28"/>
      <c r="V54" s="28">
        <v>6023.9957142857147</v>
      </c>
    </row>
    <row r="55" spans="1:22">
      <c r="A55" s="4" t="s">
        <v>50</v>
      </c>
      <c r="B55" s="28"/>
      <c r="C55" s="28"/>
      <c r="D55" s="28"/>
      <c r="E55" s="28">
        <v>3571.4285714285716</v>
      </c>
      <c r="F55" s="28">
        <v>1028.1503829101637</v>
      </c>
      <c r="G55" s="28">
        <v>24811.688311688311</v>
      </c>
      <c r="H55" s="28"/>
      <c r="I55" s="28">
        <v>4545.454545454545</v>
      </c>
      <c r="J55" s="28">
        <v>4000</v>
      </c>
      <c r="K55" s="28">
        <v>370045.93523376621</v>
      </c>
      <c r="L55" s="28">
        <v>108867.64714391876</v>
      </c>
      <c r="M55" s="28"/>
      <c r="N55" s="28">
        <v>21168</v>
      </c>
      <c r="O55" s="28"/>
      <c r="P55" s="28">
        <v>245681</v>
      </c>
      <c r="Q55" s="28">
        <v>180578</v>
      </c>
      <c r="R55" s="28"/>
      <c r="S55" s="28">
        <v>101054.97259740261</v>
      </c>
      <c r="T55" s="28"/>
      <c r="U55" s="28"/>
      <c r="V55" s="28">
        <v>1065352.276786569</v>
      </c>
    </row>
    <row r="56" spans="1:22">
      <c r="A56" s="83" t="s">
        <v>60</v>
      </c>
      <c r="B56" s="28"/>
      <c r="C56" s="28"/>
      <c r="D56" s="28"/>
      <c r="E56" s="28">
        <v>3571.4285714285716</v>
      </c>
      <c r="F56" s="28">
        <v>251.94805194805195</v>
      </c>
      <c r="G56" s="28">
        <v>24811.688311688311</v>
      </c>
      <c r="H56" s="28"/>
      <c r="I56" s="28">
        <v>4545.454545454545</v>
      </c>
      <c r="J56" s="28">
        <v>4000</v>
      </c>
      <c r="K56" s="28">
        <v>370045.93523376621</v>
      </c>
      <c r="L56" s="28">
        <v>108867.64714391876</v>
      </c>
      <c r="M56" s="28"/>
      <c r="N56" s="28">
        <v>21168</v>
      </c>
      <c r="O56" s="28"/>
      <c r="P56" s="28">
        <v>245681</v>
      </c>
      <c r="Q56" s="28">
        <v>180578</v>
      </c>
      <c r="R56" s="28"/>
      <c r="S56" s="28">
        <v>101054.97259740261</v>
      </c>
      <c r="T56" s="28"/>
      <c r="U56" s="28"/>
      <c r="V56" s="28">
        <v>1064576.074455607</v>
      </c>
    </row>
    <row r="57" spans="1:22">
      <c r="A57" s="83" t="s">
        <v>50</v>
      </c>
      <c r="B57" s="28"/>
      <c r="C57" s="28"/>
      <c r="D57" s="28"/>
      <c r="E57" s="28"/>
      <c r="F57" s="28">
        <v>776.20233096211166</v>
      </c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>
        <v>776.20233096211166</v>
      </c>
    </row>
    <row r="58" spans="1:22">
      <c r="A58" s="4" t="s">
        <v>275</v>
      </c>
      <c r="B58" s="28"/>
      <c r="C58" s="28"/>
      <c r="D58" s="28"/>
      <c r="E58" s="28"/>
      <c r="F58" s="28"/>
      <c r="G58" s="28"/>
      <c r="H58" s="28"/>
      <c r="I58" s="28"/>
      <c r="J58" s="28">
        <v>259.74025974025972</v>
      </c>
      <c r="K58" s="28"/>
      <c r="L58" s="28">
        <v>7344.9779220779219</v>
      </c>
      <c r="M58" s="28"/>
      <c r="N58" s="28"/>
      <c r="O58" s="28"/>
      <c r="P58" s="28"/>
      <c r="Q58" s="28"/>
      <c r="R58" s="28"/>
      <c r="S58" s="28">
        <v>380</v>
      </c>
      <c r="T58" s="28">
        <v>3057.4675324675322</v>
      </c>
      <c r="U58" s="28">
        <v>2532.4675324675327</v>
      </c>
      <c r="V58" s="28">
        <v>13574.653246753245</v>
      </c>
    </row>
    <row r="59" spans="1:22">
      <c r="A59" s="83" t="s">
        <v>303</v>
      </c>
      <c r="B59" s="28"/>
      <c r="C59" s="28"/>
      <c r="D59" s="28"/>
      <c r="E59" s="28"/>
      <c r="F59" s="28"/>
      <c r="G59" s="28"/>
      <c r="H59" s="28"/>
      <c r="I59" s="28"/>
      <c r="J59" s="28">
        <v>259.74025974025972</v>
      </c>
      <c r="K59" s="28"/>
      <c r="L59" s="28">
        <v>7344.9779220779219</v>
      </c>
      <c r="M59" s="28"/>
      <c r="N59" s="28"/>
      <c r="O59" s="28"/>
      <c r="P59" s="28"/>
      <c r="Q59" s="28"/>
      <c r="R59" s="28"/>
      <c r="S59" s="28">
        <v>380</v>
      </c>
      <c r="T59" s="28">
        <v>3057.4675324675322</v>
      </c>
      <c r="U59" s="28">
        <v>2532.4675324675327</v>
      </c>
      <c r="V59" s="28">
        <v>13574.653246753245</v>
      </c>
    </row>
    <row r="60" spans="1:22">
      <c r="A60" s="4" t="s">
        <v>231</v>
      </c>
      <c r="B60" s="28">
        <v>26135.864337005278</v>
      </c>
      <c r="C60" s="28">
        <v>1006</v>
      </c>
      <c r="D60" s="28">
        <v>380000</v>
      </c>
      <c r="E60" s="28">
        <v>33081.168831168834</v>
      </c>
      <c r="F60" s="28">
        <v>10691.558441558442</v>
      </c>
      <c r="G60" s="28">
        <v>63360.389610389604</v>
      </c>
      <c r="H60" s="28">
        <v>57405.038961038961</v>
      </c>
      <c r="I60" s="28">
        <v>51870.129870129866</v>
      </c>
      <c r="J60" s="28">
        <v>19396.103896103894</v>
      </c>
      <c r="K60" s="28">
        <v>1395955.8691298703</v>
      </c>
      <c r="L60" s="28">
        <v>657221.46727343509</v>
      </c>
      <c r="M60" s="28">
        <v>1461.0389610389609</v>
      </c>
      <c r="N60" s="28">
        <v>86916.7012987013</v>
      </c>
      <c r="O60" s="28">
        <v>25000</v>
      </c>
      <c r="P60" s="28">
        <v>1748652</v>
      </c>
      <c r="Q60" s="28">
        <v>613351.06493506487</v>
      </c>
      <c r="R60" s="28">
        <v>20310.389610389611</v>
      </c>
      <c r="S60" s="28">
        <v>185858.76404437525</v>
      </c>
      <c r="T60" s="28">
        <v>12185.38961038961</v>
      </c>
      <c r="U60" s="28">
        <v>7981.1688311688313</v>
      </c>
      <c r="V60" s="28">
        <v>5397840.1076418282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26"/>
  <sheetViews>
    <sheetView topLeftCell="H609" workbookViewId="0">
      <selection activeCell="I627" sqref="I627"/>
    </sheetView>
  </sheetViews>
  <sheetFormatPr defaultColWidth="9" defaultRowHeight="14.5"/>
  <cols>
    <col min="1" max="1" width="7.6328125" style="41" bestFit="1" customWidth="1"/>
    <col min="2" max="2" width="11.90625" style="41" bestFit="1" customWidth="1"/>
    <col min="3" max="3" width="12.08984375" style="41" bestFit="1" customWidth="1"/>
    <col min="4" max="4" width="11.26953125" style="41" bestFit="1" customWidth="1"/>
    <col min="5" max="5" width="29" style="41" bestFit="1" customWidth="1"/>
    <col min="6" max="6" width="12.453125" style="41" bestFit="1" customWidth="1"/>
    <col min="7" max="7" width="48.1796875" style="41" bestFit="1" customWidth="1"/>
    <col min="8" max="8" width="72.08984375" style="41" customWidth="1"/>
    <col min="9" max="9" width="21.6328125" style="56" bestFit="1" customWidth="1"/>
    <col min="10" max="10" width="34.08984375" style="41" bestFit="1" customWidth="1"/>
    <col min="11" max="11" width="13.453125" style="57" bestFit="1" customWidth="1"/>
    <col min="12" max="12" width="12.81640625" style="41" bestFit="1" customWidth="1"/>
    <col min="13" max="13" width="8.81640625" style="41" bestFit="1" customWidth="1"/>
    <col min="14" max="14" width="6.81640625" style="41" bestFit="1" customWidth="1"/>
    <col min="15" max="16384" width="9" style="41"/>
  </cols>
  <sheetData>
    <row r="1" spans="1:14">
      <c r="A1" s="124" t="s">
        <v>0</v>
      </c>
      <c r="B1" s="124" t="s">
        <v>1</v>
      </c>
      <c r="C1" s="124" t="s">
        <v>2</v>
      </c>
      <c r="D1" s="124" t="s">
        <v>3</v>
      </c>
      <c r="E1" s="124" t="s">
        <v>4</v>
      </c>
      <c r="F1" s="124" t="s">
        <v>5</v>
      </c>
      <c r="G1" s="124" t="s">
        <v>6</v>
      </c>
      <c r="H1" s="124" t="s">
        <v>7</v>
      </c>
      <c r="I1" s="125" t="s">
        <v>8</v>
      </c>
      <c r="J1" s="124" t="s">
        <v>9</v>
      </c>
      <c r="K1" s="126" t="s">
        <v>10</v>
      </c>
      <c r="L1" s="124" t="s">
        <v>11</v>
      </c>
      <c r="M1" s="124" t="s">
        <v>12</v>
      </c>
      <c r="N1" s="124" t="s">
        <v>13</v>
      </c>
    </row>
    <row r="2" spans="1:14">
      <c r="A2" s="26">
        <v>1</v>
      </c>
      <c r="B2" s="26" t="s">
        <v>17</v>
      </c>
      <c r="C2" s="26" t="s">
        <v>18</v>
      </c>
      <c r="D2" s="26" t="s">
        <v>58</v>
      </c>
      <c r="E2" s="26" t="s">
        <v>20</v>
      </c>
      <c r="F2" s="26"/>
      <c r="G2" s="26" t="s">
        <v>21</v>
      </c>
      <c r="H2" s="26" t="s">
        <v>299</v>
      </c>
      <c r="I2" s="47">
        <v>91545</v>
      </c>
      <c r="J2" s="26" t="s">
        <v>14</v>
      </c>
      <c r="K2" s="45" t="s">
        <v>14</v>
      </c>
      <c r="L2" s="26" t="s">
        <v>14</v>
      </c>
      <c r="M2" s="132" t="s">
        <v>197</v>
      </c>
      <c r="N2" s="26">
        <v>2026</v>
      </c>
    </row>
    <row r="3" spans="1:14">
      <c r="A3" s="26">
        <v>2</v>
      </c>
      <c r="B3" s="26" t="s">
        <v>17</v>
      </c>
      <c r="C3" s="26" t="s">
        <v>22</v>
      </c>
      <c r="D3" s="26" t="s">
        <v>58</v>
      </c>
      <c r="E3" s="26" t="s">
        <v>20</v>
      </c>
      <c r="F3" s="26"/>
      <c r="G3" s="26" t="s">
        <v>21</v>
      </c>
      <c r="H3" s="26" t="s">
        <v>299</v>
      </c>
      <c r="I3" s="47">
        <v>97146</v>
      </c>
      <c r="J3" s="26" t="s">
        <v>14</v>
      </c>
      <c r="K3" s="45" t="s">
        <v>14</v>
      </c>
      <c r="L3" s="26" t="s">
        <v>14</v>
      </c>
      <c r="M3" s="132" t="s">
        <v>197</v>
      </c>
      <c r="N3" s="26">
        <v>2026</v>
      </c>
    </row>
    <row r="4" spans="1:14">
      <c r="A4" s="26">
        <v>3</v>
      </c>
      <c r="B4" s="26" t="s">
        <v>17</v>
      </c>
      <c r="C4" s="26" t="s">
        <v>87</v>
      </c>
      <c r="D4" s="26" t="s">
        <v>58</v>
      </c>
      <c r="E4" s="26" t="s">
        <v>20</v>
      </c>
      <c r="F4" s="26"/>
      <c r="G4" s="26" t="s">
        <v>21</v>
      </c>
      <c r="H4" s="26" t="s">
        <v>299</v>
      </c>
      <c r="I4" s="47">
        <v>13095</v>
      </c>
      <c r="J4" s="26" t="s">
        <v>14</v>
      </c>
      <c r="K4" s="45" t="s">
        <v>14</v>
      </c>
      <c r="L4" s="26" t="s">
        <v>14</v>
      </c>
      <c r="M4" s="132" t="s">
        <v>197</v>
      </c>
      <c r="N4" s="26">
        <v>2026</v>
      </c>
    </row>
    <row r="5" spans="1:14">
      <c r="A5" s="26">
        <v>4</v>
      </c>
      <c r="B5" s="26" t="s">
        <v>17</v>
      </c>
      <c r="C5" s="26" t="s">
        <v>400</v>
      </c>
      <c r="D5" s="26" t="s">
        <v>58</v>
      </c>
      <c r="E5" s="26" t="s">
        <v>20</v>
      </c>
      <c r="F5" s="26"/>
      <c r="G5" s="26" t="s">
        <v>21</v>
      </c>
      <c r="H5" s="26" t="s">
        <v>299</v>
      </c>
      <c r="I5" s="47">
        <v>70959</v>
      </c>
      <c r="J5" s="26" t="s">
        <v>14</v>
      </c>
      <c r="K5" s="45" t="s">
        <v>14</v>
      </c>
      <c r="L5" s="26" t="s">
        <v>14</v>
      </c>
      <c r="M5" s="132" t="s">
        <v>197</v>
      </c>
      <c r="N5" s="26">
        <v>2026</v>
      </c>
    </row>
    <row r="6" spans="1:14">
      <c r="A6" s="26">
        <v>5</v>
      </c>
      <c r="B6" s="26" t="s">
        <v>17</v>
      </c>
      <c r="C6" s="26" t="s">
        <v>25</v>
      </c>
      <c r="D6" s="26" t="s">
        <v>58</v>
      </c>
      <c r="E6" s="26" t="s">
        <v>20</v>
      </c>
      <c r="F6" s="26"/>
      <c r="G6" s="26" t="s">
        <v>21</v>
      </c>
      <c r="H6" s="26" t="s">
        <v>299</v>
      </c>
      <c r="I6" s="47">
        <v>187725</v>
      </c>
      <c r="J6" s="26" t="s">
        <v>14</v>
      </c>
      <c r="K6" s="45" t="s">
        <v>14</v>
      </c>
      <c r="L6" s="26" t="s">
        <v>14</v>
      </c>
      <c r="M6" s="132" t="s">
        <v>197</v>
      </c>
      <c r="N6" s="26">
        <v>2026</v>
      </c>
    </row>
    <row r="7" spans="1:14">
      <c r="A7" s="26">
        <v>6</v>
      </c>
      <c r="B7" s="127" t="s">
        <v>27</v>
      </c>
      <c r="C7" s="26" t="s">
        <v>28</v>
      </c>
      <c r="D7" s="26" t="s">
        <v>58</v>
      </c>
      <c r="E7" s="26" t="s">
        <v>20</v>
      </c>
      <c r="F7" s="26"/>
      <c r="G7" s="26" t="s">
        <v>21</v>
      </c>
      <c r="H7" s="26" t="s">
        <v>299</v>
      </c>
      <c r="I7" s="44">
        <v>18837</v>
      </c>
      <c r="J7" s="26" t="s">
        <v>14</v>
      </c>
      <c r="K7" s="45" t="s">
        <v>14</v>
      </c>
      <c r="L7" s="26" t="s">
        <v>14</v>
      </c>
      <c r="M7" s="132" t="s">
        <v>197</v>
      </c>
      <c r="N7" s="26">
        <v>2026</v>
      </c>
    </row>
    <row r="8" spans="1:14">
      <c r="A8" s="26">
        <v>7</v>
      </c>
      <c r="B8" s="127" t="s">
        <v>246</v>
      </c>
      <c r="C8" s="26" t="s">
        <v>53</v>
      </c>
      <c r="D8" s="26" t="s">
        <v>58</v>
      </c>
      <c r="E8" s="26" t="s">
        <v>20</v>
      </c>
      <c r="F8" s="26"/>
      <c r="G8" s="26" t="s">
        <v>21</v>
      </c>
      <c r="H8" s="26" t="s">
        <v>299</v>
      </c>
      <c r="I8" s="47">
        <v>112309</v>
      </c>
      <c r="J8" s="26" t="s">
        <v>14</v>
      </c>
      <c r="K8" s="45" t="s">
        <v>14</v>
      </c>
      <c r="L8" s="26" t="s">
        <v>14</v>
      </c>
      <c r="M8" s="132" t="s">
        <v>197</v>
      </c>
      <c r="N8" s="26">
        <v>2026</v>
      </c>
    </row>
    <row r="9" spans="1:14">
      <c r="A9" s="26">
        <v>8</v>
      </c>
      <c r="B9" s="127" t="s">
        <v>246</v>
      </c>
      <c r="C9" s="26" t="s">
        <v>90</v>
      </c>
      <c r="D9" s="26" t="s">
        <v>58</v>
      </c>
      <c r="E9" s="26" t="s">
        <v>20</v>
      </c>
      <c r="F9" s="26"/>
      <c r="G9" s="26" t="s">
        <v>21</v>
      </c>
      <c r="H9" s="26" t="s">
        <v>299</v>
      </c>
      <c r="I9" s="47">
        <v>88468</v>
      </c>
      <c r="J9" s="26" t="s">
        <v>14</v>
      </c>
      <c r="K9" s="45" t="s">
        <v>14</v>
      </c>
      <c r="L9" s="26" t="s">
        <v>14</v>
      </c>
      <c r="M9" s="132" t="s">
        <v>197</v>
      </c>
      <c r="N9" s="26">
        <v>2026</v>
      </c>
    </row>
    <row r="10" spans="1:14">
      <c r="A10" s="26">
        <v>9</v>
      </c>
      <c r="B10" s="127" t="s">
        <v>56</v>
      </c>
      <c r="C10" s="26" t="s">
        <v>57</v>
      </c>
      <c r="D10" s="26" t="s">
        <v>58</v>
      </c>
      <c r="E10" s="63" t="s">
        <v>20</v>
      </c>
      <c r="F10" s="26"/>
      <c r="G10" s="26" t="s">
        <v>21</v>
      </c>
      <c r="H10" s="26" t="s">
        <v>299</v>
      </c>
      <c r="I10" s="47">
        <v>98441</v>
      </c>
      <c r="J10" s="26" t="s">
        <v>14</v>
      </c>
      <c r="K10" s="45" t="s">
        <v>14</v>
      </c>
      <c r="L10" s="26" t="s">
        <v>14</v>
      </c>
      <c r="M10" s="132" t="s">
        <v>197</v>
      </c>
      <c r="N10" s="26">
        <v>2026</v>
      </c>
    </row>
    <row r="11" spans="1:14">
      <c r="A11" s="26">
        <v>10</v>
      </c>
      <c r="B11" s="127" t="s">
        <v>31</v>
      </c>
      <c r="C11" s="26" t="s">
        <v>32</v>
      </c>
      <c r="D11" s="26" t="s">
        <v>58</v>
      </c>
      <c r="E11" s="26" t="s">
        <v>20</v>
      </c>
      <c r="F11" s="26"/>
      <c r="G11" s="26" t="s">
        <v>21</v>
      </c>
      <c r="H11" s="26" t="s">
        <v>299</v>
      </c>
      <c r="I11" s="50">
        <v>55208</v>
      </c>
      <c r="J11" s="26" t="s">
        <v>14</v>
      </c>
      <c r="K11" s="45" t="s">
        <v>14</v>
      </c>
      <c r="L11" s="26" t="s">
        <v>14</v>
      </c>
      <c r="M11" s="132" t="s">
        <v>197</v>
      </c>
      <c r="N11" s="26">
        <v>2026</v>
      </c>
    </row>
    <row r="12" spans="1:14">
      <c r="A12" s="26">
        <v>11</v>
      </c>
      <c r="B12" s="127" t="s">
        <v>33</v>
      </c>
      <c r="C12" s="26" t="s">
        <v>34</v>
      </c>
      <c r="D12" s="26" t="s">
        <v>58</v>
      </c>
      <c r="E12" s="26" t="s">
        <v>20</v>
      </c>
      <c r="F12" s="26"/>
      <c r="G12" s="26" t="s">
        <v>21</v>
      </c>
      <c r="H12" s="26" t="s">
        <v>299</v>
      </c>
      <c r="I12" s="50">
        <v>27680</v>
      </c>
      <c r="J12" s="26" t="s">
        <v>14</v>
      </c>
      <c r="K12" s="45" t="s">
        <v>14</v>
      </c>
      <c r="L12" s="26" t="s">
        <v>14</v>
      </c>
      <c r="M12" s="132" t="s">
        <v>197</v>
      </c>
      <c r="N12" s="26">
        <v>2026</v>
      </c>
    </row>
    <row r="13" spans="1:14">
      <c r="A13" s="26">
        <v>12</v>
      </c>
      <c r="B13" s="127" t="s">
        <v>33</v>
      </c>
      <c r="C13" s="26" t="s">
        <v>35</v>
      </c>
      <c r="D13" s="26" t="s">
        <v>58</v>
      </c>
      <c r="E13" s="26" t="s">
        <v>20</v>
      </c>
      <c r="F13" s="26"/>
      <c r="G13" s="26" t="s">
        <v>21</v>
      </c>
      <c r="H13" s="26" t="s">
        <v>299</v>
      </c>
      <c r="I13" s="50">
        <v>48217</v>
      </c>
      <c r="J13" s="26" t="s">
        <v>14</v>
      </c>
      <c r="K13" s="45" t="s">
        <v>14</v>
      </c>
      <c r="L13" s="26" t="s">
        <v>14</v>
      </c>
      <c r="M13" s="132" t="s">
        <v>197</v>
      </c>
      <c r="N13" s="26">
        <v>2026</v>
      </c>
    </row>
    <row r="14" spans="1:14">
      <c r="A14" s="26">
        <v>13</v>
      </c>
      <c r="B14" s="26" t="s">
        <v>40</v>
      </c>
      <c r="C14" s="26" t="s">
        <v>41</v>
      </c>
      <c r="D14" s="26" t="s">
        <v>58</v>
      </c>
      <c r="E14" s="26" t="s">
        <v>20</v>
      </c>
      <c r="F14" s="26"/>
      <c r="G14" s="26" t="s">
        <v>21</v>
      </c>
      <c r="H14" s="26" t="s">
        <v>299</v>
      </c>
      <c r="I14" s="47">
        <v>64126</v>
      </c>
      <c r="J14" s="26" t="s">
        <v>14</v>
      </c>
      <c r="K14" s="45" t="s">
        <v>14</v>
      </c>
      <c r="L14" s="26" t="s">
        <v>14</v>
      </c>
      <c r="M14" s="132" t="s">
        <v>197</v>
      </c>
      <c r="N14" s="26">
        <v>2026</v>
      </c>
    </row>
    <row r="15" spans="1:14">
      <c r="A15" s="26">
        <v>14</v>
      </c>
      <c r="B15" s="26" t="s">
        <v>40</v>
      </c>
      <c r="C15" s="26" t="s">
        <v>42</v>
      </c>
      <c r="D15" s="26" t="s">
        <v>58</v>
      </c>
      <c r="E15" s="26" t="s">
        <v>20</v>
      </c>
      <c r="F15" s="26"/>
      <c r="G15" s="26" t="s">
        <v>21</v>
      </c>
      <c r="H15" s="26" t="s">
        <v>299</v>
      </c>
      <c r="I15" s="47">
        <v>13852</v>
      </c>
      <c r="J15" s="26" t="s">
        <v>14</v>
      </c>
      <c r="K15" s="45" t="s">
        <v>14</v>
      </c>
      <c r="L15" s="26" t="s">
        <v>14</v>
      </c>
      <c r="M15" s="132" t="s">
        <v>197</v>
      </c>
      <c r="N15" s="26">
        <v>2026</v>
      </c>
    </row>
    <row r="16" spans="1:14">
      <c r="A16" s="26">
        <v>15</v>
      </c>
      <c r="B16" s="26" t="s">
        <v>40</v>
      </c>
      <c r="C16" s="26" t="s">
        <v>43</v>
      </c>
      <c r="D16" s="26" t="s">
        <v>58</v>
      </c>
      <c r="E16" s="26" t="s">
        <v>20</v>
      </c>
      <c r="F16" s="26"/>
      <c r="G16" s="26" t="s">
        <v>21</v>
      </c>
      <c r="H16" s="26" t="s">
        <v>299</v>
      </c>
      <c r="I16" s="47">
        <v>27177</v>
      </c>
      <c r="J16" s="26" t="s">
        <v>14</v>
      </c>
      <c r="K16" s="45" t="s">
        <v>14</v>
      </c>
      <c r="L16" s="26" t="s">
        <v>14</v>
      </c>
      <c r="M16" s="132" t="s">
        <v>197</v>
      </c>
      <c r="N16" s="26">
        <v>2026</v>
      </c>
    </row>
    <row r="17" spans="1:14">
      <c r="A17" s="26">
        <v>16</v>
      </c>
      <c r="B17" s="26" t="s">
        <v>40</v>
      </c>
      <c r="C17" s="26" t="s">
        <v>273</v>
      </c>
      <c r="D17" s="26" t="s">
        <v>58</v>
      </c>
      <c r="E17" s="26" t="s">
        <v>20</v>
      </c>
      <c r="F17" s="26"/>
      <c r="G17" s="26" t="s">
        <v>21</v>
      </c>
      <c r="H17" s="26" t="s">
        <v>299</v>
      </c>
      <c r="I17" s="47">
        <v>1861</v>
      </c>
      <c r="J17" s="26" t="s">
        <v>14</v>
      </c>
      <c r="K17" s="45" t="s">
        <v>14</v>
      </c>
      <c r="L17" s="26" t="s">
        <v>14</v>
      </c>
      <c r="M17" s="132" t="s">
        <v>197</v>
      </c>
      <c r="N17" s="26">
        <v>2026</v>
      </c>
    </row>
    <row r="18" spans="1:14">
      <c r="A18" s="26">
        <v>17</v>
      </c>
      <c r="B18" s="26" t="s">
        <v>40</v>
      </c>
      <c r="C18" s="26" t="s">
        <v>45</v>
      </c>
      <c r="D18" s="26" t="s">
        <v>58</v>
      </c>
      <c r="E18" s="26" t="s">
        <v>20</v>
      </c>
      <c r="F18" s="26"/>
      <c r="G18" s="26" t="s">
        <v>21</v>
      </c>
      <c r="H18" s="26" t="s">
        <v>299</v>
      </c>
      <c r="I18" s="47">
        <v>66041</v>
      </c>
      <c r="J18" s="26" t="s">
        <v>14</v>
      </c>
      <c r="K18" s="45" t="s">
        <v>14</v>
      </c>
      <c r="L18" s="26" t="s">
        <v>14</v>
      </c>
      <c r="M18" s="132" t="s">
        <v>197</v>
      </c>
      <c r="N18" s="26">
        <v>2026</v>
      </c>
    </row>
    <row r="19" spans="1:14">
      <c r="A19" s="26">
        <v>18</v>
      </c>
      <c r="B19" s="26" t="s">
        <v>40</v>
      </c>
      <c r="C19" s="26" t="s">
        <v>247</v>
      </c>
      <c r="D19" s="26" t="s">
        <v>58</v>
      </c>
      <c r="E19" s="26" t="s">
        <v>20</v>
      </c>
      <c r="F19" s="26"/>
      <c r="G19" s="26" t="s">
        <v>21</v>
      </c>
      <c r="H19" s="26" t="s">
        <v>299</v>
      </c>
      <c r="I19" s="47">
        <v>87534</v>
      </c>
      <c r="J19" s="26" t="s">
        <v>14</v>
      </c>
      <c r="K19" s="45" t="s">
        <v>14</v>
      </c>
      <c r="L19" s="26" t="s">
        <v>14</v>
      </c>
      <c r="M19" s="132" t="s">
        <v>197</v>
      </c>
      <c r="N19" s="26">
        <v>2026</v>
      </c>
    </row>
    <row r="20" spans="1:14">
      <c r="A20" s="26">
        <v>19</v>
      </c>
      <c r="B20" s="26" t="s">
        <v>40</v>
      </c>
      <c r="C20" s="26" t="s">
        <v>47</v>
      </c>
      <c r="D20" s="26" t="s">
        <v>58</v>
      </c>
      <c r="E20" s="26" t="s">
        <v>20</v>
      </c>
      <c r="F20" s="26"/>
      <c r="G20" s="26" t="s">
        <v>21</v>
      </c>
      <c r="H20" s="26" t="s">
        <v>299</v>
      </c>
      <c r="I20" s="47">
        <v>15846</v>
      </c>
      <c r="J20" s="26" t="s">
        <v>14</v>
      </c>
      <c r="K20" s="45" t="s">
        <v>14</v>
      </c>
      <c r="L20" s="26" t="s">
        <v>14</v>
      </c>
      <c r="M20" s="132" t="s">
        <v>197</v>
      </c>
      <c r="N20" s="26">
        <v>2026</v>
      </c>
    </row>
    <row r="21" spans="1:14">
      <c r="A21" s="26">
        <v>20</v>
      </c>
      <c r="B21" s="26" t="s">
        <v>40</v>
      </c>
      <c r="C21" s="26" t="s">
        <v>48</v>
      </c>
      <c r="D21" s="26" t="s">
        <v>58</v>
      </c>
      <c r="E21" s="26" t="s">
        <v>20</v>
      </c>
      <c r="F21" s="26"/>
      <c r="G21" s="26" t="s">
        <v>21</v>
      </c>
      <c r="H21" s="26" t="s">
        <v>299</v>
      </c>
      <c r="I21" s="47">
        <v>200622</v>
      </c>
      <c r="J21" s="26" t="s">
        <v>14</v>
      </c>
      <c r="K21" s="45" t="s">
        <v>14</v>
      </c>
      <c r="L21" s="26" t="s">
        <v>14</v>
      </c>
      <c r="M21" s="132" t="s">
        <v>197</v>
      </c>
      <c r="N21" s="26">
        <v>2026</v>
      </c>
    </row>
    <row r="22" spans="1:14">
      <c r="A22" s="26">
        <v>21</v>
      </c>
      <c r="B22" s="26" t="s">
        <v>40</v>
      </c>
      <c r="C22" s="26" t="s">
        <v>49</v>
      </c>
      <c r="D22" s="26" t="s">
        <v>58</v>
      </c>
      <c r="E22" s="26" t="s">
        <v>20</v>
      </c>
      <c r="F22" s="26"/>
      <c r="G22" s="26" t="s">
        <v>21</v>
      </c>
      <c r="H22" s="26" t="s">
        <v>299</v>
      </c>
      <c r="I22" s="47">
        <v>3598</v>
      </c>
      <c r="J22" s="26" t="s">
        <v>14</v>
      </c>
      <c r="K22" s="45" t="s">
        <v>14</v>
      </c>
      <c r="L22" s="26" t="s">
        <v>14</v>
      </c>
      <c r="M22" s="132" t="s">
        <v>197</v>
      </c>
      <c r="N22" s="26">
        <v>2026</v>
      </c>
    </row>
    <row r="23" spans="1:14">
      <c r="A23" s="26">
        <v>22</v>
      </c>
      <c r="B23" s="127" t="s">
        <v>50</v>
      </c>
      <c r="C23" s="127" t="s">
        <v>60</v>
      </c>
      <c r="D23" s="26" t="s">
        <v>58</v>
      </c>
      <c r="E23" s="26" t="s">
        <v>20</v>
      </c>
      <c r="F23" s="26"/>
      <c r="G23" s="26" t="s">
        <v>21</v>
      </c>
      <c r="H23" s="26" t="s">
        <v>299</v>
      </c>
      <c r="I23" s="50">
        <v>245681</v>
      </c>
      <c r="J23" s="26" t="s">
        <v>14</v>
      </c>
      <c r="K23" s="45" t="s">
        <v>14</v>
      </c>
      <c r="L23" s="26" t="s">
        <v>14</v>
      </c>
      <c r="M23" s="132" t="s">
        <v>197</v>
      </c>
      <c r="N23" s="26">
        <v>2026</v>
      </c>
    </row>
    <row r="24" spans="1:14">
      <c r="A24" s="26">
        <v>23</v>
      </c>
      <c r="B24" s="42" t="s">
        <v>56</v>
      </c>
      <c r="C24" s="26" t="s">
        <v>57</v>
      </c>
      <c r="D24" s="26" t="s">
        <v>58</v>
      </c>
      <c r="E24" s="26" t="s">
        <v>20</v>
      </c>
      <c r="F24" s="26"/>
      <c r="G24" s="26" t="s">
        <v>21</v>
      </c>
      <c r="H24" s="127" t="s">
        <v>300</v>
      </c>
      <c r="I24" s="44">
        <v>9500</v>
      </c>
      <c r="J24" s="26" t="s">
        <v>14</v>
      </c>
      <c r="K24" s="45" t="s">
        <v>14</v>
      </c>
      <c r="L24" s="26" t="s">
        <v>14</v>
      </c>
      <c r="M24" s="132" t="s">
        <v>197</v>
      </c>
      <c r="N24" s="26">
        <v>2026</v>
      </c>
    </row>
    <row r="25" spans="1:14">
      <c r="A25" s="26">
        <v>24</v>
      </c>
      <c r="B25" s="80" t="s">
        <v>56</v>
      </c>
      <c r="C25" s="80" t="s">
        <v>57</v>
      </c>
      <c r="D25" s="26" t="s">
        <v>58</v>
      </c>
      <c r="E25" s="26" t="s">
        <v>20</v>
      </c>
      <c r="F25" s="26"/>
      <c r="G25" s="43" t="s">
        <v>21</v>
      </c>
      <c r="H25" s="127" t="s">
        <v>301</v>
      </c>
      <c r="I25" s="44">
        <v>20184</v>
      </c>
      <c r="J25" s="26" t="s">
        <v>14</v>
      </c>
      <c r="K25" s="45" t="s">
        <v>14</v>
      </c>
      <c r="L25" s="26" t="s">
        <v>14</v>
      </c>
      <c r="M25" s="132" t="s">
        <v>197</v>
      </c>
      <c r="N25" s="26">
        <v>2026</v>
      </c>
    </row>
    <row r="26" spans="1:14">
      <c r="A26" s="26">
        <v>25</v>
      </c>
      <c r="B26" s="80" t="s">
        <v>261</v>
      </c>
      <c r="C26" s="80" t="s">
        <v>261</v>
      </c>
      <c r="D26" s="26" t="s">
        <v>58</v>
      </c>
      <c r="E26" s="26" t="s">
        <v>20</v>
      </c>
      <c r="F26" s="26"/>
      <c r="G26" s="43" t="s">
        <v>21</v>
      </c>
      <c r="H26" s="80" t="s">
        <v>262</v>
      </c>
      <c r="I26" s="44">
        <v>83000</v>
      </c>
      <c r="J26" s="26" t="s">
        <v>14</v>
      </c>
      <c r="K26" s="45" t="s">
        <v>14</v>
      </c>
      <c r="L26" s="26" t="s">
        <v>14</v>
      </c>
      <c r="M26" s="132" t="s">
        <v>197</v>
      </c>
      <c r="N26" s="26">
        <v>2026</v>
      </c>
    </row>
    <row r="27" spans="1:14">
      <c r="A27" s="26">
        <v>26</v>
      </c>
      <c r="B27" s="132" t="s">
        <v>40</v>
      </c>
      <c r="C27" s="146" t="s">
        <v>47</v>
      </c>
      <c r="D27" s="132" t="s">
        <v>19</v>
      </c>
      <c r="E27" s="26" t="s">
        <v>54</v>
      </c>
      <c r="F27" s="26"/>
      <c r="G27" s="26" t="s">
        <v>274</v>
      </c>
      <c r="H27" s="26" t="s">
        <v>54</v>
      </c>
      <c r="I27" s="44">
        <f>4500000/1540</f>
        <v>2922.0779220779223</v>
      </c>
      <c r="J27" s="132" t="s">
        <v>14</v>
      </c>
      <c r="K27" s="152" t="s">
        <v>14</v>
      </c>
      <c r="L27" s="127" t="s">
        <v>14</v>
      </c>
      <c r="M27" s="132" t="s">
        <v>197</v>
      </c>
      <c r="N27" s="26">
        <v>2026</v>
      </c>
    </row>
    <row r="28" spans="1:14">
      <c r="A28" s="26">
        <v>27</v>
      </c>
      <c r="B28" s="43" t="s">
        <v>50</v>
      </c>
      <c r="C28" s="43" t="s">
        <v>60</v>
      </c>
      <c r="D28" s="132" t="s">
        <v>19</v>
      </c>
      <c r="E28" s="26" t="s">
        <v>54</v>
      </c>
      <c r="F28" s="26"/>
      <c r="G28" s="26" t="s">
        <v>274</v>
      </c>
      <c r="H28" s="26" t="s">
        <v>54</v>
      </c>
      <c r="I28" s="44">
        <f>3900000/1540</f>
        <v>2532.4675324675327</v>
      </c>
      <c r="J28" s="132" t="s">
        <v>14</v>
      </c>
      <c r="K28" s="152" t="s">
        <v>14</v>
      </c>
      <c r="L28" s="127" t="s">
        <v>14</v>
      </c>
      <c r="M28" s="132" t="s">
        <v>197</v>
      </c>
      <c r="N28" s="26">
        <v>2026</v>
      </c>
    </row>
    <row r="29" spans="1:14">
      <c r="A29" s="26">
        <v>28</v>
      </c>
      <c r="B29" s="132" t="s">
        <v>40</v>
      </c>
      <c r="C29" s="146" t="s">
        <v>47</v>
      </c>
      <c r="D29" s="132" t="s">
        <v>19</v>
      </c>
      <c r="E29" s="26" t="s">
        <v>54</v>
      </c>
      <c r="F29" s="26"/>
      <c r="G29" s="26" t="s">
        <v>274</v>
      </c>
      <c r="H29" s="26" t="s">
        <v>54</v>
      </c>
      <c r="I29" s="44">
        <f>2000000/1540</f>
        <v>1298.7012987012988</v>
      </c>
      <c r="J29" s="132" t="s">
        <v>14</v>
      </c>
      <c r="K29" s="152" t="s">
        <v>14</v>
      </c>
      <c r="L29" s="127" t="s">
        <v>14</v>
      </c>
      <c r="M29" s="132" t="s">
        <v>197</v>
      </c>
      <c r="N29" s="26">
        <v>2026</v>
      </c>
    </row>
    <row r="30" spans="1:14">
      <c r="A30" s="26">
        <v>29</v>
      </c>
      <c r="B30" s="132" t="s">
        <v>40</v>
      </c>
      <c r="C30" s="146" t="s">
        <v>47</v>
      </c>
      <c r="D30" s="132" t="s">
        <v>19</v>
      </c>
      <c r="E30" s="26" t="s">
        <v>54</v>
      </c>
      <c r="F30" s="26"/>
      <c r="G30" s="127" t="s">
        <v>253</v>
      </c>
      <c r="H30" s="26" t="s">
        <v>54</v>
      </c>
      <c r="I30" s="128">
        <f>13200000/1540</f>
        <v>8571.4285714285706</v>
      </c>
      <c r="J30" s="127" t="s">
        <v>14</v>
      </c>
      <c r="K30" s="152" t="s">
        <v>14</v>
      </c>
      <c r="L30" s="127" t="s">
        <v>14</v>
      </c>
      <c r="M30" s="132" t="s">
        <v>197</v>
      </c>
      <c r="N30" s="26">
        <v>2026</v>
      </c>
    </row>
    <row r="31" spans="1:14">
      <c r="A31" s="26">
        <v>30</v>
      </c>
      <c r="B31" s="132" t="s">
        <v>52</v>
      </c>
      <c r="C31" s="26" t="s">
        <v>53</v>
      </c>
      <c r="D31" s="132" t="s">
        <v>19</v>
      </c>
      <c r="E31" s="26" t="s">
        <v>54</v>
      </c>
      <c r="F31" s="26"/>
      <c r="G31" s="127" t="s">
        <v>253</v>
      </c>
      <c r="H31" s="26" t="s">
        <v>54</v>
      </c>
      <c r="I31" s="128">
        <f>13200000/1540</f>
        <v>8571.4285714285706</v>
      </c>
      <c r="J31" s="127" t="s">
        <v>14</v>
      </c>
      <c r="K31" s="152" t="s">
        <v>14</v>
      </c>
      <c r="L31" s="127" t="s">
        <v>14</v>
      </c>
      <c r="M31" s="132" t="s">
        <v>197</v>
      </c>
      <c r="N31" s="26">
        <v>2026</v>
      </c>
    </row>
    <row r="32" spans="1:14">
      <c r="A32" s="26">
        <v>31</v>
      </c>
      <c r="B32" s="132" t="s">
        <v>40</v>
      </c>
      <c r="C32" s="146" t="s">
        <v>47</v>
      </c>
      <c r="D32" s="132" t="s">
        <v>19</v>
      </c>
      <c r="E32" s="26" t="s">
        <v>54</v>
      </c>
      <c r="F32" s="26"/>
      <c r="G32" s="127" t="s">
        <v>253</v>
      </c>
      <c r="H32" s="26" t="s">
        <v>54</v>
      </c>
      <c r="I32" s="128">
        <f>13200000/1540</f>
        <v>8571.4285714285706</v>
      </c>
      <c r="J32" s="127" t="s">
        <v>14</v>
      </c>
      <c r="K32" s="152" t="s">
        <v>14</v>
      </c>
      <c r="L32" s="127" t="s">
        <v>14</v>
      </c>
      <c r="M32" s="132" t="s">
        <v>197</v>
      </c>
      <c r="N32" s="26">
        <v>2026</v>
      </c>
    </row>
    <row r="33" spans="1:14">
      <c r="A33" s="26">
        <v>32</v>
      </c>
      <c r="B33" s="132" t="s">
        <v>50</v>
      </c>
      <c r="C33" s="132" t="s">
        <v>60</v>
      </c>
      <c r="D33" s="132" t="s">
        <v>19</v>
      </c>
      <c r="E33" s="26" t="s">
        <v>54</v>
      </c>
      <c r="F33" s="26"/>
      <c r="G33" s="127" t="s">
        <v>253</v>
      </c>
      <c r="H33" s="26" t="s">
        <v>54</v>
      </c>
      <c r="I33" s="128">
        <f>13200000/1540</f>
        <v>8571.4285714285706</v>
      </c>
      <c r="J33" s="127" t="s">
        <v>14</v>
      </c>
      <c r="K33" s="152" t="s">
        <v>14</v>
      </c>
      <c r="L33" s="127" t="s">
        <v>14</v>
      </c>
      <c r="M33" s="132" t="s">
        <v>197</v>
      </c>
      <c r="N33" s="26">
        <v>2026</v>
      </c>
    </row>
    <row r="34" spans="1:14">
      <c r="A34" s="26">
        <v>33</v>
      </c>
      <c r="B34" s="132" t="s">
        <v>40</v>
      </c>
      <c r="C34" s="146" t="s">
        <v>47</v>
      </c>
      <c r="D34" s="132" t="s">
        <v>19</v>
      </c>
      <c r="E34" s="26" t="s">
        <v>54</v>
      </c>
      <c r="F34" s="26"/>
      <c r="G34" s="127" t="s">
        <v>253</v>
      </c>
      <c r="H34" s="26" t="s">
        <v>54</v>
      </c>
      <c r="I34" s="128">
        <f>13200000/1540</f>
        <v>8571.4285714285706</v>
      </c>
      <c r="J34" s="127" t="s">
        <v>14</v>
      </c>
      <c r="K34" s="152" t="s">
        <v>14</v>
      </c>
      <c r="L34" s="127" t="s">
        <v>14</v>
      </c>
      <c r="M34" s="132" t="s">
        <v>197</v>
      </c>
      <c r="N34" s="26">
        <v>2026</v>
      </c>
    </row>
    <row r="35" spans="1:14">
      <c r="A35" s="26">
        <v>34</v>
      </c>
      <c r="B35" s="26" t="s">
        <v>259</v>
      </c>
      <c r="C35" s="45" t="s">
        <v>260</v>
      </c>
      <c r="D35" s="26" t="s">
        <v>58</v>
      </c>
      <c r="E35" s="26" t="s">
        <v>61</v>
      </c>
      <c r="F35" s="26"/>
      <c r="G35" s="26" t="s">
        <v>62</v>
      </c>
      <c r="H35" s="46" t="s">
        <v>63</v>
      </c>
      <c r="I35" s="47">
        <v>594.80519480519479</v>
      </c>
      <c r="J35" s="26" t="s">
        <v>65</v>
      </c>
      <c r="K35" s="45">
        <v>46081</v>
      </c>
      <c r="L35" s="60" t="s">
        <v>14</v>
      </c>
      <c r="M35" s="132" t="s">
        <v>197</v>
      </c>
      <c r="N35" s="26">
        <v>2026</v>
      </c>
    </row>
    <row r="36" spans="1:14">
      <c r="A36" s="26">
        <v>35</v>
      </c>
      <c r="B36" s="26" t="s">
        <v>31</v>
      </c>
      <c r="C36" s="26" t="s">
        <v>32</v>
      </c>
      <c r="D36" s="26" t="s">
        <v>58</v>
      </c>
      <c r="E36" s="26" t="s">
        <v>61</v>
      </c>
      <c r="F36" s="26"/>
      <c r="G36" s="26" t="s">
        <v>62</v>
      </c>
      <c r="H36" s="26" t="s">
        <v>306</v>
      </c>
      <c r="I36" s="47">
        <v>487.01298701298703</v>
      </c>
      <c r="J36" s="26" t="s">
        <v>65</v>
      </c>
      <c r="K36" s="45">
        <v>46096</v>
      </c>
      <c r="L36" s="60" t="s">
        <v>14</v>
      </c>
      <c r="M36" s="132" t="s">
        <v>197</v>
      </c>
      <c r="N36" s="26">
        <v>2026</v>
      </c>
    </row>
    <row r="37" spans="1:14">
      <c r="A37" s="26">
        <v>36</v>
      </c>
      <c r="B37" s="26" t="s">
        <v>31</v>
      </c>
      <c r="C37" s="26" t="s">
        <v>32</v>
      </c>
      <c r="D37" s="26" t="s">
        <v>58</v>
      </c>
      <c r="E37" s="26" t="s">
        <v>61</v>
      </c>
      <c r="F37" s="26"/>
      <c r="G37" s="26" t="s">
        <v>62</v>
      </c>
      <c r="H37" s="26" t="s">
        <v>306</v>
      </c>
      <c r="I37" s="47">
        <v>974.02597402597405</v>
      </c>
      <c r="J37" s="26" t="s">
        <v>65</v>
      </c>
      <c r="K37" s="45">
        <v>46329</v>
      </c>
      <c r="L37" s="60" t="s">
        <v>14</v>
      </c>
      <c r="M37" s="132" t="s">
        <v>197</v>
      </c>
      <c r="N37" s="26">
        <v>2026</v>
      </c>
    </row>
    <row r="38" spans="1:14">
      <c r="A38" s="26">
        <v>37</v>
      </c>
      <c r="B38" s="26" t="s">
        <v>31</v>
      </c>
      <c r="C38" s="45" t="s">
        <v>32</v>
      </c>
      <c r="D38" s="26" t="s">
        <v>58</v>
      </c>
      <c r="E38" s="26" t="s">
        <v>61</v>
      </c>
      <c r="F38" s="26"/>
      <c r="G38" s="26" t="s">
        <v>62</v>
      </c>
      <c r="H38" s="46" t="s">
        <v>306</v>
      </c>
      <c r="I38" s="47">
        <v>324.6753246753247</v>
      </c>
      <c r="J38" s="26" t="s">
        <v>65</v>
      </c>
      <c r="K38" s="45">
        <v>46056</v>
      </c>
      <c r="L38" s="60" t="s">
        <v>14</v>
      </c>
      <c r="M38" s="132" t="s">
        <v>197</v>
      </c>
      <c r="N38" s="26">
        <v>2026</v>
      </c>
    </row>
    <row r="39" spans="1:14">
      <c r="A39" s="26">
        <v>38</v>
      </c>
      <c r="B39" s="26" t="s">
        <v>31</v>
      </c>
      <c r="C39" s="45" t="s">
        <v>32</v>
      </c>
      <c r="D39" s="26" t="s">
        <v>58</v>
      </c>
      <c r="E39" s="26" t="s">
        <v>61</v>
      </c>
      <c r="F39" s="26"/>
      <c r="G39" s="26" t="s">
        <v>62</v>
      </c>
      <c r="H39" s="46" t="s">
        <v>307</v>
      </c>
      <c r="I39" s="47">
        <v>185.06493506493507</v>
      </c>
      <c r="J39" s="26" t="s">
        <v>65</v>
      </c>
      <c r="K39" s="45">
        <v>46115</v>
      </c>
      <c r="L39" s="60" t="s">
        <v>14</v>
      </c>
      <c r="M39" s="132" t="s">
        <v>197</v>
      </c>
      <c r="N39" s="26">
        <v>2026</v>
      </c>
    </row>
    <row r="40" spans="1:14">
      <c r="A40" s="26">
        <v>39</v>
      </c>
      <c r="B40" s="26" t="s">
        <v>50</v>
      </c>
      <c r="C40" s="26" t="s">
        <v>60</v>
      </c>
      <c r="D40" s="26" t="s">
        <v>58</v>
      </c>
      <c r="E40" s="26" t="s">
        <v>61</v>
      </c>
      <c r="F40" s="26"/>
      <c r="G40" s="26" t="s">
        <v>62</v>
      </c>
      <c r="H40" s="26" t="s">
        <v>66</v>
      </c>
      <c r="I40" s="47">
        <v>324.6753246753247</v>
      </c>
      <c r="J40" s="26" t="s">
        <v>65</v>
      </c>
      <c r="K40" s="45">
        <v>46096</v>
      </c>
      <c r="L40" s="60" t="s">
        <v>14</v>
      </c>
      <c r="M40" s="132" t="s">
        <v>197</v>
      </c>
      <c r="N40" s="26">
        <v>2026</v>
      </c>
    </row>
    <row r="41" spans="1:14">
      <c r="A41" s="26">
        <v>40</v>
      </c>
      <c r="B41" s="26" t="s">
        <v>56</v>
      </c>
      <c r="C41" s="26" t="s">
        <v>57</v>
      </c>
      <c r="D41" s="26" t="s">
        <v>58</v>
      </c>
      <c r="E41" s="26" t="s">
        <v>61</v>
      </c>
      <c r="F41" s="26"/>
      <c r="G41" s="26" t="s">
        <v>62</v>
      </c>
      <c r="H41" s="26" t="s">
        <v>63</v>
      </c>
      <c r="I41" s="47">
        <v>2544.8051948051948</v>
      </c>
      <c r="J41" s="26" t="s">
        <v>65</v>
      </c>
      <c r="K41" s="45">
        <v>46109</v>
      </c>
      <c r="L41" s="60" t="s">
        <v>14</v>
      </c>
      <c r="M41" s="132" t="s">
        <v>197</v>
      </c>
      <c r="N41" s="26">
        <v>2026</v>
      </c>
    </row>
    <row r="42" spans="1:14">
      <c r="A42" s="26">
        <v>41</v>
      </c>
      <c r="B42" s="26" t="s">
        <v>56</v>
      </c>
      <c r="C42" s="26" t="s">
        <v>57</v>
      </c>
      <c r="D42" s="26" t="s">
        <v>58</v>
      </c>
      <c r="E42" s="26" t="s">
        <v>61</v>
      </c>
      <c r="F42" s="26"/>
      <c r="G42" s="26" t="s">
        <v>62</v>
      </c>
      <c r="H42" s="26" t="s">
        <v>238</v>
      </c>
      <c r="I42" s="47">
        <v>7928.5714285714284</v>
      </c>
      <c r="J42" s="26" t="s">
        <v>65</v>
      </c>
      <c r="K42" s="45">
        <v>46109</v>
      </c>
      <c r="L42" s="60" t="s">
        <v>14</v>
      </c>
      <c r="M42" s="132" t="s">
        <v>197</v>
      </c>
      <c r="N42" s="26">
        <v>2026</v>
      </c>
    </row>
    <row r="43" spans="1:14">
      <c r="A43" s="26">
        <v>42</v>
      </c>
      <c r="B43" s="26" t="s">
        <v>56</v>
      </c>
      <c r="C43" s="45" t="s">
        <v>57</v>
      </c>
      <c r="D43" s="26" t="s">
        <v>58</v>
      </c>
      <c r="E43" s="26" t="s">
        <v>61</v>
      </c>
      <c r="F43" s="26"/>
      <c r="G43" s="26" t="s">
        <v>62</v>
      </c>
      <c r="H43" s="46" t="s">
        <v>308</v>
      </c>
      <c r="I43" s="47">
        <v>2357.1428571428573</v>
      </c>
      <c r="J43" s="26">
        <v>45731</v>
      </c>
      <c r="K43" s="45">
        <v>46096</v>
      </c>
      <c r="L43" s="60" t="s">
        <v>14</v>
      </c>
      <c r="M43" s="132" t="s">
        <v>197</v>
      </c>
      <c r="N43" s="26">
        <v>2026</v>
      </c>
    </row>
    <row r="44" spans="1:14">
      <c r="A44" s="26">
        <v>43</v>
      </c>
      <c r="B44" s="26" t="s">
        <v>56</v>
      </c>
      <c r="C44" s="26" t="s">
        <v>57</v>
      </c>
      <c r="D44" s="26" t="s">
        <v>58</v>
      </c>
      <c r="E44" s="26" t="s">
        <v>61</v>
      </c>
      <c r="F44" s="26"/>
      <c r="G44" s="26" t="s">
        <v>62</v>
      </c>
      <c r="H44" s="46" t="s">
        <v>309</v>
      </c>
      <c r="I44" s="47">
        <v>178.57142857142858</v>
      </c>
      <c r="J44" s="26" t="s">
        <v>65</v>
      </c>
      <c r="K44" s="45">
        <v>46096</v>
      </c>
      <c r="L44" s="60" t="s">
        <v>14</v>
      </c>
      <c r="M44" s="132" t="s">
        <v>197</v>
      </c>
      <c r="N44" s="26">
        <v>2026</v>
      </c>
    </row>
    <row r="45" spans="1:14">
      <c r="A45" s="26">
        <v>44</v>
      </c>
      <c r="B45" s="26" t="s">
        <v>56</v>
      </c>
      <c r="C45" s="45" t="s">
        <v>57</v>
      </c>
      <c r="D45" s="26" t="s">
        <v>58</v>
      </c>
      <c r="E45" s="26" t="s">
        <v>61</v>
      </c>
      <c r="F45" s="26"/>
      <c r="G45" s="26" t="s">
        <v>62</v>
      </c>
      <c r="H45" s="46" t="s">
        <v>310</v>
      </c>
      <c r="I45" s="47">
        <v>1461.0389610389611</v>
      </c>
      <c r="J45" s="26" t="s">
        <v>65</v>
      </c>
      <c r="K45" s="45">
        <v>46099</v>
      </c>
      <c r="L45" s="60" t="s">
        <v>14</v>
      </c>
      <c r="M45" s="132" t="s">
        <v>197</v>
      </c>
      <c r="N45" s="26">
        <v>2026</v>
      </c>
    </row>
    <row r="46" spans="1:14">
      <c r="A46" s="26">
        <v>45</v>
      </c>
      <c r="B46" s="26" t="s">
        <v>17</v>
      </c>
      <c r="C46" s="26" t="s">
        <v>22</v>
      </c>
      <c r="D46" s="26" t="s">
        <v>58</v>
      </c>
      <c r="E46" s="26" t="s">
        <v>61</v>
      </c>
      <c r="F46" s="26"/>
      <c r="G46" s="26" t="s">
        <v>62</v>
      </c>
      <c r="H46" s="26" t="s">
        <v>64</v>
      </c>
      <c r="I46" s="50">
        <v>844.15584415584419</v>
      </c>
      <c r="J46" s="26" t="s">
        <v>65</v>
      </c>
      <c r="K46" s="45">
        <v>46096</v>
      </c>
      <c r="L46" s="60" t="s">
        <v>14</v>
      </c>
      <c r="M46" s="132" t="s">
        <v>197</v>
      </c>
      <c r="N46" s="26">
        <v>2026</v>
      </c>
    </row>
    <row r="47" spans="1:14">
      <c r="A47" s="26">
        <v>46</v>
      </c>
      <c r="B47" s="26" t="s">
        <v>40</v>
      </c>
      <c r="C47" s="26" t="s">
        <v>247</v>
      </c>
      <c r="D47" s="26" t="s">
        <v>58</v>
      </c>
      <c r="E47" s="26" t="s">
        <v>61</v>
      </c>
      <c r="F47" s="26"/>
      <c r="G47" s="26" t="s">
        <v>62</v>
      </c>
      <c r="H47" s="26" t="s">
        <v>63</v>
      </c>
      <c r="I47" s="50">
        <v>266.23376623376623</v>
      </c>
      <c r="J47" s="26" t="s">
        <v>65</v>
      </c>
      <c r="K47" s="45">
        <v>46109</v>
      </c>
      <c r="L47" s="60" t="s">
        <v>14</v>
      </c>
      <c r="M47" s="132" t="s">
        <v>197</v>
      </c>
      <c r="N47" s="26">
        <v>2026</v>
      </c>
    </row>
    <row r="48" spans="1:14">
      <c r="A48" s="26">
        <v>47</v>
      </c>
      <c r="B48" s="26" t="s">
        <v>17</v>
      </c>
      <c r="C48" s="26" t="s">
        <v>25</v>
      </c>
      <c r="D48" s="26" t="s">
        <v>58</v>
      </c>
      <c r="E48" s="26" t="s">
        <v>61</v>
      </c>
      <c r="F48" s="26"/>
      <c r="G48" s="26" t="s">
        <v>62</v>
      </c>
      <c r="H48" s="26" t="s">
        <v>311</v>
      </c>
      <c r="I48" s="50">
        <v>1298.7012987012988</v>
      </c>
      <c r="J48" s="26" t="s">
        <v>65</v>
      </c>
      <c r="K48" s="45">
        <v>46359</v>
      </c>
      <c r="L48" s="60" t="s">
        <v>14</v>
      </c>
      <c r="M48" s="132" t="s">
        <v>197</v>
      </c>
      <c r="N48" s="26">
        <v>2026</v>
      </c>
    </row>
    <row r="49" spans="1:14">
      <c r="A49" s="26">
        <v>48</v>
      </c>
      <c r="B49" s="26" t="s">
        <v>17</v>
      </c>
      <c r="C49" s="26" t="s">
        <v>18</v>
      </c>
      <c r="D49" s="26" t="s">
        <v>58</v>
      </c>
      <c r="E49" s="26" t="s">
        <v>68</v>
      </c>
      <c r="F49" s="26"/>
      <c r="G49" s="26" t="s">
        <v>62</v>
      </c>
      <c r="H49" s="26" t="s">
        <v>312</v>
      </c>
      <c r="I49" s="47">
        <v>389.61038961038963</v>
      </c>
      <c r="J49" s="26">
        <v>4327</v>
      </c>
      <c r="K49" s="45">
        <v>46359</v>
      </c>
      <c r="L49" s="60" t="s">
        <v>14</v>
      </c>
      <c r="M49" s="132" t="s">
        <v>197</v>
      </c>
      <c r="N49" s="26">
        <v>2026</v>
      </c>
    </row>
    <row r="50" spans="1:14">
      <c r="A50" s="26">
        <v>49</v>
      </c>
      <c r="B50" s="26" t="s">
        <v>17</v>
      </c>
      <c r="C50" s="26" t="s">
        <v>18</v>
      </c>
      <c r="D50" s="26" t="s">
        <v>58</v>
      </c>
      <c r="E50" s="26" t="s">
        <v>68</v>
      </c>
      <c r="F50" s="26"/>
      <c r="G50" s="26" t="s">
        <v>62</v>
      </c>
      <c r="H50" s="26" t="s">
        <v>313</v>
      </c>
      <c r="I50" s="47">
        <v>876.62337662337666</v>
      </c>
      <c r="J50" s="26">
        <v>3896</v>
      </c>
      <c r="K50" s="45">
        <v>46097</v>
      </c>
      <c r="L50" s="60" t="s">
        <v>14</v>
      </c>
      <c r="M50" s="132" t="s">
        <v>197</v>
      </c>
      <c r="N50" s="26">
        <v>2026</v>
      </c>
    </row>
    <row r="51" spans="1:14">
      <c r="A51" s="26">
        <v>50</v>
      </c>
      <c r="B51" s="26" t="s">
        <v>17</v>
      </c>
      <c r="C51" s="45" t="s">
        <v>18</v>
      </c>
      <c r="D51" s="26" t="s">
        <v>58</v>
      </c>
      <c r="E51" s="26" t="s">
        <v>68</v>
      </c>
      <c r="F51" s="26"/>
      <c r="G51" s="26" t="s">
        <v>62</v>
      </c>
      <c r="H51" s="46" t="s">
        <v>314</v>
      </c>
      <c r="I51" s="47">
        <v>995.12987012987014</v>
      </c>
      <c r="J51" s="26" t="s">
        <v>65</v>
      </c>
      <c r="K51" s="45">
        <v>46076</v>
      </c>
      <c r="L51" s="60" t="s">
        <v>14</v>
      </c>
      <c r="M51" s="132" t="s">
        <v>197</v>
      </c>
      <c r="N51" s="26">
        <v>2026</v>
      </c>
    </row>
    <row r="52" spans="1:14">
      <c r="A52" s="26">
        <v>51</v>
      </c>
      <c r="B52" s="26" t="s">
        <v>17</v>
      </c>
      <c r="C52" s="45" t="s">
        <v>18</v>
      </c>
      <c r="D52" s="26" t="s">
        <v>58</v>
      </c>
      <c r="E52" s="26" t="s">
        <v>68</v>
      </c>
      <c r="F52" s="26"/>
      <c r="G52" s="26" t="s">
        <v>62</v>
      </c>
      <c r="H52" s="46" t="s">
        <v>314</v>
      </c>
      <c r="I52" s="47">
        <v>1018.5064935064935</v>
      </c>
      <c r="J52" s="45" t="s">
        <v>65</v>
      </c>
      <c r="K52" s="45">
        <v>46109</v>
      </c>
      <c r="L52" s="60" t="s">
        <v>14</v>
      </c>
      <c r="M52" s="132" t="s">
        <v>197</v>
      </c>
      <c r="N52" s="26">
        <v>2026</v>
      </c>
    </row>
    <row r="53" spans="1:14">
      <c r="A53" s="26">
        <v>52</v>
      </c>
      <c r="B53" s="26" t="s">
        <v>52</v>
      </c>
      <c r="C53" s="45" t="s">
        <v>53</v>
      </c>
      <c r="D53" s="26" t="s">
        <v>58</v>
      </c>
      <c r="E53" s="26" t="s">
        <v>68</v>
      </c>
      <c r="F53" s="26"/>
      <c r="G53" s="26" t="s">
        <v>62</v>
      </c>
      <c r="H53" s="46" t="s">
        <v>315</v>
      </c>
      <c r="I53" s="47">
        <v>292.20779220779218</v>
      </c>
      <c r="J53" s="26">
        <v>1424</v>
      </c>
      <c r="K53" s="45">
        <v>46098</v>
      </c>
      <c r="L53" s="60" t="s">
        <v>14</v>
      </c>
      <c r="M53" s="132" t="s">
        <v>197</v>
      </c>
      <c r="N53" s="26">
        <v>2026</v>
      </c>
    </row>
    <row r="54" spans="1:14">
      <c r="A54" s="26">
        <v>53</v>
      </c>
      <c r="B54" s="26" t="s">
        <v>52</v>
      </c>
      <c r="C54" s="45" t="s">
        <v>53</v>
      </c>
      <c r="D54" s="26" t="s">
        <v>58</v>
      </c>
      <c r="E54" s="26" t="s">
        <v>68</v>
      </c>
      <c r="F54" s="26"/>
      <c r="G54" s="26" t="s">
        <v>62</v>
      </c>
      <c r="H54" s="46" t="s">
        <v>316</v>
      </c>
      <c r="I54" s="47">
        <v>454.54545454545456</v>
      </c>
      <c r="J54" s="26">
        <v>602</v>
      </c>
      <c r="K54" s="45">
        <v>46098</v>
      </c>
      <c r="L54" s="60" t="s">
        <v>14</v>
      </c>
      <c r="M54" s="132" t="s">
        <v>197</v>
      </c>
      <c r="N54" s="26">
        <v>2026</v>
      </c>
    </row>
    <row r="55" spans="1:14">
      <c r="A55" s="26">
        <v>54</v>
      </c>
      <c r="B55" s="26" t="s">
        <v>52</v>
      </c>
      <c r="C55" s="45" t="s">
        <v>53</v>
      </c>
      <c r="D55" s="26" t="s">
        <v>58</v>
      </c>
      <c r="E55" s="26" t="s">
        <v>68</v>
      </c>
      <c r="F55" s="26"/>
      <c r="G55" s="26" t="s">
        <v>62</v>
      </c>
      <c r="H55" s="46" t="s">
        <v>317</v>
      </c>
      <c r="I55" s="47">
        <v>319.48051948051949</v>
      </c>
      <c r="J55" s="46">
        <v>420</v>
      </c>
      <c r="K55" s="45">
        <v>46097</v>
      </c>
      <c r="L55" s="60" t="s">
        <v>14</v>
      </c>
      <c r="M55" s="132" t="s">
        <v>197</v>
      </c>
      <c r="N55" s="26">
        <v>2026</v>
      </c>
    </row>
    <row r="56" spans="1:14">
      <c r="A56" s="26">
        <v>55</v>
      </c>
      <c r="B56" s="26" t="s">
        <v>52</v>
      </c>
      <c r="C56" s="45" t="s">
        <v>53</v>
      </c>
      <c r="D56" s="26" t="s">
        <v>58</v>
      </c>
      <c r="E56" s="26" t="s">
        <v>68</v>
      </c>
      <c r="F56" s="26"/>
      <c r="G56" s="26" t="s">
        <v>62</v>
      </c>
      <c r="H56" s="46" t="s">
        <v>318</v>
      </c>
      <c r="I56" s="47">
        <v>110.71428571428571</v>
      </c>
      <c r="J56" s="26">
        <v>37382</v>
      </c>
      <c r="K56" s="45">
        <v>46298</v>
      </c>
      <c r="L56" s="60" t="s">
        <v>14</v>
      </c>
      <c r="M56" s="132" t="s">
        <v>197</v>
      </c>
      <c r="N56" s="26">
        <v>2026</v>
      </c>
    </row>
    <row r="57" spans="1:14">
      <c r="A57" s="26">
        <v>56</v>
      </c>
      <c r="B57" s="26" t="s">
        <v>52</v>
      </c>
      <c r="C57" s="45" t="s">
        <v>53</v>
      </c>
      <c r="D57" s="26" t="s">
        <v>58</v>
      </c>
      <c r="E57" s="26" t="s">
        <v>68</v>
      </c>
      <c r="F57" s="26"/>
      <c r="G57" s="26" t="s">
        <v>62</v>
      </c>
      <c r="H57" s="46" t="s">
        <v>319</v>
      </c>
      <c r="I57" s="47">
        <v>750</v>
      </c>
      <c r="J57" s="26">
        <v>1.28</v>
      </c>
      <c r="K57" s="45">
        <v>46095</v>
      </c>
      <c r="L57" s="60" t="s">
        <v>14</v>
      </c>
      <c r="M57" s="132" t="s">
        <v>197</v>
      </c>
      <c r="N57" s="26">
        <v>2026</v>
      </c>
    </row>
    <row r="58" spans="1:14">
      <c r="A58" s="26">
        <v>57</v>
      </c>
      <c r="B58" s="26" t="s">
        <v>52</v>
      </c>
      <c r="C58" s="45" t="s">
        <v>53</v>
      </c>
      <c r="D58" s="26" t="s">
        <v>58</v>
      </c>
      <c r="E58" s="26" t="s">
        <v>68</v>
      </c>
      <c r="F58" s="26"/>
      <c r="G58" s="26" t="s">
        <v>62</v>
      </c>
      <c r="H58" s="46" t="s">
        <v>320</v>
      </c>
      <c r="I58" s="47">
        <v>168.83116883116884</v>
      </c>
      <c r="J58" s="26">
        <v>3677</v>
      </c>
      <c r="K58" s="45">
        <v>46098</v>
      </c>
      <c r="L58" s="60" t="s">
        <v>14</v>
      </c>
      <c r="M58" s="132" t="s">
        <v>197</v>
      </c>
      <c r="N58" s="26">
        <v>2026</v>
      </c>
    </row>
    <row r="59" spans="1:14">
      <c r="A59" s="26">
        <v>58</v>
      </c>
      <c r="B59" s="26" t="s">
        <v>52</v>
      </c>
      <c r="C59" s="26" t="s">
        <v>53</v>
      </c>
      <c r="D59" s="26" t="s">
        <v>58</v>
      </c>
      <c r="E59" s="26" t="s">
        <v>68</v>
      </c>
      <c r="F59" s="26"/>
      <c r="G59" s="26" t="s">
        <v>62</v>
      </c>
      <c r="H59" s="46" t="s">
        <v>71</v>
      </c>
      <c r="I59" s="47">
        <v>1716.8831168831168</v>
      </c>
      <c r="J59" s="26" t="s">
        <v>390</v>
      </c>
      <c r="K59" s="45">
        <v>46145</v>
      </c>
      <c r="L59" s="60" t="s">
        <v>14</v>
      </c>
      <c r="M59" s="132" t="s">
        <v>197</v>
      </c>
      <c r="N59" s="26">
        <v>2026</v>
      </c>
    </row>
    <row r="60" spans="1:14">
      <c r="A60" s="26">
        <v>59</v>
      </c>
      <c r="B60" s="26" t="s">
        <v>52</v>
      </c>
      <c r="C60" s="45" t="s">
        <v>53</v>
      </c>
      <c r="D60" s="26" t="s">
        <v>58</v>
      </c>
      <c r="E60" s="26" t="s">
        <v>68</v>
      </c>
      <c r="F60" s="26"/>
      <c r="G60" s="26" t="s">
        <v>62</v>
      </c>
      <c r="H60" s="46" t="s">
        <v>71</v>
      </c>
      <c r="I60" s="47">
        <v>2269.4805194805194</v>
      </c>
      <c r="J60" s="26" t="s">
        <v>391</v>
      </c>
      <c r="K60" s="45">
        <v>46329</v>
      </c>
      <c r="L60" s="60" t="s">
        <v>14</v>
      </c>
      <c r="M60" s="132" t="s">
        <v>197</v>
      </c>
      <c r="N60" s="26">
        <v>2026</v>
      </c>
    </row>
    <row r="61" spans="1:14">
      <c r="A61" s="26">
        <v>60</v>
      </c>
      <c r="B61" s="26" t="s">
        <v>52</v>
      </c>
      <c r="C61" s="45" t="s">
        <v>53</v>
      </c>
      <c r="D61" s="26" t="s">
        <v>58</v>
      </c>
      <c r="E61" s="26" t="s">
        <v>68</v>
      </c>
      <c r="F61" s="26"/>
      <c r="G61" s="26" t="s">
        <v>62</v>
      </c>
      <c r="H61" s="46" t="s">
        <v>71</v>
      </c>
      <c r="I61" s="47">
        <v>1648.0519480519481</v>
      </c>
      <c r="J61" s="26" t="s">
        <v>392</v>
      </c>
      <c r="K61" s="45">
        <v>46105</v>
      </c>
      <c r="L61" s="60" t="s">
        <v>14</v>
      </c>
      <c r="M61" s="132" t="s">
        <v>197</v>
      </c>
      <c r="N61" s="26">
        <v>2026</v>
      </c>
    </row>
    <row r="62" spans="1:14">
      <c r="A62" s="26">
        <v>61</v>
      </c>
      <c r="B62" s="26" t="s">
        <v>52</v>
      </c>
      <c r="C62" s="45" t="s">
        <v>53</v>
      </c>
      <c r="D62" s="26" t="s">
        <v>58</v>
      </c>
      <c r="E62" s="26" t="s">
        <v>68</v>
      </c>
      <c r="F62" s="26"/>
      <c r="G62" s="26" t="s">
        <v>62</v>
      </c>
      <c r="H62" s="46" t="s">
        <v>71</v>
      </c>
      <c r="I62" s="47">
        <v>1392.2077922077922</v>
      </c>
      <c r="J62" s="26" t="s">
        <v>65</v>
      </c>
      <c r="K62" s="45">
        <v>46097</v>
      </c>
      <c r="L62" s="60" t="s">
        <v>14</v>
      </c>
      <c r="M62" s="132" t="s">
        <v>197</v>
      </c>
      <c r="N62" s="26">
        <v>2026</v>
      </c>
    </row>
    <row r="63" spans="1:14">
      <c r="A63" s="26">
        <v>62</v>
      </c>
      <c r="B63" s="26" t="s">
        <v>52</v>
      </c>
      <c r="C63" s="45" t="s">
        <v>53</v>
      </c>
      <c r="D63" s="26" t="s">
        <v>58</v>
      </c>
      <c r="E63" s="26" t="s">
        <v>68</v>
      </c>
      <c r="F63" s="26"/>
      <c r="G63" s="26" t="s">
        <v>62</v>
      </c>
      <c r="H63" s="46" t="s">
        <v>321</v>
      </c>
      <c r="I63" s="47">
        <v>399.35064935064935</v>
      </c>
      <c r="J63" s="26">
        <v>431</v>
      </c>
      <c r="K63" s="45">
        <v>46111</v>
      </c>
      <c r="L63" s="60" t="s">
        <v>14</v>
      </c>
      <c r="M63" s="132" t="s">
        <v>197</v>
      </c>
      <c r="N63" s="26">
        <v>2026</v>
      </c>
    </row>
    <row r="64" spans="1:14">
      <c r="A64" s="26">
        <v>63</v>
      </c>
      <c r="B64" s="26" t="s">
        <v>33</v>
      </c>
      <c r="C64" s="45" t="s">
        <v>35</v>
      </c>
      <c r="D64" s="26" t="s">
        <v>58</v>
      </c>
      <c r="E64" s="26" t="s">
        <v>68</v>
      </c>
      <c r="F64" s="26"/>
      <c r="G64" s="26" t="s">
        <v>62</v>
      </c>
      <c r="H64" s="46" t="s">
        <v>322</v>
      </c>
      <c r="I64" s="47">
        <v>262.01298701298703</v>
      </c>
      <c r="J64" s="26" t="s">
        <v>65</v>
      </c>
      <c r="K64" s="45">
        <v>45756</v>
      </c>
      <c r="L64" s="60" t="s">
        <v>14</v>
      </c>
      <c r="M64" s="132" t="s">
        <v>197</v>
      </c>
      <c r="N64" s="26">
        <v>2026</v>
      </c>
    </row>
    <row r="65" spans="1:14">
      <c r="A65" s="26">
        <v>64</v>
      </c>
      <c r="B65" s="26" t="s">
        <v>17</v>
      </c>
      <c r="C65" s="45" t="s">
        <v>70</v>
      </c>
      <c r="D65" s="26" t="s">
        <v>58</v>
      </c>
      <c r="E65" s="26" t="s">
        <v>68</v>
      </c>
      <c r="F65" s="26"/>
      <c r="G65" s="26" t="s">
        <v>62</v>
      </c>
      <c r="H65" s="46" t="s">
        <v>323</v>
      </c>
      <c r="I65" s="47">
        <v>542.53246753246754</v>
      </c>
      <c r="J65" s="26" t="s">
        <v>65</v>
      </c>
      <c r="K65" s="45">
        <v>46115</v>
      </c>
      <c r="L65" s="60" t="s">
        <v>14</v>
      </c>
      <c r="M65" s="132" t="s">
        <v>197</v>
      </c>
      <c r="N65" s="26">
        <v>2026</v>
      </c>
    </row>
    <row r="66" spans="1:14">
      <c r="A66" s="26">
        <v>65</v>
      </c>
      <c r="B66" s="26" t="s">
        <v>259</v>
      </c>
      <c r="C66" s="26" t="s">
        <v>260</v>
      </c>
      <c r="D66" s="26" t="s">
        <v>58</v>
      </c>
      <c r="E66" s="26" t="s">
        <v>68</v>
      </c>
      <c r="F66" s="26"/>
      <c r="G66" s="26" t="s">
        <v>62</v>
      </c>
      <c r="H66" s="26" t="s">
        <v>324</v>
      </c>
      <c r="I66" s="47">
        <v>194.80519480519482</v>
      </c>
      <c r="J66" s="26" t="s">
        <v>65</v>
      </c>
      <c r="K66" s="45">
        <v>46268</v>
      </c>
      <c r="L66" s="60" t="s">
        <v>14</v>
      </c>
      <c r="M66" s="132" t="s">
        <v>197</v>
      </c>
      <c r="N66" s="26">
        <v>2026</v>
      </c>
    </row>
    <row r="67" spans="1:14">
      <c r="A67" s="26">
        <v>66</v>
      </c>
      <c r="B67" s="26" t="s">
        <v>259</v>
      </c>
      <c r="C67" s="26" t="s">
        <v>260</v>
      </c>
      <c r="D67" s="26" t="s">
        <v>58</v>
      </c>
      <c r="E67" s="26" t="s">
        <v>68</v>
      </c>
      <c r="F67" s="26"/>
      <c r="G67" s="26" t="s">
        <v>62</v>
      </c>
      <c r="H67" s="46" t="s">
        <v>325</v>
      </c>
      <c r="I67" s="47">
        <v>25.974025974025974</v>
      </c>
      <c r="J67" s="26" t="s">
        <v>65</v>
      </c>
      <c r="K67" s="45">
        <v>46098</v>
      </c>
      <c r="L67" s="60" t="s">
        <v>14</v>
      </c>
      <c r="M67" s="132" t="s">
        <v>197</v>
      </c>
      <c r="N67" s="26">
        <v>2026</v>
      </c>
    </row>
    <row r="68" spans="1:14">
      <c r="A68" s="26">
        <v>67</v>
      </c>
      <c r="B68" s="26" t="s">
        <v>31</v>
      </c>
      <c r="C68" s="45" t="s">
        <v>32</v>
      </c>
      <c r="D68" s="26" t="s">
        <v>58</v>
      </c>
      <c r="E68" s="26" t="s">
        <v>68</v>
      </c>
      <c r="F68" s="26"/>
      <c r="G68" s="26" t="s">
        <v>62</v>
      </c>
      <c r="H68" s="46" t="s">
        <v>307</v>
      </c>
      <c r="I68" s="47">
        <v>1298.7012987012988</v>
      </c>
      <c r="J68" s="26" t="s">
        <v>65</v>
      </c>
      <c r="K68" s="45">
        <v>46078</v>
      </c>
      <c r="L68" s="60" t="s">
        <v>14</v>
      </c>
      <c r="M68" s="132" t="s">
        <v>197</v>
      </c>
      <c r="N68" s="26">
        <v>2026</v>
      </c>
    </row>
    <row r="69" spans="1:14">
      <c r="A69" s="26">
        <v>68</v>
      </c>
      <c r="B69" s="26" t="s">
        <v>31</v>
      </c>
      <c r="C69" s="26" t="s">
        <v>32</v>
      </c>
      <c r="D69" s="26" t="s">
        <v>58</v>
      </c>
      <c r="E69" s="26" t="s">
        <v>68</v>
      </c>
      <c r="F69" s="26"/>
      <c r="G69" s="26" t="s">
        <v>62</v>
      </c>
      <c r="H69" s="26" t="s">
        <v>307</v>
      </c>
      <c r="I69" s="47">
        <v>390.90909090909093</v>
      </c>
      <c r="J69" s="26" t="s">
        <v>65</v>
      </c>
      <c r="K69" s="45">
        <v>46078</v>
      </c>
      <c r="L69" s="60" t="s">
        <v>14</v>
      </c>
      <c r="M69" s="132" t="s">
        <v>197</v>
      </c>
      <c r="N69" s="26">
        <v>2026</v>
      </c>
    </row>
    <row r="70" spans="1:14">
      <c r="A70" s="26">
        <v>69</v>
      </c>
      <c r="B70" s="26" t="s">
        <v>50</v>
      </c>
      <c r="C70" s="26" t="s">
        <v>60</v>
      </c>
      <c r="D70" s="26" t="s">
        <v>58</v>
      </c>
      <c r="E70" s="26" t="s">
        <v>68</v>
      </c>
      <c r="F70" s="26"/>
      <c r="G70" s="26" t="s">
        <v>62</v>
      </c>
      <c r="H70" s="46" t="s">
        <v>326</v>
      </c>
      <c r="I70" s="47">
        <v>487.01298701298703</v>
      </c>
      <c r="J70" s="26" t="s">
        <v>65</v>
      </c>
      <c r="K70" s="45">
        <v>46298</v>
      </c>
      <c r="L70" s="60" t="s">
        <v>14</v>
      </c>
      <c r="M70" s="132" t="s">
        <v>197</v>
      </c>
      <c r="N70" s="26">
        <v>2026</v>
      </c>
    </row>
    <row r="71" spans="1:14">
      <c r="A71" s="26">
        <v>70</v>
      </c>
      <c r="B71" s="26" t="s">
        <v>50</v>
      </c>
      <c r="C71" s="26" t="s">
        <v>60</v>
      </c>
      <c r="D71" s="26" t="s">
        <v>58</v>
      </c>
      <c r="E71" s="26" t="s">
        <v>68</v>
      </c>
      <c r="F71" s="26"/>
      <c r="G71" s="26" t="s">
        <v>62</v>
      </c>
      <c r="H71" s="46" t="s">
        <v>277</v>
      </c>
      <c r="I71" s="47">
        <v>1367.5324675324675</v>
      </c>
      <c r="J71" s="26" t="s">
        <v>65</v>
      </c>
      <c r="K71" s="45">
        <v>46098</v>
      </c>
      <c r="L71" s="60" t="s">
        <v>14</v>
      </c>
      <c r="M71" s="132" t="s">
        <v>197</v>
      </c>
      <c r="N71" s="26">
        <v>2026</v>
      </c>
    </row>
    <row r="72" spans="1:14">
      <c r="A72" s="26">
        <v>71</v>
      </c>
      <c r="B72" s="26" t="s">
        <v>56</v>
      </c>
      <c r="C72" s="45" t="s">
        <v>57</v>
      </c>
      <c r="D72" s="26" t="s">
        <v>58</v>
      </c>
      <c r="E72" s="26" t="s">
        <v>68</v>
      </c>
      <c r="F72" s="26"/>
      <c r="G72" s="26" t="s">
        <v>62</v>
      </c>
      <c r="H72" s="46" t="s">
        <v>327</v>
      </c>
      <c r="I72" s="47">
        <v>90.909090909090907</v>
      </c>
      <c r="J72" s="26">
        <v>152931</v>
      </c>
      <c r="K72" s="45">
        <v>46268</v>
      </c>
      <c r="L72" s="60" t="s">
        <v>14</v>
      </c>
      <c r="M72" s="132" t="s">
        <v>197</v>
      </c>
      <c r="N72" s="26">
        <v>2026</v>
      </c>
    </row>
    <row r="73" spans="1:14">
      <c r="A73" s="26">
        <v>72</v>
      </c>
      <c r="B73" s="26" t="s">
        <v>56</v>
      </c>
      <c r="C73" s="45" t="s">
        <v>57</v>
      </c>
      <c r="D73" s="26" t="s">
        <v>58</v>
      </c>
      <c r="E73" s="26" t="s">
        <v>68</v>
      </c>
      <c r="F73" s="26"/>
      <c r="G73" s="26" t="s">
        <v>62</v>
      </c>
      <c r="H73" s="46" t="s">
        <v>328</v>
      </c>
      <c r="I73" s="47">
        <v>51.948051948051948</v>
      </c>
      <c r="J73" s="26">
        <v>546</v>
      </c>
      <c r="K73" s="45">
        <v>46268</v>
      </c>
      <c r="L73" s="60" t="s">
        <v>14</v>
      </c>
      <c r="M73" s="132" t="s">
        <v>197</v>
      </c>
      <c r="N73" s="26">
        <v>2026</v>
      </c>
    </row>
    <row r="74" spans="1:14">
      <c r="A74" s="26">
        <v>73</v>
      </c>
      <c r="B74" s="26" t="s">
        <v>56</v>
      </c>
      <c r="C74" s="45" t="s">
        <v>57</v>
      </c>
      <c r="D74" s="26" t="s">
        <v>58</v>
      </c>
      <c r="E74" s="26" t="s">
        <v>68</v>
      </c>
      <c r="F74" s="26"/>
      <c r="G74" s="26" t="s">
        <v>62</v>
      </c>
      <c r="H74" s="46" t="s">
        <v>278</v>
      </c>
      <c r="I74" s="47">
        <v>487.01298701298703</v>
      </c>
      <c r="J74" s="26" t="s">
        <v>65</v>
      </c>
      <c r="K74" s="45">
        <v>46110</v>
      </c>
      <c r="L74" s="60" t="s">
        <v>14</v>
      </c>
      <c r="M74" s="132" t="s">
        <v>197</v>
      </c>
      <c r="N74" s="26">
        <v>2026</v>
      </c>
    </row>
    <row r="75" spans="1:14">
      <c r="A75" s="26">
        <v>74</v>
      </c>
      <c r="B75" s="26" t="s">
        <v>40</v>
      </c>
      <c r="C75" s="26" t="s">
        <v>44</v>
      </c>
      <c r="D75" s="26" t="s">
        <v>58</v>
      </c>
      <c r="E75" s="26" t="s">
        <v>68</v>
      </c>
      <c r="F75" s="26"/>
      <c r="G75" s="26" t="s">
        <v>62</v>
      </c>
      <c r="H75" s="26" t="s">
        <v>329</v>
      </c>
      <c r="I75" s="50">
        <v>321.10389610389609</v>
      </c>
      <c r="J75" s="26" t="s">
        <v>65</v>
      </c>
      <c r="K75" s="45">
        <v>46006</v>
      </c>
      <c r="L75" s="60" t="s">
        <v>14</v>
      </c>
      <c r="M75" s="132" t="s">
        <v>197</v>
      </c>
      <c r="N75" s="26">
        <v>2026</v>
      </c>
    </row>
    <row r="76" spans="1:14">
      <c r="A76" s="26">
        <v>75</v>
      </c>
      <c r="B76" s="26" t="s">
        <v>40</v>
      </c>
      <c r="C76" s="26" t="s">
        <v>247</v>
      </c>
      <c r="D76" s="26" t="s">
        <v>58</v>
      </c>
      <c r="E76" s="26" t="s">
        <v>68</v>
      </c>
      <c r="F76" s="26"/>
      <c r="G76" s="26" t="s">
        <v>62</v>
      </c>
      <c r="H76" s="26" t="s">
        <v>239</v>
      </c>
      <c r="I76" s="50">
        <v>649.35064935064941</v>
      </c>
      <c r="J76" s="26" t="s">
        <v>65</v>
      </c>
      <c r="K76" s="45">
        <v>46078</v>
      </c>
      <c r="L76" s="60" t="s">
        <v>14</v>
      </c>
      <c r="M76" s="132" t="s">
        <v>197</v>
      </c>
      <c r="N76" s="26">
        <v>2026</v>
      </c>
    </row>
    <row r="77" spans="1:14">
      <c r="A77" s="26">
        <v>76</v>
      </c>
      <c r="B77" s="26" t="s">
        <v>40</v>
      </c>
      <c r="C77" s="26" t="s">
        <v>47</v>
      </c>
      <c r="D77" s="26" t="s">
        <v>58</v>
      </c>
      <c r="E77" s="26" t="s">
        <v>68</v>
      </c>
      <c r="F77" s="26"/>
      <c r="G77" s="26" t="s">
        <v>62</v>
      </c>
      <c r="H77" s="26" t="s">
        <v>330</v>
      </c>
      <c r="I77" s="50">
        <v>324.6753246753247</v>
      </c>
      <c r="J77" s="26">
        <v>183</v>
      </c>
      <c r="K77" s="45">
        <v>46329</v>
      </c>
      <c r="L77" s="60" t="s">
        <v>14</v>
      </c>
      <c r="M77" s="132" t="s">
        <v>197</v>
      </c>
      <c r="N77" s="26">
        <v>2026</v>
      </c>
    </row>
    <row r="78" spans="1:14">
      <c r="A78" s="26">
        <v>77</v>
      </c>
      <c r="B78" s="26" t="s">
        <v>40</v>
      </c>
      <c r="C78" s="26" t="s">
        <v>47</v>
      </c>
      <c r="D78" s="26" t="s">
        <v>58</v>
      </c>
      <c r="E78" s="26" t="s">
        <v>68</v>
      </c>
      <c r="F78" s="26"/>
      <c r="G78" s="26" t="s">
        <v>62</v>
      </c>
      <c r="H78" s="26" t="s">
        <v>279</v>
      </c>
      <c r="I78" s="50">
        <v>978.57142857142856</v>
      </c>
      <c r="J78" s="26" t="s">
        <v>65</v>
      </c>
      <c r="K78" s="45">
        <v>46068</v>
      </c>
      <c r="L78" s="60" t="s">
        <v>14</v>
      </c>
      <c r="M78" s="132" t="s">
        <v>197</v>
      </c>
      <c r="N78" s="26">
        <v>2026</v>
      </c>
    </row>
    <row r="79" spans="1:14">
      <c r="A79" s="26">
        <v>78</v>
      </c>
      <c r="B79" s="26" t="s">
        <v>40</v>
      </c>
      <c r="C79" s="26" t="s">
        <v>47</v>
      </c>
      <c r="D79" s="26" t="s">
        <v>58</v>
      </c>
      <c r="E79" s="26" t="s">
        <v>68</v>
      </c>
      <c r="F79" s="26"/>
      <c r="G79" s="26" t="s">
        <v>62</v>
      </c>
      <c r="H79" s="26" t="s">
        <v>279</v>
      </c>
      <c r="I79" s="50">
        <v>721.42857142857144</v>
      </c>
      <c r="J79" s="26" t="s">
        <v>65</v>
      </c>
      <c r="K79" s="45">
        <v>46078</v>
      </c>
      <c r="L79" s="60" t="s">
        <v>14</v>
      </c>
      <c r="M79" s="132" t="s">
        <v>197</v>
      </c>
      <c r="N79" s="26">
        <v>2026</v>
      </c>
    </row>
    <row r="80" spans="1:14">
      <c r="A80" s="26">
        <v>79</v>
      </c>
      <c r="B80" s="26" t="s">
        <v>40</v>
      </c>
      <c r="C80" s="26" t="s">
        <v>48</v>
      </c>
      <c r="D80" s="26" t="s">
        <v>58</v>
      </c>
      <c r="E80" s="26" t="s">
        <v>68</v>
      </c>
      <c r="F80" s="26"/>
      <c r="G80" s="26" t="s">
        <v>62</v>
      </c>
      <c r="H80" s="26" t="s">
        <v>240</v>
      </c>
      <c r="I80" s="50">
        <v>1193.1818181818182</v>
      </c>
      <c r="J80" s="26" t="s">
        <v>65</v>
      </c>
      <c r="K80" s="45">
        <v>46110</v>
      </c>
      <c r="L80" s="60" t="s">
        <v>14</v>
      </c>
      <c r="M80" s="132" t="s">
        <v>197</v>
      </c>
      <c r="N80" s="26">
        <v>2026</v>
      </c>
    </row>
    <row r="81" spans="1:14">
      <c r="A81" s="26">
        <v>80</v>
      </c>
      <c r="B81" s="26" t="s">
        <v>40</v>
      </c>
      <c r="C81" s="26" t="s">
        <v>48</v>
      </c>
      <c r="D81" s="26" t="s">
        <v>58</v>
      </c>
      <c r="E81" s="26" t="s">
        <v>68</v>
      </c>
      <c r="F81" s="26"/>
      <c r="G81" s="26" t="s">
        <v>62</v>
      </c>
      <c r="H81" s="26" t="s">
        <v>240</v>
      </c>
      <c r="I81" s="50">
        <v>968.01948051948057</v>
      </c>
      <c r="J81" s="26" t="s">
        <v>65</v>
      </c>
      <c r="K81" s="45">
        <v>46145</v>
      </c>
      <c r="L81" s="60" t="s">
        <v>14</v>
      </c>
      <c r="M81" s="132" t="s">
        <v>197</v>
      </c>
      <c r="N81" s="26">
        <v>2026</v>
      </c>
    </row>
    <row r="82" spans="1:14">
      <c r="A82" s="26">
        <v>81</v>
      </c>
      <c r="B82" s="26" t="s">
        <v>40</v>
      </c>
      <c r="C82" s="26" t="s">
        <v>48</v>
      </c>
      <c r="D82" s="26" t="s">
        <v>58</v>
      </c>
      <c r="E82" s="26" t="s">
        <v>68</v>
      </c>
      <c r="F82" s="26"/>
      <c r="G82" s="26" t="s">
        <v>62</v>
      </c>
      <c r="H82" s="26" t="s">
        <v>331</v>
      </c>
      <c r="I82" s="50">
        <v>525.97402597402595</v>
      </c>
      <c r="J82" s="26">
        <v>4815</v>
      </c>
      <c r="K82" s="45">
        <v>46110</v>
      </c>
      <c r="L82" s="60" t="s">
        <v>14</v>
      </c>
      <c r="M82" s="132" t="s">
        <v>197</v>
      </c>
      <c r="N82" s="26">
        <v>2026</v>
      </c>
    </row>
    <row r="83" spans="1:14">
      <c r="A83" s="26">
        <v>82</v>
      </c>
      <c r="B83" s="26" t="s">
        <v>40</v>
      </c>
      <c r="C83" s="26" t="s">
        <v>49</v>
      </c>
      <c r="D83" s="26" t="s">
        <v>58</v>
      </c>
      <c r="E83" s="26" t="s">
        <v>68</v>
      </c>
      <c r="F83" s="26"/>
      <c r="G83" s="26" t="s">
        <v>62</v>
      </c>
      <c r="H83" s="26" t="s">
        <v>332</v>
      </c>
      <c r="I83" s="50">
        <v>716.88311688311683</v>
      </c>
      <c r="J83" s="26" t="s">
        <v>65</v>
      </c>
      <c r="K83" s="45">
        <v>46298</v>
      </c>
      <c r="L83" s="60" t="s">
        <v>14</v>
      </c>
      <c r="M83" s="132" t="s">
        <v>197</v>
      </c>
      <c r="N83" s="26">
        <v>2026</v>
      </c>
    </row>
    <row r="84" spans="1:14">
      <c r="A84" s="26">
        <v>83</v>
      </c>
      <c r="B84" s="26" t="s">
        <v>17</v>
      </c>
      <c r="C84" s="45" t="s">
        <v>24</v>
      </c>
      <c r="D84" s="26" t="s">
        <v>58</v>
      </c>
      <c r="E84" s="26" t="s">
        <v>68</v>
      </c>
      <c r="F84" s="26"/>
      <c r="G84" s="26" t="s">
        <v>62</v>
      </c>
      <c r="H84" s="46" t="s">
        <v>333</v>
      </c>
      <c r="I84" s="47">
        <v>818.18181818181813</v>
      </c>
      <c r="J84" s="26" t="s">
        <v>65</v>
      </c>
      <c r="K84" s="45">
        <v>46078</v>
      </c>
      <c r="L84" s="60" t="s">
        <v>14</v>
      </c>
      <c r="M84" s="132" t="s">
        <v>197</v>
      </c>
      <c r="N84" s="26">
        <v>2026</v>
      </c>
    </row>
    <row r="85" spans="1:14">
      <c r="A85" s="26">
        <v>84</v>
      </c>
      <c r="B85" s="26" t="s">
        <v>17</v>
      </c>
      <c r="C85" s="45" t="s">
        <v>24</v>
      </c>
      <c r="D85" s="26" t="s">
        <v>58</v>
      </c>
      <c r="E85" s="26" t="s">
        <v>68</v>
      </c>
      <c r="F85" s="26"/>
      <c r="G85" s="26" t="s">
        <v>62</v>
      </c>
      <c r="H85" s="46" t="s">
        <v>333</v>
      </c>
      <c r="I85" s="47">
        <v>4321.4285714285716</v>
      </c>
      <c r="J85" s="26" t="s">
        <v>65</v>
      </c>
      <c r="K85" s="45">
        <v>46206</v>
      </c>
      <c r="L85" s="60" t="s">
        <v>14</v>
      </c>
      <c r="M85" s="132" t="s">
        <v>197</v>
      </c>
      <c r="N85" s="26">
        <v>2026</v>
      </c>
    </row>
    <row r="86" spans="1:14">
      <c r="A86" s="26">
        <v>85</v>
      </c>
      <c r="B86" s="26" t="s">
        <v>17</v>
      </c>
      <c r="C86" s="45" t="s">
        <v>25</v>
      </c>
      <c r="D86" s="26" t="s">
        <v>58</v>
      </c>
      <c r="E86" s="26" t="s">
        <v>68</v>
      </c>
      <c r="F86" s="26"/>
      <c r="G86" s="26" t="s">
        <v>62</v>
      </c>
      <c r="H86" s="49" t="s">
        <v>334</v>
      </c>
      <c r="I86" s="47">
        <v>120.12987012987013</v>
      </c>
      <c r="J86" s="26">
        <v>603</v>
      </c>
      <c r="K86" s="45">
        <v>46098</v>
      </c>
      <c r="L86" s="60" t="s">
        <v>14</v>
      </c>
      <c r="M86" s="132" t="s">
        <v>197</v>
      </c>
      <c r="N86" s="26">
        <v>2026</v>
      </c>
    </row>
    <row r="87" spans="1:14">
      <c r="A87" s="26">
        <v>86</v>
      </c>
      <c r="B87" s="26" t="s">
        <v>17</v>
      </c>
      <c r="C87" s="45" t="s">
        <v>25</v>
      </c>
      <c r="D87" s="26" t="s">
        <v>58</v>
      </c>
      <c r="E87" s="26" t="s">
        <v>68</v>
      </c>
      <c r="F87" s="26"/>
      <c r="G87" s="26" t="s">
        <v>62</v>
      </c>
      <c r="H87" s="46" t="s">
        <v>335</v>
      </c>
      <c r="I87" s="47">
        <v>220.77922077922079</v>
      </c>
      <c r="J87" s="26">
        <v>286</v>
      </c>
      <c r="K87" s="45">
        <v>46098</v>
      </c>
      <c r="L87" s="60" t="s">
        <v>14</v>
      </c>
      <c r="M87" s="132" t="s">
        <v>197</v>
      </c>
      <c r="N87" s="26">
        <v>2026</v>
      </c>
    </row>
    <row r="88" spans="1:14">
      <c r="A88" s="26">
        <v>87</v>
      </c>
      <c r="B88" s="26" t="s">
        <v>17</v>
      </c>
      <c r="C88" s="45" t="s">
        <v>25</v>
      </c>
      <c r="D88" s="26" t="s">
        <v>58</v>
      </c>
      <c r="E88" s="26" t="s">
        <v>68</v>
      </c>
      <c r="F88" s="26"/>
      <c r="G88" s="26" t="s">
        <v>62</v>
      </c>
      <c r="H88" s="46" t="s">
        <v>241</v>
      </c>
      <c r="I88" s="47">
        <v>1927.2727272727273</v>
      </c>
      <c r="J88" s="26" t="s">
        <v>65</v>
      </c>
      <c r="K88" s="45">
        <v>46115</v>
      </c>
      <c r="L88" s="60" t="s">
        <v>14</v>
      </c>
      <c r="M88" s="132" t="s">
        <v>197</v>
      </c>
      <c r="N88" s="26">
        <v>2026</v>
      </c>
    </row>
    <row r="89" spans="1:14">
      <c r="A89" s="26">
        <v>88</v>
      </c>
      <c r="B89" s="26" t="s">
        <v>17</v>
      </c>
      <c r="C89" s="45" t="s">
        <v>25</v>
      </c>
      <c r="D89" s="26" t="s">
        <v>58</v>
      </c>
      <c r="E89" s="26" t="s">
        <v>68</v>
      </c>
      <c r="F89" s="26"/>
      <c r="G89" s="26" t="s">
        <v>62</v>
      </c>
      <c r="H89" s="46" t="s">
        <v>241</v>
      </c>
      <c r="I89" s="47">
        <v>2066.8831168831171</v>
      </c>
      <c r="J89" s="26" t="s">
        <v>65</v>
      </c>
      <c r="K89" s="45">
        <v>46110</v>
      </c>
      <c r="L89" s="60" t="s">
        <v>14</v>
      </c>
      <c r="M89" s="132" t="s">
        <v>197</v>
      </c>
      <c r="N89" s="26">
        <v>2026</v>
      </c>
    </row>
    <row r="90" spans="1:14">
      <c r="A90" s="26">
        <v>89</v>
      </c>
      <c r="B90" s="26" t="s">
        <v>40</v>
      </c>
      <c r="C90" s="26" t="s">
        <v>69</v>
      </c>
      <c r="D90" s="26" t="s">
        <v>58</v>
      </c>
      <c r="E90" s="26" t="s">
        <v>68</v>
      </c>
      <c r="F90" s="26"/>
      <c r="G90" s="26" t="s">
        <v>62</v>
      </c>
      <c r="H90" s="46" t="s">
        <v>242</v>
      </c>
      <c r="I90" s="47">
        <v>1901.7857142857142</v>
      </c>
      <c r="J90" s="46" t="s">
        <v>65</v>
      </c>
      <c r="K90" s="45">
        <v>46109</v>
      </c>
      <c r="L90" s="60" t="s">
        <v>14</v>
      </c>
      <c r="M90" s="132" t="s">
        <v>197</v>
      </c>
      <c r="N90" s="26">
        <v>2026</v>
      </c>
    </row>
    <row r="91" spans="1:14">
      <c r="A91" s="26">
        <v>90</v>
      </c>
      <c r="B91" s="26" t="s">
        <v>275</v>
      </c>
      <c r="C91" s="26" t="s">
        <v>303</v>
      </c>
      <c r="D91" s="26" t="s">
        <v>58</v>
      </c>
      <c r="E91" s="26" t="s">
        <v>76</v>
      </c>
      <c r="F91" s="26"/>
      <c r="G91" s="26" t="s">
        <v>62</v>
      </c>
      <c r="H91" s="26" t="s">
        <v>336</v>
      </c>
      <c r="I91" s="50">
        <v>3023.0519480519479</v>
      </c>
      <c r="J91" s="26" t="s">
        <v>65</v>
      </c>
      <c r="K91" s="45">
        <v>46099</v>
      </c>
      <c r="L91" s="60" t="s">
        <v>14</v>
      </c>
      <c r="M91" s="132" t="s">
        <v>197</v>
      </c>
      <c r="N91" s="26">
        <v>2026</v>
      </c>
    </row>
    <row r="92" spans="1:14">
      <c r="A92" s="26">
        <v>91</v>
      </c>
      <c r="B92" s="26" t="s">
        <v>56</v>
      </c>
      <c r="C92" s="45" t="s">
        <v>57</v>
      </c>
      <c r="D92" s="26" t="s">
        <v>58</v>
      </c>
      <c r="E92" s="26" t="s">
        <v>76</v>
      </c>
      <c r="F92" s="26"/>
      <c r="G92" s="26" t="s">
        <v>62</v>
      </c>
      <c r="H92" s="46" t="s">
        <v>337</v>
      </c>
      <c r="I92" s="47">
        <v>324.6753246753247</v>
      </c>
      <c r="J92" s="26" t="s">
        <v>65</v>
      </c>
      <c r="K92" s="45">
        <v>46099</v>
      </c>
      <c r="L92" s="60" t="s">
        <v>14</v>
      </c>
      <c r="M92" s="132" t="s">
        <v>197</v>
      </c>
      <c r="N92" s="26">
        <v>2026</v>
      </c>
    </row>
    <row r="93" spans="1:14">
      <c r="A93" s="26">
        <v>92</v>
      </c>
      <c r="B93" s="26" t="s">
        <v>56</v>
      </c>
      <c r="C93" s="45" t="s">
        <v>57</v>
      </c>
      <c r="D93" s="26" t="s">
        <v>58</v>
      </c>
      <c r="E93" s="26" t="s">
        <v>76</v>
      </c>
      <c r="F93" s="26"/>
      <c r="G93" s="26" t="s">
        <v>62</v>
      </c>
      <c r="H93" s="46" t="s">
        <v>338</v>
      </c>
      <c r="I93" s="47">
        <v>1352.5974025974026</v>
      </c>
      <c r="J93" s="26" t="s">
        <v>65</v>
      </c>
      <c r="K93" s="45">
        <v>46025</v>
      </c>
      <c r="L93" s="60" t="s">
        <v>14</v>
      </c>
      <c r="M93" s="132" t="s">
        <v>197</v>
      </c>
      <c r="N93" s="26">
        <v>2026</v>
      </c>
    </row>
    <row r="94" spans="1:14">
      <c r="A94" s="26">
        <v>93</v>
      </c>
      <c r="B94" s="26" t="s">
        <v>56</v>
      </c>
      <c r="C94" s="45" t="s">
        <v>57</v>
      </c>
      <c r="D94" s="26" t="s">
        <v>58</v>
      </c>
      <c r="E94" s="26" t="s">
        <v>76</v>
      </c>
      <c r="F94" s="26"/>
      <c r="G94" s="26" t="s">
        <v>62</v>
      </c>
      <c r="H94" s="46" t="s">
        <v>339</v>
      </c>
      <c r="I94" s="47">
        <v>3019.4805194805194</v>
      </c>
      <c r="J94" s="26" t="s">
        <v>65</v>
      </c>
      <c r="K94" s="45">
        <v>46115</v>
      </c>
      <c r="L94" s="60" t="s">
        <v>14</v>
      </c>
      <c r="M94" s="132" t="s">
        <v>197</v>
      </c>
      <c r="N94" s="26">
        <v>2026</v>
      </c>
    </row>
    <row r="95" spans="1:14">
      <c r="A95" s="26">
        <v>94</v>
      </c>
      <c r="B95" s="26" t="s">
        <v>56</v>
      </c>
      <c r="C95" s="26" t="s">
        <v>57</v>
      </c>
      <c r="D95" s="26" t="s">
        <v>58</v>
      </c>
      <c r="E95" s="26" t="s">
        <v>76</v>
      </c>
      <c r="F95" s="26"/>
      <c r="G95" s="26" t="s">
        <v>62</v>
      </c>
      <c r="H95" s="26" t="s">
        <v>336</v>
      </c>
      <c r="I95" s="50">
        <v>592.20779220779218</v>
      </c>
      <c r="J95" s="26" t="s">
        <v>65</v>
      </c>
      <c r="K95" s="45">
        <v>46359</v>
      </c>
      <c r="L95" s="60" t="s">
        <v>14</v>
      </c>
      <c r="M95" s="132" t="s">
        <v>197</v>
      </c>
      <c r="N95" s="26">
        <v>2026</v>
      </c>
    </row>
    <row r="96" spans="1:14">
      <c r="A96" s="26">
        <v>95</v>
      </c>
      <c r="B96" s="26" t="s">
        <v>56</v>
      </c>
      <c r="C96" s="26" t="s">
        <v>57</v>
      </c>
      <c r="D96" s="26" t="s">
        <v>58</v>
      </c>
      <c r="E96" s="26" t="s">
        <v>76</v>
      </c>
      <c r="F96" s="26"/>
      <c r="G96" s="26" t="s">
        <v>62</v>
      </c>
      <c r="H96" s="26" t="s">
        <v>336</v>
      </c>
      <c r="I96" s="50">
        <v>576.62337662337666</v>
      </c>
      <c r="J96" s="26" t="s">
        <v>65</v>
      </c>
      <c r="K96" s="45">
        <v>46025</v>
      </c>
      <c r="L96" s="60" t="s">
        <v>14</v>
      </c>
      <c r="M96" s="132" t="s">
        <v>197</v>
      </c>
      <c r="N96" s="26">
        <v>2026</v>
      </c>
    </row>
    <row r="97" spans="1:14">
      <c r="A97" s="26">
        <v>96</v>
      </c>
      <c r="B97" s="26" t="s">
        <v>56</v>
      </c>
      <c r="C97" s="26" t="s">
        <v>57</v>
      </c>
      <c r="D97" s="26" t="s">
        <v>58</v>
      </c>
      <c r="E97" s="26" t="s">
        <v>76</v>
      </c>
      <c r="F97" s="26"/>
      <c r="G97" s="26" t="s">
        <v>62</v>
      </c>
      <c r="H97" s="26" t="s">
        <v>340</v>
      </c>
      <c r="I97" s="47">
        <v>98.701298701298697</v>
      </c>
      <c r="J97" s="26" t="s">
        <v>65</v>
      </c>
      <c r="K97" s="45">
        <v>46110</v>
      </c>
      <c r="L97" s="60" t="s">
        <v>14</v>
      </c>
      <c r="M97" s="132" t="s">
        <v>197</v>
      </c>
      <c r="N97" s="26">
        <v>2026</v>
      </c>
    </row>
    <row r="98" spans="1:14">
      <c r="A98" s="26">
        <v>97</v>
      </c>
      <c r="B98" s="26" t="s">
        <v>56</v>
      </c>
      <c r="C98" s="26" t="s">
        <v>57</v>
      </c>
      <c r="D98" s="26" t="s">
        <v>58</v>
      </c>
      <c r="E98" s="26" t="s">
        <v>76</v>
      </c>
      <c r="F98" s="26"/>
      <c r="G98" s="26" t="s">
        <v>62</v>
      </c>
      <c r="H98" s="26" t="s">
        <v>340</v>
      </c>
      <c r="I98" s="47">
        <v>111.03896103896103</v>
      </c>
      <c r="J98" s="26" t="s">
        <v>65</v>
      </c>
      <c r="K98" s="45">
        <v>46112</v>
      </c>
      <c r="L98" s="60" t="s">
        <v>14</v>
      </c>
      <c r="M98" s="132" t="s">
        <v>197</v>
      </c>
      <c r="N98" s="26">
        <v>2026</v>
      </c>
    </row>
    <row r="99" spans="1:14">
      <c r="A99" s="26">
        <v>98</v>
      </c>
      <c r="B99" s="26" t="s">
        <v>40</v>
      </c>
      <c r="C99" s="45" t="s">
        <v>48</v>
      </c>
      <c r="D99" s="26" t="s">
        <v>58</v>
      </c>
      <c r="E99" s="26" t="s">
        <v>76</v>
      </c>
      <c r="F99" s="26"/>
      <c r="G99" s="26" t="s">
        <v>62</v>
      </c>
      <c r="H99" s="46" t="s">
        <v>341</v>
      </c>
      <c r="I99" s="47">
        <v>649.35064935064941</v>
      </c>
      <c r="J99" s="26" t="s">
        <v>65</v>
      </c>
      <c r="K99" s="45">
        <v>46110</v>
      </c>
      <c r="L99" s="60" t="s">
        <v>14</v>
      </c>
      <c r="M99" s="132" t="s">
        <v>197</v>
      </c>
      <c r="N99" s="26">
        <v>2026</v>
      </c>
    </row>
    <row r="100" spans="1:14">
      <c r="A100" s="26">
        <v>99</v>
      </c>
      <c r="B100" s="26" t="s">
        <v>52</v>
      </c>
      <c r="C100" s="45" t="s">
        <v>53</v>
      </c>
      <c r="D100" s="26" t="s">
        <v>58</v>
      </c>
      <c r="E100" s="26" t="s">
        <v>54</v>
      </c>
      <c r="F100" s="26"/>
      <c r="G100" s="26" t="s">
        <v>62</v>
      </c>
      <c r="H100" s="46" t="s">
        <v>343</v>
      </c>
      <c r="I100" s="47">
        <v>42.20779220779221</v>
      </c>
      <c r="J100" s="26" t="s">
        <v>65</v>
      </c>
      <c r="K100" s="45">
        <v>46268</v>
      </c>
      <c r="L100" s="60" t="s">
        <v>14</v>
      </c>
      <c r="M100" s="132" t="s">
        <v>197</v>
      </c>
      <c r="N100" s="26">
        <v>2026</v>
      </c>
    </row>
    <row r="101" spans="1:14">
      <c r="A101" s="26">
        <v>100</v>
      </c>
      <c r="B101" s="26" t="s">
        <v>50</v>
      </c>
      <c r="C101" s="26" t="s">
        <v>60</v>
      </c>
      <c r="D101" s="26" t="s">
        <v>58</v>
      </c>
      <c r="E101" s="26" t="s">
        <v>54</v>
      </c>
      <c r="F101" s="26"/>
      <c r="G101" s="26" t="s">
        <v>62</v>
      </c>
      <c r="H101" s="46" t="s">
        <v>344</v>
      </c>
      <c r="I101" s="47">
        <v>13655.844155844155</v>
      </c>
      <c r="J101" s="26" t="s">
        <v>393</v>
      </c>
      <c r="K101" s="45">
        <v>46109</v>
      </c>
      <c r="L101" s="60" t="s">
        <v>14</v>
      </c>
      <c r="M101" s="132" t="s">
        <v>197</v>
      </c>
      <c r="N101" s="26">
        <v>2026</v>
      </c>
    </row>
    <row r="102" spans="1:14">
      <c r="A102" s="26">
        <v>101</v>
      </c>
      <c r="B102" s="26" t="s">
        <v>50</v>
      </c>
      <c r="C102" s="26" t="s">
        <v>60</v>
      </c>
      <c r="D102" s="26" t="s">
        <v>58</v>
      </c>
      <c r="E102" s="26" t="s">
        <v>54</v>
      </c>
      <c r="F102" s="26"/>
      <c r="G102" s="26" t="s">
        <v>62</v>
      </c>
      <c r="H102" s="46" t="s">
        <v>343</v>
      </c>
      <c r="I102" s="47">
        <v>51.948051948051948</v>
      </c>
      <c r="J102" s="26" t="s">
        <v>379</v>
      </c>
      <c r="K102" s="45">
        <v>46067</v>
      </c>
      <c r="L102" s="60" t="s">
        <v>14</v>
      </c>
      <c r="M102" s="132" t="s">
        <v>197</v>
      </c>
      <c r="N102" s="26">
        <v>2026</v>
      </c>
    </row>
    <row r="103" spans="1:14">
      <c r="A103" s="26">
        <v>102</v>
      </c>
      <c r="B103" s="26" t="s">
        <v>50</v>
      </c>
      <c r="C103" s="26" t="s">
        <v>60</v>
      </c>
      <c r="D103" s="26" t="s">
        <v>58</v>
      </c>
      <c r="E103" s="26" t="s">
        <v>68</v>
      </c>
      <c r="F103" s="26"/>
      <c r="G103" s="26" t="s">
        <v>62</v>
      </c>
      <c r="H103" s="46" t="s">
        <v>346</v>
      </c>
      <c r="I103" s="47">
        <v>1128.5714285714287</v>
      </c>
      <c r="J103" s="26" t="s">
        <v>65</v>
      </c>
      <c r="K103" s="45">
        <v>46115</v>
      </c>
      <c r="L103" s="60" t="s">
        <v>14</v>
      </c>
      <c r="M103" s="132" t="s">
        <v>197</v>
      </c>
      <c r="N103" s="26">
        <v>2026</v>
      </c>
    </row>
    <row r="104" spans="1:14">
      <c r="A104" s="26">
        <v>103</v>
      </c>
      <c r="B104" s="26" t="s">
        <v>50</v>
      </c>
      <c r="C104" s="26" t="s">
        <v>60</v>
      </c>
      <c r="D104" s="26" t="s">
        <v>58</v>
      </c>
      <c r="E104" s="26" t="s">
        <v>68</v>
      </c>
      <c r="F104" s="26"/>
      <c r="G104" s="26" t="s">
        <v>62</v>
      </c>
      <c r="H104" s="26" t="s">
        <v>346</v>
      </c>
      <c r="I104" s="47">
        <v>1106.4935064935064</v>
      </c>
      <c r="J104" s="26" t="s">
        <v>65</v>
      </c>
      <c r="K104" s="45">
        <v>46112</v>
      </c>
      <c r="L104" s="60" t="s">
        <v>14</v>
      </c>
      <c r="M104" s="132" t="s">
        <v>197</v>
      </c>
      <c r="N104" s="26">
        <v>2026</v>
      </c>
    </row>
    <row r="105" spans="1:14">
      <c r="A105" s="26">
        <v>104</v>
      </c>
      <c r="B105" s="26" t="s">
        <v>56</v>
      </c>
      <c r="C105" s="45" t="s">
        <v>57</v>
      </c>
      <c r="D105" s="26" t="s">
        <v>58</v>
      </c>
      <c r="E105" s="26" t="s">
        <v>77</v>
      </c>
      <c r="F105" s="26"/>
      <c r="G105" s="26" t="s">
        <v>62</v>
      </c>
      <c r="H105" s="46" t="s">
        <v>347</v>
      </c>
      <c r="I105" s="47">
        <v>454.54545454545456</v>
      </c>
      <c r="J105" s="26" t="s">
        <v>65</v>
      </c>
      <c r="K105" s="45">
        <v>46268</v>
      </c>
      <c r="L105" s="60" t="s">
        <v>14</v>
      </c>
      <c r="M105" s="132" t="s">
        <v>197</v>
      </c>
      <c r="N105" s="26">
        <v>2026</v>
      </c>
    </row>
    <row r="106" spans="1:14">
      <c r="A106" s="26">
        <v>105</v>
      </c>
      <c r="B106" s="26" t="s">
        <v>56</v>
      </c>
      <c r="C106" s="26" t="s">
        <v>57</v>
      </c>
      <c r="D106" s="26" t="s">
        <v>58</v>
      </c>
      <c r="E106" s="26" t="s">
        <v>77</v>
      </c>
      <c r="F106" s="26"/>
      <c r="G106" s="26" t="s">
        <v>62</v>
      </c>
      <c r="H106" s="26" t="s">
        <v>348</v>
      </c>
      <c r="I106" s="47">
        <v>116.88311688311688</v>
      </c>
      <c r="J106" s="26" t="s">
        <v>65</v>
      </c>
      <c r="K106" s="45">
        <v>46096</v>
      </c>
      <c r="L106" s="60" t="s">
        <v>14</v>
      </c>
      <c r="M106" s="132" t="s">
        <v>197</v>
      </c>
      <c r="N106" s="26">
        <v>2026</v>
      </c>
    </row>
    <row r="107" spans="1:14">
      <c r="A107" s="26">
        <v>106</v>
      </c>
      <c r="B107" s="26" t="s">
        <v>56</v>
      </c>
      <c r="C107" s="45" t="s">
        <v>57</v>
      </c>
      <c r="D107" s="26" t="s">
        <v>58</v>
      </c>
      <c r="E107" s="26" t="s">
        <v>80</v>
      </c>
      <c r="F107" s="26"/>
      <c r="G107" s="26" t="s">
        <v>62</v>
      </c>
      <c r="H107" s="46" t="s">
        <v>349</v>
      </c>
      <c r="I107" s="47">
        <v>719.48051948051943</v>
      </c>
      <c r="J107" s="26" t="s">
        <v>394</v>
      </c>
      <c r="K107" s="45">
        <v>46105</v>
      </c>
      <c r="L107" s="60" t="s">
        <v>14</v>
      </c>
      <c r="M107" s="132" t="s">
        <v>197</v>
      </c>
      <c r="N107" s="26">
        <v>2026</v>
      </c>
    </row>
    <row r="108" spans="1:14">
      <c r="A108" s="26">
        <v>107</v>
      </c>
      <c r="B108" s="26" t="s">
        <v>56</v>
      </c>
      <c r="C108" s="45" t="s">
        <v>57</v>
      </c>
      <c r="D108" s="26" t="s">
        <v>58</v>
      </c>
      <c r="E108" s="26" t="s">
        <v>76</v>
      </c>
      <c r="F108" s="26"/>
      <c r="G108" s="26" t="s">
        <v>62</v>
      </c>
      <c r="H108" s="46" t="s">
        <v>350</v>
      </c>
      <c r="I108" s="47">
        <v>649.35064935064941</v>
      </c>
      <c r="J108" s="26" t="s">
        <v>65</v>
      </c>
      <c r="K108" s="45">
        <v>46115</v>
      </c>
      <c r="L108" s="60" t="s">
        <v>14</v>
      </c>
      <c r="M108" s="132" t="s">
        <v>197</v>
      </c>
      <c r="N108" s="26">
        <v>2026</v>
      </c>
    </row>
    <row r="109" spans="1:14">
      <c r="A109" s="26">
        <v>108</v>
      </c>
      <c r="B109" s="26" t="s">
        <v>40</v>
      </c>
      <c r="C109" s="45" t="s">
        <v>48</v>
      </c>
      <c r="D109" s="26" t="s">
        <v>58</v>
      </c>
      <c r="E109" s="26" t="s">
        <v>76</v>
      </c>
      <c r="F109" s="26"/>
      <c r="G109" s="26" t="s">
        <v>62</v>
      </c>
      <c r="H109" s="46" t="s">
        <v>351</v>
      </c>
      <c r="I109" s="47">
        <v>681.81818181818187</v>
      </c>
      <c r="J109" s="26" t="s">
        <v>395</v>
      </c>
      <c r="K109" s="45">
        <v>46096</v>
      </c>
      <c r="L109" s="60" t="s">
        <v>14</v>
      </c>
      <c r="M109" s="132" t="s">
        <v>197</v>
      </c>
      <c r="N109" s="26">
        <v>2026</v>
      </c>
    </row>
    <row r="110" spans="1:14">
      <c r="A110" s="26">
        <v>109</v>
      </c>
      <c r="B110" s="26" t="s">
        <v>40</v>
      </c>
      <c r="C110" s="26" t="s">
        <v>48</v>
      </c>
      <c r="D110" s="26" t="s">
        <v>58</v>
      </c>
      <c r="E110" s="26" t="s">
        <v>76</v>
      </c>
      <c r="F110" s="26"/>
      <c r="G110" s="26" t="s">
        <v>62</v>
      </c>
      <c r="H110" s="26" t="s">
        <v>351</v>
      </c>
      <c r="I110" s="47">
        <v>194.80519480519482</v>
      </c>
      <c r="J110" s="26">
        <v>67</v>
      </c>
      <c r="K110" s="45">
        <v>46096</v>
      </c>
      <c r="L110" s="60" t="s">
        <v>14</v>
      </c>
      <c r="M110" s="132" t="s">
        <v>197</v>
      </c>
      <c r="N110" s="26">
        <v>2026</v>
      </c>
    </row>
    <row r="111" spans="1:14">
      <c r="A111" s="26">
        <v>110</v>
      </c>
      <c r="B111" s="26" t="s">
        <v>275</v>
      </c>
      <c r="C111" s="26" t="s">
        <v>303</v>
      </c>
      <c r="D111" s="26" t="s">
        <v>58</v>
      </c>
      <c r="E111" s="26" t="s">
        <v>95</v>
      </c>
      <c r="F111" s="26"/>
      <c r="G111" s="26" t="s">
        <v>62</v>
      </c>
      <c r="H111" s="26" t="s">
        <v>352</v>
      </c>
      <c r="I111" s="47">
        <v>259.74025974025972</v>
      </c>
      <c r="J111" s="26" t="s">
        <v>65</v>
      </c>
      <c r="K111" s="45">
        <v>46099</v>
      </c>
      <c r="L111" s="60" t="s">
        <v>14</v>
      </c>
      <c r="M111" s="132" t="s">
        <v>197</v>
      </c>
      <c r="N111" s="26">
        <v>2026</v>
      </c>
    </row>
    <row r="112" spans="1:14">
      <c r="A112" s="26">
        <v>111</v>
      </c>
      <c r="B112" s="26" t="s">
        <v>31</v>
      </c>
      <c r="C112" s="26" t="s">
        <v>32</v>
      </c>
      <c r="D112" s="26" t="s">
        <v>58</v>
      </c>
      <c r="E112" s="26" t="s">
        <v>95</v>
      </c>
      <c r="F112" s="26"/>
      <c r="G112" s="26" t="s">
        <v>62</v>
      </c>
      <c r="H112" s="46" t="s">
        <v>353</v>
      </c>
      <c r="I112" s="47">
        <v>1298.7012987012988</v>
      </c>
      <c r="J112" s="46" t="s">
        <v>65</v>
      </c>
      <c r="K112" s="45">
        <v>46096</v>
      </c>
      <c r="L112" s="60" t="s">
        <v>14</v>
      </c>
      <c r="M112" s="132" t="s">
        <v>197</v>
      </c>
      <c r="N112" s="26">
        <v>2026</v>
      </c>
    </row>
    <row r="113" spans="1:14">
      <c r="A113" s="26">
        <v>112</v>
      </c>
      <c r="B113" s="26" t="s">
        <v>40</v>
      </c>
      <c r="C113" s="26" t="s">
        <v>48</v>
      </c>
      <c r="D113" s="26" t="s">
        <v>58</v>
      </c>
      <c r="E113" s="26" t="s">
        <v>95</v>
      </c>
      <c r="F113" s="26"/>
      <c r="G113" s="26" t="s">
        <v>62</v>
      </c>
      <c r="H113" s="26" t="s">
        <v>354</v>
      </c>
      <c r="I113" s="50">
        <v>6038.9610389610389</v>
      </c>
      <c r="J113" s="26" t="s">
        <v>65</v>
      </c>
      <c r="K113" s="45">
        <v>46081</v>
      </c>
      <c r="L113" s="60" t="s">
        <v>14</v>
      </c>
      <c r="M113" s="132" t="s">
        <v>197</v>
      </c>
      <c r="N113" s="26">
        <v>2026</v>
      </c>
    </row>
    <row r="114" spans="1:14">
      <c r="A114" s="26">
        <v>113</v>
      </c>
      <c r="B114" s="26" t="s">
        <v>40</v>
      </c>
      <c r="C114" s="26" t="s">
        <v>49</v>
      </c>
      <c r="D114" s="26" t="s">
        <v>58</v>
      </c>
      <c r="E114" s="26" t="s">
        <v>95</v>
      </c>
      <c r="F114" s="26"/>
      <c r="G114" s="26" t="s">
        <v>62</v>
      </c>
      <c r="H114" s="26" t="s">
        <v>353</v>
      </c>
      <c r="I114" s="50">
        <v>1298.7012987012988</v>
      </c>
      <c r="J114" s="26" t="s">
        <v>65</v>
      </c>
      <c r="K114" s="45">
        <v>46096</v>
      </c>
      <c r="L114" s="60" t="s">
        <v>14</v>
      </c>
      <c r="M114" s="132" t="s">
        <v>197</v>
      </c>
      <c r="N114" s="26">
        <v>2026</v>
      </c>
    </row>
    <row r="115" spans="1:14">
      <c r="A115" s="26">
        <v>114</v>
      </c>
      <c r="B115" s="26" t="s">
        <v>259</v>
      </c>
      <c r="C115" s="26" t="s">
        <v>260</v>
      </c>
      <c r="D115" s="26" t="s">
        <v>58</v>
      </c>
      <c r="E115" s="26" t="s">
        <v>82</v>
      </c>
      <c r="F115" s="26"/>
      <c r="G115" s="26" t="s">
        <v>62</v>
      </c>
      <c r="H115" s="26" t="s">
        <v>355</v>
      </c>
      <c r="I115" s="50">
        <v>779.22077922077926</v>
      </c>
      <c r="J115" s="26">
        <v>2713</v>
      </c>
      <c r="K115" s="45">
        <v>46206</v>
      </c>
      <c r="L115" s="60" t="s">
        <v>14</v>
      </c>
      <c r="M115" s="132" t="s">
        <v>197</v>
      </c>
      <c r="N115" s="26">
        <v>2026</v>
      </c>
    </row>
    <row r="116" spans="1:14">
      <c r="A116" s="26">
        <v>115</v>
      </c>
      <c r="B116" s="26" t="s">
        <v>259</v>
      </c>
      <c r="C116" s="26" t="s">
        <v>260</v>
      </c>
      <c r="D116" s="26" t="s">
        <v>58</v>
      </c>
      <c r="E116" s="26" t="s">
        <v>82</v>
      </c>
      <c r="F116" s="26"/>
      <c r="G116" s="26" t="s">
        <v>62</v>
      </c>
      <c r="H116" s="26" t="s">
        <v>356</v>
      </c>
      <c r="I116" s="50">
        <v>38.961038961038959</v>
      </c>
      <c r="J116" s="26">
        <v>2714</v>
      </c>
      <c r="K116" s="45">
        <v>46268</v>
      </c>
      <c r="L116" s="60" t="s">
        <v>14</v>
      </c>
      <c r="M116" s="132" t="s">
        <v>197</v>
      </c>
      <c r="N116" s="26">
        <v>2026</v>
      </c>
    </row>
    <row r="117" spans="1:14">
      <c r="A117" s="26">
        <v>116</v>
      </c>
      <c r="B117" s="26" t="s">
        <v>259</v>
      </c>
      <c r="C117" s="45" t="s">
        <v>260</v>
      </c>
      <c r="D117" s="26" t="s">
        <v>58</v>
      </c>
      <c r="E117" s="26" t="s">
        <v>82</v>
      </c>
      <c r="F117" s="26"/>
      <c r="G117" s="26" t="s">
        <v>62</v>
      </c>
      <c r="H117" s="46" t="s">
        <v>357</v>
      </c>
      <c r="I117" s="47">
        <v>16.233766233766232</v>
      </c>
      <c r="J117" s="26" t="s">
        <v>65</v>
      </c>
      <c r="K117" s="45">
        <v>46095</v>
      </c>
      <c r="L117" s="60" t="s">
        <v>14</v>
      </c>
      <c r="M117" s="132" t="s">
        <v>197</v>
      </c>
      <c r="N117" s="26">
        <v>2026</v>
      </c>
    </row>
    <row r="118" spans="1:14">
      <c r="A118" s="26">
        <v>117</v>
      </c>
      <c r="B118" s="26" t="s">
        <v>259</v>
      </c>
      <c r="C118" s="45" t="s">
        <v>260</v>
      </c>
      <c r="D118" s="26" t="s">
        <v>58</v>
      </c>
      <c r="E118" s="26" t="s">
        <v>82</v>
      </c>
      <c r="F118" s="26"/>
      <c r="G118" s="26" t="s">
        <v>62</v>
      </c>
      <c r="H118" s="46" t="s">
        <v>358</v>
      </c>
      <c r="I118" s="47">
        <v>16.233766233766232</v>
      </c>
      <c r="J118" s="26" t="s">
        <v>65</v>
      </c>
      <c r="K118" s="45">
        <v>46098</v>
      </c>
      <c r="L118" s="60" t="s">
        <v>14</v>
      </c>
      <c r="M118" s="132" t="s">
        <v>197</v>
      </c>
      <c r="N118" s="26">
        <v>2026</v>
      </c>
    </row>
    <row r="119" spans="1:14">
      <c r="A119" s="26">
        <v>118</v>
      </c>
      <c r="B119" s="26" t="s">
        <v>259</v>
      </c>
      <c r="C119" s="45" t="s">
        <v>260</v>
      </c>
      <c r="D119" s="26" t="s">
        <v>58</v>
      </c>
      <c r="E119" s="26" t="s">
        <v>68</v>
      </c>
      <c r="F119" s="26"/>
      <c r="G119" s="26" t="s">
        <v>62</v>
      </c>
      <c r="H119" s="46" t="s">
        <v>361</v>
      </c>
      <c r="I119" s="47">
        <v>340.90909090909093</v>
      </c>
      <c r="J119" s="26">
        <v>434</v>
      </c>
      <c r="K119" s="45">
        <v>45734</v>
      </c>
      <c r="L119" s="60" t="s">
        <v>14</v>
      </c>
      <c r="M119" s="132" t="s">
        <v>197</v>
      </c>
      <c r="N119" s="26">
        <v>2026</v>
      </c>
    </row>
    <row r="120" spans="1:14">
      <c r="A120" s="26">
        <v>119</v>
      </c>
      <c r="B120" s="26" t="s">
        <v>17</v>
      </c>
      <c r="C120" s="26" t="s">
        <v>18</v>
      </c>
      <c r="D120" s="26" t="s">
        <v>58</v>
      </c>
      <c r="E120" s="26" t="s">
        <v>76</v>
      </c>
      <c r="F120" s="26"/>
      <c r="G120" s="26" t="s">
        <v>62</v>
      </c>
      <c r="H120" s="26" t="s">
        <v>362</v>
      </c>
      <c r="I120" s="47">
        <v>374.02597402597405</v>
      </c>
      <c r="J120" s="26" t="s">
        <v>65</v>
      </c>
      <c r="K120" s="45">
        <v>46096</v>
      </c>
      <c r="L120" s="60" t="s">
        <v>14</v>
      </c>
      <c r="M120" s="132" t="s">
        <v>197</v>
      </c>
      <c r="N120" s="26">
        <v>2026</v>
      </c>
    </row>
    <row r="121" spans="1:14">
      <c r="A121" s="26">
        <v>120</v>
      </c>
      <c r="B121" s="26" t="s">
        <v>259</v>
      </c>
      <c r="C121" s="45" t="s">
        <v>260</v>
      </c>
      <c r="D121" s="26" t="s">
        <v>58</v>
      </c>
      <c r="E121" s="26" t="s">
        <v>76</v>
      </c>
      <c r="F121" s="26"/>
      <c r="G121" s="26" t="s">
        <v>62</v>
      </c>
      <c r="H121" s="46" t="s">
        <v>363</v>
      </c>
      <c r="I121" s="47">
        <v>64.935064935064929</v>
      </c>
      <c r="J121" s="26">
        <v>195013</v>
      </c>
      <c r="K121" s="45">
        <v>46098</v>
      </c>
      <c r="L121" s="60" t="s">
        <v>14</v>
      </c>
      <c r="M121" s="132" t="s">
        <v>197</v>
      </c>
      <c r="N121" s="26">
        <v>2026</v>
      </c>
    </row>
    <row r="122" spans="1:14">
      <c r="A122" s="26">
        <v>121</v>
      </c>
      <c r="B122" s="26" t="s">
        <v>259</v>
      </c>
      <c r="C122" s="45" t="s">
        <v>260</v>
      </c>
      <c r="D122" s="26" t="s">
        <v>58</v>
      </c>
      <c r="E122" s="26" t="s">
        <v>305</v>
      </c>
      <c r="F122" s="26"/>
      <c r="G122" s="26" t="s">
        <v>62</v>
      </c>
      <c r="H122" s="46" t="s">
        <v>364</v>
      </c>
      <c r="I122" s="47">
        <v>389.61038961038963</v>
      </c>
      <c r="J122" s="26">
        <v>20</v>
      </c>
      <c r="K122" s="45">
        <v>46095</v>
      </c>
      <c r="L122" s="60" t="s">
        <v>14</v>
      </c>
      <c r="M122" s="132" t="s">
        <v>197</v>
      </c>
      <c r="N122" s="26">
        <v>2026</v>
      </c>
    </row>
    <row r="123" spans="1:14">
      <c r="A123" s="26">
        <v>122</v>
      </c>
      <c r="B123" s="26" t="s">
        <v>56</v>
      </c>
      <c r="C123" s="45" t="s">
        <v>57</v>
      </c>
      <c r="D123" s="26" t="s">
        <v>58</v>
      </c>
      <c r="E123" s="26" t="s">
        <v>305</v>
      </c>
      <c r="F123" s="26"/>
      <c r="G123" s="26" t="s">
        <v>62</v>
      </c>
      <c r="H123" s="46" t="s">
        <v>243</v>
      </c>
      <c r="I123" s="47">
        <v>1071.4285714285713</v>
      </c>
      <c r="J123" s="26" t="s">
        <v>65</v>
      </c>
      <c r="K123" s="45">
        <v>46096</v>
      </c>
      <c r="L123" s="60" t="s">
        <v>14</v>
      </c>
      <c r="M123" s="132" t="s">
        <v>197</v>
      </c>
      <c r="N123" s="26">
        <v>2026</v>
      </c>
    </row>
    <row r="124" spans="1:14">
      <c r="A124" s="26">
        <v>123</v>
      </c>
      <c r="B124" s="26" t="s">
        <v>275</v>
      </c>
      <c r="C124" s="26" t="s">
        <v>303</v>
      </c>
      <c r="D124" s="26" t="s">
        <v>58</v>
      </c>
      <c r="E124" s="26" t="s">
        <v>76</v>
      </c>
      <c r="F124" s="26"/>
      <c r="G124" s="26" t="s">
        <v>62</v>
      </c>
      <c r="H124" s="46" t="s">
        <v>280</v>
      </c>
      <c r="I124" s="47">
        <v>34.415584415584412</v>
      </c>
      <c r="J124" s="45" t="s">
        <v>65</v>
      </c>
      <c r="K124" s="45">
        <v>46111</v>
      </c>
      <c r="L124" s="60" t="s">
        <v>14</v>
      </c>
      <c r="M124" s="132" t="s">
        <v>197</v>
      </c>
      <c r="N124" s="26">
        <v>2026</v>
      </c>
    </row>
    <row r="125" spans="1:14">
      <c r="A125" s="26">
        <v>124</v>
      </c>
      <c r="B125" s="26" t="s">
        <v>17</v>
      </c>
      <c r="C125" s="45" t="s">
        <v>18</v>
      </c>
      <c r="D125" s="26" t="s">
        <v>58</v>
      </c>
      <c r="E125" s="26" t="s">
        <v>97</v>
      </c>
      <c r="F125" s="26"/>
      <c r="G125" s="26" t="s">
        <v>62</v>
      </c>
      <c r="H125" s="46" t="s">
        <v>280</v>
      </c>
      <c r="I125" s="47">
        <v>309.74025974025972</v>
      </c>
      <c r="J125" s="26" t="s">
        <v>65</v>
      </c>
      <c r="K125" s="45">
        <v>46111</v>
      </c>
      <c r="L125" s="60" t="s">
        <v>14</v>
      </c>
      <c r="M125" s="132" t="s">
        <v>197</v>
      </c>
      <c r="N125" s="26">
        <v>2026</v>
      </c>
    </row>
    <row r="126" spans="1:14">
      <c r="A126" s="26">
        <v>125</v>
      </c>
      <c r="B126" s="26" t="s">
        <v>52</v>
      </c>
      <c r="C126" s="45" t="s">
        <v>53</v>
      </c>
      <c r="D126" s="26" t="s">
        <v>58</v>
      </c>
      <c r="E126" s="26" t="s">
        <v>97</v>
      </c>
      <c r="F126" s="26"/>
      <c r="G126" s="26" t="s">
        <v>62</v>
      </c>
      <c r="H126" s="46" t="s">
        <v>280</v>
      </c>
      <c r="I126" s="47">
        <v>251.94805194805195</v>
      </c>
      <c r="J126" s="26" t="s">
        <v>65</v>
      </c>
      <c r="K126" s="45">
        <v>46111</v>
      </c>
      <c r="L126" s="60" t="s">
        <v>14</v>
      </c>
      <c r="M126" s="132" t="s">
        <v>197</v>
      </c>
      <c r="N126" s="26">
        <v>2026</v>
      </c>
    </row>
    <row r="127" spans="1:14">
      <c r="A127" s="26">
        <v>126</v>
      </c>
      <c r="B127" s="26" t="s">
        <v>40</v>
      </c>
      <c r="C127" s="26" t="s">
        <v>67</v>
      </c>
      <c r="D127" s="26" t="s">
        <v>58</v>
      </c>
      <c r="E127" s="26" t="s">
        <v>97</v>
      </c>
      <c r="F127" s="26"/>
      <c r="G127" s="26" t="s">
        <v>62</v>
      </c>
      <c r="H127" s="26" t="s">
        <v>280</v>
      </c>
      <c r="I127" s="50">
        <v>568.18181818181813</v>
      </c>
      <c r="J127" s="26" t="s">
        <v>65</v>
      </c>
      <c r="K127" s="45">
        <v>46111</v>
      </c>
      <c r="L127" s="60" t="s">
        <v>14</v>
      </c>
      <c r="M127" s="132" t="s">
        <v>197</v>
      </c>
      <c r="N127" s="26">
        <v>2026</v>
      </c>
    </row>
    <row r="128" spans="1:14">
      <c r="A128" s="26">
        <v>127</v>
      </c>
      <c r="B128" s="26" t="s">
        <v>33</v>
      </c>
      <c r="C128" s="26" t="s">
        <v>34</v>
      </c>
      <c r="D128" s="26" t="s">
        <v>58</v>
      </c>
      <c r="E128" s="26" t="s">
        <v>97</v>
      </c>
      <c r="F128" s="26"/>
      <c r="G128" s="26" t="s">
        <v>62</v>
      </c>
      <c r="H128" s="26" t="s">
        <v>280</v>
      </c>
      <c r="I128" s="50">
        <v>68.831168831168824</v>
      </c>
      <c r="J128" s="26" t="s">
        <v>65</v>
      </c>
      <c r="K128" s="45">
        <v>46111</v>
      </c>
      <c r="L128" s="60" t="s">
        <v>14</v>
      </c>
      <c r="M128" s="132" t="s">
        <v>197</v>
      </c>
      <c r="N128" s="26">
        <v>2026</v>
      </c>
    </row>
    <row r="129" spans="1:14">
      <c r="A129" s="26">
        <v>128</v>
      </c>
      <c r="B129" s="26" t="s">
        <v>40</v>
      </c>
      <c r="C129" s="45" t="s">
        <v>43</v>
      </c>
      <c r="D129" s="26" t="s">
        <v>58</v>
      </c>
      <c r="E129" s="26" t="s">
        <v>97</v>
      </c>
      <c r="F129" s="26"/>
      <c r="G129" s="26" t="s">
        <v>62</v>
      </c>
      <c r="H129" s="46" t="s">
        <v>280</v>
      </c>
      <c r="I129" s="47">
        <v>34.415584415584412</v>
      </c>
      <c r="J129" s="26" t="s">
        <v>65</v>
      </c>
      <c r="K129" s="45">
        <v>46111</v>
      </c>
      <c r="L129" s="60" t="s">
        <v>14</v>
      </c>
      <c r="M129" s="132" t="s">
        <v>197</v>
      </c>
      <c r="N129" s="26">
        <v>2026</v>
      </c>
    </row>
    <row r="130" spans="1:14">
      <c r="A130" s="26">
        <v>129</v>
      </c>
      <c r="B130" s="26" t="s">
        <v>259</v>
      </c>
      <c r="C130" s="26" t="s">
        <v>260</v>
      </c>
      <c r="D130" s="26" t="s">
        <v>58</v>
      </c>
      <c r="E130" s="26" t="s">
        <v>97</v>
      </c>
      <c r="F130" s="26"/>
      <c r="G130" s="26" t="s">
        <v>62</v>
      </c>
      <c r="H130" s="46" t="s">
        <v>367</v>
      </c>
      <c r="I130" s="47">
        <v>155.84415584415584</v>
      </c>
      <c r="J130" s="26">
        <v>991</v>
      </c>
      <c r="K130" s="45">
        <v>46268</v>
      </c>
      <c r="L130" s="60" t="s">
        <v>14</v>
      </c>
      <c r="M130" s="132" t="s">
        <v>197</v>
      </c>
      <c r="N130" s="26">
        <v>2026</v>
      </c>
    </row>
    <row r="131" spans="1:14">
      <c r="A131" s="26">
        <v>130</v>
      </c>
      <c r="B131" s="26" t="s">
        <v>259</v>
      </c>
      <c r="C131" s="26" t="s">
        <v>260</v>
      </c>
      <c r="D131" s="26" t="s">
        <v>58</v>
      </c>
      <c r="E131" s="26" t="s">
        <v>97</v>
      </c>
      <c r="F131" s="26"/>
      <c r="G131" s="26" t="s">
        <v>62</v>
      </c>
      <c r="H131" s="46" t="s">
        <v>280</v>
      </c>
      <c r="I131" s="47">
        <v>29.220779220779221</v>
      </c>
      <c r="J131" s="26" t="s">
        <v>65</v>
      </c>
      <c r="K131" s="45">
        <v>46111</v>
      </c>
      <c r="L131" s="60" t="s">
        <v>14</v>
      </c>
      <c r="M131" s="132" t="s">
        <v>197</v>
      </c>
      <c r="N131" s="26">
        <v>2026</v>
      </c>
    </row>
    <row r="132" spans="1:14">
      <c r="A132" s="26">
        <v>131</v>
      </c>
      <c r="B132" s="26" t="s">
        <v>31</v>
      </c>
      <c r="C132" s="26" t="s">
        <v>32</v>
      </c>
      <c r="D132" s="26" t="s">
        <v>58</v>
      </c>
      <c r="E132" s="26" t="s">
        <v>97</v>
      </c>
      <c r="F132" s="26"/>
      <c r="G132" s="26" t="s">
        <v>62</v>
      </c>
      <c r="H132" s="46" t="s">
        <v>280</v>
      </c>
      <c r="I132" s="47">
        <v>224.67532467532467</v>
      </c>
      <c r="J132" s="26" t="s">
        <v>65</v>
      </c>
      <c r="K132" s="45">
        <v>46111</v>
      </c>
      <c r="L132" s="60" t="s">
        <v>14</v>
      </c>
      <c r="M132" s="132" t="s">
        <v>197</v>
      </c>
      <c r="N132" s="26">
        <v>2026</v>
      </c>
    </row>
    <row r="133" spans="1:14">
      <c r="A133" s="26">
        <v>132</v>
      </c>
      <c r="B133" s="26" t="s">
        <v>50</v>
      </c>
      <c r="C133" s="26" t="s">
        <v>60</v>
      </c>
      <c r="D133" s="26" t="s">
        <v>58</v>
      </c>
      <c r="E133" s="26" t="s">
        <v>97</v>
      </c>
      <c r="F133" s="26"/>
      <c r="G133" s="26" t="s">
        <v>62</v>
      </c>
      <c r="H133" s="46" t="s">
        <v>280</v>
      </c>
      <c r="I133" s="47">
        <v>251.94805194805195</v>
      </c>
      <c r="J133" s="26" t="s">
        <v>65</v>
      </c>
      <c r="K133" s="45">
        <v>46111</v>
      </c>
      <c r="L133" s="60" t="s">
        <v>14</v>
      </c>
      <c r="M133" s="132" t="s">
        <v>197</v>
      </c>
      <c r="N133" s="26">
        <v>2026</v>
      </c>
    </row>
    <row r="134" spans="1:14">
      <c r="A134" s="26">
        <v>133</v>
      </c>
      <c r="B134" s="26" t="s">
        <v>56</v>
      </c>
      <c r="C134" s="26" t="s">
        <v>57</v>
      </c>
      <c r="D134" s="26" t="s">
        <v>58</v>
      </c>
      <c r="E134" s="26" t="s">
        <v>76</v>
      </c>
      <c r="F134" s="26"/>
      <c r="G134" s="26" t="s">
        <v>62</v>
      </c>
      <c r="H134" s="46" t="s">
        <v>368</v>
      </c>
      <c r="I134" s="47">
        <v>438.31168831168833</v>
      </c>
      <c r="J134" s="26" t="s">
        <v>396</v>
      </c>
      <c r="K134" s="45">
        <v>46268</v>
      </c>
      <c r="L134" s="60" t="s">
        <v>14</v>
      </c>
      <c r="M134" s="132" t="s">
        <v>197</v>
      </c>
      <c r="N134" s="26">
        <v>2026</v>
      </c>
    </row>
    <row r="135" spans="1:14">
      <c r="A135" s="26">
        <v>134</v>
      </c>
      <c r="B135" s="26" t="s">
        <v>56</v>
      </c>
      <c r="C135" s="26" t="s">
        <v>57</v>
      </c>
      <c r="D135" s="26" t="s">
        <v>58</v>
      </c>
      <c r="E135" s="26" t="s">
        <v>68</v>
      </c>
      <c r="F135" s="26"/>
      <c r="G135" s="26" t="s">
        <v>62</v>
      </c>
      <c r="H135" s="46" t="s">
        <v>78</v>
      </c>
      <c r="I135" s="47">
        <v>75</v>
      </c>
      <c r="J135" s="26" t="s">
        <v>65</v>
      </c>
      <c r="K135" s="45">
        <v>46109</v>
      </c>
      <c r="L135" s="60" t="s">
        <v>14</v>
      </c>
      <c r="M135" s="132" t="s">
        <v>197</v>
      </c>
      <c r="N135" s="26">
        <v>2026</v>
      </c>
    </row>
    <row r="136" spans="1:14">
      <c r="A136" s="26">
        <v>135</v>
      </c>
      <c r="B136" s="26" t="s">
        <v>56</v>
      </c>
      <c r="C136" s="26" t="s">
        <v>57</v>
      </c>
      <c r="D136" s="26" t="s">
        <v>58</v>
      </c>
      <c r="E136" s="26" t="s">
        <v>97</v>
      </c>
      <c r="F136" s="26"/>
      <c r="G136" s="26" t="s">
        <v>62</v>
      </c>
      <c r="H136" s="46" t="s">
        <v>280</v>
      </c>
      <c r="I136" s="47">
        <v>584.41558441558436</v>
      </c>
      <c r="J136" s="26" t="s">
        <v>65</v>
      </c>
      <c r="K136" s="45">
        <v>46111</v>
      </c>
      <c r="L136" s="60" t="s">
        <v>14</v>
      </c>
      <c r="M136" s="132" t="s">
        <v>197</v>
      </c>
      <c r="N136" s="26">
        <v>2026</v>
      </c>
    </row>
    <row r="137" spans="1:14">
      <c r="A137" s="26">
        <v>136</v>
      </c>
      <c r="B137" s="26" t="s">
        <v>40</v>
      </c>
      <c r="C137" s="26" t="s">
        <v>247</v>
      </c>
      <c r="D137" s="26" t="s">
        <v>58</v>
      </c>
      <c r="E137" s="26" t="s">
        <v>97</v>
      </c>
      <c r="F137" s="26"/>
      <c r="G137" s="26" t="s">
        <v>62</v>
      </c>
      <c r="H137" s="46" t="s">
        <v>280</v>
      </c>
      <c r="I137" s="47">
        <v>251.94805194805195</v>
      </c>
      <c r="J137" s="26" t="s">
        <v>65</v>
      </c>
      <c r="K137" s="45">
        <v>46111</v>
      </c>
      <c r="L137" s="60" t="s">
        <v>14</v>
      </c>
      <c r="M137" s="132" t="s">
        <v>197</v>
      </c>
      <c r="N137" s="26">
        <v>2026</v>
      </c>
    </row>
    <row r="138" spans="1:14">
      <c r="A138" s="26">
        <v>137</v>
      </c>
      <c r="B138" s="26" t="s">
        <v>40</v>
      </c>
      <c r="C138" s="26" t="s">
        <v>48</v>
      </c>
      <c r="D138" s="26" t="s">
        <v>58</v>
      </c>
      <c r="E138" s="26" t="s">
        <v>97</v>
      </c>
      <c r="F138" s="26"/>
      <c r="G138" s="26" t="s">
        <v>62</v>
      </c>
      <c r="H138" s="46" t="s">
        <v>280</v>
      </c>
      <c r="I138" s="47">
        <v>327.27272727272725</v>
      </c>
      <c r="J138" s="26" t="s">
        <v>65</v>
      </c>
      <c r="K138" s="45">
        <v>46111</v>
      </c>
      <c r="L138" s="60" t="s">
        <v>14</v>
      </c>
      <c r="M138" s="132" t="s">
        <v>197</v>
      </c>
      <c r="N138" s="26">
        <v>2026</v>
      </c>
    </row>
    <row r="139" spans="1:14">
      <c r="A139" s="26">
        <v>138</v>
      </c>
      <c r="B139" s="26" t="s">
        <v>40</v>
      </c>
      <c r="C139" s="26" t="s">
        <v>49</v>
      </c>
      <c r="D139" s="26" t="s">
        <v>58</v>
      </c>
      <c r="E139" s="26" t="s">
        <v>97</v>
      </c>
      <c r="F139" s="26"/>
      <c r="G139" s="26" t="s">
        <v>62</v>
      </c>
      <c r="H139" s="46" t="s">
        <v>280</v>
      </c>
      <c r="I139" s="47">
        <v>137.66233766233765</v>
      </c>
      <c r="J139" s="26" t="s">
        <v>65</v>
      </c>
      <c r="K139" s="45">
        <v>46111</v>
      </c>
      <c r="L139" s="60" t="s">
        <v>14</v>
      </c>
      <c r="M139" s="132" t="s">
        <v>197</v>
      </c>
      <c r="N139" s="26">
        <v>2026</v>
      </c>
    </row>
    <row r="140" spans="1:14">
      <c r="A140" s="26">
        <v>139</v>
      </c>
      <c r="B140" s="26" t="s">
        <v>17</v>
      </c>
      <c r="C140" s="26" t="s">
        <v>23</v>
      </c>
      <c r="D140" s="26" t="s">
        <v>58</v>
      </c>
      <c r="E140" s="26" t="s">
        <v>97</v>
      </c>
      <c r="F140" s="26"/>
      <c r="G140" s="26" t="s">
        <v>62</v>
      </c>
      <c r="H140" s="46" t="s">
        <v>280</v>
      </c>
      <c r="I140" s="47">
        <v>172.07792207792207</v>
      </c>
      <c r="J140" s="26" t="s">
        <v>65</v>
      </c>
      <c r="K140" s="45">
        <v>46111</v>
      </c>
      <c r="L140" s="60" t="s">
        <v>14</v>
      </c>
      <c r="M140" s="132" t="s">
        <v>197</v>
      </c>
      <c r="N140" s="26">
        <v>2026</v>
      </c>
    </row>
    <row r="141" spans="1:14">
      <c r="A141" s="26">
        <v>140</v>
      </c>
      <c r="B141" s="26" t="s">
        <v>17</v>
      </c>
      <c r="C141" s="26" t="s">
        <v>24</v>
      </c>
      <c r="D141" s="26" t="s">
        <v>58</v>
      </c>
      <c r="E141" s="26" t="s">
        <v>97</v>
      </c>
      <c r="F141" s="26"/>
      <c r="G141" s="26" t="s">
        <v>62</v>
      </c>
      <c r="H141" s="46" t="s">
        <v>280</v>
      </c>
      <c r="I141" s="47">
        <v>240.90909090909091</v>
      </c>
      <c r="J141" s="26" t="s">
        <v>65</v>
      </c>
      <c r="K141" s="45">
        <v>46111</v>
      </c>
      <c r="L141" s="60" t="s">
        <v>14</v>
      </c>
      <c r="M141" s="132" t="s">
        <v>197</v>
      </c>
      <c r="N141" s="26">
        <v>2026</v>
      </c>
    </row>
    <row r="142" spans="1:14">
      <c r="A142" s="26">
        <v>141</v>
      </c>
      <c r="B142" s="26" t="s">
        <v>17</v>
      </c>
      <c r="C142" s="26" t="s">
        <v>25</v>
      </c>
      <c r="D142" s="26" t="s">
        <v>58</v>
      </c>
      <c r="E142" s="26" t="s">
        <v>97</v>
      </c>
      <c r="F142" s="26"/>
      <c r="G142" s="26" t="s">
        <v>62</v>
      </c>
      <c r="H142" s="46" t="s">
        <v>280</v>
      </c>
      <c r="I142" s="47">
        <v>464.93506493506493</v>
      </c>
      <c r="J142" s="26" t="s">
        <v>65</v>
      </c>
      <c r="K142" s="45">
        <v>46111</v>
      </c>
      <c r="L142" s="60" t="s">
        <v>14</v>
      </c>
      <c r="M142" s="132" t="s">
        <v>197</v>
      </c>
      <c r="N142" s="26">
        <v>2026</v>
      </c>
    </row>
    <row r="143" spans="1:14">
      <c r="A143" s="26">
        <v>142</v>
      </c>
      <c r="B143" s="26" t="s">
        <v>275</v>
      </c>
      <c r="C143" s="26" t="s">
        <v>303</v>
      </c>
      <c r="D143" s="26" t="s">
        <v>58</v>
      </c>
      <c r="E143" s="26" t="s">
        <v>237</v>
      </c>
      <c r="F143" s="26"/>
      <c r="G143" s="26" t="s">
        <v>62</v>
      </c>
      <c r="H143" s="46" t="s">
        <v>370</v>
      </c>
      <c r="I143" s="47">
        <v>2532.4675324675327</v>
      </c>
      <c r="J143" s="26" t="s">
        <v>65</v>
      </c>
      <c r="K143" s="45">
        <v>46099</v>
      </c>
      <c r="L143" s="60" t="s">
        <v>14</v>
      </c>
      <c r="M143" s="132" t="s">
        <v>197</v>
      </c>
      <c r="N143" s="26">
        <v>2026</v>
      </c>
    </row>
    <row r="144" spans="1:14">
      <c r="A144" s="26">
        <v>143</v>
      </c>
      <c r="B144" s="26" t="s">
        <v>259</v>
      </c>
      <c r="C144" s="26" t="s">
        <v>260</v>
      </c>
      <c r="D144" s="26" t="s">
        <v>58</v>
      </c>
      <c r="E144" s="26" t="s">
        <v>237</v>
      </c>
      <c r="F144" s="26"/>
      <c r="G144" s="26" t="s">
        <v>62</v>
      </c>
      <c r="H144" s="46" t="s">
        <v>371</v>
      </c>
      <c r="I144" s="47">
        <v>1298.7012987012988</v>
      </c>
      <c r="J144" s="26" t="s">
        <v>65</v>
      </c>
      <c r="K144" s="45">
        <v>46112</v>
      </c>
      <c r="L144" s="60" t="s">
        <v>14</v>
      </c>
      <c r="M144" s="132" t="s">
        <v>197</v>
      </c>
      <c r="N144" s="26">
        <v>2026</v>
      </c>
    </row>
    <row r="145" spans="1:14">
      <c r="A145" s="26">
        <v>144</v>
      </c>
      <c r="B145" s="26" t="s">
        <v>56</v>
      </c>
      <c r="C145" s="26" t="s">
        <v>57</v>
      </c>
      <c r="D145" s="26" t="s">
        <v>58</v>
      </c>
      <c r="E145" s="26" t="s">
        <v>237</v>
      </c>
      <c r="F145" s="26"/>
      <c r="G145" s="26" t="s">
        <v>62</v>
      </c>
      <c r="H145" s="46" t="s">
        <v>372</v>
      </c>
      <c r="I145" s="47">
        <v>129.87012987012986</v>
      </c>
      <c r="J145" s="26" t="s">
        <v>65</v>
      </c>
      <c r="K145" s="45">
        <v>46206</v>
      </c>
      <c r="L145" s="60" t="s">
        <v>14</v>
      </c>
      <c r="M145" s="132" t="s">
        <v>197</v>
      </c>
      <c r="N145" s="26">
        <v>2026</v>
      </c>
    </row>
    <row r="146" spans="1:14">
      <c r="A146" s="26">
        <v>145</v>
      </c>
      <c r="B146" s="26" t="s">
        <v>56</v>
      </c>
      <c r="C146" s="26" t="s">
        <v>57</v>
      </c>
      <c r="D146" s="26" t="s">
        <v>58</v>
      </c>
      <c r="E146" s="26" t="s">
        <v>237</v>
      </c>
      <c r="F146" s="26"/>
      <c r="G146" s="26" t="s">
        <v>62</v>
      </c>
      <c r="H146" s="46" t="s">
        <v>281</v>
      </c>
      <c r="I146" s="47">
        <v>588.31168831168827</v>
      </c>
      <c r="J146" s="26" t="s">
        <v>65</v>
      </c>
      <c r="K146" s="45">
        <v>46206</v>
      </c>
      <c r="L146" s="60" t="s">
        <v>14</v>
      </c>
      <c r="M146" s="132" t="s">
        <v>197</v>
      </c>
      <c r="N146" s="26">
        <v>2026</v>
      </c>
    </row>
    <row r="147" spans="1:14">
      <c r="A147" s="26">
        <v>146</v>
      </c>
      <c r="B147" s="26" t="s">
        <v>56</v>
      </c>
      <c r="C147" s="26" t="s">
        <v>57</v>
      </c>
      <c r="D147" s="26" t="s">
        <v>58</v>
      </c>
      <c r="E147" s="26" t="s">
        <v>237</v>
      </c>
      <c r="F147" s="26"/>
      <c r="G147" s="26" t="s">
        <v>62</v>
      </c>
      <c r="H147" s="46" t="s">
        <v>281</v>
      </c>
      <c r="I147" s="47">
        <v>217.53246753246754</v>
      </c>
      <c r="J147" s="26" t="s">
        <v>65</v>
      </c>
      <c r="K147" s="45">
        <v>46206</v>
      </c>
      <c r="L147" s="60" t="s">
        <v>14</v>
      </c>
      <c r="M147" s="132" t="s">
        <v>197</v>
      </c>
      <c r="N147" s="26">
        <v>2026</v>
      </c>
    </row>
    <row r="148" spans="1:14">
      <c r="A148" s="26">
        <v>147</v>
      </c>
      <c r="B148" s="26" t="s">
        <v>56</v>
      </c>
      <c r="C148" s="26" t="s">
        <v>57</v>
      </c>
      <c r="D148" s="26" t="s">
        <v>58</v>
      </c>
      <c r="E148" s="26" t="s">
        <v>237</v>
      </c>
      <c r="F148" s="26"/>
      <c r="G148" s="26" t="s">
        <v>62</v>
      </c>
      <c r="H148" s="46" t="s">
        <v>373</v>
      </c>
      <c r="I148" s="47">
        <v>519.48051948051943</v>
      </c>
      <c r="J148" s="26" t="s">
        <v>65</v>
      </c>
      <c r="K148" s="45">
        <v>46110</v>
      </c>
      <c r="L148" s="60" t="s">
        <v>14</v>
      </c>
      <c r="M148" s="132" t="s">
        <v>197</v>
      </c>
      <c r="N148" s="26">
        <v>2026</v>
      </c>
    </row>
    <row r="149" spans="1:14">
      <c r="A149" s="26">
        <v>148</v>
      </c>
      <c r="B149" s="26" t="s">
        <v>56</v>
      </c>
      <c r="C149" s="26" t="s">
        <v>57</v>
      </c>
      <c r="D149" s="26" t="s">
        <v>58</v>
      </c>
      <c r="E149" s="26" t="s">
        <v>237</v>
      </c>
      <c r="F149" s="26"/>
      <c r="G149" s="26" t="s">
        <v>62</v>
      </c>
      <c r="H149" s="46" t="s">
        <v>281</v>
      </c>
      <c r="I149" s="47">
        <v>360.38961038961037</v>
      </c>
      <c r="J149" s="26" t="s">
        <v>65</v>
      </c>
      <c r="K149" s="45">
        <v>46099</v>
      </c>
      <c r="L149" s="60" t="s">
        <v>14</v>
      </c>
      <c r="M149" s="132" t="s">
        <v>197</v>
      </c>
      <c r="N149" s="26">
        <v>2026</v>
      </c>
    </row>
    <row r="150" spans="1:14">
      <c r="A150" s="26">
        <v>149</v>
      </c>
      <c r="B150" s="26" t="s">
        <v>56</v>
      </c>
      <c r="C150" s="26" t="s">
        <v>57</v>
      </c>
      <c r="D150" s="26" t="s">
        <v>58</v>
      </c>
      <c r="E150" s="26" t="s">
        <v>237</v>
      </c>
      <c r="F150" s="26"/>
      <c r="G150" s="26" t="s">
        <v>62</v>
      </c>
      <c r="H150" s="46" t="s">
        <v>281</v>
      </c>
      <c r="I150" s="47">
        <v>298.7012987012987</v>
      </c>
      <c r="J150" s="26" t="s">
        <v>65</v>
      </c>
      <c r="K150" s="45">
        <v>46099</v>
      </c>
      <c r="L150" s="60" t="s">
        <v>14</v>
      </c>
      <c r="M150" s="132" t="s">
        <v>197</v>
      </c>
      <c r="N150" s="26">
        <v>2026</v>
      </c>
    </row>
    <row r="151" spans="1:14">
      <c r="A151" s="26">
        <v>150</v>
      </c>
      <c r="B151" s="26" t="s">
        <v>56</v>
      </c>
      <c r="C151" s="26" t="s">
        <v>57</v>
      </c>
      <c r="D151" s="26" t="s">
        <v>58</v>
      </c>
      <c r="E151" s="26" t="s">
        <v>237</v>
      </c>
      <c r="F151" s="26"/>
      <c r="G151" s="26" t="s">
        <v>62</v>
      </c>
      <c r="H151" s="46" t="s">
        <v>281</v>
      </c>
      <c r="I151" s="47">
        <v>38.961038961038959</v>
      </c>
      <c r="J151" s="26" t="s">
        <v>65</v>
      </c>
      <c r="K151" s="45">
        <v>46099</v>
      </c>
      <c r="L151" s="60" t="s">
        <v>14</v>
      </c>
      <c r="M151" s="132" t="s">
        <v>197</v>
      </c>
      <c r="N151" s="26">
        <v>2026</v>
      </c>
    </row>
    <row r="152" spans="1:14">
      <c r="A152" s="26">
        <v>151</v>
      </c>
      <c r="B152" s="26" t="s">
        <v>56</v>
      </c>
      <c r="C152" s="26" t="s">
        <v>57</v>
      </c>
      <c r="D152" s="26" t="s">
        <v>58</v>
      </c>
      <c r="E152" s="26" t="s">
        <v>237</v>
      </c>
      <c r="F152" s="26"/>
      <c r="G152" s="26" t="s">
        <v>62</v>
      </c>
      <c r="H152" s="46" t="s">
        <v>374</v>
      </c>
      <c r="I152" s="47">
        <v>1509.7402597402597</v>
      </c>
      <c r="J152" s="26" t="s">
        <v>65</v>
      </c>
      <c r="K152" s="45">
        <v>46099</v>
      </c>
      <c r="L152" s="60" t="s">
        <v>14</v>
      </c>
      <c r="M152" s="132" t="s">
        <v>197</v>
      </c>
      <c r="N152" s="26">
        <v>2026</v>
      </c>
    </row>
    <row r="153" spans="1:14">
      <c r="A153" s="26">
        <v>152</v>
      </c>
      <c r="B153" s="26" t="s">
        <v>56</v>
      </c>
      <c r="C153" s="26" t="s">
        <v>57</v>
      </c>
      <c r="D153" s="26" t="s">
        <v>58</v>
      </c>
      <c r="E153" s="26" t="s">
        <v>237</v>
      </c>
      <c r="F153" s="26"/>
      <c r="G153" s="26" t="s">
        <v>62</v>
      </c>
      <c r="H153" s="46" t="s">
        <v>375</v>
      </c>
      <c r="I153" s="47">
        <v>487.01298701298703</v>
      </c>
      <c r="J153" s="26" t="s">
        <v>65</v>
      </c>
      <c r="K153" s="45">
        <v>46099</v>
      </c>
      <c r="L153" s="60" t="s">
        <v>14</v>
      </c>
      <c r="M153" s="132" t="s">
        <v>197</v>
      </c>
      <c r="N153" s="26">
        <v>2026</v>
      </c>
    </row>
    <row r="154" spans="1:14">
      <c r="A154" s="26">
        <v>153</v>
      </c>
      <c r="B154" s="26" t="s">
        <v>52</v>
      </c>
      <c r="C154" s="26" t="s">
        <v>53</v>
      </c>
      <c r="D154" s="80" t="s">
        <v>58</v>
      </c>
      <c r="E154" s="26" t="s">
        <v>77</v>
      </c>
      <c r="F154" s="26"/>
      <c r="G154" s="26" t="s">
        <v>21</v>
      </c>
      <c r="H154" s="46" t="s">
        <v>397</v>
      </c>
      <c r="I154" s="47">
        <f>65000000/1540</f>
        <v>42207.792207792205</v>
      </c>
      <c r="J154" s="26" t="s">
        <v>14</v>
      </c>
      <c r="K154" s="45" t="s">
        <v>14</v>
      </c>
      <c r="L154" s="48" t="s">
        <v>14</v>
      </c>
      <c r="M154" s="132" t="s">
        <v>197</v>
      </c>
      <c r="N154" s="26">
        <v>2026</v>
      </c>
    </row>
    <row r="155" spans="1:14">
      <c r="A155" s="26">
        <v>154</v>
      </c>
      <c r="B155" s="127" t="s">
        <v>17</v>
      </c>
      <c r="C155" s="127" t="s">
        <v>25</v>
      </c>
      <c r="D155" s="26" t="s">
        <v>19</v>
      </c>
      <c r="E155" s="26" t="s">
        <v>77</v>
      </c>
      <c r="F155" s="26"/>
      <c r="G155" s="26" t="s">
        <v>21</v>
      </c>
      <c r="H155" s="46" t="s">
        <v>398</v>
      </c>
      <c r="I155" s="50">
        <f>3000000/1540</f>
        <v>1948.0519480519481</v>
      </c>
      <c r="J155" s="26" t="s">
        <v>14</v>
      </c>
      <c r="K155" s="45" t="s">
        <v>14</v>
      </c>
      <c r="L155" s="48" t="s">
        <v>14</v>
      </c>
      <c r="M155" s="132" t="s">
        <v>197</v>
      </c>
      <c r="N155" s="26">
        <v>2026</v>
      </c>
    </row>
    <row r="156" spans="1:14">
      <c r="A156" s="26">
        <v>155</v>
      </c>
      <c r="B156" s="127" t="s">
        <v>17</v>
      </c>
      <c r="C156" s="127" t="s">
        <v>22</v>
      </c>
      <c r="D156" s="26" t="s">
        <v>19</v>
      </c>
      <c r="E156" s="26" t="s">
        <v>77</v>
      </c>
      <c r="F156" s="26"/>
      <c r="G156" s="26" t="s">
        <v>21</v>
      </c>
      <c r="H156" s="46" t="s">
        <v>398</v>
      </c>
      <c r="I156" s="50">
        <f>2000000/1540</f>
        <v>1298.7012987012988</v>
      </c>
      <c r="J156" s="26" t="s">
        <v>14</v>
      </c>
      <c r="K156" s="45" t="s">
        <v>14</v>
      </c>
      <c r="L156" s="48" t="s">
        <v>14</v>
      </c>
      <c r="M156" s="132" t="s">
        <v>197</v>
      </c>
      <c r="N156" s="26">
        <v>2026</v>
      </c>
    </row>
    <row r="157" spans="1:14">
      <c r="A157" s="26">
        <v>156</v>
      </c>
      <c r="B157" s="127" t="s">
        <v>40</v>
      </c>
      <c r="C157" s="127" t="s">
        <v>48</v>
      </c>
      <c r="D157" s="26" t="s">
        <v>19</v>
      </c>
      <c r="E157" s="26" t="s">
        <v>77</v>
      </c>
      <c r="F157" s="26"/>
      <c r="G157" s="26" t="s">
        <v>21</v>
      </c>
      <c r="H157" s="46" t="s">
        <v>398</v>
      </c>
      <c r="I157" s="50">
        <f>2000000/1540</f>
        <v>1298.7012987012988</v>
      </c>
      <c r="J157" s="26" t="s">
        <v>14</v>
      </c>
      <c r="K157" s="45" t="s">
        <v>14</v>
      </c>
      <c r="L157" s="48" t="s">
        <v>14</v>
      </c>
      <c r="M157" s="132" t="s">
        <v>197</v>
      </c>
      <c r="N157" s="26">
        <v>2026</v>
      </c>
    </row>
    <row r="158" spans="1:14">
      <c r="A158" s="26">
        <v>157</v>
      </c>
      <c r="B158" s="127" t="s">
        <v>50</v>
      </c>
      <c r="C158" s="127" t="s">
        <v>60</v>
      </c>
      <c r="D158" s="26" t="s">
        <v>19</v>
      </c>
      <c r="E158" s="26" t="s">
        <v>77</v>
      </c>
      <c r="F158" s="26"/>
      <c r="G158" s="26" t="s">
        <v>21</v>
      </c>
      <c r="H158" s="46" t="s">
        <v>398</v>
      </c>
      <c r="I158" s="50">
        <f>7000000/1540</f>
        <v>4545.454545454545</v>
      </c>
      <c r="J158" s="26" t="s">
        <v>14</v>
      </c>
      <c r="K158" s="45" t="s">
        <v>14</v>
      </c>
      <c r="L158" s="48" t="s">
        <v>14</v>
      </c>
      <c r="M158" s="132" t="s">
        <v>197</v>
      </c>
      <c r="N158" s="26">
        <v>2026</v>
      </c>
    </row>
    <row r="159" spans="1:14">
      <c r="A159" s="26">
        <v>158</v>
      </c>
      <c r="B159" s="146" t="s">
        <v>27</v>
      </c>
      <c r="C159" s="150" t="s">
        <v>28</v>
      </c>
      <c r="D159" s="26" t="s">
        <v>58</v>
      </c>
      <c r="E159" s="26" t="s">
        <v>61</v>
      </c>
      <c r="F159" s="26"/>
      <c r="G159" s="26" t="s">
        <v>21</v>
      </c>
      <c r="H159" s="26" t="s">
        <v>61</v>
      </c>
      <c r="I159" s="47">
        <f>15500000/1540</f>
        <v>10064.935064935065</v>
      </c>
      <c r="J159" s="45" t="s">
        <v>14</v>
      </c>
      <c r="K159" s="45" t="s">
        <v>14</v>
      </c>
      <c r="L159" s="48" t="s">
        <v>14</v>
      </c>
      <c r="M159" s="127" t="s">
        <v>197</v>
      </c>
      <c r="N159" s="26">
        <v>2026</v>
      </c>
    </row>
    <row r="160" spans="1:14">
      <c r="A160" s="26">
        <v>159</v>
      </c>
      <c r="B160" s="127" t="s">
        <v>50</v>
      </c>
      <c r="C160" s="26" t="s">
        <v>60</v>
      </c>
      <c r="D160" s="26" t="s">
        <v>58</v>
      </c>
      <c r="E160" s="26" t="s">
        <v>61</v>
      </c>
      <c r="F160" s="26"/>
      <c r="G160" s="26" t="s">
        <v>21</v>
      </c>
      <c r="H160" s="26" t="s">
        <v>61</v>
      </c>
      <c r="I160" s="47">
        <f>5000000/1540</f>
        <v>3246.7532467532469</v>
      </c>
      <c r="J160" s="45" t="s">
        <v>14</v>
      </c>
      <c r="K160" s="45" t="s">
        <v>14</v>
      </c>
      <c r="L160" s="48" t="s">
        <v>14</v>
      </c>
      <c r="M160" s="127" t="s">
        <v>197</v>
      </c>
      <c r="N160" s="26">
        <v>2026</v>
      </c>
    </row>
    <row r="161" spans="1:14">
      <c r="A161" s="26">
        <v>160</v>
      </c>
      <c r="B161" s="26" t="s">
        <v>56</v>
      </c>
      <c r="C161" s="45" t="s">
        <v>57</v>
      </c>
      <c r="D161" s="26" t="s">
        <v>58</v>
      </c>
      <c r="E161" s="26" t="s">
        <v>80</v>
      </c>
      <c r="F161" s="26"/>
      <c r="G161" s="26" t="s">
        <v>21</v>
      </c>
      <c r="H161" s="26" t="s">
        <v>429</v>
      </c>
      <c r="I161" s="44">
        <f>3000000/1430</f>
        <v>2097.9020979020979</v>
      </c>
      <c r="J161" s="45" t="s">
        <v>14</v>
      </c>
      <c r="K161" s="45" t="s">
        <v>14</v>
      </c>
      <c r="L161" s="48" t="s">
        <v>14</v>
      </c>
      <c r="M161" s="80" t="s">
        <v>197</v>
      </c>
      <c r="N161" s="26">
        <v>2026</v>
      </c>
    </row>
    <row r="162" spans="1:14">
      <c r="A162" s="26">
        <v>161</v>
      </c>
      <c r="B162" s="26" t="s">
        <v>56</v>
      </c>
      <c r="C162" s="45" t="s">
        <v>57</v>
      </c>
      <c r="D162" s="26" t="s">
        <v>58</v>
      </c>
      <c r="E162" s="26" t="s">
        <v>80</v>
      </c>
      <c r="F162" s="26"/>
      <c r="G162" s="26" t="s">
        <v>21</v>
      </c>
      <c r="H162" s="26" t="s">
        <v>430</v>
      </c>
      <c r="I162" s="44">
        <f>5000000/1430</f>
        <v>3496.5034965034965</v>
      </c>
      <c r="J162" s="45" t="s">
        <v>14</v>
      </c>
      <c r="K162" s="45" t="s">
        <v>14</v>
      </c>
      <c r="L162" s="48" t="s">
        <v>14</v>
      </c>
      <c r="M162" s="80" t="s">
        <v>197</v>
      </c>
      <c r="N162" s="26">
        <v>2026</v>
      </c>
    </row>
    <row r="163" spans="1:14">
      <c r="A163" s="26">
        <v>162</v>
      </c>
      <c r="B163" s="26" t="s">
        <v>56</v>
      </c>
      <c r="C163" s="45" t="s">
        <v>57</v>
      </c>
      <c r="D163" s="26" t="s">
        <v>58</v>
      </c>
      <c r="E163" s="26" t="s">
        <v>80</v>
      </c>
      <c r="F163" s="26"/>
      <c r="G163" s="26" t="s">
        <v>21</v>
      </c>
      <c r="H163" s="26" t="s">
        <v>431</v>
      </c>
      <c r="I163" s="44">
        <v>2000</v>
      </c>
      <c r="J163" s="45" t="s">
        <v>14</v>
      </c>
      <c r="K163" s="45" t="s">
        <v>14</v>
      </c>
      <c r="L163" s="48" t="s">
        <v>14</v>
      </c>
      <c r="M163" s="80" t="s">
        <v>197</v>
      </c>
      <c r="N163" s="26">
        <v>2026</v>
      </c>
    </row>
    <row r="164" spans="1:14">
      <c r="A164" s="26">
        <v>163</v>
      </c>
      <c r="B164" s="26" t="s">
        <v>56</v>
      </c>
      <c r="C164" s="45" t="s">
        <v>57</v>
      </c>
      <c r="D164" s="26" t="s">
        <v>58</v>
      </c>
      <c r="E164" s="26" t="s">
        <v>80</v>
      </c>
      <c r="F164" s="26"/>
      <c r="G164" s="26" t="s">
        <v>21</v>
      </c>
      <c r="H164" s="26" t="s">
        <v>432</v>
      </c>
      <c r="I164" s="44">
        <f>1250000/1430</f>
        <v>874.12587412587413</v>
      </c>
      <c r="J164" s="45" t="s">
        <v>14</v>
      </c>
      <c r="K164" s="45" t="s">
        <v>14</v>
      </c>
      <c r="L164" s="48" t="s">
        <v>14</v>
      </c>
      <c r="M164" s="80" t="s">
        <v>197</v>
      </c>
      <c r="N164" s="26">
        <v>2026</v>
      </c>
    </row>
    <row r="165" spans="1:14">
      <c r="A165" s="26">
        <v>164</v>
      </c>
      <c r="B165" s="26" t="s">
        <v>56</v>
      </c>
      <c r="C165" s="45" t="s">
        <v>57</v>
      </c>
      <c r="D165" s="26" t="s">
        <v>58</v>
      </c>
      <c r="E165" s="26" t="s">
        <v>80</v>
      </c>
      <c r="F165" s="26"/>
      <c r="G165" s="26" t="s">
        <v>21</v>
      </c>
      <c r="H165" s="26" t="s">
        <v>433</v>
      </c>
      <c r="I165" s="44">
        <v>4500</v>
      </c>
      <c r="J165" s="45" t="s">
        <v>14</v>
      </c>
      <c r="K165" s="45" t="s">
        <v>14</v>
      </c>
      <c r="L165" s="48" t="s">
        <v>14</v>
      </c>
      <c r="M165" s="80" t="s">
        <v>197</v>
      </c>
      <c r="N165" s="26">
        <v>2026</v>
      </c>
    </row>
    <row r="166" spans="1:14">
      <c r="A166" s="26">
        <v>165</v>
      </c>
      <c r="B166" s="26" t="s">
        <v>56</v>
      </c>
      <c r="C166" s="45" t="s">
        <v>57</v>
      </c>
      <c r="D166" s="26" t="s">
        <v>58</v>
      </c>
      <c r="E166" s="26" t="s">
        <v>80</v>
      </c>
      <c r="F166" s="26"/>
      <c r="G166" s="26" t="s">
        <v>21</v>
      </c>
      <c r="H166" s="26" t="s">
        <v>434</v>
      </c>
      <c r="I166" s="44">
        <v>6000</v>
      </c>
      <c r="J166" s="45" t="s">
        <v>14</v>
      </c>
      <c r="K166" s="45" t="s">
        <v>14</v>
      </c>
      <c r="L166" s="48" t="s">
        <v>14</v>
      </c>
      <c r="M166" s="80" t="s">
        <v>197</v>
      </c>
      <c r="N166" s="26">
        <v>2026</v>
      </c>
    </row>
    <row r="167" spans="1:14">
      <c r="A167" s="26">
        <v>166</v>
      </c>
      <c r="B167" s="26" t="s">
        <v>56</v>
      </c>
      <c r="C167" s="45" t="s">
        <v>57</v>
      </c>
      <c r="D167" s="26" t="s">
        <v>58</v>
      </c>
      <c r="E167" s="26" t="s">
        <v>80</v>
      </c>
      <c r="F167" s="26"/>
      <c r="G167" s="26" t="s">
        <v>21</v>
      </c>
      <c r="H167" s="146" t="s">
        <v>735</v>
      </c>
      <c r="I167" s="44">
        <f>2500000/1490</f>
        <v>1677.8523489932886</v>
      </c>
      <c r="J167" s="45" t="s">
        <v>14</v>
      </c>
      <c r="K167" s="45" t="s">
        <v>14</v>
      </c>
      <c r="L167" s="48" t="s">
        <v>14</v>
      </c>
      <c r="M167" s="80" t="s">
        <v>197</v>
      </c>
      <c r="N167" s="26">
        <v>2026</v>
      </c>
    </row>
    <row r="168" spans="1:14">
      <c r="A168" s="26">
        <v>167</v>
      </c>
      <c r="B168" s="26" t="s">
        <v>56</v>
      </c>
      <c r="C168" s="45" t="s">
        <v>57</v>
      </c>
      <c r="D168" s="26" t="s">
        <v>58</v>
      </c>
      <c r="E168" s="26" t="s">
        <v>80</v>
      </c>
      <c r="F168" s="26"/>
      <c r="G168" s="26" t="s">
        <v>21</v>
      </c>
      <c r="H168" s="146" t="s">
        <v>736</v>
      </c>
      <c r="I168" s="44">
        <v>1500</v>
      </c>
      <c r="J168" s="45" t="s">
        <v>14</v>
      </c>
      <c r="K168" s="45" t="s">
        <v>14</v>
      </c>
      <c r="L168" s="48" t="s">
        <v>14</v>
      </c>
      <c r="M168" s="80" t="s">
        <v>197</v>
      </c>
      <c r="N168" s="26">
        <v>2026</v>
      </c>
    </row>
    <row r="169" spans="1:14">
      <c r="A169" s="26">
        <v>168</v>
      </c>
      <c r="B169" s="26" t="s">
        <v>56</v>
      </c>
      <c r="C169" s="45" t="s">
        <v>57</v>
      </c>
      <c r="D169" s="26" t="s">
        <v>58</v>
      </c>
      <c r="E169" s="26" t="s">
        <v>80</v>
      </c>
      <c r="F169" s="26"/>
      <c r="G169" s="26" t="s">
        <v>81</v>
      </c>
      <c r="H169" s="26" t="s">
        <v>435</v>
      </c>
      <c r="I169" s="55">
        <v>2520</v>
      </c>
      <c r="J169" s="26" t="s">
        <v>399</v>
      </c>
      <c r="K169" s="45">
        <v>46081</v>
      </c>
      <c r="L169" s="48" t="s">
        <v>14</v>
      </c>
      <c r="M169" s="80" t="s">
        <v>197</v>
      </c>
      <c r="N169" s="26">
        <v>2026</v>
      </c>
    </row>
    <row r="170" spans="1:14">
      <c r="A170" s="26">
        <v>169</v>
      </c>
      <c r="B170" s="26" t="s">
        <v>56</v>
      </c>
      <c r="C170" s="45" t="s">
        <v>57</v>
      </c>
      <c r="D170" s="26" t="s">
        <v>58</v>
      </c>
      <c r="E170" s="26" t="s">
        <v>80</v>
      </c>
      <c r="F170" s="26"/>
      <c r="G170" s="26" t="s">
        <v>426</v>
      </c>
      <c r="H170" s="26" t="s">
        <v>428</v>
      </c>
      <c r="I170" s="55">
        <v>750</v>
      </c>
      <c r="J170" s="26" t="s">
        <v>427</v>
      </c>
      <c r="K170" s="45">
        <v>46090</v>
      </c>
      <c r="L170" s="48" t="s">
        <v>14</v>
      </c>
      <c r="M170" s="80" t="s">
        <v>197</v>
      </c>
      <c r="N170" s="26">
        <v>2026</v>
      </c>
    </row>
    <row r="171" spans="1:14">
      <c r="A171" s="26">
        <v>170</v>
      </c>
      <c r="B171" s="51" t="s">
        <v>59</v>
      </c>
      <c r="C171" s="51" t="s">
        <v>60</v>
      </c>
      <c r="D171" s="26" t="s">
        <v>19</v>
      </c>
      <c r="E171" s="26" t="s">
        <v>82</v>
      </c>
      <c r="F171" s="26"/>
      <c r="G171" s="26" t="s">
        <v>89</v>
      </c>
      <c r="H171" s="26" t="s">
        <v>86</v>
      </c>
      <c r="I171" s="50">
        <v>2080</v>
      </c>
      <c r="J171" s="26" t="s">
        <v>14</v>
      </c>
      <c r="K171" s="45" t="s">
        <v>14</v>
      </c>
      <c r="L171" s="26" t="s">
        <v>14</v>
      </c>
      <c r="M171" s="132" t="s">
        <v>197</v>
      </c>
      <c r="N171" s="26">
        <v>2026</v>
      </c>
    </row>
    <row r="172" spans="1:14">
      <c r="A172" s="26">
        <v>171</v>
      </c>
      <c r="B172" s="26" t="s">
        <v>17</v>
      </c>
      <c r="C172" s="51" t="s">
        <v>23</v>
      </c>
      <c r="D172" s="26" t="s">
        <v>19</v>
      </c>
      <c r="E172" s="26" t="s">
        <v>82</v>
      </c>
      <c r="F172" s="26"/>
      <c r="G172" s="26" t="s">
        <v>89</v>
      </c>
      <c r="H172" s="26" t="s">
        <v>86</v>
      </c>
      <c r="I172" s="50">
        <v>1620</v>
      </c>
      <c r="J172" s="26" t="s">
        <v>14</v>
      </c>
      <c r="K172" s="45" t="s">
        <v>14</v>
      </c>
      <c r="L172" s="26" t="s">
        <v>14</v>
      </c>
      <c r="M172" s="132" t="s">
        <v>197</v>
      </c>
      <c r="N172" s="26">
        <v>2026</v>
      </c>
    </row>
    <row r="173" spans="1:14">
      <c r="A173" s="26">
        <v>172</v>
      </c>
      <c r="B173" s="43" t="s">
        <v>52</v>
      </c>
      <c r="C173" s="26" t="s">
        <v>53</v>
      </c>
      <c r="D173" s="26" t="s">
        <v>19</v>
      </c>
      <c r="E173" s="26" t="s">
        <v>82</v>
      </c>
      <c r="F173" s="26"/>
      <c r="G173" s="80" t="s">
        <v>85</v>
      </c>
      <c r="H173" s="80" t="s">
        <v>264</v>
      </c>
      <c r="I173" s="50">
        <v>31874.999935064934</v>
      </c>
      <c r="J173" s="26" t="s">
        <v>14</v>
      </c>
      <c r="K173" s="45" t="s">
        <v>14</v>
      </c>
      <c r="L173" s="26" t="s">
        <v>14</v>
      </c>
      <c r="M173" s="132" t="s">
        <v>197</v>
      </c>
      <c r="N173" s="26">
        <v>2026</v>
      </c>
    </row>
    <row r="174" spans="1:14">
      <c r="A174" s="26">
        <v>173</v>
      </c>
      <c r="B174" s="43" t="s">
        <v>40</v>
      </c>
      <c r="C174" s="26" t="s">
        <v>41</v>
      </c>
      <c r="D174" s="26" t="s">
        <v>19</v>
      </c>
      <c r="E174" s="26" t="s">
        <v>82</v>
      </c>
      <c r="F174" s="26"/>
      <c r="G174" s="80" t="s">
        <v>85</v>
      </c>
      <c r="H174" s="80" t="s">
        <v>264</v>
      </c>
      <c r="I174" s="50">
        <v>2405.0949155844155</v>
      </c>
      <c r="J174" s="26" t="s">
        <v>14</v>
      </c>
      <c r="K174" s="45" t="s">
        <v>14</v>
      </c>
      <c r="L174" s="26" t="s">
        <v>14</v>
      </c>
      <c r="M174" s="132" t="s">
        <v>197</v>
      </c>
      <c r="N174" s="26">
        <v>2026</v>
      </c>
    </row>
    <row r="175" spans="1:14">
      <c r="A175" s="26">
        <v>174</v>
      </c>
      <c r="B175" s="43" t="s">
        <v>33</v>
      </c>
      <c r="C175" s="26" t="s">
        <v>34</v>
      </c>
      <c r="D175" s="26" t="s">
        <v>19</v>
      </c>
      <c r="E175" s="26" t="s">
        <v>82</v>
      </c>
      <c r="F175" s="26"/>
      <c r="G175" s="80" t="s">
        <v>85</v>
      </c>
      <c r="H175" s="80" t="s">
        <v>264</v>
      </c>
      <c r="I175" s="50">
        <v>239.76024025974027</v>
      </c>
      <c r="J175" s="26" t="s">
        <v>14</v>
      </c>
      <c r="K175" s="45" t="s">
        <v>14</v>
      </c>
      <c r="L175" s="26" t="s">
        <v>14</v>
      </c>
      <c r="M175" s="132" t="s">
        <v>197</v>
      </c>
      <c r="N175" s="26">
        <v>2026</v>
      </c>
    </row>
    <row r="176" spans="1:14">
      <c r="A176" s="26">
        <v>175</v>
      </c>
      <c r="B176" s="43" t="s">
        <v>40</v>
      </c>
      <c r="C176" s="26" t="s">
        <v>42</v>
      </c>
      <c r="D176" s="26" t="s">
        <v>19</v>
      </c>
      <c r="E176" s="26" t="s">
        <v>82</v>
      </c>
      <c r="F176" s="26"/>
      <c r="G176" s="80" t="s">
        <v>85</v>
      </c>
      <c r="H176" s="80" t="s">
        <v>264</v>
      </c>
      <c r="I176" s="50">
        <v>571.21940259740256</v>
      </c>
      <c r="J176" s="26" t="s">
        <v>14</v>
      </c>
      <c r="K176" s="45" t="s">
        <v>14</v>
      </c>
      <c r="L176" s="26" t="s">
        <v>14</v>
      </c>
      <c r="M176" s="132" t="s">
        <v>197</v>
      </c>
      <c r="N176" s="26">
        <v>2026</v>
      </c>
    </row>
    <row r="177" spans="1:14">
      <c r="A177" s="26">
        <v>176</v>
      </c>
      <c r="B177" s="43" t="s">
        <v>40</v>
      </c>
      <c r="C177" s="26" t="s">
        <v>43</v>
      </c>
      <c r="D177" s="26" t="s">
        <v>19</v>
      </c>
      <c r="E177" s="26" t="s">
        <v>82</v>
      </c>
      <c r="F177" s="26"/>
      <c r="G177" s="80" t="s">
        <v>85</v>
      </c>
      <c r="H177" s="80" t="s">
        <v>264</v>
      </c>
      <c r="I177" s="50">
        <v>11933.316720779221</v>
      </c>
      <c r="J177" s="26" t="s">
        <v>14</v>
      </c>
      <c r="K177" s="45" t="s">
        <v>14</v>
      </c>
      <c r="L177" s="26" t="s">
        <v>14</v>
      </c>
      <c r="M177" s="132" t="s">
        <v>197</v>
      </c>
      <c r="N177" s="26">
        <v>2026</v>
      </c>
    </row>
    <row r="178" spans="1:14">
      <c r="A178" s="26">
        <v>177</v>
      </c>
      <c r="B178" s="43" t="s">
        <v>31</v>
      </c>
      <c r="C178" s="26" t="s">
        <v>32</v>
      </c>
      <c r="D178" s="26" t="s">
        <v>19</v>
      </c>
      <c r="E178" s="26" t="s">
        <v>82</v>
      </c>
      <c r="F178" s="26"/>
      <c r="G178" s="80" t="s">
        <v>85</v>
      </c>
      <c r="H178" s="80" t="s">
        <v>264</v>
      </c>
      <c r="I178" s="50">
        <v>6964.1608311688306</v>
      </c>
      <c r="J178" s="26" t="s">
        <v>14</v>
      </c>
      <c r="K178" s="45" t="s">
        <v>14</v>
      </c>
      <c r="L178" s="26" t="s">
        <v>14</v>
      </c>
      <c r="M178" s="132" t="s">
        <v>197</v>
      </c>
      <c r="N178" s="26">
        <v>2026</v>
      </c>
    </row>
    <row r="179" spans="1:14">
      <c r="A179" s="26">
        <v>178</v>
      </c>
      <c r="B179" s="43" t="s">
        <v>50</v>
      </c>
      <c r="C179" s="26" t="s">
        <v>60</v>
      </c>
      <c r="D179" s="26" t="s">
        <v>19</v>
      </c>
      <c r="E179" s="26" t="s">
        <v>82</v>
      </c>
      <c r="F179" s="26"/>
      <c r="G179" s="80" t="s">
        <v>85</v>
      </c>
      <c r="H179" s="80" t="s">
        <v>264</v>
      </c>
      <c r="I179" s="50">
        <v>30426.074032467532</v>
      </c>
      <c r="J179" s="26" t="s">
        <v>14</v>
      </c>
      <c r="K179" s="45" t="s">
        <v>14</v>
      </c>
      <c r="L179" s="26" t="s">
        <v>14</v>
      </c>
      <c r="M179" s="132" t="s">
        <v>197</v>
      </c>
      <c r="N179" s="26">
        <v>2026</v>
      </c>
    </row>
    <row r="180" spans="1:14">
      <c r="A180" s="26">
        <v>179</v>
      </c>
      <c r="B180" s="43" t="s">
        <v>17</v>
      </c>
      <c r="C180" s="26" t="s">
        <v>22</v>
      </c>
      <c r="D180" s="26" t="s">
        <v>19</v>
      </c>
      <c r="E180" s="26" t="s">
        <v>82</v>
      </c>
      <c r="F180" s="26"/>
      <c r="G180" s="80" t="s">
        <v>85</v>
      </c>
      <c r="H180" s="80" t="s">
        <v>264</v>
      </c>
      <c r="I180" s="50">
        <v>217.28271428571429</v>
      </c>
      <c r="J180" s="26" t="s">
        <v>14</v>
      </c>
      <c r="K180" s="45" t="s">
        <v>14</v>
      </c>
      <c r="L180" s="26" t="s">
        <v>14</v>
      </c>
      <c r="M180" s="132" t="s">
        <v>197</v>
      </c>
      <c r="N180" s="26">
        <v>2026</v>
      </c>
    </row>
    <row r="181" spans="1:14">
      <c r="A181" s="26">
        <v>180</v>
      </c>
      <c r="B181" s="43" t="s">
        <v>40</v>
      </c>
      <c r="C181" s="26" t="s">
        <v>45</v>
      </c>
      <c r="D181" s="26" t="s">
        <v>19</v>
      </c>
      <c r="E181" s="26" t="s">
        <v>82</v>
      </c>
      <c r="F181" s="26"/>
      <c r="G181" s="127" t="s">
        <v>85</v>
      </c>
      <c r="H181" s="80" t="s">
        <v>264</v>
      </c>
      <c r="I181" s="50">
        <v>772.85215584415585</v>
      </c>
      <c r="J181" s="26" t="s">
        <v>14</v>
      </c>
      <c r="K181" s="45" t="s">
        <v>14</v>
      </c>
      <c r="L181" s="26" t="s">
        <v>14</v>
      </c>
      <c r="M181" s="132" t="s">
        <v>197</v>
      </c>
      <c r="N181" s="26">
        <v>2026</v>
      </c>
    </row>
    <row r="182" spans="1:14">
      <c r="A182" s="26">
        <v>181</v>
      </c>
      <c r="B182" s="43" t="s">
        <v>40</v>
      </c>
      <c r="C182" s="26" t="s">
        <v>247</v>
      </c>
      <c r="D182" s="26" t="s">
        <v>19</v>
      </c>
      <c r="E182" s="26" t="s">
        <v>82</v>
      </c>
      <c r="F182" s="26"/>
      <c r="G182" s="127" t="s">
        <v>85</v>
      </c>
      <c r="H182" s="80" t="s">
        <v>264</v>
      </c>
      <c r="I182" s="50">
        <v>1421.9842662337662</v>
      </c>
      <c r="J182" s="26" t="s">
        <v>14</v>
      </c>
      <c r="K182" s="45" t="s">
        <v>14</v>
      </c>
      <c r="L182" s="26" t="s">
        <v>14</v>
      </c>
      <c r="M182" s="132" t="s">
        <v>197</v>
      </c>
      <c r="N182" s="26">
        <v>2026</v>
      </c>
    </row>
    <row r="183" spans="1:14">
      <c r="A183" s="26">
        <v>182</v>
      </c>
      <c r="B183" s="43" t="s">
        <v>40</v>
      </c>
      <c r="C183" s="26" t="s">
        <v>48</v>
      </c>
      <c r="D183" s="26" t="s">
        <v>19</v>
      </c>
      <c r="E183" s="26" t="s">
        <v>82</v>
      </c>
      <c r="F183" s="26"/>
      <c r="G183" s="132" t="s">
        <v>85</v>
      </c>
      <c r="H183" s="80" t="s">
        <v>264</v>
      </c>
      <c r="I183" s="50">
        <v>21335.82051948052</v>
      </c>
      <c r="J183" s="26" t="s">
        <v>14</v>
      </c>
      <c r="K183" s="45" t="s">
        <v>14</v>
      </c>
      <c r="L183" s="26" t="s">
        <v>14</v>
      </c>
      <c r="M183" s="132" t="s">
        <v>197</v>
      </c>
      <c r="N183" s="26">
        <v>2026</v>
      </c>
    </row>
    <row r="184" spans="1:14">
      <c r="A184" s="26">
        <v>183</v>
      </c>
      <c r="B184" s="43" t="s">
        <v>17</v>
      </c>
      <c r="C184" s="26" t="s">
        <v>25</v>
      </c>
      <c r="D184" s="26" t="s">
        <v>19</v>
      </c>
      <c r="E184" s="26" t="s">
        <v>82</v>
      </c>
      <c r="F184" s="26"/>
      <c r="G184" s="132" t="s">
        <v>85</v>
      </c>
      <c r="H184" s="80" t="s">
        <v>264</v>
      </c>
      <c r="I184" s="50">
        <v>1873.7824675324675</v>
      </c>
      <c r="J184" s="26" t="s">
        <v>14</v>
      </c>
      <c r="K184" s="45" t="s">
        <v>14</v>
      </c>
      <c r="L184" s="26" t="s">
        <v>14</v>
      </c>
      <c r="M184" s="132" t="s">
        <v>197</v>
      </c>
      <c r="N184" s="26">
        <v>2026</v>
      </c>
    </row>
    <row r="185" spans="1:14">
      <c r="A185" s="26">
        <v>184</v>
      </c>
      <c r="B185" s="43" t="s">
        <v>17</v>
      </c>
      <c r="C185" s="26" t="s">
        <v>18</v>
      </c>
      <c r="D185" s="26" t="s">
        <v>19</v>
      </c>
      <c r="E185" s="26" t="s">
        <v>82</v>
      </c>
      <c r="F185" s="26"/>
      <c r="G185" s="43" t="s">
        <v>84</v>
      </c>
      <c r="H185" s="80" t="s">
        <v>264</v>
      </c>
      <c r="I185" s="50">
        <v>31379.495415584413</v>
      </c>
      <c r="J185" s="26" t="s">
        <v>14</v>
      </c>
      <c r="K185" s="45" t="s">
        <v>14</v>
      </c>
      <c r="L185" s="26" t="s">
        <v>14</v>
      </c>
      <c r="M185" s="132" t="s">
        <v>197</v>
      </c>
      <c r="N185" s="26">
        <v>2026</v>
      </c>
    </row>
    <row r="186" spans="1:14">
      <c r="A186" s="26">
        <v>185</v>
      </c>
      <c r="B186" s="43" t="s">
        <v>52</v>
      </c>
      <c r="C186" s="26" t="s">
        <v>53</v>
      </c>
      <c r="D186" s="26" t="s">
        <v>19</v>
      </c>
      <c r="E186" s="26" t="s">
        <v>82</v>
      </c>
      <c r="F186" s="26"/>
      <c r="G186" s="43" t="s">
        <v>84</v>
      </c>
      <c r="H186" s="80" t="s">
        <v>264</v>
      </c>
      <c r="I186" s="50">
        <v>196.92807142857143</v>
      </c>
      <c r="J186" s="26" t="s">
        <v>14</v>
      </c>
      <c r="K186" s="45" t="s">
        <v>14</v>
      </c>
      <c r="L186" s="26" t="s">
        <v>14</v>
      </c>
      <c r="M186" s="132" t="s">
        <v>197</v>
      </c>
      <c r="N186" s="26">
        <v>2026</v>
      </c>
    </row>
    <row r="187" spans="1:14">
      <c r="A187" s="26">
        <v>186</v>
      </c>
      <c r="B187" s="43" t="s">
        <v>33</v>
      </c>
      <c r="C187" s="26" t="s">
        <v>34</v>
      </c>
      <c r="D187" s="26" t="s">
        <v>19</v>
      </c>
      <c r="E187" s="26" t="s">
        <v>82</v>
      </c>
      <c r="F187" s="26"/>
      <c r="G187" s="43" t="s">
        <v>84</v>
      </c>
      <c r="H187" s="80" t="s">
        <v>264</v>
      </c>
      <c r="I187" s="50">
        <v>2657.3426493506495</v>
      </c>
      <c r="J187" s="26" t="s">
        <v>14</v>
      </c>
      <c r="K187" s="45" t="s">
        <v>14</v>
      </c>
      <c r="L187" s="26" t="s">
        <v>14</v>
      </c>
      <c r="M187" s="132" t="s">
        <v>197</v>
      </c>
      <c r="N187" s="26">
        <v>2026</v>
      </c>
    </row>
    <row r="188" spans="1:14">
      <c r="A188" s="26">
        <v>187</v>
      </c>
      <c r="B188" s="43" t="s">
        <v>33</v>
      </c>
      <c r="C188" s="26" t="s">
        <v>35</v>
      </c>
      <c r="D188" s="26" t="s">
        <v>19</v>
      </c>
      <c r="E188" s="26" t="s">
        <v>82</v>
      </c>
      <c r="F188" s="26"/>
      <c r="G188" s="43" t="s">
        <v>84</v>
      </c>
      <c r="H188" s="80" t="s">
        <v>264</v>
      </c>
      <c r="I188" s="50">
        <v>15359.140915584416</v>
      </c>
      <c r="J188" s="26" t="s">
        <v>14</v>
      </c>
      <c r="K188" s="45" t="s">
        <v>14</v>
      </c>
      <c r="L188" s="26" t="s">
        <v>14</v>
      </c>
      <c r="M188" s="132" t="s">
        <v>197</v>
      </c>
      <c r="N188" s="26">
        <v>2026</v>
      </c>
    </row>
    <row r="189" spans="1:14">
      <c r="A189" s="26">
        <v>188</v>
      </c>
      <c r="B189" s="43" t="s">
        <v>40</v>
      </c>
      <c r="C189" s="26" t="s">
        <v>43</v>
      </c>
      <c r="D189" s="26" t="s">
        <v>19</v>
      </c>
      <c r="E189" s="26" t="s">
        <v>82</v>
      </c>
      <c r="F189" s="26"/>
      <c r="G189" s="43" t="s">
        <v>84</v>
      </c>
      <c r="H189" s="80" t="s">
        <v>264</v>
      </c>
      <c r="I189" s="50">
        <v>22668.081740259742</v>
      </c>
      <c r="J189" s="26" t="s">
        <v>14</v>
      </c>
      <c r="K189" s="45" t="s">
        <v>14</v>
      </c>
      <c r="L189" s="26" t="s">
        <v>14</v>
      </c>
      <c r="M189" s="132" t="s">
        <v>197</v>
      </c>
      <c r="N189" s="26">
        <v>2026</v>
      </c>
    </row>
    <row r="190" spans="1:14">
      <c r="A190" s="26">
        <v>189</v>
      </c>
      <c r="B190" s="43" t="s">
        <v>50</v>
      </c>
      <c r="C190" s="26" t="s">
        <v>60</v>
      </c>
      <c r="D190" s="26" t="s">
        <v>19</v>
      </c>
      <c r="E190" s="26" t="s">
        <v>82</v>
      </c>
      <c r="F190" s="26"/>
      <c r="G190" s="43" t="s">
        <v>84</v>
      </c>
      <c r="H190" s="80" t="s">
        <v>264</v>
      </c>
      <c r="I190" s="50">
        <v>59794.886097402603</v>
      </c>
      <c r="J190" s="26" t="s">
        <v>14</v>
      </c>
      <c r="K190" s="45" t="s">
        <v>14</v>
      </c>
      <c r="L190" s="26" t="s">
        <v>14</v>
      </c>
      <c r="M190" s="132" t="s">
        <v>197</v>
      </c>
      <c r="N190" s="26">
        <v>2026</v>
      </c>
    </row>
    <row r="191" spans="1:14">
      <c r="A191" s="26">
        <v>190</v>
      </c>
      <c r="B191" s="43" t="s">
        <v>17</v>
      </c>
      <c r="C191" s="26" t="s">
        <v>22</v>
      </c>
      <c r="D191" s="26" t="s">
        <v>19</v>
      </c>
      <c r="E191" s="26" t="s">
        <v>82</v>
      </c>
      <c r="F191" s="26"/>
      <c r="G191" s="43" t="s">
        <v>84</v>
      </c>
      <c r="H191" s="80" t="s">
        <v>264</v>
      </c>
      <c r="I191" s="50">
        <v>27883.379064935063</v>
      </c>
      <c r="J191" s="26" t="s">
        <v>14</v>
      </c>
      <c r="K191" s="45" t="s">
        <v>14</v>
      </c>
      <c r="L191" s="26" t="s">
        <v>14</v>
      </c>
      <c r="M191" s="132" t="s">
        <v>197</v>
      </c>
      <c r="N191" s="26">
        <v>2026</v>
      </c>
    </row>
    <row r="192" spans="1:14">
      <c r="A192" s="26">
        <v>191</v>
      </c>
      <c r="B192" s="43" t="s">
        <v>40</v>
      </c>
      <c r="C192" s="26" t="s">
        <v>45</v>
      </c>
      <c r="D192" s="26" t="s">
        <v>19</v>
      </c>
      <c r="E192" s="26" t="s">
        <v>82</v>
      </c>
      <c r="F192" s="26"/>
      <c r="G192" s="43" t="s">
        <v>84</v>
      </c>
      <c r="H192" s="80" t="s">
        <v>245</v>
      </c>
      <c r="I192" s="50">
        <v>17840.284636363634</v>
      </c>
      <c r="J192" s="26" t="s">
        <v>14</v>
      </c>
      <c r="K192" s="45" t="s">
        <v>14</v>
      </c>
      <c r="L192" s="26" t="s">
        <v>14</v>
      </c>
      <c r="M192" s="132" t="s">
        <v>197</v>
      </c>
      <c r="N192" s="26">
        <v>2026</v>
      </c>
    </row>
    <row r="193" spans="1:14">
      <c r="A193" s="26">
        <v>192</v>
      </c>
      <c r="B193" s="43" t="s">
        <v>17</v>
      </c>
      <c r="C193" s="26" t="s">
        <v>400</v>
      </c>
      <c r="D193" s="26" t="s">
        <v>19</v>
      </c>
      <c r="E193" s="26" t="s">
        <v>82</v>
      </c>
      <c r="F193" s="26"/>
      <c r="G193" s="43" t="s">
        <v>84</v>
      </c>
      <c r="H193" s="80" t="s">
        <v>245</v>
      </c>
      <c r="I193" s="50">
        <v>30189.06087012987</v>
      </c>
      <c r="J193" s="26" t="s">
        <v>14</v>
      </c>
      <c r="K193" s="45" t="s">
        <v>14</v>
      </c>
      <c r="L193" s="26" t="s">
        <v>14</v>
      </c>
      <c r="M193" s="132" t="s">
        <v>197</v>
      </c>
      <c r="N193" s="26">
        <v>2026</v>
      </c>
    </row>
    <row r="194" spans="1:14">
      <c r="A194" s="26">
        <v>193</v>
      </c>
      <c r="B194" s="43" t="s">
        <v>40</v>
      </c>
      <c r="C194" s="26" t="s">
        <v>247</v>
      </c>
      <c r="D194" s="26" t="s">
        <v>19</v>
      </c>
      <c r="E194" s="26" t="s">
        <v>82</v>
      </c>
      <c r="F194" s="26"/>
      <c r="G194" s="43" t="s">
        <v>84</v>
      </c>
      <c r="H194" s="80" t="s">
        <v>245</v>
      </c>
      <c r="I194" s="50">
        <v>3219.280707792208</v>
      </c>
      <c r="J194" s="26" t="s">
        <v>14</v>
      </c>
      <c r="K194" s="45" t="s">
        <v>14</v>
      </c>
      <c r="L194" s="26" t="s">
        <v>14</v>
      </c>
      <c r="M194" s="132" t="s">
        <v>197</v>
      </c>
      <c r="N194" s="26">
        <v>2026</v>
      </c>
    </row>
    <row r="195" spans="1:14">
      <c r="A195" s="26">
        <v>194</v>
      </c>
      <c r="B195" s="43" t="s">
        <v>40</v>
      </c>
      <c r="C195" s="26" t="s">
        <v>48</v>
      </c>
      <c r="D195" s="26" t="s">
        <v>19</v>
      </c>
      <c r="E195" s="26" t="s">
        <v>82</v>
      </c>
      <c r="F195" s="26"/>
      <c r="G195" s="132" t="s">
        <v>84</v>
      </c>
      <c r="H195" s="80" t="s">
        <v>245</v>
      </c>
      <c r="I195" s="50">
        <v>28148.716233766234</v>
      </c>
      <c r="J195" s="26" t="s">
        <v>14</v>
      </c>
      <c r="K195" s="45" t="s">
        <v>14</v>
      </c>
      <c r="L195" s="26" t="s">
        <v>14</v>
      </c>
      <c r="M195" s="132" t="s">
        <v>197</v>
      </c>
      <c r="N195" s="26">
        <v>2026</v>
      </c>
    </row>
    <row r="196" spans="1:14">
      <c r="A196" s="26">
        <v>195</v>
      </c>
      <c r="B196" s="43" t="s">
        <v>40</v>
      </c>
      <c r="C196" s="26" t="s">
        <v>47</v>
      </c>
      <c r="D196" s="26" t="s">
        <v>19</v>
      </c>
      <c r="E196" s="26" t="s">
        <v>82</v>
      </c>
      <c r="F196" s="26"/>
      <c r="G196" s="132" t="s">
        <v>84</v>
      </c>
      <c r="H196" s="80" t="s">
        <v>245</v>
      </c>
      <c r="I196" s="50">
        <v>521.97801948051949</v>
      </c>
      <c r="J196" s="26" t="s">
        <v>14</v>
      </c>
      <c r="K196" s="45" t="s">
        <v>14</v>
      </c>
      <c r="L196" s="26" t="s">
        <v>14</v>
      </c>
      <c r="M196" s="132" t="s">
        <v>197</v>
      </c>
      <c r="N196" s="26">
        <v>2026</v>
      </c>
    </row>
    <row r="197" spans="1:14">
      <c r="A197" s="26">
        <v>196</v>
      </c>
      <c r="B197" s="43" t="s">
        <v>17</v>
      </c>
      <c r="C197" s="26" t="s">
        <v>25</v>
      </c>
      <c r="D197" s="26" t="s">
        <v>19</v>
      </c>
      <c r="E197" s="26" t="s">
        <v>82</v>
      </c>
      <c r="F197" s="26"/>
      <c r="G197" s="132" t="s">
        <v>84</v>
      </c>
      <c r="H197" s="80" t="s">
        <v>245</v>
      </c>
      <c r="I197" s="50">
        <v>81521.177214285708</v>
      </c>
      <c r="J197" s="26" t="s">
        <v>14</v>
      </c>
      <c r="K197" s="45" t="s">
        <v>14</v>
      </c>
      <c r="L197" s="26" t="s">
        <v>14</v>
      </c>
      <c r="M197" s="132" t="s">
        <v>197</v>
      </c>
      <c r="N197" s="26">
        <v>2026</v>
      </c>
    </row>
    <row r="198" spans="1:14">
      <c r="A198" s="26">
        <v>197</v>
      </c>
      <c r="B198" s="43" t="s">
        <v>17</v>
      </c>
      <c r="C198" s="26" t="s">
        <v>18</v>
      </c>
      <c r="D198" s="26" t="s">
        <v>19</v>
      </c>
      <c r="E198" s="26" t="s">
        <v>82</v>
      </c>
      <c r="F198" s="26"/>
      <c r="G198" s="43" t="s">
        <v>83</v>
      </c>
      <c r="H198" s="80" t="s">
        <v>245</v>
      </c>
      <c r="I198" s="50">
        <v>9879.6003376623376</v>
      </c>
      <c r="J198" s="26" t="s">
        <v>14</v>
      </c>
      <c r="K198" s="45" t="s">
        <v>14</v>
      </c>
      <c r="L198" s="26" t="s">
        <v>14</v>
      </c>
      <c r="M198" s="132" t="s">
        <v>197</v>
      </c>
      <c r="N198" s="26">
        <v>2026</v>
      </c>
    </row>
    <row r="199" spans="1:14">
      <c r="A199" s="26">
        <v>198</v>
      </c>
      <c r="B199" s="43" t="s">
        <v>52</v>
      </c>
      <c r="C199" s="26" t="s">
        <v>53</v>
      </c>
      <c r="D199" s="26" t="s">
        <v>19</v>
      </c>
      <c r="E199" s="26" t="s">
        <v>82</v>
      </c>
      <c r="F199" s="26"/>
      <c r="G199" s="43" t="s">
        <v>83</v>
      </c>
      <c r="H199" s="80" t="s">
        <v>245</v>
      </c>
      <c r="I199" s="50">
        <v>36203.264058441557</v>
      </c>
      <c r="J199" s="26" t="s">
        <v>14</v>
      </c>
      <c r="K199" s="45" t="s">
        <v>14</v>
      </c>
      <c r="L199" s="26" t="s">
        <v>14</v>
      </c>
      <c r="M199" s="132" t="s">
        <v>197</v>
      </c>
      <c r="N199" s="26">
        <v>2026</v>
      </c>
    </row>
    <row r="200" spans="1:14">
      <c r="A200" s="26">
        <v>199</v>
      </c>
      <c r="B200" s="43" t="s">
        <v>40</v>
      </c>
      <c r="C200" s="26" t="s">
        <v>41</v>
      </c>
      <c r="D200" s="26" t="s">
        <v>19</v>
      </c>
      <c r="E200" s="26" t="s">
        <v>82</v>
      </c>
      <c r="F200" s="26"/>
      <c r="G200" s="43" t="s">
        <v>83</v>
      </c>
      <c r="H200" s="80" t="s">
        <v>245</v>
      </c>
      <c r="I200" s="50">
        <v>11575.794084415586</v>
      </c>
      <c r="J200" s="26" t="s">
        <v>14</v>
      </c>
      <c r="K200" s="45" t="s">
        <v>14</v>
      </c>
      <c r="L200" s="26" t="s">
        <v>14</v>
      </c>
      <c r="M200" s="132" t="s">
        <v>197</v>
      </c>
      <c r="N200" s="26">
        <v>2026</v>
      </c>
    </row>
    <row r="201" spans="1:14">
      <c r="A201" s="26">
        <v>200</v>
      </c>
      <c r="B201" s="43" t="s">
        <v>288</v>
      </c>
      <c r="C201" s="26" t="s">
        <v>30</v>
      </c>
      <c r="D201" s="26" t="s">
        <v>19</v>
      </c>
      <c r="E201" s="26" t="s">
        <v>82</v>
      </c>
      <c r="F201" s="26"/>
      <c r="G201" s="43" t="s">
        <v>83</v>
      </c>
      <c r="H201" s="80" t="s">
        <v>245</v>
      </c>
      <c r="I201" s="50">
        <v>1498.5015064935064</v>
      </c>
      <c r="J201" s="26" t="s">
        <v>14</v>
      </c>
      <c r="K201" s="45" t="s">
        <v>14</v>
      </c>
      <c r="L201" s="26" t="s">
        <v>14</v>
      </c>
      <c r="M201" s="132" t="s">
        <v>197</v>
      </c>
      <c r="N201" s="26">
        <v>2026</v>
      </c>
    </row>
    <row r="202" spans="1:14">
      <c r="A202" s="26">
        <v>201</v>
      </c>
      <c r="B202" s="43" t="s">
        <v>33</v>
      </c>
      <c r="C202" s="26" t="s">
        <v>34</v>
      </c>
      <c r="D202" s="26" t="s">
        <v>19</v>
      </c>
      <c r="E202" s="26" t="s">
        <v>82</v>
      </c>
      <c r="F202" s="26"/>
      <c r="G202" s="43" t="s">
        <v>83</v>
      </c>
      <c r="H202" s="80" t="s">
        <v>245</v>
      </c>
      <c r="I202" s="50">
        <v>3066.9330259740264</v>
      </c>
      <c r="J202" s="26" t="s">
        <v>14</v>
      </c>
      <c r="K202" s="45" t="s">
        <v>14</v>
      </c>
      <c r="L202" s="26" t="s">
        <v>14</v>
      </c>
      <c r="M202" s="132" t="s">
        <v>197</v>
      </c>
      <c r="N202" s="26">
        <v>2026</v>
      </c>
    </row>
    <row r="203" spans="1:14">
      <c r="A203" s="26">
        <v>202</v>
      </c>
      <c r="B203" s="43" t="s">
        <v>33</v>
      </c>
      <c r="C203" s="26" t="s">
        <v>35</v>
      </c>
      <c r="D203" s="26" t="s">
        <v>19</v>
      </c>
      <c r="E203" s="26" t="s">
        <v>82</v>
      </c>
      <c r="F203" s="26"/>
      <c r="G203" s="43" t="s">
        <v>83</v>
      </c>
      <c r="H203" s="80" t="s">
        <v>245</v>
      </c>
      <c r="I203" s="50">
        <v>23242.627279220778</v>
      </c>
      <c r="J203" s="26" t="s">
        <v>14</v>
      </c>
      <c r="K203" s="45" t="s">
        <v>14</v>
      </c>
      <c r="L203" s="26" t="s">
        <v>14</v>
      </c>
      <c r="M203" s="132" t="s">
        <v>197</v>
      </c>
      <c r="N203" s="26">
        <v>2026</v>
      </c>
    </row>
    <row r="204" spans="1:14">
      <c r="A204" s="26">
        <v>203</v>
      </c>
      <c r="B204" s="43" t="s">
        <v>40</v>
      </c>
      <c r="C204" s="26" t="s">
        <v>42</v>
      </c>
      <c r="D204" s="26" t="s">
        <v>19</v>
      </c>
      <c r="E204" s="26" t="s">
        <v>82</v>
      </c>
      <c r="F204" s="26"/>
      <c r="G204" s="43" t="s">
        <v>83</v>
      </c>
      <c r="H204" s="80" t="s">
        <v>245</v>
      </c>
      <c r="I204" s="50">
        <v>23889.720207792205</v>
      </c>
      <c r="J204" s="26" t="s">
        <v>14</v>
      </c>
      <c r="K204" s="45" t="s">
        <v>14</v>
      </c>
      <c r="L204" s="26" t="s">
        <v>14</v>
      </c>
      <c r="M204" s="132" t="s">
        <v>197</v>
      </c>
      <c r="N204" s="26">
        <v>2026</v>
      </c>
    </row>
    <row r="205" spans="1:14">
      <c r="A205" s="26">
        <v>204</v>
      </c>
      <c r="B205" s="43" t="s">
        <v>40</v>
      </c>
      <c r="C205" s="26" t="s">
        <v>43</v>
      </c>
      <c r="D205" s="26" t="s">
        <v>19</v>
      </c>
      <c r="E205" s="26" t="s">
        <v>82</v>
      </c>
      <c r="F205" s="26"/>
      <c r="G205" s="43" t="s">
        <v>83</v>
      </c>
      <c r="H205" s="80" t="s">
        <v>245</v>
      </c>
      <c r="I205" s="50">
        <v>41991.508331168843</v>
      </c>
      <c r="J205" s="26" t="s">
        <v>14</v>
      </c>
      <c r="K205" s="45" t="s">
        <v>14</v>
      </c>
      <c r="L205" s="26" t="s">
        <v>14</v>
      </c>
      <c r="M205" s="132" t="s">
        <v>197</v>
      </c>
      <c r="N205" s="26">
        <v>2026</v>
      </c>
    </row>
    <row r="206" spans="1:14">
      <c r="A206" s="26">
        <v>205</v>
      </c>
      <c r="B206" s="43" t="s">
        <v>31</v>
      </c>
      <c r="C206" s="26" t="s">
        <v>32</v>
      </c>
      <c r="D206" s="26" t="s">
        <v>19</v>
      </c>
      <c r="E206" s="26" t="s">
        <v>82</v>
      </c>
      <c r="F206" s="26"/>
      <c r="G206" s="43" t="s">
        <v>83</v>
      </c>
      <c r="H206" s="80" t="s">
        <v>245</v>
      </c>
      <c r="I206" s="50">
        <v>9898.6013831168839</v>
      </c>
      <c r="J206" s="26" t="s">
        <v>14</v>
      </c>
      <c r="K206" s="45" t="s">
        <v>14</v>
      </c>
      <c r="L206" s="26" t="s">
        <v>14</v>
      </c>
      <c r="M206" s="132" t="s">
        <v>197</v>
      </c>
      <c r="N206" s="26">
        <v>2026</v>
      </c>
    </row>
    <row r="207" spans="1:14">
      <c r="A207" s="26">
        <v>206</v>
      </c>
      <c r="B207" s="43" t="s">
        <v>50</v>
      </c>
      <c r="C207" s="26" t="s">
        <v>60</v>
      </c>
      <c r="D207" s="26" t="s">
        <v>19</v>
      </c>
      <c r="E207" s="26" t="s">
        <v>82</v>
      </c>
      <c r="F207" s="26"/>
      <c r="G207" s="43" t="s">
        <v>83</v>
      </c>
      <c r="H207" s="80" t="s">
        <v>245</v>
      </c>
      <c r="I207" s="50">
        <v>168677.55499350649</v>
      </c>
      <c r="J207" s="26" t="s">
        <v>14</v>
      </c>
      <c r="K207" s="45" t="s">
        <v>14</v>
      </c>
      <c r="L207" s="26" t="s">
        <v>14</v>
      </c>
      <c r="M207" s="132" t="s">
        <v>197</v>
      </c>
      <c r="N207" s="26">
        <v>2026</v>
      </c>
    </row>
    <row r="208" spans="1:14">
      <c r="A208" s="26">
        <v>207</v>
      </c>
      <c r="B208" s="43" t="s">
        <v>56</v>
      </c>
      <c r="C208" s="26" t="s">
        <v>57</v>
      </c>
      <c r="D208" s="26" t="s">
        <v>19</v>
      </c>
      <c r="E208" s="26" t="s">
        <v>82</v>
      </c>
      <c r="F208" s="26"/>
      <c r="G208" s="43" t="s">
        <v>83</v>
      </c>
      <c r="H208" s="80" t="s">
        <v>245</v>
      </c>
      <c r="I208" s="50">
        <v>3564.4354870129873</v>
      </c>
      <c r="J208" s="26" t="s">
        <v>14</v>
      </c>
      <c r="K208" s="45" t="s">
        <v>14</v>
      </c>
      <c r="L208" s="26" t="s">
        <v>14</v>
      </c>
      <c r="M208" s="132" t="s">
        <v>197</v>
      </c>
      <c r="N208" s="26">
        <v>2026</v>
      </c>
    </row>
    <row r="209" spans="1:14">
      <c r="A209" s="26">
        <v>208</v>
      </c>
      <c r="B209" s="43" t="s">
        <v>17</v>
      </c>
      <c r="C209" s="26" t="s">
        <v>22</v>
      </c>
      <c r="D209" s="26" t="s">
        <v>19</v>
      </c>
      <c r="E209" s="26" t="s">
        <v>82</v>
      </c>
      <c r="F209" s="26"/>
      <c r="G209" s="43" t="s">
        <v>83</v>
      </c>
      <c r="H209" s="80" t="s">
        <v>245</v>
      </c>
      <c r="I209" s="50">
        <v>3224.2756818181815</v>
      </c>
      <c r="J209" s="26" t="s">
        <v>14</v>
      </c>
      <c r="K209" s="45" t="s">
        <v>14</v>
      </c>
      <c r="L209" s="26" t="s">
        <v>14</v>
      </c>
      <c r="M209" s="132" t="s">
        <v>197</v>
      </c>
      <c r="N209" s="26">
        <v>2026</v>
      </c>
    </row>
    <row r="210" spans="1:14">
      <c r="A210" s="26">
        <v>209</v>
      </c>
      <c r="B210" s="43" t="s">
        <v>40</v>
      </c>
      <c r="C210" s="26" t="s">
        <v>44</v>
      </c>
      <c r="D210" s="26" t="s">
        <v>19</v>
      </c>
      <c r="E210" s="26" t="s">
        <v>82</v>
      </c>
      <c r="F210" s="26"/>
      <c r="G210" s="43" t="s">
        <v>83</v>
      </c>
      <c r="H210" s="80" t="s">
        <v>245</v>
      </c>
      <c r="I210" s="50">
        <v>159.84015584415584</v>
      </c>
      <c r="J210" s="26" t="s">
        <v>14</v>
      </c>
      <c r="K210" s="45" t="s">
        <v>14</v>
      </c>
      <c r="L210" s="26" t="s">
        <v>14</v>
      </c>
      <c r="M210" s="132" t="s">
        <v>197</v>
      </c>
      <c r="N210" s="26">
        <v>2026</v>
      </c>
    </row>
    <row r="211" spans="1:14">
      <c r="A211" s="26">
        <v>210</v>
      </c>
      <c r="B211" s="43" t="s">
        <v>40</v>
      </c>
      <c r="C211" s="26" t="s">
        <v>45</v>
      </c>
      <c r="D211" s="26" t="s">
        <v>19</v>
      </c>
      <c r="E211" s="26" t="s">
        <v>82</v>
      </c>
      <c r="F211" s="26"/>
      <c r="G211" s="43" t="s">
        <v>83</v>
      </c>
      <c r="H211" s="80" t="s">
        <v>245</v>
      </c>
      <c r="I211" s="50">
        <v>20631.782077922078</v>
      </c>
      <c r="J211" s="26" t="s">
        <v>14</v>
      </c>
      <c r="K211" s="45" t="s">
        <v>14</v>
      </c>
      <c r="L211" s="26" t="s">
        <v>14</v>
      </c>
      <c r="M211" s="132" t="s">
        <v>197</v>
      </c>
      <c r="N211" s="26">
        <v>2026</v>
      </c>
    </row>
    <row r="212" spans="1:14">
      <c r="A212" s="26">
        <v>211</v>
      </c>
      <c r="B212" s="43" t="s">
        <v>17</v>
      </c>
      <c r="C212" s="26" t="s">
        <v>400</v>
      </c>
      <c r="D212" s="26" t="s">
        <v>19</v>
      </c>
      <c r="E212" s="26" t="s">
        <v>82</v>
      </c>
      <c r="F212" s="26"/>
      <c r="G212" s="43" t="s">
        <v>83</v>
      </c>
      <c r="H212" s="80" t="s">
        <v>245</v>
      </c>
      <c r="I212" s="50">
        <v>9627.3725454545456</v>
      </c>
      <c r="J212" s="26" t="s">
        <v>14</v>
      </c>
      <c r="K212" s="45" t="s">
        <v>14</v>
      </c>
      <c r="L212" s="26" t="s">
        <v>14</v>
      </c>
      <c r="M212" s="132" t="s">
        <v>197</v>
      </c>
      <c r="N212" s="26">
        <v>2026</v>
      </c>
    </row>
    <row r="213" spans="1:14">
      <c r="A213" s="26">
        <v>212</v>
      </c>
      <c r="B213" s="43" t="s">
        <v>40</v>
      </c>
      <c r="C213" s="26" t="s">
        <v>247</v>
      </c>
      <c r="D213" s="26" t="s">
        <v>19</v>
      </c>
      <c r="E213" s="26" t="s">
        <v>82</v>
      </c>
      <c r="F213" s="26"/>
      <c r="G213" s="43" t="s">
        <v>83</v>
      </c>
      <c r="H213" s="80" t="s">
        <v>245</v>
      </c>
      <c r="I213" s="50">
        <v>40236.263701298703</v>
      </c>
      <c r="J213" s="26" t="s">
        <v>14</v>
      </c>
      <c r="K213" s="45" t="s">
        <v>14</v>
      </c>
      <c r="L213" s="26" t="s">
        <v>14</v>
      </c>
      <c r="M213" s="132" t="s">
        <v>197</v>
      </c>
      <c r="N213" s="26">
        <v>2026</v>
      </c>
    </row>
    <row r="214" spans="1:14">
      <c r="A214" s="26">
        <v>213</v>
      </c>
      <c r="B214" s="43" t="s">
        <v>40</v>
      </c>
      <c r="C214" s="26" t="s">
        <v>48</v>
      </c>
      <c r="D214" s="26" t="s">
        <v>19</v>
      </c>
      <c r="E214" s="26" t="s">
        <v>82</v>
      </c>
      <c r="F214" s="26"/>
      <c r="G214" s="43" t="s">
        <v>83</v>
      </c>
      <c r="H214" s="80" t="s">
        <v>245</v>
      </c>
      <c r="I214" s="50">
        <v>28443.806045454548</v>
      </c>
      <c r="J214" s="26" t="s">
        <v>14</v>
      </c>
      <c r="K214" s="45" t="s">
        <v>14</v>
      </c>
      <c r="L214" s="26" t="s">
        <v>14</v>
      </c>
      <c r="M214" s="132" t="s">
        <v>197</v>
      </c>
      <c r="N214" s="26">
        <v>2026</v>
      </c>
    </row>
    <row r="215" spans="1:14">
      <c r="A215" s="26">
        <v>214</v>
      </c>
      <c r="B215" s="43" t="s">
        <v>40</v>
      </c>
      <c r="C215" s="26" t="s">
        <v>47</v>
      </c>
      <c r="D215" s="26" t="s">
        <v>19</v>
      </c>
      <c r="E215" s="26" t="s">
        <v>82</v>
      </c>
      <c r="F215" s="26"/>
      <c r="G215" s="43" t="s">
        <v>83</v>
      </c>
      <c r="H215" s="80" t="s">
        <v>245</v>
      </c>
      <c r="I215" s="50">
        <v>5157.9120649350652</v>
      </c>
      <c r="J215" s="26" t="s">
        <v>14</v>
      </c>
      <c r="K215" s="45" t="s">
        <v>14</v>
      </c>
      <c r="L215" s="26" t="s">
        <v>14</v>
      </c>
      <c r="M215" s="132" t="s">
        <v>197</v>
      </c>
      <c r="N215" s="26">
        <v>2026</v>
      </c>
    </row>
    <row r="216" spans="1:14">
      <c r="A216" s="26">
        <v>215</v>
      </c>
      <c r="B216" s="43" t="s">
        <v>17</v>
      </c>
      <c r="C216" s="26" t="s">
        <v>25</v>
      </c>
      <c r="D216" s="26" t="s">
        <v>19</v>
      </c>
      <c r="E216" s="26" t="s">
        <v>82</v>
      </c>
      <c r="F216" s="26"/>
      <c r="G216" s="43" t="s">
        <v>83</v>
      </c>
      <c r="H216" s="80" t="s">
        <v>245</v>
      </c>
      <c r="I216" s="50">
        <v>9855.144766233765</v>
      </c>
      <c r="J216" s="26" t="s">
        <v>14</v>
      </c>
      <c r="K216" s="45" t="s">
        <v>14</v>
      </c>
      <c r="L216" s="26" t="s">
        <v>14</v>
      </c>
      <c r="M216" s="132" t="s">
        <v>197</v>
      </c>
      <c r="N216" s="26">
        <v>2026</v>
      </c>
    </row>
    <row r="217" spans="1:14">
      <c r="A217" s="26">
        <v>216</v>
      </c>
      <c r="B217" s="43" t="s">
        <v>17</v>
      </c>
      <c r="C217" s="26" t="s">
        <v>18</v>
      </c>
      <c r="D217" s="26" t="s">
        <v>19</v>
      </c>
      <c r="E217" s="26" t="s">
        <v>82</v>
      </c>
      <c r="F217" s="26"/>
      <c r="G217" s="80" t="s">
        <v>84</v>
      </c>
      <c r="H217" s="80" t="s">
        <v>86</v>
      </c>
      <c r="I217" s="50">
        <v>20130.97264935065</v>
      </c>
      <c r="J217" s="26" t="s">
        <v>14</v>
      </c>
      <c r="K217" s="45" t="s">
        <v>14</v>
      </c>
      <c r="L217" s="26" t="s">
        <v>14</v>
      </c>
      <c r="M217" s="132" t="s">
        <v>197</v>
      </c>
      <c r="N217" s="26">
        <v>2026</v>
      </c>
    </row>
    <row r="218" spans="1:14">
      <c r="A218" s="26">
        <v>217</v>
      </c>
      <c r="B218" s="26" t="s">
        <v>52</v>
      </c>
      <c r="C218" s="26" t="s">
        <v>53</v>
      </c>
      <c r="D218" s="26" t="s">
        <v>19</v>
      </c>
      <c r="E218" s="26" t="s">
        <v>82</v>
      </c>
      <c r="F218" s="26"/>
      <c r="G218" s="60" t="s">
        <v>84</v>
      </c>
      <c r="H218" s="80" t="s">
        <v>86</v>
      </c>
      <c r="I218" s="50">
        <v>13603.896103896104</v>
      </c>
      <c r="J218" s="26" t="s">
        <v>14</v>
      </c>
      <c r="K218" s="45" t="s">
        <v>14</v>
      </c>
      <c r="L218" s="26" t="s">
        <v>14</v>
      </c>
      <c r="M218" s="132" t="s">
        <v>197</v>
      </c>
      <c r="N218" s="26">
        <v>2026</v>
      </c>
    </row>
    <row r="219" spans="1:14">
      <c r="A219" s="26">
        <v>218</v>
      </c>
      <c r="B219" s="26" t="s">
        <v>40</v>
      </c>
      <c r="C219" s="26" t="s">
        <v>41</v>
      </c>
      <c r="D219" s="26" t="s">
        <v>19</v>
      </c>
      <c r="E219" s="26" t="s">
        <v>82</v>
      </c>
      <c r="F219" s="26"/>
      <c r="G219" s="60" t="s">
        <v>84</v>
      </c>
      <c r="H219" s="80" t="s">
        <v>86</v>
      </c>
      <c r="I219" s="50">
        <v>1883.1168831168832</v>
      </c>
      <c r="J219" s="26" t="s">
        <v>14</v>
      </c>
      <c r="K219" s="45" t="s">
        <v>14</v>
      </c>
      <c r="L219" s="26" t="s">
        <v>14</v>
      </c>
      <c r="M219" s="132" t="s">
        <v>197</v>
      </c>
      <c r="N219" s="26">
        <v>2026</v>
      </c>
    </row>
    <row r="220" spans="1:14">
      <c r="A220" s="26">
        <v>219</v>
      </c>
      <c r="B220" s="26" t="s">
        <v>33</v>
      </c>
      <c r="C220" s="26" t="s">
        <v>34</v>
      </c>
      <c r="D220" s="26" t="s">
        <v>19</v>
      </c>
      <c r="E220" s="26" t="s">
        <v>82</v>
      </c>
      <c r="F220" s="26"/>
      <c r="G220" s="60" t="s">
        <v>84</v>
      </c>
      <c r="H220" s="80" t="s">
        <v>86</v>
      </c>
      <c r="I220" s="50">
        <v>2077.9220779220777</v>
      </c>
      <c r="J220" s="26" t="s">
        <v>14</v>
      </c>
      <c r="K220" s="45" t="s">
        <v>14</v>
      </c>
      <c r="L220" s="26" t="s">
        <v>14</v>
      </c>
      <c r="M220" s="132" t="s">
        <v>197</v>
      </c>
      <c r="N220" s="26">
        <v>2026</v>
      </c>
    </row>
    <row r="221" spans="1:14">
      <c r="A221" s="26">
        <v>220</v>
      </c>
      <c r="B221" s="26" t="s">
        <v>33</v>
      </c>
      <c r="C221" s="26" t="s">
        <v>35</v>
      </c>
      <c r="D221" s="26" t="s">
        <v>19</v>
      </c>
      <c r="E221" s="26" t="s">
        <v>82</v>
      </c>
      <c r="F221" s="26"/>
      <c r="G221" s="60" t="s">
        <v>84</v>
      </c>
      <c r="H221" s="80" t="s">
        <v>86</v>
      </c>
      <c r="I221" s="50">
        <v>7532.4675324675327</v>
      </c>
      <c r="J221" s="26" t="s">
        <v>14</v>
      </c>
      <c r="K221" s="45" t="s">
        <v>14</v>
      </c>
      <c r="L221" s="26" t="s">
        <v>14</v>
      </c>
      <c r="M221" s="132" t="s">
        <v>197</v>
      </c>
      <c r="N221" s="26">
        <v>2026</v>
      </c>
    </row>
    <row r="222" spans="1:14">
      <c r="A222" s="26">
        <v>221</v>
      </c>
      <c r="B222" s="26" t="s">
        <v>40</v>
      </c>
      <c r="C222" s="26" t="s">
        <v>43</v>
      </c>
      <c r="D222" s="26" t="s">
        <v>19</v>
      </c>
      <c r="E222" s="26" t="s">
        <v>82</v>
      </c>
      <c r="F222" s="26"/>
      <c r="G222" s="60" t="s">
        <v>84</v>
      </c>
      <c r="H222" s="80" t="s">
        <v>86</v>
      </c>
      <c r="I222" s="50">
        <v>6990.5095194805199</v>
      </c>
      <c r="J222" s="26" t="s">
        <v>14</v>
      </c>
      <c r="K222" s="45" t="s">
        <v>14</v>
      </c>
      <c r="L222" s="26" t="s">
        <v>14</v>
      </c>
      <c r="M222" s="132" t="s">
        <v>197</v>
      </c>
      <c r="N222" s="26">
        <v>2026</v>
      </c>
    </row>
    <row r="223" spans="1:14">
      <c r="A223" s="26">
        <v>222</v>
      </c>
      <c r="B223" s="26" t="s">
        <v>31</v>
      </c>
      <c r="C223" s="26" t="s">
        <v>32</v>
      </c>
      <c r="D223" s="26" t="s">
        <v>19</v>
      </c>
      <c r="E223" s="26" t="s">
        <v>82</v>
      </c>
      <c r="F223" s="26"/>
      <c r="G223" s="60" t="s">
        <v>84</v>
      </c>
      <c r="H223" s="80" t="s">
        <v>86</v>
      </c>
      <c r="I223" s="50">
        <v>11943.057012987014</v>
      </c>
      <c r="J223" s="26" t="s">
        <v>14</v>
      </c>
      <c r="K223" s="45" t="s">
        <v>14</v>
      </c>
      <c r="L223" s="26" t="s">
        <v>14</v>
      </c>
      <c r="M223" s="132" t="s">
        <v>197</v>
      </c>
      <c r="N223" s="26">
        <v>2026</v>
      </c>
    </row>
    <row r="224" spans="1:14">
      <c r="A224" s="26">
        <v>223</v>
      </c>
      <c r="B224" s="26" t="s">
        <v>50</v>
      </c>
      <c r="C224" s="26" t="s">
        <v>60</v>
      </c>
      <c r="D224" s="26" t="s">
        <v>19</v>
      </c>
      <c r="E224" s="26" t="s">
        <v>82</v>
      </c>
      <c r="F224" s="26"/>
      <c r="G224" s="60" t="s">
        <v>84</v>
      </c>
      <c r="H224" s="80" t="s">
        <v>86</v>
      </c>
      <c r="I224" s="50">
        <v>17631.454662337663</v>
      </c>
      <c r="J224" s="26" t="s">
        <v>14</v>
      </c>
      <c r="K224" s="45" t="s">
        <v>14</v>
      </c>
      <c r="L224" s="26" t="s">
        <v>14</v>
      </c>
      <c r="M224" s="132" t="s">
        <v>197</v>
      </c>
      <c r="N224" s="26">
        <v>2026</v>
      </c>
    </row>
    <row r="225" spans="1:14">
      <c r="A225" s="26">
        <v>224</v>
      </c>
      <c r="B225" s="26" t="s">
        <v>56</v>
      </c>
      <c r="C225" s="26" t="s">
        <v>57</v>
      </c>
      <c r="D225" s="26" t="s">
        <v>19</v>
      </c>
      <c r="E225" s="26" t="s">
        <v>82</v>
      </c>
      <c r="F225" s="26"/>
      <c r="G225" s="60" t="s">
        <v>84</v>
      </c>
      <c r="H225" s="80" t="s">
        <v>86</v>
      </c>
      <c r="I225" s="50">
        <v>1033.9660519480519</v>
      </c>
      <c r="J225" s="26" t="s">
        <v>14</v>
      </c>
      <c r="K225" s="45" t="s">
        <v>14</v>
      </c>
      <c r="L225" s="26" t="s">
        <v>14</v>
      </c>
      <c r="M225" s="132" t="s">
        <v>197</v>
      </c>
      <c r="N225" s="26">
        <v>2026</v>
      </c>
    </row>
    <row r="226" spans="1:14">
      <c r="A226" s="26">
        <v>225</v>
      </c>
      <c r="B226" s="26" t="s">
        <v>17</v>
      </c>
      <c r="C226" s="26" t="s">
        <v>22</v>
      </c>
      <c r="D226" s="26" t="s">
        <v>19</v>
      </c>
      <c r="E226" s="26" t="s">
        <v>82</v>
      </c>
      <c r="F226" s="26"/>
      <c r="G226" s="60" t="s">
        <v>84</v>
      </c>
      <c r="H226" s="80" t="s">
        <v>86</v>
      </c>
      <c r="I226" s="50">
        <v>9493.0409675324681</v>
      </c>
      <c r="J226" s="26" t="s">
        <v>14</v>
      </c>
      <c r="K226" s="45" t="s">
        <v>14</v>
      </c>
      <c r="L226" s="26" t="s">
        <v>14</v>
      </c>
      <c r="M226" s="132" t="s">
        <v>197</v>
      </c>
      <c r="N226" s="26">
        <v>2026</v>
      </c>
    </row>
    <row r="227" spans="1:14">
      <c r="A227" s="26">
        <v>226</v>
      </c>
      <c r="B227" s="26" t="s">
        <v>17</v>
      </c>
      <c r="C227" s="26" t="s">
        <v>87</v>
      </c>
      <c r="D227" s="26" t="s">
        <v>19</v>
      </c>
      <c r="E227" s="26" t="s">
        <v>82</v>
      </c>
      <c r="F227" s="26"/>
      <c r="G227" s="60" t="s">
        <v>84</v>
      </c>
      <c r="H227" s="80" t="s">
        <v>86</v>
      </c>
      <c r="I227" s="50">
        <v>3636.3636363636365</v>
      </c>
      <c r="J227" s="26" t="s">
        <v>14</v>
      </c>
      <c r="K227" s="45" t="s">
        <v>14</v>
      </c>
      <c r="L227" s="26" t="s">
        <v>14</v>
      </c>
      <c r="M227" s="132" t="s">
        <v>197</v>
      </c>
      <c r="N227" s="26">
        <v>2026</v>
      </c>
    </row>
    <row r="228" spans="1:14">
      <c r="A228" s="26">
        <v>227</v>
      </c>
      <c r="B228" s="26" t="s">
        <v>40</v>
      </c>
      <c r="C228" s="26" t="s">
        <v>45</v>
      </c>
      <c r="D228" s="26" t="s">
        <v>19</v>
      </c>
      <c r="E228" s="26" t="s">
        <v>82</v>
      </c>
      <c r="F228" s="26"/>
      <c r="G228" s="60" t="s">
        <v>84</v>
      </c>
      <c r="H228" s="80" t="s">
        <v>86</v>
      </c>
      <c r="I228" s="50">
        <v>5798.7012987012986</v>
      </c>
      <c r="J228" s="26" t="s">
        <v>14</v>
      </c>
      <c r="K228" s="45" t="s">
        <v>14</v>
      </c>
      <c r="L228" s="26" t="s">
        <v>14</v>
      </c>
      <c r="M228" s="132" t="s">
        <v>197</v>
      </c>
      <c r="N228" s="26">
        <v>2026</v>
      </c>
    </row>
    <row r="229" spans="1:14">
      <c r="A229" s="26">
        <v>228</v>
      </c>
      <c r="B229" s="26" t="s">
        <v>17</v>
      </c>
      <c r="C229" s="26" t="s">
        <v>400</v>
      </c>
      <c r="D229" s="26" t="s">
        <v>19</v>
      </c>
      <c r="E229" s="26" t="s">
        <v>82</v>
      </c>
      <c r="F229" s="26"/>
      <c r="G229" s="60" t="s">
        <v>84</v>
      </c>
      <c r="H229" s="80" t="s">
        <v>86</v>
      </c>
      <c r="I229" s="50">
        <v>6628.3956103896107</v>
      </c>
      <c r="J229" s="26" t="s">
        <v>14</v>
      </c>
      <c r="K229" s="45" t="s">
        <v>14</v>
      </c>
      <c r="L229" s="26" t="s">
        <v>14</v>
      </c>
      <c r="M229" s="132" t="s">
        <v>197</v>
      </c>
      <c r="N229" s="26">
        <v>2026</v>
      </c>
    </row>
    <row r="230" spans="1:14">
      <c r="A230" s="26">
        <v>229</v>
      </c>
      <c r="B230" s="26" t="s">
        <v>40</v>
      </c>
      <c r="C230" s="26" t="s">
        <v>247</v>
      </c>
      <c r="D230" s="26" t="s">
        <v>19</v>
      </c>
      <c r="E230" s="26" t="s">
        <v>82</v>
      </c>
      <c r="F230" s="26"/>
      <c r="G230" s="60" t="s">
        <v>84</v>
      </c>
      <c r="H230" s="80" t="s">
        <v>86</v>
      </c>
      <c r="I230" s="50">
        <v>8311.6883116883109</v>
      </c>
      <c r="J230" s="26" t="s">
        <v>14</v>
      </c>
      <c r="K230" s="45" t="s">
        <v>14</v>
      </c>
      <c r="L230" s="26" t="s">
        <v>14</v>
      </c>
      <c r="M230" s="132" t="s">
        <v>197</v>
      </c>
      <c r="N230" s="26">
        <v>2026</v>
      </c>
    </row>
    <row r="231" spans="1:14">
      <c r="A231" s="26">
        <v>230</v>
      </c>
      <c r="B231" s="26" t="s">
        <v>40</v>
      </c>
      <c r="C231" s="26" t="s">
        <v>48</v>
      </c>
      <c r="D231" s="26" t="s">
        <v>19</v>
      </c>
      <c r="E231" s="26" t="s">
        <v>82</v>
      </c>
      <c r="F231" s="26"/>
      <c r="G231" s="60" t="s">
        <v>84</v>
      </c>
      <c r="H231" s="80" t="s">
        <v>86</v>
      </c>
      <c r="I231" s="50">
        <v>17904.709357142856</v>
      </c>
      <c r="J231" s="26" t="s">
        <v>14</v>
      </c>
      <c r="K231" s="45" t="s">
        <v>14</v>
      </c>
      <c r="L231" s="26" t="s">
        <v>14</v>
      </c>
      <c r="M231" s="132" t="s">
        <v>197</v>
      </c>
      <c r="N231" s="26">
        <v>2026</v>
      </c>
    </row>
    <row r="232" spans="1:14">
      <c r="A232" s="26">
        <v>231</v>
      </c>
      <c r="B232" s="26" t="s">
        <v>40</v>
      </c>
      <c r="C232" s="26" t="s">
        <v>47</v>
      </c>
      <c r="D232" s="26" t="s">
        <v>19</v>
      </c>
      <c r="E232" s="26" t="s">
        <v>82</v>
      </c>
      <c r="F232" s="26"/>
      <c r="G232" s="60" t="s">
        <v>84</v>
      </c>
      <c r="H232" s="80" t="s">
        <v>86</v>
      </c>
      <c r="I232" s="50">
        <v>2792.2077922077924</v>
      </c>
      <c r="J232" s="26" t="s">
        <v>14</v>
      </c>
      <c r="K232" s="45" t="s">
        <v>14</v>
      </c>
      <c r="L232" s="26" t="s">
        <v>14</v>
      </c>
      <c r="M232" s="132" t="s">
        <v>197</v>
      </c>
      <c r="N232" s="26">
        <v>2026</v>
      </c>
    </row>
    <row r="233" spans="1:14">
      <c r="A233" s="26">
        <v>232</v>
      </c>
      <c r="B233" s="26" t="s">
        <v>17</v>
      </c>
      <c r="C233" s="26" t="s">
        <v>25</v>
      </c>
      <c r="D233" s="26" t="s">
        <v>19</v>
      </c>
      <c r="E233" s="26" t="s">
        <v>82</v>
      </c>
      <c r="F233" s="26"/>
      <c r="G233" s="60" t="s">
        <v>84</v>
      </c>
      <c r="H233" s="80" t="s">
        <v>86</v>
      </c>
      <c r="I233" s="50">
        <v>15339.732285714284</v>
      </c>
      <c r="J233" s="26" t="s">
        <v>14</v>
      </c>
      <c r="K233" s="45" t="s">
        <v>14</v>
      </c>
      <c r="L233" s="26" t="s">
        <v>14</v>
      </c>
      <c r="M233" s="132" t="s">
        <v>197</v>
      </c>
      <c r="N233" s="26">
        <v>2026</v>
      </c>
    </row>
    <row r="234" spans="1:14">
      <c r="A234" s="26">
        <v>233</v>
      </c>
      <c r="B234" s="26" t="s">
        <v>17</v>
      </c>
      <c r="C234" s="26" t="s">
        <v>18</v>
      </c>
      <c r="D234" s="26" t="s">
        <v>19</v>
      </c>
      <c r="E234" s="26" t="s">
        <v>82</v>
      </c>
      <c r="F234" s="26"/>
      <c r="G234" s="80" t="s">
        <v>83</v>
      </c>
      <c r="H234" s="80" t="s">
        <v>86</v>
      </c>
      <c r="I234" s="50">
        <v>10644.855168831169</v>
      </c>
      <c r="J234" s="26" t="s">
        <v>14</v>
      </c>
      <c r="K234" s="45" t="s">
        <v>14</v>
      </c>
      <c r="L234" s="26" t="s">
        <v>14</v>
      </c>
      <c r="M234" s="132" t="s">
        <v>197</v>
      </c>
      <c r="N234" s="26">
        <v>2026</v>
      </c>
    </row>
    <row r="235" spans="1:14">
      <c r="A235" s="26">
        <v>234</v>
      </c>
      <c r="B235" s="60" t="s">
        <v>52</v>
      </c>
      <c r="C235" s="26" t="s">
        <v>53</v>
      </c>
      <c r="D235" s="26" t="s">
        <v>19</v>
      </c>
      <c r="E235" s="26" t="s">
        <v>82</v>
      </c>
      <c r="F235" s="26"/>
      <c r="G235" s="80" t="s">
        <v>83</v>
      </c>
      <c r="H235" s="80" t="s">
        <v>86</v>
      </c>
      <c r="I235" s="50">
        <v>44137.055051948053</v>
      </c>
      <c r="J235" s="26" t="s">
        <v>14</v>
      </c>
      <c r="K235" s="45" t="s">
        <v>14</v>
      </c>
      <c r="L235" s="26" t="s">
        <v>14</v>
      </c>
      <c r="M235" s="132" t="s">
        <v>197</v>
      </c>
      <c r="N235" s="26">
        <v>2026</v>
      </c>
    </row>
    <row r="236" spans="1:14">
      <c r="A236" s="26">
        <v>235</v>
      </c>
      <c r="B236" s="60" t="s">
        <v>40</v>
      </c>
      <c r="C236" s="26" t="s">
        <v>41</v>
      </c>
      <c r="D236" s="26" t="s">
        <v>19</v>
      </c>
      <c r="E236" s="26" t="s">
        <v>82</v>
      </c>
      <c r="F236" s="26"/>
      <c r="G236" s="80" t="s">
        <v>83</v>
      </c>
      <c r="H236" s="80" t="s">
        <v>86</v>
      </c>
      <c r="I236" s="50">
        <v>13701.298727272726</v>
      </c>
      <c r="J236" s="26" t="s">
        <v>14</v>
      </c>
      <c r="K236" s="45" t="s">
        <v>14</v>
      </c>
      <c r="L236" s="26" t="s">
        <v>14</v>
      </c>
      <c r="M236" s="132" t="s">
        <v>197</v>
      </c>
      <c r="N236" s="26">
        <v>2026</v>
      </c>
    </row>
    <row r="237" spans="1:14">
      <c r="A237" s="26">
        <v>236</v>
      </c>
      <c r="B237" s="60" t="s">
        <v>33</v>
      </c>
      <c r="C237" s="26" t="s">
        <v>34</v>
      </c>
      <c r="D237" s="26" t="s">
        <v>19</v>
      </c>
      <c r="E237" s="26" t="s">
        <v>82</v>
      </c>
      <c r="F237" s="26"/>
      <c r="G237" s="80" t="s">
        <v>83</v>
      </c>
      <c r="H237" s="80" t="s">
        <v>86</v>
      </c>
      <c r="I237" s="50">
        <v>1688.3116883116884</v>
      </c>
      <c r="J237" s="26" t="s">
        <v>14</v>
      </c>
      <c r="K237" s="45" t="s">
        <v>14</v>
      </c>
      <c r="L237" s="26" t="s">
        <v>14</v>
      </c>
      <c r="M237" s="132" t="s">
        <v>197</v>
      </c>
      <c r="N237" s="26">
        <v>2026</v>
      </c>
    </row>
    <row r="238" spans="1:14">
      <c r="A238" s="26">
        <v>237</v>
      </c>
      <c r="B238" s="60" t="s">
        <v>33</v>
      </c>
      <c r="C238" s="26" t="s">
        <v>35</v>
      </c>
      <c r="D238" s="26" t="s">
        <v>19</v>
      </c>
      <c r="E238" s="26" t="s">
        <v>82</v>
      </c>
      <c r="F238" s="26"/>
      <c r="G238" s="80" t="s">
        <v>83</v>
      </c>
      <c r="H238" s="80" t="s">
        <v>86</v>
      </c>
      <c r="I238" s="50">
        <v>13371.628415584417</v>
      </c>
      <c r="J238" s="26" t="s">
        <v>14</v>
      </c>
      <c r="K238" s="45" t="s">
        <v>14</v>
      </c>
      <c r="L238" s="26" t="s">
        <v>14</v>
      </c>
      <c r="M238" s="132" t="s">
        <v>197</v>
      </c>
      <c r="N238" s="26">
        <v>2026</v>
      </c>
    </row>
    <row r="239" spans="1:14">
      <c r="A239" s="26">
        <v>238</v>
      </c>
      <c r="B239" s="60" t="s">
        <v>40</v>
      </c>
      <c r="C239" s="26" t="s">
        <v>42</v>
      </c>
      <c r="D239" s="26" t="s">
        <v>19</v>
      </c>
      <c r="E239" s="26" t="s">
        <v>82</v>
      </c>
      <c r="F239" s="26"/>
      <c r="G239" s="80" t="s">
        <v>83</v>
      </c>
      <c r="H239" s="80" t="s">
        <v>86</v>
      </c>
      <c r="I239" s="50">
        <v>6149.3506623376625</v>
      </c>
      <c r="J239" s="26" t="s">
        <v>14</v>
      </c>
      <c r="K239" s="45" t="s">
        <v>14</v>
      </c>
      <c r="L239" s="26" t="s">
        <v>14</v>
      </c>
      <c r="M239" s="132" t="s">
        <v>197</v>
      </c>
      <c r="N239" s="26">
        <v>2026</v>
      </c>
    </row>
    <row r="240" spans="1:14">
      <c r="A240" s="26">
        <v>239</v>
      </c>
      <c r="B240" s="60" t="s">
        <v>40</v>
      </c>
      <c r="C240" s="60" t="s">
        <v>43</v>
      </c>
      <c r="D240" s="26" t="s">
        <v>19</v>
      </c>
      <c r="E240" s="26" t="s">
        <v>82</v>
      </c>
      <c r="F240" s="26"/>
      <c r="G240" s="80" t="s">
        <v>83</v>
      </c>
      <c r="H240" s="80" t="s">
        <v>86</v>
      </c>
      <c r="I240" s="50">
        <v>28218.531551948054</v>
      </c>
      <c r="J240" s="26" t="s">
        <v>14</v>
      </c>
      <c r="K240" s="45" t="s">
        <v>14</v>
      </c>
      <c r="L240" s="26" t="s">
        <v>14</v>
      </c>
      <c r="M240" s="132" t="s">
        <v>197</v>
      </c>
      <c r="N240" s="26">
        <v>2026</v>
      </c>
    </row>
    <row r="241" spans="1:14">
      <c r="A241" s="26">
        <v>240</v>
      </c>
      <c r="B241" s="60" t="s">
        <v>31</v>
      </c>
      <c r="C241" s="26" t="s">
        <v>32</v>
      </c>
      <c r="D241" s="26" t="s">
        <v>19</v>
      </c>
      <c r="E241" s="26" t="s">
        <v>82</v>
      </c>
      <c r="F241" s="26"/>
      <c r="G241" s="80" t="s">
        <v>83</v>
      </c>
      <c r="H241" s="80" t="s">
        <v>86</v>
      </c>
      <c r="I241" s="50">
        <v>26565.043149350651</v>
      </c>
      <c r="J241" s="26" t="s">
        <v>14</v>
      </c>
      <c r="K241" s="45" t="s">
        <v>14</v>
      </c>
      <c r="L241" s="26" t="s">
        <v>14</v>
      </c>
      <c r="M241" s="132" t="s">
        <v>197</v>
      </c>
      <c r="N241" s="26">
        <v>2026</v>
      </c>
    </row>
    <row r="242" spans="1:14">
      <c r="A242" s="26">
        <v>241</v>
      </c>
      <c r="B242" s="60" t="s">
        <v>50</v>
      </c>
      <c r="C242" s="26" t="s">
        <v>60</v>
      </c>
      <c r="D242" s="26" t="s">
        <v>19</v>
      </c>
      <c r="E242" s="26" t="s">
        <v>82</v>
      </c>
      <c r="F242" s="26"/>
      <c r="G242" s="80" t="s">
        <v>83</v>
      </c>
      <c r="H242" s="80" t="s">
        <v>86</v>
      </c>
      <c r="I242" s="50">
        <v>91435.965448051938</v>
      </c>
      <c r="J242" s="26" t="s">
        <v>14</v>
      </c>
      <c r="K242" s="45" t="s">
        <v>14</v>
      </c>
      <c r="L242" s="26" t="s">
        <v>14</v>
      </c>
      <c r="M242" s="132" t="s">
        <v>197</v>
      </c>
      <c r="N242" s="26">
        <v>2026</v>
      </c>
    </row>
    <row r="243" spans="1:14">
      <c r="A243" s="26">
        <v>242</v>
      </c>
      <c r="B243" s="60" t="s">
        <v>56</v>
      </c>
      <c r="C243" s="60" t="s">
        <v>57</v>
      </c>
      <c r="D243" s="26" t="s">
        <v>19</v>
      </c>
      <c r="E243" s="26" t="s">
        <v>82</v>
      </c>
      <c r="F243" s="26"/>
      <c r="G243" s="80" t="s">
        <v>83</v>
      </c>
      <c r="H243" s="80" t="s">
        <v>86</v>
      </c>
      <c r="I243" s="50">
        <v>3503.9960649350642</v>
      </c>
      <c r="J243" s="26" t="s">
        <v>14</v>
      </c>
      <c r="K243" s="45" t="s">
        <v>14</v>
      </c>
      <c r="L243" s="26" t="s">
        <v>14</v>
      </c>
      <c r="M243" s="132" t="s">
        <v>197</v>
      </c>
      <c r="N243" s="26">
        <v>2026</v>
      </c>
    </row>
    <row r="244" spans="1:14">
      <c r="A244" s="26">
        <v>243</v>
      </c>
      <c r="B244" s="60" t="s">
        <v>17</v>
      </c>
      <c r="C244" s="26" t="s">
        <v>22</v>
      </c>
      <c r="D244" s="26" t="s">
        <v>19</v>
      </c>
      <c r="E244" s="26" t="s">
        <v>82</v>
      </c>
      <c r="F244" s="26"/>
      <c r="G244" s="80" t="s">
        <v>83</v>
      </c>
      <c r="H244" s="80" t="s">
        <v>86</v>
      </c>
      <c r="I244" s="50">
        <v>1925.5744285714286</v>
      </c>
      <c r="J244" s="26" t="s">
        <v>14</v>
      </c>
      <c r="K244" s="45" t="s">
        <v>14</v>
      </c>
      <c r="L244" s="26" t="s">
        <v>14</v>
      </c>
      <c r="M244" s="132" t="s">
        <v>197</v>
      </c>
      <c r="N244" s="26">
        <v>2026</v>
      </c>
    </row>
    <row r="245" spans="1:14">
      <c r="A245" s="26">
        <v>244</v>
      </c>
      <c r="B245" s="60" t="s">
        <v>40</v>
      </c>
      <c r="C245" s="26" t="s">
        <v>44</v>
      </c>
      <c r="D245" s="26" t="s">
        <v>19</v>
      </c>
      <c r="E245" s="26" t="s">
        <v>82</v>
      </c>
      <c r="F245" s="26"/>
      <c r="G245" s="80" t="s">
        <v>83</v>
      </c>
      <c r="H245" s="80" t="s">
        <v>86</v>
      </c>
      <c r="I245" s="50">
        <v>7330.1698571428569</v>
      </c>
      <c r="J245" s="26" t="s">
        <v>14</v>
      </c>
      <c r="K245" s="45" t="s">
        <v>14</v>
      </c>
      <c r="L245" s="26" t="s">
        <v>14</v>
      </c>
      <c r="M245" s="132" t="s">
        <v>197</v>
      </c>
      <c r="N245" s="26">
        <v>2026</v>
      </c>
    </row>
    <row r="246" spans="1:14">
      <c r="A246" s="26">
        <v>245</v>
      </c>
      <c r="B246" s="60" t="s">
        <v>33</v>
      </c>
      <c r="C246" s="26" t="s">
        <v>37</v>
      </c>
      <c r="D246" s="26" t="s">
        <v>19</v>
      </c>
      <c r="E246" s="26" t="s">
        <v>82</v>
      </c>
      <c r="F246" s="26"/>
      <c r="G246" s="80" t="s">
        <v>83</v>
      </c>
      <c r="H246" s="80" t="s">
        <v>86</v>
      </c>
      <c r="I246" s="50">
        <v>1168.8311688311687</v>
      </c>
      <c r="J246" s="26" t="s">
        <v>14</v>
      </c>
      <c r="K246" s="45" t="s">
        <v>14</v>
      </c>
      <c r="L246" s="26" t="s">
        <v>14</v>
      </c>
      <c r="M246" s="132" t="s">
        <v>197</v>
      </c>
      <c r="N246" s="26">
        <v>2026</v>
      </c>
    </row>
    <row r="247" spans="1:14">
      <c r="A247" s="26">
        <v>246</v>
      </c>
      <c r="B247" s="60" t="s">
        <v>33</v>
      </c>
      <c r="C247" s="26" t="s">
        <v>39</v>
      </c>
      <c r="D247" s="26" t="s">
        <v>19</v>
      </c>
      <c r="E247" s="26" t="s">
        <v>82</v>
      </c>
      <c r="F247" s="26"/>
      <c r="G247" s="80" t="s">
        <v>83</v>
      </c>
      <c r="H247" s="80" t="s">
        <v>86</v>
      </c>
      <c r="I247" s="50">
        <v>1835.6643506493508</v>
      </c>
      <c r="J247" s="26" t="s">
        <v>14</v>
      </c>
      <c r="K247" s="45" t="s">
        <v>14</v>
      </c>
      <c r="L247" s="26" t="s">
        <v>14</v>
      </c>
      <c r="M247" s="132" t="s">
        <v>197</v>
      </c>
      <c r="N247" s="26">
        <v>2026</v>
      </c>
    </row>
    <row r="248" spans="1:14">
      <c r="A248" s="26">
        <v>247</v>
      </c>
      <c r="B248" s="60" t="s">
        <v>40</v>
      </c>
      <c r="C248" s="26" t="s">
        <v>45</v>
      </c>
      <c r="D248" s="26" t="s">
        <v>19</v>
      </c>
      <c r="E248" s="26" t="s">
        <v>82</v>
      </c>
      <c r="F248" s="26"/>
      <c r="G248" s="80" t="s">
        <v>83</v>
      </c>
      <c r="H248" s="80" t="s">
        <v>86</v>
      </c>
      <c r="I248" s="50">
        <v>10594.905103896104</v>
      </c>
      <c r="J248" s="26" t="s">
        <v>14</v>
      </c>
      <c r="K248" s="45" t="s">
        <v>14</v>
      </c>
      <c r="L248" s="26" t="s">
        <v>14</v>
      </c>
      <c r="M248" s="132" t="s">
        <v>197</v>
      </c>
      <c r="N248" s="26">
        <v>2026</v>
      </c>
    </row>
    <row r="249" spans="1:14">
      <c r="A249" s="26">
        <v>248</v>
      </c>
      <c r="B249" s="60" t="s">
        <v>17</v>
      </c>
      <c r="C249" s="26" t="s">
        <v>400</v>
      </c>
      <c r="D249" s="26" t="s">
        <v>19</v>
      </c>
      <c r="E249" s="26" t="s">
        <v>82</v>
      </c>
      <c r="F249" s="26"/>
      <c r="G249" s="80" t="s">
        <v>83</v>
      </c>
      <c r="H249" s="80" t="s">
        <v>86</v>
      </c>
      <c r="I249" s="50">
        <v>10000.000025974025</v>
      </c>
      <c r="J249" s="26" t="s">
        <v>14</v>
      </c>
      <c r="K249" s="45" t="s">
        <v>14</v>
      </c>
      <c r="L249" s="26" t="s">
        <v>14</v>
      </c>
      <c r="M249" s="132" t="s">
        <v>197</v>
      </c>
      <c r="N249" s="26">
        <v>2026</v>
      </c>
    </row>
    <row r="250" spans="1:14">
      <c r="A250" s="26">
        <v>249</v>
      </c>
      <c r="B250" s="60" t="s">
        <v>40</v>
      </c>
      <c r="C250" s="26" t="s">
        <v>247</v>
      </c>
      <c r="D250" s="26" t="s">
        <v>19</v>
      </c>
      <c r="E250" s="26" t="s">
        <v>82</v>
      </c>
      <c r="F250" s="26"/>
      <c r="G250" s="80" t="s">
        <v>83</v>
      </c>
      <c r="H250" s="80" t="s">
        <v>86</v>
      </c>
      <c r="I250" s="50">
        <v>50281.540792207794</v>
      </c>
      <c r="J250" s="26" t="s">
        <v>14</v>
      </c>
      <c r="K250" s="45" t="s">
        <v>14</v>
      </c>
      <c r="L250" s="26" t="s">
        <v>14</v>
      </c>
      <c r="M250" s="132" t="s">
        <v>197</v>
      </c>
      <c r="N250" s="26">
        <v>2026</v>
      </c>
    </row>
    <row r="251" spans="1:14">
      <c r="A251" s="26">
        <v>250</v>
      </c>
      <c r="B251" s="60" t="s">
        <v>40</v>
      </c>
      <c r="C251" s="60" t="s">
        <v>48</v>
      </c>
      <c r="D251" s="26" t="s">
        <v>19</v>
      </c>
      <c r="E251" s="26" t="s">
        <v>82</v>
      </c>
      <c r="F251" s="26"/>
      <c r="G251" s="80" t="s">
        <v>83</v>
      </c>
      <c r="H251" s="80" t="s">
        <v>86</v>
      </c>
      <c r="I251" s="50">
        <v>16988.049980519481</v>
      </c>
      <c r="J251" s="26" t="s">
        <v>14</v>
      </c>
      <c r="K251" s="45" t="s">
        <v>14</v>
      </c>
      <c r="L251" s="26" t="s">
        <v>14</v>
      </c>
      <c r="M251" s="132" t="s">
        <v>197</v>
      </c>
      <c r="N251" s="26">
        <v>2026</v>
      </c>
    </row>
    <row r="252" spans="1:14">
      <c r="A252" s="26">
        <v>251</v>
      </c>
      <c r="B252" s="60" t="s">
        <v>40</v>
      </c>
      <c r="C252" s="26" t="s">
        <v>47</v>
      </c>
      <c r="D252" s="26" t="s">
        <v>19</v>
      </c>
      <c r="E252" s="26" t="s">
        <v>82</v>
      </c>
      <c r="F252" s="26"/>
      <c r="G252" s="80" t="s">
        <v>83</v>
      </c>
      <c r="H252" s="80" t="s">
        <v>86</v>
      </c>
      <c r="I252" s="50">
        <v>909.09090909090912</v>
      </c>
      <c r="J252" s="26" t="s">
        <v>14</v>
      </c>
      <c r="K252" s="45" t="s">
        <v>14</v>
      </c>
      <c r="L252" s="26" t="s">
        <v>14</v>
      </c>
      <c r="M252" s="132" t="s">
        <v>197</v>
      </c>
      <c r="N252" s="26">
        <v>2026</v>
      </c>
    </row>
    <row r="253" spans="1:14">
      <c r="A253" s="26">
        <v>252</v>
      </c>
      <c r="B253" s="60" t="s">
        <v>40</v>
      </c>
      <c r="C253" s="26" t="s">
        <v>49</v>
      </c>
      <c r="D253" s="26" t="s">
        <v>19</v>
      </c>
      <c r="E253" s="26" t="s">
        <v>82</v>
      </c>
      <c r="F253" s="26"/>
      <c r="G253" s="80" t="s">
        <v>83</v>
      </c>
      <c r="H253" s="80" t="s">
        <v>86</v>
      </c>
      <c r="I253" s="50">
        <v>516.98302597402596</v>
      </c>
      <c r="J253" s="26" t="s">
        <v>14</v>
      </c>
      <c r="K253" s="45" t="s">
        <v>14</v>
      </c>
      <c r="L253" s="26" t="s">
        <v>14</v>
      </c>
      <c r="M253" s="132" t="s">
        <v>197</v>
      </c>
      <c r="N253" s="26">
        <v>2026</v>
      </c>
    </row>
    <row r="254" spans="1:14">
      <c r="A254" s="26">
        <v>253</v>
      </c>
      <c r="B254" s="60" t="s">
        <v>17</v>
      </c>
      <c r="C254" s="26" t="s">
        <v>25</v>
      </c>
      <c r="D254" s="26" t="s">
        <v>19</v>
      </c>
      <c r="E254" s="26" t="s">
        <v>82</v>
      </c>
      <c r="F254" s="26"/>
      <c r="G254" s="80" t="s">
        <v>83</v>
      </c>
      <c r="H254" s="80" t="s">
        <v>86</v>
      </c>
      <c r="I254" s="50">
        <v>9865.1348831168834</v>
      </c>
      <c r="J254" s="26" t="s">
        <v>14</v>
      </c>
      <c r="K254" s="45" t="s">
        <v>14</v>
      </c>
      <c r="L254" s="26" t="s">
        <v>14</v>
      </c>
      <c r="M254" s="132" t="s">
        <v>197</v>
      </c>
      <c r="N254" s="26">
        <v>2026</v>
      </c>
    </row>
    <row r="255" spans="1:14">
      <c r="A255" s="26">
        <v>254</v>
      </c>
      <c r="B255" s="26" t="s">
        <v>17</v>
      </c>
      <c r="C255" s="26" t="s">
        <v>18</v>
      </c>
      <c r="D255" s="132" t="s">
        <v>19</v>
      </c>
      <c r="E255" s="26" t="s">
        <v>82</v>
      </c>
      <c r="F255" s="26"/>
      <c r="G255" s="26" t="s">
        <v>401</v>
      </c>
      <c r="H255" s="132" t="s">
        <v>86</v>
      </c>
      <c r="I255" s="50">
        <v>5600</v>
      </c>
      <c r="J255" s="26" t="s">
        <v>14</v>
      </c>
      <c r="K255" s="45" t="s">
        <v>14</v>
      </c>
      <c r="L255" s="26" t="s">
        <v>14</v>
      </c>
      <c r="M255" s="132" t="s">
        <v>197</v>
      </c>
      <c r="N255" s="26">
        <v>2026</v>
      </c>
    </row>
    <row r="256" spans="1:14">
      <c r="A256" s="26">
        <v>255</v>
      </c>
      <c r="B256" s="26" t="s">
        <v>40</v>
      </c>
      <c r="C256" s="26" t="s">
        <v>49</v>
      </c>
      <c r="D256" s="127" t="s">
        <v>19</v>
      </c>
      <c r="E256" s="26" t="s">
        <v>91</v>
      </c>
      <c r="F256" s="26"/>
      <c r="G256" s="26" t="s">
        <v>88</v>
      </c>
      <c r="H256" s="26" t="s">
        <v>93</v>
      </c>
      <c r="I256" s="50">
        <f>2000000/1540</f>
        <v>1298.7012987012988</v>
      </c>
      <c r="J256" s="26">
        <v>2541</v>
      </c>
      <c r="K256" s="81">
        <v>46112</v>
      </c>
      <c r="L256" s="26" t="s">
        <v>14</v>
      </c>
      <c r="M256" s="132" t="s">
        <v>197</v>
      </c>
      <c r="N256" s="26">
        <v>2026</v>
      </c>
    </row>
    <row r="257" spans="1:14">
      <c r="A257" s="26">
        <v>256</v>
      </c>
      <c r="B257" s="26" t="s">
        <v>50</v>
      </c>
      <c r="C257" s="26" t="s">
        <v>60</v>
      </c>
      <c r="D257" s="26" t="s">
        <v>58</v>
      </c>
      <c r="E257" s="26" t="s">
        <v>91</v>
      </c>
      <c r="F257" s="26"/>
      <c r="G257" s="26" t="s">
        <v>236</v>
      </c>
      <c r="H257" s="26" t="s">
        <v>93</v>
      </c>
      <c r="I257" s="50">
        <v>21168</v>
      </c>
      <c r="J257" s="26" t="s">
        <v>402</v>
      </c>
      <c r="K257" s="45">
        <v>46112</v>
      </c>
      <c r="L257" s="26" t="s">
        <v>14</v>
      </c>
      <c r="M257" s="132" t="s">
        <v>197</v>
      </c>
      <c r="N257" s="26">
        <v>2026</v>
      </c>
    </row>
    <row r="258" spans="1:14">
      <c r="A258" s="26">
        <v>257</v>
      </c>
      <c r="B258" s="26" t="s">
        <v>31</v>
      </c>
      <c r="C258" s="26" t="s">
        <v>32</v>
      </c>
      <c r="D258" s="26" t="s">
        <v>58</v>
      </c>
      <c r="E258" s="26" t="s">
        <v>91</v>
      </c>
      <c r="F258" s="26"/>
      <c r="G258" s="26" t="s">
        <v>92</v>
      </c>
      <c r="H258" s="26" t="s">
        <v>93</v>
      </c>
      <c r="I258" s="50">
        <v>5580</v>
      </c>
      <c r="J258" s="26" t="s">
        <v>403</v>
      </c>
      <c r="K258" s="45">
        <v>46112</v>
      </c>
      <c r="L258" s="26" t="s">
        <v>14</v>
      </c>
      <c r="M258" s="132" t="s">
        <v>197</v>
      </c>
      <c r="N258" s="26">
        <v>2026</v>
      </c>
    </row>
    <row r="259" spans="1:14">
      <c r="A259" s="26">
        <v>258</v>
      </c>
      <c r="B259" s="26" t="s">
        <v>31</v>
      </c>
      <c r="C259" s="26" t="s">
        <v>32</v>
      </c>
      <c r="D259" s="26" t="s">
        <v>58</v>
      </c>
      <c r="E259" s="26" t="s">
        <v>91</v>
      </c>
      <c r="F259" s="26"/>
      <c r="G259" s="26" t="s">
        <v>92</v>
      </c>
      <c r="H259" s="26" t="s">
        <v>235</v>
      </c>
      <c r="I259" s="50">
        <v>7750</v>
      </c>
      <c r="J259" s="26" t="s">
        <v>404</v>
      </c>
      <c r="K259" s="45">
        <v>46112</v>
      </c>
      <c r="L259" s="26" t="s">
        <v>14</v>
      </c>
      <c r="M259" s="132" t="s">
        <v>197</v>
      </c>
      <c r="N259" s="26">
        <v>2026</v>
      </c>
    </row>
    <row r="260" spans="1:14">
      <c r="A260" s="26">
        <v>259</v>
      </c>
      <c r="B260" s="26" t="s">
        <v>27</v>
      </c>
      <c r="C260" s="26" t="s">
        <v>28</v>
      </c>
      <c r="D260" s="26" t="s">
        <v>58</v>
      </c>
      <c r="E260" s="26" t="s">
        <v>91</v>
      </c>
      <c r="F260" s="26"/>
      <c r="G260" s="26" t="s">
        <v>92</v>
      </c>
      <c r="H260" s="26" t="s">
        <v>93</v>
      </c>
      <c r="I260" s="50">
        <v>14880</v>
      </c>
      <c r="J260" s="26" t="s">
        <v>405</v>
      </c>
      <c r="K260" s="45">
        <v>46112</v>
      </c>
      <c r="L260" s="26" t="s">
        <v>14</v>
      </c>
      <c r="M260" s="132" t="s">
        <v>197</v>
      </c>
      <c r="N260" s="26">
        <v>2026</v>
      </c>
    </row>
    <row r="261" spans="1:14">
      <c r="A261" s="26">
        <v>260</v>
      </c>
      <c r="B261" s="26" t="s">
        <v>31</v>
      </c>
      <c r="C261" s="26" t="s">
        <v>32</v>
      </c>
      <c r="D261" s="26" t="s">
        <v>58</v>
      </c>
      <c r="E261" s="26" t="s">
        <v>91</v>
      </c>
      <c r="F261" s="26"/>
      <c r="G261" s="26" t="s">
        <v>92</v>
      </c>
      <c r="H261" s="26" t="s">
        <v>235</v>
      </c>
      <c r="I261" s="50">
        <v>15500</v>
      </c>
      <c r="J261" s="26" t="s">
        <v>406</v>
      </c>
      <c r="K261" s="45">
        <v>46112</v>
      </c>
      <c r="L261" s="26" t="s">
        <v>14</v>
      </c>
      <c r="M261" s="132" t="s">
        <v>197</v>
      </c>
      <c r="N261" s="26">
        <v>2026</v>
      </c>
    </row>
    <row r="262" spans="1:14">
      <c r="A262" s="26">
        <v>261</v>
      </c>
      <c r="B262" s="26" t="s">
        <v>31</v>
      </c>
      <c r="C262" s="26" t="s">
        <v>32</v>
      </c>
      <c r="D262" s="26" t="s">
        <v>58</v>
      </c>
      <c r="E262" s="26" t="s">
        <v>91</v>
      </c>
      <c r="F262" s="26"/>
      <c r="G262" s="26" t="s">
        <v>92</v>
      </c>
      <c r="H262" s="26" t="s">
        <v>93</v>
      </c>
      <c r="I262" s="47">
        <v>3720</v>
      </c>
      <c r="J262" s="26" t="s">
        <v>407</v>
      </c>
      <c r="K262" s="45">
        <v>46112</v>
      </c>
      <c r="L262" s="26" t="s">
        <v>14</v>
      </c>
      <c r="M262" s="132" t="s">
        <v>197</v>
      </c>
      <c r="N262" s="26">
        <v>2026</v>
      </c>
    </row>
    <row r="263" spans="1:14">
      <c r="A263" s="26">
        <v>262</v>
      </c>
      <c r="B263" s="26" t="s">
        <v>52</v>
      </c>
      <c r="C263" s="26" t="s">
        <v>53</v>
      </c>
      <c r="D263" s="26" t="s">
        <v>58</v>
      </c>
      <c r="E263" s="26" t="s">
        <v>91</v>
      </c>
      <c r="F263" s="26"/>
      <c r="G263" s="26" t="s">
        <v>94</v>
      </c>
      <c r="H263" s="26" t="s">
        <v>93</v>
      </c>
      <c r="I263" s="50">
        <v>11520</v>
      </c>
      <c r="J263" s="26" t="s">
        <v>408</v>
      </c>
      <c r="K263" s="45">
        <v>46111</v>
      </c>
      <c r="L263" s="26" t="s">
        <v>14</v>
      </c>
      <c r="M263" s="132" t="s">
        <v>197</v>
      </c>
      <c r="N263" s="26">
        <v>2026</v>
      </c>
    </row>
    <row r="264" spans="1:14">
      <c r="A264" s="26">
        <v>263</v>
      </c>
      <c r="B264" s="26" t="s">
        <v>17</v>
      </c>
      <c r="C264" s="26" t="s">
        <v>23</v>
      </c>
      <c r="D264" s="26" t="s">
        <v>58</v>
      </c>
      <c r="E264" s="26" t="s">
        <v>91</v>
      </c>
      <c r="F264" s="26"/>
      <c r="G264" s="26" t="s">
        <v>94</v>
      </c>
      <c r="H264" s="26" t="s">
        <v>93</v>
      </c>
      <c r="I264" s="50">
        <v>4500</v>
      </c>
      <c r="J264" s="26" t="s">
        <v>408</v>
      </c>
      <c r="K264" s="45">
        <v>46111</v>
      </c>
      <c r="L264" s="26" t="s">
        <v>14</v>
      </c>
      <c r="M264" s="132" t="s">
        <v>197</v>
      </c>
      <c r="N264" s="26">
        <v>2026</v>
      </c>
    </row>
    <row r="265" spans="1:14">
      <c r="A265" s="26">
        <v>264</v>
      </c>
      <c r="B265" s="26" t="s">
        <v>17</v>
      </c>
      <c r="C265" s="26" t="s">
        <v>23</v>
      </c>
      <c r="D265" s="26" t="s">
        <v>58</v>
      </c>
      <c r="E265" s="26" t="s">
        <v>91</v>
      </c>
      <c r="F265" s="26"/>
      <c r="G265" s="26" t="s">
        <v>94</v>
      </c>
      <c r="H265" s="26" t="s">
        <v>235</v>
      </c>
      <c r="I265" s="50">
        <v>1000</v>
      </c>
      <c r="J265" s="26" t="s">
        <v>408</v>
      </c>
      <c r="K265" s="45">
        <v>46111</v>
      </c>
      <c r="L265" s="26" t="s">
        <v>14</v>
      </c>
      <c r="M265" s="132" t="s">
        <v>197</v>
      </c>
      <c r="N265" s="26">
        <v>2026</v>
      </c>
    </row>
    <row r="266" spans="1:14">
      <c r="A266" s="26">
        <v>265</v>
      </c>
      <c r="B266" s="26" t="s">
        <v>52</v>
      </c>
      <c r="C266" s="26" t="s">
        <v>53</v>
      </c>
      <c r="D266" s="26" t="s">
        <v>58</v>
      </c>
      <c r="E266" s="26" t="s">
        <v>95</v>
      </c>
      <c r="F266" s="26"/>
      <c r="G266" s="26" t="s">
        <v>21</v>
      </c>
      <c r="H266" s="26" t="s">
        <v>96</v>
      </c>
      <c r="I266" s="55">
        <v>2500</v>
      </c>
      <c r="J266" s="26" t="s">
        <v>14</v>
      </c>
      <c r="K266" s="45" t="s">
        <v>14</v>
      </c>
      <c r="L266" s="26" t="s">
        <v>14</v>
      </c>
      <c r="M266" s="132" t="s">
        <v>197</v>
      </c>
      <c r="N266" s="26">
        <v>2026</v>
      </c>
    </row>
    <row r="267" spans="1:14">
      <c r="A267" s="26">
        <v>266</v>
      </c>
      <c r="B267" s="51" t="s">
        <v>50</v>
      </c>
      <c r="C267" s="51" t="s">
        <v>60</v>
      </c>
      <c r="D267" s="26" t="s">
        <v>19</v>
      </c>
      <c r="E267" s="26" t="s">
        <v>95</v>
      </c>
      <c r="F267" s="26"/>
      <c r="G267" s="26" t="s">
        <v>229</v>
      </c>
      <c r="H267" s="26" t="s">
        <v>95</v>
      </c>
      <c r="I267" s="50">
        <v>4000</v>
      </c>
      <c r="J267" s="26" t="s">
        <v>14</v>
      </c>
      <c r="K267" s="45" t="s">
        <v>14</v>
      </c>
      <c r="L267" s="26" t="s">
        <v>14</v>
      </c>
      <c r="M267" s="132" t="s">
        <v>197</v>
      </c>
      <c r="N267" s="26">
        <v>2026</v>
      </c>
    </row>
    <row r="268" spans="1:14">
      <c r="A268" s="26">
        <v>267</v>
      </c>
      <c r="B268" s="127" t="s">
        <v>40</v>
      </c>
      <c r="C268" s="26" t="s">
        <v>43</v>
      </c>
      <c r="D268" s="26" t="s">
        <v>19</v>
      </c>
      <c r="E268" s="26" t="s">
        <v>95</v>
      </c>
      <c r="F268" s="26"/>
      <c r="G268" s="26" t="s">
        <v>229</v>
      </c>
      <c r="H268" s="26" t="s">
        <v>95</v>
      </c>
      <c r="I268" s="50">
        <v>4000</v>
      </c>
      <c r="J268" s="26" t="s">
        <v>14</v>
      </c>
      <c r="K268" s="45" t="s">
        <v>14</v>
      </c>
      <c r="L268" s="26" t="s">
        <v>14</v>
      </c>
      <c r="M268" s="132" t="s">
        <v>197</v>
      </c>
      <c r="N268" s="26">
        <v>2026</v>
      </c>
    </row>
    <row r="269" spans="1:14">
      <c r="A269" s="26">
        <v>268</v>
      </c>
      <c r="B269" s="26" t="s">
        <v>17</v>
      </c>
      <c r="C269" s="26" t="s">
        <v>17</v>
      </c>
      <c r="D269" s="127" t="s">
        <v>19</v>
      </c>
      <c r="E269" s="26" t="s">
        <v>97</v>
      </c>
      <c r="F269" s="26"/>
      <c r="G269" s="26" t="s">
        <v>98</v>
      </c>
      <c r="H269" s="26" t="s">
        <v>99</v>
      </c>
      <c r="I269" s="50">
        <f>1683000/1540</f>
        <v>1092.8571428571429</v>
      </c>
      <c r="J269" s="148" t="s">
        <v>409</v>
      </c>
      <c r="K269" s="45">
        <v>46025</v>
      </c>
      <c r="L269" s="26" t="s">
        <v>14</v>
      </c>
      <c r="M269" s="132" t="s">
        <v>197</v>
      </c>
      <c r="N269" s="26">
        <v>2026</v>
      </c>
    </row>
    <row r="270" spans="1:14">
      <c r="A270" s="26">
        <v>269</v>
      </c>
      <c r="B270" s="26" t="s">
        <v>17</v>
      </c>
      <c r="C270" s="26" t="s">
        <v>17</v>
      </c>
      <c r="D270" s="26" t="s">
        <v>58</v>
      </c>
      <c r="E270" s="26" t="s">
        <v>97</v>
      </c>
      <c r="F270" s="26"/>
      <c r="G270" s="26" t="s">
        <v>100</v>
      </c>
      <c r="H270" s="26" t="s">
        <v>101</v>
      </c>
      <c r="I270" s="50">
        <v>1454.8047563227256</v>
      </c>
      <c r="J270" s="26">
        <v>64</v>
      </c>
      <c r="K270" s="45">
        <v>46079</v>
      </c>
      <c r="L270" s="26" t="s">
        <v>14</v>
      </c>
      <c r="M270" s="132" t="s">
        <v>197</v>
      </c>
      <c r="N270" s="26">
        <v>2026</v>
      </c>
    </row>
    <row r="271" spans="1:14">
      <c r="A271" s="26">
        <v>270</v>
      </c>
      <c r="B271" s="26" t="s">
        <v>27</v>
      </c>
      <c r="C271" s="26" t="s">
        <v>27</v>
      </c>
      <c r="D271" s="26" t="s">
        <v>58</v>
      </c>
      <c r="E271" s="26" t="s">
        <v>97</v>
      </c>
      <c r="F271" s="26"/>
      <c r="G271" s="26" t="s">
        <v>100</v>
      </c>
      <c r="H271" s="26" t="s">
        <v>101</v>
      </c>
      <c r="I271" s="50">
        <v>59.513447553263369</v>
      </c>
      <c r="J271" s="26">
        <v>64</v>
      </c>
      <c r="K271" s="45">
        <v>46079</v>
      </c>
      <c r="L271" s="26" t="s">
        <v>14</v>
      </c>
      <c r="M271" s="132" t="s">
        <v>197</v>
      </c>
      <c r="N271" s="26">
        <v>2026</v>
      </c>
    </row>
    <row r="272" spans="1:14">
      <c r="A272" s="26">
        <v>271</v>
      </c>
      <c r="B272" s="26" t="s">
        <v>246</v>
      </c>
      <c r="C272" s="26" t="s">
        <v>246</v>
      </c>
      <c r="D272" s="26" t="s">
        <v>58</v>
      </c>
      <c r="E272" s="26" t="s">
        <v>97</v>
      </c>
      <c r="F272" s="26"/>
      <c r="G272" s="26" t="s">
        <v>100</v>
      </c>
      <c r="H272" s="26" t="s">
        <v>101</v>
      </c>
      <c r="I272" s="50">
        <v>354.82803956359589</v>
      </c>
      <c r="J272" s="26">
        <v>64</v>
      </c>
      <c r="K272" s="45">
        <v>46079</v>
      </c>
      <c r="L272" s="26" t="s">
        <v>14</v>
      </c>
      <c r="M272" s="132" t="s">
        <v>197</v>
      </c>
      <c r="N272" s="26">
        <v>2026</v>
      </c>
    </row>
    <row r="273" spans="1:14">
      <c r="A273" s="26">
        <v>272</v>
      </c>
      <c r="B273" s="26" t="s">
        <v>56</v>
      </c>
      <c r="C273" s="26" t="s">
        <v>56</v>
      </c>
      <c r="D273" s="26" t="s">
        <v>58</v>
      </c>
      <c r="E273" s="26" t="s">
        <v>97</v>
      </c>
      <c r="F273" s="26"/>
      <c r="G273" s="26" t="s">
        <v>100</v>
      </c>
      <c r="H273" s="26" t="s">
        <v>101</v>
      </c>
      <c r="I273" s="50">
        <v>404.79696702032538</v>
      </c>
      <c r="J273" s="26">
        <v>64</v>
      </c>
      <c r="K273" s="45">
        <v>46079</v>
      </c>
      <c r="L273" s="26" t="s">
        <v>14</v>
      </c>
      <c r="M273" s="132" t="s">
        <v>197</v>
      </c>
      <c r="N273" s="26">
        <v>2026</v>
      </c>
    </row>
    <row r="274" spans="1:14">
      <c r="A274" s="26">
        <v>273</v>
      </c>
      <c r="B274" s="80" t="s">
        <v>261</v>
      </c>
      <c r="C274" s="80" t="s">
        <v>261</v>
      </c>
      <c r="D274" s="26" t="s">
        <v>58</v>
      </c>
      <c r="E274" s="26" t="s">
        <v>97</v>
      </c>
      <c r="F274" s="26"/>
      <c r="G274" s="26" t="s">
        <v>100</v>
      </c>
      <c r="H274" s="26" t="s">
        <v>101</v>
      </c>
      <c r="I274" s="50">
        <v>262.22944985511811</v>
      </c>
      <c r="J274" s="26">
        <v>64</v>
      </c>
      <c r="K274" s="45">
        <v>46079</v>
      </c>
      <c r="L274" s="26" t="s">
        <v>14</v>
      </c>
      <c r="M274" s="132" t="s">
        <v>197</v>
      </c>
      <c r="N274" s="26">
        <v>2026</v>
      </c>
    </row>
    <row r="275" spans="1:14">
      <c r="A275" s="26">
        <v>274</v>
      </c>
      <c r="B275" s="26" t="s">
        <v>246</v>
      </c>
      <c r="C275" s="26" t="s">
        <v>90</v>
      </c>
      <c r="D275" s="26" t="s">
        <v>58</v>
      </c>
      <c r="E275" s="26" t="s">
        <v>97</v>
      </c>
      <c r="F275" s="26"/>
      <c r="G275" s="26" t="s">
        <v>100</v>
      </c>
      <c r="H275" s="26" t="s">
        <v>101</v>
      </c>
      <c r="I275" s="50">
        <v>279.50499963593478</v>
      </c>
      <c r="J275" s="26">
        <v>64</v>
      </c>
      <c r="K275" s="45">
        <v>46079</v>
      </c>
      <c r="L275" s="26" t="s">
        <v>14</v>
      </c>
      <c r="M275" s="132" t="s">
        <v>197</v>
      </c>
      <c r="N275" s="26">
        <v>2026</v>
      </c>
    </row>
    <row r="276" spans="1:14">
      <c r="A276" s="26">
        <v>275</v>
      </c>
      <c r="B276" s="26" t="s">
        <v>31</v>
      </c>
      <c r="C276" s="26" t="s">
        <v>31</v>
      </c>
      <c r="D276" s="26" t="s">
        <v>58</v>
      </c>
      <c r="E276" s="26" t="s">
        <v>97</v>
      </c>
      <c r="F276" s="26"/>
      <c r="G276" s="26" t="s">
        <v>100</v>
      </c>
      <c r="H276" s="26" t="s">
        <v>101</v>
      </c>
      <c r="I276" s="50">
        <v>174.42365623616095</v>
      </c>
      <c r="J276" s="26">
        <v>64</v>
      </c>
      <c r="K276" s="45">
        <v>46079</v>
      </c>
      <c r="L276" s="26" t="s">
        <v>14</v>
      </c>
      <c r="M276" s="132" t="s">
        <v>197</v>
      </c>
      <c r="N276" s="26">
        <v>2026</v>
      </c>
    </row>
    <row r="277" spans="1:14">
      <c r="A277" s="26">
        <v>276</v>
      </c>
      <c r="B277" s="26" t="s">
        <v>33</v>
      </c>
      <c r="C277" s="26" t="s">
        <v>33</v>
      </c>
      <c r="D277" s="26" t="s">
        <v>58</v>
      </c>
      <c r="E277" s="26" t="s">
        <v>97</v>
      </c>
      <c r="F277" s="26"/>
      <c r="G277" s="26" t="s">
        <v>100</v>
      </c>
      <c r="H277" s="26" t="s">
        <v>101</v>
      </c>
      <c r="I277" s="50">
        <v>239.7882958512518</v>
      </c>
      <c r="J277" s="26">
        <v>64</v>
      </c>
      <c r="K277" s="45">
        <v>46079</v>
      </c>
      <c r="L277" s="26" t="s">
        <v>14</v>
      </c>
      <c r="M277" s="132" t="s">
        <v>197</v>
      </c>
      <c r="N277" s="26">
        <v>2026</v>
      </c>
    </row>
    <row r="278" spans="1:14">
      <c r="A278" s="26">
        <v>277</v>
      </c>
      <c r="B278" s="26" t="s">
        <v>40</v>
      </c>
      <c r="C278" s="26" t="s">
        <v>40</v>
      </c>
      <c r="D278" s="26" t="s">
        <v>58</v>
      </c>
      <c r="E278" s="26" t="s">
        <v>97</v>
      </c>
      <c r="F278" s="26"/>
      <c r="G278" s="26" t="s">
        <v>100</v>
      </c>
      <c r="H278" s="26" t="s">
        <v>101</v>
      </c>
      <c r="I278" s="50">
        <v>1518.5833816748373</v>
      </c>
      <c r="J278" s="26">
        <v>64</v>
      </c>
      <c r="K278" s="45">
        <v>46079</v>
      </c>
      <c r="L278" s="26" t="s">
        <v>14</v>
      </c>
      <c r="M278" s="132" t="s">
        <v>197</v>
      </c>
      <c r="N278" s="26">
        <v>2026</v>
      </c>
    </row>
    <row r="279" spans="1:14">
      <c r="A279" s="26">
        <v>278</v>
      </c>
      <c r="B279" s="26" t="s">
        <v>50</v>
      </c>
      <c r="C279" s="26" t="s">
        <v>50</v>
      </c>
      <c r="D279" s="26" t="s">
        <v>58</v>
      </c>
      <c r="E279" s="26" t="s">
        <v>97</v>
      </c>
      <c r="F279" s="26"/>
      <c r="G279" s="26" t="s">
        <v>100</v>
      </c>
      <c r="H279" s="26" t="s">
        <v>101</v>
      </c>
      <c r="I279" s="47">
        <v>776.20233096211166</v>
      </c>
      <c r="J279" s="26">
        <v>64</v>
      </c>
      <c r="K279" s="45">
        <v>46079</v>
      </c>
      <c r="L279" s="26" t="s">
        <v>14</v>
      </c>
      <c r="M279" s="132" t="s">
        <v>197</v>
      </c>
      <c r="N279" s="26">
        <v>2026</v>
      </c>
    </row>
    <row r="280" spans="1:14">
      <c r="A280" s="26">
        <v>279</v>
      </c>
      <c r="B280" s="26" t="s">
        <v>56</v>
      </c>
      <c r="C280" s="26" t="s">
        <v>57</v>
      </c>
      <c r="D280" s="26" t="s">
        <v>19</v>
      </c>
      <c r="E280" s="26" t="s">
        <v>103</v>
      </c>
      <c r="F280" s="26"/>
      <c r="G280" s="26" t="s">
        <v>21</v>
      </c>
      <c r="H280" s="26" t="s">
        <v>103</v>
      </c>
      <c r="I280" s="50">
        <v>25000</v>
      </c>
      <c r="J280" s="26" t="s">
        <v>14</v>
      </c>
      <c r="K280" s="45" t="s">
        <v>14</v>
      </c>
      <c r="L280" s="26" t="s">
        <v>14</v>
      </c>
      <c r="M280" s="132" t="s">
        <v>197</v>
      </c>
      <c r="N280" s="26">
        <v>2026</v>
      </c>
    </row>
    <row r="281" spans="1:14">
      <c r="A281" s="26">
        <v>280</v>
      </c>
      <c r="B281" s="52" t="s">
        <v>56</v>
      </c>
      <c r="C281" s="52" t="s">
        <v>57</v>
      </c>
      <c r="D281" s="26" t="s">
        <v>58</v>
      </c>
      <c r="E281" s="52" t="s">
        <v>217</v>
      </c>
      <c r="F281" s="26"/>
      <c r="G281" s="52" t="s">
        <v>21</v>
      </c>
      <c r="H281" s="52" t="s">
        <v>217</v>
      </c>
      <c r="I281" s="47">
        <v>380000</v>
      </c>
      <c r="J281" s="26" t="s">
        <v>14</v>
      </c>
      <c r="K281" s="45" t="s">
        <v>14</v>
      </c>
      <c r="L281" s="26" t="s">
        <v>14</v>
      </c>
      <c r="M281" s="132" t="s">
        <v>197</v>
      </c>
      <c r="N281" s="26">
        <v>2026</v>
      </c>
    </row>
    <row r="282" spans="1:14">
      <c r="A282" s="26">
        <v>281</v>
      </c>
      <c r="B282" s="80" t="s">
        <v>261</v>
      </c>
      <c r="C282" s="80" t="s">
        <v>261</v>
      </c>
      <c r="D282" s="80" t="s">
        <v>58</v>
      </c>
      <c r="E282" s="52" t="s">
        <v>120</v>
      </c>
      <c r="F282" s="26"/>
      <c r="G282" s="52" t="s">
        <v>218</v>
      </c>
      <c r="H282" s="52" t="s">
        <v>120</v>
      </c>
      <c r="I282" s="44">
        <v>1006</v>
      </c>
      <c r="J282" s="132" t="s">
        <v>14</v>
      </c>
      <c r="K282" s="151">
        <v>46112</v>
      </c>
      <c r="L282" s="26" t="s">
        <v>14</v>
      </c>
      <c r="M282" s="132" t="s">
        <v>197</v>
      </c>
      <c r="N282" s="26">
        <v>2026</v>
      </c>
    </row>
    <row r="283" spans="1:14">
      <c r="A283" s="26">
        <v>282</v>
      </c>
      <c r="B283" s="26" t="s">
        <v>17</v>
      </c>
      <c r="C283" s="26" t="s">
        <v>25</v>
      </c>
      <c r="D283" s="26" t="s">
        <v>58</v>
      </c>
      <c r="E283" s="26" t="s">
        <v>68</v>
      </c>
      <c r="F283" s="26"/>
      <c r="G283" s="26" t="s">
        <v>109</v>
      </c>
      <c r="H283" s="127" t="s">
        <v>110</v>
      </c>
      <c r="I283" s="50">
        <v>2532.4675324675327</v>
      </c>
      <c r="J283" s="26" t="s">
        <v>471</v>
      </c>
      <c r="K283" s="45">
        <v>46083</v>
      </c>
      <c r="L283" s="26">
        <v>2026400724</v>
      </c>
      <c r="M283" s="132" t="s">
        <v>197</v>
      </c>
      <c r="N283" s="26">
        <v>2026</v>
      </c>
    </row>
    <row r="284" spans="1:14">
      <c r="A284" s="26">
        <v>283</v>
      </c>
      <c r="B284" s="26" t="s">
        <v>17</v>
      </c>
      <c r="C284" s="26" t="s">
        <v>18</v>
      </c>
      <c r="D284" s="26" t="s">
        <v>58</v>
      </c>
      <c r="E284" s="53" t="s">
        <v>68</v>
      </c>
      <c r="F284" s="26"/>
      <c r="G284" s="26" t="s">
        <v>109</v>
      </c>
      <c r="H284" s="127" t="s">
        <v>110</v>
      </c>
      <c r="I284" s="50">
        <v>2137.0129870129872</v>
      </c>
      <c r="J284" s="26" t="s">
        <v>225</v>
      </c>
      <c r="K284" s="45">
        <v>46078</v>
      </c>
      <c r="L284" s="26">
        <v>2026400730</v>
      </c>
      <c r="M284" s="132" t="s">
        <v>197</v>
      </c>
      <c r="N284" s="26">
        <v>2026</v>
      </c>
    </row>
    <row r="285" spans="1:14">
      <c r="A285" s="26">
        <v>284</v>
      </c>
      <c r="B285" s="26" t="s">
        <v>52</v>
      </c>
      <c r="C285" s="26" t="s">
        <v>53</v>
      </c>
      <c r="D285" s="26" t="s">
        <v>58</v>
      </c>
      <c r="E285" s="53" t="s">
        <v>68</v>
      </c>
      <c r="F285" s="26"/>
      <c r="G285" s="26" t="s">
        <v>109</v>
      </c>
      <c r="H285" s="127" t="s">
        <v>110</v>
      </c>
      <c r="I285" s="50">
        <v>649.35064935064941</v>
      </c>
      <c r="J285" s="26" t="s">
        <v>473</v>
      </c>
      <c r="K285" s="45">
        <v>46089</v>
      </c>
      <c r="L285" s="26">
        <v>2026400723</v>
      </c>
      <c r="M285" s="132" t="s">
        <v>197</v>
      </c>
      <c r="N285" s="26">
        <v>2026</v>
      </c>
    </row>
    <row r="286" spans="1:14">
      <c r="A286" s="26">
        <v>285</v>
      </c>
      <c r="B286" s="26" t="s">
        <v>40</v>
      </c>
      <c r="C286" s="26" t="s">
        <v>247</v>
      </c>
      <c r="D286" s="26" t="s">
        <v>58</v>
      </c>
      <c r="E286" s="26" t="s">
        <v>68</v>
      </c>
      <c r="F286" s="26"/>
      <c r="G286" s="26" t="s">
        <v>109</v>
      </c>
      <c r="H286" s="127" t="s">
        <v>110</v>
      </c>
      <c r="I286" s="50">
        <v>389.61038961038963</v>
      </c>
      <c r="J286" s="26" t="s">
        <v>472</v>
      </c>
      <c r="K286" s="45">
        <v>46090</v>
      </c>
      <c r="L286" s="26">
        <v>2026400717</v>
      </c>
      <c r="M286" s="132" t="s">
        <v>197</v>
      </c>
      <c r="N286" s="26">
        <v>2026</v>
      </c>
    </row>
    <row r="287" spans="1:14">
      <c r="A287" s="26">
        <v>286</v>
      </c>
      <c r="B287" s="26" t="s">
        <v>17</v>
      </c>
      <c r="C287" s="26" t="s">
        <v>22</v>
      </c>
      <c r="D287" s="26" t="s">
        <v>58</v>
      </c>
      <c r="E287" s="26" t="s">
        <v>68</v>
      </c>
      <c r="F287" s="26"/>
      <c r="G287" s="26" t="s">
        <v>109</v>
      </c>
      <c r="H287" s="127" t="s">
        <v>110</v>
      </c>
      <c r="I287" s="50">
        <v>292.20779220779218</v>
      </c>
      <c r="J287" s="26" t="s">
        <v>458</v>
      </c>
      <c r="K287" s="45">
        <v>46082</v>
      </c>
      <c r="L287" s="26">
        <v>2026400715</v>
      </c>
      <c r="M287" s="132" t="s">
        <v>197</v>
      </c>
      <c r="N287" s="26">
        <v>2026</v>
      </c>
    </row>
    <row r="288" spans="1:14">
      <c r="A288" s="26">
        <v>287</v>
      </c>
      <c r="B288" s="26" t="s">
        <v>52</v>
      </c>
      <c r="C288" s="26" t="s">
        <v>90</v>
      </c>
      <c r="D288" s="26" t="s">
        <v>58</v>
      </c>
      <c r="E288" s="53" t="s">
        <v>68</v>
      </c>
      <c r="F288" s="26"/>
      <c r="G288" s="26" t="s">
        <v>223</v>
      </c>
      <c r="H288" s="26" t="s">
        <v>297</v>
      </c>
      <c r="I288" s="50">
        <v>1363.6363636363637</v>
      </c>
      <c r="J288" s="26" t="s">
        <v>537</v>
      </c>
      <c r="K288" s="45">
        <v>46085</v>
      </c>
      <c r="L288" s="26">
        <v>2026400886</v>
      </c>
      <c r="M288" s="132" t="s">
        <v>197</v>
      </c>
      <c r="N288" s="26">
        <v>2026</v>
      </c>
    </row>
    <row r="289" spans="1:14">
      <c r="A289" s="26">
        <v>288</v>
      </c>
      <c r="B289" s="26" t="s">
        <v>40</v>
      </c>
      <c r="C289" s="26" t="s">
        <v>247</v>
      </c>
      <c r="D289" s="26" t="s">
        <v>58</v>
      </c>
      <c r="E289" s="53" t="s">
        <v>68</v>
      </c>
      <c r="F289" s="26"/>
      <c r="G289" s="26" t="s">
        <v>268</v>
      </c>
      <c r="H289" s="26" t="s">
        <v>111</v>
      </c>
      <c r="I289" s="50">
        <v>1428.5714285714287</v>
      </c>
      <c r="J289" s="26" t="s">
        <v>488</v>
      </c>
      <c r="K289" s="45">
        <v>46081</v>
      </c>
      <c r="L289" s="26">
        <v>2026400784</v>
      </c>
      <c r="M289" s="132" t="s">
        <v>197</v>
      </c>
      <c r="N289" s="26">
        <v>2026</v>
      </c>
    </row>
    <row r="290" spans="1:14">
      <c r="A290" s="26">
        <v>289</v>
      </c>
      <c r="B290" s="26" t="s">
        <v>52</v>
      </c>
      <c r="C290" s="26" t="s">
        <v>90</v>
      </c>
      <c r="D290" s="26" t="s">
        <v>58</v>
      </c>
      <c r="E290" s="53" t="s">
        <v>68</v>
      </c>
      <c r="F290" s="26"/>
      <c r="G290" s="26" t="s">
        <v>268</v>
      </c>
      <c r="H290" s="26" t="s">
        <v>111</v>
      </c>
      <c r="I290" s="50">
        <v>1071.4285714285713</v>
      </c>
      <c r="J290" s="26" t="s">
        <v>715</v>
      </c>
      <c r="K290" s="45">
        <v>46097</v>
      </c>
      <c r="L290" s="26">
        <v>2026401185</v>
      </c>
      <c r="M290" s="132" t="s">
        <v>197</v>
      </c>
      <c r="N290" s="26">
        <v>2026</v>
      </c>
    </row>
    <row r="291" spans="1:14">
      <c r="A291" s="26">
        <v>290</v>
      </c>
      <c r="B291" s="26" t="s">
        <v>40</v>
      </c>
      <c r="C291" s="26" t="s">
        <v>48</v>
      </c>
      <c r="D291" s="26" t="s">
        <v>58</v>
      </c>
      <c r="E291" s="53" t="s">
        <v>68</v>
      </c>
      <c r="F291" s="26"/>
      <c r="G291" s="26" t="s">
        <v>268</v>
      </c>
      <c r="H291" s="26" t="s">
        <v>111</v>
      </c>
      <c r="I291" s="50">
        <v>214.28571428571428</v>
      </c>
      <c r="J291" s="26" t="s">
        <v>721</v>
      </c>
      <c r="K291" s="45">
        <v>46113</v>
      </c>
      <c r="L291" s="26">
        <v>2026401189</v>
      </c>
      <c r="M291" s="132" t="s">
        <v>197</v>
      </c>
      <c r="N291" s="26">
        <v>2026</v>
      </c>
    </row>
    <row r="292" spans="1:14">
      <c r="A292" s="26">
        <v>291</v>
      </c>
      <c r="B292" s="26" t="s">
        <v>52</v>
      </c>
      <c r="C292" s="26" t="s">
        <v>90</v>
      </c>
      <c r="D292" s="26" t="s">
        <v>58</v>
      </c>
      <c r="E292" s="53" t="s">
        <v>68</v>
      </c>
      <c r="F292" s="26"/>
      <c r="G292" s="52" t="s">
        <v>445</v>
      </c>
      <c r="H292" s="26" t="s">
        <v>111</v>
      </c>
      <c r="I292" s="50">
        <v>1948.0519480519481</v>
      </c>
      <c r="J292" s="52" t="s">
        <v>588</v>
      </c>
      <c r="K292" s="54">
        <v>46092</v>
      </c>
      <c r="L292" s="52">
        <v>2026401048</v>
      </c>
      <c r="M292" s="132" t="s">
        <v>197</v>
      </c>
      <c r="N292" s="26">
        <v>2026</v>
      </c>
    </row>
    <row r="293" spans="1:14">
      <c r="A293" s="26">
        <v>292</v>
      </c>
      <c r="B293" s="26" t="s">
        <v>40</v>
      </c>
      <c r="C293" s="26" t="s">
        <v>48</v>
      </c>
      <c r="D293" s="26" t="s">
        <v>58</v>
      </c>
      <c r="E293" s="26" t="s">
        <v>68</v>
      </c>
      <c r="F293" s="26"/>
      <c r="G293" s="26" t="s">
        <v>439</v>
      </c>
      <c r="H293" s="26" t="s">
        <v>111</v>
      </c>
      <c r="I293" s="50">
        <v>1870.1298701298701</v>
      </c>
      <c r="J293" s="26" t="s">
        <v>509</v>
      </c>
      <c r="K293" s="45">
        <v>46082</v>
      </c>
      <c r="L293" s="26">
        <v>2026400935</v>
      </c>
      <c r="M293" s="132" t="s">
        <v>197</v>
      </c>
      <c r="N293" s="26">
        <v>2026</v>
      </c>
    </row>
    <row r="294" spans="1:14">
      <c r="A294" s="26">
        <v>293</v>
      </c>
      <c r="B294" s="26" t="s">
        <v>17</v>
      </c>
      <c r="C294" s="26" t="s">
        <v>22</v>
      </c>
      <c r="D294" s="26" t="s">
        <v>58</v>
      </c>
      <c r="E294" s="53" t="s">
        <v>68</v>
      </c>
      <c r="F294" s="26"/>
      <c r="G294" s="26" t="s">
        <v>271</v>
      </c>
      <c r="H294" s="26" t="s">
        <v>111</v>
      </c>
      <c r="I294" s="50">
        <v>4155.8441558441555</v>
      </c>
      <c r="J294" s="26" t="s">
        <v>510</v>
      </c>
      <c r="K294" s="54">
        <v>46086</v>
      </c>
      <c r="L294" s="26">
        <v>2026400943</v>
      </c>
      <c r="M294" s="132" t="s">
        <v>197</v>
      </c>
      <c r="N294" s="26">
        <v>2026</v>
      </c>
    </row>
    <row r="295" spans="1:14">
      <c r="A295" s="26">
        <v>294</v>
      </c>
      <c r="B295" s="26" t="s">
        <v>17</v>
      </c>
      <c r="C295" s="26" t="s">
        <v>22</v>
      </c>
      <c r="D295" s="26" t="s">
        <v>58</v>
      </c>
      <c r="E295" s="53" t="s">
        <v>68</v>
      </c>
      <c r="F295" s="26"/>
      <c r="G295" s="26" t="s">
        <v>271</v>
      </c>
      <c r="H295" s="26" t="s">
        <v>111</v>
      </c>
      <c r="I295" s="50">
        <v>584.41558441558436</v>
      </c>
      <c r="J295" s="26" t="s">
        <v>622</v>
      </c>
      <c r="K295" s="45">
        <v>46086</v>
      </c>
      <c r="L295" s="26">
        <v>2026400872</v>
      </c>
      <c r="M295" s="132" t="s">
        <v>197</v>
      </c>
      <c r="N295" s="26">
        <v>2026</v>
      </c>
    </row>
    <row r="296" spans="1:14">
      <c r="A296" s="26">
        <v>295</v>
      </c>
      <c r="B296" s="26" t="s">
        <v>17</v>
      </c>
      <c r="C296" s="26" t="s">
        <v>18</v>
      </c>
      <c r="D296" s="26" t="s">
        <v>58</v>
      </c>
      <c r="E296" s="53" t="s">
        <v>68</v>
      </c>
      <c r="F296" s="26"/>
      <c r="G296" s="26" t="s">
        <v>454</v>
      </c>
      <c r="H296" s="26" t="s">
        <v>111</v>
      </c>
      <c r="I296" s="50">
        <v>1262.3376623376623</v>
      </c>
      <c r="J296" s="26" t="s">
        <v>714</v>
      </c>
      <c r="K296" s="45">
        <v>46092</v>
      </c>
      <c r="L296" s="26">
        <v>2026401077</v>
      </c>
      <c r="M296" s="132" t="s">
        <v>197</v>
      </c>
      <c r="N296" s="26">
        <v>2026</v>
      </c>
    </row>
    <row r="297" spans="1:14">
      <c r="A297" s="26">
        <v>296</v>
      </c>
      <c r="B297" s="53" t="s">
        <v>52</v>
      </c>
      <c r="C297" s="53" t="s">
        <v>53</v>
      </c>
      <c r="D297" s="26" t="s">
        <v>58</v>
      </c>
      <c r="E297" s="53" t="s">
        <v>68</v>
      </c>
      <c r="F297" s="26"/>
      <c r="G297" s="53" t="s">
        <v>437</v>
      </c>
      <c r="H297" s="26" t="s">
        <v>111</v>
      </c>
      <c r="I297" s="50">
        <v>340.90909090909093</v>
      </c>
      <c r="J297" s="26" t="s">
        <v>462</v>
      </c>
      <c r="K297" s="45">
        <v>46079</v>
      </c>
      <c r="L297" s="26">
        <v>2026400834</v>
      </c>
      <c r="M297" s="132" t="s">
        <v>197</v>
      </c>
      <c r="N297" s="26">
        <v>2026</v>
      </c>
    </row>
    <row r="298" spans="1:14">
      <c r="A298" s="26">
        <v>297</v>
      </c>
      <c r="B298" s="26" t="s">
        <v>259</v>
      </c>
      <c r="C298" s="26" t="s">
        <v>260</v>
      </c>
      <c r="D298" s="26" t="s">
        <v>58</v>
      </c>
      <c r="E298" s="53" t="s">
        <v>68</v>
      </c>
      <c r="F298" s="26"/>
      <c r="G298" s="26" t="s">
        <v>436</v>
      </c>
      <c r="H298" s="26" t="s">
        <v>111</v>
      </c>
      <c r="I298" s="50">
        <v>454.54545454545456</v>
      </c>
      <c r="J298" s="26" t="s">
        <v>456</v>
      </c>
      <c r="K298" s="45">
        <v>46081</v>
      </c>
      <c r="L298" s="26">
        <v>2026400787</v>
      </c>
      <c r="M298" s="132" t="s">
        <v>197</v>
      </c>
      <c r="N298" s="26">
        <v>2026</v>
      </c>
    </row>
    <row r="299" spans="1:14">
      <c r="A299" s="26">
        <v>298</v>
      </c>
      <c r="B299" s="26" t="s">
        <v>40</v>
      </c>
      <c r="C299" s="26" t="s">
        <v>45</v>
      </c>
      <c r="D299" s="26" t="s">
        <v>58</v>
      </c>
      <c r="E299" s="53" t="s">
        <v>68</v>
      </c>
      <c r="F299" s="26"/>
      <c r="G299" s="26" t="s">
        <v>112</v>
      </c>
      <c r="H299" s="132" t="s">
        <v>258</v>
      </c>
      <c r="I299" s="47">
        <v>2186.1</v>
      </c>
      <c r="J299" s="26" t="s">
        <v>457</v>
      </c>
      <c r="K299" s="45">
        <v>46079</v>
      </c>
      <c r="L299" s="26">
        <v>2026400427</v>
      </c>
      <c r="M299" s="132" t="s">
        <v>197</v>
      </c>
      <c r="N299" s="26">
        <v>2026</v>
      </c>
    </row>
    <row r="300" spans="1:14">
      <c r="A300" s="26">
        <v>299</v>
      </c>
      <c r="B300" s="26" t="s">
        <v>17</v>
      </c>
      <c r="C300" s="26" t="s">
        <v>18</v>
      </c>
      <c r="D300" s="26" t="s">
        <v>58</v>
      </c>
      <c r="E300" s="53" t="s">
        <v>68</v>
      </c>
      <c r="F300" s="26"/>
      <c r="G300" s="26" t="s">
        <v>112</v>
      </c>
      <c r="H300" s="132" t="s">
        <v>258</v>
      </c>
      <c r="I300" s="47">
        <v>2284.9</v>
      </c>
      <c r="J300" s="26" t="s">
        <v>496</v>
      </c>
      <c r="K300" s="45">
        <v>46079</v>
      </c>
      <c r="L300" s="26">
        <v>2026400680</v>
      </c>
      <c r="M300" s="132" t="s">
        <v>197</v>
      </c>
      <c r="N300" s="26">
        <v>2026</v>
      </c>
    </row>
    <row r="301" spans="1:14">
      <c r="A301" s="26">
        <v>300</v>
      </c>
      <c r="B301" s="26" t="s">
        <v>50</v>
      </c>
      <c r="C301" s="26" t="s">
        <v>60</v>
      </c>
      <c r="D301" s="26" t="s">
        <v>58</v>
      </c>
      <c r="E301" s="53" t="s">
        <v>68</v>
      </c>
      <c r="F301" s="26"/>
      <c r="G301" s="26" t="s">
        <v>112</v>
      </c>
      <c r="H301" s="132" t="s">
        <v>258</v>
      </c>
      <c r="I301" s="47">
        <v>1963</v>
      </c>
      <c r="J301" s="26" t="s">
        <v>530</v>
      </c>
      <c r="K301" s="45">
        <v>46092</v>
      </c>
      <c r="L301" s="26">
        <v>2026400713</v>
      </c>
      <c r="M301" s="132" t="s">
        <v>197</v>
      </c>
      <c r="N301" s="26">
        <v>2026</v>
      </c>
    </row>
    <row r="302" spans="1:14">
      <c r="A302" s="26">
        <v>301</v>
      </c>
      <c r="B302" s="26" t="s">
        <v>50</v>
      </c>
      <c r="C302" s="26" t="s">
        <v>60</v>
      </c>
      <c r="D302" s="26" t="s">
        <v>58</v>
      </c>
      <c r="E302" s="53" t="s">
        <v>68</v>
      </c>
      <c r="F302" s="26"/>
      <c r="G302" s="26" t="s">
        <v>112</v>
      </c>
      <c r="H302" s="132" t="s">
        <v>258</v>
      </c>
      <c r="I302" s="47">
        <v>914.4</v>
      </c>
      <c r="J302" s="26" t="s">
        <v>539</v>
      </c>
      <c r="K302" s="45">
        <v>46092</v>
      </c>
      <c r="L302" s="26">
        <v>2026400716</v>
      </c>
      <c r="M302" s="132" t="s">
        <v>197</v>
      </c>
      <c r="N302" s="26">
        <v>2026</v>
      </c>
    </row>
    <row r="303" spans="1:14">
      <c r="A303" s="26">
        <v>302</v>
      </c>
      <c r="B303" s="26" t="s">
        <v>40</v>
      </c>
      <c r="C303" s="26" t="s">
        <v>48</v>
      </c>
      <c r="D303" s="26" t="s">
        <v>58</v>
      </c>
      <c r="E303" s="53" t="s">
        <v>68</v>
      </c>
      <c r="F303" s="26"/>
      <c r="G303" s="52" t="s">
        <v>112</v>
      </c>
      <c r="H303" s="132" t="s">
        <v>258</v>
      </c>
      <c r="I303" s="47">
        <v>287.89999999999998</v>
      </c>
      <c r="J303" s="52" t="s">
        <v>583</v>
      </c>
      <c r="K303" s="45">
        <v>46092</v>
      </c>
      <c r="L303" s="52">
        <v>2026400681</v>
      </c>
      <c r="M303" s="132" t="s">
        <v>197</v>
      </c>
      <c r="N303" s="26">
        <v>2026</v>
      </c>
    </row>
    <row r="304" spans="1:14">
      <c r="A304" s="26">
        <v>303</v>
      </c>
      <c r="B304" s="26" t="s">
        <v>40</v>
      </c>
      <c r="C304" s="26" t="s">
        <v>247</v>
      </c>
      <c r="D304" s="26" t="s">
        <v>58</v>
      </c>
      <c r="E304" s="53" t="s">
        <v>68</v>
      </c>
      <c r="F304" s="26"/>
      <c r="G304" s="26" t="s">
        <v>112</v>
      </c>
      <c r="H304" s="132" t="s">
        <v>258</v>
      </c>
      <c r="I304" s="47">
        <v>1637.1</v>
      </c>
      <c r="J304" s="26" t="s">
        <v>585</v>
      </c>
      <c r="K304" s="45">
        <v>46092</v>
      </c>
      <c r="L304" s="26">
        <v>2026400732</v>
      </c>
      <c r="M304" s="132" t="s">
        <v>197</v>
      </c>
      <c r="N304" s="26">
        <v>2026</v>
      </c>
    </row>
    <row r="305" spans="1:14">
      <c r="A305" s="26">
        <v>304</v>
      </c>
      <c r="B305" s="26" t="s">
        <v>52</v>
      </c>
      <c r="C305" s="26" t="s">
        <v>90</v>
      </c>
      <c r="D305" s="26" t="s">
        <v>58</v>
      </c>
      <c r="E305" s="53" t="s">
        <v>68</v>
      </c>
      <c r="F305" s="26"/>
      <c r="G305" s="26" t="s">
        <v>112</v>
      </c>
      <c r="H305" s="132" t="s">
        <v>258</v>
      </c>
      <c r="I305" s="47">
        <v>2500</v>
      </c>
      <c r="J305" s="26" t="s">
        <v>592</v>
      </c>
      <c r="K305" s="45">
        <v>46095</v>
      </c>
      <c r="L305" s="26">
        <v>2026400960</v>
      </c>
      <c r="M305" s="132" t="s">
        <v>197</v>
      </c>
      <c r="N305" s="26">
        <v>2026</v>
      </c>
    </row>
    <row r="306" spans="1:14">
      <c r="A306" s="26">
        <v>305</v>
      </c>
      <c r="B306" s="26" t="s">
        <v>17</v>
      </c>
      <c r="C306" s="26" t="s">
        <v>18</v>
      </c>
      <c r="D306" s="26" t="s">
        <v>58</v>
      </c>
      <c r="E306" s="53" t="s">
        <v>68</v>
      </c>
      <c r="F306" s="26"/>
      <c r="G306" s="26" t="s">
        <v>112</v>
      </c>
      <c r="H306" s="132" t="s">
        <v>258</v>
      </c>
      <c r="I306" s="47">
        <v>1141</v>
      </c>
      <c r="J306" s="26" t="s">
        <v>598</v>
      </c>
      <c r="K306" s="45">
        <v>46095</v>
      </c>
      <c r="L306" s="26">
        <v>2026401030</v>
      </c>
      <c r="M306" s="132" t="s">
        <v>197</v>
      </c>
      <c r="N306" s="26">
        <v>2026</v>
      </c>
    </row>
    <row r="307" spans="1:14">
      <c r="A307" s="26">
        <v>306</v>
      </c>
      <c r="B307" s="26" t="s">
        <v>17</v>
      </c>
      <c r="C307" s="26" t="s">
        <v>400</v>
      </c>
      <c r="D307" s="26" t="s">
        <v>58</v>
      </c>
      <c r="E307" s="53" t="s">
        <v>68</v>
      </c>
      <c r="F307" s="26"/>
      <c r="G307" s="26" t="s">
        <v>112</v>
      </c>
      <c r="H307" s="132" t="s">
        <v>258</v>
      </c>
      <c r="I307" s="47">
        <v>1390</v>
      </c>
      <c r="J307" s="26" t="s">
        <v>600</v>
      </c>
      <c r="K307" s="45">
        <v>46096</v>
      </c>
      <c r="L307" s="26">
        <v>2026401031</v>
      </c>
      <c r="M307" s="132" t="s">
        <v>197</v>
      </c>
      <c r="N307" s="26">
        <v>2026</v>
      </c>
    </row>
    <row r="308" spans="1:14">
      <c r="A308" s="26">
        <v>307</v>
      </c>
      <c r="B308" s="26" t="s">
        <v>40</v>
      </c>
      <c r="C308" s="26" t="s">
        <v>247</v>
      </c>
      <c r="D308" s="26" t="s">
        <v>58</v>
      </c>
      <c r="E308" s="53" t="s">
        <v>68</v>
      </c>
      <c r="F308" s="26"/>
      <c r="G308" s="26" t="s">
        <v>112</v>
      </c>
      <c r="H308" s="132" t="s">
        <v>258</v>
      </c>
      <c r="I308" s="47">
        <v>728.4</v>
      </c>
      <c r="J308" s="26" t="s">
        <v>656</v>
      </c>
      <c r="K308" s="45">
        <v>46097</v>
      </c>
      <c r="L308" s="26">
        <v>2026400965</v>
      </c>
      <c r="M308" s="132" t="s">
        <v>197</v>
      </c>
      <c r="N308" s="26">
        <v>2026</v>
      </c>
    </row>
    <row r="309" spans="1:14">
      <c r="A309" s="26">
        <v>308</v>
      </c>
      <c r="B309" s="26" t="s">
        <v>17</v>
      </c>
      <c r="C309" s="26" t="s">
        <v>18</v>
      </c>
      <c r="D309" s="26" t="s">
        <v>58</v>
      </c>
      <c r="E309" s="53" t="s">
        <v>68</v>
      </c>
      <c r="F309" s="26"/>
      <c r="G309" s="26" t="s">
        <v>112</v>
      </c>
      <c r="H309" s="132" t="s">
        <v>258</v>
      </c>
      <c r="I309" s="47">
        <v>1200</v>
      </c>
      <c r="J309" s="26" t="s">
        <v>661</v>
      </c>
      <c r="K309" s="45">
        <v>46099</v>
      </c>
      <c r="L309" s="26">
        <v>2026401089</v>
      </c>
      <c r="M309" s="132" t="s">
        <v>197</v>
      </c>
      <c r="N309" s="26">
        <v>2026</v>
      </c>
    </row>
    <row r="310" spans="1:14">
      <c r="A310" s="26">
        <v>309</v>
      </c>
      <c r="B310" s="26" t="s">
        <v>17</v>
      </c>
      <c r="C310" s="26" t="s">
        <v>18</v>
      </c>
      <c r="D310" s="26" t="s">
        <v>58</v>
      </c>
      <c r="E310" s="53" t="s">
        <v>68</v>
      </c>
      <c r="F310" s="26"/>
      <c r="G310" s="26" t="s">
        <v>112</v>
      </c>
      <c r="H310" s="132" t="s">
        <v>258</v>
      </c>
      <c r="I310" s="47">
        <v>2970.5</v>
      </c>
      <c r="J310" s="26" t="s">
        <v>662</v>
      </c>
      <c r="K310" s="45">
        <v>46099</v>
      </c>
      <c r="L310" s="26">
        <v>2026401085</v>
      </c>
      <c r="M310" s="132" t="s">
        <v>197</v>
      </c>
      <c r="N310" s="26">
        <v>2026</v>
      </c>
    </row>
    <row r="311" spans="1:14">
      <c r="A311" s="26">
        <v>310</v>
      </c>
      <c r="B311" s="26" t="s">
        <v>17</v>
      </c>
      <c r="C311" s="26" t="s">
        <v>18</v>
      </c>
      <c r="D311" s="26" t="s">
        <v>58</v>
      </c>
      <c r="E311" s="53" t="s">
        <v>68</v>
      </c>
      <c r="F311" s="26"/>
      <c r="G311" s="26" t="s">
        <v>112</v>
      </c>
      <c r="H311" s="132" t="s">
        <v>258</v>
      </c>
      <c r="I311" s="47">
        <v>12060</v>
      </c>
      <c r="J311" s="26" t="s">
        <v>663</v>
      </c>
      <c r="K311" s="45">
        <v>46098</v>
      </c>
      <c r="L311" s="26">
        <v>2026401069</v>
      </c>
      <c r="M311" s="132" t="s">
        <v>197</v>
      </c>
      <c r="N311" s="26">
        <v>2026</v>
      </c>
    </row>
    <row r="312" spans="1:14">
      <c r="A312" s="26">
        <v>311</v>
      </c>
      <c r="B312" s="26" t="s">
        <v>17</v>
      </c>
      <c r="C312" s="26" t="s">
        <v>18</v>
      </c>
      <c r="D312" s="26" t="s">
        <v>58</v>
      </c>
      <c r="E312" s="53" t="s">
        <v>68</v>
      </c>
      <c r="F312" s="26"/>
      <c r="G312" s="26" t="s">
        <v>112</v>
      </c>
      <c r="H312" s="132" t="s">
        <v>258</v>
      </c>
      <c r="I312" s="47">
        <v>1540</v>
      </c>
      <c r="J312" s="26" t="s">
        <v>666</v>
      </c>
      <c r="K312" s="45">
        <v>46099</v>
      </c>
      <c r="L312" s="26">
        <v>2026401090</v>
      </c>
      <c r="M312" s="132" t="s">
        <v>197</v>
      </c>
      <c r="N312" s="26">
        <v>2026</v>
      </c>
    </row>
    <row r="313" spans="1:14">
      <c r="A313" s="26">
        <v>312</v>
      </c>
      <c r="B313" s="26" t="s">
        <v>40</v>
      </c>
      <c r="C313" s="26" t="s">
        <v>247</v>
      </c>
      <c r="D313" s="26" t="s">
        <v>58</v>
      </c>
      <c r="E313" s="53" t="s">
        <v>68</v>
      </c>
      <c r="F313" s="26"/>
      <c r="G313" s="26" t="s">
        <v>112</v>
      </c>
      <c r="H313" s="132" t="s">
        <v>258</v>
      </c>
      <c r="I313" s="47">
        <v>24140</v>
      </c>
      <c r="J313" s="26" t="s">
        <v>669</v>
      </c>
      <c r="K313" s="45">
        <v>46099</v>
      </c>
      <c r="L313" s="26">
        <v>2026401067</v>
      </c>
      <c r="M313" s="132" t="s">
        <v>197</v>
      </c>
      <c r="N313" s="26">
        <v>2026</v>
      </c>
    </row>
    <row r="314" spans="1:14">
      <c r="A314" s="26">
        <v>313</v>
      </c>
      <c r="B314" s="26" t="s">
        <v>40</v>
      </c>
      <c r="C314" s="26" t="s">
        <v>48</v>
      </c>
      <c r="D314" s="26" t="s">
        <v>58</v>
      </c>
      <c r="E314" s="53" t="s">
        <v>68</v>
      </c>
      <c r="F314" s="26"/>
      <c r="G314" s="26" t="s">
        <v>112</v>
      </c>
      <c r="H314" s="132" t="s">
        <v>258</v>
      </c>
      <c r="I314" s="47">
        <v>16709.900000000001</v>
      </c>
      <c r="J314" s="26" t="s">
        <v>716</v>
      </c>
      <c r="K314" s="45">
        <v>46096</v>
      </c>
      <c r="L314" s="26">
        <v>2026401065</v>
      </c>
      <c r="M314" s="132" t="s">
        <v>197</v>
      </c>
      <c r="N314" s="26">
        <v>2026</v>
      </c>
    </row>
    <row r="315" spans="1:14">
      <c r="A315" s="26">
        <v>314</v>
      </c>
      <c r="B315" s="26" t="s">
        <v>50</v>
      </c>
      <c r="C315" s="26" t="s">
        <v>60</v>
      </c>
      <c r="D315" s="26" t="s">
        <v>58</v>
      </c>
      <c r="E315" s="53" t="s">
        <v>68</v>
      </c>
      <c r="F315" s="26"/>
      <c r="G315" s="26" t="s">
        <v>112</v>
      </c>
      <c r="H315" s="132" t="s">
        <v>258</v>
      </c>
      <c r="I315" s="47">
        <v>13812.4</v>
      </c>
      <c r="J315" s="26" t="s">
        <v>717</v>
      </c>
      <c r="K315" s="45">
        <v>46098</v>
      </c>
      <c r="L315" s="26">
        <v>2026400898</v>
      </c>
      <c r="M315" s="132" t="s">
        <v>197</v>
      </c>
      <c r="N315" s="26">
        <v>2026</v>
      </c>
    </row>
    <row r="316" spans="1:14">
      <c r="A316" s="26">
        <v>315</v>
      </c>
      <c r="B316" s="26" t="s">
        <v>40</v>
      </c>
      <c r="C316" s="26" t="s">
        <v>48</v>
      </c>
      <c r="D316" s="26" t="s">
        <v>58</v>
      </c>
      <c r="E316" s="53" t="s">
        <v>68</v>
      </c>
      <c r="F316" s="26"/>
      <c r="G316" s="26" t="s">
        <v>112</v>
      </c>
      <c r="H316" s="132" t="s">
        <v>258</v>
      </c>
      <c r="I316" s="47">
        <v>760.2</v>
      </c>
      <c r="J316" s="26" t="s">
        <v>723</v>
      </c>
      <c r="K316" s="45">
        <v>46118</v>
      </c>
      <c r="L316" s="26">
        <v>2026401264</v>
      </c>
      <c r="M316" s="132" t="s">
        <v>197</v>
      </c>
      <c r="N316" s="26">
        <v>2026</v>
      </c>
    </row>
    <row r="317" spans="1:14">
      <c r="A317" s="26">
        <v>316</v>
      </c>
      <c r="B317" s="26" t="s">
        <v>40</v>
      </c>
      <c r="C317" s="26" t="s">
        <v>48</v>
      </c>
      <c r="D317" s="26" t="s">
        <v>58</v>
      </c>
      <c r="E317" s="53" t="s">
        <v>68</v>
      </c>
      <c r="F317" s="26"/>
      <c r="G317" s="26" t="s">
        <v>441</v>
      </c>
      <c r="H317" s="26" t="s">
        <v>726</v>
      </c>
      <c r="I317" s="50">
        <v>5481.818181818182</v>
      </c>
      <c r="J317" s="26" t="s">
        <v>542</v>
      </c>
      <c r="K317" s="45">
        <v>46093</v>
      </c>
      <c r="L317" s="26">
        <v>2026400873</v>
      </c>
      <c r="M317" s="132" t="s">
        <v>197</v>
      </c>
      <c r="N317" s="26">
        <v>2026</v>
      </c>
    </row>
    <row r="318" spans="1:14">
      <c r="A318" s="26">
        <v>317</v>
      </c>
      <c r="B318" s="26" t="s">
        <v>50</v>
      </c>
      <c r="C318" s="26" t="s">
        <v>60</v>
      </c>
      <c r="D318" s="26" t="s">
        <v>58</v>
      </c>
      <c r="E318" s="53" t="s">
        <v>68</v>
      </c>
      <c r="F318" s="26"/>
      <c r="G318" s="26" t="s">
        <v>441</v>
      </c>
      <c r="H318" s="26" t="s">
        <v>726</v>
      </c>
      <c r="I318" s="50">
        <v>1357.1428571428571</v>
      </c>
      <c r="J318" s="26" t="s">
        <v>543</v>
      </c>
      <c r="K318" s="45">
        <v>46093</v>
      </c>
      <c r="L318" s="26">
        <v>2026400845</v>
      </c>
      <c r="M318" s="132" t="s">
        <v>197</v>
      </c>
      <c r="N318" s="26">
        <v>2026</v>
      </c>
    </row>
    <row r="319" spans="1:14">
      <c r="A319" s="26">
        <v>318</v>
      </c>
      <c r="B319" s="26" t="s">
        <v>40</v>
      </c>
      <c r="C319" s="26" t="s">
        <v>48</v>
      </c>
      <c r="D319" s="26" t="s">
        <v>58</v>
      </c>
      <c r="E319" s="53" t="s">
        <v>68</v>
      </c>
      <c r="F319" s="26"/>
      <c r="G319" s="26" t="s">
        <v>441</v>
      </c>
      <c r="H319" s="26" t="s">
        <v>726</v>
      </c>
      <c r="I319" s="50">
        <v>857.14285714285711</v>
      </c>
      <c r="J319" s="26" t="s">
        <v>541</v>
      </c>
      <c r="K319" s="45">
        <v>46093</v>
      </c>
      <c r="L319" s="26">
        <v>2026400888</v>
      </c>
      <c r="M319" s="132" t="s">
        <v>197</v>
      </c>
      <c r="N319" s="26">
        <v>2026</v>
      </c>
    </row>
    <row r="320" spans="1:14">
      <c r="A320" s="26">
        <v>319</v>
      </c>
      <c r="B320" s="26" t="s">
        <v>50</v>
      </c>
      <c r="C320" s="26" t="s">
        <v>60</v>
      </c>
      <c r="D320" s="26" t="s">
        <v>58</v>
      </c>
      <c r="E320" s="26" t="s">
        <v>68</v>
      </c>
      <c r="F320" s="26"/>
      <c r="G320" s="26" t="s">
        <v>441</v>
      </c>
      <c r="H320" s="26" t="s">
        <v>726</v>
      </c>
      <c r="I320" s="50">
        <v>740.25974025974028</v>
      </c>
      <c r="J320" s="26" t="s">
        <v>578</v>
      </c>
      <c r="K320" s="45">
        <v>46093</v>
      </c>
      <c r="L320" s="26">
        <v>2026400846</v>
      </c>
      <c r="M320" s="132" t="s">
        <v>197</v>
      </c>
      <c r="N320" s="26">
        <v>2026</v>
      </c>
    </row>
    <row r="321" spans="1:14">
      <c r="A321" s="26">
        <v>320</v>
      </c>
      <c r="B321" s="26" t="s">
        <v>52</v>
      </c>
      <c r="C321" s="26" t="s">
        <v>90</v>
      </c>
      <c r="D321" s="26" t="s">
        <v>58</v>
      </c>
      <c r="E321" s="53" t="s">
        <v>68</v>
      </c>
      <c r="F321" s="26"/>
      <c r="G321" s="26" t="s">
        <v>449</v>
      </c>
      <c r="H321" s="26" t="s">
        <v>727</v>
      </c>
      <c r="I321" s="50">
        <v>1899.3506493506493</v>
      </c>
      <c r="J321" s="26" t="s">
        <v>674</v>
      </c>
      <c r="K321" s="45">
        <v>46097</v>
      </c>
      <c r="L321" s="26">
        <v>2026401103</v>
      </c>
      <c r="M321" s="132" t="s">
        <v>197</v>
      </c>
      <c r="N321" s="26">
        <v>2026</v>
      </c>
    </row>
    <row r="322" spans="1:14">
      <c r="A322" s="26">
        <v>321</v>
      </c>
      <c r="B322" s="26" t="s">
        <v>17</v>
      </c>
      <c r="C322" s="26" t="s">
        <v>22</v>
      </c>
      <c r="D322" s="26" t="s">
        <v>58</v>
      </c>
      <c r="E322" s="53" t="s">
        <v>68</v>
      </c>
      <c r="F322" s="26"/>
      <c r="G322" s="26" t="s">
        <v>113</v>
      </c>
      <c r="H322" s="26" t="s">
        <v>111</v>
      </c>
      <c r="I322" s="50">
        <v>35.714285714285715</v>
      </c>
      <c r="J322" s="26" t="s">
        <v>712</v>
      </c>
      <c r="K322" s="45">
        <v>46099</v>
      </c>
      <c r="L322" s="26">
        <v>2026401174</v>
      </c>
      <c r="M322" s="132" t="s">
        <v>197</v>
      </c>
      <c r="N322" s="26">
        <v>2026</v>
      </c>
    </row>
    <row r="323" spans="1:14">
      <c r="A323" s="26">
        <v>322</v>
      </c>
      <c r="B323" s="26" t="s">
        <v>17</v>
      </c>
      <c r="C323" s="26" t="s">
        <v>22</v>
      </c>
      <c r="D323" s="26" t="s">
        <v>58</v>
      </c>
      <c r="E323" s="53" t="s">
        <v>68</v>
      </c>
      <c r="F323" s="26"/>
      <c r="G323" s="26" t="s">
        <v>113</v>
      </c>
      <c r="H323" s="26" t="s">
        <v>111</v>
      </c>
      <c r="I323" s="50">
        <v>32.467532467532465</v>
      </c>
      <c r="J323" s="26" t="s">
        <v>713</v>
      </c>
      <c r="K323" s="45">
        <v>46106</v>
      </c>
      <c r="L323" s="26">
        <v>2026401175</v>
      </c>
      <c r="M323" s="132" t="s">
        <v>197</v>
      </c>
      <c r="N323" s="26">
        <v>2026</v>
      </c>
    </row>
    <row r="324" spans="1:14">
      <c r="A324" s="26">
        <v>323</v>
      </c>
      <c r="B324" s="26" t="s">
        <v>50</v>
      </c>
      <c r="C324" s="26" t="s">
        <v>60</v>
      </c>
      <c r="D324" s="26" t="s">
        <v>58</v>
      </c>
      <c r="E324" s="53" t="s">
        <v>68</v>
      </c>
      <c r="F324" s="26"/>
      <c r="G324" s="26" t="s">
        <v>251</v>
      </c>
      <c r="H324" s="26" t="s">
        <v>111</v>
      </c>
      <c r="I324" s="50">
        <v>8701.2987012987014</v>
      </c>
      <c r="J324" s="26" t="s">
        <v>503</v>
      </c>
      <c r="K324" s="45">
        <v>46082</v>
      </c>
      <c r="L324" s="26">
        <v>2026400901</v>
      </c>
      <c r="M324" s="132" t="s">
        <v>197</v>
      </c>
      <c r="N324" s="26">
        <v>2026</v>
      </c>
    </row>
    <row r="325" spans="1:14">
      <c r="A325" s="26">
        <v>324</v>
      </c>
      <c r="B325" s="26" t="s">
        <v>50</v>
      </c>
      <c r="C325" s="26" t="s">
        <v>60</v>
      </c>
      <c r="D325" s="26" t="s">
        <v>58</v>
      </c>
      <c r="E325" s="53" t="s">
        <v>68</v>
      </c>
      <c r="F325" s="26"/>
      <c r="G325" s="26" t="s">
        <v>251</v>
      </c>
      <c r="H325" s="26" t="s">
        <v>111</v>
      </c>
      <c r="I325" s="50">
        <v>6337.6623376623374</v>
      </c>
      <c r="J325" s="26" t="s">
        <v>582</v>
      </c>
      <c r="K325" s="45">
        <v>46082</v>
      </c>
      <c r="L325" s="26">
        <v>2026400896</v>
      </c>
      <c r="M325" s="132" t="s">
        <v>197</v>
      </c>
      <c r="N325" s="26">
        <v>2026</v>
      </c>
    </row>
    <row r="326" spans="1:14">
      <c r="A326" s="26">
        <v>325</v>
      </c>
      <c r="B326" s="26" t="s">
        <v>40</v>
      </c>
      <c r="C326" s="26" t="s">
        <v>41</v>
      </c>
      <c r="D326" s="26" t="s">
        <v>58</v>
      </c>
      <c r="E326" s="53" t="s">
        <v>68</v>
      </c>
      <c r="F326" s="26"/>
      <c r="G326" s="26" t="s">
        <v>251</v>
      </c>
      <c r="H326" s="26" t="s">
        <v>111</v>
      </c>
      <c r="I326" s="50">
        <v>1344.1558441558441</v>
      </c>
      <c r="J326" s="26" t="s">
        <v>504</v>
      </c>
      <c r="K326" s="45">
        <v>46088</v>
      </c>
      <c r="L326" s="26">
        <v>2026400904</v>
      </c>
      <c r="M326" s="132" t="s">
        <v>197</v>
      </c>
      <c r="N326" s="26">
        <v>2026</v>
      </c>
    </row>
    <row r="327" spans="1:14">
      <c r="A327" s="26">
        <v>326</v>
      </c>
      <c r="B327" s="26" t="s">
        <v>33</v>
      </c>
      <c r="C327" s="26" t="s">
        <v>35</v>
      </c>
      <c r="D327" s="26" t="s">
        <v>58</v>
      </c>
      <c r="E327" s="53" t="s">
        <v>68</v>
      </c>
      <c r="F327" s="26"/>
      <c r="G327" s="26" t="s">
        <v>290</v>
      </c>
      <c r="H327" s="127" t="s">
        <v>227</v>
      </c>
      <c r="I327" s="50">
        <v>2127.2727272727275</v>
      </c>
      <c r="J327" s="26" t="s">
        <v>512</v>
      </c>
      <c r="K327" s="45">
        <v>46071</v>
      </c>
      <c r="L327" s="26">
        <v>2026400907</v>
      </c>
      <c r="M327" s="132" t="s">
        <v>197</v>
      </c>
      <c r="N327" s="26">
        <v>2026</v>
      </c>
    </row>
    <row r="328" spans="1:14">
      <c r="A328" s="26">
        <v>327</v>
      </c>
      <c r="B328" s="26" t="s">
        <v>33</v>
      </c>
      <c r="C328" s="26" t="s">
        <v>35</v>
      </c>
      <c r="D328" s="26" t="s">
        <v>58</v>
      </c>
      <c r="E328" s="26" t="s">
        <v>68</v>
      </c>
      <c r="F328" s="26"/>
      <c r="G328" s="26" t="s">
        <v>290</v>
      </c>
      <c r="H328" s="127" t="s">
        <v>227</v>
      </c>
      <c r="I328" s="50">
        <v>1872.7272727272727</v>
      </c>
      <c r="J328" s="26" t="s">
        <v>511</v>
      </c>
      <c r="K328" s="45">
        <v>46084</v>
      </c>
      <c r="L328" s="26">
        <v>2026400910</v>
      </c>
      <c r="M328" s="132" t="s">
        <v>197</v>
      </c>
      <c r="N328" s="26">
        <v>2026</v>
      </c>
    </row>
    <row r="329" spans="1:14">
      <c r="A329" s="26">
        <v>328</v>
      </c>
      <c r="B329" s="26" t="s">
        <v>40</v>
      </c>
      <c r="C329" s="26" t="s">
        <v>247</v>
      </c>
      <c r="D329" s="26" t="s">
        <v>58</v>
      </c>
      <c r="E329" s="26" t="s">
        <v>68</v>
      </c>
      <c r="F329" s="26"/>
      <c r="G329" s="26" t="s">
        <v>295</v>
      </c>
      <c r="H329" s="26" t="s">
        <v>111</v>
      </c>
      <c r="I329" s="50">
        <v>1866.8831168831168</v>
      </c>
      <c r="J329" s="26" t="s">
        <v>581</v>
      </c>
      <c r="K329" s="45">
        <v>46094</v>
      </c>
      <c r="L329" s="26">
        <v>2026400964</v>
      </c>
      <c r="M329" s="132" t="s">
        <v>197</v>
      </c>
      <c r="N329" s="26">
        <v>2026</v>
      </c>
    </row>
    <row r="330" spans="1:14">
      <c r="A330" s="26">
        <v>329</v>
      </c>
      <c r="B330" s="26" t="s">
        <v>17</v>
      </c>
      <c r="C330" s="26" t="s">
        <v>25</v>
      </c>
      <c r="D330" s="26" t="s">
        <v>58</v>
      </c>
      <c r="E330" s="53" t="s">
        <v>68</v>
      </c>
      <c r="F330" s="26"/>
      <c r="G330" s="26" t="s">
        <v>224</v>
      </c>
      <c r="H330" s="26" t="s">
        <v>227</v>
      </c>
      <c r="I330" s="50">
        <v>5267.5324675324673</v>
      </c>
      <c r="J330" s="26" t="s">
        <v>678</v>
      </c>
      <c r="K330" s="45">
        <v>46092</v>
      </c>
      <c r="L330" s="26">
        <v>2026401123</v>
      </c>
      <c r="M330" s="132" t="s">
        <v>197</v>
      </c>
      <c r="N330" s="26">
        <v>2026</v>
      </c>
    </row>
    <row r="331" spans="1:14">
      <c r="A331" s="26">
        <v>330</v>
      </c>
      <c r="B331" s="26" t="s">
        <v>52</v>
      </c>
      <c r="C331" s="26" t="s">
        <v>90</v>
      </c>
      <c r="D331" s="26" t="s">
        <v>58</v>
      </c>
      <c r="E331" s="53" t="s">
        <v>68</v>
      </c>
      <c r="F331" s="26"/>
      <c r="G331" s="26" t="s">
        <v>224</v>
      </c>
      <c r="H331" s="26" t="s">
        <v>227</v>
      </c>
      <c r="I331" s="50">
        <v>5267.5324675324673</v>
      </c>
      <c r="J331" s="26" t="s">
        <v>724</v>
      </c>
      <c r="K331" s="45">
        <v>46097</v>
      </c>
      <c r="L331" s="26">
        <v>2026401245</v>
      </c>
      <c r="M331" s="132" t="s">
        <v>197</v>
      </c>
      <c r="N331" s="26">
        <v>2026</v>
      </c>
    </row>
    <row r="332" spans="1:14">
      <c r="A332" s="26">
        <v>331</v>
      </c>
      <c r="B332" s="26" t="s">
        <v>40</v>
      </c>
      <c r="C332" s="26" t="s">
        <v>45</v>
      </c>
      <c r="D332" s="26" t="s">
        <v>58</v>
      </c>
      <c r="E332" s="53" t="s">
        <v>68</v>
      </c>
      <c r="F332" s="26"/>
      <c r="G332" s="26" t="s">
        <v>438</v>
      </c>
      <c r="H332" s="60" t="s">
        <v>258</v>
      </c>
      <c r="I332" s="47">
        <v>1920.6</v>
      </c>
      <c r="J332" s="26" t="s">
        <v>507</v>
      </c>
      <c r="K332" s="45">
        <v>46089</v>
      </c>
      <c r="L332" s="26">
        <v>2026400922</v>
      </c>
      <c r="M332" s="132" t="s">
        <v>197</v>
      </c>
      <c r="N332" s="26">
        <v>2026</v>
      </c>
    </row>
    <row r="333" spans="1:14">
      <c r="A333" s="26">
        <v>332</v>
      </c>
      <c r="B333" s="26" t="s">
        <v>33</v>
      </c>
      <c r="C333" s="26" t="s">
        <v>34</v>
      </c>
      <c r="D333" s="26" t="s">
        <v>58</v>
      </c>
      <c r="E333" s="53" t="s">
        <v>68</v>
      </c>
      <c r="F333" s="26"/>
      <c r="G333" s="26" t="s">
        <v>438</v>
      </c>
      <c r="H333" s="26" t="s">
        <v>111</v>
      </c>
      <c r="I333" s="47">
        <v>1552</v>
      </c>
      <c r="J333" s="26" t="s">
        <v>534</v>
      </c>
      <c r="K333" s="45">
        <v>46089</v>
      </c>
      <c r="L333" s="26">
        <v>2026400958</v>
      </c>
      <c r="M333" s="132" t="s">
        <v>197</v>
      </c>
      <c r="N333" s="26">
        <v>2026</v>
      </c>
    </row>
    <row r="334" spans="1:14">
      <c r="A334" s="26">
        <v>333</v>
      </c>
      <c r="B334" s="26" t="s">
        <v>275</v>
      </c>
      <c r="C334" s="26" t="s">
        <v>303</v>
      </c>
      <c r="D334" s="26" t="s">
        <v>58</v>
      </c>
      <c r="E334" s="53" t="s">
        <v>68</v>
      </c>
      <c r="F334" s="26"/>
      <c r="G334" s="26" t="s">
        <v>222</v>
      </c>
      <c r="H334" s="26" t="s">
        <v>228</v>
      </c>
      <c r="I334" s="50">
        <v>3672.0779220779223</v>
      </c>
      <c r="J334" s="26" t="s">
        <v>535</v>
      </c>
      <c r="K334" s="45">
        <v>46090</v>
      </c>
      <c r="L334" s="26">
        <v>2026400951</v>
      </c>
      <c r="M334" s="132" t="s">
        <v>197</v>
      </c>
      <c r="N334" s="26">
        <v>2026</v>
      </c>
    </row>
    <row r="335" spans="1:14">
      <c r="A335" s="26">
        <v>334</v>
      </c>
      <c r="B335" s="26" t="s">
        <v>52</v>
      </c>
      <c r="C335" s="26" t="s">
        <v>53</v>
      </c>
      <c r="D335" s="26" t="s">
        <v>58</v>
      </c>
      <c r="E335" s="53" t="s">
        <v>68</v>
      </c>
      <c r="F335" s="26"/>
      <c r="G335" s="26" t="s">
        <v>222</v>
      </c>
      <c r="H335" s="26" t="s">
        <v>228</v>
      </c>
      <c r="I335" s="50">
        <v>2857.1428571428573</v>
      </c>
      <c r="J335" s="26" t="s">
        <v>655</v>
      </c>
      <c r="K335" s="45">
        <v>46084</v>
      </c>
      <c r="L335" s="26">
        <v>2026400882</v>
      </c>
      <c r="M335" s="132" t="s">
        <v>197</v>
      </c>
      <c r="N335" s="26">
        <v>2026</v>
      </c>
    </row>
    <row r="336" spans="1:14">
      <c r="A336" s="26">
        <v>335</v>
      </c>
      <c r="B336" s="26" t="s">
        <v>17</v>
      </c>
      <c r="C336" s="26" t="s">
        <v>22</v>
      </c>
      <c r="D336" s="26" t="s">
        <v>58</v>
      </c>
      <c r="E336" s="53" t="s">
        <v>68</v>
      </c>
      <c r="F336" s="26"/>
      <c r="G336" s="26" t="s">
        <v>222</v>
      </c>
      <c r="H336" s="26" t="s">
        <v>228</v>
      </c>
      <c r="I336" s="50">
        <v>817.53246753246754</v>
      </c>
      <c r="J336" s="26" t="s">
        <v>621</v>
      </c>
      <c r="K336" s="45">
        <v>46090</v>
      </c>
      <c r="L336" s="26">
        <v>2026400963</v>
      </c>
      <c r="M336" s="132" t="s">
        <v>197</v>
      </c>
      <c r="N336" s="26">
        <v>2026</v>
      </c>
    </row>
    <row r="337" spans="1:14">
      <c r="A337" s="26">
        <v>336</v>
      </c>
      <c r="B337" s="26" t="s">
        <v>40</v>
      </c>
      <c r="C337" s="26" t="s">
        <v>48</v>
      </c>
      <c r="D337" s="26" t="s">
        <v>58</v>
      </c>
      <c r="E337" s="26" t="s">
        <v>68</v>
      </c>
      <c r="F337" s="26"/>
      <c r="G337" s="26" t="s">
        <v>293</v>
      </c>
      <c r="H337" s="26" t="s">
        <v>728</v>
      </c>
      <c r="I337" s="50">
        <v>879.87012987012986</v>
      </c>
      <c r="J337" s="26" t="s">
        <v>671</v>
      </c>
      <c r="K337" s="45">
        <v>46097</v>
      </c>
      <c r="L337" s="26">
        <v>2026401072</v>
      </c>
      <c r="M337" s="132" t="s">
        <v>197</v>
      </c>
      <c r="N337" s="26">
        <v>2026</v>
      </c>
    </row>
    <row r="338" spans="1:14">
      <c r="A338" s="26">
        <v>337</v>
      </c>
      <c r="B338" s="26" t="s">
        <v>40</v>
      </c>
      <c r="C338" s="26" t="s">
        <v>48</v>
      </c>
      <c r="D338" s="26" t="s">
        <v>58</v>
      </c>
      <c r="E338" s="53" t="s">
        <v>68</v>
      </c>
      <c r="F338" s="26"/>
      <c r="G338" s="26" t="s">
        <v>446</v>
      </c>
      <c r="H338" s="26" t="s">
        <v>111</v>
      </c>
      <c r="I338" s="50">
        <v>2042.2077922077922</v>
      </c>
      <c r="J338" s="26" t="s">
        <v>597</v>
      </c>
      <c r="K338" s="45">
        <v>46077</v>
      </c>
      <c r="L338" s="26">
        <v>2026400986</v>
      </c>
      <c r="M338" s="132" t="s">
        <v>197</v>
      </c>
      <c r="N338" s="26">
        <v>2026</v>
      </c>
    </row>
    <row r="339" spans="1:14">
      <c r="A339" s="26">
        <v>338</v>
      </c>
      <c r="B339" s="26" t="s">
        <v>40</v>
      </c>
      <c r="C339" s="26" t="s">
        <v>48</v>
      </c>
      <c r="D339" s="26" t="s">
        <v>58</v>
      </c>
      <c r="E339" s="26" t="s">
        <v>68</v>
      </c>
      <c r="F339" s="26"/>
      <c r="G339" s="26" t="s">
        <v>446</v>
      </c>
      <c r="H339" s="26" t="s">
        <v>111</v>
      </c>
      <c r="I339" s="50">
        <v>1261.3636363636363</v>
      </c>
      <c r="J339" s="26" t="s">
        <v>596</v>
      </c>
      <c r="K339" s="45">
        <v>46089</v>
      </c>
      <c r="L339" s="26">
        <v>2026400985</v>
      </c>
      <c r="M339" s="132" t="s">
        <v>197</v>
      </c>
      <c r="N339" s="26">
        <v>2026</v>
      </c>
    </row>
    <row r="340" spans="1:14">
      <c r="A340" s="26">
        <v>339</v>
      </c>
      <c r="B340" s="26" t="s">
        <v>52</v>
      </c>
      <c r="C340" s="26" t="s">
        <v>53</v>
      </c>
      <c r="D340" s="26" t="s">
        <v>58</v>
      </c>
      <c r="E340" s="53" t="s">
        <v>68</v>
      </c>
      <c r="F340" s="26"/>
      <c r="G340" s="26" t="s">
        <v>451</v>
      </c>
      <c r="H340" s="26" t="s">
        <v>111</v>
      </c>
      <c r="I340" s="50">
        <v>1589.6103896103896</v>
      </c>
      <c r="J340" s="26" t="s">
        <v>709</v>
      </c>
      <c r="K340" s="45">
        <v>46099</v>
      </c>
      <c r="L340" s="26">
        <v>2026401137</v>
      </c>
      <c r="M340" s="132" t="s">
        <v>197</v>
      </c>
      <c r="N340" s="26">
        <v>2026</v>
      </c>
    </row>
    <row r="341" spans="1:14">
      <c r="A341" s="26">
        <v>340</v>
      </c>
      <c r="B341" s="26" t="s">
        <v>52</v>
      </c>
      <c r="C341" s="26" t="s">
        <v>90</v>
      </c>
      <c r="D341" s="26" t="s">
        <v>58</v>
      </c>
      <c r="E341" s="26" t="s">
        <v>68</v>
      </c>
      <c r="F341" s="26"/>
      <c r="G341" s="26" t="s">
        <v>444</v>
      </c>
      <c r="H341" s="26" t="s">
        <v>111</v>
      </c>
      <c r="I341" s="50">
        <v>5357.1428571428569</v>
      </c>
      <c r="J341" s="26" t="s">
        <v>586</v>
      </c>
      <c r="K341" s="45">
        <v>46093</v>
      </c>
      <c r="L341" s="26">
        <v>2026401053</v>
      </c>
      <c r="M341" s="132" t="s">
        <v>197</v>
      </c>
      <c r="N341" s="26">
        <v>2026</v>
      </c>
    </row>
    <row r="342" spans="1:14">
      <c r="A342" s="26">
        <v>341</v>
      </c>
      <c r="B342" s="26" t="s">
        <v>52</v>
      </c>
      <c r="C342" s="26" t="s">
        <v>90</v>
      </c>
      <c r="D342" s="26" t="s">
        <v>58</v>
      </c>
      <c r="E342" s="53" t="s">
        <v>68</v>
      </c>
      <c r="F342" s="26"/>
      <c r="G342" s="26" t="s">
        <v>453</v>
      </c>
      <c r="H342" s="26" t="s">
        <v>111</v>
      </c>
      <c r="I342" s="50">
        <v>1191.5584415584415</v>
      </c>
      <c r="J342" s="26" t="s">
        <v>711</v>
      </c>
      <c r="K342" s="45">
        <v>46097</v>
      </c>
      <c r="L342" s="26">
        <v>2026401080</v>
      </c>
      <c r="M342" s="132" t="s">
        <v>197</v>
      </c>
      <c r="N342" s="26">
        <v>2026</v>
      </c>
    </row>
    <row r="343" spans="1:14">
      <c r="A343" s="26">
        <v>342</v>
      </c>
      <c r="B343" s="26" t="s">
        <v>40</v>
      </c>
      <c r="C343" s="26" t="s">
        <v>41</v>
      </c>
      <c r="D343" s="26" t="s">
        <v>58</v>
      </c>
      <c r="E343" s="53" t="s">
        <v>68</v>
      </c>
      <c r="F343" s="26"/>
      <c r="G343" s="26" t="s">
        <v>292</v>
      </c>
      <c r="H343" s="26" t="s">
        <v>111</v>
      </c>
      <c r="I343" s="50">
        <v>1542.8571428571429</v>
      </c>
      <c r="J343" s="26" t="s">
        <v>693</v>
      </c>
      <c r="K343" s="45">
        <v>46092</v>
      </c>
      <c r="L343" s="26">
        <v>2026401099</v>
      </c>
      <c r="M343" s="132" t="s">
        <v>197</v>
      </c>
      <c r="N343" s="26">
        <v>2026</v>
      </c>
    </row>
    <row r="344" spans="1:14">
      <c r="A344" s="26">
        <v>343</v>
      </c>
      <c r="B344" s="26" t="s">
        <v>52</v>
      </c>
      <c r="C344" s="26" t="s">
        <v>53</v>
      </c>
      <c r="D344" s="26" t="s">
        <v>58</v>
      </c>
      <c r="E344" s="53" t="s">
        <v>68</v>
      </c>
      <c r="F344" s="26"/>
      <c r="G344" s="26" t="s">
        <v>452</v>
      </c>
      <c r="H344" s="26" t="s">
        <v>111</v>
      </c>
      <c r="I344" s="50">
        <v>1948.0519480519481</v>
      </c>
      <c r="J344" s="26" t="s">
        <v>710</v>
      </c>
      <c r="K344" s="45">
        <v>46099</v>
      </c>
      <c r="L344" s="26">
        <v>2026401079</v>
      </c>
      <c r="M344" s="132" t="s">
        <v>197</v>
      </c>
      <c r="N344" s="26">
        <v>2026</v>
      </c>
    </row>
    <row r="345" spans="1:14">
      <c r="A345" s="26">
        <v>344</v>
      </c>
      <c r="B345" s="26" t="s">
        <v>17</v>
      </c>
      <c r="C345" s="26" t="s">
        <v>25</v>
      </c>
      <c r="D345" s="26" t="s">
        <v>58</v>
      </c>
      <c r="E345" s="53" t="s">
        <v>68</v>
      </c>
      <c r="F345" s="26"/>
      <c r="G345" s="26" t="s">
        <v>450</v>
      </c>
      <c r="H345" s="26" t="s">
        <v>111</v>
      </c>
      <c r="I345" s="50">
        <v>925.32467532467535</v>
      </c>
      <c r="J345" s="26" t="s">
        <v>705</v>
      </c>
      <c r="K345" s="45">
        <v>46097</v>
      </c>
      <c r="L345" s="26">
        <v>2026401158</v>
      </c>
      <c r="M345" s="132" t="s">
        <v>197</v>
      </c>
      <c r="N345" s="26">
        <v>2026</v>
      </c>
    </row>
    <row r="346" spans="1:14">
      <c r="A346" s="26">
        <v>345</v>
      </c>
      <c r="B346" s="26" t="s">
        <v>52</v>
      </c>
      <c r="C346" s="26" t="s">
        <v>90</v>
      </c>
      <c r="D346" s="26" t="s">
        <v>58</v>
      </c>
      <c r="E346" s="53" t="s">
        <v>68</v>
      </c>
      <c r="F346" s="26"/>
      <c r="G346" s="26" t="s">
        <v>443</v>
      </c>
      <c r="H346" s="26" t="s">
        <v>111</v>
      </c>
      <c r="I346" s="50">
        <v>2821.4285714285716</v>
      </c>
      <c r="J346" s="26" t="s">
        <v>584</v>
      </c>
      <c r="K346" s="45">
        <v>46091</v>
      </c>
      <c r="L346" s="26">
        <v>2026401049</v>
      </c>
      <c r="M346" s="132" t="s">
        <v>197</v>
      </c>
      <c r="N346" s="26">
        <v>2026</v>
      </c>
    </row>
    <row r="347" spans="1:14">
      <c r="A347" s="26">
        <v>346</v>
      </c>
      <c r="B347" s="26" t="s">
        <v>50</v>
      </c>
      <c r="C347" s="26" t="s">
        <v>60</v>
      </c>
      <c r="D347" s="26" t="s">
        <v>58</v>
      </c>
      <c r="E347" s="26" t="s">
        <v>68</v>
      </c>
      <c r="F347" s="26"/>
      <c r="G347" s="26" t="s">
        <v>114</v>
      </c>
      <c r="H347" s="26" t="s">
        <v>111</v>
      </c>
      <c r="I347" s="47">
        <v>1570</v>
      </c>
      <c r="J347" s="26" t="s">
        <v>587</v>
      </c>
      <c r="K347" s="45">
        <v>46073</v>
      </c>
      <c r="L347" s="26">
        <v>2026400953</v>
      </c>
      <c r="M347" s="132" t="s">
        <v>197</v>
      </c>
      <c r="N347" s="26">
        <v>2026</v>
      </c>
    </row>
    <row r="348" spans="1:14">
      <c r="A348" s="26">
        <v>347</v>
      </c>
      <c r="B348" s="26" t="s">
        <v>40</v>
      </c>
      <c r="C348" s="26" t="s">
        <v>48</v>
      </c>
      <c r="D348" s="26" t="s">
        <v>58</v>
      </c>
      <c r="E348" s="53" t="s">
        <v>68</v>
      </c>
      <c r="F348" s="26"/>
      <c r="G348" s="26" t="s">
        <v>114</v>
      </c>
      <c r="H348" s="26" t="s">
        <v>111</v>
      </c>
      <c r="I348" s="47">
        <v>1449.52</v>
      </c>
      <c r="J348" s="26" t="s">
        <v>608</v>
      </c>
      <c r="K348" s="45">
        <v>46082</v>
      </c>
      <c r="L348" s="26">
        <v>2026400984</v>
      </c>
      <c r="M348" s="132" t="s">
        <v>197</v>
      </c>
      <c r="N348" s="26">
        <v>2026</v>
      </c>
    </row>
    <row r="349" spans="1:14">
      <c r="A349" s="26">
        <v>348</v>
      </c>
      <c r="B349" s="26" t="s">
        <v>52</v>
      </c>
      <c r="C349" s="26" t="s">
        <v>90</v>
      </c>
      <c r="D349" s="26" t="s">
        <v>58</v>
      </c>
      <c r="E349" s="53" t="s">
        <v>68</v>
      </c>
      <c r="F349" s="26"/>
      <c r="G349" s="26" t="s">
        <v>114</v>
      </c>
      <c r="H349" s="26" t="s">
        <v>111</v>
      </c>
      <c r="I349" s="47">
        <v>110.7</v>
      </c>
      <c r="J349" s="26" t="s">
        <v>609</v>
      </c>
      <c r="K349" s="45">
        <v>46082</v>
      </c>
      <c r="L349" s="26">
        <v>2026400989</v>
      </c>
      <c r="M349" s="132" t="s">
        <v>197</v>
      </c>
      <c r="N349" s="26">
        <v>2026</v>
      </c>
    </row>
    <row r="350" spans="1:14">
      <c r="A350" s="26">
        <v>349</v>
      </c>
      <c r="B350" s="26" t="s">
        <v>33</v>
      </c>
      <c r="C350" s="26" t="s">
        <v>34</v>
      </c>
      <c r="D350" s="26" t="s">
        <v>58</v>
      </c>
      <c r="E350" s="53" t="s">
        <v>68</v>
      </c>
      <c r="F350" s="26"/>
      <c r="G350" s="26" t="s">
        <v>114</v>
      </c>
      <c r="H350" s="26" t="s">
        <v>111</v>
      </c>
      <c r="I350" s="47">
        <v>839.67</v>
      </c>
      <c r="J350" s="26" t="s">
        <v>610</v>
      </c>
      <c r="K350" s="45">
        <v>46082</v>
      </c>
      <c r="L350" s="26">
        <v>2026400983</v>
      </c>
      <c r="M350" s="132" t="s">
        <v>197</v>
      </c>
      <c r="N350" s="26">
        <v>2026</v>
      </c>
    </row>
    <row r="351" spans="1:14">
      <c r="A351" s="26">
        <v>350</v>
      </c>
      <c r="B351" s="26" t="s">
        <v>52</v>
      </c>
      <c r="C351" s="26" t="s">
        <v>90</v>
      </c>
      <c r="D351" s="26" t="s">
        <v>58</v>
      </c>
      <c r="E351" s="53" t="s">
        <v>68</v>
      </c>
      <c r="F351" s="26"/>
      <c r="G351" s="26" t="s">
        <v>114</v>
      </c>
      <c r="H351" s="26" t="s">
        <v>111</v>
      </c>
      <c r="I351" s="47">
        <v>1035.98</v>
      </c>
      <c r="J351" s="26" t="s">
        <v>611</v>
      </c>
      <c r="K351" s="45">
        <v>46082</v>
      </c>
      <c r="L351" s="26">
        <v>2026400990</v>
      </c>
      <c r="M351" s="132" t="s">
        <v>197</v>
      </c>
      <c r="N351" s="26">
        <v>2026</v>
      </c>
    </row>
    <row r="352" spans="1:14">
      <c r="A352" s="26">
        <v>351</v>
      </c>
      <c r="B352" s="26" t="s">
        <v>52</v>
      </c>
      <c r="C352" s="26" t="s">
        <v>90</v>
      </c>
      <c r="D352" s="26" t="s">
        <v>58</v>
      </c>
      <c r="E352" s="53" t="s">
        <v>68</v>
      </c>
      <c r="F352" s="26"/>
      <c r="G352" s="26" t="s">
        <v>114</v>
      </c>
      <c r="H352" s="26" t="s">
        <v>111</v>
      </c>
      <c r="I352" s="47">
        <v>231</v>
      </c>
      <c r="J352" s="26" t="s">
        <v>612</v>
      </c>
      <c r="K352" s="45">
        <v>46082</v>
      </c>
      <c r="L352" s="26">
        <v>2026400988</v>
      </c>
      <c r="M352" s="132" t="s">
        <v>197</v>
      </c>
      <c r="N352" s="26">
        <v>2026</v>
      </c>
    </row>
    <row r="353" spans="1:14">
      <c r="A353" s="26">
        <v>352</v>
      </c>
      <c r="B353" s="26" t="s">
        <v>33</v>
      </c>
      <c r="C353" s="26" t="s">
        <v>35</v>
      </c>
      <c r="D353" s="26" t="s">
        <v>58</v>
      </c>
      <c r="E353" s="53" t="s">
        <v>68</v>
      </c>
      <c r="F353" s="26"/>
      <c r="G353" s="26" t="s">
        <v>114</v>
      </c>
      <c r="H353" s="26" t="s">
        <v>111</v>
      </c>
      <c r="I353" s="47">
        <v>57.5</v>
      </c>
      <c r="J353" s="26" t="s">
        <v>613</v>
      </c>
      <c r="K353" s="45">
        <v>46082</v>
      </c>
      <c r="L353" s="26">
        <v>2026400980</v>
      </c>
      <c r="M353" s="132" t="s">
        <v>197</v>
      </c>
      <c r="N353" s="26">
        <v>2026</v>
      </c>
    </row>
    <row r="354" spans="1:14">
      <c r="A354" s="26">
        <v>353</v>
      </c>
      <c r="B354" s="26" t="s">
        <v>40</v>
      </c>
      <c r="C354" s="26" t="s">
        <v>48</v>
      </c>
      <c r="D354" s="26" t="s">
        <v>58</v>
      </c>
      <c r="E354" s="53" t="s">
        <v>68</v>
      </c>
      <c r="F354" s="26"/>
      <c r="G354" s="26" t="s">
        <v>114</v>
      </c>
      <c r="H354" s="26" t="s">
        <v>111</v>
      </c>
      <c r="I354" s="47">
        <v>60.05</v>
      </c>
      <c r="J354" s="26" t="s">
        <v>614</v>
      </c>
      <c r="K354" s="45">
        <v>46082</v>
      </c>
      <c r="L354" s="26">
        <v>2026400993</v>
      </c>
      <c r="M354" s="132" t="s">
        <v>197</v>
      </c>
      <c r="N354" s="26">
        <v>2026</v>
      </c>
    </row>
    <row r="355" spans="1:14">
      <c r="A355" s="26">
        <v>354</v>
      </c>
      <c r="B355" s="26" t="s">
        <v>40</v>
      </c>
      <c r="C355" s="26" t="s">
        <v>48</v>
      </c>
      <c r="D355" s="26" t="s">
        <v>58</v>
      </c>
      <c r="E355" s="53" t="s">
        <v>68</v>
      </c>
      <c r="F355" s="26"/>
      <c r="G355" s="26" t="s">
        <v>114</v>
      </c>
      <c r="H355" s="26" t="s">
        <v>111</v>
      </c>
      <c r="I355" s="47">
        <v>725.85</v>
      </c>
      <c r="J355" s="26" t="s">
        <v>615</v>
      </c>
      <c r="K355" s="45">
        <v>46082</v>
      </c>
      <c r="L355" s="26">
        <v>2026400982</v>
      </c>
      <c r="M355" s="132" t="s">
        <v>197</v>
      </c>
      <c r="N355" s="26">
        <v>2026</v>
      </c>
    </row>
    <row r="356" spans="1:14">
      <c r="A356" s="26">
        <v>355</v>
      </c>
      <c r="B356" s="26" t="s">
        <v>40</v>
      </c>
      <c r="C356" s="26" t="s">
        <v>48</v>
      </c>
      <c r="D356" s="26" t="s">
        <v>58</v>
      </c>
      <c r="E356" s="53" t="s">
        <v>68</v>
      </c>
      <c r="F356" s="26"/>
      <c r="G356" s="26" t="s">
        <v>114</v>
      </c>
      <c r="H356" s="26" t="s">
        <v>111</v>
      </c>
      <c r="I356" s="47">
        <v>143.08000000000001</v>
      </c>
      <c r="J356" s="26" t="s">
        <v>616</v>
      </c>
      <c r="K356" s="45">
        <v>46082</v>
      </c>
      <c r="L356" s="26">
        <v>2026400981</v>
      </c>
      <c r="M356" s="132" t="s">
        <v>197</v>
      </c>
      <c r="N356" s="26">
        <v>2026</v>
      </c>
    </row>
    <row r="357" spans="1:14">
      <c r="A357" s="26">
        <v>356</v>
      </c>
      <c r="B357" s="26" t="s">
        <v>17</v>
      </c>
      <c r="C357" s="26" t="s">
        <v>22</v>
      </c>
      <c r="D357" s="26" t="s">
        <v>58</v>
      </c>
      <c r="E357" s="53" t="s">
        <v>68</v>
      </c>
      <c r="F357" s="26"/>
      <c r="G357" s="26" t="s">
        <v>114</v>
      </c>
      <c r="H357" s="26" t="s">
        <v>111</v>
      </c>
      <c r="I357" s="47">
        <v>747.38</v>
      </c>
      <c r="J357" s="26" t="s">
        <v>617</v>
      </c>
      <c r="K357" s="45">
        <v>46082</v>
      </c>
      <c r="L357" s="26">
        <v>2026401003</v>
      </c>
      <c r="M357" s="132" t="s">
        <v>197</v>
      </c>
      <c r="N357" s="26">
        <v>2026</v>
      </c>
    </row>
    <row r="358" spans="1:14">
      <c r="A358" s="26">
        <v>357</v>
      </c>
      <c r="B358" s="26" t="s">
        <v>17</v>
      </c>
      <c r="C358" s="26" t="s">
        <v>22</v>
      </c>
      <c r="D358" s="26" t="s">
        <v>58</v>
      </c>
      <c r="E358" s="53" t="s">
        <v>68</v>
      </c>
      <c r="F358" s="26"/>
      <c r="G358" s="26" t="s">
        <v>114</v>
      </c>
      <c r="H358" s="26" t="s">
        <v>111</v>
      </c>
      <c r="I358" s="47">
        <v>138.6</v>
      </c>
      <c r="J358" s="26" t="s">
        <v>618</v>
      </c>
      <c r="K358" s="45">
        <v>46082</v>
      </c>
      <c r="L358" s="26">
        <v>2026400997</v>
      </c>
      <c r="M358" s="132" t="s">
        <v>197</v>
      </c>
      <c r="N358" s="26">
        <v>2026</v>
      </c>
    </row>
    <row r="359" spans="1:14">
      <c r="A359" s="26">
        <v>358</v>
      </c>
      <c r="B359" s="26" t="s">
        <v>17</v>
      </c>
      <c r="C359" s="26" t="s">
        <v>22</v>
      </c>
      <c r="D359" s="26" t="s">
        <v>58</v>
      </c>
      <c r="E359" s="26" t="s">
        <v>68</v>
      </c>
      <c r="F359" s="26"/>
      <c r="G359" s="26" t="s">
        <v>114</v>
      </c>
      <c r="H359" s="26" t="s">
        <v>111</v>
      </c>
      <c r="I359" s="47">
        <v>31.44</v>
      </c>
      <c r="J359" s="26" t="s">
        <v>619</v>
      </c>
      <c r="K359" s="45">
        <v>46082</v>
      </c>
      <c r="L359" s="26">
        <v>2026401002</v>
      </c>
      <c r="M359" s="132" t="s">
        <v>197</v>
      </c>
      <c r="N359" s="26">
        <v>2026</v>
      </c>
    </row>
    <row r="360" spans="1:14">
      <c r="A360" s="26">
        <v>359</v>
      </c>
      <c r="B360" s="26" t="s">
        <v>33</v>
      </c>
      <c r="C360" s="26" t="s">
        <v>35</v>
      </c>
      <c r="D360" s="26" t="s">
        <v>58</v>
      </c>
      <c r="E360" s="53" t="s">
        <v>68</v>
      </c>
      <c r="F360" s="26"/>
      <c r="G360" s="26" t="s">
        <v>114</v>
      </c>
      <c r="H360" s="26" t="s">
        <v>111</v>
      </c>
      <c r="I360" s="47">
        <v>124.5</v>
      </c>
      <c r="J360" s="26" t="s">
        <v>620</v>
      </c>
      <c r="K360" s="45">
        <v>46082</v>
      </c>
      <c r="L360" s="26">
        <v>2026400987</v>
      </c>
      <c r="M360" s="132" t="s">
        <v>197</v>
      </c>
      <c r="N360" s="26">
        <v>2026</v>
      </c>
    </row>
    <row r="361" spans="1:14">
      <c r="A361" s="26">
        <v>360</v>
      </c>
      <c r="B361" s="26" t="s">
        <v>40</v>
      </c>
      <c r="C361" s="26" t="s">
        <v>247</v>
      </c>
      <c r="D361" s="26" t="s">
        <v>58</v>
      </c>
      <c r="E361" s="53" t="s">
        <v>68</v>
      </c>
      <c r="F361" s="26"/>
      <c r="G361" s="26" t="s">
        <v>114</v>
      </c>
      <c r="H361" s="26" t="s">
        <v>111</v>
      </c>
      <c r="I361" s="47">
        <v>295.36</v>
      </c>
      <c r="J361" s="26" t="s">
        <v>701</v>
      </c>
      <c r="K361" s="45">
        <v>46096</v>
      </c>
      <c r="L361" s="26">
        <v>2026401149</v>
      </c>
      <c r="M361" s="132" t="s">
        <v>197</v>
      </c>
      <c r="N361" s="26">
        <v>2026</v>
      </c>
    </row>
    <row r="362" spans="1:14">
      <c r="A362" s="26">
        <v>361</v>
      </c>
      <c r="B362" s="26" t="s">
        <v>50</v>
      </c>
      <c r="C362" s="26" t="s">
        <v>60</v>
      </c>
      <c r="D362" s="26" t="s">
        <v>58</v>
      </c>
      <c r="E362" s="53" t="s">
        <v>68</v>
      </c>
      <c r="F362" s="26"/>
      <c r="G362" s="26" t="s">
        <v>114</v>
      </c>
      <c r="H362" s="26" t="s">
        <v>111</v>
      </c>
      <c r="I362" s="47">
        <v>646.5</v>
      </c>
      <c r="J362" s="26" t="s">
        <v>702</v>
      </c>
      <c r="K362" s="45">
        <v>46096</v>
      </c>
      <c r="L362" s="26">
        <v>2026401148</v>
      </c>
      <c r="M362" s="132" t="s">
        <v>197</v>
      </c>
      <c r="N362" s="26">
        <v>2026</v>
      </c>
    </row>
    <row r="363" spans="1:14">
      <c r="A363" s="26">
        <v>362</v>
      </c>
      <c r="B363" s="26" t="s">
        <v>40</v>
      </c>
      <c r="C363" s="26" t="s">
        <v>42</v>
      </c>
      <c r="D363" s="26" t="s">
        <v>58</v>
      </c>
      <c r="E363" s="53" t="s">
        <v>68</v>
      </c>
      <c r="F363" s="26"/>
      <c r="G363" s="26" t="s">
        <v>114</v>
      </c>
      <c r="H363" s="26" t="s">
        <v>111</v>
      </c>
      <c r="I363" s="47">
        <v>177.12</v>
      </c>
      <c r="J363" s="26" t="s">
        <v>703</v>
      </c>
      <c r="K363" s="45">
        <v>46096</v>
      </c>
      <c r="L363" s="26">
        <v>2026401150</v>
      </c>
      <c r="M363" s="132" t="s">
        <v>197</v>
      </c>
      <c r="N363" s="26">
        <v>2026</v>
      </c>
    </row>
    <row r="364" spans="1:14">
      <c r="A364" s="26">
        <v>363</v>
      </c>
      <c r="B364" s="26" t="s">
        <v>50</v>
      </c>
      <c r="C364" s="26" t="s">
        <v>60</v>
      </c>
      <c r="D364" s="26" t="s">
        <v>58</v>
      </c>
      <c r="E364" s="53" t="s">
        <v>68</v>
      </c>
      <c r="F364" s="26"/>
      <c r="G364" s="26" t="s">
        <v>114</v>
      </c>
      <c r="H364" s="26" t="s">
        <v>111</v>
      </c>
      <c r="I364" s="47">
        <v>496.26</v>
      </c>
      <c r="J364" s="26" t="s">
        <v>722</v>
      </c>
      <c r="K364" s="45">
        <v>46096</v>
      </c>
      <c r="L364" s="26">
        <v>2026401220</v>
      </c>
      <c r="M364" s="132" t="s">
        <v>197</v>
      </c>
      <c r="N364" s="26">
        <v>2026</v>
      </c>
    </row>
    <row r="365" spans="1:14">
      <c r="A365" s="26">
        <v>364</v>
      </c>
      <c r="B365" s="26" t="s">
        <v>40</v>
      </c>
      <c r="C365" s="26" t="s">
        <v>48</v>
      </c>
      <c r="D365" s="26" t="s">
        <v>58</v>
      </c>
      <c r="E365" s="53" t="s">
        <v>68</v>
      </c>
      <c r="F365" s="26"/>
      <c r="G365" s="26" t="s">
        <v>296</v>
      </c>
      <c r="H365" s="26" t="s">
        <v>111</v>
      </c>
      <c r="I365" s="47">
        <v>2000</v>
      </c>
      <c r="J365" s="26" t="s">
        <v>424</v>
      </c>
      <c r="K365" s="45">
        <v>46106</v>
      </c>
      <c r="L365" s="26">
        <v>2026401131</v>
      </c>
      <c r="M365" s="132" t="s">
        <v>197</v>
      </c>
      <c r="N365" s="26">
        <v>2026</v>
      </c>
    </row>
    <row r="366" spans="1:14">
      <c r="A366" s="26">
        <v>365</v>
      </c>
      <c r="B366" s="26" t="s">
        <v>40</v>
      </c>
      <c r="C366" s="26" t="s">
        <v>247</v>
      </c>
      <c r="D366" s="26" t="s">
        <v>58</v>
      </c>
      <c r="E366" s="53" t="s">
        <v>68</v>
      </c>
      <c r="F366" s="26"/>
      <c r="G366" s="26" t="s">
        <v>269</v>
      </c>
      <c r="H366" s="26" t="s">
        <v>111</v>
      </c>
      <c r="I366" s="50">
        <v>551.9480519480519</v>
      </c>
      <c r="J366" s="26" t="s">
        <v>225</v>
      </c>
      <c r="K366" s="45">
        <v>46096</v>
      </c>
      <c r="L366" s="26">
        <v>2026401015</v>
      </c>
      <c r="M366" s="132" t="s">
        <v>197</v>
      </c>
      <c r="N366" s="26">
        <v>2026</v>
      </c>
    </row>
    <row r="367" spans="1:14">
      <c r="A367" s="26">
        <v>366</v>
      </c>
      <c r="B367" s="26" t="s">
        <v>50</v>
      </c>
      <c r="C367" s="26" t="s">
        <v>60</v>
      </c>
      <c r="D367" s="26" t="s">
        <v>58</v>
      </c>
      <c r="E367" s="53" t="s">
        <v>68</v>
      </c>
      <c r="F367" s="26"/>
      <c r="G367" s="26" t="s">
        <v>442</v>
      </c>
      <c r="H367" s="26" t="s">
        <v>111</v>
      </c>
      <c r="I367" s="47">
        <v>3800</v>
      </c>
      <c r="J367" s="26" t="s">
        <v>544</v>
      </c>
      <c r="K367" s="45">
        <v>46092</v>
      </c>
      <c r="L367" s="26">
        <v>2026401009</v>
      </c>
      <c r="M367" s="132" t="s">
        <v>197</v>
      </c>
      <c r="N367" s="26">
        <v>2026</v>
      </c>
    </row>
    <row r="368" spans="1:14">
      <c r="A368" s="26">
        <v>367</v>
      </c>
      <c r="B368" s="26" t="s">
        <v>40</v>
      </c>
      <c r="C368" s="26" t="s">
        <v>45</v>
      </c>
      <c r="D368" s="26" t="s">
        <v>58</v>
      </c>
      <c r="E368" s="53" t="s">
        <v>68</v>
      </c>
      <c r="F368" s="26"/>
      <c r="G368" s="26" t="s">
        <v>256</v>
      </c>
      <c r="H368" s="127" t="s">
        <v>258</v>
      </c>
      <c r="I368" s="50">
        <v>727.27272727272725</v>
      </c>
      <c r="J368" s="26" t="s">
        <v>489</v>
      </c>
      <c r="K368" s="45">
        <v>46079</v>
      </c>
      <c r="L368" s="26">
        <v>2026400750</v>
      </c>
      <c r="M368" s="132" t="s">
        <v>197</v>
      </c>
      <c r="N368" s="26">
        <v>2026</v>
      </c>
    </row>
    <row r="369" spans="1:14">
      <c r="A369" s="26">
        <v>368</v>
      </c>
      <c r="B369" s="26" t="s">
        <v>40</v>
      </c>
      <c r="C369" s="26" t="s">
        <v>48</v>
      </c>
      <c r="D369" s="26" t="s">
        <v>58</v>
      </c>
      <c r="E369" s="53" t="s">
        <v>68</v>
      </c>
      <c r="F369" s="26"/>
      <c r="G369" s="26" t="s">
        <v>257</v>
      </c>
      <c r="H369" s="26" t="s">
        <v>111</v>
      </c>
      <c r="I369" s="47">
        <v>749.31880108991822</v>
      </c>
      <c r="J369" s="26" t="s">
        <v>718</v>
      </c>
      <c r="K369" s="45">
        <v>46084</v>
      </c>
      <c r="L369" s="26">
        <v>2026401197</v>
      </c>
      <c r="M369" s="132" t="s">
        <v>197</v>
      </c>
      <c r="N369" s="26">
        <v>2026</v>
      </c>
    </row>
    <row r="370" spans="1:14">
      <c r="A370" s="26">
        <v>369</v>
      </c>
      <c r="B370" s="26" t="s">
        <v>31</v>
      </c>
      <c r="C370" s="26" t="s">
        <v>32</v>
      </c>
      <c r="D370" s="26" t="s">
        <v>58</v>
      </c>
      <c r="E370" s="53" t="s">
        <v>68</v>
      </c>
      <c r="F370" s="26"/>
      <c r="G370" s="26" t="s">
        <v>448</v>
      </c>
      <c r="H370" s="26" t="s">
        <v>111</v>
      </c>
      <c r="I370" s="47">
        <v>55777.32</v>
      </c>
      <c r="J370" s="26" t="s">
        <v>659</v>
      </c>
      <c r="K370" s="45">
        <v>46099</v>
      </c>
      <c r="L370" s="26">
        <v>2026400820</v>
      </c>
      <c r="M370" s="132" t="s">
        <v>197</v>
      </c>
      <c r="N370" s="26">
        <v>2026</v>
      </c>
    </row>
    <row r="371" spans="1:14">
      <c r="A371" s="26">
        <v>370</v>
      </c>
      <c r="B371" s="26" t="s">
        <v>17</v>
      </c>
      <c r="C371" s="26" t="s">
        <v>25</v>
      </c>
      <c r="D371" s="26" t="s">
        <v>58</v>
      </c>
      <c r="E371" s="53" t="s">
        <v>68</v>
      </c>
      <c r="F371" s="26"/>
      <c r="G371" s="26" t="s">
        <v>219</v>
      </c>
      <c r="H371" s="132" t="s">
        <v>226</v>
      </c>
      <c r="I371" s="47">
        <v>7620</v>
      </c>
      <c r="J371" s="26" t="s">
        <v>475</v>
      </c>
      <c r="K371" s="45">
        <v>46086</v>
      </c>
      <c r="L371" s="26">
        <v>2026400782</v>
      </c>
      <c r="M371" s="132" t="s">
        <v>197</v>
      </c>
      <c r="N371" s="26">
        <v>2026</v>
      </c>
    </row>
    <row r="372" spans="1:14">
      <c r="A372" s="26">
        <v>371</v>
      </c>
      <c r="B372" s="53" t="s">
        <v>17</v>
      </c>
      <c r="C372" s="53" t="s">
        <v>25</v>
      </c>
      <c r="D372" s="26" t="s">
        <v>58</v>
      </c>
      <c r="E372" s="53" t="s">
        <v>68</v>
      </c>
      <c r="F372" s="26"/>
      <c r="G372" s="53" t="s">
        <v>219</v>
      </c>
      <c r="H372" s="132" t="s">
        <v>226</v>
      </c>
      <c r="I372" s="47">
        <v>794</v>
      </c>
      <c r="J372" s="26" t="s">
        <v>476</v>
      </c>
      <c r="K372" s="45">
        <v>46086</v>
      </c>
      <c r="L372" s="26">
        <v>2026400783</v>
      </c>
      <c r="M372" s="132" t="s">
        <v>197</v>
      </c>
      <c r="N372" s="26">
        <v>2026</v>
      </c>
    </row>
    <row r="373" spans="1:14">
      <c r="A373" s="26">
        <v>372</v>
      </c>
      <c r="B373" s="26" t="s">
        <v>17</v>
      </c>
      <c r="C373" s="26" t="s">
        <v>18</v>
      </c>
      <c r="D373" s="26" t="s">
        <v>58</v>
      </c>
      <c r="E373" s="53" t="s">
        <v>68</v>
      </c>
      <c r="F373" s="26"/>
      <c r="G373" s="26" t="s">
        <v>219</v>
      </c>
      <c r="H373" s="132" t="s">
        <v>226</v>
      </c>
      <c r="I373" s="47">
        <v>850</v>
      </c>
      <c r="J373" s="26" t="s">
        <v>479</v>
      </c>
      <c r="K373" s="45">
        <v>46089</v>
      </c>
      <c r="L373" s="26">
        <v>2026400525</v>
      </c>
      <c r="M373" s="132" t="s">
        <v>197</v>
      </c>
      <c r="N373" s="26">
        <v>2026</v>
      </c>
    </row>
    <row r="374" spans="1:14">
      <c r="A374" s="26">
        <v>373</v>
      </c>
      <c r="B374" s="26" t="s">
        <v>52</v>
      </c>
      <c r="C374" s="26" t="s">
        <v>90</v>
      </c>
      <c r="D374" s="26" t="s">
        <v>58</v>
      </c>
      <c r="E374" s="53" t="s">
        <v>68</v>
      </c>
      <c r="F374" s="26"/>
      <c r="G374" s="26" t="s">
        <v>219</v>
      </c>
      <c r="H374" s="132" t="s">
        <v>226</v>
      </c>
      <c r="I374" s="47">
        <v>1920.4</v>
      </c>
      <c r="J374" s="26" t="s">
        <v>480</v>
      </c>
      <c r="K374" s="45">
        <v>46089</v>
      </c>
      <c r="L374" s="26">
        <v>2026400728</v>
      </c>
      <c r="M374" s="132" t="s">
        <v>197</v>
      </c>
      <c r="N374" s="26">
        <v>2026</v>
      </c>
    </row>
    <row r="375" spans="1:14">
      <c r="A375" s="26">
        <v>374</v>
      </c>
      <c r="B375" s="26" t="s">
        <v>17</v>
      </c>
      <c r="C375" s="26" t="s">
        <v>25</v>
      </c>
      <c r="D375" s="26" t="s">
        <v>58</v>
      </c>
      <c r="E375" s="53" t="s">
        <v>68</v>
      </c>
      <c r="F375" s="26"/>
      <c r="G375" s="26" t="s">
        <v>219</v>
      </c>
      <c r="H375" s="132" t="s">
        <v>226</v>
      </c>
      <c r="I375" s="47">
        <v>1854</v>
      </c>
      <c r="J375" s="26" t="s">
        <v>498</v>
      </c>
      <c r="K375" s="45">
        <v>46089</v>
      </c>
      <c r="L375" s="26">
        <v>2026400781</v>
      </c>
      <c r="M375" s="132" t="s">
        <v>197</v>
      </c>
      <c r="N375" s="26">
        <v>2026</v>
      </c>
    </row>
    <row r="376" spans="1:14">
      <c r="A376" s="26">
        <v>375</v>
      </c>
      <c r="B376" s="26" t="s">
        <v>50</v>
      </c>
      <c r="C376" s="26" t="s">
        <v>60</v>
      </c>
      <c r="D376" s="26" t="s">
        <v>58</v>
      </c>
      <c r="E376" s="53" t="s">
        <v>68</v>
      </c>
      <c r="F376" s="26"/>
      <c r="G376" s="26" t="s">
        <v>219</v>
      </c>
      <c r="H376" s="132" t="s">
        <v>226</v>
      </c>
      <c r="I376" s="47">
        <v>15600</v>
      </c>
      <c r="J376" s="26" t="s">
        <v>679</v>
      </c>
      <c r="K376" s="45">
        <v>46106</v>
      </c>
      <c r="L376" s="26">
        <v>2026401117</v>
      </c>
      <c r="M376" s="132" t="s">
        <v>197</v>
      </c>
      <c r="N376" s="26">
        <v>2026</v>
      </c>
    </row>
    <row r="377" spans="1:14">
      <c r="A377" s="26">
        <v>376</v>
      </c>
      <c r="B377" s="26" t="s">
        <v>17</v>
      </c>
      <c r="C377" s="26" t="s">
        <v>18</v>
      </c>
      <c r="D377" s="26" t="s">
        <v>58</v>
      </c>
      <c r="E377" s="53" t="s">
        <v>68</v>
      </c>
      <c r="F377" s="26"/>
      <c r="G377" s="26" t="s">
        <v>219</v>
      </c>
      <c r="H377" s="132" t="s">
        <v>226</v>
      </c>
      <c r="I377" s="47">
        <v>2392</v>
      </c>
      <c r="J377" s="26" t="s">
        <v>719</v>
      </c>
      <c r="K377" s="45">
        <v>46090</v>
      </c>
      <c r="L377" s="26">
        <v>2026400923</v>
      </c>
      <c r="M377" s="132" t="s">
        <v>197</v>
      </c>
      <c r="N377" s="26">
        <v>2026</v>
      </c>
    </row>
    <row r="378" spans="1:14">
      <c r="A378" s="26">
        <v>377</v>
      </c>
      <c r="B378" s="26" t="s">
        <v>40</v>
      </c>
      <c r="C378" s="26" t="s">
        <v>69</v>
      </c>
      <c r="D378" s="26" t="s">
        <v>58</v>
      </c>
      <c r="E378" s="53" t="s">
        <v>68</v>
      </c>
      <c r="F378" s="26"/>
      <c r="G378" s="26" t="s">
        <v>447</v>
      </c>
      <c r="H378" s="26" t="s">
        <v>111</v>
      </c>
      <c r="I378" s="47">
        <v>3792.71</v>
      </c>
      <c r="J378" s="26" t="s">
        <v>604</v>
      </c>
      <c r="K378" s="45">
        <v>46092</v>
      </c>
      <c r="L378" s="26">
        <v>2026400659</v>
      </c>
      <c r="M378" s="132" t="s">
        <v>197</v>
      </c>
      <c r="N378" s="26">
        <v>2026</v>
      </c>
    </row>
    <row r="379" spans="1:14">
      <c r="A379" s="26">
        <v>378</v>
      </c>
      <c r="B379" s="26" t="s">
        <v>33</v>
      </c>
      <c r="C379" s="26" t="s">
        <v>37</v>
      </c>
      <c r="D379" s="26" t="s">
        <v>58</v>
      </c>
      <c r="E379" s="53" t="s">
        <v>68</v>
      </c>
      <c r="F379" s="26"/>
      <c r="G379" s="26" t="s">
        <v>220</v>
      </c>
      <c r="H379" s="127" t="s">
        <v>258</v>
      </c>
      <c r="I379" s="47">
        <v>325</v>
      </c>
      <c r="J379" s="26" t="s">
        <v>478</v>
      </c>
      <c r="K379" s="45">
        <v>46084</v>
      </c>
      <c r="L379" s="26">
        <v>2026400885</v>
      </c>
      <c r="M379" s="132" t="s">
        <v>197</v>
      </c>
      <c r="N379" s="26">
        <v>2026</v>
      </c>
    </row>
    <row r="380" spans="1:14">
      <c r="A380" s="26">
        <v>379</v>
      </c>
      <c r="B380" s="26" t="s">
        <v>52</v>
      </c>
      <c r="C380" s="26" t="s">
        <v>90</v>
      </c>
      <c r="D380" s="26" t="s">
        <v>58</v>
      </c>
      <c r="E380" s="53" t="s">
        <v>68</v>
      </c>
      <c r="F380" s="26"/>
      <c r="G380" s="26" t="s">
        <v>220</v>
      </c>
      <c r="H380" s="127" t="s">
        <v>258</v>
      </c>
      <c r="I380" s="47">
        <v>14940</v>
      </c>
      <c r="J380" s="26" t="s">
        <v>653</v>
      </c>
      <c r="K380" s="45">
        <v>46084</v>
      </c>
      <c r="L380" s="26">
        <v>2026400900</v>
      </c>
      <c r="M380" s="132" t="s">
        <v>197</v>
      </c>
      <c r="N380" s="26">
        <v>2026</v>
      </c>
    </row>
    <row r="381" spans="1:14">
      <c r="A381" s="26">
        <v>380</v>
      </c>
      <c r="B381" s="26" t="s">
        <v>33</v>
      </c>
      <c r="C381" s="26" t="s">
        <v>34</v>
      </c>
      <c r="D381" s="26" t="s">
        <v>58</v>
      </c>
      <c r="E381" s="53" t="s">
        <v>68</v>
      </c>
      <c r="F381" s="26"/>
      <c r="G381" s="26" t="s">
        <v>220</v>
      </c>
      <c r="H381" s="127" t="s">
        <v>258</v>
      </c>
      <c r="I381" s="47">
        <v>216</v>
      </c>
      <c r="J381" s="26" t="s">
        <v>692</v>
      </c>
      <c r="K381" s="45">
        <v>46094</v>
      </c>
      <c r="L381" s="26">
        <v>2026401153</v>
      </c>
      <c r="M381" s="132" t="s">
        <v>197</v>
      </c>
      <c r="N381" s="26">
        <v>2026</v>
      </c>
    </row>
    <row r="382" spans="1:14">
      <c r="A382" s="26">
        <v>381</v>
      </c>
      <c r="B382" s="26" t="s">
        <v>17</v>
      </c>
      <c r="C382" s="26" t="s">
        <v>18</v>
      </c>
      <c r="D382" s="26" t="s">
        <v>58</v>
      </c>
      <c r="E382" s="53" t="s">
        <v>68</v>
      </c>
      <c r="F382" s="26"/>
      <c r="G382" s="26" t="s">
        <v>220</v>
      </c>
      <c r="H382" s="127" t="s">
        <v>258</v>
      </c>
      <c r="I382" s="47">
        <v>1130</v>
      </c>
      <c r="J382" s="26" t="s">
        <v>706</v>
      </c>
      <c r="K382" s="45">
        <v>46092</v>
      </c>
      <c r="L382" s="26">
        <v>2026401177</v>
      </c>
      <c r="M382" s="132" t="s">
        <v>197</v>
      </c>
      <c r="N382" s="26">
        <v>2026</v>
      </c>
    </row>
    <row r="383" spans="1:14">
      <c r="A383" s="26">
        <v>382</v>
      </c>
      <c r="B383" s="26" t="s">
        <v>17</v>
      </c>
      <c r="C383" s="26" t="s">
        <v>18</v>
      </c>
      <c r="D383" s="26" t="s">
        <v>58</v>
      </c>
      <c r="E383" s="53" t="s">
        <v>68</v>
      </c>
      <c r="F383" s="26"/>
      <c r="G383" s="26" t="s">
        <v>440</v>
      </c>
      <c r="H383" s="26" t="s">
        <v>111</v>
      </c>
      <c r="I383" s="50">
        <v>1152.5974025974026</v>
      </c>
      <c r="J383" s="26" t="s">
        <v>536</v>
      </c>
      <c r="K383" s="45">
        <v>46080</v>
      </c>
      <c r="L383" s="26">
        <v>2026400968</v>
      </c>
      <c r="M383" s="132" t="s">
        <v>197</v>
      </c>
      <c r="N383" s="26">
        <v>2026</v>
      </c>
    </row>
    <row r="384" spans="1:14">
      <c r="A384" s="26">
        <v>383</v>
      </c>
      <c r="B384" s="26" t="s">
        <v>52</v>
      </c>
      <c r="C384" s="26" t="s">
        <v>53</v>
      </c>
      <c r="D384" s="26" t="s">
        <v>58</v>
      </c>
      <c r="E384" s="53" t="s">
        <v>68</v>
      </c>
      <c r="F384" s="26"/>
      <c r="G384" s="26" t="s">
        <v>221</v>
      </c>
      <c r="H384" s="26" t="s">
        <v>226</v>
      </c>
      <c r="I384" s="50">
        <v>4138.1168831168834</v>
      </c>
      <c r="J384" s="26" t="s">
        <v>508</v>
      </c>
      <c r="K384" s="45">
        <v>46083</v>
      </c>
      <c r="L384" s="26">
        <v>2026400918</v>
      </c>
      <c r="M384" s="132" t="s">
        <v>197</v>
      </c>
      <c r="N384" s="26">
        <v>2026</v>
      </c>
    </row>
    <row r="385" spans="1:14">
      <c r="A385" s="26">
        <v>384</v>
      </c>
      <c r="B385" s="26" t="s">
        <v>50</v>
      </c>
      <c r="C385" s="26" t="s">
        <v>60</v>
      </c>
      <c r="D385" s="26" t="s">
        <v>58</v>
      </c>
      <c r="E385" s="53" t="s">
        <v>68</v>
      </c>
      <c r="F385" s="26"/>
      <c r="G385" s="26" t="s">
        <v>221</v>
      </c>
      <c r="H385" s="26" t="s">
        <v>226</v>
      </c>
      <c r="I385" s="50">
        <v>3678.5714285714284</v>
      </c>
      <c r="J385" s="26" t="s">
        <v>579</v>
      </c>
      <c r="K385" s="45">
        <v>46083</v>
      </c>
      <c r="L385" s="26">
        <v>2026401032</v>
      </c>
      <c r="M385" s="132" t="s">
        <v>197</v>
      </c>
      <c r="N385" s="26">
        <v>2026</v>
      </c>
    </row>
    <row r="386" spans="1:14">
      <c r="A386" s="26">
        <v>385</v>
      </c>
      <c r="B386" s="26" t="s">
        <v>17</v>
      </c>
      <c r="C386" s="26" t="s">
        <v>25</v>
      </c>
      <c r="D386" s="26" t="s">
        <v>58</v>
      </c>
      <c r="E386" s="53" t="s">
        <v>68</v>
      </c>
      <c r="F386" s="26"/>
      <c r="G386" s="26" t="s">
        <v>221</v>
      </c>
      <c r="H386" s="26" t="s">
        <v>226</v>
      </c>
      <c r="I386" s="50">
        <v>3246.7532467532469</v>
      </c>
      <c r="J386" s="26" t="s">
        <v>455</v>
      </c>
      <c r="K386" s="45">
        <v>46082</v>
      </c>
      <c r="L386" s="26">
        <v>2026400725</v>
      </c>
      <c r="M386" s="132" t="s">
        <v>197</v>
      </c>
      <c r="N386" s="26">
        <v>2026</v>
      </c>
    </row>
    <row r="387" spans="1:14">
      <c r="A387" s="26">
        <v>386</v>
      </c>
      <c r="B387" s="26" t="s">
        <v>17</v>
      </c>
      <c r="C387" s="26" t="s">
        <v>25</v>
      </c>
      <c r="D387" s="26" t="s">
        <v>58</v>
      </c>
      <c r="E387" s="26" t="s">
        <v>68</v>
      </c>
      <c r="F387" s="26"/>
      <c r="G387" s="26" t="s">
        <v>221</v>
      </c>
      <c r="H387" s="26" t="s">
        <v>226</v>
      </c>
      <c r="I387" s="50">
        <v>2438.3116883116882</v>
      </c>
      <c r="J387" s="26" t="s">
        <v>580</v>
      </c>
      <c r="K387" s="45">
        <v>46092</v>
      </c>
      <c r="L387" s="26">
        <v>2026401033</v>
      </c>
      <c r="M387" s="132" t="s">
        <v>197</v>
      </c>
      <c r="N387" s="26">
        <v>2026</v>
      </c>
    </row>
    <row r="388" spans="1:14">
      <c r="A388" s="26">
        <v>387</v>
      </c>
      <c r="B388" s="26" t="s">
        <v>52</v>
      </c>
      <c r="C388" s="26" t="s">
        <v>53</v>
      </c>
      <c r="D388" s="26" t="s">
        <v>58</v>
      </c>
      <c r="E388" s="53" t="s">
        <v>68</v>
      </c>
      <c r="F388" s="26"/>
      <c r="G388" s="26" t="s">
        <v>221</v>
      </c>
      <c r="H388" s="26" t="s">
        <v>226</v>
      </c>
      <c r="I388" s="50">
        <v>519.48051948051943</v>
      </c>
      <c r="J388" s="26" t="s">
        <v>225</v>
      </c>
      <c r="K388" s="45">
        <v>46092</v>
      </c>
      <c r="L388" s="26">
        <v>2026401013</v>
      </c>
      <c r="M388" s="132" t="s">
        <v>197</v>
      </c>
      <c r="N388" s="26">
        <v>2026</v>
      </c>
    </row>
    <row r="389" spans="1:14">
      <c r="A389" s="26">
        <v>388</v>
      </c>
      <c r="B389" s="26" t="s">
        <v>40</v>
      </c>
      <c r="C389" s="26" t="s">
        <v>43</v>
      </c>
      <c r="D389" s="26" t="s">
        <v>58</v>
      </c>
      <c r="E389" s="53" t="s">
        <v>68</v>
      </c>
      <c r="F389" s="26"/>
      <c r="G389" s="26" t="s">
        <v>413</v>
      </c>
      <c r="H389" s="26" t="s">
        <v>111</v>
      </c>
      <c r="I389" s="47">
        <v>1200</v>
      </c>
      <c r="J389" s="26" t="s">
        <v>532</v>
      </c>
      <c r="K389" s="45">
        <v>46082</v>
      </c>
      <c r="L389" s="26">
        <v>2026400959</v>
      </c>
      <c r="M389" s="132" t="s">
        <v>197</v>
      </c>
      <c r="N389" s="26">
        <v>2026</v>
      </c>
    </row>
    <row r="390" spans="1:14">
      <c r="A390" s="26">
        <v>389</v>
      </c>
      <c r="B390" s="26" t="s">
        <v>17</v>
      </c>
      <c r="C390" s="26" t="s">
        <v>18</v>
      </c>
      <c r="D390" s="26" t="s">
        <v>58</v>
      </c>
      <c r="E390" s="53" t="s">
        <v>68</v>
      </c>
      <c r="F390" s="26"/>
      <c r="G390" s="26" t="s">
        <v>413</v>
      </c>
      <c r="H390" s="26" t="s">
        <v>111</v>
      </c>
      <c r="I390" s="47">
        <v>15800</v>
      </c>
      <c r="J390" s="26" t="s">
        <v>687</v>
      </c>
      <c r="K390" s="45">
        <v>46091</v>
      </c>
      <c r="L390" s="26">
        <v>2026401068</v>
      </c>
      <c r="M390" s="132" t="s">
        <v>197</v>
      </c>
      <c r="N390" s="26">
        <v>2026</v>
      </c>
    </row>
    <row r="391" spans="1:14">
      <c r="A391" s="26">
        <v>390</v>
      </c>
      <c r="B391" s="26" t="s">
        <v>40</v>
      </c>
      <c r="C391" s="26" t="s">
        <v>43</v>
      </c>
      <c r="D391" s="26" t="s">
        <v>58</v>
      </c>
      <c r="E391" s="53" t="s">
        <v>68</v>
      </c>
      <c r="F391" s="26"/>
      <c r="G391" s="26" t="s">
        <v>413</v>
      </c>
      <c r="H391" s="26" t="s">
        <v>111</v>
      </c>
      <c r="I391" s="47">
        <v>1200</v>
      </c>
      <c r="J391" s="26" t="s">
        <v>532</v>
      </c>
      <c r="K391" s="45">
        <v>46082</v>
      </c>
      <c r="L391" s="26">
        <v>2026401260</v>
      </c>
      <c r="M391" s="132" t="s">
        <v>197</v>
      </c>
      <c r="N391" s="26">
        <v>2026</v>
      </c>
    </row>
    <row r="392" spans="1:14">
      <c r="A392" s="26">
        <v>391</v>
      </c>
      <c r="B392" s="26" t="s">
        <v>33</v>
      </c>
      <c r="C392" s="26" t="s">
        <v>35</v>
      </c>
      <c r="D392" s="26" t="s">
        <v>58</v>
      </c>
      <c r="E392" s="53" t="s">
        <v>68</v>
      </c>
      <c r="F392" s="26"/>
      <c r="G392" s="26" t="s">
        <v>270</v>
      </c>
      <c r="H392" s="26" t="s">
        <v>111</v>
      </c>
      <c r="I392" s="50">
        <v>7408.7662337662341</v>
      </c>
      <c r="J392" s="26" t="s">
        <v>672</v>
      </c>
      <c r="K392" s="45">
        <v>46090</v>
      </c>
      <c r="L392" s="26">
        <v>2026401097</v>
      </c>
      <c r="M392" s="132" t="s">
        <v>197</v>
      </c>
      <c r="N392" s="26">
        <v>2026</v>
      </c>
    </row>
    <row r="393" spans="1:14">
      <c r="A393" s="26">
        <v>392</v>
      </c>
      <c r="B393" s="26" t="s">
        <v>33</v>
      </c>
      <c r="C393" s="26" t="s">
        <v>35</v>
      </c>
      <c r="D393" s="26" t="s">
        <v>58</v>
      </c>
      <c r="E393" s="53" t="s">
        <v>68</v>
      </c>
      <c r="F393" s="26"/>
      <c r="G393" s="26" t="s">
        <v>270</v>
      </c>
      <c r="H393" s="26" t="s">
        <v>111</v>
      </c>
      <c r="I393" s="50">
        <v>6720.7792207792209</v>
      </c>
      <c r="J393" s="26" t="s">
        <v>660</v>
      </c>
      <c r="K393" s="45">
        <v>46098</v>
      </c>
      <c r="L393" s="26">
        <v>2026401098</v>
      </c>
      <c r="M393" s="132" t="s">
        <v>197</v>
      </c>
      <c r="N393" s="26">
        <v>2026</v>
      </c>
    </row>
    <row r="394" spans="1:14">
      <c r="A394" s="26">
        <v>393</v>
      </c>
      <c r="B394" s="26" t="s">
        <v>33</v>
      </c>
      <c r="C394" s="26" t="s">
        <v>35</v>
      </c>
      <c r="D394" s="26" t="s">
        <v>58</v>
      </c>
      <c r="E394" s="53" t="s">
        <v>68</v>
      </c>
      <c r="F394" s="26"/>
      <c r="G394" s="26" t="s">
        <v>270</v>
      </c>
      <c r="H394" s="26" t="s">
        <v>111</v>
      </c>
      <c r="I394" s="50">
        <v>6720.7792207792209</v>
      </c>
      <c r="J394" s="26" t="s">
        <v>673</v>
      </c>
      <c r="K394" s="45">
        <v>46090</v>
      </c>
      <c r="L394" s="26">
        <v>2026401100</v>
      </c>
      <c r="M394" s="132" t="s">
        <v>197</v>
      </c>
      <c r="N394" s="26">
        <v>2026</v>
      </c>
    </row>
    <row r="395" spans="1:14">
      <c r="A395" s="26">
        <v>394</v>
      </c>
      <c r="B395" s="26" t="s">
        <v>17</v>
      </c>
      <c r="C395" s="26" t="s">
        <v>22</v>
      </c>
      <c r="D395" s="26" t="s">
        <v>58</v>
      </c>
      <c r="E395" s="53" t="s">
        <v>68</v>
      </c>
      <c r="F395" s="26"/>
      <c r="G395" s="26" t="s">
        <v>270</v>
      </c>
      <c r="H395" s="26" t="s">
        <v>111</v>
      </c>
      <c r="I395" s="50">
        <v>5324.6753246753251</v>
      </c>
      <c r="J395" s="26" t="s">
        <v>691</v>
      </c>
      <c r="K395" s="45">
        <v>46096</v>
      </c>
      <c r="L395" s="26">
        <v>2026401104</v>
      </c>
      <c r="M395" s="132" t="s">
        <v>197</v>
      </c>
      <c r="N395" s="26">
        <v>2026</v>
      </c>
    </row>
    <row r="396" spans="1:14">
      <c r="A396" s="26">
        <v>395</v>
      </c>
      <c r="B396" s="26" t="s">
        <v>33</v>
      </c>
      <c r="C396" s="26" t="s">
        <v>34</v>
      </c>
      <c r="D396" s="26" t="s">
        <v>58</v>
      </c>
      <c r="E396" s="53" t="s">
        <v>68</v>
      </c>
      <c r="F396" s="26"/>
      <c r="G396" s="26" t="s">
        <v>270</v>
      </c>
      <c r="H396" s="26" t="s">
        <v>111</v>
      </c>
      <c r="I396" s="50">
        <v>905.84415584415581</v>
      </c>
      <c r="J396" s="26" t="s">
        <v>460</v>
      </c>
      <c r="K396" s="45">
        <v>46082</v>
      </c>
      <c r="L396" s="26">
        <v>2026400799</v>
      </c>
      <c r="M396" s="132" t="s">
        <v>197</v>
      </c>
      <c r="N396" s="26">
        <v>2026</v>
      </c>
    </row>
    <row r="397" spans="1:14">
      <c r="A397" s="26">
        <v>396</v>
      </c>
      <c r="B397" s="26" t="s">
        <v>52</v>
      </c>
      <c r="C397" s="26" t="s">
        <v>90</v>
      </c>
      <c r="D397" s="26" t="s">
        <v>58</v>
      </c>
      <c r="E397" s="53" t="s">
        <v>68</v>
      </c>
      <c r="F397" s="26"/>
      <c r="G397" s="26" t="s">
        <v>291</v>
      </c>
      <c r="H397" s="26" t="s">
        <v>111</v>
      </c>
      <c r="I397" s="50">
        <v>3032.4675324675327</v>
      </c>
      <c r="J397" s="26" t="s">
        <v>459</v>
      </c>
      <c r="K397" s="45">
        <v>46079</v>
      </c>
      <c r="L397" s="26">
        <v>2026400480</v>
      </c>
      <c r="M397" s="132" t="s">
        <v>197</v>
      </c>
      <c r="N397" s="26">
        <v>2026</v>
      </c>
    </row>
    <row r="398" spans="1:14">
      <c r="A398" s="26">
        <v>397</v>
      </c>
      <c r="B398" s="26" t="s">
        <v>40</v>
      </c>
      <c r="C398" s="26" t="s">
        <v>48</v>
      </c>
      <c r="D398" s="26" t="s">
        <v>58</v>
      </c>
      <c r="E398" s="53" t="s">
        <v>68</v>
      </c>
      <c r="F398" s="26"/>
      <c r="G398" s="26" t="s">
        <v>291</v>
      </c>
      <c r="H398" s="26" t="s">
        <v>111</v>
      </c>
      <c r="I398" s="50">
        <v>1344.1558441558441</v>
      </c>
      <c r="J398" s="26" t="s">
        <v>531</v>
      </c>
      <c r="K398" s="45">
        <v>46089</v>
      </c>
      <c r="L398" s="26">
        <v>2026400947</v>
      </c>
      <c r="M398" s="132" t="s">
        <v>197</v>
      </c>
      <c r="N398" s="26">
        <v>2026</v>
      </c>
    </row>
    <row r="399" spans="1:14">
      <c r="A399" s="26">
        <v>398</v>
      </c>
      <c r="B399" s="26" t="s">
        <v>40</v>
      </c>
      <c r="C399" s="26" t="s">
        <v>247</v>
      </c>
      <c r="D399" s="26" t="s">
        <v>58</v>
      </c>
      <c r="E399" s="53" t="s">
        <v>68</v>
      </c>
      <c r="F399" s="26"/>
      <c r="G399" s="26" t="s">
        <v>291</v>
      </c>
      <c r="H399" s="26" t="s">
        <v>111</v>
      </c>
      <c r="I399" s="50">
        <v>805.19480519480521</v>
      </c>
      <c r="J399" s="26" t="s">
        <v>670</v>
      </c>
      <c r="K399" s="45">
        <v>46093</v>
      </c>
      <c r="L399" s="26">
        <v>2026400883</v>
      </c>
      <c r="M399" s="132" t="s">
        <v>197</v>
      </c>
      <c r="N399" s="26">
        <v>2026</v>
      </c>
    </row>
    <row r="400" spans="1:14">
      <c r="A400" s="26">
        <v>399</v>
      </c>
      <c r="B400" s="26" t="s">
        <v>17</v>
      </c>
      <c r="C400" s="26" t="s">
        <v>18</v>
      </c>
      <c r="D400" s="26" t="s">
        <v>58</v>
      </c>
      <c r="E400" s="53" t="s">
        <v>68</v>
      </c>
      <c r="F400" s="26"/>
      <c r="G400" s="26" t="s">
        <v>291</v>
      </c>
      <c r="H400" s="26" t="s">
        <v>111</v>
      </c>
      <c r="I400" s="50">
        <v>178.57142857142858</v>
      </c>
      <c r="J400" s="26" t="s">
        <v>704</v>
      </c>
      <c r="K400" s="45">
        <v>46093</v>
      </c>
      <c r="L400" s="26">
        <v>2026400962</v>
      </c>
      <c r="M400" s="132" t="s">
        <v>197</v>
      </c>
      <c r="N400" s="26">
        <v>2026</v>
      </c>
    </row>
    <row r="401" spans="1:14">
      <c r="A401" s="26">
        <v>400</v>
      </c>
      <c r="B401" s="26" t="s">
        <v>17</v>
      </c>
      <c r="C401" s="26" t="s">
        <v>18</v>
      </c>
      <c r="D401" s="26" t="s">
        <v>58</v>
      </c>
      <c r="E401" s="53" t="s">
        <v>68</v>
      </c>
      <c r="F401" s="26"/>
      <c r="G401" s="26" t="s">
        <v>267</v>
      </c>
      <c r="H401" s="26" t="s">
        <v>111</v>
      </c>
      <c r="I401" s="47">
        <v>7866</v>
      </c>
      <c r="J401" s="26" t="s">
        <v>677</v>
      </c>
      <c r="K401" s="45">
        <v>46106</v>
      </c>
      <c r="L401" s="26">
        <v>2026401122</v>
      </c>
      <c r="M401" s="132" t="s">
        <v>197</v>
      </c>
      <c r="N401" s="26">
        <v>2026</v>
      </c>
    </row>
    <row r="402" spans="1:14">
      <c r="A402" s="26">
        <v>401</v>
      </c>
      <c r="B402" s="26" t="s">
        <v>52</v>
      </c>
      <c r="C402" s="26" t="s">
        <v>90</v>
      </c>
      <c r="D402" s="26" t="s">
        <v>58</v>
      </c>
      <c r="E402" s="53" t="s">
        <v>68</v>
      </c>
      <c r="F402" s="26"/>
      <c r="G402" s="26" t="s">
        <v>294</v>
      </c>
      <c r="H402" s="26" t="s">
        <v>111</v>
      </c>
      <c r="I402" s="50">
        <v>616.88311688311683</v>
      </c>
      <c r="J402" s="26" t="s">
        <v>578</v>
      </c>
      <c r="K402" s="45">
        <v>46092</v>
      </c>
      <c r="L402" s="26">
        <v>2026401011</v>
      </c>
      <c r="M402" s="132" t="s">
        <v>197</v>
      </c>
      <c r="N402" s="26">
        <v>2026</v>
      </c>
    </row>
    <row r="403" spans="1:14">
      <c r="A403" s="26">
        <v>402</v>
      </c>
      <c r="B403" s="26" t="s">
        <v>40</v>
      </c>
      <c r="C403" s="26" t="s">
        <v>247</v>
      </c>
      <c r="D403" s="26" t="s">
        <v>58</v>
      </c>
      <c r="E403" s="53" t="s">
        <v>68</v>
      </c>
      <c r="F403" s="26"/>
      <c r="G403" s="26" t="s">
        <v>255</v>
      </c>
      <c r="H403" s="26" t="s">
        <v>111</v>
      </c>
      <c r="I403" s="50">
        <v>181.81818181818181</v>
      </c>
      <c r="J403" s="26" t="s">
        <v>689</v>
      </c>
      <c r="K403" s="45">
        <v>46095</v>
      </c>
      <c r="L403" s="26">
        <v>2026401050</v>
      </c>
      <c r="M403" s="132" t="s">
        <v>197</v>
      </c>
      <c r="N403" s="26">
        <v>2026</v>
      </c>
    </row>
    <row r="404" spans="1:14">
      <c r="A404" s="26">
        <v>403</v>
      </c>
      <c r="B404" s="26" t="s">
        <v>52</v>
      </c>
      <c r="C404" s="26" t="s">
        <v>90</v>
      </c>
      <c r="D404" s="26" t="s">
        <v>58</v>
      </c>
      <c r="E404" s="53" t="s">
        <v>68</v>
      </c>
      <c r="F404" s="26"/>
      <c r="G404" s="26" t="s">
        <v>115</v>
      </c>
      <c r="H404" s="26" t="s">
        <v>111</v>
      </c>
      <c r="I404" s="47">
        <v>410</v>
      </c>
      <c r="J404" s="26" t="s">
        <v>461</v>
      </c>
      <c r="K404" s="45">
        <v>46082</v>
      </c>
      <c r="L404" s="26">
        <v>2026400691</v>
      </c>
      <c r="M404" s="132" t="s">
        <v>197</v>
      </c>
      <c r="N404" s="26">
        <v>2026</v>
      </c>
    </row>
    <row r="405" spans="1:14">
      <c r="A405" s="26">
        <v>404</v>
      </c>
      <c r="B405" s="53" t="s">
        <v>40</v>
      </c>
      <c r="C405" s="53" t="s">
        <v>48</v>
      </c>
      <c r="D405" s="26" t="s">
        <v>58</v>
      </c>
      <c r="E405" s="26" t="s">
        <v>68</v>
      </c>
      <c r="F405" s="26"/>
      <c r="G405" s="26" t="s">
        <v>115</v>
      </c>
      <c r="H405" s="26" t="s">
        <v>111</v>
      </c>
      <c r="I405" s="47">
        <v>2744.1</v>
      </c>
      <c r="J405" s="26" t="s">
        <v>463</v>
      </c>
      <c r="K405" s="45">
        <v>46082</v>
      </c>
      <c r="L405" s="26">
        <v>2026400689</v>
      </c>
      <c r="M405" s="132" t="s">
        <v>197</v>
      </c>
      <c r="N405" s="26">
        <v>2026</v>
      </c>
    </row>
    <row r="406" spans="1:14">
      <c r="A406" s="26">
        <v>405</v>
      </c>
      <c r="B406" s="26" t="s">
        <v>40</v>
      </c>
      <c r="C406" s="26" t="s">
        <v>48</v>
      </c>
      <c r="D406" s="26" t="s">
        <v>58</v>
      </c>
      <c r="E406" s="53" t="s">
        <v>68</v>
      </c>
      <c r="F406" s="26"/>
      <c r="G406" s="26" t="s">
        <v>115</v>
      </c>
      <c r="H406" s="26" t="s">
        <v>111</v>
      </c>
      <c r="I406" s="47">
        <v>1276</v>
      </c>
      <c r="J406" s="26" t="s">
        <v>464</v>
      </c>
      <c r="K406" s="45">
        <v>46082</v>
      </c>
      <c r="L406" s="26">
        <v>2026400688</v>
      </c>
      <c r="M406" s="132" t="s">
        <v>197</v>
      </c>
      <c r="N406" s="26">
        <v>2026</v>
      </c>
    </row>
    <row r="407" spans="1:14">
      <c r="A407" s="26">
        <v>406</v>
      </c>
      <c r="B407" s="26" t="s">
        <v>40</v>
      </c>
      <c r="C407" s="26" t="s">
        <v>48</v>
      </c>
      <c r="D407" s="26" t="s">
        <v>58</v>
      </c>
      <c r="E407" s="53" t="s">
        <v>68</v>
      </c>
      <c r="F407" s="26"/>
      <c r="G407" s="26" t="s">
        <v>115</v>
      </c>
      <c r="H407" s="26" t="s">
        <v>111</v>
      </c>
      <c r="I407" s="47">
        <v>540</v>
      </c>
      <c r="J407" s="26" t="s">
        <v>465</v>
      </c>
      <c r="K407" s="45">
        <v>46081</v>
      </c>
      <c r="L407" s="26">
        <v>2026400668</v>
      </c>
      <c r="M407" s="132" t="s">
        <v>197</v>
      </c>
      <c r="N407" s="26">
        <v>2026</v>
      </c>
    </row>
    <row r="408" spans="1:14">
      <c r="A408" s="26">
        <v>407</v>
      </c>
      <c r="B408" s="26" t="s">
        <v>17</v>
      </c>
      <c r="C408" s="26" t="s">
        <v>25</v>
      </c>
      <c r="D408" s="26" t="s">
        <v>58</v>
      </c>
      <c r="E408" s="26" t="s">
        <v>68</v>
      </c>
      <c r="F408" s="26"/>
      <c r="G408" s="26" t="s">
        <v>115</v>
      </c>
      <c r="H408" s="26" t="s">
        <v>111</v>
      </c>
      <c r="I408" s="47">
        <v>613.1</v>
      </c>
      <c r="J408" s="26" t="s">
        <v>466</v>
      </c>
      <c r="K408" s="45">
        <v>46081</v>
      </c>
      <c r="L408" s="26">
        <v>2026400676</v>
      </c>
      <c r="M408" s="132" t="s">
        <v>197</v>
      </c>
      <c r="N408" s="26">
        <v>2026</v>
      </c>
    </row>
    <row r="409" spans="1:14">
      <c r="A409" s="26">
        <v>408</v>
      </c>
      <c r="B409" s="26" t="s">
        <v>50</v>
      </c>
      <c r="C409" s="26" t="s">
        <v>60</v>
      </c>
      <c r="D409" s="26" t="s">
        <v>58</v>
      </c>
      <c r="E409" s="26" t="s">
        <v>68</v>
      </c>
      <c r="F409" s="26"/>
      <c r="G409" s="26" t="s">
        <v>115</v>
      </c>
      <c r="H409" s="26" t="s">
        <v>111</v>
      </c>
      <c r="I409" s="47">
        <v>1991.1</v>
      </c>
      <c r="J409" s="26" t="s">
        <v>467</v>
      </c>
      <c r="K409" s="45">
        <v>46082</v>
      </c>
      <c r="L409" s="26">
        <v>2026400690</v>
      </c>
      <c r="M409" s="132" t="s">
        <v>197</v>
      </c>
      <c r="N409" s="26">
        <v>2026</v>
      </c>
    </row>
    <row r="410" spans="1:14">
      <c r="A410" s="26">
        <v>409</v>
      </c>
      <c r="B410" s="26" t="s">
        <v>50</v>
      </c>
      <c r="C410" s="26" t="s">
        <v>60</v>
      </c>
      <c r="D410" s="26" t="s">
        <v>58</v>
      </c>
      <c r="E410" s="26" t="s">
        <v>68</v>
      </c>
      <c r="F410" s="26"/>
      <c r="G410" s="26" t="s">
        <v>115</v>
      </c>
      <c r="H410" s="26" t="s">
        <v>111</v>
      </c>
      <c r="I410" s="47">
        <v>228</v>
      </c>
      <c r="J410" s="26" t="s">
        <v>468</v>
      </c>
      <c r="K410" s="45">
        <v>46082</v>
      </c>
      <c r="L410" s="26">
        <v>2026400687</v>
      </c>
      <c r="M410" s="132" t="s">
        <v>197</v>
      </c>
      <c r="N410" s="26">
        <v>2026</v>
      </c>
    </row>
    <row r="411" spans="1:14">
      <c r="A411" s="26">
        <v>410</v>
      </c>
      <c r="B411" s="26" t="s">
        <v>52</v>
      </c>
      <c r="C411" s="26" t="s">
        <v>53</v>
      </c>
      <c r="D411" s="26" t="s">
        <v>58</v>
      </c>
      <c r="E411" s="53" t="s">
        <v>68</v>
      </c>
      <c r="F411" s="26"/>
      <c r="G411" s="26" t="s">
        <v>115</v>
      </c>
      <c r="H411" s="26" t="s">
        <v>111</v>
      </c>
      <c r="I411" s="47">
        <v>2185.8000000000002</v>
      </c>
      <c r="J411" s="26" t="s">
        <v>469</v>
      </c>
      <c r="K411" s="45">
        <v>46082</v>
      </c>
      <c r="L411" s="26">
        <v>2026400692</v>
      </c>
      <c r="M411" s="132" t="s">
        <v>197</v>
      </c>
      <c r="N411" s="26">
        <v>2026</v>
      </c>
    </row>
    <row r="412" spans="1:14">
      <c r="A412" s="26">
        <v>411</v>
      </c>
      <c r="B412" s="26" t="s">
        <v>40</v>
      </c>
      <c r="C412" s="26" t="s">
        <v>45</v>
      </c>
      <c r="D412" s="26" t="s">
        <v>58</v>
      </c>
      <c r="E412" s="53" t="s">
        <v>68</v>
      </c>
      <c r="F412" s="26"/>
      <c r="G412" s="26" t="s">
        <v>115</v>
      </c>
      <c r="H412" s="26" t="s">
        <v>111</v>
      </c>
      <c r="I412" s="47">
        <v>287.27999999999997</v>
      </c>
      <c r="J412" s="26" t="s">
        <v>470</v>
      </c>
      <c r="K412" s="45">
        <v>46082</v>
      </c>
      <c r="L412" s="26">
        <v>2026400581</v>
      </c>
      <c r="M412" s="132" t="s">
        <v>197</v>
      </c>
      <c r="N412" s="26">
        <v>2026</v>
      </c>
    </row>
    <row r="413" spans="1:14">
      <c r="A413" s="26">
        <v>412</v>
      </c>
      <c r="B413" s="26" t="s">
        <v>40</v>
      </c>
      <c r="C413" s="26" t="s">
        <v>48</v>
      </c>
      <c r="D413" s="26" t="s">
        <v>58</v>
      </c>
      <c r="E413" s="53" t="s">
        <v>68</v>
      </c>
      <c r="F413" s="26"/>
      <c r="G413" s="26" t="s">
        <v>115</v>
      </c>
      <c r="H413" s="26" t="s">
        <v>111</v>
      </c>
      <c r="I413" s="47">
        <v>280</v>
      </c>
      <c r="J413" s="26" t="s">
        <v>474</v>
      </c>
      <c r="K413" s="45">
        <v>46082</v>
      </c>
      <c r="L413" s="26">
        <v>2026400434</v>
      </c>
      <c r="M413" s="132" t="s">
        <v>197</v>
      </c>
      <c r="N413" s="26">
        <v>2026</v>
      </c>
    </row>
    <row r="414" spans="1:14">
      <c r="A414" s="26">
        <v>413</v>
      </c>
      <c r="B414" s="26" t="s">
        <v>40</v>
      </c>
      <c r="C414" s="26" t="s">
        <v>48</v>
      </c>
      <c r="D414" s="26" t="s">
        <v>58</v>
      </c>
      <c r="E414" s="53" t="s">
        <v>68</v>
      </c>
      <c r="F414" s="26"/>
      <c r="G414" s="26" t="s">
        <v>115</v>
      </c>
      <c r="H414" s="26" t="s">
        <v>111</v>
      </c>
      <c r="I414" s="47">
        <v>385.8</v>
      </c>
      <c r="J414" s="26" t="s">
        <v>477</v>
      </c>
      <c r="K414" s="45">
        <v>46082</v>
      </c>
      <c r="L414" s="26">
        <v>2026400433</v>
      </c>
      <c r="M414" s="132" t="s">
        <v>197</v>
      </c>
      <c r="N414" s="26">
        <v>2026</v>
      </c>
    </row>
    <row r="415" spans="1:14">
      <c r="A415" s="26">
        <v>414</v>
      </c>
      <c r="B415" s="26" t="s">
        <v>33</v>
      </c>
      <c r="C415" s="26" t="s">
        <v>35</v>
      </c>
      <c r="D415" s="26" t="s">
        <v>58</v>
      </c>
      <c r="E415" s="53" t="s">
        <v>68</v>
      </c>
      <c r="F415" s="26"/>
      <c r="G415" s="26" t="s">
        <v>115</v>
      </c>
      <c r="H415" s="26" t="s">
        <v>111</v>
      </c>
      <c r="I415" s="47">
        <v>1360.5</v>
      </c>
      <c r="J415" s="26" t="s">
        <v>481</v>
      </c>
      <c r="K415" s="45">
        <v>46088</v>
      </c>
      <c r="L415" s="26">
        <v>2026400686</v>
      </c>
      <c r="M415" s="132" t="s">
        <v>197</v>
      </c>
      <c r="N415" s="26">
        <v>2026</v>
      </c>
    </row>
    <row r="416" spans="1:14">
      <c r="A416" s="26">
        <v>415</v>
      </c>
      <c r="B416" s="26" t="s">
        <v>52</v>
      </c>
      <c r="C416" s="26" t="s">
        <v>90</v>
      </c>
      <c r="D416" s="26" t="s">
        <v>58</v>
      </c>
      <c r="E416" s="53" t="s">
        <v>68</v>
      </c>
      <c r="F416" s="26"/>
      <c r="G416" s="26" t="s">
        <v>115</v>
      </c>
      <c r="H416" s="26" t="s">
        <v>111</v>
      </c>
      <c r="I416" s="47">
        <v>359.5</v>
      </c>
      <c r="J416" s="26" t="s">
        <v>482</v>
      </c>
      <c r="K416" s="45">
        <v>46088</v>
      </c>
      <c r="L416" s="26">
        <v>2026400775</v>
      </c>
      <c r="M416" s="132" t="s">
        <v>197</v>
      </c>
      <c r="N416" s="26">
        <v>2026</v>
      </c>
    </row>
    <row r="417" spans="1:14">
      <c r="A417" s="26">
        <v>416</v>
      </c>
      <c r="B417" s="26" t="s">
        <v>17</v>
      </c>
      <c r="C417" s="26" t="s">
        <v>22</v>
      </c>
      <c r="D417" s="26" t="s">
        <v>58</v>
      </c>
      <c r="E417" s="53" t="s">
        <v>68</v>
      </c>
      <c r="F417" s="26"/>
      <c r="G417" s="26" t="s">
        <v>115</v>
      </c>
      <c r="H417" s="26" t="s">
        <v>111</v>
      </c>
      <c r="I417" s="47">
        <v>80</v>
      </c>
      <c r="J417" s="26" t="s">
        <v>483</v>
      </c>
      <c r="K417" s="45">
        <v>46088</v>
      </c>
      <c r="L417" s="26">
        <v>2026400771</v>
      </c>
      <c r="M417" s="132" t="s">
        <v>197</v>
      </c>
      <c r="N417" s="26">
        <v>2026</v>
      </c>
    </row>
    <row r="418" spans="1:14">
      <c r="A418" s="26">
        <v>417</v>
      </c>
      <c r="B418" s="26" t="s">
        <v>17</v>
      </c>
      <c r="C418" s="26" t="s">
        <v>22</v>
      </c>
      <c r="D418" s="26" t="s">
        <v>58</v>
      </c>
      <c r="E418" s="53" t="s">
        <v>68</v>
      </c>
      <c r="F418" s="26"/>
      <c r="G418" s="26" t="s">
        <v>115</v>
      </c>
      <c r="H418" s="26" t="s">
        <v>111</v>
      </c>
      <c r="I418" s="47">
        <v>175</v>
      </c>
      <c r="J418" s="26" t="s">
        <v>484</v>
      </c>
      <c r="K418" s="45">
        <v>46088</v>
      </c>
      <c r="L418" s="26">
        <v>2026400685</v>
      </c>
      <c r="M418" s="132" t="s">
        <v>197</v>
      </c>
      <c r="N418" s="26">
        <v>2026</v>
      </c>
    </row>
    <row r="419" spans="1:14">
      <c r="A419" s="26">
        <v>418</v>
      </c>
      <c r="B419" s="26" t="s">
        <v>40</v>
      </c>
      <c r="C419" s="26" t="s">
        <v>45</v>
      </c>
      <c r="D419" s="26" t="s">
        <v>58</v>
      </c>
      <c r="E419" s="53" t="s">
        <v>68</v>
      </c>
      <c r="F419" s="26"/>
      <c r="G419" s="26" t="s">
        <v>115</v>
      </c>
      <c r="H419" s="26" t="s">
        <v>111</v>
      </c>
      <c r="I419" s="47">
        <v>2319.9</v>
      </c>
      <c r="J419" s="26" t="s">
        <v>485</v>
      </c>
      <c r="K419" s="45">
        <v>46088</v>
      </c>
      <c r="L419" s="26">
        <v>2026400754</v>
      </c>
      <c r="M419" s="132" t="s">
        <v>197</v>
      </c>
      <c r="N419" s="26">
        <v>2026</v>
      </c>
    </row>
    <row r="420" spans="1:14">
      <c r="A420" s="26">
        <v>419</v>
      </c>
      <c r="B420" s="26" t="s">
        <v>40</v>
      </c>
      <c r="C420" s="26" t="s">
        <v>41</v>
      </c>
      <c r="D420" s="26" t="s">
        <v>58</v>
      </c>
      <c r="E420" s="53" t="s">
        <v>68</v>
      </c>
      <c r="F420" s="26"/>
      <c r="G420" s="26" t="s">
        <v>115</v>
      </c>
      <c r="H420" s="26" t="s">
        <v>111</v>
      </c>
      <c r="I420" s="47">
        <v>1834.8</v>
      </c>
      <c r="J420" s="26" t="s">
        <v>486</v>
      </c>
      <c r="K420" s="45">
        <v>46088</v>
      </c>
      <c r="L420" s="26">
        <v>2026400773</v>
      </c>
      <c r="M420" s="132" t="s">
        <v>197</v>
      </c>
      <c r="N420" s="26">
        <v>2026</v>
      </c>
    </row>
    <row r="421" spans="1:14">
      <c r="A421" s="26">
        <v>420</v>
      </c>
      <c r="B421" s="26" t="s">
        <v>17</v>
      </c>
      <c r="C421" s="26" t="s">
        <v>22</v>
      </c>
      <c r="D421" s="26" t="s">
        <v>58</v>
      </c>
      <c r="E421" s="53" t="s">
        <v>68</v>
      </c>
      <c r="F421" s="26"/>
      <c r="G421" s="26" t="s">
        <v>115</v>
      </c>
      <c r="H421" s="26" t="s">
        <v>111</v>
      </c>
      <c r="I421" s="47">
        <v>180</v>
      </c>
      <c r="J421" s="26" t="s">
        <v>487</v>
      </c>
      <c r="K421" s="45">
        <v>46088</v>
      </c>
      <c r="L421" s="26">
        <v>2026400768</v>
      </c>
      <c r="M421" s="132" t="s">
        <v>197</v>
      </c>
      <c r="N421" s="26">
        <v>2026</v>
      </c>
    </row>
    <row r="422" spans="1:14">
      <c r="A422" s="26">
        <v>421</v>
      </c>
      <c r="B422" s="26" t="s">
        <v>50</v>
      </c>
      <c r="C422" s="26" t="s">
        <v>60</v>
      </c>
      <c r="D422" s="26" t="s">
        <v>58</v>
      </c>
      <c r="E422" s="53" t="s">
        <v>68</v>
      </c>
      <c r="F422" s="26"/>
      <c r="G422" s="26" t="s">
        <v>115</v>
      </c>
      <c r="H422" s="26" t="s">
        <v>111</v>
      </c>
      <c r="I422" s="47">
        <v>2861.7</v>
      </c>
      <c r="J422" s="26" t="s">
        <v>490</v>
      </c>
      <c r="K422" s="54">
        <v>46088</v>
      </c>
      <c r="L422" s="26">
        <v>2026400761</v>
      </c>
      <c r="M422" s="132" t="s">
        <v>197</v>
      </c>
      <c r="N422" s="26">
        <v>2026</v>
      </c>
    </row>
    <row r="423" spans="1:14">
      <c r="A423" s="26">
        <v>422</v>
      </c>
      <c r="B423" s="26" t="s">
        <v>50</v>
      </c>
      <c r="C423" s="26" t="s">
        <v>60</v>
      </c>
      <c r="D423" s="26" t="s">
        <v>58</v>
      </c>
      <c r="E423" s="53" t="s">
        <v>68</v>
      </c>
      <c r="F423" s="26"/>
      <c r="G423" s="26" t="s">
        <v>115</v>
      </c>
      <c r="H423" s="26" t="s">
        <v>111</v>
      </c>
      <c r="I423" s="47">
        <v>2550</v>
      </c>
      <c r="J423" s="26" t="s">
        <v>491</v>
      </c>
      <c r="K423" s="45">
        <v>46088</v>
      </c>
      <c r="L423" s="26">
        <v>2026400762</v>
      </c>
      <c r="M423" s="132" t="s">
        <v>197</v>
      </c>
      <c r="N423" s="26">
        <v>2026</v>
      </c>
    </row>
    <row r="424" spans="1:14">
      <c r="A424" s="26">
        <v>423</v>
      </c>
      <c r="B424" s="26" t="s">
        <v>50</v>
      </c>
      <c r="C424" s="26" t="s">
        <v>60</v>
      </c>
      <c r="D424" s="26" t="s">
        <v>58</v>
      </c>
      <c r="E424" s="53" t="s">
        <v>68</v>
      </c>
      <c r="F424" s="26"/>
      <c r="G424" s="26" t="s">
        <v>115</v>
      </c>
      <c r="H424" s="26" t="s">
        <v>111</v>
      </c>
      <c r="I424" s="47">
        <v>2720</v>
      </c>
      <c r="J424" s="26" t="s">
        <v>492</v>
      </c>
      <c r="K424" s="45">
        <v>46088</v>
      </c>
      <c r="L424" s="26">
        <v>2026400755</v>
      </c>
      <c r="M424" s="132" t="s">
        <v>197</v>
      </c>
      <c r="N424" s="26">
        <v>2026</v>
      </c>
    </row>
    <row r="425" spans="1:14">
      <c r="A425" s="26">
        <v>424</v>
      </c>
      <c r="B425" s="26" t="s">
        <v>33</v>
      </c>
      <c r="C425" s="26" t="s">
        <v>36</v>
      </c>
      <c r="D425" s="26" t="s">
        <v>58</v>
      </c>
      <c r="E425" s="53" t="s">
        <v>68</v>
      </c>
      <c r="F425" s="26"/>
      <c r="G425" s="26" t="s">
        <v>115</v>
      </c>
      <c r="H425" s="26" t="s">
        <v>111</v>
      </c>
      <c r="I425" s="47">
        <v>1360</v>
      </c>
      <c r="J425" s="26" t="s">
        <v>493</v>
      </c>
      <c r="K425" s="45">
        <v>46088</v>
      </c>
      <c r="L425" s="26">
        <v>2026400765</v>
      </c>
      <c r="M425" s="132" t="s">
        <v>197</v>
      </c>
      <c r="N425" s="26">
        <v>2026</v>
      </c>
    </row>
    <row r="426" spans="1:14">
      <c r="A426" s="26">
        <v>425</v>
      </c>
      <c r="B426" s="26" t="s">
        <v>52</v>
      </c>
      <c r="C426" s="26" t="s">
        <v>90</v>
      </c>
      <c r="D426" s="26" t="s">
        <v>58</v>
      </c>
      <c r="E426" s="53" t="s">
        <v>68</v>
      </c>
      <c r="F426" s="26"/>
      <c r="G426" s="26" t="s">
        <v>115</v>
      </c>
      <c r="H426" s="26" t="s">
        <v>111</v>
      </c>
      <c r="I426" s="47">
        <v>60</v>
      </c>
      <c r="J426" s="26" t="s">
        <v>494</v>
      </c>
      <c r="K426" s="45">
        <v>46088</v>
      </c>
      <c r="L426" s="26">
        <v>2026400770</v>
      </c>
      <c r="M426" s="132" t="s">
        <v>197</v>
      </c>
      <c r="N426" s="26">
        <v>2026</v>
      </c>
    </row>
    <row r="427" spans="1:14">
      <c r="A427" s="26">
        <v>426</v>
      </c>
      <c r="B427" s="26" t="s">
        <v>52</v>
      </c>
      <c r="C427" s="26" t="s">
        <v>90</v>
      </c>
      <c r="D427" s="26" t="s">
        <v>58</v>
      </c>
      <c r="E427" s="53" t="s">
        <v>68</v>
      </c>
      <c r="F427" s="26"/>
      <c r="G427" s="26" t="s">
        <v>115</v>
      </c>
      <c r="H427" s="26" t="s">
        <v>111</v>
      </c>
      <c r="I427" s="47">
        <v>947</v>
      </c>
      <c r="J427" s="26" t="s">
        <v>495</v>
      </c>
      <c r="K427" s="45">
        <v>46083</v>
      </c>
      <c r="L427" s="26">
        <v>2026400763</v>
      </c>
      <c r="M427" s="132" t="s">
        <v>197</v>
      </c>
      <c r="N427" s="26">
        <v>2026</v>
      </c>
    </row>
    <row r="428" spans="1:14">
      <c r="A428" s="26">
        <v>427</v>
      </c>
      <c r="B428" s="26" t="s">
        <v>50</v>
      </c>
      <c r="C428" s="26" t="s">
        <v>60</v>
      </c>
      <c r="D428" s="26" t="s">
        <v>58</v>
      </c>
      <c r="E428" s="53" t="s">
        <v>68</v>
      </c>
      <c r="F428" s="26"/>
      <c r="G428" s="26" t="s">
        <v>115</v>
      </c>
      <c r="H428" s="26" t="s">
        <v>111</v>
      </c>
      <c r="I428" s="47">
        <v>250</v>
      </c>
      <c r="J428" s="26" t="s">
        <v>497</v>
      </c>
      <c r="K428" s="45">
        <v>46088</v>
      </c>
      <c r="L428" s="26">
        <v>2026400519</v>
      </c>
      <c r="M428" s="132" t="s">
        <v>197</v>
      </c>
      <c r="N428" s="26">
        <v>2026</v>
      </c>
    </row>
    <row r="429" spans="1:14">
      <c r="A429" s="26">
        <v>428</v>
      </c>
      <c r="B429" s="26" t="s">
        <v>52</v>
      </c>
      <c r="C429" s="26" t="s">
        <v>90</v>
      </c>
      <c r="D429" s="26" t="s">
        <v>58</v>
      </c>
      <c r="E429" s="53" t="s">
        <v>68</v>
      </c>
      <c r="F429" s="26"/>
      <c r="G429" s="26" t="s">
        <v>115</v>
      </c>
      <c r="H429" s="26" t="s">
        <v>111</v>
      </c>
      <c r="I429" s="47">
        <v>945</v>
      </c>
      <c r="J429" s="26" t="s">
        <v>499</v>
      </c>
      <c r="K429" s="45">
        <v>46088</v>
      </c>
      <c r="L429" s="26">
        <v>2026400769</v>
      </c>
      <c r="M429" s="132" t="s">
        <v>197</v>
      </c>
      <c r="N429" s="26">
        <v>2026</v>
      </c>
    </row>
    <row r="430" spans="1:14">
      <c r="A430" s="26">
        <v>429</v>
      </c>
      <c r="B430" s="26" t="s">
        <v>40</v>
      </c>
      <c r="C430" s="26" t="s">
        <v>247</v>
      </c>
      <c r="D430" s="26" t="s">
        <v>58</v>
      </c>
      <c r="E430" s="53" t="s">
        <v>68</v>
      </c>
      <c r="F430" s="26"/>
      <c r="G430" s="26" t="s">
        <v>115</v>
      </c>
      <c r="H430" s="26" t="s">
        <v>111</v>
      </c>
      <c r="I430" s="47">
        <v>672</v>
      </c>
      <c r="J430" s="26" t="s">
        <v>500</v>
      </c>
      <c r="K430" s="45">
        <v>46088</v>
      </c>
      <c r="L430" s="26">
        <v>2026400764</v>
      </c>
      <c r="M430" s="132" t="s">
        <v>197</v>
      </c>
      <c r="N430" s="26">
        <v>2026</v>
      </c>
    </row>
    <row r="431" spans="1:14">
      <c r="A431" s="26">
        <v>430</v>
      </c>
      <c r="B431" s="26" t="s">
        <v>40</v>
      </c>
      <c r="C431" s="26" t="s">
        <v>48</v>
      </c>
      <c r="D431" s="26" t="s">
        <v>58</v>
      </c>
      <c r="E431" s="53" t="s">
        <v>68</v>
      </c>
      <c r="F431" s="26"/>
      <c r="G431" s="26" t="s">
        <v>115</v>
      </c>
      <c r="H431" s="26" t="s">
        <v>111</v>
      </c>
      <c r="I431" s="47">
        <v>1213</v>
      </c>
      <c r="J431" s="26" t="s">
        <v>501</v>
      </c>
      <c r="K431" s="45">
        <v>46088</v>
      </c>
      <c r="L431" s="26">
        <v>2026400766</v>
      </c>
      <c r="M431" s="132" t="s">
        <v>197</v>
      </c>
      <c r="N431" s="26">
        <v>2026</v>
      </c>
    </row>
    <row r="432" spans="1:14">
      <c r="A432" s="26">
        <v>431</v>
      </c>
      <c r="B432" s="26" t="s">
        <v>40</v>
      </c>
      <c r="C432" s="26" t="s">
        <v>48</v>
      </c>
      <c r="D432" s="26" t="s">
        <v>58</v>
      </c>
      <c r="E432" s="53" t="s">
        <v>68</v>
      </c>
      <c r="F432" s="26"/>
      <c r="G432" s="26" t="s">
        <v>115</v>
      </c>
      <c r="H432" s="26" t="s">
        <v>111</v>
      </c>
      <c r="I432" s="47">
        <v>560</v>
      </c>
      <c r="J432" s="26" t="s">
        <v>502</v>
      </c>
      <c r="K432" s="45">
        <v>46088</v>
      </c>
      <c r="L432" s="26">
        <v>2026400760</v>
      </c>
      <c r="M432" s="132" t="s">
        <v>197</v>
      </c>
      <c r="N432" s="26">
        <v>2026</v>
      </c>
    </row>
    <row r="433" spans="1:14">
      <c r="A433" s="26">
        <v>432</v>
      </c>
      <c r="B433" s="26" t="s">
        <v>40</v>
      </c>
      <c r="C433" s="26" t="s">
        <v>48</v>
      </c>
      <c r="D433" s="26" t="s">
        <v>58</v>
      </c>
      <c r="E433" s="53" t="s">
        <v>68</v>
      </c>
      <c r="F433" s="26"/>
      <c r="G433" s="26" t="s">
        <v>115</v>
      </c>
      <c r="H433" s="26" t="s">
        <v>111</v>
      </c>
      <c r="I433" s="47">
        <v>600</v>
      </c>
      <c r="J433" s="26" t="s">
        <v>505</v>
      </c>
      <c r="K433" s="45">
        <v>46091</v>
      </c>
      <c r="L433" s="26">
        <v>2026400864</v>
      </c>
      <c r="M433" s="132" t="s">
        <v>197</v>
      </c>
      <c r="N433" s="26">
        <v>2026</v>
      </c>
    </row>
    <row r="434" spans="1:14">
      <c r="A434" s="26">
        <v>433</v>
      </c>
      <c r="B434" s="26" t="s">
        <v>40</v>
      </c>
      <c r="C434" s="26" t="s">
        <v>48</v>
      </c>
      <c r="D434" s="26" t="s">
        <v>58</v>
      </c>
      <c r="E434" s="53" t="s">
        <v>68</v>
      </c>
      <c r="F434" s="26"/>
      <c r="G434" s="26" t="s">
        <v>115</v>
      </c>
      <c r="H434" s="26" t="s">
        <v>111</v>
      </c>
      <c r="I434" s="47">
        <v>310</v>
      </c>
      <c r="J434" s="26" t="s">
        <v>506</v>
      </c>
      <c r="K434" s="45">
        <v>46091</v>
      </c>
      <c r="L434" s="26">
        <v>2026400863</v>
      </c>
      <c r="M434" s="132" t="s">
        <v>197</v>
      </c>
      <c r="N434" s="26">
        <v>2026</v>
      </c>
    </row>
    <row r="435" spans="1:14">
      <c r="A435" s="26">
        <v>434</v>
      </c>
      <c r="B435" s="26" t="s">
        <v>50</v>
      </c>
      <c r="C435" s="26" t="s">
        <v>60</v>
      </c>
      <c r="D435" s="26" t="s">
        <v>58</v>
      </c>
      <c r="E435" s="53" t="s">
        <v>68</v>
      </c>
      <c r="F435" s="26"/>
      <c r="G435" s="26" t="s">
        <v>115</v>
      </c>
      <c r="H435" s="26" t="s">
        <v>111</v>
      </c>
      <c r="I435" s="47">
        <v>3224</v>
      </c>
      <c r="J435" s="26" t="s">
        <v>513</v>
      </c>
      <c r="K435" s="45">
        <v>46088</v>
      </c>
      <c r="L435" s="26">
        <v>2026400740</v>
      </c>
      <c r="M435" s="132" t="s">
        <v>197</v>
      </c>
      <c r="N435" s="26">
        <v>2026</v>
      </c>
    </row>
    <row r="436" spans="1:14">
      <c r="A436" s="26">
        <v>435</v>
      </c>
      <c r="B436" s="26" t="s">
        <v>17</v>
      </c>
      <c r="C436" s="26" t="s">
        <v>22</v>
      </c>
      <c r="D436" s="26" t="s">
        <v>58</v>
      </c>
      <c r="E436" s="53" t="s">
        <v>68</v>
      </c>
      <c r="F436" s="26"/>
      <c r="G436" s="26" t="s">
        <v>115</v>
      </c>
      <c r="H436" s="26" t="s">
        <v>111</v>
      </c>
      <c r="I436" s="47">
        <v>1499.4</v>
      </c>
      <c r="J436" s="26" t="s">
        <v>514</v>
      </c>
      <c r="K436" s="45">
        <v>46092</v>
      </c>
      <c r="L436" s="26">
        <v>2026400941</v>
      </c>
      <c r="M436" s="132" t="s">
        <v>197</v>
      </c>
      <c r="N436" s="26">
        <v>2026</v>
      </c>
    </row>
    <row r="437" spans="1:14">
      <c r="A437" s="26">
        <v>436</v>
      </c>
      <c r="B437" s="26" t="s">
        <v>17</v>
      </c>
      <c r="C437" s="26" t="s">
        <v>22</v>
      </c>
      <c r="D437" s="26" t="s">
        <v>58</v>
      </c>
      <c r="E437" s="53" t="s">
        <v>68</v>
      </c>
      <c r="F437" s="26"/>
      <c r="G437" s="26" t="s">
        <v>115</v>
      </c>
      <c r="H437" s="26" t="s">
        <v>111</v>
      </c>
      <c r="I437" s="47">
        <v>45</v>
      </c>
      <c r="J437" s="26" t="s">
        <v>515</v>
      </c>
      <c r="K437" s="45">
        <v>46091</v>
      </c>
      <c r="L437" s="26">
        <v>2026400870</v>
      </c>
      <c r="M437" s="132" t="s">
        <v>197</v>
      </c>
      <c r="N437" s="26">
        <v>2026</v>
      </c>
    </row>
    <row r="438" spans="1:14">
      <c r="A438" s="26">
        <v>437</v>
      </c>
      <c r="B438" s="26" t="s">
        <v>17</v>
      </c>
      <c r="C438" s="26" t="s">
        <v>25</v>
      </c>
      <c r="D438" s="26" t="s">
        <v>58</v>
      </c>
      <c r="E438" s="53" t="s">
        <v>68</v>
      </c>
      <c r="F438" s="26"/>
      <c r="G438" s="26" t="s">
        <v>115</v>
      </c>
      <c r="H438" s="26" t="s">
        <v>111</v>
      </c>
      <c r="I438" s="47">
        <v>96</v>
      </c>
      <c r="J438" s="26" t="s">
        <v>516</v>
      </c>
      <c r="K438" s="45">
        <v>46092</v>
      </c>
      <c r="L438" s="26">
        <v>2026400937</v>
      </c>
      <c r="M438" s="132" t="s">
        <v>197</v>
      </c>
      <c r="N438" s="26">
        <v>2026</v>
      </c>
    </row>
    <row r="439" spans="1:14">
      <c r="A439" s="26">
        <v>438</v>
      </c>
      <c r="B439" s="26" t="s">
        <v>40</v>
      </c>
      <c r="C439" s="26" t="s">
        <v>45</v>
      </c>
      <c r="D439" s="26" t="s">
        <v>58</v>
      </c>
      <c r="E439" s="53" t="s">
        <v>68</v>
      </c>
      <c r="F439" s="26"/>
      <c r="G439" s="26" t="s">
        <v>115</v>
      </c>
      <c r="H439" s="26" t="s">
        <v>111</v>
      </c>
      <c r="I439" s="47">
        <v>77.400000000000006</v>
      </c>
      <c r="J439" s="26" t="s">
        <v>517</v>
      </c>
      <c r="K439" s="45">
        <v>46091</v>
      </c>
      <c r="L439" s="26">
        <v>2026400751</v>
      </c>
      <c r="M439" s="132" t="s">
        <v>197</v>
      </c>
      <c r="N439" s="26">
        <v>2026</v>
      </c>
    </row>
    <row r="440" spans="1:14">
      <c r="A440" s="26">
        <v>439</v>
      </c>
      <c r="B440" s="26" t="s">
        <v>17</v>
      </c>
      <c r="C440" s="26" t="s">
        <v>22</v>
      </c>
      <c r="D440" s="26" t="s">
        <v>58</v>
      </c>
      <c r="E440" s="53" t="s">
        <v>68</v>
      </c>
      <c r="F440" s="26"/>
      <c r="G440" s="26" t="s">
        <v>115</v>
      </c>
      <c r="H440" s="26" t="s">
        <v>111</v>
      </c>
      <c r="I440" s="47">
        <v>72</v>
      </c>
      <c r="J440" s="26" t="s">
        <v>518</v>
      </c>
      <c r="K440" s="45">
        <v>46092</v>
      </c>
      <c r="L440" s="26">
        <v>2026400702</v>
      </c>
      <c r="M440" s="132" t="s">
        <v>197</v>
      </c>
      <c r="N440" s="26">
        <v>2026</v>
      </c>
    </row>
    <row r="441" spans="1:14">
      <c r="A441" s="26">
        <v>440</v>
      </c>
      <c r="B441" s="26" t="s">
        <v>17</v>
      </c>
      <c r="C441" s="26" t="s">
        <v>25</v>
      </c>
      <c r="D441" s="26" t="s">
        <v>58</v>
      </c>
      <c r="E441" s="26" t="s">
        <v>68</v>
      </c>
      <c r="F441" s="26"/>
      <c r="G441" s="26" t="s">
        <v>115</v>
      </c>
      <c r="H441" s="26" t="s">
        <v>111</v>
      </c>
      <c r="I441" s="47">
        <v>746</v>
      </c>
      <c r="J441" s="26" t="s">
        <v>519</v>
      </c>
      <c r="K441" s="45">
        <v>46092</v>
      </c>
      <c r="L441" s="26">
        <v>2026400938</v>
      </c>
      <c r="M441" s="132" t="s">
        <v>197</v>
      </c>
      <c r="N441" s="26">
        <v>2026</v>
      </c>
    </row>
    <row r="442" spans="1:14">
      <c r="A442" s="26">
        <v>441</v>
      </c>
      <c r="B442" s="26" t="s">
        <v>17</v>
      </c>
      <c r="C442" s="26" t="s">
        <v>22</v>
      </c>
      <c r="D442" s="26" t="s">
        <v>58</v>
      </c>
      <c r="E442" s="53" t="s">
        <v>68</v>
      </c>
      <c r="F442" s="26"/>
      <c r="G442" s="26" t="s">
        <v>115</v>
      </c>
      <c r="H442" s="26" t="s">
        <v>111</v>
      </c>
      <c r="I442" s="47">
        <v>96</v>
      </c>
      <c r="J442" s="26" t="s">
        <v>520</v>
      </c>
      <c r="K442" s="45">
        <v>46092</v>
      </c>
      <c r="L442" s="26">
        <v>2026400936</v>
      </c>
      <c r="M442" s="132" t="s">
        <v>197</v>
      </c>
      <c r="N442" s="26">
        <v>2026</v>
      </c>
    </row>
    <row r="443" spans="1:14">
      <c r="A443" s="26">
        <v>442</v>
      </c>
      <c r="B443" s="26" t="s">
        <v>40</v>
      </c>
      <c r="C443" s="26" t="s">
        <v>45</v>
      </c>
      <c r="D443" s="26" t="s">
        <v>58</v>
      </c>
      <c r="E443" s="53" t="s">
        <v>68</v>
      </c>
      <c r="F443" s="26"/>
      <c r="G443" s="26" t="s">
        <v>115</v>
      </c>
      <c r="H443" s="26" t="s">
        <v>111</v>
      </c>
      <c r="I443" s="47">
        <v>163</v>
      </c>
      <c r="J443" s="26" t="s">
        <v>521</v>
      </c>
      <c r="K443" s="45">
        <v>46092</v>
      </c>
      <c r="L443" s="26">
        <v>2026400916</v>
      </c>
      <c r="M443" s="132" t="s">
        <v>197</v>
      </c>
      <c r="N443" s="26">
        <v>2026</v>
      </c>
    </row>
    <row r="444" spans="1:14">
      <c r="A444" s="26">
        <v>443</v>
      </c>
      <c r="B444" s="26" t="s">
        <v>56</v>
      </c>
      <c r="C444" s="26" t="s">
        <v>57</v>
      </c>
      <c r="D444" s="26" t="s">
        <v>58</v>
      </c>
      <c r="E444" s="53" t="s">
        <v>68</v>
      </c>
      <c r="F444" s="26"/>
      <c r="G444" s="26" t="s">
        <v>115</v>
      </c>
      <c r="H444" s="26" t="s">
        <v>111</v>
      </c>
      <c r="I444" s="47">
        <v>450</v>
      </c>
      <c r="J444" s="26" t="s">
        <v>522</v>
      </c>
      <c r="K444" s="45">
        <v>46092</v>
      </c>
      <c r="L444" s="26">
        <v>2026400848</v>
      </c>
      <c r="M444" s="132" t="s">
        <v>197</v>
      </c>
      <c r="N444" s="26">
        <v>2026</v>
      </c>
    </row>
    <row r="445" spans="1:14">
      <c r="A445" s="26">
        <v>444</v>
      </c>
      <c r="B445" s="26" t="s">
        <v>275</v>
      </c>
      <c r="C445" s="26" t="s">
        <v>303</v>
      </c>
      <c r="D445" s="26" t="s">
        <v>58</v>
      </c>
      <c r="E445" s="53" t="s">
        <v>68</v>
      </c>
      <c r="F445" s="26"/>
      <c r="G445" s="26" t="s">
        <v>115</v>
      </c>
      <c r="H445" s="26" t="s">
        <v>111</v>
      </c>
      <c r="I445" s="47">
        <v>65</v>
      </c>
      <c r="J445" s="26" t="s">
        <v>523</v>
      </c>
      <c r="K445" s="45">
        <v>46092</v>
      </c>
      <c r="L445" s="26">
        <v>2026400849</v>
      </c>
      <c r="M445" s="132" t="s">
        <v>197</v>
      </c>
      <c r="N445" s="26">
        <v>2026</v>
      </c>
    </row>
    <row r="446" spans="1:14">
      <c r="A446" s="26">
        <v>445</v>
      </c>
      <c r="B446" s="26" t="s">
        <v>275</v>
      </c>
      <c r="C446" s="26" t="s">
        <v>303</v>
      </c>
      <c r="D446" s="26" t="s">
        <v>58</v>
      </c>
      <c r="E446" s="53" t="s">
        <v>68</v>
      </c>
      <c r="F446" s="26"/>
      <c r="G446" s="26" t="s">
        <v>115</v>
      </c>
      <c r="H446" s="26" t="s">
        <v>111</v>
      </c>
      <c r="I446" s="47">
        <v>2007.9</v>
      </c>
      <c r="J446" s="26" t="s">
        <v>524</v>
      </c>
      <c r="K446" s="45">
        <v>46092</v>
      </c>
      <c r="L446" s="26">
        <v>2026400847</v>
      </c>
      <c r="M446" s="132" t="s">
        <v>197</v>
      </c>
      <c r="N446" s="26">
        <v>2026</v>
      </c>
    </row>
    <row r="447" spans="1:14">
      <c r="A447" s="26">
        <v>446</v>
      </c>
      <c r="B447" s="53" t="s">
        <v>17</v>
      </c>
      <c r="C447" s="53" t="s">
        <v>22</v>
      </c>
      <c r="D447" s="26" t="s">
        <v>58</v>
      </c>
      <c r="E447" s="26" t="s">
        <v>68</v>
      </c>
      <c r="F447" s="26"/>
      <c r="G447" s="26" t="s">
        <v>115</v>
      </c>
      <c r="H447" s="26" t="s">
        <v>111</v>
      </c>
      <c r="I447" s="47">
        <v>2975</v>
      </c>
      <c r="J447" s="26" t="s">
        <v>525</v>
      </c>
      <c r="K447" s="45">
        <v>46092</v>
      </c>
      <c r="L447" s="26">
        <v>2026400915</v>
      </c>
      <c r="M447" s="132" t="s">
        <v>197</v>
      </c>
      <c r="N447" s="26">
        <v>2026</v>
      </c>
    </row>
    <row r="448" spans="1:14">
      <c r="A448" s="26">
        <v>447</v>
      </c>
      <c r="B448" s="26" t="s">
        <v>17</v>
      </c>
      <c r="C448" s="26" t="s">
        <v>22</v>
      </c>
      <c r="D448" s="26" t="s">
        <v>58</v>
      </c>
      <c r="E448" s="53" t="s">
        <v>68</v>
      </c>
      <c r="F448" s="26"/>
      <c r="G448" s="26" t="s">
        <v>115</v>
      </c>
      <c r="H448" s="26" t="s">
        <v>111</v>
      </c>
      <c r="I448" s="47">
        <v>1930.8</v>
      </c>
      <c r="J448" s="26" t="s">
        <v>526</v>
      </c>
      <c r="K448" s="45">
        <v>46092</v>
      </c>
      <c r="L448" s="26">
        <v>2026400889</v>
      </c>
      <c r="M448" s="132" t="s">
        <v>197</v>
      </c>
      <c r="N448" s="26">
        <v>2026</v>
      </c>
    </row>
    <row r="449" spans="1:14">
      <c r="A449" s="26">
        <v>448</v>
      </c>
      <c r="B449" s="26" t="s">
        <v>17</v>
      </c>
      <c r="C449" s="26" t="s">
        <v>22</v>
      </c>
      <c r="D449" s="26" t="s">
        <v>58</v>
      </c>
      <c r="E449" s="53" t="s">
        <v>68</v>
      </c>
      <c r="F449" s="26"/>
      <c r="G449" s="26" t="s">
        <v>115</v>
      </c>
      <c r="H449" s="26" t="s">
        <v>111</v>
      </c>
      <c r="I449" s="47">
        <v>181.8</v>
      </c>
      <c r="J449" s="26" t="s">
        <v>527</v>
      </c>
      <c r="K449" s="45">
        <v>46092</v>
      </c>
      <c r="L449" s="26">
        <v>2026400851</v>
      </c>
      <c r="M449" s="132" t="s">
        <v>197</v>
      </c>
      <c r="N449" s="26">
        <v>2026</v>
      </c>
    </row>
    <row r="450" spans="1:14">
      <c r="A450" s="26">
        <v>449</v>
      </c>
      <c r="B450" s="26" t="s">
        <v>17</v>
      </c>
      <c r="C450" s="26" t="s">
        <v>22</v>
      </c>
      <c r="D450" s="26" t="s">
        <v>58</v>
      </c>
      <c r="E450" s="53" t="s">
        <v>68</v>
      </c>
      <c r="F450" s="26"/>
      <c r="G450" s="26" t="s">
        <v>115</v>
      </c>
      <c r="H450" s="26" t="s">
        <v>111</v>
      </c>
      <c r="I450" s="47">
        <v>152.1</v>
      </c>
      <c r="J450" s="26" t="s">
        <v>528</v>
      </c>
      <c r="K450" s="45">
        <v>46092</v>
      </c>
      <c r="L450" s="26">
        <v>2026400931</v>
      </c>
      <c r="M450" s="132" t="s">
        <v>197</v>
      </c>
      <c r="N450" s="26">
        <v>2026</v>
      </c>
    </row>
    <row r="451" spans="1:14">
      <c r="A451" s="26">
        <v>450</v>
      </c>
      <c r="B451" s="26" t="s">
        <v>17</v>
      </c>
      <c r="C451" s="26" t="s">
        <v>22</v>
      </c>
      <c r="D451" s="26" t="s">
        <v>58</v>
      </c>
      <c r="E451" s="53" t="s">
        <v>68</v>
      </c>
      <c r="F451" s="26"/>
      <c r="G451" s="26" t="s">
        <v>115</v>
      </c>
      <c r="H451" s="26" t="s">
        <v>111</v>
      </c>
      <c r="I451" s="47">
        <v>925</v>
      </c>
      <c r="J451" s="26" t="s">
        <v>529</v>
      </c>
      <c r="K451" s="45">
        <v>46092</v>
      </c>
      <c r="L451" s="26">
        <v>2026400928</v>
      </c>
      <c r="M451" s="132" t="s">
        <v>197</v>
      </c>
      <c r="N451" s="26">
        <v>2026</v>
      </c>
    </row>
    <row r="452" spans="1:14">
      <c r="A452" s="26">
        <v>451</v>
      </c>
      <c r="B452" s="26" t="s">
        <v>17</v>
      </c>
      <c r="C452" s="26" t="s">
        <v>22</v>
      </c>
      <c r="D452" s="26" t="s">
        <v>58</v>
      </c>
      <c r="E452" s="53" t="s">
        <v>68</v>
      </c>
      <c r="F452" s="26"/>
      <c r="G452" s="26" t="s">
        <v>115</v>
      </c>
      <c r="H452" s="26" t="s">
        <v>111</v>
      </c>
      <c r="I452" s="47">
        <v>240</v>
      </c>
      <c r="J452" s="26" t="s">
        <v>533</v>
      </c>
      <c r="K452" s="45">
        <v>46092</v>
      </c>
      <c r="L452" s="26">
        <v>2026400926</v>
      </c>
      <c r="M452" s="132" t="s">
        <v>197</v>
      </c>
      <c r="N452" s="26">
        <v>2026</v>
      </c>
    </row>
    <row r="453" spans="1:14">
      <c r="A453" s="26">
        <v>452</v>
      </c>
      <c r="B453" s="26" t="s">
        <v>40</v>
      </c>
      <c r="C453" s="26" t="s">
        <v>48</v>
      </c>
      <c r="D453" s="26" t="s">
        <v>58</v>
      </c>
      <c r="E453" s="53" t="s">
        <v>68</v>
      </c>
      <c r="F453" s="26"/>
      <c r="G453" s="26" t="s">
        <v>115</v>
      </c>
      <c r="H453" s="26" t="s">
        <v>111</v>
      </c>
      <c r="I453" s="47">
        <v>1583.6</v>
      </c>
      <c r="J453" s="26" t="s">
        <v>538</v>
      </c>
      <c r="K453" s="45">
        <v>46092</v>
      </c>
      <c r="L453" s="26">
        <v>2026400840</v>
      </c>
      <c r="M453" s="132" t="s">
        <v>197</v>
      </c>
      <c r="N453" s="26">
        <v>2026</v>
      </c>
    </row>
    <row r="454" spans="1:14">
      <c r="A454" s="26">
        <v>453</v>
      </c>
      <c r="B454" s="26" t="s">
        <v>17</v>
      </c>
      <c r="C454" s="26" t="s">
        <v>18</v>
      </c>
      <c r="D454" s="26" t="s">
        <v>58</v>
      </c>
      <c r="E454" s="53" t="s">
        <v>68</v>
      </c>
      <c r="F454" s="26"/>
      <c r="G454" s="26" t="s">
        <v>115</v>
      </c>
      <c r="H454" s="26" t="s">
        <v>111</v>
      </c>
      <c r="I454" s="47">
        <v>344.9</v>
      </c>
      <c r="J454" s="26" t="s">
        <v>540</v>
      </c>
      <c r="K454" s="45">
        <v>46092</v>
      </c>
      <c r="L454" s="26">
        <v>2026400920</v>
      </c>
      <c r="M454" s="132" t="s">
        <v>197</v>
      </c>
      <c r="N454" s="26">
        <v>2026</v>
      </c>
    </row>
    <row r="455" spans="1:14">
      <c r="A455" s="26">
        <v>454</v>
      </c>
      <c r="B455" s="26" t="s">
        <v>17</v>
      </c>
      <c r="C455" s="26" t="s">
        <v>18</v>
      </c>
      <c r="D455" s="26" t="s">
        <v>58</v>
      </c>
      <c r="E455" s="53" t="s">
        <v>68</v>
      </c>
      <c r="F455" s="26"/>
      <c r="G455" s="26" t="s">
        <v>115</v>
      </c>
      <c r="H455" s="26" t="s">
        <v>111</v>
      </c>
      <c r="I455" s="47">
        <v>175</v>
      </c>
      <c r="J455" s="26" t="s">
        <v>545</v>
      </c>
      <c r="K455" s="45">
        <v>46092</v>
      </c>
      <c r="L455" s="26">
        <v>2026400884</v>
      </c>
      <c r="M455" s="132" t="s">
        <v>197</v>
      </c>
      <c r="N455" s="26">
        <v>2026</v>
      </c>
    </row>
    <row r="456" spans="1:14">
      <c r="A456" s="26">
        <v>455</v>
      </c>
      <c r="B456" s="26" t="s">
        <v>275</v>
      </c>
      <c r="C456" s="26" t="s">
        <v>303</v>
      </c>
      <c r="D456" s="26" t="s">
        <v>58</v>
      </c>
      <c r="E456" s="53" t="s">
        <v>68</v>
      </c>
      <c r="F456" s="26"/>
      <c r="G456" s="26" t="s">
        <v>115</v>
      </c>
      <c r="H456" s="26" t="s">
        <v>111</v>
      </c>
      <c r="I456" s="47">
        <v>1600</v>
      </c>
      <c r="J456" s="26" t="s">
        <v>546</v>
      </c>
      <c r="K456" s="45">
        <v>46092</v>
      </c>
      <c r="L456" s="26">
        <v>2026400950</v>
      </c>
      <c r="M456" s="132" t="s">
        <v>197</v>
      </c>
      <c r="N456" s="26">
        <v>2026</v>
      </c>
    </row>
    <row r="457" spans="1:14">
      <c r="A457" s="26">
        <v>456</v>
      </c>
      <c r="B457" s="26" t="s">
        <v>50</v>
      </c>
      <c r="C457" s="26" t="s">
        <v>60</v>
      </c>
      <c r="D457" s="26" t="s">
        <v>58</v>
      </c>
      <c r="E457" s="53" t="s">
        <v>68</v>
      </c>
      <c r="F457" s="26"/>
      <c r="G457" s="26" t="s">
        <v>115</v>
      </c>
      <c r="H457" s="26" t="s">
        <v>111</v>
      </c>
      <c r="I457" s="47">
        <v>1479.1</v>
      </c>
      <c r="J457" s="26" t="s">
        <v>547</v>
      </c>
      <c r="K457" s="45">
        <v>46092</v>
      </c>
      <c r="L457" s="26">
        <v>2026400905</v>
      </c>
      <c r="M457" s="132" t="s">
        <v>197</v>
      </c>
      <c r="N457" s="26">
        <v>2026</v>
      </c>
    </row>
    <row r="458" spans="1:14">
      <c r="A458" s="26">
        <v>457</v>
      </c>
      <c r="B458" s="26" t="s">
        <v>33</v>
      </c>
      <c r="C458" s="26" t="s">
        <v>35</v>
      </c>
      <c r="D458" s="26" t="s">
        <v>58</v>
      </c>
      <c r="E458" s="53" t="s">
        <v>68</v>
      </c>
      <c r="F458" s="26"/>
      <c r="G458" s="26" t="s">
        <v>115</v>
      </c>
      <c r="H458" s="26" t="s">
        <v>111</v>
      </c>
      <c r="I458" s="47">
        <v>154</v>
      </c>
      <c r="J458" s="26" t="s">
        <v>548</v>
      </c>
      <c r="K458" s="45">
        <v>46092</v>
      </c>
      <c r="L458" s="26">
        <v>2026400934</v>
      </c>
      <c r="M458" s="132" t="s">
        <v>197</v>
      </c>
      <c r="N458" s="26">
        <v>2026</v>
      </c>
    </row>
    <row r="459" spans="1:14">
      <c r="A459" s="26">
        <v>458</v>
      </c>
      <c r="B459" s="26" t="s">
        <v>40</v>
      </c>
      <c r="C459" s="26" t="s">
        <v>48</v>
      </c>
      <c r="D459" s="26" t="s">
        <v>58</v>
      </c>
      <c r="E459" s="53" t="s">
        <v>68</v>
      </c>
      <c r="F459" s="26"/>
      <c r="G459" s="26" t="s">
        <v>115</v>
      </c>
      <c r="H459" s="26" t="s">
        <v>111</v>
      </c>
      <c r="I459" s="47">
        <v>500</v>
      </c>
      <c r="J459" s="26" t="s">
        <v>549</v>
      </c>
      <c r="K459" s="45">
        <v>46092</v>
      </c>
      <c r="L459" s="26">
        <v>2026400903</v>
      </c>
      <c r="M459" s="132" t="s">
        <v>197</v>
      </c>
      <c r="N459" s="26">
        <v>2026</v>
      </c>
    </row>
    <row r="460" spans="1:14">
      <c r="A460" s="26">
        <v>459</v>
      </c>
      <c r="B460" s="26" t="s">
        <v>40</v>
      </c>
      <c r="C460" s="26" t="s">
        <v>48</v>
      </c>
      <c r="D460" s="26" t="s">
        <v>58</v>
      </c>
      <c r="E460" s="53" t="s">
        <v>68</v>
      </c>
      <c r="F460" s="26"/>
      <c r="G460" s="26" t="s">
        <v>115</v>
      </c>
      <c r="H460" s="26" t="s">
        <v>111</v>
      </c>
      <c r="I460" s="47">
        <v>99</v>
      </c>
      <c r="J460" s="26" t="s">
        <v>550</v>
      </c>
      <c r="K460" s="45">
        <v>46092</v>
      </c>
      <c r="L460" s="26">
        <v>2026400911</v>
      </c>
      <c r="M460" s="132" t="s">
        <v>197</v>
      </c>
      <c r="N460" s="26">
        <v>2026</v>
      </c>
    </row>
    <row r="461" spans="1:14">
      <c r="A461" s="26">
        <v>460</v>
      </c>
      <c r="B461" s="26" t="s">
        <v>40</v>
      </c>
      <c r="C461" s="26" t="s">
        <v>48</v>
      </c>
      <c r="D461" s="26" t="s">
        <v>58</v>
      </c>
      <c r="E461" s="53" t="s">
        <v>68</v>
      </c>
      <c r="F461" s="26"/>
      <c r="G461" s="26" t="s">
        <v>115</v>
      </c>
      <c r="H461" s="26" t="s">
        <v>111</v>
      </c>
      <c r="I461" s="47">
        <v>805.1</v>
      </c>
      <c r="J461" s="26" t="s">
        <v>551</v>
      </c>
      <c r="K461" s="45">
        <v>46092</v>
      </c>
      <c r="L461" s="26">
        <v>2026400854</v>
      </c>
      <c r="M461" s="132" t="s">
        <v>197</v>
      </c>
      <c r="N461" s="26">
        <v>2026</v>
      </c>
    </row>
    <row r="462" spans="1:14">
      <c r="A462" s="26">
        <v>461</v>
      </c>
      <c r="B462" s="26" t="s">
        <v>40</v>
      </c>
      <c r="C462" s="26" t="s">
        <v>48</v>
      </c>
      <c r="D462" s="26" t="s">
        <v>58</v>
      </c>
      <c r="E462" s="53" t="s">
        <v>68</v>
      </c>
      <c r="F462" s="26"/>
      <c r="G462" s="26" t="s">
        <v>115</v>
      </c>
      <c r="H462" s="26" t="s">
        <v>111</v>
      </c>
      <c r="I462" s="47">
        <v>320</v>
      </c>
      <c r="J462" s="26" t="s">
        <v>552</v>
      </c>
      <c r="K462" s="45">
        <v>46092</v>
      </c>
      <c r="L462" s="26">
        <v>2026400841</v>
      </c>
      <c r="M462" s="132" t="s">
        <v>197</v>
      </c>
      <c r="N462" s="26">
        <v>2026</v>
      </c>
    </row>
    <row r="463" spans="1:14">
      <c r="A463" s="26">
        <v>462</v>
      </c>
      <c r="B463" s="26" t="s">
        <v>40</v>
      </c>
      <c r="C463" s="26" t="s">
        <v>48</v>
      </c>
      <c r="D463" s="26" t="s">
        <v>58</v>
      </c>
      <c r="E463" s="53" t="s">
        <v>68</v>
      </c>
      <c r="F463" s="26"/>
      <c r="G463" s="26" t="s">
        <v>115</v>
      </c>
      <c r="H463" s="26" t="s">
        <v>111</v>
      </c>
      <c r="I463" s="47">
        <v>135</v>
      </c>
      <c r="J463" s="26" t="s">
        <v>553</v>
      </c>
      <c r="K463" s="45">
        <v>46092</v>
      </c>
      <c r="L463" s="26">
        <v>2026400838</v>
      </c>
      <c r="M463" s="132" t="s">
        <v>197</v>
      </c>
      <c r="N463" s="26">
        <v>2026</v>
      </c>
    </row>
    <row r="464" spans="1:14">
      <c r="A464" s="26">
        <v>463</v>
      </c>
      <c r="B464" s="26" t="s">
        <v>40</v>
      </c>
      <c r="C464" s="26" t="s">
        <v>48</v>
      </c>
      <c r="D464" s="26" t="s">
        <v>58</v>
      </c>
      <c r="E464" s="53" t="s">
        <v>68</v>
      </c>
      <c r="F464" s="26"/>
      <c r="G464" s="26" t="s">
        <v>115</v>
      </c>
      <c r="H464" s="26" t="s">
        <v>111</v>
      </c>
      <c r="I464" s="47">
        <v>2355</v>
      </c>
      <c r="J464" s="26" t="s">
        <v>554</v>
      </c>
      <c r="K464" s="45">
        <v>46092</v>
      </c>
      <c r="L464" s="26">
        <v>2026400856</v>
      </c>
      <c r="M464" s="132" t="s">
        <v>197</v>
      </c>
      <c r="N464" s="26">
        <v>2026</v>
      </c>
    </row>
    <row r="465" spans="1:14">
      <c r="A465" s="26">
        <v>464</v>
      </c>
      <c r="B465" s="26" t="s">
        <v>40</v>
      </c>
      <c r="C465" s="26" t="s">
        <v>48</v>
      </c>
      <c r="D465" s="26" t="s">
        <v>58</v>
      </c>
      <c r="E465" s="53" t="s">
        <v>68</v>
      </c>
      <c r="F465" s="26"/>
      <c r="G465" s="26" t="s">
        <v>115</v>
      </c>
      <c r="H465" s="26" t="s">
        <v>111</v>
      </c>
      <c r="I465" s="47">
        <v>840</v>
      </c>
      <c r="J465" s="26" t="s">
        <v>555</v>
      </c>
      <c r="K465" s="45">
        <v>46092</v>
      </c>
      <c r="L465" s="26">
        <v>2026400843</v>
      </c>
      <c r="M465" s="132" t="s">
        <v>197</v>
      </c>
      <c r="N465" s="26">
        <v>2026</v>
      </c>
    </row>
    <row r="466" spans="1:14">
      <c r="A466" s="26">
        <v>465</v>
      </c>
      <c r="B466" s="26" t="s">
        <v>17</v>
      </c>
      <c r="C466" s="26" t="s">
        <v>18</v>
      </c>
      <c r="D466" s="26" t="s">
        <v>58</v>
      </c>
      <c r="E466" s="53" t="s">
        <v>68</v>
      </c>
      <c r="F466" s="26"/>
      <c r="G466" s="26" t="s">
        <v>115</v>
      </c>
      <c r="H466" s="26" t="s">
        <v>111</v>
      </c>
      <c r="I466" s="47">
        <v>72</v>
      </c>
      <c r="J466" s="26" t="s">
        <v>556</v>
      </c>
      <c r="K466" s="45">
        <v>46092</v>
      </c>
      <c r="L466" s="26">
        <v>2026400927</v>
      </c>
      <c r="M466" s="132" t="s">
        <v>197</v>
      </c>
      <c r="N466" s="26">
        <v>2026</v>
      </c>
    </row>
    <row r="467" spans="1:14">
      <c r="A467" s="26">
        <v>466</v>
      </c>
      <c r="B467" s="53" t="s">
        <v>17</v>
      </c>
      <c r="C467" s="26" t="s">
        <v>18</v>
      </c>
      <c r="D467" s="26" t="s">
        <v>58</v>
      </c>
      <c r="E467" s="26" t="s">
        <v>68</v>
      </c>
      <c r="F467" s="26"/>
      <c r="G467" s="26" t="s">
        <v>115</v>
      </c>
      <c r="H467" s="26" t="s">
        <v>111</v>
      </c>
      <c r="I467" s="47">
        <v>70</v>
      </c>
      <c r="J467" s="26" t="s">
        <v>557</v>
      </c>
      <c r="K467" s="45">
        <v>46092</v>
      </c>
      <c r="L467" s="26">
        <v>2026400939</v>
      </c>
      <c r="M467" s="132" t="s">
        <v>197</v>
      </c>
      <c r="N467" s="26">
        <v>2026</v>
      </c>
    </row>
    <row r="468" spans="1:14">
      <c r="A468" s="26">
        <v>467</v>
      </c>
      <c r="B468" s="26" t="s">
        <v>50</v>
      </c>
      <c r="C468" s="26" t="s">
        <v>60</v>
      </c>
      <c r="D468" s="26" t="s">
        <v>58</v>
      </c>
      <c r="E468" s="53" t="s">
        <v>68</v>
      </c>
      <c r="F468" s="26"/>
      <c r="G468" s="26" t="s">
        <v>115</v>
      </c>
      <c r="H468" s="26" t="s">
        <v>111</v>
      </c>
      <c r="I468" s="47">
        <v>128</v>
      </c>
      <c r="J468" s="26" t="s">
        <v>558</v>
      </c>
      <c r="K468" s="45">
        <v>46092</v>
      </c>
      <c r="L468" s="26">
        <v>2026400887</v>
      </c>
      <c r="M468" s="132" t="s">
        <v>197</v>
      </c>
      <c r="N468" s="26">
        <v>2026</v>
      </c>
    </row>
    <row r="469" spans="1:14">
      <c r="A469" s="26">
        <v>468</v>
      </c>
      <c r="B469" s="26" t="s">
        <v>50</v>
      </c>
      <c r="C469" s="26" t="s">
        <v>60</v>
      </c>
      <c r="D469" s="26" t="s">
        <v>58</v>
      </c>
      <c r="E469" s="53" t="s">
        <v>68</v>
      </c>
      <c r="F469" s="26"/>
      <c r="G469" s="26" t="s">
        <v>115</v>
      </c>
      <c r="H469" s="26" t="s">
        <v>111</v>
      </c>
      <c r="I469" s="47">
        <v>646</v>
      </c>
      <c r="J469" s="26" t="s">
        <v>559</v>
      </c>
      <c r="K469" s="45">
        <v>46092</v>
      </c>
      <c r="L469" s="26">
        <v>2026400949</v>
      </c>
      <c r="M469" s="132" t="s">
        <v>197</v>
      </c>
      <c r="N469" s="26">
        <v>2026</v>
      </c>
    </row>
    <row r="470" spans="1:14">
      <c r="A470" s="26">
        <v>469</v>
      </c>
      <c r="B470" s="26" t="s">
        <v>52</v>
      </c>
      <c r="C470" s="26" t="s">
        <v>90</v>
      </c>
      <c r="D470" s="26" t="s">
        <v>58</v>
      </c>
      <c r="E470" s="26" t="s">
        <v>68</v>
      </c>
      <c r="F470" s="26"/>
      <c r="G470" s="26" t="s">
        <v>115</v>
      </c>
      <c r="H470" s="26" t="s">
        <v>111</v>
      </c>
      <c r="I470" s="47">
        <v>1190</v>
      </c>
      <c r="J470" s="26" t="s">
        <v>560</v>
      </c>
      <c r="K470" s="45">
        <v>46092</v>
      </c>
      <c r="L470" s="26">
        <v>2026400902</v>
      </c>
      <c r="M470" s="132" t="s">
        <v>197</v>
      </c>
      <c r="N470" s="26">
        <v>2026</v>
      </c>
    </row>
    <row r="471" spans="1:14">
      <c r="A471" s="26">
        <v>470</v>
      </c>
      <c r="B471" s="26" t="s">
        <v>17</v>
      </c>
      <c r="C471" s="26" t="s">
        <v>18</v>
      </c>
      <c r="D471" s="26" t="s">
        <v>58</v>
      </c>
      <c r="E471" s="26" t="s">
        <v>68</v>
      </c>
      <c r="F471" s="26"/>
      <c r="G471" s="26" t="s">
        <v>115</v>
      </c>
      <c r="H471" s="26" t="s">
        <v>111</v>
      </c>
      <c r="I471" s="47">
        <v>78</v>
      </c>
      <c r="J471" s="26" t="s">
        <v>561</v>
      </c>
      <c r="K471" s="45">
        <v>46092</v>
      </c>
      <c r="L471" s="26">
        <v>2026400942</v>
      </c>
      <c r="M471" s="132" t="s">
        <v>197</v>
      </c>
      <c r="N471" s="26">
        <v>2026</v>
      </c>
    </row>
    <row r="472" spans="1:14">
      <c r="A472" s="26">
        <v>471</v>
      </c>
      <c r="B472" s="26" t="s">
        <v>17</v>
      </c>
      <c r="C472" s="26" t="s">
        <v>18</v>
      </c>
      <c r="D472" s="26" t="s">
        <v>58</v>
      </c>
      <c r="E472" s="53" t="s">
        <v>68</v>
      </c>
      <c r="F472" s="26"/>
      <c r="G472" s="26" t="s">
        <v>115</v>
      </c>
      <c r="H472" s="26" t="s">
        <v>111</v>
      </c>
      <c r="I472" s="47">
        <v>575</v>
      </c>
      <c r="J472" s="26" t="s">
        <v>562</v>
      </c>
      <c r="K472" s="45">
        <v>46092</v>
      </c>
      <c r="L472" s="26">
        <v>2026400929</v>
      </c>
      <c r="M472" s="132" t="s">
        <v>197</v>
      </c>
      <c r="N472" s="26">
        <v>2026</v>
      </c>
    </row>
    <row r="473" spans="1:14">
      <c r="A473" s="26">
        <v>472</v>
      </c>
      <c r="B473" s="53" t="s">
        <v>52</v>
      </c>
      <c r="C473" s="53" t="s">
        <v>53</v>
      </c>
      <c r="D473" s="26" t="s">
        <v>58</v>
      </c>
      <c r="E473" s="53" t="s">
        <v>68</v>
      </c>
      <c r="F473" s="26"/>
      <c r="G473" s="53" t="s">
        <v>115</v>
      </c>
      <c r="H473" s="26" t="s">
        <v>111</v>
      </c>
      <c r="I473" s="47">
        <v>90</v>
      </c>
      <c r="J473" s="26" t="s">
        <v>563</v>
      </c>
      <c r="K473" s="45">
        <v>46092</v>
      </c>
      <c r="L473" s="26">
        <v>2026400869</v>
      </c>
      <c r="M473" s="132" t="s">
        <v>197</v>
      </c>
      <c r="N473" s="26">
        <v>2026</v>
      </c>
    </row>
    <row r="474" spans="1:14">
      <c r="A474" s="26">
        <v>473</v>
      </c>
      <c r="B474" s="26" t="s">
        <v>50</v>
      </c>
      <c r="C474" s="26" t="s">
        <v>60</v>
      </c>
      <c r="D474" s="26" t="s">
        <v>58</v>
      </c>
      <c r="E474" s="53" t="s">
        <v>68</v>
      </c>
      <c r="F474" s="26"/>
      <c r="G474" s="52" t="s">
        <v>115</v>
      </c>
      <c r="H474" s="26" t="s">
        <v>111</v>
      </c>
      <c r="I474" s="47">
        <v>399</v>
      </c>
      <c r="J474" s="52" t="s">
        <v>564</v>
      </c>
      <c r="K474" s="45">
        <v>46091</v>
      </c>
      <c r="L474" s="52">
        <v>2026400861</v>
      </c>
      <c r="M474" s="132" t="s">
        <v>197</v>
      </c>
      <c r="N474" s="26">
        <v>2026</v>
      </c>
    </row>
    <row r="475" spans="1:14">
      <c r="A475" s="26">
        <v>474</v>
      </c>
      <c r="B475" s="26" t="s">
        <v>40</v>
      </c>
      <c r="C475" s="26" t="s">
        <v>48</v>
      </c>
      <c r="D475" s="26" t="s">
        <v>58</v>
      </c>
      <c r="E475" s="26" t="s">
        <v>68</v>
      </c>
      <c r="F475" s="26"/>
      <c r="G475" s="26" t="s">
        <v>115</v>
      </c>
      <c r="H475" s="26" t="s">
        <v>111</v>
      </c>
      <c r="I475" s="47">
        <v>700</v>
      </c>
      <c r="J475" s="26" t="s">
        <v>565</v>
      </c>
      <c r="K475" s="45">
        <v>46091</v>
      </c>
      <c r="L475" s="26">
        <v>2026400860</v>
      </c>
      <c r="M475" s="132" t="s">
        <v>197</v>
      </c>
      <c r="N475" s="26">
        <v>2026</v>
      </c>
    </row>
    <row r="476" spans="1:14">
      <c r="A476" s="26">
        <v>475</v>
      </c>
      <c r="B476" s="26" t="s">
        <v>52</v>
      </c>
      <c r="C476" s="26" t="s">
        <v>53</v>
      </c>
      <c r="D476" s="26" t="s">
        <v>58</v>
      </c>
      <c r="E476" s="53" t="s">
        <v>68</v>
      </c>
      <c r="F476" s="26"/>
      <c r="G476" s="26" t="s">
        <v>115</v>
      </c>
      <c r="H476" s="26" t="s">
        <v>111</v>
      </c>
      <c r="I476" s="47">
        <v>350</v>
      </c>
      <c r="J476" s="26" t="s">
        <v>566</v>
      </c>
      <c r="K476" s="45">
        <v>46092</v>
      </c>
      <c r="L476" s="26">
        <v>2026400837</v>
      </c>
      <c r="M476" s="132" t="s">
        <v>197</v>
      </c>
      <c r="N476" s="26">
        <v>2026</v>
      </c>
    </row>
    <row r="477" spans="1:14">
      <c r="A477" s="26">
        <v>476</v>
      </c>
      <c r="B477" s="26" t="s">
        <v>31</v>
      </c>
      <c r="C477" s="26" t="s">
        <v>32</v>
      </c>
      <c r="D477" s="26" t="s">
        <v>58</v>
      </c>
      <c r="E477" s="53" t="s">
        <v>68</v>
      </c>
      <c r="F477" s="26"/>
      <c r="G477" s="26" t="s">
        <v>115</v>
      </c>
      <c r="H477" s="26" t="s">
        <v>111</v>
      </c>
      <c r="I477" s="47">
        <v>338.6</v>
      </c>
      <c r="J477" s="26" t="s">
        <v>567</v>
      </c>
      <c r="K477" s="45">
        <v>46091</v>
      </c>
      <c r="L477" s="26">
        <v>2026400858</v>
      </c>
      <c r="M477" s="132" t="s">
        <v>197</v>
      </c>
      <c r="N477" s="26">
        <v>2026</v>
      </c>
    </row>
    <row r="478" spans="1:14">
      <c r="A478" s="26">
        <v>477</v>
      </c>
      <c r="B478" s="26" t="s">
        <v>40</v>
      </c>
      <c r="C478" s="26" t="s">
        <v>41</v>
      </c>
      <c r="D478" s="26" t="s">
        <v>58</v>
      </c>
      <c r="E478" s="53" t="s">
        <v>68</v>
      </c>
      <c r="F478" s="26"/>
      <c r="G478" s="26" t="s">
        <v>115</v>
      </c>
      <c r="H478" s="26" t="s">
        <v>111</v>
      </c>
      <c r="I478" s="47">
        <v>2737.4</v>
      </c>
      <c r="J478" s="26" t="s">
        <v>568</v>
      </c>
      <c r="K478" s="45">
        <v>46091</v>
      </c>
      <c r="L478" s="26">
        <v>2026400862</v>
      </c>
      <c r="M478" s="132" t="s">
        <v>197</v>
      </c>
      <c r="N478" s="26">
        <v>2026</v>
      </c>
    </row>
    <row r="479" spans="1:14">
      <c r="A479" s="26">
        <v>478</v>
      </c>
      <c r="B479" s="26" t="s">
        <v>40</v>
      </c>
      <c r="C479" s="26" t="s">
        <v>45</v>
      </c>
      <c r="D479" s="26" t="s">
        <v>58</v>
      </c>
      <c r="E479" s="53" t="s">
        <v>68</v>
      </c>
      <c r="F479" s="26"/>
      <c r="G479" s="26" t="s">
        <v>115</v>
      </c>
      <c r="H479" s="26" t="s">
        <v>111</v>
      </c>
      <c r="I479" s="47">
        <v>150</v>
      </c>
      <c r="J479" s="26" t="s">
        <v>569</v>
      </c>
      <c r="K479" s="45">
        <v>46091</v>
      </c>
      <c r="L479" s="26">
        <v>2026400859</v>
      </c>
      <c r="M479" s="132" t="s">
        <v>197</v>
      </c>
      <c r="N479" s="26">
        <v>2026</v>
      </c>
    </row>
    <row r="480" spans="1:14">
      <c r="A480" s="26">
        <v>479</v>
      </c>
      <c r="B480" s="26" t="s">
        <v>17</v>
      </c>
      <c r="C480" s="26" t="s">
        <v>18</v>
      </c>
      <c r="D480" s="26" t="s">
        <v>58</v>
      </c>
      <c r="E480" s="53" t="s">
        <v>68</v>
      </c>
      <c r="F480" s="26"/>
      <c r="G480" s="26" t="s">
        <v>115</v>
      </c>
      <c r="H480" s="26" t="s">
        <v>111</v>
      </c>
      <c r="I480" s="47">
        <v>1175</v>
      </c>
      <c r="J480" s="26" t="s">
        <v>570</v>
      </c>
      <c r="K480" s="54">
        <v>46091</v>
      </c>
      <c r="L480" s="26">
        <v>2026400871</v>
      </c>
      <c r="M480" s="132" t="s">
        <v>197</v>
      </c>
      <c r="N480" s="26">
        <v>2026</v>
      </c>
    </row>
    <row r="481" spans="1:14">
      <c r="A481" s="26">
        <v>480</v>
      </c>
      <c r="B481" s="53" t="s">
        <v>40</v>
      </c>
      <c r="C481" s="53" t="s">
        <v>48</v>
      </c>
      <c r="D481" s="26" t="s">
        <v>58</v>
      </c>
      <c r="E481" s="53" t="s">
        <v>68</v>
      </c>
      <c r="F481" s="26"/>
      <c r="G481" s="53" t="s">
        <v>115</v>
      </c>
      <c r="H481" s="26" t="s">
        <v>111</v>
      </c>
      <c r="I481" s="47">
        <v>400</v>
      </c>
      <c r="J481" s="26" t="s">
        <v>571</v>
      </c>
      <c r="K481" s="45">
        <v>46091</v>
      </c>
      <c r="L481" s="26">
        <v>2026400825</v>
      </c>
      <c r="M481" s="132" t="s">
        <v>197</v>
      </c>
      <c r="N481" s="26">
        <v>2026</v>
      </c>
    </row>
    <row r="482" spans="1:14">
      <c r="A482" s="26">
        <v>481</v>
      </c>
      <c r="B482" s="26" t="s">
        <v>40</v>
      </c>
      <c r="C482" s="26" t="s">
        <v>48</v>
      </c>
      <c r="D482" s="26" t="s">
        <v>58</v>
      </c>
      <c r="E482" s="26" t="s">
        <v>68</v>
      </c>
      <c r="F482" s="26"/>
      <c r="G482" s="26" t="s">
        <v>115</v>
      </c>
      <c r="H482" s="26" t="s">
        <v>111</v>
      </c>
      <c r="I482" s="47">
        <v>3088.6</v>
      </c>
      <c r="J482" s="26" t="s">
        <v>572</v>
      </c>
      <c r="K482" s="45">
        <v>46091</v>
      </c>
      <c r="L482" s="26">
        <v>2026400795</v>
      </c>
      <c r="M482" s="132" t="s">
        <v>197</v>
      </c>
      <c r="N482" s="26">
        <v>2026</v>
      </c>
    </row>
    <row r="483" spans="1:14">
      <c r="A483" s="26">
        <v>482</v>
      </c>
      <c r="B483" s="26" t="s">
        <v>17</v>
      </c>
      <c r="C483" s="26" t="s">
        <v>22</v>
      </c>
      <c r="D483" s="26" t="s">
        <v>58</v>
      </c>
      <c r="E483" s="53" t="s">
        <v>68</v>
      </c>
      <c r="F483" s="26"/>
      <c r="G483" s="26" t="s">
        <v>115</v>
      </c>
      <c r="H483" s="26" t="s">
        <v>111</v>
      </c>
      <c r="I483" s="47">
        <v>544</v>
      </c>
      <c r="J483" s="26" t="s">
        <v>573</v>
      </c>
      <c r="K483" s="45">
        <v>46091</v>
      </c>
      <c r="L483" s="26">
        <v>2026400818</v>
      </c>
      <c r="M483" s="132" t="s">
        <v>197</v>
      </c>
      <c r="N483" s="26">
        <v>2026</v>
      </c>
    </row>
    <row r="484" spans="1:14">
      <c r="A484" s="26">
        <v>483</v>
      </c>
      <c r="B484" s="26" t="s">
        <v>40</v>
      </c>
      <c r="C484" s="26" t="s">
        <v>41</v>
      </c>
      <c r="D484" s="26" t="s">
        <v>58</v>
      </c>
      <c r="E484" s="53" t="s">
        <v>68</v>
      </c>
      <c r="F484" s="26"/>
      <c r="G484" s="26" t="s">
        <v>115</v>
      </c>
      <c r="H484" s="26" t="s">
        <v>111</v>
      </c>
      <c r="I484" s="47">
        <v>1175.5</v>
      </c>
      <c r="J484" s="26" t="s">
        <v>574</v>
      </c>
      <c r="K484" s="45">
        <v>46091</v>
      </c>
      <c r="L484" s="26">
        <v>2026400826</v>
      </c>
      <c r="M484" s="132" t="s">
        <v>197</v>
      </c>
      <c r="N484" s="26">
        <v>2026</v>
      </c>
    </row>
    <row r="485" spans="1:14">
      <c r="A485" s="26">
        <v>484</v>
      </c>
      <c r="B485" s="53" t="s">
        <v>17</v>
      </c>
      <c r="C485" s="26" t="s">
        <v>18</v>
      </c>
      <c r="D485" s="26" t="s">
        <v>58</v>
      </c>
      <c r="E485" s="53" t="s">
        <v>68</v>
      </c>
      <c r="F485" s="26"/>
      <c r="G485" s="53" t="s">
        <v>115</v>
      </c>
      <c r="H485" s="26" t="s">
        <v>111</v>
      </c>
      <c r="I485" s="47">
        <v>1035</v>
      </c>
      <c r="J485" s="26" t="s">
        <v>575</v>
      </c>
      <c r="K485" s="45">
        <v>46091</v>
      </c>
      <c r="L485" s="26">
        <v>2026400817</v>
      </c>
      <c r="M485" s="132" t="s">
        <v>197</v>
      </c>
      <c r="N485" s="26">
        <v>2026</v>
      </c>
    </row>
    <row r="486" spans="1:14">
      <c r="A486" s="26">
        <v>485</v>
      </c>
      <c r="B486" s="26" t="s">
        <v>33</v>
      </c>
      <c r="C486" s="26" t="s">
        <v>34</v>
      </c>
      <c r="D486" s="26" t="s">
        <v>58</v>
      </c>
      <c r="E486" s="53" t="s">
        <v>68</v>
      </c>
      <c r="F486" s="26"/>
      <c r="G486" s="26" t="s">
        <v>115</v>
      </c>
      <c r="H486" s="26" t="s">
        <v>111</v>
      </c>
      <c r="I486" s="47">
        <v>1620</v>
      </c>
      <c r="J486" s="26" t="s">
        <v>576</v>
      </c>
      <c r="K486" s="45">
        <v>46091</v>
      </c>
      <c r="L486" s="26">
        <v>2026400816</v>
      </c>
      <c r="M486" s="132" t="s">
        <v>197</v>
      </c>
      <c r="N486" s="26">
        <v>2026</v>
      </c>
    </row>
    <row r="487" spans="1:14">
      <c r="A487" s="26">
        <v>486</v>
      </c>
      <c r="B487" s="26" t="s">
        <v>33</v>
      </c>
      <c r="C487" s="26" t="s">
        <v>35</v>
      </c>
      <c r="D487" s="26" t="s">
        <v>58</v>
      </c>
      <c r="E487" s="53" t="s">
        <v>68</v>
      </c>
      <c r="F487" s="26"/>
      <c r="G487" s="26" t="s">
        <v>115</v>
      </c>
      <c r="H487" s="26" t="s">
        <v>111</v>
      </c>
      <c r="I487" s="47">
        <v>62</v>
      </c>
      <c r="J487" s="26" t="s">
        <v>577</v>
      </c>
      <c r="K487" s="45">
        <v>46091</v>
      </c>
      <c r="L487" s="26">
        <v>2026400739</v>
      </c>
      <c r="M487" s="132" t="s">
        <v>197</v>
      </c>
      <c r="N487" s="26">
        <v>2026</v>
      </c>
    </row>
    <row r="488" spans="1:14">
      <c r="A488" s="26">
        <v>487</v>
      </c>
      <c r="B488" s="26" t="s">
        <v>17</v>
      </c>
      <c r="C488" s="26" t="s">
        <v>22</v>
      </c>
      <c r="D488" s="26" t="s">
        <v>58</v>
      </c>
      <c r="E488" s="26" t="s">
        <v>68</v>
      </c>
      <c r="F488" s="26"/>
      <c r="G488" s="26" t="s">
        <v>115</v>
      </c>
      <c r="H488" s="26" t="s">
        <v>111</v>
      </c>
      <c r="I488" s="47">
        <v>70</v>
      </c>
      <c r="J488" s="26" t="s">
        <v>589</v>
      </c>
      <c r="K488" s="45">
        <v>46092</v>
      </c>
      <c r="L488" s="26">
        <v>2026400703</v>
      </c>
      <c r="M488" s="132" t="s">
        <v>197</v>
      </c>
      <c r="N488" s="26">
        <v>2026</v>
      </c>
    </row>
    <row r="489" spans="1:14">
      <c r="A489" s="26">
        <v>488</v>
      </c>
      <c r="B489" s="26" t="s">
        <v>40</v>
      </c>
      <c r="C489" s="26" t="s">
        <v>45</v>
      </c>
      <c r="D489" s="26" t="s">
        <v>58</v>
      </c>
      <c r="E489" s="53" t="s">
        <v>68</v>
      </c>
      <c r="F489" s="26"/>
      <c r="G489" s="26" t="s">
        <v>115</v>
      </c>
      <c r="H489" s="26" t="s">
        <v>111</v>
      </c>
      <c r="I489" s="47">
        <v>1253.5999999999999</v>
      </c>
      <c r="J489" s="26" t="s">
        <v>590</v>
      </c>
      <c r="K489" s="45">
        <v>46092</v>
      </c>
      <c r="L489" s="26">
        <v>2026400906</v>
      </c>
      <c r="M489" s="132" t="s">
        <v>197</v>
      </c>
      <c r="N489" s="26">
        <v>2026</v>
      </c>
    </row>
    <row r="490" spans="1:14">
      <c r="A490" s="26">
        <v>489</v>
      </c>
      <c r="B490" s="26" t="s">
        <v>50</v>
      </c>
      <c r="C490" s="26" t="s">
        <v>60</v>
      </c>
      <c r="D490" s="26" t="s">
        <v>58</v>
      </c>
      <c r="E490" s="53" t="s">
        <v>68</v>
      </c>
      <c r="F490" s="26"/>
      <c r="G490" s="26" t="s">
        <v>115</v>
      </c>
      <c r="H490" s="26" t="s">
        <v>111</v>
      </c>
      <c r="I490" s="47">
        <v>1123</v>
      </c>
      <c r="J490" s="26" t="s">
        <v>591</v>
      </c>
      <c r="K490" s="45">
        <v>46092</v>
      </c>
      <c r="L490" s="26">
        <v>2026400853</v>
      </c>
      <c r="M490" s="132" t="s">
        <v>197</v>
      </c>
      <c r="N490" s="26">
        <v>2026</v>
      </c>
    </row>
    <row r="491" spans="1:14">
      <c r="A491" s="26">
        <v>490</v>
      </c>
      <c r="B491" s="26" t="s">
        <v>50</v>
      </c>
      <c r="C491" s="26" t="s">
        <v>60</v>
      </c>
      <c r="D491" s="26" t="s">
        <v>58</v>
      </c>
      <c r="E491" s="26" t="s">
        <v>68</v>
      </c>
      <c r="F491" s="26"/>
      <c r="G491" s="26" t="s">
        <v>115</v>
      </c>
      <c r="H491" s="26" t="s">
        <v>111</v>
      </c>
      <c r="I491" s="47">
        <v>2194</v>
      </c>
      <c r="J491" s="26" t="s">
        <v>593</v>
      </c>
      <c r="K491" s="45">
        <v>46092</v>
      </c>
      <c r="L491" s="26">
        <v>2026400842</v>
      </c>
      <c r="M491" s="132" t="s">
        <v>197</v>
      </c>
      <c r="N491" s="26">
        <v>2026</v>
      </c>
    </row>
    <row r="492" spans="1:14">
      <c r="A492" s="26">
        <v>491</v>
      </c>
      <c r="B492" s="26" t="s">
        <v>50</v>
      </c>
      <c r="C492" s="26" t="s">
        <v>60</v>
      </c>
      <c r="D492" s="26" t="s">
        <v>58</v>
      </c>
      <c r="E492" s="53" t="s">
        <v>68</v>
      </c>
      <c r="F492" s="26"/>
      <c r="G492" s="26" t="s">
        <v>115</v>
      </c>
      <c r="H492" s="26" t="s">
        <v>111</v>
      </c>
      <c r="I492" s="47">
        <v>280</v>
      </c>
      <c r="J492" s="26" t="s">
        <v>594</v>
      </c>
      <c r="K492" s="45">
        <v>46092</v>
      </c>
      <c r="L492" s="26">
        <v>2026400874</v>
      </c>
      <c r="M492" s="132" t="s">
        <v>197</v>
      </c>
      <c r="N492" s="26">
        <v>2026</v>
      </c>
    </row>
    <row r="493" spans="1:14">
      <c r="A493" s="26">
        <v>492</v>
      </c>
      <c r="B493" s="26" t="s">
        <v>50</v>
      </c>
      <c r="C493" s="26" t="s">
        <v>60</v>
      </c>
      <c r="D493" s="26" t="s">
        <v>58</v>
      </c>
      <c r="E493" s="53" t="s">
        <v>68</v>
      </c>
      <c r="F493" s="26"/>
      <c r="G493" s="26" t="s">
        <v>115</v>
      </c>
      <c r="H493" s="26" t="s">
        <v>111</v>
      </c>
      <c r="I493" s="47">
        <v>710</v>
      </c>
      <c r="J493" s="26" t="s">
        <v>595</v>
      </c>
      <c r="K493" s="45">
        <v>46092</v>
      </c>
      <c r="L493" s="26">
        <v>2026400855</v>
      </c>
      <c r="M493" s="132" t="s">
        <v>197</v>
      </c>
      <c r="N493" s="26">
        <v>2026</v>
      </c>
    </row>
    <row r="494" spans="1:14">
      <c r="A494" s="26">
        <v>493</v>
      </c>
      <c r="B494" s="26" t="s">
        <v>40</v>
      </c>
      <c r="C494" s="26" t="s">
        <v>48</v>
      </c>
      <c r="D494" s="26" t="s">
        <v>58</v>
      </c>
      <c r="E494" s="53" t="s">
        <v>68</v>
      </c>
      <c r="F494" s="26"/>
      <c r="G494" s="26" t="s">
        <v>115</v>
      </c>
      <c r="H494" s="26" t="s">
        <v>111</v>
      </c>
      <c r="I494" s="47">
        <v>134</v>
      </c>
      <c r="J494" s="26" t="s">
        <v>599</v>
      </c>
      <c r="K494" s="45">
        <v>46092</v>
      </c>
      <c r="L494" s="26">
        <v>2026400948</v>
      </c>
      <c r="M494" s="132" t="s">
        <v>197</v>
      </c>
      <c r="N494" s="26">
        <v>2026</v>
      </c>
    </row>
    <row r="495" spans="1:14">
      <c r="A495" s="26">
        <v>494</v>
      </c>
      <c r="B495" s="26" t="s">
        <v>17</v>
      </c>
      <c r="C495" s="26" t="s">
        <v>18</v>
      </c>
      <c r="D495" s="26" t="s">
        <v>58</v>
      </c>
      <c r="E495" s="53" t="s">
        <v>68</v>
      </c>
      <c r="F495" s="26"/>
      <c r="G495" s="26" t="s">
        <v>115</v>
      </c>
      <c r="H495" s="26" t="s">
        <v>111</v>
      </c>
      <c r="I495" s="47">
        <v>375</v>
      </c>
      <c r="J495" s="26" t="s">
        <v>601</v>
      </c>
      <c r="K495" s="45">
        <v>46097</v>
      </c>
      <c r="L495" s="26">
        <v>2026401036</v>
      </c>
      <c r="M495" s="132" t="s">
        <v>197</v>
      </c>
      <c r="N495" s="26">
        <v>2026</v>
      </c>
    </row>
    <row r="496" spans="1:14">
      <c r="A496" s="26">
        <v>495</v>
      </c>
      <c r="B496" s="26" t="s">
        <v>17</v>
      </c>
      <c r="C496" s="26" t="s">
        <v>25</v>
      </c>
      <c r="D496" s="26" t="s">
        <v>58</v>
      </c>
      <c r="E496" s="53" t="s">
        <v>68</v>
      </c>
      <c r="F496" s="26"/>
      <c r="G496" s="26" t="s">
        <v>115</v>
      </c>
      <c r="H496" s="26" t="s">
        <v>111</v>
      </c>
      <c r="I496" s="47">
        <v>235</v>
      </c>
      <c r="J496" s="26" t="s">
        <v>602</v>
      </c>
      <c r="K496" s="45">
        <v>46097</v>
      </c>
      <c r="L496" s="26">
        <v>2026401063</v>
      </c>
      <c r="M496" s="132" t="s">
        <v>197</v>
      </c>
      <c r="N496" s="26">
        <v>2026</v>
      </c>
    </row>
    <row r="497" spans="1:14">
      <c r="A497" s="26">
        <v>496</v>
      </c>
      <c r="B497" s="26" t="s">
        <v>40</v>
      </c>
      <c r="C497" s="26" t="s">
        <v>48</v>
      </c>
      <c r="D497" s="26" t="s">
        <v>58</v>
      </c>
      <c r="E497" s="53" t="s">
        <v>68</v>
      </c>
      <c r="F497" s="26"/>
      <c r="G497" s="26" t="s">
        <v>115</v>
      </c>
      <c r="H497" s="26" t="s">
        <v>111</v>
      </c>
      <c r="I497" s="47">
        <v>473</v>
      </c>
      <c r="J497" s="26" t="s">
        <v>603</v>
      </c>
      <c r="K497" s="45">
        <v>46097</v>
      </c>
      <c r="L497" s="26">
        <v>2026401044</v>
      </c>
      <c r="M497" s="132" t="s">
        <v>197</v>
      </c>
      <c r="N497" s="26">
        <v>2026</v>
      </c>
    </row>
    <row r="498" spans="1:14">
      <c r="A498" s="26">
        <v>497</v>
      </c>
      <c r="B498" s="26" t="s">
        <v>40</v>
      </c>
      <c r="C498" s="26" t="s">
        <v>48</v>
      </c>
      <c r="D498" s="26" t="s">
        <v>58</v>
      </c>
      <c r="E498" s="53" t="s">
        <v>68</v>
      </c>
      <c r="F498" s="26"/>
      <c r="G498" s="26" t="s">
        <v>115</v>
      </c>
      <c r="H498" s="26" t="s">
        <v>111</v>
      </c>
      <c r="I498" s="47">
        <v>921.6</v>
      </c>
      <c r="J498" s="26" t="s">
        <v>605</v>
      </c>
      <c r="K498" s="45">
        <v>46097</v>
      </c>
      <c r="L498" s="26">
        <v>2026401057</v>
      </c>
      <c r="M498" s="132" t="s">
        <v>197</v>
      </c>
      <c r="N498" s="26">
        <v>2026</v>
      </c>
    </row>
    <row r="499" spans="1:14">
      <c r="A499" s="26">
        <v>498</v>
      </c>
      <c r="B499" s="26" t="s">
        <v>40</v>
      </c>
      <c r="C499" s="26" t="s">
        <v>48</v>
      </c>
      <c r="D499" s="26" t="s">
        <v>58</v>
      </c>
      <c r="E499" s="53" t="s">
        <v>68</v>
      </c>
      <c r="F499" s="26"/>
      <c r="G499" s="26" t="s">
        <v>115</v>
      </c>
      <c r="H499" s="26" t="s">
        <v>111</v>
      </c>
      <c r="I499" s="47">
        <v>100</v>
      </c>
      <c r="J499" s="26" t="s">
        <v>606</v>
      </c>
      <c r="K499" s="45">
        <v>46097</v>
      </c>
      <c r="L499" s="26">
        <v>2026400976</v>
      </c>
      <c r="M499" s="132" t="s">
        <v>197</v>
      </c>
      <c r="N499" s="26">
        <v>2026</v>
      </c>
    </row>
    <row r="500" spans="1:14">
      <c r="A500" s="26">
        <v>499</v>
      </c>
      <c r="B500" s="26" t="s">
        <v>17</v>
      </c>
      <c r="C500" s="26" t="s">
        <v>22</v>
      </c>
      <c r="D500" s="26" t="s">
        <v>58</v>
      </c>
      <c r="E500" s="53" t="s">
        <v>68</v>
      </c>
      <c r="F500" s="26"/>
      <c r="G500" s="26" t="s">
        <v>115</v>
      </c>
      <c r="H500" s="26" t="s">
        <v>111</v>
      </c>
      <c r="I500" s="47">
        <v>90</v>
      </c>
      <c r="J500" s="26" t="s">
        <v>607</v>
      </c>
      <c r="K500" s="45">
        <v>46097</v>
      </c>
      <c r="L500" s="26">
        <v>2026401062</v>
      </c>
      <c r="M500" s="132" t="s">
        <v>197</v>
      </c>
      <c r="N500" s="26">
        <v>2026</v>
      </c>
    </row>
    <row r="501" spans="1:14">
      <c r="A501" s="26">
        <v>500</v>
      </c>
      <c r="B501" s="26" t="s">
        <v>40</v>
      </c>
      <c r="C501" s="26" t="s">
        <v>48</v>
      </c>
      <c r="D501" s="26" t="s">
        <v>58</v>
      </c>
      <c r="E501" s="53" t="s">
        <v>68</v>
      </c>
      <c r="F501" s="26"/>
      <c r="G501" s="26" t="s">
        <v>115</v>
      </c>
      <c r="H501" s="26" t="s">
        <v>111</v>
      </c>
      <c r="I501" s="47">
        <v>1257.5999999999999</v>
      </c>
      <c r="J501" s="26" t="s">
        <v>623</v>
      </c>
      <c r="K501" s="45">
        <v>46097</v>
      </c>
      <c r="L501" s="26">
        <v>2026400974</v>
      </c>
      <c r="M501" s="132" t="s">
        <v>197</v>
      </c>
      <c r="N501" s="26">
        <v>2026</v>
      </c>
    </row>
    <row r="502" spans="1:14">
      <c r="A502" s="26">
        <v>501</v>
      </c>
      <c r="B502" s="26" t="s">
        <v>52</v>
      </c>
      <c r="C502" s="26" t="s">
        <v>90</v>
      </c>
      <c r="D502" s="26" t="s">
        <v>58</v>
      </c>
      <c r="E502" s="26" t="s">
        <v>68</v>
      </c>
      <c r="F502" s="26"/>
      <c r="G502" s="26" t="s">
        <v>115</v>
      </c>
      <c r="H502" s="26" t="s">
        <v>111</v>
      </c>
      <c r="I502" s="47">
        <v>3703.6</v>
      </c>
      <c r="J502" s="26" t="s">
        <v>624</v>
      </c>
      <c r="K502" s="45">
        <v>46097</v>
      </c>
      <c r="L502" s="26">
        <v>2026400956</v>
      </c>
      <c r="M502" s="132" t="s">
        <v>197</v>
      </c>
      <c r="N502" s="26">
        <v>2026</v>
      </c>
    </row>
    <row r="503" spans="1:14">
      <c r="A503" s="26">
        <v>502</v>
      </c>
      <c r="B503" s="26" t="s">
        <v>17</v>
      </c>
      <c r="C503" s="26" t="s">
        <v>18</v>
      </c>
      <c r="D503" s="26" t="s">
        <v>58</v>
      </c>
      <c r="E503" s="26" t="s">
        <v>68</v>
      </c>
      <c r="F503" s="26"/>
      <c r="G503" s="26" t="s">
        <v>115</v>
      </c>
      <c r="H503" s="26" t="s">
        <v>111</v>
      </c>
      <c r="I503" s="47">
        <v>265.2</v>
      </c>
      <c r="J503" s="26" t="s">
        <v>625</v>
      </c>
      <c r="K503" s="45">
        <v>46097</v>
      </c>
      <c r="L503" s="26">
        <v>2026401041</v>
      </c>
      <c r="M503" s="132" t="s">
        <v>197</v>
      </c>
      <c r="N503" s="26">
        <v>2026</v>
      </c>
    </row>
    <row r="504" spans="1:14">
      <c r="A504" s="26">
        <v>503</v>
      </c>
      <c r="B504" s="26" t="s">
        <v>17</v>
      </c>
      <c r="C504" s="26" t="s">
        <v>18</v>
      </c>
      <c r="D504" s="26" t="s">
        <v>58</v>
      </c>
      <c r="E504" s="53" t="s">
        <v>68</v>
      </c>
      <c r="F504" s="26"/>
      <c r="G504" s="26" t="s">
        <v>115</v>
      </c>
      <c r="H504" s="26" t="s">
        <v>111</v>
      </c>
      <c r="I504" s="47">
        <v>85</v>
      </c>
      <c r="J504" s="26" t="s">
        <v>626</v>
      </c>
      <c r="K504" s="45">
        <v>46097</v>
      </c>
      <c r="L504" s="26">
        <v>2026401060</v>
      </c>
      <c r="M504" s="132" t="s">
        <v>197</v>
      </c>
      <c r="N504" s="26">
        <v>2026</v>
      </c>
    </row>
    <row r="505" spans="1:14">
      <c r="A505" s="26">
        <v>504</v>
      </c>
      <c r="B505" s="26" t="s">
        <v>52</v>
      </c>
      <c r="C505" s="26" t="s">
        <v>90</v>
      </c>
      <c r="D505" s="26" t="s">
        <v>58</v>
      </c>
      <c r="E505" s="26" t="s">
        <v>68</v>
      </c>
      <c r="F505" s="26"/>
      <c r="G505" s="26" t="s">
        <v>115</v>
      </c>
      <c r="H505" s="26" t="s">
        <v>111</v>
      </c>
      <c r="I505" s="47">
        <v>360</v>
      </c>
      <c r="J505" s="26" t="s">
        <v>627</v>
      </c>
      <c r="K505" s="45">
        <v>46097</v>
      </c>
      <c r="L505" s="26">
        <v>2026401020</v>
      </c>
      <c r="M505" s="132" t="s">
        <v>197</v>
      </c>
      <c r="N505" s="26">
        <v>2026</v>
      </c>
    </row>
    <row r="506" spans="1:14">
      <c r="A506" s="26">
        <v>505</v>
      </c>
      <c r="B506" s="26" t="s">
        <v>50</v>
      </c>
      <c r="C506" s="26" t="s">
        <v>60</v>
      </c>
      <c r="D506" s="26" t="s">
        <v>58</v>
      </c>
      <c r="E506" s="26" t="s">
        <v>68</v>
      </c>
      <c r="F506" s="26"/>
      <c r="G506" s="26" t="s">
        <v>115</v>
      </c>
      <c r="H506" s="26" t="s">
        <v>111</v>
      </c>
      <c r="I506" s="47">
        <v>1298.5</v>
      </c>
      <c r="J506" s="26" t="s">
        <v>628</v>
      </c>
      <c r="K506" s="45">
        <v>46098</v>
      </c>
      <c r="L506" s="26">
        <v>2026401045</v>
      </c>
      <c r="M506" s="132" t="s">
        <v>197</v>
      </c>
      <c r="N506" s="26">
        <v>2026</v>
      </c>
    </row>
    <row r="507" spans="1:14">
      <c r="A507" s="26">
        <v>506</v>
      </c>
      <c r="B507" s="53" t="s">
        <v>50</v>
      </c>
      <c r="C507" s="53" t="s">
        <v>60</v>
      </c>
      <c r="D507" s="26" t="s">
        <v>58</v>
      </c>
      <c r="E507" s="26" t="s">
        <v>68</v>
      </c>
      <c r="F507" s="26"/>
      <c r="G507" s="26" t="s">
        <v>115</v>
      </c>
      <c r="H507" s="26" t="s">
        <v>111</v>
      </c>
      <c r="I507" s="47">
        <v>600</v>
      </c>
      <c r="J507" s="26" t="s">
        <v>629</v>
      </c>
      <c r="K507" s="45">
        <v>46097</v>
      </c>
      <c r="L507" s="26">
        <v>2026401005</v>
      </c>
      <c r="M507" s="132" t="s">
        <v>197</v>
      </c>
      <c r="N507" s="26">
        <v>2026</v>
      </c>
    </row>
    <row r="508" spans="1:14">
      <c r="A508" s="26">
        <v>507</v>
      </c>
      <c r="B508" s="26" t="s">
        <v>17</v>
      </c>
      <c r="C508" s="26" t="s">
        <v>25</v>
      </c>
      <c r="D508" s="26" t="s">
        <v>58</v>
      </c>
      <c r="E508" s="53" t="s">
        <v>68</v>
      </c>
      <c r="F508" s="26"/>
      <c r="G508" s="26" t="s">
        <v>115</v>
      </c>
      <c r="H508" s="26" t="s">
        <v>111</v>
      </c>
      <c r="I508" s="47">
        <v>165</v>
      </c>
      <c r="J508" s="26" t="s">
        <v>630</v>
      </c>
      <c r="K508" s="45">
        <v>46097</v>
      </c>
      <c r="L508" s="26">
        <v>2026401039</v>
      </c>
      <c r="M508" s="132" t="s">
        <v>197</v>
      </c>
      <c r="N508" s="26">
        <v>2026</v>
      </c>
    </row>
    <row r="509" spans="1:14">
      <c r="A509" s="26">
        <v>508</v>
      </c>
      <c r="B509" s="26" t="s">
        <v>17</v>
      </c>
      <c r="C509" s="26" t="s">
        <v>22</v>
      </c>
      <c r="D509" s="26" t="s">
        <v>58</v>
      </c>
      <c r="E509" s="53" t="s">
        <v>68</v>
      </c>
      <c r="F509" s="26"/>
      <c r="G509" s="26" t="s">
        <v>115</v>
      </c>
      <c r="H509" s="26" t="s">
        <v>111</v>
      </c>
      <c r="I509" s="47">
        <v>75</v>
      </c>
      <c r="J509" s="26" t="s">
        <v>631</v>
      </c>
      <c r="K509" s="45">
        <v>46097</v>
      </c>
      <c r="L509" s="26">
        <v>2026401046</v>
      </c>
      <c r="M509" s="132" t="s">
        <v>197</v>
      </c>
      <c r="N509" s="26">
        <v>2026</v>
      </c>
    </row>
    <row r="510" spans="1:14">
      <c r="A510" s="26">
        <v>509</v>
      </c>
      <c r="B510" s="26" t="s">
        <v>17</v>
      </c>
      <c r="C510" s="26" t="s">
        <v>18</v>
      </c>
      <c r="D510" s="26" t="s">
        <v>58</v>
      </c>
      <c r="E510" s="53" t="s">
        <v>68</v>
      </c>
      <c r="F510" s="26"/>
      <c r="G510" s="26" t="s">
        <v>115</v>
      </c>
      <c r="H510" s="26" t="s">
        <v>111</v>
      </c>
      <c r="I510" s="47">
        <v>771</v>
      </c>
      <c r="J510" s="26" t="s">
        <v>632</v>
      </c>
      <c r="K510" s="45">
        <v>46097</v>
      </c>
      <c r="L510" s="26">
        <v>2026401038</v>
      </c>
      <c r="M510" s="132" t="s">
        <v>197</v>
      </c>
      <c r="N510" s="26">
        <v>2026</v>
      </c>
    </row>
    <row r="511" spans="1:14">
      <c r="A511" s="26">
        <v>510</v>
      </c>
      <c r="B511" s="26" t="s">
        <v>52</v>
      </c>
      <c r="C511" s="26" t="s">
        <v>90</v>
      </c>
      <c r="D511" s="26" t="s">
        <v>58</v>
      </c>
      <c r="E511" s="53" t="s">
        <v>68</v>
      </c>
      <c r="F511" s="26"/>
      <c r="G511" s="26" t="s">
        <v>115</v>
      </c>
      <c r="H511" s="26" t="s">
        <v>111</v>
      </c>
      <c r="I511" s="47">
        <v>650</v>
      </c>
      <c r="J511" s="26" t="s">
        <v>633</v>
      </c>
      <c r="K511" s="45">
        <v>46097</v>
      </c>
      <c r="L511" s="26">
        <v>2026401042</v>
      </c>
      <c r="M511" s="132" t="s">
        <v>197</v>
      </c>
      <c r="N511" s="26">
        <v>2026</v>
      </c>
    </row>
    <row r="512" spans="1:14">
      <c r="A512" s="26">
        <v>511</v>
      </c>
      <c r="B512" s="26" t="s">
        <v>17</v>
      </c>
      <c r="C512" s="26" t="s">
        <v>18</v>
      </c>
      <c r="D512" s="26" t="s">
        <v>58</v>
      </c>
      <c r="E512" s="53" t="s">
        <v>68</v>
      </c>
      <c r="F512" s="26"/>
      <c r="G512" s="26" t="s">
        <v>115</v>
      </c>
      <c r="H512" s="26" t="s">
        <v>111</v>
      </c>
      <c r="I512" s="47">
        <v>185.1</v>
      </c>
      <c r="J512" s="26" t="s">
        <v>634</v>
      </c>
      <c r="K512" s="45">
        <v>46097</v>
      </c>
      <c r="L512" s="26">
        <v>2026401035</v>
      </c>
      <c r="M512" s="132" t="s">
        <v>197</v>
      </c>
      <c r="N512" s="26">
        <v>2026</v>
      </c>
    </row>
    <row r="513" spans="1:14">
      <c r="A513" s="26">
        <v>512</v>
      </c>
      <c r="B513" s="26" t="s">
        <v>17</v>
      </c>
      <c r="C513" s="26" t="s">
        <v>25</v>
      </c>
      <c r="D513" s="26" t="s">
        <v>58</v>
      </c>
      <c r="E513" s="53" t="s">
        <v>68</v>
      </c>
      <c r="F513" s="26"/>
      <c r="G513" s="26" t="s">
        <v>115</v>
      </c>
      <c r="H513" s="26" t="s">
        <v>111</v>
      </c>
      <c r="I513" s="47">
        <v>1452.6</v>
      </c>
      <c r="J513" s="26" t="s">
        <v>635</v>
      </c>
      <c r="K513" s="45">
        <v>46097</v>
      </c>
      <c r="L513" s="26">
        <v>2026401037</v>
      </c>
      <c r="M513" s="132" t="s">
        <v>197</v>
      </c>
      <c r="N513" s="26">
        <v>2026</v>
      </c>
    </row>
    <row r="514" spans="1:14">
      <c r="A514" s="26">
        <v>513</v>
      </c>
      <c r="B514" s="26" t="s">
        <v>17</v>
      </c>
      <c r="C514" s="26" t="s">
        <v>25</v>
      </c>
      <c r="D514" s="26" t="s">
        <v>58</v>
      </c>
      <c r="E514" s="26" t="s">
        <v>68</v>
      </c>
      <c r="F514" s="26"/>
      <c r="G514" s="26" t="s">
        <v>115</v>
      </c>
      <c r="H514" s="26" t="s">
        <v>111</v>
      </c>
      <c r="I514" s="47">
        <v>225.5</v>
      </c>
      <c r="J514" s="26" t="s">
        <v>636</v>
      </c>
      <c r="K514" s="45">
        <v>46097</v>
      </c>
      <c r="L514" s="26">
        <v>2026401034</v>
      </c>
      <c r="M514" s="132" t="s">
        <v>197</v>
      </c>
      <c r="N514" s="26">
        <v>2026</v>
      </c>
    </row>
    <row r="515" spans="1:14">
      <c r="A515" s="26">
        <v>514</v>
      </c>
      <c r="B515" s="26" t="s">
        <v>17</v>
      </c>
      <c r="C515" s="26" t="s">
        <v>18</v>
      </c>
      <c r="D515" s="26" t="s">
        <v>58</v>
      </c>
      <c r="E515" s="53" t="s">
        <v>68</v>
      </c>
      <c r="F515" s="26"/>
      <c r="G515" s="26" t="s">
        <v>115</v>
      </c>
      <c r="H515" s="26" t="s">
        <v>111</v>
      </c>
      <c r="I515" s="47">
        <v>187.9</v>
      </c>
      <c r="J515" s="26" t="s">
        <v>637</v>
      </c>
      <c r="K515" s="45">
        <v>46097</v>
      </c>
      <c r="L515" s="26">
        <v>2026401047</v>
      </c>
      <c r="M515" s="132" t="s">
        <v>197</v>
      </c>
      <c r="N515" s="26">
        <v>2026</v>
      </c>
    </row>
    <row r="516" spans="1:14">
      <c r="A516" s="26">
        <v>515</v>
      </c>
      <c r="B516" s="26" t="s">
        <v>33</v>
      </c>
      <c r="C516" s="26" t="s">
        <v>35</v>
      </c>
      <c r="D516" s="26" t="s">
        <v>58</v>
      </c>
      <c r="E516" s="53" t="s">
        <v>68</v>
      </c>
      <c r="F516" s="26"/>
      <c r="G516" s="26" t="s">
        <v>115</v>
      </c>
      <c r="H516" s="26" t="s">
        <v>111</v>
      </c>
      <c r="I516" s="47">
        <v>2283.5</v>
      </c>
      <c r="J516" s="26" t="s">
        <v>638</v>
      </c>
      <c r="K516" s="45">
        <v>46097</v>
      </c>
      <c r="L516" s="26">
        <v>2026400973</v>
      </c>
      <c r="M516" s="132" t="s">
        <v>197</v>
      </c>
      <c r="N516" s="26">
        <v>2026</v>
      </c>
    </row>
    <row r="517" spans="1:14">
      <c r="A517" s="26">
        <v>516</v>
      </c>
      <c r="B517" s="53" t="s">
        <v>40</v>
      </c>
      <c r="C517" s="53" t="s">
        <v>247</v>
      </c>
      <c r="D517" s="26" t="s">
        <v>58</v>
      </c>
      <c r="E517" s="53" t="s">
        <v>68</v>
      </c>
      <c r="F517" s="26"/>
      <c r="G517" s="53" t="s">
        <v>115</v>
      </c>
      <c r="H517" s="26" t="s">
        <v>111</v>
      </c>
      <c r="I517" s="47">
        <v>1280</v>
      </c>
      <c r="J517" s="26" t="s">
        <v>639</v>
      </c>
      <c r="K517" s="45">
        <v>46097</v>
      </c>
      <c r="L517" s="26">
        <v>2026400970</v>
      </c>
      <c r="M517" s="132" t="s">
        <v>197</v>
      </c>
      <c r="N517" s="26">
        <v>2026</v>
      </c>
    </row>
    <row r="518" spans="1:14">
      <c r="A518" s="26">
        <v>517</v>
      </c>
      <c r="B518" s="26" t="s">
        <v>40</v>
      </c>
      <c r="C518" s="26" t="s">
        <v>47</v>
      </c>
      <c r="D518" s="26" t="s">
        <v>58</v>
      </c>
      <c r="E518" s="53" t="s">
        <v>68</v>
      </c>
      <c r="F518" s="26"/>
      <c r="G518" s="26" t="s">
        <v>115</v>
      </c>
      <c r="H518" s="26" t="s">
        <v>111</v>
      </c>
      <c r="I518" s="47">
        <v>72</v>
      </c>
      <c r="J518" s="26" t="s">
        <v>640</v>
      </c>
      <c r="K518" s="45">
        <v>46097</v>
      </c>
      <c r="L518" s="26">
        <v>2026401017</v>
      </c>
      <c r="M518" s="132" t="s">
        <v>197</v>
      </c>
      <c r="N518" s="26">
        <v>2026</v>
      </c>
    </row>
    <row r="519" spans="1:14">
      <c r="A519" s="26">
        <v>518</v>
      </c>
      <c r="B519" s="26" t="s">
        <v>50</v>
      </c>
      <c r="C519" s="26" t="s">
        <v>60</v>
      </c>
      <c r="D519" s="26" t="s">
        <v>58</v>
      </c>
      <c r="E519" s="53" t="s">
        <v>68</v>
      </c>
      <c r="F519" s="26"/>
      <c r="G519" s="26" t="s">
        <v>115</v>
      </c>
      <c r="H519" s="26" t="s">
        <v>111</v>
      </c>
      <c r="I519" s="47">
        <v>1595</v>
      </c>
      <c r="J519" s="26" t="s">
        <v>641</v>
      </c>
      <c r="K519" s="45">
        <v>46097</v>
      </c>
      <c r="L519" s="26">
        <v>2026400975</v>
      </c>
      <c r="M519" s="132" t="s">
        <v>197</v>
      </c>
      <c r="N519" s="26">
        <v>2026</v>
      </c>
    </row>
    <row r="520" spans="1:14">
      <c r="A520" s="26">
        <v>519</v>
      </c>
      <c r="B520" s="53" t="s">
        <v>40</v>
      </c>
      <c r="C520" s="53" t="s">
        <v>69</v>
      </c>
      <c r="D520" s="26" t="s">
        <v>58</v>
      </c>
      <c r="E520" s="53" t="s">
        <v>68</v>
      </c>
      <c r="F520" s="26"/>
      <c r="G520" s="53" t="s">
        <v>115</v>
      </c>
      <c r="H520" s="26" t="s">
        <v>111</v>
      </c>
      <c r="I520" s="47">
        <v>329.5</v>
      </c>
      <c r="J520" s="26" t="s">
        <v>629</v>
      </c>
      <c r="K520" s="45">
        <v>46097</v>
      </c>
      <c r="L520" s="26">
        <v>2026401006</v>
      </c>
      <c r="M520" s="132" t="s">
        <v>197</v>
      </c>
      <c r="N520" s="26">
        <v>2026</v>
      </c>
    </row>
    <row r="521" spans="1:14">
      <c r="A521" s="26">
        <v>520</v>
      </c>
      <c r="B521" s="26" t="s">
        <v>33</v>
      </c>
      <c r="C521" s="26" t="s">
        <v>35</v>
      </c>
      <c r="D521" s="26" t="s">
        <v>58</v>
      </c>
      <c r="E521" s="53" t="s">
        <v>68</v>
      </c>
      <c r="F521" s="26"/>
      <c r="G521" s="26" t="s">
        <v>115</v>
      </c>
      <c r="H521" s="26" t="s">
        <v>111</v>
      </c>
      <c r="I521" s="47">
        <v>305</v>
      </c>
      <c r="J521" s="26" t="s">
        <v>642</v>
      </c>
      <c r="K521" s="45">
        <v>46097</v>
      </c>
      <c r="L521" s="26">
        <v>2026400978</v>
      </c>
      <c r="M521" s="132" t="s">
        <v>197</v>
      </c>
      <c r="N521" s="26">
        <v>2026</v>
      </c>
    </row>
    <row r="522" spans="1:14">
      <c r="A522" s="26">
        <v>521</v>
      </c>
      <c r="B522" s="53" t="s">
        <v>17</v>
      </c>
      <c r="C522" s="26" t="s">
        <v>18</v>
      </c>
      <c r="D522" s="26" t="s">
        <v>58</v>
      </c>
      <c r="E522" s="26" t="s">
        <v>68</v>
      </c>
      <c r="F522" s="26"/>
      <c r="G522" s="26" t="s">
        <v>115</v>
      </c>
      <c r="H522" s="26" t="s">
        <v>111</v>
      </c>
      <c r="I522" s="47">
        <v>115</v>
      </c>
      <c r="J522" s="26" t="s">
        <v>643</v>
      </c>
      <c r="K522" s="45">
        <v>46097</v>
      </c>
      <c r="L522" s="26">
        <v>2026400995</v>
      </c>
      <c r="M522" s="132" t="s">
        <v>197</v>
      </c>
      <c r="N522" s="26">
        <v>2026</v>
      </c>
    </row>
    <row r="523" spans="1:14">
      <c r="A523" s="26">
        <v>522</v>
      </c>
      <c r="B523" s="26" t="s">
        <v>52</v>
      </c>
      <c r="C523" s="26" t="s">
        <v>90</v>
      </c>
      <c r="D523" s="26" t="s">
        <v>58</v>
      </c>
      <c r="E523" s="26" t="s">
        <v>68</v>
      </c>
      <c r="F523" s="26"/>
      <c r="G523" s="26" t="s">
        <v>115</v>
      </c>
      <c r="H523" s="26" t="s">
        <v>111</v>
      </c>
      <c r="I523" s="47">
        <v>510</v>
      </c>
      <c r="J523" s="26" t="s">
        <v>644</v>
      </c>
      <c r="K523" s="45">
        <v>46097</v>
      </c>
      <c r="L523" s="26">
        <v>2026400994</v>
      </c>
      <c r="M523" s="132" t="s">
        <v>197</v>
      </c>
      <c r="N523" s="26">
        <v>2026</v>
      </c>
    </row>
    <row r="524" spans="1:14">
      <c r="A524" s="26">
        <v>523</v>
      </c>
      <c r="B524" s="26" t="s">
        <v>56</v>
      </c>
      <c r="C524" s="26" t="s">
        <v>57</v>
      </c>
      <c r="D524" s="26" t="s">
        <v>58</v>
      </c>
      <c r="E524" s="53" t="s">
        <v>68</v>
      </c>
      <c r="F524" s="26"/>
      <c r="G524" s="26" t="s">
        <v>115</v>
      </c>
      <c r="H524" s="26" t="s">
        <v>111</v>
      </c>
      <c r="I524" s="47">
        <v>150</v>
      </c>
      <c r="J524" s="26" t="s">
        <v>645</v>
      </c>
      <c r="K524" s="45">
        <v>46097</v>
      </c>
      <c r="L524" s="26">
        <v>2026400966</v>
      </c>
      <c r="M524" s="132" t="s">
        <v>197</v>
      </c>
      <c r="N524" s="26">
        <v>2026</v>
      </c>
    </row>
    <row r="525" spans="1:14">
      <c r="A525" s="26">
        <v>524</v>
      </c>
      <c r="B525" s="26" t="s">
        <v>52</v>
      </c>
      <c r="C525" s="26" t="s">
        <v>90</v>
      </c>
      <c r="D525" s="26" t="s">
        <v>58</v>
      </c>
      <c r="E525" s="53" t="s">
        <v>68</v>
      </c>
      <c r="F525" s="26"/>
      <c r="G525" s="26" t="s">
        <v>115</v>
      </c>
      <c r="H525" s="26" t="s">
        <v>111</v>
      </c>
      <c r="I525" s="47">
        <v>600</v>
      </c>
      <c r="J525" s="26" t="s">
        <v>646</v>
      </c>
      <c r="K525" s="45">
        <v>46097</v>
      </c>
      <c r="L525" s="26">
        <v>2026400977</v>
      </c>
      <c r="M525" s="132" t="s">
        <v>197</v>
      </c>
      <c r="N525" s="26">
        <v>2026</v>
      </c>
    </row>
    <row r="526" spans="1:14">
      <c r="A526" s="26">
        <v>525</v>
      </c>
      <c r="B526" s="26" t="s">
        <v>52</v>
      </c>
      <c r="C526" s="26" t="s">
        <v>90</v>
      </c>
      <c r="D526" s="26" t="s">
        <v>58</v>
      </c>
      <c r="E526" s="53" t="s">
        <v>68</v>
      </c>
      <c r="F526" s="26"/>
      <c r="G526" s="52" t="s">
        <v>115</v>
      </c>
      <c r="H526" s="26" t="s">
        <v>111</v>
      </c>
      <c r="I526" s="47">
        <v>120</v>
      </c>
      <c r="J526" s="52" t="s">
        <v>647</v>
      </c>
      <c r="K526" s="45">
        <v>46097</v>
      </c>
      <c r="L526" s="52">
        <v>2026400971</v>
      </c>
      <c r="M526" s="132" t="s">
        <v>197</v>
      </c>
      <c r="N526" s="26">
        <v>2026</v>
      </c>
    </row>
    <row r="527" spans="1:14">
      <c r="A527" s="26">
        <v>526</v>
      </c>
      <c r="B527" s="26" t="s">
        <v>17</v>
      </c>
      <c r="C527" s="26" t="s">
        <v>25</v>
      </c>
      <c r="D527" s="26" t="s">
        <v>58</v>
      </c>
      <c r="E527" s="53" t="s">
        <v>68</v>
      </c>
      <c r="F527" s="26"/>
      <c r="G527" s="26" t="s">
        <v>115</v>
      </c>
      <c r="H527" s="26" t="s">
        <v>111</v>
      </c>
      <c r="I527" s="47">
        <v>110</v>
      </c>
      <c r="J527" s="26" t="s">
        <v>648</v>
      </c>
      <c r="K527" s="45">
        <v>46097</v>
      </c>
      <c r="L527" s="26">
        <v>2026400921</v>
      </c>
      <c r="M527" s="132" t="s">
        <v>197</v>
      </c>
      <c r="N527" s="26">
        <v>2026</v>
      </c>
    </row>
    <row r="528" spans="1:14">
      <c r="A528" s="26">
        <v>527</v>
      </c>
      <c r="B528" s="26" t="s">
        <v>17</v>
      </c>
      <c r="C528" s="26" t="s">
        <v>22</v>
      </c>
      <c r="D528" s="26" t="s">
        <v>58</v>
      </c>
      <c r="E528" s="53" t="s">
        <v>68</v>
      </c>
      <c r="F528" s="26"/>
      <c r="G528" s="26" t="s">
        <v>115</v>
      </c>
      <c r="H528" s="26" t="s">
        <v>111</v>
      </c>
      <c r="I528" s="47">
        <v>356.4</v>
      </c>
      <c r="J528" s="26" t="s">
        <v>649</v>
      </c>
      <c r="K528" s="45">
        <v>46097</v>
      </c>
      <c r="L528" s="26">
        <v>2026400850</v>
      </c>
      <c r="M528" s="132" t="s">
        <v>197</v>
      </c>
      <c r="N528" s="26">
        <v>2026</v>
      </c>
    </row>
    <row r="529" spans="1:14">
      <c r="A529" s="26">
        <v>528</v>
      </c>
      <c r="B529" s="26" t="s">
        <v>17</v>
      </c>
      <c r="C529" s="26" t="s">
        <v>22</v>
      </c>
      <c r="D529" s="26" t="s">
        <v>58</v>
      </c>
      <c r="E529" s="53" t="s">
        <v>68</v>
      </c>
      <c r="F529" s="26"/>
      <c r="G529" s="26" t="s">
        <v>115</v>
      </c>
      <c r="H529" s="26" t="s">
        <v>111</v>
      </c>
      <c r="I529" s="47">
        <v>3229.9</v>
      </c>
      <c r="J529" s="26" t="s">
        <v>650</v>
      </c>
      <c r="K529" s="45">
        <v>46097</v>
      </c>
      <c r="L529" s="26">
        <v>2026400925</v>
      </c>
      <c r="M529" s="132" t="s">
        <v>197</v>
      </c>
      <c r="N529" s="26">
        <v>2026</v>
      </c>
    </row>
    <row r="530" spans="1:14">
      <c r="A530" s="26">
        <v>529</v>
      </c>
      <c r="B530" s="26" t="s">
        <v>40</v>
      </c>
      <c r="C530" s="26" t="s">
        <v>247</v>
      </c>
      <c r="D530" s="26" t="s">
        <v>58</v>
      </c>
      <c r="E530" s="53" t="s">
        <v>68</v>
      </c>
      <c r="F530" s="26"/>
      <c r="G530" s="26" t="s">
        <v>115</v>
      </c>
      <c r="H530" s="26" t="s">
        <v>111</v>
      </c>
      <c r="I530" s="47">
        <v>2577</v>
      </c>
      <c r="J530" s="26" t="s">
        <v>651</v>
      </c>
      <c r="K530" s="45">
        <v>46096</v>
      </c>
      <c r="L530" s="26">
        <v>2026400792</v>
      </c>
      <c r="M530" s="132" t="s">
        <v>197</v>
      </c>
      <c r="N530" s="26">
        <v>2026</v>
      </c>
    </row>
    <row r="531" spans="1:14">
      <c r="A531" s="26">
        <v>530</v>
      </c>
      <c r="B531" s="26" t="s">
        <v>40</v>
      </c>
      <c r="C531" s="26" t="s">
        <v>41</v>
      </c>
      <c r="D531" s="26" t="s">
        <v>58</v>
      </c>
      <c r="E531" s="53" t="s">
        <v>68</v>
      </c>
      <c r="F531" s="26"/>
      <c r="G531" s="26" t="s">
        <v>115</v>
      </c>
      <c r="H531" s="26" t="s">
        <v>111</v>
      </c>
      <c r="I531" s="47">
        <v>254.4</v>
      </c>
      <c r="J531" s="26" t="s">
        <v>652</v>
      </c>
      <c r="K531" s="45">
        <v>46096</v>
      </c>
      <c r="L531" s="52">
        <v>2026400632</v>
      </c>
      <c r="M531" s="132" t="s">
        <v>197</v>
      </c>
      <c r="N531" s="26">
        <v>2026</v>
      </c>
    </row>
    <row r="532" spans="1:14">
      <c r="A532" s="26">
        <v>531</v>
      </c>
      <c r="B532" s="26" t="s">
        <v>33</v>
      </c>
      <c r="C532" s="26" t="s">
        <v>35</v>
      </c>
      <c r="D532" s="26" t="s">
        <v>58</v>
      </c>
      <c r="E532" s="53" t="s">
        <v>68</v>
      </c>
      <c r="F532" s="26"/>
      <c r="G532" s="26" t="s">
        <v>115</v>
      </c>
      <c r="H532" s="26" t="s">
        <v>111</v>
      </c>
      <c r="I532" s="47">
        <v>240</v>
      </c>
      <c r="J532" s="26" t="s">
        <v>654</v>
      </c>
      <c r="K532" s="45">
        <v>46098</v>
      </c>
      <c r="L532" s="26">
        <v>2026401056</v>
      </c>
      <c r="M532" s="132" t="s">
        <v>197</v>
      </c>
      <c r="N532" s="26">
        <v>2026</v>
      </c>
    </row>
    <row r="533" spans="1:14">
      <c r="A533" s="26">
        <v>532</v>
      </c>
      <c r="B533" s="26" t="s">
        <v>40</v>
      </c>
      <c r="C533" s="26" t="s">
        <v>48</v>
      </c>
      <c r="D533" s="26" t="s">
        <v>58</v>
      </c>
      <c r="E533" s="53" t="s">
        <v>68</v>
      </c>
      <c r="F533" s="26"/>
      <c r="G533" s="26" t="s">
        <v>115</v>
      </c>
      <c r="H533" s="26" t="s">
        <v>111</v>
      </c>
      <c r="I533" s="47">
        <v>1398</v>
      </c>
      <c r="J533" s="26" t="s">
        <v>657</v>
      </c>
      <c r="K533" s="45">
        <v>46097</v>
      </c>
      <c r="L533" s="26">
        <v>2026400718</v>
      </c>
      <c r="M533" s="132" t="s">
        <v>197</v>
      </c>
      <c r="N533" s="26">
        <v>2026</v>
      </c>
    </row>
    <row r="534" spans="1:14">
      <c r="A534" s="26">
        <v>533</v>
      </c>
      <c r="B534" s="26" t="s">
        <v>31</v>
      </c>
      <c r="C534" s="26" t="s">
        <v>32</v>
      </c>
      <c r="D534" s="26" t="s">
        <v>58</v>
      </c>
      <c r="E534" s="53" t="s">
        <v>68</v>
      </c>
      <c r="F534" s="26"/>
      <c r="G534" s="26" t="s">
        <v>115</v>
      </c>
      <c r="H534" s="26" t="s">
        <v>111</v>
      </c>
      <c r="I534" s="47">
        <v>60</v>
      </c>
      <c r="J534" s="26" t="s">
        <v>658</v>
      </c>
      <c r="K534" s="45">
        <v>46098</v>
      </c>
      <c r="L534" s="26">
        <v>2026401008</v>
      </c>
      <c r="M534" s="132" t="s">
        <v>197</v>
      </c>
      <c r="N534" s="26">
        <v>2026</v>
      </c>
    </row>
    <row r="535" spans="1:14">
      <c r="A535" s="26">
        <v>534</v>
      </c>
      <c r="B535" s="26" t="s">
        <v>17</v>
      </c>
      <c r="C535" s="26" t="s">
        <v>25</v>
      </c>
      <c r="D535" s="26" t="s">
        <v>58</v>
      </c>
      <c r="E535" s="53" t="s">
        <v>68</v>
      </c>
      <c r="F535" s="26"/>
      <c r="G535" s="26" t="s">
        <v>115</v>
      </c>
      <c r="H535" s="26" t="s">
        <v>111</v>
      </c>
      <c r="I535" s="47">
        <v>180</v>
      </c>
      <c r="J535" s="26" t="s">
        <v>664</v>
      </c>
      <c r="K535" s="54">
        <v>46097</v>
      </c>
      <c r="L535" s="26">
        <v>2026401021</v>
      </c>
      <c r="M535" s="132" t="s">
        <v>197</v>
      </c>
      <c r="N535" s="26">
        <v>2026</v>
      </c>
    </row>
    <row r="536" spans="1:14">
      <c r="A536" s="26">
        <v>535</v>
      </c>
      <c r="B536" s="26" t="s">
        <v>40</v>
      </c>
      <c r="C536" s="26" t="s">
        <v>48</v>
      </c>
      <c r="D536" s="26" t="s">
        <v>58</v>
      </c>
      <c r="E536" s="53" t="s">
        <v>68</v>
      </c>
      <c r="F536" s="26"/>
      <c r="G536" s="52" t="s">
        <v>115</v>
      </c>
      <c r="H536" s="26" t="s">
        <v>111</v>
      </c>
      <c r="I536" s="47">
        <v>979.5</v>
      </c>
      <c r="J536" s="52" t="s">
        <v>665</v>
      </c>
      <c r="K536" s="45">
        <v>46097</v>
      </c>
      <c r="L536" s="52">
        <v>2026400979</v>
      </c>
      <c r="M536" s="132" t="s">
        <v>197</v>
      </c>
      <c r="N536" s="26">
        <v>2026</v>
      </c>
    </row>
    <row r="537" spans="1:14">
      <c r="A537" s="26">
        <v>536</v>
      </c>
      <c r="B537" s="26" t="s">
        <v>52</v>
      </c>
      <c r="C537" s="26" t="s">
        <v>90</v>
      </c>
      <c r="D537" s="26" t="s">
        <v>58</v>
      </c>
      <c r="E537" s="53" t="s">
        <v>68</v>
      </c>
      <c r="F537" s="26"/>
      <c r="G537" s="26" t="s">
        <v>115</v>
      </c>
      <c r="H537" s="26" t="s">
        <v>111</v>
      </c>
      <c r="I537" s="47">
        <v>165</v>
      </c>
      <c r="J537" s="26" t="s">
        <v>667</v>
      </c>
      <c r="K537" s="45">
        <v>46097</v>
      </c>
      <c r="L537" s="26">
        <v>2026401059</v>
      </c>
      <c r="M537" s="132" t="s">
        <v>197</v>
      </c>
      <c r="N537" s="26">
        <v>2026</v>
      </c>
    </row>
    <row r="538" spans="1:14">
      <c r="A538" s="26">
        <v>537</v>
      </c>
      <c r="B538" s="26" t="s">
        <v>52</v>
      </c>
      <c r="C538" s="26" t="s">
        <v>90</v>
      </c>
      <c r="D538" s="26" t="s">
        <v>58</v>
      </c>
      <c r="E538" s="26" t="s">
        <v>68</v>
      </c>
      <c r="F538" s="26"/>
      <c r="G538" s="26" t="s">
        <v>115</v>
      </c>
      <c r="H538" s="26" t="s">
        <v>111</v>
      </c>
      <c r="I538" s="47">
        <v>390</v>
      </c>
      <c r="J538" s="26" t="s">
        <v>668</v>
      </c>
      <c r="K538" s="45">
        <v>46097</v>
      </c>
      <c r="L538" s="26">
        <v>2026401043</v>
      </c>
      <c r="M538" s="132" t="s">
        <v>197</v>
      </c>
      <c r="N538" s="26">
        <v>2026</v>
      </c>
    </row>
    <row r="539" spans="1:14">
      <c r="A539" s="26">
        <v>538</v>
      </c>
      <c r="B539" s="26" t="s">
        <v>40</v>
      </c>
      <c r="C539" s="26" t="s">
        <v>41</v>
      </c>
      <c r="D539" s="26" t="s">
        <v>58</v>
      </c>
      <c r="E539" s="53" t="s">
        <v>68</v>
      </c>
      <c r="F539" s="26"/>
      <c r="G539" s="26" t="s">
        <v>115</v>
      </c>
      <c r="H539" s="26" t="s">
        <v>111</v>
      </c>
      <c r="I539" s="47">
        <v>115.7</v>
      </c>
      <c r="J539" s="26" t="s">
        <v>675</v>
      </c>
      <c r="K539" s="45">
        <v>46106</v>
      </c>
      <c r="L539" s="26">
        <v>2026401105</v>
      </c>
      <c r="M539" s="132" t="s">
        <v>197</v>
      </c>
      <c r="N539" s="26">
        <v>2026</v>
      </c>
    </row>
    <row r="540" spans="1:14">
      <c r="A540" s="26">
        <v>539</v>
      </c>
      <c r="B540" s="26" t="s">
        <v>52</v>
      </c>
      <c r="C540" s="26" t="s">
        <v>90</v>
      </c>
      <c r="D540" s="26" t="s">
        <v>58</v>
      </c>
      <c r="E540" s="53" t="s">
        <v>68</v>
      </c>
      <c r="F540" s="26"/>
      <c r="G540" s="26" t="s">
        <v>115</v>
      </c>
      <c r="H540" s="26" t="s">
        <v>111</v>
      </c>
      <c r="I540" s="47">
        <v>250</v>
      </c>
      <c r="J540" s="26" t="s">
        <v>676</v>
      </c>
      <c r="K540" s="45">
        <v>46088</v>
      </c>
      <c r="L540" s="26">
        <v>2026400733</v>
      </c>
      <c r="M540" s="132" t="s">
        <v>197</v>
      </c>
      <c r="N540" s="26">
        <v>2026</v>
      </c>
    </row>
    <row r="541" spans="1:14">
      <c r="A541" s="26">
        <v>540</v>
      </c>
      <c r="B541" s="26" t="s">
        <v>50</v>
      </c>
      <c r="C541" s="26" t="s">
        <v>60</v>
      </c>
      <c r="D541" s="26" t="s">
        <v>58</v>
      </c>
      <c r="E541" s="53" t="s">
        <v>68</v>
      </c>
      <c r="F541" s="26"/>
      <c r="G541" s="26" t="s">
        <v>115</v>
      </c>
      <c r="H541" s="26" t="s">
        <v>111</v>
      </c>
      <c r="I541" s="47">
        <v>337</v>
      </c>
      <c r="J541" s="26" t="s">
        <v>680</v>
      </c>
      <c r="K541" s="45">
        <v>46106</v>
      </c>
      <c r="L541" s="26">
        <v>2026401101</v>
      </c>
      <c r="M541" s="132" t="s">
        <v>197</v>
      </c>
      <c r="N541" s="26">
        <v>2026</v>
      </c>
    </row>
    <row r="542" spans="1:14">
      <c r="A542" s="26">
        <v>541</v>
      </c>
      <c r="B542" s="26" t="s">
        <v>50</v>
      </c>
      <c r="C542" s="26" t="s">
        <v>60</v>
      </c>
      <c r="D542" s="26" t="s">
        <v>58</v>
      </c>
      <c r="E542" s="53" t="s">
        <v>68</v>
      </c>
      <c r="F542" s="26"/>
      <c r="G542" s="26" t="s">
        <v>115</v>
      </c>
      <c r="H542" s="26" t="s">
        <v>111</v>
      </c>
      <c r="I542" s="47">
        <v>955</v>
      </c>
      <c r="J542" s="26" t="s">
        <v>681</v>
      </c>
      <c r="K542" s="45">
        <v>46092</v>
      </c>
      <c r="L542" s="26">
        <v>2026400866</v>
      </c>
      <c r="M542" s="132" t="s">
        <v>197</v>
      </c>
      <c r="N542" s="26">
        <v>2026</v>
      </c>
    </row>
    <row r="543" spans="1:14">
      <c r="A543" s="26">
        <v>542</v>
      </c>
      <c r="B543" s="26" t="s">
        <v>17</v>
      </c>
      <c r="C543" s="26" t="s">
        <v>25</v>
      </c>
      <c r="D543" s="26" t="s">
        <v>58</v>
      </c>
      <c r="E543" s="53" t="s">
        <v>68</v>
      </c>
      <c r="F543" s="26"/>
      <c r="G543" s="26" t="s">
        <v>115</v>
      </c>
      <c r="H543" s="26" t="s">
        <v>111</v>
      </c>
      <c r="I543" s="47">
        <v>2384</v>
      </c>
      <c r="J543" s="26" t="s">
        <v>682</v>
      </c>
      <c r="K543" s="45">
        <v>46098</v>
      </c>
      <c r="L543" s="26">
        <v>2026401070</v>
      </c>
      <c r="M543" s="132" t="s">
        <v>197</v>
      </c>
      <c r="N543" s="26">
        <v>2026</v>
      </c>
    </row>
    <row r="544" spans="1:14">
      <c r="A544" s="26">
        <v>543</v>
      </c>
      <c r="B544" s="26" t="s">
        <v>17</v>
      </c>
      <c r="C544" s="26" t="s">
        <v>18</v>
      </c>
      <c r="D544" s="26" t="s">
        <v>58</v>
      </c>
      <c r="E544" s="53" t="s">
        <v>68</v>
      </c>
      <c r="F544" s="26"/>
      <c r="G544" s="26" t="s">
        <v>115</v>
      </c>
      <c r="H544" s="26" t="s">
        <v>111</v>
      </c>
      <c r="I544" s="47">
        <v>650</v>
      </c>
      <c r="J544" s="26" t="s">
        <v>683</v>
      </c>
      <c r="K544" s="45">
        <v>46106</v>
      </c>
      <c r="L544" s="26">
        <v>2026401092</v>
      </c>
      <c r="M544" s="132" t="s">
        <v>197</v>
      </c>
      <c r="N544" s="26">
        <v>2026</v>
      </c>
    </row>
    <row r="545" spans="1:14">
      <c r="A545" s="26">
        <v>544</v>
      </c>
      <c r="B545" s="26" t="s">
        <v>33</v>
      </c>
      <c r="C545" s="26" t="s">
        <v>35</v>
      </c>
      <c r="D545" s="26" t="s">
        <v>58</v>
      </c>
      <c r="E545" s="53" t="s">
        <v>68</v>
      </c>
      <c r="F545" s="26"/>
      <c r="G545" s="26" t="s">
        <v>115</v>
      </c>
      <c r="H545" s="26" t="s">
        <v>111</v>
      </c>
      <c r="I545" s="47">
        <v>846</v>
      </c>
      <c r="J545" s="26" t="s">
        <v>684</v>
      </c>
      <c r="K545" s="45">
        <v>46106</v>
      </c>
      <c r="L545" s="26">
        <v>2026400972</v>
      </c>
      <c r="M545" s="132" t="s">
        <v>197</v>
      </c>
      <c r="N545" s="26">
        <v>2026</v>
      </c>
    </row>
    <row r="546" spans="1:14">
      <c r="A546" s="26">
        <v>545</v>
      </c>
      <c r="B546" s="26" t="s">
        <v>52</v>
      </c>
      <c r="C546" s="26" t="s">
        <v>53</v>
      </c>
      <c r="D546" s="26" t="s">
        <v>58</v>
      </c>
      <c r="E546" s="53" t="s">
        <v>68</v>
      </c>
      <c r="F546" s="26"/>
      <c r="G546" s="26" t="s">
        <v>115</v>
      </c>
      <c r="H546" s="26" t="s">
        <v>111</v>
      </c>
      <c r="I546" s="47">
        <v>300</v>
      </c>
      <c r="J546" s="26" t="s">
        <v>685</v>
      </c>
      <c r="K546" s="45">
        <v>46106</v>
      </c>
      <c r="L546" s="26">
        <v>2026401076</v>
      </c>
      <c r="M546" s="132" t="s">
        <v>197</v>
      </c>
      <c r="N546" s="26">
        <v>2026</v>
      </c>
    </row>
    <row r="547" spans="1:14">
      <c r="A547" s="26">
        <v>546</v>
      </c>
      <c r="B547" s="26" t="s">
        <v>17</v>
      </c>
      <c r="C547" s="26" t="s">
        <v>18</v>
      </c>
      <c r="D547" s="26" t="s">
        <v>58</v>
      </c>
      <c r="E547" s="53" t="s">
        <v>68</v>
      </c>
      <c r="F547" s="26"/>
      <c r="G547" s="26" t="s">
        <v>115</v>
      </c>
      <c r="H547" s="26" t="s">
        <v>111</v>
      </c>
      <c r="I547" s="47">
        <v>75</v>
      </c>
      <c r="J547" s="26" t="s">
        <v>686</v>
      </c>
      <c r="K547" s="45">
        <v>46106</v>
      </c>
      <c r="L547" s="26">
        <v>2026401087</v>
      </c>
      <c r="M547" s="132" t="s">
        <v>197</v>
      </c>
      <c r="N547" s="26">
        <v>2026</v>
      </c>
    </row>
    <row r="548" spans="1:14">
      <c r="A548" s="26">
        <v>547</v>
      </c>
      <c r="B548" s="26" t="s">
        <v>40</v>
      </c>
      <c r="C548" s="26" t="s">
        <v>247</v>
      </c>
      <c r="D548" s="26" t="s">
        <v>58</v>
      </c>
      <c r="E548" s="53" t="s">
        <v>68</v>
      </c>
      <c r="F548" s="26"/>
      <c r="G548" s="26" t="s">
        <v>115</v>
      </c>
      <c r="H548" s="26" t="s">
        <v>111</v>
      </c>
      <c r="I548" s="47">
        <v>96</v>
      </c>
      <c r="J548" s="26" t="s">
        <v>688</v>
      </c>
      <c r="K548" s="45">
        <v>46106</v>
      </c>
      <c r="L548" s="26">
        <v>2026401094</v>
      </c>
      <c r="M548" s="132" t="s">
        <v>197</v>
      </c>
      <c r="N548" s="26">
        <v>2026</v>
      </c>
    </row>
    <row r="549" spans="1:14">
      <c r="A549" s="26">
        <v>548</v>
      </c>
      <c r="B549" s="26" t="s">
        <v>40</v>
      </c>
      <c r="C549" s="26" t="s">
        <v>48</v>
      </c>
      <c r="D549" s="26" t="s">
        <v>58</v>
      </c>
      <c r="E549" s="53" t="s">
        <v>68</v>
      </c>
      <c r="F549" s="26"/>
      <c r="G549" s="26" t="s">
        <v>115</v>
      </c>
      <c r="H549" s="26" t="s">
        <v>111</v>
      </c>
      <c r="I549" s="47">
        <v>210</v>
      </c>
      <c r="J549" s="26" t="s">
        <v>690</v>
      </c>
      <c r="K549" s="45">
        <v>46109</v>
      </c>
      <c r="L549" s="26">
        <v>2026401074</v>
      </c>
      <c r="M549" s="132" t="s">
        <v>197</v>
      </c>
      <c r="N549" s="26">
        <v>2026</v>
      </c>
    </row>
    <row r="550" spans="1:14">
      <c r="A550" s="26">
        <v>549</v>
      </c>
      <c r="B550" s="26" t="s">
        <v>17</v>
      </c>
      <c r="C550" s="26" t="s">
        <v>22</v>
      </c>
      <c r="D550" s="26" t="s">
        <v>58</v>
      </c>
      <c r="E550" s="53" t="s">
        <v>68</v>
      </c>
      <c r="F550" s="26"/>
      <c r="G550" s="26" t="s">
        <v>115</v>
      </c>
      <c r="H550" s="26" t="s">
        <v>111</v>
      </c>
      <c r="I550" s="47">
        <v>480</v>
      </c>
      <c r="J550" s="26" t="s">
        <v>694</v>
      </c>
      <c r="K550" s="45">
        <v>46109</v>
      </c>
      <c r="L550" s="26">
        <v>2026401086</v>
      </c>
      <c r="M550" s="132" t="s">
        <v>197</v>
      </c>
      <c r="N550" s="26">
        <v>2026</v>
      </c>
    </row>
    <row r="551" spans="1:14">
      <c r="A551" s="26">
        <v>550</v>
      </c>
      <c r="B551" s="26" t="s">
        <v>40</v>
      </c>
      <c r="C551" s="26" t="s">
        <v>45</v>
      </c>
      <c r="D551" s="26" t="s">
        <v>58</v>
      </c>
      <c r="E551" s="53" t="s">
        <v>68</v>
      </c>
      <c r="F551" s="26"/>
      <c r="G551" s="26" t="s">
        <v>115</v>
      </c>
      <c r="H551" s="26" t="s">
        <v>111</v>
      </c>
      <c r="I551" s="47">
        <v>220</v>
      </c>
      <c r="J551" s="26" t="s">
        <v>695</v>
      </c>
      <c r="K551" s="45">
        <v>46109</v>
      </c>
      <c r="L551" s="26">
        <v>2026401095</v>
      </c>
      <c r="M551" s="132" t="s">
        <v>197</v>
      </c>
      <c r="N551" s="26">
        <v>2026</v>
      </c>
    </row>
    <row r="552" spans="1:14">
      <c r="A552" s="26">
        <v>551</v>
      </c>
      <c r="B552" s="26" t="s">
        <v>50</v>
      </c>
      <c r="C552" s="26" t="s">
        <v>60</v>
      </c>
      <c r="D552" s="26" t="s">
        <v>58</v>
      </c>
      <c r="E552" s="53" t="s">
        <v>68</v>
      </c>
      <c r="F552" s="26"/>
      <c r="G552" s="26" t="s">
        <v>115</v>
      </c>
      <c r="H552" s="26" t="s">
        <v>111</v>
      </c>
      <c r="I552" s="47">
        <v>375</v>
      </c>
      <c r="J552" s="26" t="s">
        <v>696</v>
      </c>
      <c r="K552" s="45">
        <v>46109</v>
      </c>
      <c r="L552" s="26">
        <v>2026401113</v>
      </c>
      <c r="M552" s="132" t="s">
        <v>197</v>
      </c>
      <c r="N552" s="26">
        <v>2026</v>
      </c>
    </row>
    <row r="553" spans="1:14">
      <c r="A553" s="26">
        <v>552</v>
      </c>
      <c r="B553" s="26" t="s">
        <v>33</v>
      </c>
      <c r="C553" s="26" t="s">
        <v>34</v>
      </c>
      <c r="D553" s="26" t="s">
        <v>58</v>
      </c>
      <c r="E553" s="53" t="s">
        <v>68</v>
      </c>
      <c r="F553" s="26"/>
      <c r="G553" s="26" t="s">
        <v>115</v>
      </c>
      <c r="H553" s="26" t="s">
        <v>111</v>
      </c>
      <c r="I553" s="47">
        <v>401.5</v>
      </c>
      <c r="J553" s="26" t="s">
        <v>697</v>
      </c>
      <c r="K553" s="45">
        <v>46109</v>
      </c>
      <c r="L553" s="26">
        <v>2026401096</v>
      </c>
      <c r="M553" s="132" t="s">
        <v>197</v>
      </c>
      <c r="N553" s="26">
        <v>2026</v>
      </c>
    </row>
    <row r="554" spans="1:14">
      <c r="A554" s="26">
        <v>553</v>
      </c>
      <c r="B554" s="26" t="s">
        <v>33</v>
      </c>
      <c r="C554" s="26" t="s">
        <v>35</v>
      </c>
      <c r="D554" s="26" t="s">
        <v>58</v>
      </c>
      <c r="E554" s="53" t="s">
        <v>68</v>
      </c>
      <c r="F554" s="26"/>
      <c r="G554" s="26" t="s">
        <v>115</v>
      </c>
      <c r="H554" s="26" t="s">
        <v>111</v>
      </c>
      <c r="I554" s="47">
        <v>80</v>
      </c>
      <c r="J554" s="26" t="s">
        <v>698</v>
      </c>
      <c r="K554" s="45">
        <v>46109</v>
      </c>
      <c r="L554" s="26">
        <v>2026401110</v>
      </c>
      <c r="M554" s="132" t="s">
        <v>197</v>
      </c>
      <c r="N554" s="26">
        <v>2026</v>
      </c>
    </row>
    <row r="555" spans="1:14">
      <c r="A555" s="26">
        <v>554</v>
      </c>
      <c r="B555" s="26" t="s">
        <v>17</v>
      </c>
      <c r="C555" s="26" t="s">
        <v>25</v>
      </c>
      <c r="D555" s="26" t="s">
        <v>58</v>
      </c>
      <c r="E555" s="53" t="s">
        <v>68</v>
      </c>
      <c r="F555" s="26"/>
      <c r="G555" s="26" t="s">
        <v>115</v>
      </c>
      <c r="H555" s="26" t="s">
        <v>111</v>
      </c>
      <c r="I555" s="47">
        <v>209</v>
      </c>
      <c r="J555" s="26" t="s">
        <v>699</v>
      </c>
      <c r="K555" s="45">
        <v>46109</v>
      </c>
      <c r="L555" s="26">
        <v>2026401102</v>
      </c>
      <c r="M555" s="132" t="s">
        <v>197</v>
      </c>
      <c r="N555" s="26">
        <v>2026</v>
      </c>
    </row>
    <row r="556" spans="1:14">
      <c r="A556" s="26">
        <v>555</v>
      </c>
      <c r="B556" s="26" t="s">
        <v>17</v>
      </c>
      <c r="C556" s="26" t="s">
        <v>25</v>
      </c>
      <c r="D556" s="26" t="s">
        <v>58</v>
      </c>
      <c r="E556" s="53" t="s">
        <v>68</v>
      </c>
      <c r="F556" s="26"/>
      <c r="G556" s="26" t="s">
        <v>115</v>
      </c>
      <c r="H556" s="26" t="s">
        <v>111</v>
      </c>
      <c r="I556" s="47">
        <v>300</v>
      </c>
      <c r="J556" s="26" t="s">
        <v>700</v>
      </c>
      <c r="K556" s="45">
        <v>46109</v>
      </c>
      <c r="L556" s="26">
        <v>2025404925</v>
      </c>
      <c r="M556" s="132" t="s">
        <v>197</v>
      </c>
      <c r="N556" s="26">
        <v>2026</v>
      </c>
    </row>
    <row r="557" spans="1:14">
      <c r="A557" s="26">
        <v>556</v>
      </c>
      <c r="B557" s="26" t="s">
        <v>17</v>
      </c>
      <c r="C557" s="26" t="s">
        <v>18</v>
      </c>
      <c r="D557" s="26" t="s">
        <v>58</v>
      </c>
      <c r="E557" s="53" t="s">
        <v>68</v>
      </c>
      <c r="F557" s="26"/>
      <c r="G557" s="26" t="s">
        <v>115</v>
      </c>
      <c r="H557" s="26" t="s">
        <v>111</v>
      </c>
      <c r="I557" s="47">
        <v>300</v>
      </c>
      <c r="J557" s="26" t="s">
        <v>707</v>
      </c>
      <c r="K557" s="45">
        <v>46097</v>
      </c>
      <c r="L557" s="26">
        <v>2026400996</v>
      </c>
      <c r="M557" s="132" t="s">
        <v>197</v>
      </c>
      <c r="N557" s="26">
        <v>2026</v>
      </c>
    </row>
    <row r="558" spans="1:14">
      <c r="A558" s="26">
        <v>557</v>
      </c>
      <c r="B558" s="26" t="s">
        <v>17</v>
      </c>
      <c r="C558" s="26" t="s">
        <v>400</v>
      </c>
      <c r="D558" s="26" t="s">
        <v>58</v>
      </c>
      <c r="E558" s="53" t="s">
        <v>68</v>
      </c>
      <c r="F558" s="26"/>
      <c r="G558" s="26" t="s">
        <v>115</v>
      </c>
      <c r="H558" s="26" t="s">
        <v>111</v>
      </c>
      <c r="I558" s="47">
        <v>148</v>
      </c>
      <c r="J558" s="26" t="s">
        <v>708</v>
      </c>
      <c r="K558" s="45">
        <v>46109</v>
      </c>
      <c r="L558" s="26">
        <v>2026401088</v>
      </c>
      <c r="M558" s="132" t="s">
        <v>197</v>
      </c>
      <c r="N558" s="26">
        <v>2026</v>
      </c>
    </row>
    <row r="559" spans="1:14">
      <c r="A559" s="26">
        <v>558</v>
      </c>
      <c r="B559" s="26" t="s">
        <v>40</v>
      </c>
      <c r="C559" s="26" t="s">
        <v>48</v>
      </c>
      <c r="D559" s="26" t="s">
        <v>58</v>
      </c>
      <c r="E559" s="53" t="s">
        <v>68</v>
      </c>
      <c r="F559" s="26"/>
      <c r="G559" s="26" t="s">
        <v>115</v>
      </c>
      <c r="H559" s="26" t="s">
        <v>111</v>
      </c>
      <c r="I559" s="47">
        <v>1121.8</v>
      </c>
      <c r="J559" s="26" t="s">
        <v>720</v>
      </c>
      <c r="K559" s="45">
        <v>46111</v>
      </c>
      <c r="L559" s="26">
        <v>2026400992</v>
      </c>
      <c r="M559" s="132" t="s">
        <v>197</v>
      </c>
      <c r="N559" s="26">
        <v>2026</v>
      </c>
    </row>
    <row r="560" spans="1:14">
      <c r="A560" s="26">
        <v>559</v>
      </c>
      <c r="B560" s="26" t="s">
        <v>259</v>
      </c>
      <c r="C560" s="26" t="s">
        <v>260</v>
      </c>
      <c r="D560" s="26" t="s">
        <v>58</v>
      </c>
      <c r="E560" s="26" t="s">
        <v>106</v>
      </c>
      <c r="F560" s="26"/>
      <c r="G560" s="26" t="s">
        <v>748</v>
      </c>
      <c r="H560" s="26" t="s">
        <v>266</v>
      </c>
      <c r="I560" s="50">
        <v>422.0779220779221</v>
      </c>
      <c r="J560" s="85" t="s">
        <v>756</v>
      </c>
      <c r="K560" s="45">
        <v>46082</v>
      </c>
      <c r="L560" s="26">
        <v>2026400791</v>
      </c>
      <c r="M560" s="132" t="s">
        <v>197</v>
      </c>
      <c r="N560" s="26">
        <v>2026</v>
      </c>
    </row>
    <row r="561" spans="1:14">
      <c r="A561" s="26">
        <v>560</v>
      </c>
      <c r="B561" s="26" t="s">
        <v>40</v>
      </c>
      <c r="C561" s="26" t="s">
        <v>43</v>
      </c>
      <c r="D561" s="26" t="s">
        <v>58</v>
      </c>
      <c r="E561" s="26" t="s">
        <v>106</v>
      </c>
      <c r="F561" s="26"/>
      <c r="G561" s="26" t="s">
        <v>107</v>
      </c>
      <c r="H561" s="26" t="s">
        <v>266</v>
      </c>
      <c r="I561" s="50">
        <v>4172.727272727273</v>
      </c>
      <c r="J561" s="85" t="s">
        <v>757</v>
      </c>
      <c r="K561" s="45">
        <v>46084</v>
      </c>
      <c r="L561" s="26">
        <v>2026400876</v>
      </c>
      <c r="M561" s="132" t="s">
        <v>197</v>
      </c>
      <c r="N561" s="26">
        <v>2026</v>
      </c>
    </row>
    <row r="562" spans="1:14">
      <c r="A562" s="26">
        <v>561</v>
      </c>
      <c r="B562" s="26" t="s">
        <v>275</v>
      </c>
      <c r="C562" s="26" t="s">
        <v>303</v>
      </c>
      <c r="D562" s="26" t="s">
        <v>58</v>
      </c>
      <c r="E562" s="26" t="s">
        <v>106</v>
      </c>
      <c r="F562" s="26"/>
      <c r="G562" s="26" t="s">
        <v>749</v>
      </c>
      <c r="H562" s="26" t="s">
        <v>266</v>
      </c>
      <c r="I562" s="50">
        <v>380</v>
      </c>
      <c r="J562" s="85" t="s">
        <v>758</v>
      </c>
      <c r="K562" s="45">
        <v>46093</v>
      </c>
      <c r="L562" s="26">
        <v>2026400881</v>
      </c>
      <c r="M562" s="132" t="s">
        <v>197</v>
      </c>
      <c r="N562" s="26">
        <v>2026</v>
      </c>
    </row>
    <row r="563" spans="1:14">
      <c r="A563" s="26">
        <v>562</v>
      </c>
      <c r="B563" s="26" t="s">
        <v>259</v>
      </c>
      <c r="C563" s="26" t="s">
        <v>260</v>
      </c>
      <c r="D563" s="26" t="s">
        <v>58</v>
      </c>
      <c r="E563" s="26" t="s">
        <v>106</v>
      </c>
      <c r="F563" s="26"/>
      <c r="G563" s="26" t="s">
        <v>750</v>
      </c>
      <c r="H563" s="26" t="s">
        <v>266</v>
      </c>
      <c r="I563" s="50">
        <v>1883.1168831168832</v>
      </c>
      <c r="J563" s="85" t="s">
        <v>759</v>
      </c>
      <c r="K563" s="45">
        <v>46078</v>
      </c>
      <c r="L563" s="26" t="s">
        <v>14</v>
      </c>
      <c r="M563" s="132" t="s">
        <v>197</v>
      </c>
      <c r="N563" s="26">
        <v>2026</v>
      </c>
    </row>
    <row r="564" spans="1:14">
      <c r="A564" s="26">
        <v>563</v>
      </c>
      <c r="B564" s="60" t="s">
        <v>17</v>
      </c>
      <c r="C564" s="26" t="s">
        <v>25</v>
      </c>
      <c r="D564" s="26" t="s">
        <v>58</v>
      </c>
      <c r="E564" s="26" t="s">
        <v>106</v>
      </c>
      <c r="F564" s="26"/>
      <c r="G564" s="26" t="s">
        <v>751</v>
      </c>
      <c r="H564" s="26" t="s">
        <v>266</v>
      </c>
      <c r="I564" s="50">
        <v>600</v>
      </c>
      <c r="J564" s="85" t="s">
        <v>760</v>
      </c>
      <c r="K564" s="45">
        <v>46095</v>
      </c>
      <c r="L564" s="26">
        <v>2026400895</v>
      </c>
      <c r="M564" s="132" t="s">
        <v>197</v>
      </c>
      <c r="N564" s="26">
        <v>2026</v>
      </c>
    </row>
    <row r="565" spans="1:14">
      <c r="A565" s="26">
        <v>564</v>
      </c>
      <c r="B565" s="26" t="s">
        <v>50</v>
      </c>
      <c r="C565" s="26" t="s">
        <v>60</v>
      </c>
      <c r="D565" s="26" t="s">
        <v>58</v>
      </c>
      <c r="E565" s="26" t="s">
        <v>106</v>
      </c>
      <c r="F565" s="26"/>
      <c r="G565" s="26" t="s">
        <v>751</v>
      </c>
      <c r="H565" s="26" t="s">
        <v>266</v>
      </c>
      <c r="I565" s="50">
        <v>120</v>
      </c>
      <c r="J565" s="85" t="s">
        <v>761</v>
      </c>
      <c r="K565" s="45">
        <v>46095</v>
      </c>
      <c r="L565" s="26">
        <v>2026400878</v>
      </c>
      <c r="M565" s="132" t="s">
        <v>197</v>
      </c>
      <c r="N565" s="26">
        <v>2026</v>
      </c>
    </row>
    <row r="566" spans="1:14">
      <c r="A566" s="26">
        <v>565</v>
      </c>
      <c r="B566" s="26" t="s">
        <v>50</v>
      </c>
      <c r="C566" s="26" t="s">
        <v>60</v>
      </c>
      <c r="D566" s="26" t="s">
        <v>58</v>
      </c>
      <c r="E566" s="26" t="s">
        <v>106</v>
      </c>
      <c r="F566" s="26"/>
      <c r="G566" s="26" t="s">
        <v>249</v>
      </c>
      <c r="H566" s="26" t="s">
        <v>266</v>
      </c>
      <c r="I566" s="50">
        <v>256.49350649350652</v>
      </c>
      <c r="J566" s="26" t="s">
        <v>762</v>
      </c>
      <c r="K566" s="45">
        <v>46082</v>
      </c>
      <c r="L566" s="26">
        <v>2026400737</v>
      </c>
      <c r="M566" s="132" t="s">
        <v>197</v>
      </c>
      <c r="N566" s="26">
        <v>2026</v>
      </c>
    </row>
    <row r="567" spans="1:14">
      <c r="A567" s="26">
        <v>566</v>
      </c>
      <c r="B567" s="26" t="s">
        <v>17</v>
      </c>
      <c r="C567" s="26" t="s">
        <v>25</v>
      </c>
      <c r="D567" s="26" t="s">
        <v>58</v>
      </c>
      <c r="E567" s="26" t="s">
        <v>106</v>
      </c>
      <c r="F567" s="26"/>
      <c r="G567" s="26" t="s">
        <v>752</v>
      </c>
      <c r="H567" s="26" t="s">
        <v>266</v>
      </c>
      <c r="I567" s="50">
        <v>292.20779220779218</v>
      </c>
      <c r="J567" s="26" t="s">
        <v>763</v>
      </c>
      <c r="K567" s="45">
        <v>46081</v>
      </c>
      <c r="L567" s="26">
        <v>2026401023</v>
      </c>
      <c r="M567" s="132" t="s">
        <v>197</v>
      </c>
      <c r="N567" s="26">
        <v>2026</v>
      </c>
    </row>
    <row r="568" spans="1:14">
      <c r="A568" s="26">
        <v>567</v>
      </c>
      <c r="B568" s="26" t="s">
        <v>52</v>
      </c>
      <c r="C568" s="26" t="s">
        <v>90</v>
      </c>
      <c r="D568" s="26" t="s">
        <v>58</v>
      </c>
      <c r="E568" s="26" t="s">
        <v>106</v>
      </c>
      <c r="F568" s="26"/>
      <c r="G568" s="26" t="s">
        <v>753</v>
      </c>
      <c r="H568" s="26" t="s">
        <v>266</v>
      </c>
      <c r="I568" s="50">
        <v>107.14285714285714</v>
      </c>
      <c r="J568" s="26" t="s">
        <v>764</v>
      </c>
      <c r="K568" s="45">
        <v>46098</v>
      </c>
      <c r="L568" s="26">
        <v>2026401055</v>
      </c>
      <c r="M568" s="132" t="s">
        <v>197</v>
      </c>
      <c r="N568" s="26">
        <v>2026</v>
      </c>
    </row>
    <row r="569" spans="1:14">
      <c r="A569" s="26">
        <v>568</v>
      </c>
      <c r="B569" s="26" t="s">
        <v>17</v>
      </c>
      <c r="C569" s="26" t="s">
        <v>25</v>
      </c>
      <c r="D569" s="26" t="s">
        <v>58</v>
      </c>
      <c r="E569" s="26" t="s">
        <v>106</v>
      </c>
      <c r="F569" s="26"/>
      <c r="G569" s="26" t="s">
        <v>751</v>
      </c>
      <c r="H569" s="26" t="s">
        <v>266</v>
      </c>
      <c r="I569" s="50">
        <v>900</v>
      </c>
      <c r="J569" s="26" t="s">
        <v>765</v>
      </c>
      <c r="K569" s="45">
        <v>46098</v>
      </c>
      <c r="L569" s="26">
        <v>2026401029</v>
      </c>
      <c r="M569" s="132" t="s">
        <v>197</v>
      </c>
      <c r="N569" s="26">
        <v>2026</v>
      </c>
    </row>
    <row r="570" spans="1:14">
      <c r="A570" s="26">
        <v>569</v>
      </c>
      <c r="B570" s="26" t="s">
        <v>50</v>
      </c>
      <c r="C570" s="26" t="s">
        <v>60</v>
      </c>
      <c r="D570" s="26" t="s">
        <v>58</v>
      </c>
      <c r="E570" s="26" t="s">
        <v>106</v>
      </c>
      <c r="F570" s="26"/>
      <c r="G570" s="26" t="s">
        <v>754</v>
      </c>
      <c r="H570" s="26" t="s">
        <v>266</v>
      </c>
      <c r="I570" s="50">
        <v>16052.57</v>
      </c>
      <c r="J570" s="26" t="s">
        <v>766</v>
      </c>
      <c r="K570" s="45">
        <v>46071</v>
      </c>
      <c r="L570" s="26">
        <v>2026400582</v>
      </c>
      <c r="M570" s="132" t="s">
        <v>197</v>
      </c>
      <c r="N570" s="26">
        <v>2026</v>
      </c>
    </row>
    <row r="571" spans="1:14">
      <c r="A571" s="26">
        <v>570</v>
      </c>
      <c r="B571" s="26" t="s">
        <v>40</v>
      </c>
      <c r="C571" s="26" t="s">
        <v>247</v>
      </c>
      <c r="D571" s="26" t="s">
        <v>58</v>
      </c>
      <c r="E571" s="26" t="s">
        <v>106</v>
      </c>
      <c r="F571" s="26"/>
      <c r="G571" s="26" t="s">
        <v>298</v>
      </c>
      <c r="H571" s="26" t="s">
        <v>266</v>
      </c>
      <c r="I571" s="50">
        <v>884.09090909090912</v>
      </c>
      <c r="J571" s="26" t="s">
        <v>767</v>
      </c>
      <c r="K571" s="45">
        <v>46109</v>
      </c>
      <c r="L571" s="26">
        <v>2026401133</v>
      </c>
      <c r="M571" s="132" t="s">
        <v>197</v>
      </c>
      <c r="N571" s="26">
        <v>2026</v>
      </c>
    </row>
    <row r="572" spans="1:14">
      <c r="A572" s="26">
        <v>571</v>
      </c>
      <c r="B572" s="26" t="s">
        <v>17</v>
      </c>
      <c r="C572" s="26" t="s">
        <v>25</v>
      </c>
      <c r="D572" s="26" t="s">
        <v>58</v>
      </c>
      <c r="E572" s="26" t="s">
        <v>106</v>
      </c>
      <c r="F572" s="26"/>
      <c r="G572" s="26" t="s">
        <v>244</v>
      </c>
      <c r="H572" s="26" t="s">
        <v>266</v>
      </c>
      <c r="I572" s="50">
        <v>974.02597402597405</v>
      </c>
      <c r="J572" s="26" t="s">
        <v>768</v>
      </c>
      <c r="K572" s="45">
        <v>46093</v>
      </c>
      <c r="L572" s="26">
        <v>2026401162</v>
      </c>
      <c r="M572" s="132" t="s">
        <v>197</v>
      </c>
      <c r="N572" s="26">
        <v>2026</v>
      </c>
    </row>
    <row r="573" spans="1:14">
      <c r="A573" s="26">
        <v>572</v>
      </c>
      <c r="B573" s="26" t="s">
        <v>40</v>
      </c>
      <c r="C573" s="26" t="s">
        <v>48</v>
      </c>
      <c r="D573" s="26" t="s">
        <v>58</v>
      </c>
      <c r="E573" s="26" t="s">
        <v>106</v>
      </c>
      <c r="F573" s="26"/>
      <c r="G573" s="26" t="s">
        <v>248</v>
      </c>
      <c r="H573" s="26" t="s">
        <v>266</v>
      </c>
      <c r="I573" s="50">
        <v>389.61038961038963</v>
      </c>
      <c r="J573" s="26" t="s">
        <v>769</v>
      </c>
      <c r="K573" s="45">
        <v>46096</v>
      </c>
      <c r="L573" s="26">
        <v>2026401219</v>
      </c>
      <c r="M573" s="132" t="s">
        <v>197</v>
      </c>
      <c r="N573" s="26">
        <v>2026</v>
      </c>
    </row>
    <row r="574" spans="1:14">
      <c r="A574" s="26">
        <v>573</v>
      </c>
      <c r="B574" s="26" t="s">
        <v>17</v>
      </c>
      <c r="C574" s="26" t="s">
        <v>18</v>
      </c>
      <c r="D574" s="26" t="s">
        <v>58</v>
      </c>
      <c r="E574" s="26" t="s">
        <v>106</v>
      </c>
      <c r="F574" s="26"/>
      <c r="G574" s="26" t="s">
        <v>752</v>
      </c>
      <c r="H574" s="26" t="s">
        <v>266</v>
      </c>
      <c r="I574" s="50">
        <v>7685.7142857142853</v>
      </c>
      <c r="J574" s="26" t="s">
        <v>225</v>
      </c>
      <c r="K574" s="45">
        <v>46114</v>
      </c>
      <c r="L574" s="26">
        <v>2026401169</v>
      </c>
      <c r="M574" s="132" t="s">
        <v>197</v>
      </c>
      <c r="N574" s="26">
        <v>2026</v>
      </c>
    </row>
    <row r="575" spans="1:14">
      <c r="A575" s="26">
        <v>574</v>
      </c>
      <c r="B575" s="26" t="s">
        <v>50</v>
      </c>
      <c r="C575" s="26" t="s">
        <v>60</v>
      </c>
      <c r="D575" s="26" t="s">
        <v>58</v>
      </c>
      <c r="E575" s="26" t="s">
        <v>106</v>
      </c>
      <c r="F575" s="26"/>
      <c r="G575" s="26" t="s">
        <v>755</v>
      </c>
      <c r="H575" s="26" t="s">
        <v>266</v>
      </c>
      <c r="I575" s="50">
        <v>3000</v>
      </c>
      <c r="J575" s="26" t="s">
        <v>770</v>
      </c>
      <c r="K575" s="45">
        <v>46093</v>
      </c>
      <c r="L575" s="26">
        <v>2026400596</v>
      </c>
      <c r="M575" s="132" t="s">
        <v>197</v>
      </c>
      <c r="N575" s="26">
        <v>2026</v>
      </c>
    </row>
    <row r="576" spans="1:14">
      <c r="A576" s="26">
        <v>575</v>
      </c>
      <c r="B576" s="26" t="s">
        <v>17</v>
      </c>
      <c r="C576" s="26" t="s">
        <v>18</v>
      </c>
      <c r="D576" s="26" t="s">
        <v>19</v>
      </c>
      <c r="E576" s="26" t="s">
        <v>106</v>
      </c>
      <c r="F576" s="26"/>
      <c r="G576" s="26" t="s">
        <v>85</v>
      </c>
      <c r="H576" s="26" t="s">
        <v>265</v>
      </c>
      <c r="I576" s="50">
        <v>946.7532467532468</v>
      </c>
      <c r="J576" s="26" t="s">
        <v>14</v>
      </c>
      <c r="K576" s="45" t="s">
        <v>14</v>
      </c>
      <c r="L576" s="26" t="s">
        <v>14</v>
      </c>
      <c r="M576" s="132" t="s">
        <v>197</v>
      </c>
      <c r="N576" s="26">
        <v>2026</v>
      </c>
    </row>
    <row r="577" spans="1:14">
      <c r="A577" s="26">
        <v>576</v>
      </c>
      <c r="B577" s="26" t="s">
        <v>17</v>
      </c>
      <c r="C577" s="26" t="s">
        <v>25</v>
      </c>
      <c r="D577" s="26" t="s">
        <v>19</v>
      </c>
      <c r="E577" s="26" t="s">
        <v>106</v>
      </c>
      <c r="F577" s="26"/>
      <c r="G577" s="26" t="s">
        <v>85</v>
      </c>
      <c r="H577" s="26" t="s">
        <v>265</v>
      </c>
      <c r="I577" s="50">
        <v>4812.6623376623374</v>
      </c>
      <c r="J577" s="26" t="s">
        <v>14</v>
      </c>
      <c r="K577" s="45" t="s">
        <v>14</v>
      </c>
      <c r="L577" s="26" t="s">
        <v>14</v>
      </c>
      <c r="M577" s="132" t="s">
        <v>197</v>
      </c>
      <c r="N577" s="26">
        <v>2026</v>
      </c>
    </row>
    <row r="578" spans="1:14">
      <c r="A578" s="26">
        <v>577</v>
      </c>
      <c r="B578" s="26" t="s">
        <v>17</v>
      </c>
      <c r="C578" s="26" t="s">
        <v>22</v>
      </c>
      <c r="D578" s="26" t="s">
        <v>19</v>
      </c>
      <c r="E578" s="26" t="s">
        <v>106</v>
      </c>
      <c r="F578" s="26"/>
      <c r="G578" s="26" t="s">
        <v>85</v>
      </c>
      <c r="H578" s="26" t="s">
        <v>265</v>
      </c>
      <c r="I578" s="50">
        <v>22258.344155844155</v>
      </c>
      <c r="J578" s="26" t="s">
        <v>14</v>
      </c>
      <c r="K578" s="45" t="s">
        <v>14</v>
      </c>
      <c r="L578" s="26" t="s">
        <v>14</v>
      </c>
      <c r="M578" s="132" t="s">
        <v>197</v>
      </c>
      <c r="N578" s="26">
        <v>2026</v>
      </c>
    </row>
    <row r="579" spans="1:14">
      <c r="A579" s="26">
        <v>578</v>
      </c>
      <c r="B579" s="26" t="s">
        <v>33</v>
      </c>
      <c r="C579" s="26" t="s">
        <v>35</v>
      </c>
      <c r="D579" s="26" t="s">
        <v>19</v>
      </c>
      <c r="E579" s="26" t="s">
        <v>106</v>
      </c>
      <c r="F579" s="26"/>
      <c r="G579" s="26" t="s">
        <v>85</v>
      </c>
      <c r="H579" s="26" t="s">
        <v>265</v>
      </c>
      <c r="I579" s="50">
        <v>2051.2987012987014</v>
      </c>
      <c r="J579" s="26" t="s">
        <v>14</v>
      </c>
      <c r="K579" s="45" t="s">
        <v>14</v>
      </c>
      <c r="L579" s="26" t="s">
        <v>14</v>
      </c>
      <c r="M579" s="132" t="s">
        <v>197</v>
      </c>
      <c r="N579" s="26">
        <v>2026</v>
      </c>
    </row>
    <row r="580" spans="1:14">
      <c r="A580" s="26">
        <v>579</v>
      </c>
      <c r="B580" s="26" t="s">
        <v>40</v>
      </c>
      <c r="C580" s="26" t="s">
        <v>45</v>
      </c>
      <c r="D580" s="26" t="s">
        <v>19</v>
      </c>
      <c r="E580" s="26" t="s">
        <v>106</v>
      </c>
      <c r="F580" s="26"/>
      <c r="G580" s="26" t="s">
        <v>85</v>
      </c>
      <c r="H580" s="26" t="s">
        <v>265</v>
      </c>
      <c r="I580" s="50">
        <v>22012.012987012986</v>
      </c>
      <c r="J580" s="26" t="s">
        <v>14</v>
      </c>
      <c r="K580" s="45" t="s">
        <v>14</v>
      </c>
      <c r="L580" s="26" t="s">
        <v>14</v>
      </c>
      <c r="M580" s="132" t="s">
        <v>197</v>
      </c>
      <c r="N580" s="26">
        <v>2026</v>
      </c>
    </row>
    <row r="581" spans="1:14">
      <c r="A581" s="26">
        <v>580</v>
      </c>
      <c r="B581" s="26" t="s">
        <v>40</v>
      </c>
      <c r="C581" s="26" t="s">
        <v>247</v>
      </c>
      <c r="D581" s="26" t="s">
        <v>19</v>
      </c>
      <c r="E581" s="26" t="s">
        <v>106</v>
      </c>
      <c r="F581" s="26"/>
      <c r="G581" s="26" t="s">
        <v>85</v>
      </c>
      <c r="H581" s="26" t="s">
        <v>265</v>
      </c>
      <c r="I581" s="50">
        <v>2366.8831168831171</v>
      </c>
      <c r="J581" s="26" t="s">
        <v>14</v>
      </c>
      <c r="K581" s="45" t="s">
        <v>14</v>
      </c>
      <c r="L581" s="26" t="s">
        <v>14</v>
      </c>
      <c r="M581" s="132" t="s">
        <v>197</v>
      </c>
      <c r="N581" s="26">
        <v>2026</v>
      </c>
    </row>
    <row r="582" spans="1:14">
      <c r="A582" s="26">
        <v>581</v>
      </c>
      <c r="B582" s="26" t="s">
        <v>50</v>
      </c>
      <c r="C582" s="26" t="s">
        <v>60</v>
      </c>
      <c r="D582" s="26" t="s">
        <v>19</v>
      </c>
      <c r="E582" s="26" t="s">
        <v>106</v>
      </c>
      <c r="F582" s="26"/>
      <c r="G582" s="26" t="s">
        <v>85</v>
      </c>
      <c r="H582" s="26" t="s">
        <v>730</v>
      </c>
      <c r="I582" s="50">
        <v>55605.974025974028</v>
      </c>
      <c r="J582" s="26" t="s">
        <v>14</v>
      </c>
      <c r="K582" s="45" t="s">
        <v>14</v>
      </c>
      <c r="L582" s="26" t="s">
        <v>14</v>
      </c>
      <c r="M582" s="132" t="s">
        <v>197</v>
      </c>
      <c r="N582" s="26">
        <v>2026</v>
      </c>
    </row>
    <row r="583" spans="1:14">
      <c r="A583" s="26">
        <v>582</v>
      </c>
      <c r="B583" s="26" t="s">
        <v>50</v>
      </c>
      <c r="C583" s="26" t="s">
        <v>60</v>
      </c>
      <c r="D583" s="26" t="s">
        <v>19</v>
      </c>
      <c r="E583" s="26" t="s">
        <v>106</v>
      </c>
      <c r="F583" s="26"/>
      <c r="G583" s="26" t="s">
        <v>85</v>
      </c>
      <c r="H583" s="26" t="s">
        <v>731</v>
      </c>
      <c r="I583" s="50">
        <v>11818.636363636364</v>
      </c>
      <c r="J583" s="26" t="s">
        <v>14</v>
      </c>
      <c r="K583" s="45" t="s">
        <v>14</v>
      </c>
      <c r="L583" s="26" t="s">
        <v>14</v>
      </c>
      <c r="M583" s="132" t="s">
        <v>197</v>
      </c>
      <c r="N583" s="26">
        <v>2026</v>
      </c>
    </row>
    <row r="584" spans="1:14">
      <c r="A584" s="26">
        <v>583</v>
      </c>
      <c r="B584" s="26" t="s">
        <v>50</v>
      </c>
      <c r="C584" s="26" t="s">
        <v>60</v>
      </c>
      <c r="D584" s="26" t="s">
        <v>19</v>
      </c>
      <c r="E584" s="26" t="s">
        <v>106</v>
      </c>
      <c r="F584" s="26"/>
      <c r="G584" s="26" t="s">
        <v>85</v>
      </c>
      <c r="H584" s="26" t="s">
        <v>732</v>
      </c>
      <c r="I584" s="50">
        <v>7858.0519480519479</v>
      </c>
      <c r="J584" s="26" t="s">
        <v>14</v>
      </c>
      <c r="K584" s="45" t="s">
        <v>14</v>
      </c>
      <c r="L584" s="26" t="s">
        <v>14</v>
      </c>
      <c r="M584" s="132" t="s">
        <v>197</v>
      </c>
      <c r="N584" s="26">
        <v>2026</v>
      </c>
    </row>
    <row r="585" spans="1:14">
      <c r="A585" s="26">
        <v>584</v>
      </c>
      <c r="B585" s="26" t="s">
        <v>50</v>
      </c>
      <c r="C585" s="26" t="s">
        <v>60</v>
      </c>
      <c r="D585" s="26" t="s">
        <v>19</v>
      </c>
      <c r="E585" s="26" t="s">
        <v>106</v>
      </c>
      <c r="F585" s="26"/>
      <c r="G585" s="26" t="s">
        <v>85</v>
      </c>
      <c r="H585" s="26" t="s">
        <v>733</v>
      </c>
      <c r="I585" s="50">
        <v>2792.9220779220777</v>
      </c>
      <c r="J585" s="26" t="s">
        <v>14</v>
      </c>
      <c r="K585" s="45" t="s">
        <v>14</v>
      </c>
      <c r="L585" s="26" t="s">
        <v>14</v>
      </c>
      <c r="M585" s="132" t="s">
        <v>197</v>
      </c>
      <c r="N585" s="26">
        <v>2026</v>
      </c>
    </row>
    <row r="586" spans="1:14">
      <c r="A586" s="26">
        <v>585</v>
      </c>
      <c r="B586" s="26" t="s">
        <v>50</v>
      </c>
      <c r="C586" s="26" t="s">
        <v>60</v>
      </c>
      <c r="D586" s="26" t="s">
        <v>19</v>
      </c>
      <c r="E586" s="26" t="s">
        <v>106</v>
      </c>
      <c r="F586" s="26"/>
      <c r="G586" s="26" t="s">
        <v>85</v>
      </c>
      <c r="H586" s="26" t="s">
        <v>734</v>
      </c>
      <c r="I586" s="50">
        <v>3550.3246753246754</v>
      </c>
      <c r="J586" s="26" t="s">
        <v>14</v>
      </c>
      <c r="K586" s="45" t="s">
        <v>14</v>
      </c>
      <c r="L586" s="26" t="s">
        <v>14</v>
      </c>
      <c r="M586" s="132" t="s">
        <v>197</v>
      </c>
      <c r="N586" s="26">
        <v>2026</v>
      </c>
    </row>
    <row r="587" spans="1:14">
      <c r="A587" s="26">
        <v>586</v>
      </c>
      <c r="B587" s="60" t="s">
        <v>17</v>
      </c>
      <c r="C587" s="26" t="s">
        <v>22</v>
      </c>
      <c r="D587" s="26" t="s">
        <v>19</v>
      </c>
      <c r="E587" s="26" t="s">
        <v>104</v>
      </c>
      <c r="F587" s="26"/>
      <c r="G587" s="26" t="s">
        <v>83</v>
      </c>
      <c r="H587" s="26" t="s">
        <v>105</v>
      </c>
      <c r="I587" s="44">
        <v>3612.9870129870133</v>
      </c>
      <c r="J587" s="26" t="s">
        <v>14</v>
      </c>
      <c r="K587" s="45" t="s">
        <v>14</v>
      </c>
      <c r="L587" s="26" t="s">
        <v>14</v>
      </c>
      <c r="M587" s="132" t="s">
        <v>197</v>
      </c>
      <c r="N587" s="26">
        <v>2026</v>
      </c>
    </row>
    <row r="588" spans="1:14">
      <c r="A588" s="26">
        <v>587</v>
      </c>
      <c r="B588" s="60" t="s">
        <v>17</v>
      </c>
      <c r="C588" s="26" t="s">
        <v>24</v>
      </c>
      <c r="D588" s="26" t="s">
        <v>19</v>
      </c>
      <c r="E588" s="26" t="s">
        <v>104</v>
      </c>
      <c r="F588" s="26"/>
      <c r="G588" s="26" t="s">
        <v>83</v>
      </c>
      <c r="H588" s="26" t="s">
        <v>105</v>
      </c>
      <c r="I588" s="44">
        <v>607.79220779220782</v>
      </c>
      <c r="J588" s="26" t="s">
        <v>14</v>
      </c>
      <c r="K588" s="45" t="s">
        <v>14</v>
      </c>
      <c r="L588" s="26" t="s">
        <v>14</v>
      </c>
      <c r="M588" s="132" t="s">
        <v>197</v>
      </c>
      <c r="N588" s="26">
        <v>2026</v>
      </c>
    </row>
    <row r="589" spans="1:14">
      <c r="A589" s="26">
        <v>588</v>
      </c>
      <c r="B589" s="60" t="s">
        <v>17</v>
      </c>
      <c r="C589" s="26" t="s">
        <v>25</v>
      </c>
      <c r="D589" s="26" t="s">
        <v>19</v>
      </c>
      <c r="E589" s="26" t="s">
        <v>104</v>
      </c>
      <c r="F589" s="26"/>
      <c r="G589" s="26" t="s">
        <v>83</v>
      </c>
      <c r="H589" s="26" t="s">
        <v>105</v>
      </c>
      <c r="I589" s="44">
        <v>11514.285714285716</v>
      </c>
      <c r="J589" s="26" t="s">
        <v>14</v>
      </c>
      <c r="K589" s="45" t="s">
        <v>14</v>
      </c>
      <c r="L589" s="26" t="s">
        <v>14</v>
      </c>
      <c r="M589" s="132" t="s">
        <v>197</v>
      </c>
      <c r="N589" s="26">
        <v>2026</v>
      </c>
    </row>
    <row r="590" spans="1:14">
      <c r="A590" s="26">
        <v>589</v>
      </c>
      <c r="B590" s="26" t="s">
        <v>31</v>
      </c>
      <c r="C590" s="26" t="s">
        <v>32</v>
      </c>
      <c r="D590" s="26" t="s">
        <v>19</v>
      </c>
      <c r="E590" s="26" t="s">
        <v>104</v>
      </c>
      <c r="F590" s="26"/>
      <c r="G590" s="26" t="s">
        <v>83</v>
      </c>
      <c r="H590" s="26" t="s">
        <v>105</v>
      </c>
      <c r="I590" s="44">
        <v>675.32467532467535</v>
      </c>
      <c r="J590" s="26" t="s">
        <v>14</v>
      </c>
      <c r="K590" s="45" t="s">
        <v>14</v>
      </c>
      <c r="L590" s="26" t="s">
        <v>14</v>
      </c>
      <c r="M590" s="132" t="s">
        <v>197</v>
      </c>
      <c r="N590" s="26">
        <v>2026</v>
      </c>
    </row>
    <row r="591" spans="1:14">
      <c r="A591" s="26">
        <v>590</v>
      </c>
      <c r="B591" s="26" t="s">
        <v>31</v>
      </c>
      <c r="C591" s="26" t="s">
        <v>32</v>
      </c>
      <c r="D591" s="26" t="s">
        <v>19</v>
      </c>
      <c r="E591" s="26" t="s">
        <v>104</v>
      </c>
      <c r="F591" s="26"/>
      <c r="G591" s="26" t="s">
        <v>83</v>
      </c>
      <c r="H591" s="26" t="s">
        <v>105</v>
      </c>
      <c r="I591" s="44">
        <v>1316.8831168831171</v>
      </c>
      <c r="J591" s="26" t="s">
        <v>14</v>
      </c>
      <c r="K591" s="45" t="s">
        <v>14</v>
      </c>
      <c r="L591" s="26" t="s">
        <v>14</v>
      </c>
      <c r="M591" s="132" t="s">
        <v>197</v>
      </c>
      <c r="N591" s="26">
        <v>2026</v>
      </c>
    </row>
    <row r="592" spans="1:14">
      <c r="A592" s="26">
        <v>591</v>
      </c>
      <c r="B592" s="26" t="s">
        <v>40</v>
      </c>
      <c r="C592" s="26" t="s">
        <v>247</v>
      </c>
      <c r="D592" s="26" t="s">
        <v>19</v>
      </c>
      <c r="E592" s="26" t="s">
        <v>104</v>
      </c>
      <c r="F592" s="26"/>
      <c r="G592" s="26" t="s">
        <v>83</v>
      </c>
      <c r="H592" s="26" t="s">
        <v>105</v>
      </c>
      <c r="I592" s="44">
        <v>641.55844155844159</v>
      </c>
      <c r="J592" s="26" t="s">
        <v>14</v>
      </c>
      <c r="K592" s="45" t="s">
        <v>14</v>
      </c>
      <c r="L592" s="26" t="s">
        <v>14</v>
      </c>
      <c r="M592" s="132" t="s">
        <v>197</v>
      </c>
      <c r="N592" s="26">
        <v>2026</v>
      </c>
    </row>
    <row r="593" spans="1:14">
      <c r="A593" s="26">
        <v>592</v>
      </c>
      <c r="B593" s="26" t="s">
        <v>33</v>
      </c>
      <c r="C593" s="26" t="s">
        <v>34</v>
      </c>
      <c r="D593" s="26" t="s">
        <v>19</v>
      </c>
      <c r="E593" s="26" t="s">
        <v>104</v>
      </c>
      <c r="F593" s="26"/>
      <c r="G593" s="26" t="s">
        <v>83</v>
      </c>
      <c r="H593" s="26" t="s">
        <v>105</v>
      </c>
      <c r="I593" s="44">
        <v>675.32467532467535</v>
      </c>
      <c r="J593" s="26" t="s">
        <v>14</v>
      </c>
      <c r="K593" s="45" t="s">
        <v>14</v>
      </c>
      <c r="L593" s="26" t="s">
        <v>14</v>
      </c>
      <c r="M593" s="132" t="s">
        <v>197</v>
      </c>
      <c r="N593" s="26">
        <v>2026</v>
      </c>
    </row>
    <row r="594" spans="1:14">
      <c r="A594" s="26">
        <v>593</v>
      </c>
      <c r="B594" s="26" t="s">
        <v>40</v>
      </c>
      <c r="C594" s="26" t="s">
        <v>49</v>
      </c>
      <c r="D594" s="26" t="s">
        <v>58</v>
      </c>
      <c r="E594" s="26" t="s">
        <v>104</v>
      </c>
      <c r="F594" s="26"/>
      <c r="G594" s="26" t="s">
        <v>88</v>
      </c>
      <c r="H594" s="26" t="s">
        <v>105</v>
      </c>
      <c r="I594" s="50">
        <f>1950000/1540</f>
        <v>1266.2337662337663</v>
      </c>
      <c r="J594" s="80">
        <v>2540</v>
      </c>
      <c r="K594" s="81">
        <v>46112</v>
      </c>
      <c r="L594" s="26" t="s">
        <v>14</v>
      </c>
      <c r="M594" s="132" t="s">
        <v>197</v>
      </c>
      <c r="N594" s="26">
        <v>2026</v>
      </c>
    </row>
    <row r="595" spans="1:14">
      <c r="A595" s="26">
        <v>594</v>
      </c>
      <c r="B595" s="26" t="s">
        <v>50</v>
      </c>
      <c r="C595" s="26" t="s">
        <v>60</v>
      </c>
      <c r="D595" s="26" t="s">
        <v>58</v>
      </c>
      <c r="E595" s="26" t="s">
        <v>108</v>
      </c>
      <c r="F595" s="26"/>
      <c r="G595" s="26" t="s">
        <v>737</v>
      </c>
      <c r="H595" s="26"/>
      <c r="I595" s="50">
        <v>20578</v>
      </c>
      <c r="J595" s="26" t="s">
        <v>741</v>
      </c>
      <c r="K595" s="45">
        <v>46083</v>
      </c>
      <c r="L595" s="26">
        <v>2026400693</v>
      </c>
      <c r="M595" s="147" t="s">
        <v>197</v>
      </c>
      <c r="N595" s="26">
        <v>2026</v>
      </c>
    </row>
    <row r="596" spans="1:14">
      <c r="A596" s="26">
        <v>595</v>
      </c>
      <c r="B596" s="26" t="s">
        <v>40</v>
      </c>
      <c r="C596" s="127" t="s">
        <v>48</v>
      </c>
      <c r="D596" s="26" t="s">
        <v>58</v>
      </c>
      <c r="E596" s="26" t="s">
        <v>108</v>
      </c>
      <c r="F596" s="26"/>
      <c r="G596" s="26" t="s">
        <v>738</v>
      </c>
      <c r="H596" s="26"/>
      <c r="I596" s="50">
        <v>13184</v>
      </c>
      <c r="J596" s="80" t="s">
        <v>742</v>
      </c>
      <c r="K596" s="81">
        <v>46088</v>
      </c>
      <c r="L596" s="80">
        <v>2026400597</v>
      </c>
      <c r="M596" s="147" t="s">
        <v>197</v>
      </c>
      <c r="N596" s="26">
        <v>2026</v>
      </c>
    </row>
    <row r="597" spans="1:14">
      <c r="A597" s="26">
        <v>596</v>
      </c>
      <c r="B597" s="127" t="s">
        <v>52</v>
      </c>
      <c r="C597" s="127" t="s">
        <v>90</v>
      </c>
      <c r="D597" s="26" t="s">
        <v>58</v>
      </c>
      <c r="E597" s="26" t="s">
        <v>108</v>
      </c>
      <c r="F597" s="26"/>
      <c r="G597" s="26" t="s">
        <v>739</v>
      </c>
      <c r="H597" s="26"/>
      <c r="I597" s="50">
        <f>57000000/1540</f>
        <v>37012.987012987011</v>
      </c>
      <c r="J597" s="148" t="s">
        <v>743</v>
      </c>
      <c r="K597" s="149">
        <v>46093</v>
      </c>
      <c r="L597" s="80">
        <v>2026400893</v>
      </c>
      <c r="M597" s="147" t="s">
        <v>197</v>
      </c>
      <c r="N597" s="26">
        <v>2026</v>
      </c>
    </row>
    <row r="598" spans="1:14">
      <c r="A598" s="26">
        <v>597</v>
      </c>
      <c r="B598" s="26" t="s">
        <v>52</v>
      </c>
      <c r="C598" s="26" t="s">
        <v>90</v>
      </c>
      <c r="D598" s="26" t="s">
        <v>58</v>
      </c>
      <c r="E598" s="26" t="s">
        <v>108</v>
      </c>
      <c r="F598" s="26"/>
      <c r="G598" s="26" t="s">
        <v>739</v>
      </c>
      <c r="H598" s="26"/>
      <c r="I598" s="50">
        <f>28000000/1540</f>
        <v>18181.81818181818</v>
      </c>
      <c r="J598" s="26" t="s">
        <v>744</v>
      </c>
      <c r="K598" s="45">
        <v>46093</v>
      </c>
      <c r="L598" s="26">
        <v>2026400891</v>
      </c>
      <c r="M598" s="147" t="s">
        <v>197</v>
      </c>
      <c r="N598" s="26">
        <v>2026</v>
      </c>
    </row>
    <row r="599" spans="1:14">
      <c r="A599" s="26">
        <v>598</v>
      </c>
      <c r="B599" s="127" t="s">
        <v>52</v>
      </c>
      <c r="C599" s="127" t="s">
        <v>90</v>
      </c>
      <c r="D599" s="26" t="s">
        <v>58</v>
      </c>
      <c r="E599" s="26" t="s">
        <v>108</v>
      </c>
      <c r="F599" s="26"/>
      <c r="G599" s="127" t="s">
        <v>739</v>
      </c>
      <c r="H599" s="84"/>
      <c r="I599" s="86">
        <f>32000000/1540</f>
        <v>20779.220779220781</v>
      </c>
      <c r="J599" s="84" t="s">
        <v>745</v>
      </c>
      <c r="K599" s="87">
        <v>46093</v>
      </c>
      <c r="L599" s="84">
        <v>2026400892</v>
      </c>
      <c r="M599" s="147" t="s">
        <v>197</v>
      </c>
      <c r="N599" s="26">
        <v>2026</v>
      </c>
    </row>
    <row r="600" spans="1:14">
      <c r="A600" s="26">
        <v>599</v>
      </c>
      <c r="B600" s="127" t="s">
        <v>17</v>
      </c>
      <c r="C600" s="127" t="s">
        <v>24</v>
      </c>
      <c r="D600" s="26" t="s">
        <v>58</v>
      </c>
      <c r="E600" s="26" t="s">
        <v>108</v>
      </c>
      <c r="F600" s="26"/>
      <c r="G600" s="127" t="s">
        <v>740</v>
      </c>
      <c r="H600" s="84"/>
      <c r="I600" s="86">
        <f>112560000/1540</f>
        <v>73090.909090909088</v>
      </c>
      <c r="J600" s="84" t="s">
        <v>746</v>
      </c>
      <c r="K600" s="87">
        <v>46092</v>
      </c>
      <c r="L600" s="84">
        <v>2026400031</v>
      </c>
      <c r="M600" s="147" t="s">
        <v>197</v>
      </c>
      <c r="N600" s="26">
        <v>2026</v>
      </c>
    </row>
    <row r="601" spans="1:14">
      <c r="A601" s="26">
        <v>600</v>
      </c>
      <c r="B601" s="147" t="s">
        <v>40</v>
      </c>
      <c r="C601" s="147" t="s">
        <v>48</v>
      </c>
      <c r="D601" s="26" t="s">
        <v>58</v>
      </c>
      <c r="E601" s="26" t="s">
        <v>108</v>
      </c>
      <c r="F601" s="26"/>
      <c r="G601" s="127" t="s">
        <v>747</v>
      </c>
      <c r="H601" s="84"/>
      <c r="I601" s="50">
        <f>8750000/1540</f>
        <v>5681.818181818182</v>
      </c>
      <c r="J601" s="84" t="s">
        <v>14</v>
      </c>
      <c r="K601" s="87">
        <v>46091</v>
      </c>
      <c r="L601" s="84">
        <v>2026401204</v>
      </c>
      <c r="M601" s="147" t="s">
        <v>197</v>
      </c>
      <c r="N601" s="26">
        <v>2026</v>
      </c>
    </row>
    <row r="602" spans="1:14">
      <c r="A602" s="26">
        <v>601</v>
      </c>
      <c r="B602" s="26" t="s">
        <v>52</v>
      </c>
      <c r="C602" s="26" t="s">
        <v>53</v>
      </c>
      <c r="D602" s="26" t="s">
        <v>19</v>
      </c>
      <c r="E602" s="26" t="s">
        <v>108</v>
      </c>
      <c r="F602" s="26"/>
      <c r="G602" s="26" t="s">
        <v>272</v>
      </c>
      <c r="H602" s="26"/>
      <c r="I602" s="50">
        <v>127524</v>
      </c>
      <c r="J602" s="26" t="s">
        <v>14</v>
      </c>
      <c r="K602" s="45" t="s">
        <v>14</v>
      </c>
      <c r="L602" s="26" t="s">
        <v>14</v>
      </c>
      <c r="M602" s="147" t="s">
        <v>197</v>
      </c>
      <c r="N602" s="26">
        <v>2026</v>
      </c>
    </row>
    <row r="603" spans="1:14">
      <c r="A603" s="26">
        <v>602</v>
      </c>
      <c r="B603" s="26" t="s">
        <v>50</v>
      </c>
      <c r="C603" s="26" t="s">
        <v>60</v>
      </c>
      <c r="D603" s="26" t="s">
        <v>19</v>
      </c>
      <c r="E603" s="26" t="s">
        <v>108</v>
      </c>
      <c r="F603" s="26"/>
      <c r="G603" s="26" t="s">
        <v>229</v>
      </c>
      <c r="H603" s="26"/>
      <c r="I603" s="50">
        <v>160000</v>
      </c>
      <c r="J603" s="26" t="s">
        <v>14</v>
      </c>
      <c r="K603" s="45" t="s">
        <v>14</v>
      </c>
      <c r="L603" s="26" t="s">
        <v>14</v>
      </c>
      <c r="M603" s="147" t="s">
        <v>197</v>
      </c>
      <c r="N603" s="26">
        <v>2026</v>
      </c>
    </row>
    <row r="604" spans="1:14">
      <c r="A604" s="26">
        <v>603</v>
      </c>
      <c r="B604" s="26" t="s">
        <v>40</v>
      </c>
      <c r="C604" s="26" t="s">
        <v>43</v>
      </c>
      <c r="D604" s="26" t="s">
        <v>19</v>
      </c>
      <c r="E604" s="26" t="s">
        <v>108</v>
      </c>
      <c r="F604" s="26"/>
      <c r="G604" s="26" t="s">
        <v>229</v>
      </c>
      <c r="H604" s="26"/>
      <c r="I604" s="50">
        <v>65000</v>
      </c>
      <c r="J604" s="26" t="s">
        <v>14</v>
      </c>
      <c r="K604" s="45" t="s">
        <v>14</v>
      </c>
      <c r="L604" s="26" t="s">
        <v>14</v>
      </c>
      <c r="M604" s="147" t="s">
        <v>197</v>
      </c>
      <c r="N604" s="26">
        <v>2026</v>
      </c>
    </row>
    <row r="605" spans="1:14">
      <c r="A605" s="26">
        <v>604</v>
      </c>
      <c r="B605" s="26" t="s">
        <v>17</v>
      </c>
      <c r="C605" s="26" t="s">
        <v>25</v>
      </c>
      <c r="D605" s="26" t="s">
        <v>19</v>
      </c>
      <c r="E605" s="26" t="s">
        <v>108</v>
      </c>
      <c r="F605" s="26"/>
      <c r="G605" s="26" t="s">
        <v>771</v>
      </c>
      <c r="H605" s="26"/>
      <c r="I605" s="50">
        <v>68255</v>
      </c>
      <c r="J605" s="26" t="s">
        <v>14</v>
      </c>
      <c r="K605" s="45" t="s">
        <v>14</v>
      </c>
      <c r="L605" s="26" t="s">
        <v>14</v>
      </c>
      <c r="M605" s="147" t="s">
        <v>197</v>
      </c>
      <c r="N605" s="26">
        <v>2026</v>
      </c>
    </row>
    <row r="606" spans="1:14">
      <c r="A606" s="26">
        <v>605</v>
      </c>
      <c r="B606" s="26" t="s">
        <v>52</v>
      </c>
      <c r="C606" s="26" t="s">
        <v>53</v>
      </c>
      <c r="D606" s="26" t="s">
        <v>58</v>
      </c>
      <c r="E606" s="26" t="s">
        <v>250</v>
      </c>
      <c r="F606" s="26"/>
      <c r="G606" s="80" t="s">
        <v>410</v>
      </c>
      <c r="H606" s="26" t="s">
        <v>250</v>
      </c>
      <c r="I606" s="47">
        <v>2000</v>
      </c>
      <c r="J606" s="80" t="s">
        <v>415</v>
      </c>
      <c r="K606" s="81">
        <v>46083</v>
      </c>
      <c r="L606" s="80">
        <v>2026400748</v>
      </c>
      <c r="M606" s="132" t="s">
        <v>197</v>
      </c>
      <c r="N606" s="26">
        <v>2026</v>
      </c>
    </row>
    <row r="607" spans="1:14">
      <c r="A607" s="26">
        <v>606</v>
      </c>
      <c r="B607" s="26" t="s">
        <v>52</v>
      </c>
      <c r="C607" s="26" t="s">
        <v>53</v>
      </c>
      <c r="D607" s="26" t="s">
        <v>58</v>
      </c>
      <c r="E607" s="26" t="s">
        <v>250</v>
      </c>
      <c r="F607" s="26"/>
      <c r="G607" s="80" t="s">
        <v>411</v>
      </c>
      <c r="H607" s="26" t="s">
        <v>250</v>
      </c>
      <c r="I607" s="47">
        <v>2260</v>
      </c>
      <c r="J607" s="80" t="s">
        <v>416</v>
      </c>
      <c r="K607" s="81">
        <v>46084</v>
      </c>
      <c r="L607" s="80">
        <v>2026400747</v>
      </c>
      <c r="M607" s="132" t="s">
        <v>197</v>
      </c>
      <c r="N607" s="26">
        <v>2026</v>
      </c>
    </row>
    <row r="608" spans="1:14">
      <c r="A608" s="26">
        <v>607</v>
      </c>
      <c r="B608" s="26" t="s">
        <v>52</v>
      </c>
      <c r="C608" s="26" t="s">
        <v>53</v>
      </c>
      <c r="D608" s="26" t="s">
        <v>58</v>
      </c>
      <c r="E608" s="26" t="s">
        <v>250</v>
      </c>
      <c r="F608" s="26"/>
      <c r="G608" s="26" t="s">
        <v>412</v>
      </c>
      <c r="H608" s="26" t="s">
        <v>250</v>
      </c>
      <c r="I608" s="47">
        <v>3616.8831168831171</v>
      </c>
      <c r="J608" s="26" t="s">
        <v>417</v>
      </c>
      <c r="K608" s="45">
        <v>46085</v>
      </c>
      <c r="L608" s="26">
        <v>2026400785</v>
      </c>
      <c r="M608" s="132" t="s">
        <v>197</v>
      </c>
      <c r="N608" s="26">
        <v>2026</v>
      </c>
    </row>
    <row r="609" spans="1:14">
      <c r="A609" s="26">
        <v>608</v>
      </c>
      <c r="B609" s="26" t="s">
        <v>52</v>
      </c>
      <c r="C609" s="26" t="s">
        <v>53</v>
      </c>
      <c r="D609" s="26" t="s">
        <v>58</v>
      </c>
      <c r="E609" s="26" t="s">
        <v>250</v>
      </c>
      <c r="F609" s="26"/>
      <c r="G609" s="26" t="s">
        <v>413</v>
      </c>
      <c r="H609" s="26" t="s">
        <v>250</v>
      </c>
      <c r="I609" s="47">
        <v>6500</v>
      </c>
      <c r="J609" s="26" t="s">
        <v>418</v>
      </c>
      <c r="K609" s="45">
        <v>46083</v>
      </c>
      <c r="L609" s="26">
        <v>2026400721</v>
      </c>
      <c r="M609" s="132" t="s">
        <v>197</v>
      </c>
      <c r="N609" s="26">
        <v>2026</v>
      </c>
    </row>
    <row r="610" spans="1:14">
      <c r="A610" s="26">
        <v>609</v>
      </c>
      <c r="B610" s="26" t="s">
        <v>52</v>
      </c>
      <c r="C610" s="26" t="s">
        <v>53</v>
      </c>
      <c r="D610" s="26" t="s">
        <v>58</v>
      </c>
      <c r="E610" s="26" t="s">
        <v>250</v>
      </c>
      <c r="F610" s="26"/>
      <c r="G610" s="26" t="s">
        <v>271</v>
      </c>
      <c r="H610" s="26" t="s">
        <v>250</v>
      </c>
      <c r="I610" s="47">
        <v>795.4545454545455</v>
      </c>
      <c r="J610" s="26" t="s">
        <v>419</v>
      </c>
      <c r="K610" s="45">
        <v>46085</v>
      </c>
      <c r="L610" s="26">
        <v>2026400752</v>
      </c>
      <c r="M610" s="132" t="s">
        <v>197</v>
      </c>
      <c r="N610" s="26">
        <v>2026</v>
      </c>
    </row>
    <row r="611" spans="1:14">
      <c r="A611" s="26">
        <v>610</v>
      </c>
      <c r="B611" s="26" t="s">
        <v>52</v>
      </c>
      <c r="C611" s="26" t="s">
        <v>53</v>
      </c>
      <c r="D611" s="26" t="s">
        <v>58</v>
      </c>
      <c r="E611" s="26" t="s">
        <v>250</v>
      </c>
      <c r="F611" s="26"/>
      <c r="G611" s="26" t="s">
        <v>182</v>
      </c>
      <c r="H611" s="26" t="s">
        <v>250</v>
      </c>
      <c r="I611" s="47">
        <v>8754</v>
      </c>
      <c r="J611" s="26" t="s">
        <v>420</v>
      </c>
      <c r="K611" s="45">
        <v>46090</v>
      </c>
      <c r="L611" s="26">
        <v>2026400749</v>
      </c>
      <c r="M611" s="132" t="s">
        <v>197</v>
      </c>
      <c r="N611" s="26">
        <v>2026</v>
      </c>
    </row>
    <row r="612" spans="1:14">
      <c r="A612" s="26">
        <v>611</v>
      </c>
      <c r="B612" s="26" t="s">
        <v>52</v>
      </c>
      <c r="C612" s="26" t="s">
        <v>53</v>
      </c>
      <c r="D612" s="26" t="s">
        <v>58</v>
      </c>
      <c r="E612" s="26" t="s">
        <v>250</v>
      </c>
      <c r="F612" s="26"/>
      <c r="G612" s="26" t="s">
        <v>413</v>
      </c>
      <c r="H612" s="26" t="s">
        <v>250</v>
      </c>
      <c r="I612" s="47">
        <v>21080</v>
      </c>
      <c r="J612" s="26" t="s">
        <v>421</v>
      </c>
      <c r="K612" s="45">
        <v>46094</v>
      </c>
      <c r="L612" s="26">
        <v>2026400758</v>
      </c>
      <c r="M612" s="132" t="s">
        <v>197</v>
      </c>
      <c r="N612" s="26">
        <v>2026</v>
      </c>
    </row>
    <row r="613" spans="1:14">
      <c r="A613" s="26">
        <v>612</v>
      </c>
      <c r="B613" s="26" t="s">
        <v>52</v>
      </c>
      <c r="C613" s="26" t="s">
        <v>53</v>
      </c>
      <c r="D613" s="26" t="s">
        <v>58</v>
      </c>
      <c r="E613" s="26" t="s">
        <v>250</v>
      </c>
      <c r="F613" s="26"/>
      <c r="G613" s="26" t="s">
        <v>115</v>
      </c>
      <c r="H613" s="26" t="s">
        <v>250</v>
      </c>
      <c r="I613" s="47">
        <v>550</v>
      </c>
      <c r="J613" s="26" t="s">
        <v>422</v>
      </c>
      <c r="K613" s="45">
        <v>46097</v>
      </c>
      <c r="L613" s="26">
        <v>2026401061</v>
      </c>
      <c r="M613" s="132" t="s">
        <v>197</v>
      </c>
      <c r="N613" s="26">
        <v>2026</v>
      </c>
    </row>
    <row r="614" spans="1:14">
      <c r="A614" s="26">
        <v>613</v>
      </c>
      <c r="B614" s="26" t="s">
        <v>52</v>
      </c>
      <c r="C614" s="26" t="s">
        <v>53</v>
      </c>
      <c r="D614" s="26" t="s">
        <v>58</v>
      </c>
      <c r="E614" s="26" t="s">
        <v>250</v>
      </c>
      <c r="F614" s="26"/>
      <c r="G614" s="26" t="s">
        <v>290</v>
      </c>
      <c r="H614" s="26" t="s">
        <v>250</v>
      </c>
      <c r="I614" s="47">
        <v>928.57142857142856</v>
      </c>
      <c r="J614" s="26" t="s">
        <v>423</v>
      </c>
      <c r="K614" s="45">
        <v>46095</v>
      </c>
      <c r="L614" s="26">
        <v>2026401125</v>
      </c>
      <c r="M614" s="132" t="s">
        <v>197</v>
      </c>
      <c r="N614" s="26">
        <v>2026</v>
      </c>
    </row>
    <row r="615" spans="1:14">
      <c r="A615" s="26">
        <v>614</v>
      </c>
      <c r="B615" s="26" t="s">
        <v>52</v>
      </c>
      <c r="C615" s="26" t="s">
        <v>53</v>
      </c>
      <c r="D615" s="26" t="s">
        <v>58</v>
      </c>
      <c r="E615" s="26" t="s">
        <v>250</v>
      </c>
      <c r="F615" s="26"/>
      <c r="G615" s="26" t="s">
        <v>296</v>
      </c>
      <c r="H615" s="26" t="s">
        <v>250</v>
      </c>
      <c r="I615" s="47">
        <v>9800</v>
      </c>
      <c r="J615" s="26" t="s">
        <v>424</v>
      </c>
      <c r="K615" s="45">
        <v>46106</v>
      </c>
      <c r="L615" s="26">
        <v>2026401128</v>
      </c>
      <c r="M615" s="132" t="s">
        <v>197</v>
      </c>
      <c r="N615" s="26">
        <v>2026</v>
      </c>
    </row>
    <row r="616" spans="1:14">
      <c r="A616" s="26">
        <v>615</v>
      </c>
      <c r="B616" s="26" t="s">
        <v>52</v>
      </c>
      <c r="C616" s="26" t="s">
        <v>53</v>
      </c>
      <c r="D616" s="26" t="s">
        <v>58</v>
      </c>
      <c r="E616" s="26" t="s">
        <v>250</v>
      </c>
      <c r="F616" s="26"/>
      <c r="G616" s="26" t="s">
        <v>414</v>
      </c>
      <c r="H616" s="26" t="s">
        <v>250</v>
      </c>
      <c r="I616" s="47">
        <v>1120.1298701298701</v>
      </c>
      <c r="J616" s="26" t="s">
        <v>425</v>
      </c>
      <c r="K616" s="45">
        <v>46096</v>
      </c>
      <c r="L616" s="26">
        <v>2026401183</v>
      </c>
      <c r="M616" s="132" t="s">
        <v>197</v>
      </c>
      <c r="N616" s="26">
        <v>2026</v>
      </c>
    </row>
    <row r="617" spans="1:14">
      <c r="A617" s="26">
        <v>616</v>
      </c>
      <c r="B617" s="26" t="s">
        <v>17</v>
      </c>
      <c r="C617" s="26" t="s">
        <v>25</v>
      </c>
      <c r="D617" s="26" t="s">
        <v>58</v>
      </c>
      <c r="E617" s="26" t="s">
        <v>108</v>
      </c>
      <c r="F617" s="26"/>
      <c r="G617" s="26" t="s">
        <v>772</v>
      </c>
      <c r="H617" s="26"/>
      <c r="I617" s="47">
        <v>4063.3116883116882</v>
      </c>
      <c r="J617" s="26" t="s">
        <v>773</v>
      </c>
      <c r="K617" s="45">
        <v>46074</v>
      </c>
      <c r="L617" s="26">
        <v>2026401168</v>
      </c>
      <c r="M617" s="132" t="s">
        <v>197</v>
      </c>
      <c r="N617" s="26">
        <v>2026</v>
      </c>
    </row>
    <row r="618" spans="1:14">
      <c r="A618" s="26">
        <v>617</v>
      </c>
      <c r="B618" s="26" t="s">
        <v>52</v>
      </c>
      <c r="C618" s="26" t="s">
        <v>90</v>
      </c>
      <c r="D618" s="26" t="s">
        <v>19</v>
      </c>
      <c r="E618" s="26" t="s">
        <v>68</v>
      </c>
      <c r="F618" s="26"/>
      <c r="G618" s="26" t="s">
        <v>257</v>
      </c>
      <c r="H618" s="26" t="s">
        <v>111</v>
      </c>
      <c r="I618" s="47">
        <v>3528.5531335149867</v>
      </c>
      <c r="J618" s="26" t="s">
        <v>777</v>
      </c>
      <c r="K618" s="45">
        <v>46084</v>
      </c>
      <c r="L618" s="26">
        <v>2025403317</v>
      </c>
      <c r="M618" s="132" t="s">
        <v>197</v>
      </c>
      <c r="N618" s="26">
        <v>2026</v>
      </c>
    </row>
    <row r="619" spans="1:14">
      <c r="A619" s="26">
        <v>618</v>
      </c>
      <c r="B619" s="26" t="s">
        <v>52</v>
      </c>
      <c r="C619" s="26" t="s">
        <v>90</v>
      </c>
      <c r="D619" s="26" t="s">
        <v>19</v>
      </c>
      <c r="E619" s="26" t="s">
        <v>68</v>
      </c>
      <c r="F619" s="26"/>
      <c r="G619" s="26" t="s">
        <v>257</v>
      </c>
      <c r="H619" s="26" t="s">
        <v>111</v>
      </c>
      <c r="I619" s="47">
        <v>59291.553133514986</v>
      </c>
      <c r="J619" s="26" t="s">
        <v>778</v>
      </c>
      <c r="K619" s="45">
        <v>46084</v>
      </c>
      <c r="L619" s="26">
        <v>2025403316</v>
      </c>
      <c r="M619" s="132" t="s">
        <v>197</v>
      </c>
      <c r="N619" s="26">
        <v>2026</v>
      </c>
    </row>
    <row r="620" spans="1:14">
      <c r="A620" s="26">
        <v>619</v>
      </c>
      <c r="B620" s="26" t="s">
        <v>52</v>
      </c>
      <c r="C620" s="26" t="s">
        <v>90</v>
      </c>
      <c r="D620" s="26" t="s">
        <v>19</v>
      </c>
      <c r="E620" s="26" t="s">
        <v>68</v>
      </c>
      <c r="F620" s="26"/>
      <c r="G620" s="26" t="s">
        <v>257</v>
      </c>
      <c r="H620" s="26" t="s">
        <v>111</v>
      </c>
      <c r="I620" s="47">
        <v>2070.8446866485015</v>
      </c>
      <c r="J620" s="26" t="s">
        <v>779</v>
      </c>
      <c r="K620" s="45">
        <v>46084</v>
      </c>
      <c r="L620" s="26" t="s">
        <v>14</v>
      </c>
      <c r="M620" s="132" t="s">
        <v>197</v>
      </c>
      <c r="N620" s="26">
        <v>2026</v>
      </c>
    </row>
    <row r="621" spans="1:14">
      <c r="A621" s="26">
        <v>620</v>
      </c>
      <c r="B621" s="26" t="s">
        <v>50</v>
      </c>
      <c r="C621" s="26" t="s">
        <v>60</v>
      </c>
      <c r="D621" s="26" t="s">
        <v>19</v>
      </c>
      <c r="E621" s="26" t="s">
        <v>68</v>
      </c>
      <c r="F621" s="26"/>
      <c r="G621" s="26" t="s">
        <v>257</v>
      </c>
      <c r="H621" s="26" t="s">
        <v>111</v>
      </c>
      <c r="I621" s="47">
        <v>269.75476839237058</v>
      </c>
      <c r="J621" s="26" t="s">
        <v>780</v>
      </c>
      <c r="K621" s="45">
        <v>46089</v>
      </c>
      <c r="L621" s="26">
        <v>2025404329</v>
      </c>
      <c r="M621" s="132" t="s">
        <v>197</v>
      </c>
      <c r="N621" s="26">
        <v>2026</v>
      </c>
    </row>
    <row r="622" spans="1:14">
      <c r="A622" s="26">
        <v>621</v>
      </c>
      <c r="B622" s="26" t="s">
        <v>40</v>
      </c>
      <c r="C622" s="26" t="s">
        <v>47</v>
      </c>
      <c r="D622" s="26" t="s">
        <v>19</v>
      </c>
      <c r="E622" s="26" t="s">
        <v>68</v>
      </c>
      <c r="F622" s="26"/>
      <c r="G622" s="26" t="s">
        <v>257</v>
      </c>
      <c r="H622" s="26" t="s">
        <v>111</v>
      </c>
      <c r="I622" s="47">
        <v>33142.016348773839</v>
      </c>
      <c r="J622" s="26" t="s">
        <v>781</v>
      </c>
      <c r="K622" s="45">
        <v>46089</v>
      </c>
      <c r="L622" s="26">
        <v>2024403196</v>
      </c>
      <c r="M622" s="132" t="s">
        <v>197</v>
      </c>
      <c r="N622" s="26">
        <v>2026</v>
      </c>
    </row>
    <row r="623" spans="1:14">
      <c r="A623" s="26">
        <v>622</v>
      </c>
      <c r="B623" s="26" t="s">
        <v>50</v>
      </c>
      <c r="C623" s="26" t="s">
        <v>60</v>
      </c>
      <c r="D623" s="26" t="s">
        <v>19</v>
      </c>
      <c r="E623" s="26" t="s">
        <v>68</v>
      </c>
      <c r="F623" s="26"/>
      <c r="G623" s="26" t="s">
        <v>257</v>
      </c>
      <c r="H623" s="26" t="s">
        <v>111</v>
      </c>
      <c r="I623" s="47">
        <v>9195.6512261580392</v>
      </c>
      <c r="J623" s="26" t="s">
        <v>782</v>
      </c>
      <c r="K623" s="45">
        <v>46089</v>
      </c>
      <c r="L623" s="26">
        <v>2025404729</v>
      </c>
      <c r="M623" s="132" t="s">
        <v>197</v>
      </c>
      <c r="N623" s="26">
        <v>2026</v>
      </c>
    </row>
    <row r="624" spans="1:14">
      <c r="A624" s="26">
        <v>623</v>
      </c>
      <c r="B624" s="26" t="s">
        <v>50</v>
      </c>
      <c r="C624" s="26" t="s">
        <v>60</v>
      </c>
      <c r="D624" s="26" t="s">
        <v>19</v>
      </c>
      <c r="E624" s="26" t="s">
        <v>68</v>
      </c>
      <c r="F624" s="26"/>
      <c r="G624" s="26" t="s">
        <v>257</v>
      </c>
      <c r="H624" s="26" t="s">
        <v>111</v>
      </c>
      <c r="I624" s="47">
        <v>1609.0463215258856</v>
      </c>
      <c r="J624" s="26" t="s">
        <v>783</v>
      </c>
      <c r="K624" s="45">
        <v>46089</v>
      </c>
      <c r="L624" s="26" t="s">
        <v>14</v>
      </c>
      <c r="M624" s="132" t="s">
        <v>197</v>
      </c>
      <c r="N624" s="26">
        <v>2026</v>
      </c>
    </row>
    <row r="625" spans="1:14">
      <c r="A625" s="26">
        <v>624</v>
      </c>
      <c r="B625" s="26" t="s">
        <v>50</v>
      </c>
      <c r="C625" s="26" t="s">
        <v>60</v>
      </c>
      <c r="D625" s="26" t="s">
        <v>19</v>
      </c>
      <c r="E625" s="26" t="s">
        <v>68</v>
      </c>
      <c r="F625" s="26"/>
      <c r="G625" s="26" t="s">
        <v>257</v>
      </c>
      <c r="H625" s="26" t="s">
        <v>111</v>
      </c>
      <c r="I625" s="47">
        <v>8141.6893732970029</v>
      </c>
      <c r="J625" s="26" t="s">
        <v>784</v>
      </c>
      <c r="K625" s="45">
        <v>46089</v>
      </c>
      <c r="L625" s="26" t="s">
        <v>14</v>
      </c>
      <c r="M625" s="132" t="s">
        <v>197</v>
      </c>
      <c r="N625" s="26">
        <v>2026</v>
      </c>
    </row>
    <row r="626" spans="1:14">
      <c r="A626" s="26">
        <v>625</v>
      </c>
      <c r="B626" s="26" t="s">
        <v>31</v>
      </c>
      <c r="C626" s="26" t="s">
        <v>32</v>
      </c>
      <c r="D626" s="26" t="s">
        <v>19</v>
      </c>
      <c r="E626" s="26" t="s">
        <v>106</v>
      </c>
      <c r="F626" s="26"/>
      <c r="G626" s="26" t="s">
        <v>257</v>
      </c>
      <c r="H626" s="26"/>
      <c r="I626" s="47">
        <v>11665.122615803815</v>
      </c>
      <c r="J626" s="26" t="s">
        <v>785</v>
      </c>
      <c r="K626" s="45">
        <v>46085</v>
      </c>
      <c r="L626" s="26" t="s">
        <v>14</v>
      </c>
      <c r="M626" s="132" t="s">
        <v>197</v>
      </c>
      <c r="N626" s="26">
        <v>2026</v>
      </c>
    </row>
  </sheetData>
  <autoFilter ref="A1:N626" xr:uid="{00000000-0001-0000-0100-000000000000}">
    <sortState xmlns:xlrd2="http://schemas.microsoft.com/office/spreadsheetml/2017/richdata2" ref="A2:N602">
      <sortCondition ref="E1:E602"/>
    </sortState>
  </autoFilter>
  <conditionalFormatting sqref="L2:L27">
    <cfRule type="duplicateValues" dxfId="17" priority="268"/>
  </conditionalFormatting>
  <conditionalFormatting sqref="L28:L34">
    <cfRule type="duplicateValues" dxfId="16" priority="220"/>
  </conditionalFormatting>
  <conditionalFormatting sqref="L35:L113">
    <cfRule type="duplicateValues" dxfId="15" priority="294"/>
  </conditionalFormatting>
  <conditionalFormatting sqref="L114:L118">
    <cfRule type="duplicateValues" dxfId="14" priority="11"/>
  </conditionalFormatting>
  <conditionalFormatting sqref="L119:L124">
    <cfRule type="duplicateValues" dxfId="13" priority="7"/>
  </conditionalFormatting>
  <conditionalFormatting sqref="L125:L128">
    <cfRule type="duplicateValues" dxfId="12" priority="285"/>
  </conditionalFormatting>
  <conditionalFormatting sqref="L129:L130 L2:L27 L136">
    <cfRule type="duplicateValues" dxfId="11" priority="274"/>
  </conditionalFormatting>
  <conditionalFormatting sqref="L131:L135">
    <cfRule type="duplicateValues" dxfId="10" priority="5"/>
  </conditionalFormatting>
  <conditionalFormatting sqref="L154:L158">
    <cfRule type="duplicateValues" dxfId="9" priority="4"/>
  </conditionalFormatting>
  <conditionalFormatting sqref="L159:L160">
    <cfRule type="duplicateValues" dxfId="8" priority="3"/>
  </conditionalFormatting>
  <conditionalFormatting sqref="L161:L170">
    <cfRule type="duplicateValues" dxfId="7" priority="2"/>
  </conditionalFormatting>
  <conditionalFormatting sqref="L171:L252 L137:L153">
    <cfRule type="duplicateValues" dxfId="6" priority="272"/>
  </conditionalFormatting>
  <conditionalFormatting sqref="L253:L282">
    <cfRule type="duplicateValues" dxfId="5" priority="8"/>
  </conditionalFormatting>
  <conditionalFormatting sqref="L283:L559">
    <cfRule type="duplicateValues" dxfId="4" priority="1"/>
  </conditionalFormatting>
  <dataValidations count="2">
    <dataValidation type="list" allowBlank="1" showInputMessage="1" showErrorMessage="1" sqref="C31 C585:C587 C241:C254 C269 C24 C125:C132 C308 C575:C581 I346:I467 C583 C20:C22 C595:C596 C602 C605:C617 C335:C348 C144:C154 C283 C297:C299 C301:C305 C2:C4 C6:C18 C285 C287:C288 C290:C295 C180:C189 C208:C239 C191:C206 C171:C178 C134:C136 C117:C123 C138:C142 C313:C333 C560:C561 C563:C573" xr:uid="{00000000-0002-0000-0100-000001000000}">
      <formula1>INDIRECT(B2)</formula1>
    </dataValidation>
    <dataValidation type="list" allowBlank="1" showInputMessage="1" showErrorMessage="1" sqref="C161:C170 C159 C66:C69 C77:C100 C48:C63 C41:C46 C72:C75 C35:C39 C105:C116 C124 C143 C334 C445:C446 C456 C562" xr:uid="{00000000-0002-0000-0100-000004000000}">
      <formula1>Level_2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List!$P$2:$P$11</xm:f>
          </x14:formula1>
          <xm:sqref>B280 B171:B180 B182:B183 B185:B199 B201:B203 B205:B239 B560:B587 B34 B27:B30 B2:B9 B12:B22 B32 B241:B255 B269 B283:B348 B595:B596 B602 B605:B617 B117:B154</xm:sqref>
        </x14:dataValidation>
        <x14:dataValidation type="list" allowBlank="1" showInputMessage="1" showErrorMessage="1" xr:uid="{00000000-0002-0000-0100-000002000000}">
          <x14:formula1>
            <xm:f>List!$C$2:$C$3</xm:f>
          </x14:formula1>
          <xm:sqref>D2:D34 D171:D586 D595:D617</xm:sqref>
        </x14:dataValidation>
        <x14:dataValidation type="list" allowBlank="1" showInputMessage="1" showErrorMessage="1" xr:uid="{00000000-0002-0000-0100-000003000000}">
          <x14:formula1>
            <xm:f>List!$E$2:$E$32</xm:f>
          </x14:formula1>
          <xm:sqref>H267:H268 E171:E268 E2:E26 E283:E559 E595:E605 E617 E117:E153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273"/>
  <sheetViews>
    <sheetView topLeftCell="F2" workbookViewId="0">
      <selection activeCell="P11" sqref="P11:S1048576"/>
    </sheetView>
  </sheetViews>
  <sheetFormatPr defaultColWidth="9" defaultRowHeight="14.5"/>
  <cols>
    <col min="1" max="1" width="5.36328125" customWidth="1"/>
    <col min="2" max="3" width="10.90625" bestFit="1" customWidth="1"/>
    <col min="4" max="4" width="9" customWidth="1"/>
    <col min="5" max="5" width="24.81640625" customWidth="1"/>
    <col min="6" max="6" width="10.1796875" customWidth="1"/>
    <col min="7" max="7" width="7" customWidth="1"/>
    <col min="8" max="8" width="33" bestFit="1" customWidth="1"/>
    <col min="9" max="9" width="13.81640625" bestFit="1" customWidth="1"/>
    <col min="10" max="10" width="10.08984375" customWidth="1"/>
    <col min="11" max="11" width="11.1796875" customWidth="1"/>
    <col min="12" max="12" width="10.54296875" customWidth="1"/>
    <col min="13" max="13" width="6.54296875" customWidth="1"/>
    <col min="14" max="14" width="4.81640625" customWidth="1"/>
  </cols>
  <sheetData>
    <row r="1" spans="1:1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16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7">
      <c r="A2" s="4">
        <v>1</v>
      </c>
      <c r="B2" s="4" t="s">
        <v>17</v>
      </c>
      <c r="C2" s="4" t="s">
        <v>18</v>
      </c>
      <c r="D2" s="4" t="s">
        <v>58</v>
      </c>
      <c r="E2" s="4" t="s">
        <v>20</v>
      </c>
      <c r="F2" s="4"/>
      <c r="G2" s="4" t="s">
        <v>21</v>
      </c>
      <c r="H2" s="4" t="s">
        <v>299</v>
      </c>
      <c r="I2" s="31">
        <v>91545</v>
      </c>
      <c r="J2" s="4" t="s">
        <v>14</v>
      </c>
      <c r="K2" s="4" t="s">
        <v>14</v>
      </c>
      <c r="L2" s="4" t="s">
        <v>14</v>
      </c>
      <c r="M2" s="130" t="s">
        <v>197</v>
      </c>
      <c r="N2">
        <v>2026</v>
      </c>
      <c r="Q2" s="129"/>
    </row>
    <row r="3" spans="1:17">
      <c r="A3" s="4">
        <v>2</v>
      </c>
      <c r="B3" s="4" t="s">
        <v>17</v>
      </c>
      <c r="C3" s="4" t="s">
        <v>22</v>
      </c>
      <c r="D3" s="4" t="s">
        <v>58</v>
      </c>
      <c r="E3" s="4" t="s">
        <v>20</v>
      </c>
      <c r="F3" s="4"/>
      <c r="G3" s="4" t="s">
        <v>21</v>
      </c>
      <c r="H3" s="4" t="s">
        <v>299</v>
      </c>
      <c r="I3" s="31">
        <v>97146</v>
      </c>
      <c r="J3" s="4" t="s">
        <v>14</v>
      </c>
      <c r="K3" s="4" t="s">
        <v>14</v>
      </c>
      <c r="L3" s="4" t="s">
        <v>14</v>
      </c>
      <c r="M3" s="130" t="s">
        <v>197</v>
      </c>
      <c r="N3">
        <v>2026</v>
      </c>
      <c r="Q3" s="129"/>
    </row>
    <row r="4" spans="1:17">
      <c r="A4" s="4">
        <v>3</v>
      </c>
      <c r="B4" s="4" t="s">
        <v>17</v>
      </c>
      <c r="C4" s="4" t="s">
        <v>87</v>
      </c>
      <c r="D4" s="4" t="s">
        <v>58</v>
      </c>
      <c r="E4" s="4" t="s">
        <v>20</v>
      </c>
      <c r="F4" s="4"/>
      <c r="G4" s="4" t="s">
        <v>21</v>
      </c>
      <c r="H4" s="4" t="s">
        <v>299</v>
      </c>
      <c r="I4" s="31">
        <v>13095</v>
      </c>
      <c r="J4" s="4" t="s">
        <v>14</v>
      </c>
      <c r="K4" s="4" t="s">
        <v>14</v>
      </c>
      <c r="L4" s="4" t="s">
        <v>14</v>
      </c>
      <c r="M4" s="130" t="s">
        <v>197</v>
      </c>
      <c r="N4">
        <v>2026</v>
      </c>
      <c r="Q4" s="129"/>
    </row>
    <row r="5" spans="1:17">
      <c r="A5" s="4">
        <v>4</v>
      </c>
      <c r="B5" s="4" t="s">
        <v>17</v>
      </c>
      <c r="C5" s="4" t="s">
        <v>254</v>
      </c>
      <c r="D5" s="4" t="s">
        <v>58</v>
      </c>
      <c r="E5" s="4" t="s">
        <v>20</v>
      </c>
      <c r="F5" s="4"/>
      <c r="G5" s="4" t="s">
        <v>21</v>
      </c>
      <c r="H5" s="4" t="s">
        <v>299</v>
      </c>
      <c r="I5" s="31">
        <v>70959</v>
      </c>
      <c r="J5" s="4" t="s">
        <v>14</v>
      </c>
      <c r="K5" s="4" t="s">
        <v>14</v>
      </c>
      <c r="L5" s="4" t="s">
        <v>14</v>
      </c>
      <c r="M5" s="130" t="s">
        <v>197</v>
      </c>
      <c r="N5">
        <v>2026</v>
      </c>
      <c r="Q5" s="129"/>
    </row>
    <row r="6" spans="1:17">
      <c r="A6" s="4">
        <v>5</v>
      </c>
      <c r="B6" s="4" t="s">
        <v>17</v>
      </c>
      <c r="C6" s="4" t="s">
        <v>25</v>
      </c>
      <c r="D6" s="4" t="s">
        <v>58</v>
      </c>
      <c r="E6" s="4" t="s">
        <v>20</v>
      </c>
      <c r="F6" s="4"/>
      <c r="G6" s="4" t="s">
        <v>21</v>
      </c>
      <c r="H6" s="4" t="s">
        <v>299</v>
      </c>
      <c r="I6" s="31">
        <v>187725</v>
      </c>
      <c r="J6" s="4" t="s">
        <v>14</v>
      </c>
      <c r="K6" s="4" t="s">
        <v>14</v>
      </c>
      <c r="L6" s="4" t="s">
        <v>14</v>
      </c>
      <c r="M6" s="130" t="s">
        <v>197</v>
      </c>
      <c r="N6">
        <v>2026</v>
      </c>
      <c r="Q6" s="129"/>
    </row>
    <row r="7" spans="1:17">
      <c r="A7" s="4">
        <v>6</v>
      </c>
      <c r="B7" s="112" t="s">
        <v>27</v>
      </c>
      <c r="C7" s="4" t="s">
        <v>28</v>
      </c>
      <c r="D7" s="4" t="s">
        <v>58</v>
      </c>
      <c r="E7" s="4" t="s">
        <v>20</v>
      </c>
      <c r="F7" s="4"/>
      <c r="G7" s="4" t="s">
        <v>21</v>
      </c>
      <c r="H7" s="4" t="s">
        <v>299</v>
      </c>
      <c r="I7" s="38">
        <v>18837</v>
      </c>
      <c r="J7" s="4" t="s">
        <v>14</v>
      </c>
      <c r="K7" s="4" t="s">
        <v>14</v>
      </c>
      <c r="L7" s="4" t="s">
        <v>14</v>
      </c>
      <c r="M7" s="130" t="s">
        <v>197</v>
      </c>
      <c r="N7">
        <v>2026</v>
      </c>
      <c r="Q7" s="129"/>
    </row>
    <row r="8" spans="1:17">
      <c r="A8" s="4">
        <v>7</v>
      </c>
      <c r="B8" s="112" t="s">
        <v>246</v>
      </c>
      <c r="C8" s="4" t="s">
        <v>53</v>
      </c>
      <c r="D8" s="4" t="s">
        <v>58</v>
      </c>
      <c r="E8" s="4" t="s">
        <v>20</v>
      </c>
      <c r="F8" s="4"/>
      <c r="G8" s="4" t="s">
        <v>21</v>
      </c>
      <c r="H8" s="4" t="s">
        <v>299</v>
      </c>
      <c r="I8" s="31">
        <v>112309</v>
      </c>
      <c r="J8" s="4" t="s">
        <v>14</v>
      </c>
      <c r="K8" s="4" t="s">
        <v>14</v>
      </c>
      <c r="L8" s="4" t="s">
        <v>14</v>
      </c>
      <c r="M8" s="130" t="s">
        <v>197</v>
      </c>
      <c r="N8">
        <v>2026</v>
      </c>
      <c r="Q8" s="129"/>
    </row>
    <row r="9" spans="1:17">
      <c r="A9" s="4">
        <v>8</v>
      </c>
      <c r="B9" s="112" t="s">
        <v>246</v>
      </c>
      <c r="C9" s="4" t="s">
        <v>90</v>
      </c>
      <c r="D9" s="4" t="s">
        <v>58</v>
      </c>
      <c r="E9" s="4" t="s">
        <v>20</v>
      </c>
      <c r="F9" s="4"/>
      <c r="G9" s="4" t="s">
        <v>21</v>
      </c>
      <c r="H9" s="4" t="s">
        <v>299</v>
      </c>
      <c r="I9" s="31">
        <v>88468</v>
      </c>
      <c r="J9" s="4" t="s">
        <v>14</v>
      </c>
      <c r="K9" s="4" t="s">
        <v>14</v>
      </c>
      <c r="L9" s="4" t="s">
        <v>14</v>
      </c>
      <c r="M9" s="130" t="s">
        <v>197</v>
      </c>
      <c r="N9">
        <v>2026</v>
      </c>
      <c r="Q9" s="129"/>
    </row>
    <row r="10" spans="1:17">
      <c r="A10" s="4">
        <v>9</v>
      </c>
      <c r="B10" s="113" t="s">
        <v>56</v>
      </c>
      <c r="C10" s="4" t="s">
        <v>57</v>
      </c>
      <c r="D10" s="4" t="s">
        <v>58</v>
      </c>
      <c r="E10" s="62" t="s">
        <v>20</v>
      </c>
      <c r="F10" s="4"/>
      <c r="G10" s="4" t="s">
        <v>21</v>
      </c>
      <c r="H10" s="4" t="s">
        <v>299</v>
      </c>
      <c r="I10" s="31">
        <v>98441</v>
      </c>
      <c r="J10" s="4" t="s">
        <v>14</v>
      </c>
      <c r="K10" s="4" t="s">
        <v>14</v>
      </c>
      <c r="L10" s="4" t="s">
        <v>14</v>
      </c>
      <c r="M10" s="130" t="s">
        <v>197</v>
      </c>
      <c r="N10">
        <v>2026</v>
      </c>
      <c r="Q10" s="129"/>
    </row>
    <row r="11" spans="1:17">
      <c r="A11" s="4">
        <v>10</v>
      </c>
      <c r="B11" s="113" t="s">
        <v>31</v>
      </c>
      <c r="C11" s="4" t="s">
        <v>32</v>
      </c>
      <c r="D11" s="4" t="s">
        <v>58</v>
      </c>
      <c r="E11" s="4" t="s">
        <v>20</v>
      </c>
      <c r="F11" s="4"/>
      <c r="G11" s="4" t="s">
        <v>21</v>
      </c>
      <c r="H11" s="4" t="s">
        <v>299</v>
      </c>
      <c r="I11" s="28">
        <v>55208</v>
      </c>
      <c r="J11" s="4" t="s">
        <v>14</v>
      </c>
      <c r="K11" s="4" t="s">
        <v>14</v>
      </c>
      <c r="L11" s="4" t="s">
        <v>14</v>
      </c>
      <c r="M11" s="130" t="s">
        <v>197</v>
      </c>
      <c r="N11">
        <v>2026</v>
      </c>
      <c r="Q11" s="129"/>
    </row>
    <row r="12" spans="1:17">
      <c r="A12" s="4">
        <v>11</v>
      </c>
      <c r="B12" s="112" t="s">
        <v>33</v>
      </c>
      <c r="C12" s="4" t="s">
        <v>34</v>
      </c>
      <c r="D12" s="4" t="s">
        <v>58</v>
      </c>
      <c r="E12" s="4" t="s">
        <v>20</v>
      </c>
      <c r="F12" s="4"/>
      <c r="G12" s="4" t="s">
        <v>21</v>
      </c>
      <c r="H12" s="4" t="s">
        <v>299</v>
      </c>
      <c r="I12" s="28">
        <v>27680</v>
      </c>
      <c r="J12" s="4" t="s">
        <v>14</v>
      </c>
      <c r="K12" s="4" t="s">
        <v>14</v>
      </c>
      <c r="L12" s="4" t="s">
        <v>14</v>
      </c>
      <c r="M12" s="130" t="s">
        <v>197</v>
      </c>
      <c r="N12">
        <v>2026</v>
      </c>
      <c r="Q12" s="129"/>
    </row>
    <row r="13" spans="1:17">
      <c r="A13" s="4">
        <v>12</v>
      </c>
      <c r="B13" s="112" t="s">
        <v>33</v>
      </c>
      <c r="C13" s="4" t="s">
        <v>35</v>
      </c>
      <c r="D13" s="4" t="s">
        <v>58</v>
      </c>
      <c r="E13" s="4" t="s">
        <v>20</v>
      </c>
      <c r="F13" s="4"/>
      <c r="G13" s="4" t="s">
        <v>21</v>
      </c>
      <c r="H13" s="4" t="s">
        <v>299</v>
      </c>
      <c r="I13" s="28">
        <v>48217</v>
      </c>
      <c r="J13" s="4" t="s">
        <v>14</v>
      </c>
      <c r="K13" s="4" t="s">
        <v>14</v>
      </c>
      <c r="L13" s="4" t="s">
        <v>14</v>
      </c>
      <c r="M13" s="130" t="s">
        <v>197</v>
      </c>
      <c r="N13">
        <v>2026</v>
      </c>
      <c r="Q13" s="129"/>
    </row>
    <row r="14" spans="1:17">
      <c r="A14" s="4">
        <v>15</v>
      </c>
      <c r="B14" s="4" t="s">
        <v>40</v>
      </c>
      <c r="C14" s="4" t="s">
        <v>41</v>
      </c>
      <c r="D14" s="4" t="s">
        <v>58</v>
      </c>
      <c r="E14" s="4" t="s">
        <v>20</v>
      </c>
      <c r="F14" s="4"/>
      <c r="G14" s="4" t="s">
        <v>21</v>
      </c>
      <c r="H14" s="4" t="s">
        <v>299</v>
      </c>
      <c r="I14" s="31">
        <v>64126</v>
      </c>
      <c r="J14" s="4" t="s">
        <v>14</v>
      </c>
      <c r="K14" s="4" t="s">
        <v>14</v>
      </c>
      <c r="L14" s="4" t="s">
        <v>14</v>
      </c>
      <c r="M14" s="130" t="s">
        <v>197</v>
      </c>
      <c r="N14">
        <v>2026</v>
      </c>
      <c r="Q14" s="129"/>
    </row>
    <row r="15" spans="1:17">
      <c r="A15" s="4">
        <v>16</v>
      </c>
      <c r="B15" s="4" t="s">
        <v>40</v>
      </c>
      <c r="C15" s="4" t="s">
        <v>42</v>
      </c>
      <c r="D15" s="4" t="s">
        <v>58</v>
      </c>
      <c r="E15" s="4" t="s">
        <v>20</v>
      </c>
      <c r="F15" s="4"/>
      <c r="G15" s="4" t="s">
        <v>21</v>
      </c>
      <c r="H15" s="4" t="s">
        <v>299</v>
      </c>
      <c r="I15" s="31">
        <v>13852</v>
      </c>
      <c r="J15" s="4" t="s">
        <v>14</v>
      </c>
      <c r="K15" s="4" t="s">
        <v>14</v>
      </c>
      <c r="L15" s="4" t="s">
        <v>14</v>
      </c>
      <c r="M15" s="130" t="s">
        <v>197</v>
      </c>
      <c r="N15">
        <v>2026</v>
      </c>
      <c r="Q15" s="129"/>
    </row>
    <row r="16" spans="1:17">
      <c r="A16" s="4">
        <v>17</v>
      </c>
      <c r="B16" s="4" t="s">
        <v>40</v>
      </c>
      <c r="C16" s="4" t="s">
        <v>43</v>
      </c>
      <c r="D16" s="4" t="s">
        <v>58</v>
      </c>
      <c r="E16" s="4" t="s">
        <v>20</v>
      </c>
      <c r="F16" s="4"/>
      <c r="G16" s="4" t="s">
        <v>21</v>
      </c>
      <c r="H16" s="4" t="s">
        <v>299</v>
      </c>
      <c r="I16" s="31">
        <v>27177</v>
      </c>
      <c r="J16" s="4" t="s">
        <v>14</v>
      </c>
      <c r="K16" s="4" t="s">
        <v>14</v>
      </c>
      <c r="L16" s="4" t="s">
        <v>14</v>
      </c>
      <c r="M16" s="130" t="s">
        <v>197</v>
      </c>
      <c r="N16">
        <v>2026</v>
      </c>
      <c r="Q16" s="129"/>
    </row>
    <row r="17" spans="1:17">
      <c r="A17" s="4">
        <v>18</v>
      </c>
      <c r="B17" s="4" t="s">
        <v>40</v>
      </c>
      <c r="C17" s="4" t="s">
        <v>273</v>
      </c>
      <c r="D17" s="4" t="s">
        <v>58</v>
      </c>
      <c r="E17" s="4" t="s">
        <v>20</v>
      </c>
      <c r="F17" s="4"/>
      <c r="G17" s="4" t="s">
        <v>21</v>
      </c>
      <c r="H17" s="4" t="s">
        <v>299</v>
      </c>
      <c r="I17" s="31">
        <v>1861</v>
      </c>
      <c r="J17" s="4" t="s">
        <v>14</v>
      </c>
      <c r="K17" s="4" t="s">
        <v>14</v>
      </c>
      <c r="L17" s="4" t="s">
        <v>14</v>
      </c>
      <c r="M17" s="130" t="s">
        <v>197</v>
      </c>
      <c r="N17">
        <v>2026</v>
      </c>
      <c r="Q17" s="129"/>
    </row>
    <row r="18" spans="1:17">
      <c r="A18" s="4">
        <v>19</v>
      </c>
      <c r="B18" s="4" t="s">
        <v>40</v>
      </c>
      <c r="C18" s="4" t="s">
        <v>45</v>
      </c>
      <c r="D18" s="4" t="s">
        <v>58</v>
      </c>
      <c r="E18" s="4" t="s">
        <v>20</v>
      </c>
      <c r="F18" s="4"/>
      <c r="G18" s="4" t="s">
        <v>21</v>
      </c>
      <c r="H18" s="4" t="s">
        <v>299</v>
      </c>
      <c r="I18" s="31">
        <v>66041</v>
      </c>
      <c r="J18" s="4" t="s">
        <v>14</v>
      </c>
      <c r="K18" s="4" t="s">
        <v>14</v>
      </c>
      <c r="L18" s="4" t="s">
        <v>14</v>
      </c>
      <c r="M18" s="130" t="s">
        <v>197</v>
      </c>
      <c r="N18">
        <v>2026</v>
      </c>
      <c r="Q18" s="129"/>
    </row>
    <row r="19" spans="1:17">
      <c r="A19" s="4">
        <v>20</v>
      </c>
      <c r="B19" s="4" t="s">
        <v>40</v>
      </c>
      <c r="C19" s="4" t="s">
        <v>46</v>
      </c>
      <c r="D19" s="4" t="s">
        <v>58</v>
      </c>
      <c r="E19" s="4" t="s">
        <v>20</v>
      </c>
      <c r="F19" s="4"/>
      <c r="G19" s="4" t="s">
        <v>21</v>
      </c>
      <c r="H19" s="4" t="s">
        <v>299</v>
      </c>
      <c r="I19" s="31">
        <v>87534</v>
      </c>
      <c r="J19" s="4" t="s">
        <v>14</v>
      </c>
      <c r="K19" s="4" t="s">
        <v>14</v>
      </c>
      <c r="L19" s="4" t="s">
        <v>14</v>
      </c>
      <c r="M19" s="130" t="s">
        <v>197</v>
      </c>
      <c r="N19">
        <v>2026</v>
      </c>
      <c r="Q19" s="129"/>
    </row>
    <row r="20" spans="1:17">
      <c r="A20" s="4">
        <v>21</v>
      </c>
      <c r="B20" s="4" t="s">
        <v>40</v>
      </c>
      <c r="C20" s="4" t="s">
        <v>47</v>
      </c>
      <c r="D20" s="4" t="s">
        <v>58</v>
      </c>
      <c r="E20" s="4" t="s">
        <v>20</v>
      </c>
      <c r="F20" s="4"/>
      <c r="G20" s="4" t="s">
        <v>21</v>
      </c>
      <c r="H20" s="4" t="s">
        <v>299</v>
      </c>
      <c r="I20" s="31">
        <v>15846</v>
      </c>
      <c r="J20" s="4" t="s">
        <v>14</v>
      </c>
      <c r="K20" s="4" t="s">
        <v>14</v>
      </c>
      <c r="L20" s="4" t="s">
        <v>14</v>
      </c>
      <c r="M20" s="130" t="s">
        <v>197</v>
      </c>
      <c r="N20">
        <v>2026</v>
      </c>
      <c r="Q20" s="129"/>
    </row>
    <row r="21" spans="1:17">
      <c r="A21" s="4">
        <v>22</v>
      </c>
      <c r="B21" s="4" t="s">
        <v>40</v>
      </c>
      <c r="C21" s="4" t="s">
        <v>48</v>
      </c>
      <c r="D21" s="4" t="s">
        <v>58</v>
      </c>
      <c r="E21" s="4" t="s">
        <v>20</v>
      </c>
      <c r="F21" s="4"/>
      <c r="G21" s="4" t="s">
        <v>21</v>
      </c>
      <c r="H21" s="4" t="s">
        <v>299</v>
      </c>
      <c r="I21" s="31">
        <v>200622</v>
      </c>
      <c r="J21" s="4" t="s">
        <v>14</v>
      </c>
      <c r="K21" s="4" t="s">
        <v>14</v>
      </c>
      <c r="L21" s="4" t="s">
        <v>14</v>
      </c>
      <c r="M21" s="130" t="s">
        <v>197</v>
      </c>
      <c r="N21">
        <v>2026</v>
      </c>
      <c r="Q21" s="129"/>
    </row>
    <row r="22" spans="1:17">
      <c r="A22" s="4">
        <v>23</v>
      </c>
      <c r="B22" s="4" t="s">
        <v>40</v>
      </c>
      <c r="C22" s="4" t="s">
        <v>49</v>
      </c>
      <c r="D22" s="4" t="s">
        <v>58</v>
      </c>
      <c r="E22" s="4" t="s">
        <v>20</v>
      </c>
      <c r="F22" s="4"/>
      <c r="G22" s="4" t="s">
        <v>21</v>
      </c>
      <c r="H22" s="4" t="s">
        <v>299</v>
      </c>
      <c r="I22" s="31">
        <v>3598</v>
      </c>
      <c r="J22" s="4" t="s">
        <v>14</v>
      </c>
      <c r="K22" s="4" t="s">
        <v>14</v>
      </c>
      <c r="L22" s="4" t="s">
        <v>14</v>
      </c>
      <c r="M22" s="130" t="s">
        <v>197</v>
      </c>
      <c r="N22">
        <v>2026</v>
      </c>
      <c r="Q22" s="129"/>
    </row>
    <row r="23" spans="1:17">
      <c r="A23" s="4">
        <v>27</v>
      </c>
      <c r="B23" s="112" t="s">
        <v>50</v>
      </c>
      <c r="C23" s="113" t="s">
        <v>60</v>
      </c>
      <c r="D23" s="4" t="s">
        <v>58</v>
      </c>
      <c r="E23" s="4" t="s">
        <v>20</v>
      </c>
      <c r="F23" s="4"/>
      <c r="G23" s="4" t="s">
        <v>21</v>
      </c>
      <c r="H23" s="4" t="s">
        <v>299</v>
      </c>
      <c r="I23" s="28">
        <v>245681</v>
      </c>
      <c r="J23" s="4" t="s">
        <v>14</v>
      </c>
      <c r="K23" s="4" t="s">
        <v>14</v>
      </c>
      <c r="L23" s="4" t="s">
        <v>14</v>
      </c>
      <c r="M23" s="130" t="s">
        <v>197</v>
      </c>
      <c r="N23">
        <v>2026</v>
      </c>
    </row>
    <row r="24" spans="1:17">
      <c r="A24" s="4">
        <v>31</v>
      </c>
      <c r="B24" s="27" t="s">
        <v>56</v>
      </c>
      <c r="C24" s="4" t="s">
        <v>57</v>
      </c>
      <c r="D24" s="4" t="s">
        <v>58</v>
      </c>
      <c r="E24" s="4" t="s">
        <v>20</v>
      </c>
      <c r="F24" s="4"/>
      <c r="G24" s="4" t="s">
        <v>21</v>
      </c>
      <c r="H24" s="112" t="s">
        <v>300</v>
      </c>
      <c r="I24" s="38">
        <v>9500</v>
      </c>
      <c r="J24" s="4" t="s">
        <v>14</v>
      </c>
      <c r="K24" s="4" t="s">
        <v>14</v>
      </c>
      <c r="L24" s="4" t="s">
        <v>14</v>
      </c>
      <c r="M24" s="130" t="s">
        <v>197</v>
      </c>
      <c r="N24">
        <v>2026</v>
      </c>
    </row>
    <row r="25" spans="1:17">
      <c r="A25" s="4">
        <v>33</v>
      </c>
      <c r="B25" s="64" t="s">
        <v>56</v>
      </c>
      <c r="C25" s="64" t="s">
        <v>57</v>
      </c>
      <c r="D25" s="4" t="s">
        <v>58</v>
      </c>
      <c r="E25" s="4" t="s">
        <v>20</v>
      </c>
      <c r="G25" s="34" t="s">
        <v>21</v>
      </c>
      <c r="H25" s="113" t="s">
        <v>301</v>
      </c>
      <c r="I25" s="38">
        <v>20184</v>
      </c>
      <c r="J25" s="4" t="s">
        <v>14</v>
      </c>
      <c r="K25" s="4" t="s">
        <v>14</v>
      </c>
      <c r="L25" s="4" t="s">
        <v>14</v>
      </c>
      <c r="M25" s="130" t="s">
        <v>197</v>
      </c>
      <c r="N25">
        <v>2026</v>
      </c>
    </row>
    <row r="26" spans="1:17">
      <c r="A26" s="4">
        <v>34</v>
      </c>
      <c r="B26" s="64" t="s">
        <v>263</v>
      </c>
      <c r="C26" s="64" t="s">
        <v>263</v>
      </c>
      <c r="D26" s="4" t="s">
        <v>58</v>
      </c>
      <c r="E26" s="4" t="s">
        <v>20</v>
      </c>
      <c r="G26" s="34" t="s">
        <v>21</v>
      </c>
      <c r="H26" s="64" t="s">
        <v>262</v>
      </c>
      <c r="I26" s="38">
        <v>83000</v>
      </c>
      <c r="J26" s="4" t="s">
        <v>14</v>
      </c>
      <c r="K26" s="4" t="s">
        <v>14</v>
      </c>
      <c r="L26" s="4" t="s">
        <v>14</v>
      </c>
      <c r="M26" s="130" t="s">
        <v>197</v>
      </c>
      <c r="N26">
        <v>2026</v>
      </c>
    </row>
    <row r="27" spans="1:17">
      <c r="A27" s="4"/>
      <c r="B27" s="4"/>
      <c r="C27" s="4"/>
      <c r="D27" s="4"/>
      <c r="E27" s="4"/>
      <c r="F27" s="4"/>
      <c r="G27" s="4"/>
      <c r="H27" s="4"/>
      <c r="I27" s="24"/>
      <c r="J27" s="4"/>
      <c r="K27" s="4"/>
      <c r="L27" s="4"/>
      <c r="M27" s="4"/>
      <c r="N27" s="4"/>
    </row>
    <row r="28" spans="1:17">
      <c r="A28" s="4"/>
      <c r="B28" s="4"/>
      <c r="C28" s="4"/>
      <c r="D28" s="4"/>
      <c r="E28" s="4"/>
      <c r="F28" s="4"/>
      <c r="G28" s="4"/>
      <c r="H28" s="4"/>
      <c r="I28" s="24"/>
      <c r="J28" s="4"/>
      <c r="K28" s="4"/>
      <c r="L28" s="4"/>
      <c r="M28" s="4"/>
      <c r="N28" s="4"/>
    </row>
    <row r="29" spans="1:17">
      <c r="A29" s="4"/>
      <c r="B29" s="4"/>
      <c r="C29" s="4"/>
      <c r="D29" s="4"/>
      <c r="E29" s="4"/>
      <c r="F29" s="4"/>
      <c r="G29" s="4"/>
      <c r="H29" s="4"/>
      <c r="I29" s="24"/>
      <c r="J29" s="4"/>
      <c r="K29" s="4"/>
      <c r="L29" s="4"/>
      <c r="M29" s="4"/>
      <c r="N29" s="4"/>
    </row>
    <row r="30" spans="1:17">
      <c r="A30" s="4"/>
      <c r="B30" s="4"/>
      <c r="C30" s="4"/>
      <c r="D30" s="4"/>
      <c r="E30" s="4"/>
      <c r="F30" s="4"/>
      <c r="G30" s="4"/>
      <c r="H30" s="4"/>
      <c r="I30" s="24"/>
      <c r="J30" s="4"/>
      <c r="K30" s="4"/>
      <c r="L30" s="4"/>
      <c r="M30" s="4"/>
      <c r="N30" s="4"/>
    </row>
    <row r="31" spans="1:17">
      <c r="A31" s="4"/>
      <c r="B31" s="4"/>
      <c r="C31" s="4"/>
      <c r="D31" s="4"/>
      <c r="E31" s="4"/>
      <c r="F31" s="4"/>
      <c r="G31" s="4"/>
      <c r="H31" s="4"/>
      <c r="I31" s="24"/>
      <c r="J31" s="4"/>
      <c r="K31" s="4"/>
      <c r="L31" s="4"/>
      <c r="M31" s="4"/>
      <c r="N31" s="4"/>
    </row>
    <row r="32" spans="1:17">
      <c r="A32" s="4"/>
      <c r="B32" s="4"/>
      <c r="C32" s="4"/>
      <c r="D32" s="4"/>
      <c r="E32" s="4"/>
      <c r="F32" s="4"/>
      <c r="G32" s="4"/>
      <c r="H32" s="4"/>
      <c r="I32" s="24"/>
      <c r="J32" s="4"/>
      <c r="K32" s="4"/>
      <c r="L32" s="4"/>
      <c r="M32" s="4"/>
      <c r="N32" s="4"/>
    </row>
    <row r="33" spans="1:14">
      <c r="A33" s="4"/>
      <c r="B33" s="4"/>
      <c r="C33" s="4"/>
      <c r="D33" s="4"/>
      <c r="E33" s="4"/>
      <c r="F33" s="4"/>
      <c r="G33" s="4"/>
      <c r="H33" s="4"/>
      <c r="I33" s="24"/>
      <c r="J33" s="4"/>
      <c r="K33" s="4"/>
      <c r="L33" s="4"/>
      <c r="M33" s="4"/>
      <c r="N33" s="4"/>
    </row>
    <row r="34" spans="1:14">
      <c r="A34" s="4"/>
      <c r="B34" s="4"/>
      <c r="C34" s="4"/>
      <c r="D34" s="4"/>
      <c r="E34" s="4"/>
      <c r="F34" s="4"/>
      <c r="G34" s="4"/>
      <c r="H34" s="4"/>
      <c r="I34" s="24"/>
      <c r="J34" s="4"/>
      <c r="K34" s="4"/>
      <c r="L34" s="4"/>
      <c r="M34" s="4"/>
      <c r="N34" s="4"/>
    </row>
    <row r="35" spans="1:14">
      <c r="A35" s="4"/>
      <c r="B35" s="4"/>
      <c r="C35" s="4"/>
      <c r="D35" s="4"/>
      <c r="E35" s="4"/>
      <c r="F35" s="4"/>
      <c r="G35" s="4"/>
      <c r="H35" s="4"/>
      <c r="I35" s="24"/>
      <c r="J35" s="4"/>
      <c r="K35" s="4"/>
      <c r="L35" s="4"/>
      <c r="M35" s="4"/>
      <c r="N35" s="4"/>
    </row>
    <row r="36" spans="1:14">
      <c r="A36" s="4"/>
      <c r="B36" s="4"/>
      <c r="C36" s="4"/>
      <c r="D36" s="4"/>
      <c r="E36" s="4"/>
      <c r="F36" s="4"/>
      <c r="G36" s="4"/>
      <c r="H36" s="4"/>
      <c r="I36" s="24"/>
      <c r="J36" s="4"/>
      <c r="K36" s="4"/>
      <c r="L36" s="4"/>
      <c r="M36" s="4"/>
      <c r="N36" s="4"/>
    </row>
    <row r="37" spans="1:14">
      <c r="A37" s="4"/>
      <c r="B37" s="4"/>
      <c r="C37" s="4"/>
      <c r="D37" s="4"/>
      <c r="E37" s="4"/>
      <c r="F37" s="4"/>
      <c r="G37" s="4"/>
      <c r="H37" s="4"/>
      <c r="I37" s="24"/>
      <c r="J37" s="4"/>
      <c r="K37" s="4"/>
      <c r="L37" s="4"/>
      <c r="M37" s="4"/>
      <c r="N37" s="4"/>
    </row>
    <row r="38" spans="1:14">
      <c r="A38" s="4"/>
      <c r="B38" s="4"/>
      <c r="C38" s="4"/>
      <c r="D38" s="4"/>
      <c r="E38" s="4"/>
      <c r="F38" s="4"/>
      <c r="G38" s="4"/>
      <c r="H38" s="4"/>
      <c r="I38" s="24"/>
      <c r="J38" s="4"/>
      <c r="K38" s="4"/>
      <c r="L38" s="4"/>
      <c r="M38" s="4"/>
      <c r="N38" s="4"/>
    </row>
    <row r="39" spans="1:14">
      <c r="A39" s="4"/>
      <c r="B39" s="4"/>
      <c r="C39" s="4"/>
      <c r="D39" s="4"/>
      <c r="E39" s="4"/>
      <c r="F39" s="4"/>
      <c r="G39" s="4"/>
      <c r="H39" s="4"/>
      <c r="I39" s="24"/>
      <c r="J39" s="4"/>
      <c r="K39" s="4"/>
      <c r="L39" s="4"/>
      <c r="M39" s="4"/>
      <c r="N39" s="4"/>
    </row>
    <row r="40" spans="1:14">
      <c r="A40" s="4"/>
      <c r="B40" s="4"/>
      <c r="C40" s="4"/>
      <c r="D40" s="4"/>
      <c r="E40" s="4"/>
      <c r="F40" s="4"/>
      <c r="G40" s="4"/>
      <c r="H40" s="4"/>
      <c r="I40" s="24"/>
      <c r="J40" s="4"/>
      <c r="K40" s="4"/>
      <c r="L40" s="4"/>
      <c r="M40" s="4"/>
      <c r="N40" s="4"/>
    </row>
    <row r="41" spans="1:14">
      <c r="A41" s="4"/>
      <c r="B41" s="4"/>
      <c r="C41" s="4"/>
      <c r="D41" s="4"/>
      <c r="E41" s="4"/>
      <c r="F41" s="4"/>
      <c r="G41" s="4"/>
      <c r="H41" s="4"/>
      <c r="I41" s="24"/>
      <c r="J41" s="4"/>
      <c r="K41" s="4"/>
      <c r="L41" s="4"/>
      <c r="M41" s="4"/>
      <c r="N41" s="4"/>
    </row>
    <row r="42" spans="1:14">
      <c r="A42" s="4"/>
      <c r="B42" s="4"/>
      <c r="C42" s="4"/>
      <c r="D42" s="4"/>
      <c r="E42" s="4"/>
      <c r="F42" s="4"/>
      <c r="G42" s="4"/>
      <c r="H42" s="4"/>
      <c r="I42" s="24"/>
      <c r="J42" s="4"/>
      <c r="K42" s="4"/>
      <c r="L42" s="4"/>
      <c r="M42" s="4"/>
      <c r="N42" s="4"/>
    </row>
    <row r="43" spans="1:14">
      <c r="A43" s="4"/>
      <c r="B43" s="4"/>
      <c r="C43" s="4"/>
      <c r="D43" s="4"/>
      <c r="E43" s="4"/>
      <c r="F43" s="4"/>
      <c r="G43" s="4"/>
      <c r="H43" s="4"/>
      <c r="I43" s="24"/>
      <c r="J43" s="4"/>
      <c r="K43" s="4"/>
      <c r="L43" s="4"/>
      <c r="M43" s="4"/>
      <c r="N43" s="4"/>
    </row>
    <row r="44" spans="1:14">
      <c r="A44" s="4"/>
      <c r="B44" s="4"/>
      <c r="C44" s="4"/>
      <c r="D44" s="4"/>
      <c r="E44" s="4"/>
      <c r="F44" s="4"/>
      <c r="G44" s="4"/>
      <c r="H44" s="4"/>
      <c r="I44" s="24"/>
      <c r="J44" s="4"/>
      <c r="K44" s="4"/>
      <c r="L44" s="4"/>
      <c r="M44" s="4"/>
      <c r="N44" s="4"/>
    </row>
    <row r="45" spans="1:14">
      <c r="A45" s="4"/>
      <c r="B45" s="4"/>
      <c r="C45" s="4"/>
      <c r="D45" s="4"/>
      <c r="E45" s="4"/>
      <c r="F45" s="4"/>
      <c r="G45" s="4"/>
      <c r="H45" s="4"/>
      <c r="I45" s="24"/>
      <c r="J45" s="4"/>
      <c r="K45" s="4"/>
      <c r="L45" s="4"/>
      <c r="M45" s="4"/>
      <c r="N45" s="4"/>
    </row>
    <row r="46" spans="1:14">
      <c r="A46" s="4"/>
      <c r="B46" s="4"/>
      <c r="C46" s="4"/>
      <c r="D46" s="4"/>
      <c r="E46" s="4"/>
      <c r="F46" s="4"/>
      <c r="G46" s="4"/>
      <c r="H46" s="4"/>
      <c r="I46" s="24"/>
      <c r="J46" s="4"/>
      <c r="K46" s="4"/>
      <c r="L46" s="4"/>
      <c r="M46" s="4"/>
      <c r="N46" s="4"/>
    </row>
    <row r="47" spans="1:14">
      <c r="A47" s="4"/>
      <c r="B47" s="4"/>
      <c r="C47" s="4"/>
      <c r="D47" s="4"/>
      <c r="E47" s="4"/>
      <c r="F47" s="4"/>
      <c r="G47" s="4"/>
      <c r="H47" s="4"/>
      <c r="I47" s="24"/>
      <c r="J47" s="4"/>
      <c r="K47" s="4"/>
      <c r="L47" s="4"/>
      <c r="M47" s="4"/>
      <c r="N47" s="4"/>
    </row>
    <row r="48" spans="1:14">
      <c r="A48" s="4"/>
      <c r="B48" s="4"/>
      <c r="C48" s="4"/>
      <c r="D48" s="4"/>
      <c r="E48" s="4"/>
      <c r="F48" s="4"/>
      <c r="G48" s="4"/>
      <c r="H48" s="4"/>
      <c r="I48" s="24"/>
      <c r="J48" s="4"/>
      <c r="K48" s="4"/>
      <c r="L48" s="4"/>
      <c r="M48" s="4"/>
      <c r="N48" s="4"/>
    </row>
    <row r="49" spans="1:14">
      <c r="A49" s="4"/>
      <c r="B49" s="4"/>
      <c r="C49" s="4"/>
      <c r="D49" s="4"/>
      <c r="E49" s="4"/>
      <c r="F49" s="4"/>
      <c r="G49" s="4"/>
      <c r="H49" s="4"/>
      <c r="I49" s="24"/>
      <c r="J49" s="4"/>
      <c r="K49" s="4"/>
      <c r="L49" s="4"/>
      <c r="M49" s="4"/>
      <c r="N49" s="4"/>
    </row>
    <row r="50" spans="1:14">
      <c r="A50" s="4"/>
      <c r="B50" s="4"/>
      <c r="C50" s="4"/>
      <c r="D50" s="4"/>
      <c r="E50" s="4"/>
      <c r="F50" s="4"/>
      <c r="G50" s="4"/>
      <c r="H50" s="4"/>
      <c r="I50" s="24"/>
      <c r="J50" s="4"/>
      <c r="K50" s="4"/>
      <c r="L50" s="4"/>
      <c r="M50" s="4"/>
      <c r="N50" s="4"/>
    </row>
    <row r="51" spans="1:14">
      <c r="A51" s="4"/>
      <c r="B51" s="4"/>
      <c r="C51" s="4"/>
      <c r="D51" s="4"/>
      <c r="E51" s="4"/>
      <c r="F51" s="4"/>
      <c r="G51" s="4"/>
      <c r="H51" s="4"/>
      <c r="I51" s="24"/>
      <c r="J51" s="4"/>
      <c r="K51" s="4"/>
      <c r="L51" s="4"/>
      <c r="M51" s="4"/>
      <c r="N51" s="4"/>
    </row>
    <row r="52" spans="1:14">
      <c r="A52" s="4"/>
      <c r="B52" s="4"/>
      <c r="C52" s="4"/>
      <c r="D52" s="4"/>
      <c r="E52" s="4"/>
      <c r="F52" s="4"/>
      <c r="G52" s="4"/>
      <c r="H52" s="4"/>
      <c r="I52" s="24"/>
      <c r="J52" s="4"/>
      <c r="K52" s="4"/>
      <c r="L52" s="4"/>
      <c r="M52" s="4"/>
      <c r="N52" s="4"/>
    </row>
    <row r="53" spans="1:14">
      <c r="A53" s="4"/>
      <c r="B53" s="4"/>
      <c r="C53" s="4"/>
      <c r="D53" s="4"/>
      <c r="E53" s="4"/>
      <c r="F53" s="4"/>
      <c r="G53" s="4"/>
      <c r="H53" s="4"/>
      <c r="I53" s="24"/>
      <c r="J53" s="4"/>
      <c r="K53" s="4"/>
      <c r="L53" s="4"/>
      <c r="M53" s="4"/>
      <c r="N53" s="4"/>
    </row>
    <row r="54" spans="1:14">
      <c r="A54" s="4"/>
      <c r="B54" s="4"/>
      <c r="C54" s="4"/>
      <c r="D54" s="4"/>
      <c r="E54" s="4"/>
      <c r="F54" s="4"/>
      <c r="G54" s="4"/>
      <c r="H54" s="4"/>
      <c r="I54" s="24"/>
      <c r="J54" s="4"/>
      <c r="K54" s="4"/>
      <c r="L54" s="4"/>
      <c r="M54" s="4"/>
      <c r="N54" s="4"/>
    </row>
    <row r="55" spans="1:14">
      <c r="A55" s="4"/>
      <c r="B55" s="4"/>
      <c r="C55" s="4"/>
      <c r="D55" s="4"/>
      <c r="E55" s="4"/>
      <c r="F55" s="4"/>
      <c r="G55" s="4"/>
      <c r="H55" s="4"/>
      <c r="I55" s="24"/>
      <c r="J55" s="4"/>
      <c r="K55" s="4"/>
      <c r="L55" s="4"/>
      <c r="M55" s="4"/>
      <c r="N55" s="4"/>
    </row>
    <row r="56" spans="1:14">
      <c r="A56" s="4"/>
      <c r="B56" s="4"/>
      <c r="C56" s="4"/>
      <c r="D56" s="4"/>
      <c r="E56" s="4"/>
      <c r="F56" s="4"/>
      <c r="G56" s="4"/>
      <c r="H56" s="4"/>
      <c r="I56" s="24"/>
      <c r="J56" s="4"/>
      <c r="K56" s="4"/>
      <c r="L56" s="4"/>
      <c r="M56" s="4"/>
      <c r="N56" s="4"/>
    </row>
    <row r="57" spans="1:14">
      <c r="A57" s="4"/>
      <c r="B57" s="4"/>
      <c r="C57" s="4"/>
      <c r="D57" s="4"/>
      <c r="E57" s="4"/>
      <c r="F57" s="4"/>
      <c r="G57" s="4"/>
      <c r="H57" s="4"/>
      <c r="I57" s="24"/>
      <c r="J57" s="4"/>
      <c r="K57" s="4"/>
      <c r="L57" s="4"/>
      <c r="M57" s="4"/>
      <c r="N57" s="4"/>
    </row>
    <row r="58" spans="1:14">
      <c r="A58" s="4"/>
      <c r="B58" s="4"/>
      <c r="C58" s="4"/>
      <c r="D58" s="4"/>
      <c r="E58" s="4"/>
      <c r="F58" s="4"/>
      <c r="G58" s="4"/>
      <c r="H58" s="4"/>
      <c r="I58" s="24"/>
      <c r="J58" s="4"/>
      <c r="K58" s="4"/>
      <c r="L58" s="4"/>
      <c r="M58" s="4"/>
      <c r="N58" s="4"/>
    </row>
    <row r="59" spans="1:14">
      <c r="A59" s="4"/>
      <c r="B59" s="4"/>
      <c r="C59" s="4"/>
      <c r="D59" s="4"/>
      <c r="E59" s="4"/>
      <c r="F59" s="4"/>
      <c r="G59" s="4"/>
      <c r="H59" s="4"/>
      <c r="I59" s="24"/>
      <c r="J59" s="4"/>
      <c r="K59" s="4"/>
      <c r="L59" s="4"/>
      <c r="M59" s="4"/>
      <c r="N59" s="4"/>
    </row>
    <row r="60" spans="1:14">
      <c r="A60" s="4"/>
      <c r="B60" s="4"/>
      <c r="C60" s="4"/>
      <c r="D60" s="4"/>
      <c r="E60" s="4"/>
      <c r="F60" s="4"/>
      <c r="G60" s="4"/>
      <c r="H60" s="4"/>
      <c r="I60" s="24"/>
      <c r="J60" s="4"/>
      <c r="K60" s="4"/>
      <c r="L60" s="4"/>
      <c r="M60" s="4"/>
      <c r="N60" s="4"/>
    </row>
    <row r="61" spans="1:14">
      <c r="A61" s="4"/>
      <c r="B61" s="4"/>
      <c r="C61" s="4"/>
      <c r="D61" s="4"/>
      <c r="E61" s="4"/>
      <c r="F61" s="4"/>
      <c r="G61" s="4"/>
      <c r="H61" s="4"/>
      <c r="I61" s="24"/>
      <c r="J61" s="4"/>
      <c r="K61" s="4"/>
      <c r="L61" s="4"/>
      <c r="M61" s="4"/>
      <c r="N61" s="4"/>
    </row>
    <row r="62" spans="1:14">
      <c r="A62" s="4"/>
      <c r="B62" s="4"/>
      <c r="C62" s="4"/>
      <c r="D62" s="4"/>
      <c r="E62" s="4"/>
      <c r="F62" s="4"/>
      <c r="G62" s="4"/>
      <c r="H62" s="4"/>
      <c r="I62" s="24"/>
      <c r="J62" s="4"/>
      <c r="K62" s="4"/>
      <c r="L62" s="4"/>
      <c r="M62" s="4"/>
      <c r="N62" s="4"/>
    </row>
    <row r="63" spans="1:14">
      <c r="A63" s="4"/>
      <c r="B63" s="4"/>
      <c r="C63" s="4"/>
      <c r="D63" s="4"/>
      <c r="E63" s="4"/>
      <c r="F63" s="4"/>
      <c r="G63" s="4"/>
      <c r="H63" s="4"/>
      <c r="I63" s="24"/>
      <c r="J63" s="4"/>
      <c r="K63" s="4"/>
      <c r="L63" s="4"/>
      <c r="M63" s="4"/>
      <c r="N63" s="4"/>
    </row>
    <row r="64" spans="1:14">
      <c r="A64" s="4"/>
      <c r="B64" s="4"/>
      <c r="C64" s="4"/>
      <c r="D64" s="4"/>
      <c r="E64" s="4"/>
      <c r="F64" s="4"/>
      <c r="G64" s="4"/>
      <c r="H64" s="4"/>
      <c r="I64" s="24"/>
      <c r="J64" s="4"/>
      <c r="K64" s="4"/>
      <c r="L64" s="4"/>
      <c r="M64" s="4"/>
      <c r="N64" s="4"/>
    </row>
    <row r="65" spans="1:14">
      <c r="A65" s="4"/>
      <c r="B65" s="4"/>
      <c r="C65" s="4"/>
      <c r="D65" s="4"/>
      <c r="E65" s="4"/>
      <c r="F65" s="4"/>
      <c r="G65" s="4"/>
      <c r="H65" s="4"/>
      <c r="I65" s="24"/>
      <c r="J65" s="4"/>
      <c r="K65" s="4"/>
      <c r="L65" s="4"/>
      <c r="M65" s="4"/>
      <c r="N65" s="4"/>
    </row>
    <row r="66" spans="1:14">
      <c r="A66" s="4"/>
      <c r="B66" s="4"/>
      <c r="C66" s="4"/>
      <c r="D66" s="4"/>
      <c r="E66" s="4"/>
      <c r="F66" s="4"/>
      <c r="G66" s="4"/>
      <c r="H66" s="4"/>
      <c r="I66" s="2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I67" s="2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2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2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2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2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2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2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2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24"/>
      <c r="J75" s="4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I76" s="24"/>
      <c r="J76" s="4"/>
      <c r="K76" s="4"/>
      <c r="L76" s="4"/>
      <c r="M76" s="4"/>
      <c r="N76" s="4"/>
    </row>
    <row r="77" spans="1:14">
      <c r="A77" s="4"/>
      <c r="B77" s="4"/>
      <c r="C77" s="4"/>
      <c r="D77" s="4"/>
      <c r="E77" s="4"/>
      <c r="F77" s="4"/>
      <c r="G77" s="4"/>
      <c r="H77" s="4"/>
      <c r="I77" s="24"/>
      <c r="J77" s="4"/>
      <c r="K77" s="4"/>
      <c r="L77" s="4"/>
      <c r="M77" s="4"/>
      <c r="N77" s="4"/>
    </row>
    <row r="78" spans="1:14">
      <c r="A78" s="4"/>
      <c r="B78" s="4"/>
      <c r="C78" s="4"/>
      <c r="D78" s="4"/>
      <c r="E78" s="4"/>
      <c r="F78" s="4"/>
      <c r="G78" s="4"/>
      <c r="H78" s="4"/>
      <c r="I78" s="24"/>
      <c r="J78" s="4"/>
      <c r="K78" s="4"/>
      <c r="L78" s="4"/>
      <c r="M78" s="4"/>
      <c r="N78" s="4"/>
    </row>
    <row r="79" spans="1:14">
      <c r="A79" s="4"/>
      <c r="B79" s="4"/>
      <c r="C79" s="4"/>
      <c r="D79" s="4"/>
      <c r="E79" s="4"/>
      <c r="F79" s="4"/>
      <c r="G79" s="4"/>
      <c r="H79" s="4"/>
      <c r="I79" s="24"/>
      <c r="J79" s="4"/>
      <c r="K79" s="4"/>
      <c r="L79" s="4"/>
      <c r="M79" s="4"/>
      <c r="N79" s="4"/>
    </row>
    <row r="80" spans="1:14">
      <c r="A80" s="4"/>
      <c r="B80" s="4"/>
      <c r="C80" s="4"/>
      <c r="D80" s="4"/>
      <c r="E80" s="4"/>
      <c r="F80" s="4"/>
      <c r="G80" s="4"/>
      <c r="H80" s="4"/>
      <c r="I80" s="24"/>
      <c r="J80" s="4"/>
      <c r="K80" s="4"/>
      <c r="L80" s="4"/>
      <c r="M80" s="4"/>
      <c r="N80" s="4"/>
    </row>
    <row r="81" spans="1:14">
      <c r="A81" s="4"/>
      <c r="B81" s="4"/>
      <c r="C81" s="4"/>
      <c r="D81" s="4"/>
      <c r="E81" s="4"/>
      <c r="F81" s="4"/>
      <c r="G81" s="4"/>
      <c r="H81" s="4"/>
      <c r="I81" s="24"/>
      <c r="J81" s="4"/>
      <c r="K81" s="4"/>
      <c r="L81" s="4"/>
      <c r="M81" s="4"/>
      <c r="N81" s="4"/>
    </row>
    <row r="82" spans="1:14">
      <c r="A82" s="4"/>
      <c r="B82" s="4"/>
      <c r="C82" s="4"/>
      <c r="D82" s="4"/>
      <c r="E82" s="4"/>
      <c r="F82" s="4"/>
      <c r="G82" s="4"/>
      <c r="H82" s="4"/>
      <c r="I82" s="24"/>
      <c r="J82" s="4"/>
      <c r="K82" s="4"/>
      <c r="L82" s="4"/>
      <c r="M82" s="4"/>
      <c r="N82" s="4"/>
    </row>
    <row r="83" spans="1:14">
      <c r="A83" s="4"/>
      <c r="B83" s="4"/>
      <c r="C83" s="4"/>
      <c r="D83" s="4"/>
      <c r="E83" s="4"/>
      <c r="F83" s="4"/>
      <c r="G83" s="4"/>
      <c r="H83" s="4"/>
      <c r="I83" s="24"/>
      <c r="J83" s="4"/>
      <c r="K83" s="4"/>
      <c r="L83" s="4"/>
      <c r="M83" s="4"/>
      <c r="N83" s="4"/>
    </row>
    <row r="84" spans="1:14">
      <c r="A84" s="4"/>
      <c r="B84" s="4"/>
      <c r="C84" s="4"/>
      <c r="D84" s="4"/>
      <c r="E84" s="4"/>
      <c r="F84" s="4"/>
      <c r="G84" s="4"/>
      <c r="H84" s="4"/>
      <c r="I84" s="24"/>
      <c r="J84" s="4"/>
      <c r="K84" s="4"/>
      <c r="L84" s="4"/>
      <c r="M84" s="4"/>
      <c r="N84" s="4"/>
    </row>
    <row r="85" spans="1:14">
      <c r="A85" s="4"/>
      <c r="B85" s="4"/>
      <c r="C85" s="4"/>
      <c r="D85" s="4"/>
      <c r="E85" s="4"/>
      <c r="F85" s="4"/>
      <c r="G85" s="4"/>
      <c r="H85" s="4"/>
      <c r="I85" s="24"/>
      <c r="J85" s="4"/>
      <c r="K85" s="4"/>
      <c r="L85" s="4"/>
      <c r="M85" s="4"/>
      <c r="N85" s="4"/>
    </row>
    <row r="86" spans="1:14">
      <c r="A86" s="4"/>
      <c r="B86" s="4"/>
      <c r="C86" s="4"/>
      <c r="D86" s="4"/>
      <c r="E86" s="4"/>
      <c r="F86" s="4"/>
      <c r="G86" s="4"/>
      <c r="H86" s="4"/>
      <c r="I86" s="24"/>
      <c r="J86" s="4"/>
      <c r="K86" s="4"/>
      <c r="L86" s="4"/>
      <c r="M86" s="4"/>
      <c r="N86" s="4"/>
    </row>
    <row r="87" spans="1:14">
      <c r="A87" s="4"/>
      <c r="B87" s="4"/>
      <c r="C87" s="4"/>
      <c r="D87" s="4"/>
      <c r="E87" s="4"/>
      <c r="F87" s="4"/>
      <c r="G87" s="4"/>
      <c r="H87" s="4"/>
      <c r="I87" s="24"/>
      <c r="J87" s="4"/>
      <c r="K87" s="4"/>
      <c r="L87" s="4"/>
      <c r="M87" s="4"/>
      <c r="N87" s="4"/>
    </row>
    <row r="88" spans="1:14">
      <c r="A88" s="4"/>
      <c r="B88" s="4"/>
      <c r="C88" s="4"/>
      <c r="D88" s="4"/>
      <c r="E88" s="4"/>
      <c r="F88" s="4"/>
      <c r="G88" s="4"/>
      <c r="H88" s="4"/>
      <c r="I88" s="24"/>
      <c r="J88" s="4"/>
      <c r="K88" s="4"/>
      <c r="L88" s="4"/>
      <c r="M88" s="4"/>
      <c r="N88" s="4"/>
    </row>
    <row r="89" spans="1:14">
      <c r="A89" s="4"/>
      <c r="B89" s="4"/>
      <c r="C89" s="4"/>
      <c r="D89" s="4"/>
      <c r="E89" s="4"/>
      <c r="F89" s="4"/>
      <c r="G89" s="4"/>
      <c r="H89" s="4"/>
      <c r="I89" s="24"/>
      <c r="J89" s="4"/>
      <c r="K89" s="4"/>
      <c r="L89" s="4"/>
      <c r="M89" s="4"/>
      <c r="N89" s="4"/>
    </row>
    <row r="90" spans="1:14">
      <c r="A90" s="4"/>
      <c r="B90" s="4"/>
      <c r="C90" s="4"/>
      <c r="D90" s="4"/>
      <c r="E90" s="4"/>
      <c r="F90" s="4"/>
      <c r="G90" s="4"/>
      <c r="H90" s="4"/>
      <c r="I90" s="24"/>
      <c r="J90" s="4"/>
      <c r="K90" s="4"/>
      <c r="L90" s="4"/>
      <c r="M90" s="4"/>
      <c r="N90" s="4"/>
    </row>
    <row r="91" spans="1:14">
      <c r="A91" s="4"/>
      <c r="B91" s="4"/>
      <c r="C91" s="4"/>
      <c r="D91" s="4"/>
      <c r="E91" s="4"/>
      <c r="F91" s="4"/>
      <c r="G91" s="4"/>
      <c r="H91" s="4"/>
      <c r="I91" s="24"/>
      <c r="J91" s="4"/>
      <c r="K91" s="4"/>
      <c r="L91" s="4"/>
      <c r="M91" s="4"/>
      <c r="N91" s="4"/>
    </row>
    <row r="92" spans="1:14">
      <c r="A92" s="4"/>
      <c r="B92" s="4"/>
      <c r="C92" s="4"/>
      <c r="D92" s="4"/>
      <c r="E92" s="4"/>
      <c r="F92" s="4"/>
      <c r="G92" s="4"/>
      <c r="H92" s="4"/>
      <c r="I92" s="24"/>
      <c r="J92" s="4"/>
      <c r="K92" s="4"/>
      <c r="L92" s="4"/>
      <c r="M92" s="4"/>
      <c r="N92" s="4"/>
    </row>
    <row r="93" spans="1:14">
      <c r="A93" s="4"/>
      <c r="B93" s="4"/>
      <c r="C93" s="4"/>
      <c r="D93" s="4"/>
      <c r="E93" s="4"/>
      <c r="F93" s="4"/>
      <c r="G93" s="4"/>
      <c r="H93" s="4"/>
      <c r="I93" s="24"/>
      <c r="J93" s="4"/>
      <c r="K93" s="4"/>
      <c r="L93" s="4"/>
      <c r="M93" s="4"/>
      <c r="N93" s="4"/>
    </row>
    <row r="94" spans="1:14">
      <c r="A94" s="4"/>
      <c r="B94" s="4"/>
      <c r="C94" s="4"/>
      <c r="D94" s="4"/>
      <c r="E94" s="4"/>
      <c r="F94" s="4"/>
      <c r="G94" s="4"/>
      <c r="H94" s="4"/>
      <c r="I94" s="24"/>
      <c r="J94" s="4"/>
      <c r="K94" s="4"/>
      <c r="L94" s="4"/>
      <c r="M94" s="4"/>
      <c r="N94" s="4"/>
    </row>
    <row r="95" spans="1:14">
      <c r="A95" s="4"/>
      <c r="B95" s="4"/>
      <c r="C95" s="4"/>
      <c r="D95" s="4"/>
      <c r="E95" s="4"/>
      <c r="F95" s="4"/>
      <c r="G95" s="4"/>
      <c r="H95" s="4"/>
      <c r="I95" s="24"/>
      <c r="J95" s="4"/>
      <c r="K95" s="4"/>
      <c r="L95" s="4"/>
      <c r="M95" s="4"/>
      <c r="N95" s="4"/>
    </row>
    <row r="96" spans="1:14">
      <c r="A96" s="4"/>
      <c r="B96" s="4"/>
      <c r="C96" s="4"/>
      <c r="D96" s="4"/>
      <c r="E96" s="4"/>
      <c r="F96" s="4"/>
      <c r="G96" s="4"/>
      <c r="H96" s="4"/>
      <c r="I96" s="24"/>
      <c r="J96" s="4"/>
      <c r="K96" s="4"/>
      <c r="L96" s="4"/>
      <c r="M96" s="4"/>
      <c r="N96" s="4"/>
    </row>
    <row r="97" spans="1:14">
      <c r="A97" s="4"/>
      <c r="B97" s="4"/>
      <c r="C97" s="4"/>
      <c r="D97" s="4"/>
      <c r="E97" s="4"/>
      <c r="F97" s="4"/>
      <c r="G97" s="4"/>
      <c r="H97" s="4"/>
      <c r="I97" s="24"/>
      <c r="J97" s="4"/>
      <c r="K97" s="4"/>
      <c r="L97" s="4"/>
      <c r="M97" s="4"/>
      <c r="N97" s="4"/>
    </row>
    <row r="98" spans="1:14">
      <c r="A98" s="4"/>
      <c r="B98" s="4"/>
      <c r="C98" s="4"/>
      <c r="D98" s="4"/>
      <c r="E98" s="4"/>
      <c r="F98" s="4"/>
      <c r="G98" s="4"/>
      <c r="H98" s="4"/>
      <c r="I98" s="24"/>
      <c r="J98" s="4"/>
      <c r="K98" s="4"/>
      <c r="L98" s="4"/>
      <c r="M98" s="4"/>
      <c r="N98" s="4"/>
    </row>
    <row r="99" spans="1:14">
      <c r="A99" s="4"/>
      <c r="B99" s="4"/>
      <c r="C99" s="4"/>
      <c r="D99" s="4"/>
      <c r="E99" s="4"/>
      <c r="F99" s="4"/>
      <c r="G99" s="4"/>
      <c r="H99" s="4"/>
      <c r="I99" s="24"/>
      <c r="J99" s="4"/>
      <c r="K99" s="4"/>
      <c r="L99" s="4"/>
      <c r="M99" s="4"/>
      <c r="N99" s="4"/>
    </row>
    <row r="100" spans="1:14">
      <c r="A100" s="4"/>
      <c r="B100" s="4"/>
      <c r="C100" s="4"/>
      <c r="D100" s="4"/>
      <c r="E100" s="4"/>
      <c r="F100" s="4"/>
      <c r="G100" s="4"/>
      <c r="H100" s="4"/>
      <c r="I100" s="24"/>
      <c r="J100" s="4"/>
      <c r="K100" s="4"/>
      <c r="L100" s="4"/>
      <c r="M100" s="4"/>
      <c r="N100" s="4"/>
    </row>
    <row r="101" spans="1:14">
      <c r="A101" s="4"/>
      <c r="B101" s="4"/>
      <c r="C101" s="4"/>
      <c r="D101" s="4"/>
      <c r="E101" s="4"/>
      <c r="F101" s="4"/>
      <c r="G101" s="4"/>
      <c r="H101" s="4"/>
      <c r="I101" s="24"/>
      <c r="J101" s="4"/>
      <c r="K101" s="4"/>
      <c r="L101" s="4"/>
      <c r="M101" s="4"/>
      <c r="N101" s="4"/>
    </row>
    <row r="102" spans="1:14">
      <c r="A102" s="4"/>
      <c r="B102" s="4"/>
      <c r="C102" s="4"/>
      <c r="D102" s="4"/>
      <c r="E102" s="4"/>
      <c r="F102" s="4"/>
      <c r="G102" s="4"/>
      <c r="H102" s="4"/>
      <c r="I102" s="24"/>
      <c r="J102" s="4"/>
      <c r="K102" s="4"/>
      <c r="L102" s="4"/>
      <c r="M102" s="4"/>
      <c r="N102" s="4"/>
    </row>
    <row r="103" spans="1:14">
      <c r="A103" s="4"/>
      <c r="B103" s="4"/>
      <c r="C103" s="4"/>
      <c r="D103" s="4"/>
      <c r="E103" s="4"/>
      <c r="F103" s="4"/>
      <c r="G103" s="4"/>
      <c r="H103" s="4"/>
      <c r="I103" s="24"/>
      <c r="J103" s="4"/>
      <c r="K103" s="4"/>
      <c r="L103" s="4"/>
      <c r="M103" s="4"/>
      <c r="N103" s="4"/>
    </row>
    <row r="104" spans="1:14">
      <c r="A104" s="4"/>
      <c r="B104" s="4"/>
      <c r="C104" s="4"/>
      <c r="D104" s="4"/>
      <c r="E104" s="4"/>
      <c r="F104" s="4"/>
      <c r="G104" s="4"/>
      <c r="H104" s="4"/>
      <c r="I104" s="24"/>
      <c r="J104" s="4"/>
      <c r="K104" s="4"/>
      <c r="L104" s="4"/>
      <c r="M104" s="4"/>
      <c r="N104" s="4"/>
    </row>
    <row r="105" spans="1:14">
      <c r="A105" s="4"/>
      <c r="B105" s="4"/>
      <c r="C105" s="4"/>
      <c r="D105" s="4"/>
      <c r="E105" s="4"/>
      <c r="F105" s="4"/>
      <c r="G105" s="4"/>
      <c r="H105" s="4"/>
      <c r="I105" s="24"/>
      <c r="J105" s="4"/>
      <c r="K105" s="4"/>
      <c r="L105" s="4"/>
      <c r="M105" s="4"/>
      <c r="N105" s="4"/>
    </row>
    <row r="106" spans="1:14">
      <c r="A106" s="4"/>
      <c r="B106" s="4"/>
      <c r="C106" s="4"/>
      <c r="D106" s="4"/>
      <c r="E106" s="4"/>
      <c r="F106" s="4"/>
      <c r="G106" s="4"/>
      <c r="H106" s="4"/>
      <c r="I106" s="24"/>
      <c r="J106" s="4"/>
      <c r="K106" s="4"/>
      <c r="L106" s="4"/>
      <c r="M106" s="4"/>
      <c r="N106" s="4"/>
    </row>
    <row r="107" spans="1:14">
      <c r="A107" s="4"/>
      <c r="B107" s="4"/>
      <c r="C107" s="4"/>
      <c r="D107" s="4"/>
      <c r="E107" s="4"/>
      <c r="F107" s="4"/>
      <c r="G107" s="4"/>
      <c r="H107" s="4"/>
      <c r="I107" s="24"/>
      <c r="J107" s="4"/>
      <c r="K107" s="4"/>
      <c r="L107" s="4"/>
      <c r="M107" s="4"/>
      <c r="N107" s="4"/>
    </row>
    <row r="108" spans="1:14">
      <c r="A108" s="4"/>
      <c r="B108" s="4"/>
      <c r="C108" s="4"/>
      <c r="D108" s="4"/>
      <c r="E108" s="4"/>
      <c r="F108" s="4"/>
      <c r="G108" s="4"/>
      <c r="H108" s="4"/>
      <c r="I108" s="24"/>
      <c r="J108" s="4"/>
      <c r="K108" s="4"/>
      <c r="L108" s="4"/>
      <c r="M108" s="4"/>
      <c r="N108" s="4"/>
    </row>
    <row r="109" spans="1:14">
      <c r="A109" s="4"/>
      <c r="B109" s="4"/>
      <c r="C109" s="4"/>
      <c r="D109" s="4"/>
      <c r="E109" s="4"/>
      <c r="F109" s="4"/>
      <c r="G109" s="4"/>
      <c r="H109" s="4"/>
      <c r="I109" s="24"/>
      <c r="J109" s="4"/>
      <c r="K109" s="4"/>
      <c r="L109" s="4"/>
      <c r="M109" s="4"/>
      <c r="N109" s="4"/>
    </row>
    <row r="110" spans="1:14">
      <c r="A110" s="4"/>
      <c r="B110" s="4"/>
      <c r="C110" s="4"/>
      <c r="D110" s="4"/>
      <c r="E110" s="4"/>
      <c r="F110" s="4"/>
      <c r="G110" s="4"/>
      <c r="H110" s="4"/>
      <c r="I110" s="24"/>
      <c r="J110" s="4"/>
      <c r="K110" s="4"/>
      <c r="L110" s="4"/>
      <c r="M110" s="4"/>
      <c r="N110" s="4"/>
    </row>
    <row r="111" spans="1:14">
      <c r="A111" s="4"/>
      <c r="B111" s="4"/>
      <c r="C111" s="4"/>
      <c r="D111" s="4"/>
      <c r="E111" s="4"/>
      <c r="F111" s="4"/>
      <c r="G111" s="4"/>
      <c r="H111" s="4"/>
      <c r="I111" s="24"/>
      <c r="J111" s="4"/>
      <c r="K111" s="4"/>
      <c r="L111" s="4"/>
      <c r="M111" s="4"/>
      <c r="N111" s="4"/>
    </row>
    <row r="112" spans="1:14">
      <c r="A112" s="4"/>
      <c r="B112" s="4"/>
      <c r="C112" s="4"/>
      <c r="D112" s="4"/>
      <c r="E112" s="4"/>
      <c r="F112" s="4"/>
      <c r="G112" s="4"/>
      <c r="H112" s="4"/>
      <c r="I112" s="24"/>
      <c r="J112" s="4"/>
      <c r="K112" s="4"/>
      <c r="L112" s="4"/>
      <c r="M112" s="4"/>
      <c r="N112" s="4"/>
    </row>
    <row r="113" spans="1:14">
      <c r="A113" s="4"/>
      <c r="B113" s="4"/>
      <c r="C113" s="4"/>
      <c r="D113" s="4"/>
      <c r="E113" s="4"/>
      <c r="F113" s="4"/>
      <c r="G113" s="4"/>
      <c r="H113" s="4"/>
      <c r="I113" s="24"/>
      <c r="J113" s="4"/>
      <c r="K113" s="4"/>
      <c r="L113" s="4"/>
      <c r="M113" s="4"/>
      <c r="N113" s="4"/>
    </row>
    <row r="114" spans="1:14">
      <c r="A114" s="4"/>
      <c r="B114" s="4"/>
      <c r="C114" s="4"/>
      <c r="D114" s="4"/>
      <c r="E114" s="4"/>
      <c r="F114" s="4"/>
      <c r="G114" s="4"/>
      <c r="H114" s="4"/>
      <c r="I114" s="24"/>
      <c r="J114" s="4"/>
      <c r="K114" s="4"/>
      <c r="L114" s="4"/>
      <c r="M114" s="4"/>
      <c r="N114" s="4"/>
    </row>
    <row r="115" spans="1:14">
      <c r="A115" s="4"/>
      <c r="B115" s="4"/>
      <c r="C115" s="4"/>
      <c r="D115" s="4"/>
      <c r="E115" s="4"/>
      <c r="F115" s="4"/>
      <c r="G115" s="4"/>
      <c r="H115" s="4"/>
      <c r="I115" s="24"/>
      <c r="J115" s="4"/>
      <c r="K115" s="4"/>
      <c r="L115" s="4"/>
      <c r="M115" s="4"/>
      <c r="N115" s="4"/>
    </row>
    <row r="116" spans="1:14">
      <c r="A116" s="4"/>
      <c r="B116" s="4"/>
      <c r="C116" s="4"/>
      <c r="D116" s="4"/>
      <c r="E116" s="4"/>
      <c r="F116" s="4"/>
      <c r="G116" s="4"/>
      <c r="H116" s="4"/>
      <c r="I116" s="24"/>
      <c r="J116" s="4"/>
      <c r="K116" s="4"/>
      <c r="L116" s="4"/>
      <c r="M116" s="4"/>
      <c r="N116" s="4"/>
    </row>
    <row r="117" spans="1:14">
      <c r="A117" s="4"/>
      <c r="B117" s="4"/>
      <c r="C117" s="4"/>
      <c r="D117" s="4"/>
      <c r="E117" s="4"/>
      <c r="F117" s="4"/>
      <c r="G117" s="4"/>
      <c r="H117" s="4"/>
      <c r="I117" s="24"/>
      <c r="J117" s="4"/>
      <c r="K117" s="4"/>
      <c r="L117" s="4"/>
      <c r="M117" s="4"/>
      <c r="N117" s="4"/>
    </row>
    <row r="118" spans="1:14">
      <c r="A118" s="4"/>
      <c r="B118" s="4"/>
      <c r="C118" s="4"/>
      <c r="D118" s="4"/>
      <c r="E118" s="4"/>
      <c r="F118" s="4"/>
      <c r="G118" s="4"/>
      <c r="H118" s="4"/>
      <c r="I118" s="24"/>
      <c r="J118" s="4"/>
      <c r="K118" s="4"/>
      <c r="L118" s="4"/>
      <c r="M118" s="4"/>
      <c r="N118" s="4"/>
    </row>
    <row r="119" spans="1:14">
      <c r="A119" s="4"/>
      <c r="B119" s="4"/>
      <c r="C119" s="4"/>
      <c r="D119" s="4"/>
      <c r="E119" s="4"/>
      <c r="F119" s="4"/>
      <c r="G119" s="4"/>
      <c r="H119" s="4"/>
      <c r="I119" s="24"/>
      <c r="J119" s="4"/>
      <c r="K119" s="4"/>
      <c r="L119" s="4"/>
      <c r="M119" s="4"/>
      <c r="N119" s="4"/>
    </row>
    <row r="120" spans="1:14">
      <c r="A120" s="4"/>
      <c r="B120" s="4"/>
      <c r="C120" s="4"/>
      <c r="D120" s="4"/>
      <c r="E120" s="4"/>
      <c r="F120" s="4"/>
      <c r="G120" s="4"/>
      <c r="H120" s="4"/>
      <c r="I120" s="24"/>
      <c r="J120" s="4"/>
      <c r="K120" s="4"/>
      <c r="L120" s="4"/>
      <c r="M120" s="4"/>
      <c r="N120" s="4"/>
    </row>
    <row r="121" spans="1:14">
      <c r="A121" s="4"/>
      <c r="B121" s="4"/>
      <c r="C121" s="4"/>
      <c r="D121" s="4"/>
      <c r="E121" s="4"/>
      <c r="F121" s="4"/>
      <c r="G121" s="4"/>
      <c r="H121" s="4"/>
      <c r="I121" s="24"/>
      <c r="J121" s="4"/>
      <c r="K121" s="4"/>
      <c r="L121" s="4"/>
      <c r="M121" s="4"/>
      <c r="N121" s="4"/>
    </row>
    <row r="122" spans="1:14">
      <c r="A122" s="4"/>
      <c r="B122" s="4"/>
      <c r="C122" s="4"/>
      <c r="D122" s="4"/>
      <c r="E122" s="4"/>
      <c r="F122" s="4"/>
      <c r="G122" s="4"/>
      <c r="H122" s="4"/>
      <c r="I122" s="24"/>
      <c r="J122" s="4"/>
      <c r="K122" s="4"/>
      <c r="L122" s="4"/>
      <c r="M122" s="4"/>
      <c r="N122" s="4"/>
    </row>
    <row r="123" spans="1:14">
      <c r="A123" s="4"/>
      <c r="B123" s="4"/>
      <c r="C123" s="4"/>
      <c r="D123" s="4"/>
      <c r="E123" s="4"/>
      <c r="F123" s="4"/>
      <c r="G123" s="4"/>
      <c r="H123" s="4"/>
      <c r="I123" s="24"/>
      <c r="J123" s="4"/>
      <c r="K123" s="4"/>
      <c r="L123" s="4"/>
      <c r="M123" s="4"/>
      <c r="N123" s="4"/>
    </row>
    <row r="124" spans="1:14">
      <c r="A124" s="4"/>
      <c r="B124" s="4"/>
      <c r="C124" s="4"/>
      <c r="D124" s="4"/>
      <c r="E124" s="4"/>
      <c r="F124" s="4"/>
      <c r="G124" s="4"/>
      <c r="H124" s="4"/>
      <c r="I124" s="24"/>
      <c r="J124" s="4"/>
      <c r="K124" s="4"/>
      <c r="L124" s="4"/>
      <c r="M124" s="4"/>
      <c r="N124" s="4"/>
    </row>
    <row r="125" spans="1:14">
      <c r="A125" s="4"/>
      <c r="B125" s="4"/>
      <c r="C125" s="4"/>
      <c r="D125" s="4"/>
      <c r="E125" s="4"/>
      <c r="F125" s="4"/>
      <c r="G125" s="4"/>
      <c r="H125" s="4"/>
      <c r="I125" s="24"/>
      <c r="J125" s="4"/>
      <c r="K125" s="4"/>
      <c r="L125" s="4"/>
      <c r="M125" s="4"/>
      <c r="N125" s="4"/>
    </row>
    <row r="126" spans="1:14">
      <c r="A126" s="4"/>
      <c r="B126" s="4"/>
      <c r="C126" s="4"/>
      <c r="D126" s="4"/>
      <c r="E126" s="4"/>
      <c r="F126" s="4"/>
      <c r="G126" s="4"/>
      <c r="H126" s="4"/>
      <c r="I126" s="24"/>
      <c r="J126" s="4"/>
      <c r="K126" s="4"/>
      <c r="L126" s="4"/>
      <c r="M126" s="4"/>
      <c r="N126" s="4"/>
    </row>
    <row r="127" spans="1:14">
      <c r="A127" s="4"/>
      <c r="B127" s="4"/>
      <c r="C127" s="4"/>
      <c r="D127" s="4"/>
      <c r="E127" s="4"/>
      <c r="F127" s="4"/>
      <c r="G127" s="4"/>
      <c r="H127" s="4"/>
      <c r="I127" s="24"/>
      <c r="J127" s="4"/>
      <c r="K127" s="4"/>
      <c r="L127" s="4"/>
      <c r="M127" s="4"/>
      <c r="N127" s="4"/>
    </row>
    <row r="128" spans="1:14">
      <c r="A128" s="4"/>
      <c r="B128" s="4"/>
      <c r="C128" s="4"/>
      <c r="D128" s="4"/>
      <c r="E128" s="4"/>
      <c r="F128" s="4"/>
      <c r="G128" s="4"/>
      <c r="H128" s="4"/>
      <c r="I128" s="24"/>
      <c r="J128" s="4"/>
      <c r="K128" s="4"/>
      <c r="L128" s="4"/>
      <c r="M128" s="4"/>
      <c r="N128" s="4"/>
    </row>
    <row r="129" spans="1:14">
      <c r="A129" s="4"/>
      <c r="B129" s="4"/>
      <c r="C129" s="4"/>
      <c r="D129" s="4"/>
      <c r="E129" s="4"/>
      <c r="F129" s="4"/>
      <c r="G129" s="4"/>
      <c r="H129" s="4"/>
      <c r="I129" s="24"/>
      <c r="J129" s="4"/>
      <c r="K129" s="4"/>
      <c r="L129" s="4"/>
      <c r="M129" s="4"/>
      <c r="N129" s="4"/>
    </row>
    <row r="130" spans="1:14">
      <c r="A130" s="4"/>
      <c r="B130" s="4"/>
      <c r="C130" s="4"/>
      <c r="D130" s="4"/>
      <c r="E130" s="4"/>
      <c r="F130" s="4"/>
      <c r="G130" s="4"/>
      <c r="H130" s="4"/>
      <c r="I130" s="24"/>
      <c r="J130" s="4"/>
      <c r="K130" s="4"/>
      <c r="L130" s="4"/>
      <c r="M130" s="4"/>
      <c r="N130" s="4"/>
    </row>
    <row r="131" spans="1:14">
      <c r="A131" s="4"/>
      <c r="B131" s="4"/>
      <c r="C131" s="4"/>
      <c r="D131" s="4"/>
      <c r="E131" s="4"/>
      <c r="F131" s="4"/>
      <c r="G131" s="4"/>
      <c r="H131" s="4"/>
      <c r="I131" s="24"/>
      <c r="J131" s="4"/>
      <c r="K131" s="4"/>
      <c r="L131" s="4"/>
      <c r="M131" s="4"/>
      <c r="N131" s="4"/>
    </row>
    <row r="132" spans="1:14">
      <c r="A132" s="4"/>
      <c r="B132" s="4"/>
      <c r="C132" s="4"/>
      <c r="D132" s="4"/>
      <c r="E132" s="4"/>
      <c r="F132" s="4"/>
      <c r="G132" s="4"/>
      <c r="H132" s="4"/>
      <c r="I132" s="24"/>
      <c r="J132" s="4"/>
      <c r="K132" s="4"/>
      <c r="L132" s="4"/>
      <c r="M132" s="4"/>
      <c r="N132" s="4"/>
    </row>
    <row r="133" spans="1:14">
      <c r="A133" s="4"/>
      <c r="B133" s="4"/>
      <c r="C133" s="4"/>
      <c r="D133" s="4"/>
      <c r="E133" s="4"/>
      <c r="F133" s="4"/>
      <c r="G133" s="4"/>
      <c r="H133" s="4"/>
      <c r="I133" s="24"/>
      <c r="J133" s="4"/>
      <c r="K133" s="4"/>
      <c r="L133" s="4"/>
      <c r="M133" s="4"/>
      <c r="N133" s="4"/>
    </row>
    <row r="134" spans="1:14">
      <c r="A134" s="4"/>
      <c r="B134" s="4"/>
      <c r="C134" s="4"/>
      <c r="D134" s="4"/>
      <c r="E134" s="4"/>
      <c r="F134" s="4"/>
      <c r="G134" s="4"/>
      <c r="H134" s="4"/>
      <c r="I134" s="24"/>
      <c r="J134" s="4"/>
      <c r="K134" s="4"/>
      <c r="L134" s="4"/>
      <c r="M134" s="4"/>
      <c r="N134" s="4"/>
    </row>
    <row r="135" spans="1:14">
      <c r="A135" s="4"/>
      <c r="B135" s="4"/>
      <c r="C135" s="4"/>
      <c r="D135" s="4"/>
      <c r="E135" s="4"/>
      <c r="F135" s="4"/>
      <c r="G135" s="4"/>
      <c r="H135" s="4"/>
      <c r="I135" s="24"/>
      <c r="J135" s="4"/>
      <c r="K135" s="4"/>
      <c r="L135" s="4"/>
      <c r="M135" s="4"/>
      <c r="N135" s="4"/>
    </row>
    <row r="136" spans="1:14">
      <c r="A136" s="4"/>
      <c r="B136" s="4"/>
      <c r="C136" s="4"/>
      <c r="D136" s="4"/>
      <c r="E136" s="4"/>
      <c r="F136" s="4"/>
      <c r="G136" s="4"/>
      <c r="H136" s="4"/>
      <c r="I136" s="24"/>
      <c r="J136" s="4"/>
      <c r="K136" s="4"/>
      <c r="L136" s="4"/>
      <c r="M136" s="4"/>
      <c r="N136" s="4"/>
    </row>
    <row r="137" spans="1:14">
      <c r="A137" s="4"/>
      <c r="B137" s="4"/>
      <c r="C137" s="4"/>
      <c r="D137" s="4"/>
      <c r="E137" s="4"/>
      <c r="F137" s="4"/>
      <c r="G137" s="4"/>
      <c r="H137" s="4"/>
      <c r="I137" s="24"/>
      <c r="J137" s="4"/>
      <c r="K137" s="4"/>
      <c r="L137" s="4"/>
      <c r="M137" s="4"/>
      <c r="N137" s="4"/>
    </row>
    <row r="138" spans="1:14">
      <c r="A138" s="4"/>
      <c r="B138" s="4"/>
      <c r="C138" s="4"/>
      <c r="D138" s="4"/>
      <c r="E138" s="4"/>
      <c r="F138" s="4"/>
      <c r="G138" s="4"/>
      <c r="H138" s="4"/>
      <c r="I138" s="24"/>
      <c r="J138" s="4"/>
      <c r="K138" s="4"/>
      <c r="L138" s="4"/>
      <c r="M138" s="4"/>
      <c r="N138" s="4"/>
    </row>
    <row r="139" spans="1:14">
      <c r="A139" s="4"/>
      <c r="B139" s="4"/>
      <c r="C139" s="4"/>
      <c r="D139" s="4"/>
      <c r="E139" s="4"/>
      <c r="F139" s="4"/>
      <c r="G139" s="4"/>
      <c r="H139" s="4"/>
      <c r="I139" s="24"/>
      <c r="J139" s="4"/>
      <c r="K139" s="4"/>
      <c r="L139" s="4"/>
      <c r="M139" s="4"/>
      <c r="N139" s="4"/>
    </row>
    <row r="140" spans="1:14">
      <c r="A140" s="4"/>
      <c r="B140" s="4"/>
      <c r="C140" s="4"/>
      <c r="D140" s="4"/>
      <c r="E140" s="4"/>
      <c r="F140" s="4"/>
      <c r="G140" s="4"/>
      <c r="H140" s="4"/>
      <c r="I140" s="24"/>
      <c r="J140" s="4"/>
      <c r="K140" s="4"/>
      <c r="L140" s="4"/>
      <c r="M140" s="4"/>
      <c r="N140" s="4"/>
    </row>
    <row r="141" spans="1:14">
      <c r="A141" s="4"/>
      <c r="B141" s="4"/>
      <c r="C141" s="4"/>
      <c r="D141" s="4"/>
      <c r="E141" s="4"/>
      <c r="F141" s="4"/>
      <c r="G141" s="4"/>
      <c r="H141" s="4"/>
      <c r="I141" s="24"/>
      <c r="J141" s="4"/>
      <c r="K141" s="4"/>
      <c r="L141" s="4"/>
      <c r="M141" s="4"/>
      <c r="N141" s="4"/>
    </row>
    <row r="142" spans="1:14">
      <c r="A142" s="4"/>
      <c r="B142" s="4"/>
      <c r="C142" s="4"/>
      <c r="D142" s="4"/>
      <c r="E142" s="4"/>
      <c r="F142" s="4"/>
      <c r="G142" s="4"/>
      <c r="H142" s="4"/>
      <c r="I142" s="24"/>
      <c r="J142" s="4"/>
      <c r="K142" s="4"/>
      <c r="L142" s="4"/>
      <c r="M142" s="4"/>
      <c r="N142" s="4"/>
    </row>
    <row r="143" spans="1:14">
      <c r="A143" s="4"/>
      <c r="B143" s="4"/>
      <c r="C143" s="4"/>
      <c r="D143" s="4"/>
      <c r="E143" s="4"/>
      <c r="F143" s="4"/>
      <c r="G143" s="4"/>
      <c r="H143" s="4"/>
      <c r="I143" s="24"/>
      <c r="J143" s="4"/>
      <c r="K143" s="4"/>
      <c r="L143" s="4"/>
      <c r="M143" s="4"/>
      <c r="N143" s="4"/>
    </row>
    <row r="144" spans="1:14">
      <c r="A144" s="4"/>
      <c r="B144" s="4"/>
      <c r="C144" s="4"/>
      <c r="D144" s="4"/>
      <c r="E144" s="4"/>
      <c r="F144" s="4"/>
      <c r="G144" s="4"/>
      <c r="H144" s="4"/>
      <c r="I144" s="24"/>
      <c r="J144" s="4"/>
      <c r="K144" s="4"/>
      <c r="L144" s="4"/>
      <c r="M144" s="4"/>
      <c r="N144" s="4"/>
    </row>
    <row r="145" spans="1:14">
      <c r="A145" s="4"/>
      <c r="B145" s="4"/>
      <c r="C145" s="4"/>
      <c r="D145" s="4"/>
      <c r="E145" s="4"/>
      <c r="F145" s="4"/>
      <c r="G145" s="4"/>
      <c r="H145" s="4"/>
      <c r="I145" s="24"/>
      <c r="J145" s="4"/>
      <c r="K145" s="4"/>
      <c r="L145" s="4"/>
      <c r="M145" s="4"/>
      <c r="N145" s="4"/>
    </row>
    <row r="146" spans="1:14">
      <c r="A146" s="4"/>
      <c r="B146" s="4"/>
      <c r="C146" s="4"/>
      <c r="D146" s="4"/>
      <c r="E146" s="4"/>
      <c r="F146" s="4"/>
      <c r="G146" s="4"/>
      <c r="H146" s="4"/>
      <c r="I146" s="24"/>
      <c r="J146" s="4"/>
      <c r="K146" s="4"/>
      <c r="L146" s="4"/>
      <c r="M146" s="4"/>
      <c r="N146" s="4"/>
    </row>
    <row r="147" spans="1:14">
      <c r="A147" s="4"/>
      <c r="B147" s="4"/>
      <c r="C147" s="4"/>
      <c r="D147" s="4"/>
      <c r="E147" s="4"/>
      <c r="F147" s="4"/>
      <c r="G147" s="4"/>
      <c r="H147" s="4"/>
      <c r="I147" s="24"/>
      <c r="J147" s="4"/>
      <c r="K147" s="4"/>
      <c r="L147" s="4"/>
      <c r="M147" s="4"/>
      <c r="N147" s="4"/>
    </row>
    <row r="148" spans="1:14">
      <c r="A148" s="4"/>
      <c r="B148" s="4"/>
      <c r="C148" s="4"/>
      <c r="D148" s="4"/>
      <c r="E148" s="4"/>
      <c r="F148" s="4"/>
      <c r="G148" s="4"/>
      <c r="H148" s="4"/>
      <c r="I148" s="24"/>
      <c r="J148" s="4"/>
      <c r="K148" s="4"/>
      <c r="L148" s="4"/>
      <c r="M148" s="4"/>
      <c r="N148" s="4"/>
    </row>
    <row r="149" spans="1:14">
      <c r="A149" s="4"/>
      <c r="B149" s="4"/>
      <c r="C149" s="4"/>
      <c r="D149" s="4"/>
      <c r="E149" s="4"/>
      <c r="F149" s="4"/>
      <c r="G149" s="4"/>
      <c r="H149" s="4"/>
      <c r="I149" s="24"/>
      <c r="J149" s="4"/>
      <c r="K149" s="4"/>
      <c r="L149" s="4"/>
      <c r="M149" s="4"/>
      <c r="N149" s="4"/>
    </row>
    <row r="150" spans="1:14">
      <c r="A150" s="4"/>
      <c r="B150" s="4"/>
      <c r="C150" s="4"/>
      <c r="D150" s="4"/>
      <c r="E150" s="4"/>
      <c r="F150" s="4"/>
      <c r="G150" s="4"/>
      <c r="H150" s="4"/>
      <c r="I150" s="24"/>
      <c r="J150" s="4"/>
      <c r="K150" s="4"/>
      <c r="L150" s="4"/>
      <c r="M150" s="4"/>
      <c r="N150" s="4"/>
    </row>
    <row r="151" spans="1:14">
      <c r="A151" s="4"/>
      <c r="B151" s="4"/>
      <c r="C151" s="4"/>
      <c r="D151" s="4"/>
      <c r="E151" s="4"/>
      <c r="F151" s="4"/>
      <c r="G151" s="4"/>
      <c r="H151" s="4"/>
      <c r="I151" s="24"/>
      <c r="J151" s="4"/>
      <c r="K151" s="4"/>
      <c r="L151" s="4"/>
      <c r="M151" s="4"/>
      <c r="N151" s="4"/>
    </row>
    <row r="152" spans="1:14">
      <c r="A152" s="4"/>
      <c r="B152" s="4"/>
      <c r="C152" s="4"/>
      <c r="D152" s="4"/>
      <c r="E152" s="4"/>
      <c r="F152" s="4"/>
      <c r="G152" s="4"/>
      <c r="H152" s="4"/>
      <c r="I152" s="24"/>
      <c r="J152" s="4"/>
      <c r="K152" s="4"/>
      <c r="L152" s="4"/>
      <c r="M152" s="4"/>
      <c r="N152" s="4"/>
    </row>
    <row r="153" spans="1:14">
      <c r="A153" s="4"/>
      <c r="B153" s="4"/>
      <c r="C153" s="4"/>
      <c r="D153" s="4"/>
      <c r="E153" s="4"/>
      <c r="F153" s="4"/>
      <c r="G153" s="4"/>
      <c r="H153" s="4"/>
      <c r="I153" s="24"/>
      <c r="J153" s="4"/>
      <c r="K153" s="4"/>
      <c r="L153" s="4"/>
      <c r="M153" s="4"/>
      <c r="N153" s="4"/>
    </row>
    <row r="154" spans="1:14">
      <c r="A154" s="4"/>
      <c r="B154" s="4"/>
      <c r="C154" s="4"/>
      <c r="D154" s="4"/>
      <c r="E154" s="4"/>
      <c r="F154" s="4"/>
      <c r="G154" s="4"/>
      <c r="H154" s="4"/>
      <c r="I154" s="24"/>
      <c r="J154" s="4"/>
      <c r="K154" s="4"/>
      <c r="L154" s="4"/>
      <c r="M154" s="4"/>
      <c r="N154" s="4"/>
    </row>
    <row r="155" spans="1:14">
      <c r="A155" s="4"/>
      <c r="B155" s="4"/>
      <c r="C155" s="4"/>
      <c r="D155" s="4"/>
      <c r="E155" s="4"/>
      <c r="F155" s="4"/>
      <c r="G155" s="4"/>
      <c r="H155" s="4"/>
      <c r="I155" s="24"/>
      <c r="J155" s="4"/>
      <c r="K155" s="4"/>
      <c r="L155" s="4"/>
      <c r="M155" s="4"/>
      <c r="N155" s="4"/>
    </row>
    <row r="156" spans="1:14">
      <c r="A156" s="4"/>
      <c r="B156" s="4"/>
      <c r="C156" s="4"/>
      <c r="D156" s="4"/>
      <c r="E156" s="4"/>
      <c r="F156" s="4"/>
      <c r="G156" s="4"/>
      <c r="H156" s="4"/>
      <c r="I156" s="24"/>
      <c r="J156" s="4"/>
      <c r="K156" s="4"/>
      <c r="L156" s="4"/>
      <c r="M156" s="4"/>
      <c r="N156" s="4"/>
    </row>
    <row r="157" spans="1:14">
      <c r="A157" s="4"/>
      <c r="B157" s="4"/>
      <c r="C157" s="4"/>
      <c r="D157" s="4"/>
      <c r="E157" s="4"/>
      <c r="F157" s="4"/>
      <c r="G157" s="4"/>
      <c r="H157" s="4"/>
      <c r="I157" s="24"/>
      <c r="J157" s="4"/>
      <c r="K157" s="4"/>
      <c r="L157" s="4"/>
      <c r="M157" s="4"/>
      <c r="N157" s="4"/>
    </row>
    <row r="158" spans="1:14">
      <c r="A158" s="4"/>
      <c r="B158" s="4"/>
      <c r="C158" s="4"/>
      <c r="D158" s="4"/>
      <c r="E158" s="4"/>
      <c r="F158" s="4"/>
      <c r="G158" s="4"/>
      <c r="H158" s="4"/>
      <c r="I158" s="24"/>
      <c r="J158" s="4"/>
      <c r="K158" s="4"/>
      <c r="L158" s="4"/>
      <c r="M158" s="4"/>
      <c r="N158" s="4"/>
    </row>
    <row r="159" spans="1:14">
      <c r="A159" s="4"/>
      <c r="B159" s="4"/>
      <c r="C159" s="4"/>
      <c r="D159" s="4"/>
      <c r="E159" s="4"/>
      <c r="F159" s="4"/>
      <c r="G159" s="4"/>
      <c r="H159" s="4"/>
      <c r="I159" s="24"/>
      <c r="J159" s="4"/>
      <c r="K159" s="4"/>
      <c r="L159" s="4"/>
      <c r="M159" s="4"/>
      <c r="N159" s="4"/>
    </row>
    <row r="160" spans="1:14">
      <c r="A160" s="4"/>
      <c r="B160" s="4"/>
      <c r="C160" s="4"/>
      <c r="D160" s="4"/>
      <c r="E160" s="4"/>
      <c r="F160" s="4"/>
      <c r="G160" s="4"/>
      <c r="H160" s="4"/>
      <c r="I160" s="24"/>
      <c r="J160" s="4"/>
      <c r="K160" s="4"/>
      <c r="L160" s="4"/>
      <c r="M160" s="4"/>
      <c r="N160" s="4"/>
    </row>
    <row r="161" spans="1:14">
      <c r="A161" s="4"/>
      <c r="B161" s="4"/>
      <c r="C161" s="4"/>
      <c r="D161" s="4"/>
      <c r="E161" s="4"/>
      <c r="F161" s="4"/>
      <c r="G161" s="4"/>
      <c r="H161" s="4"/>
      <c r="I161" s="24"/>
      <c r="J161" s="4"/>
      <c r="K161" s="4"/>
      <c r="L161" s="4"/>
      <c r="M161" s="4"/>
      <c r="N161" s="4"/>
    </row>
    <row r="162" spans="1:14">
      <c r="A162" s="4"/>
      <c r="B162" s="4"/>
      <c r="C162" s="4"/>
      <c r="D162" s="4"/>
      <c r="E162" s="4"/>
      <c r="F162" s="4"/>
      <c r="G162" s="4"/>
      <c r="H162" s="4"/>
      <c r="I162" s="24"/>
      <c r="J162" s="4"/>
      <c r="K162" s="4"/>
      <c r="L162" s="4"/>
      <c r="M162" s="4"/>
      <c r="N162" s="4"/>
    </row>
    <row r="163" spans="1:14">
      <c r="A163" s="4"/>
      <c r="B163" s="4"/>
      <c r="C163" s="4"/>
      <c r="D163" s="4"/>
      <c r="E163" s="4"/>
      <c r="F163" s="4"/>
      <c r="G163" s="4"/>
      <c r="H163" s="4"/>
      <c r="I163" s="24"/>
      <c r="J163" s="4"/>
      <c r="K163" s="4"/>
      <c r="L163" s="4"/>
      <c r="M163" s="4"/>
      <c r="N163" s="4"/>
    </row>
    <row r="164" spans="1:14">
      <c r="A164" s="4"/>
      <c r="B164" s="4"/>
      <c r="C164" s="4"/>
      <c r="D164" s="4"/>
      <c r="E164" s="4"/>
      <c r="F164" s="4"/>
      <c r="G164" s="4"/>
      <c r="H164" s="4"/>
      <c r="I164" s="24"/>
      <c r="J164" s="4"/>
      <c r="K164" s="4"/>
      <c r="L164" s="4"/>
      <c r="M164" s="4"/>
      <c r="N164" s="4"/>
    </row>
    <row r="165" spans="1:14">
      <c r="A165" s="4"/>
      <c r="B165" s="4"/>
      <c r="C165" s="4"/>
      <c r="D165" s="4"/>
      <c r="E165" s="4"/>
      <c r="F165" s="4"/>
      <c r="G165" s="4"/>
      <c r="H165" s="4"/>
      <c r="I165" s="24"/>
      <c r="J165" s="4"/>
      <c r="K165" s="4"/>
      <c r="L165" s="4"/>
      <c r="M165" s="4"/>
      <c r="N165" s="4"/>
    </row>
    <row r="166" spans="1:14">
      <c r="A166" s="4"/>
      <c r="B166" s="4"/>
      <c r="C166" s="4"/>
      <c r="D166" s="4"/>
      <c r="E166" s="4"/>
      <c r="F166" s="4"/>
      <c r="G166" s="4"/>
      <c r="H166" s="4"/>
      <c r="I166" s="24"/>
      <c r="J166" s="4"/>
      <c r="K166" s="4"/>
      <c r="L166" s="4"/>
      <c r="M166" s="4"/>
      <c r="N166" s="4"/>
    </row>
    <row r="167" spans="1:14">
      <c r="A167" s="4"/>
      <c r="B167" s="4"/>
      <c r="C167" s="4"/>
      <c r="D167" s="4"/>
      <c r="E167" s="4"/>
      <c r="F167" s="4"/>
      <c r="G167" s="4"/>
      <c r="H167" s="4"/>
      <c r="I167" s="24"/>
      <c r="J167" s="4"/>
      <c r="K167" s="4"/>
      <c r="L167" s="4"/>
      <c r="M167" s="4"/>
      <c r="N167" s="4"/>
    </row>
    <row r="168" spans="1:14">
      <c r="A168" s="4"/>
      <c r="B168" s="4"/>
      <c r="C168" s="4"/>
      <c r="D168" s="4"/>
      <c r="E168" s="4"/>
      <c r="F168" s="4"/>
      <c r="G168" s="4"/>
      <c r="H168" s="4"/>
      <c r="I168" s="24"/>
      <c r="J168" s="4"/>
      <c r="K168" s="4"/>
      <c r="L168" s="4"/>
      <c r="M168" s="4"/>
      <c r="N168" s="4"/>
    </row>
    <row r="169" spans="1:14">
      <c r="A169" s="4"/>
      <c r="B169" s="4"/>
      <c r="C169" s="4"/>
      <c r="D169" s="4"/>
      <c r="E169" s="4"/>
      <c r="F169" s="4"/>
      <c r="G169" s="4"/>
      <c r="H169" s="4"/>
      <c r="I169" s="24"/>
      <c r="J169" s="4"/>
      <c r="K169" s="4"/>
      <c r="L169" s="4"/>
      <c r="M169" s="4"/>
      <c r="N169" s="4"/>
    </row>
    <row r="170" spans="1:14">
      <c r="A170" s="4"/>
      <c r="B170" s="4"/>
      <c r="C170" s="4"/>
      <c r="D170" s="4"/>
      <c r="E170" s="4"/>
      <c r="F170" s="4"/>
      <c r="G170" s="4"/>
      <c r="H170" s="4"/>
      <c r="I170" s="24"/>
      <c r="J170" s="4"/>
      <c r="K170" s="4"/>
      <c r="L170" s="4"/>
      <c r="M170" s="4"/>
      <c r="N170" s="4"/>
    </row>
    <row r="171" spans="1:14">
      <c r="A171" s="4"/>
      <c r="B171" s="4"/>
      <c r="C171" s="4"/>
      <c r="D171" s="4"/>
      <c r="E171" s="4"/>
      <c r="F171" s="4"/>
      <c r="G171" s="4"/>
      <c r="H171" s="4"/>
      <c r="I171" s="24"/>
      <c r="J171" s="4"/>
      <c r="K171" s="4"/>
      <c r="L171" s="4"/>
      <c r="M171" s="4"/>
      <c r="N171" s="4"/>
    </row>
    <row r="172" spans="1:14">
      <c r="A172" s="4"/>
      <c r="B172" s="4"/>
      <c r="C172" s="4"/>
      <c r="D172" s="4"/>
      <c r="E172" s="4"/>
      <c r="F172" s="4"/>
      <c r="G172" s="4"/>
      <c r="H172" s="4"/>
      <c r="I172" s="24"/>
      <c r="J172" s="4"/>
      <c r="K172" s="4"/>
      <c r="L172" s="4"/>
      <c r="M172" s="4"/>
      <c r="N172" s="4"/>
    </row>
    <row r="173" spans="1:14">
      <c r="A173" s="4"/>
      <c r="B173" s="4"/>
      <c r="C173" s="4"/>
      <c r="D173" s="4"/>
      <c r="E173" s="4"/>
      <c r="F173" s="4"/>
      <c r="G173" s="4"/>
      <c r="H173" s="4"/>
      <c r="I173" s="24"/>
      <c r="J173" s="4"/>
      <c r="K173" s="4"/>
      <c r="L173" s="4"/>
      <c r="M173" s="4"/>
      <c r="N173" s="4"/>
    </row>
    <row r="174" spans="1:14">
      <c r="A174" s="4"/>
      <c r="B174" s="4"/>
      <c r="C174" s="4"/>
      <c r="D174" s="4"/>
      <c r="E174" s="4"/>
      <c r="F174" s="4"/>
      <c r="G174" s="4"/>
      <c r="H174" s="4"/>
      <c r="I174" s="24"/>
      <c r="J174" s="4"/>
      <c r="K174" s="4"/>
      <c r="L174" s="4"/>
      <c r="M174" s="4"/>
      <c r="N174" s="4"/>
    </row>
    <row r="175" spans="1:14">
      <c r="A175" s="4"/>
      <c r="B175" s="4"/>
      <c r="C175" s="4"/>
      <c r="D175" s="4"/>
      <c r="E175" s="4"/>
      <c r="F175" s="4"/>
      <c r="G175" s="4"/>
      <c r="H175" s="4"/>
      <c r="I175" s="24"/>
      <c r="J175" s="4"/>
      <c r="K175" s="4"/>
      <c r="L175" s="4"/>
      <c r="M175" s="4"/>
      <c r="N175" s="4"/>
    </row>
    <row r="176" spans="1:14">
      <c r="A176" s="4"/>
      <c r="B176" s="4"/>
      <c r="C176" s="4"/>
      <c r="D176" s="4"/>
      <c r="E176" s="4"/>
      <c r="F176" s="4"/>
      <c r="G176" s="4"/>
      <c r="H176" s="4"/>
      <c r="I176" s="24"/>
      <c r="J176" s="4"/>
      <c r="K176" s="4"/>
      <c r="L176" s="4"/>
      <c r="M176" s="4"/>
      <c r="N176" s="4"/>
    </row>
    <row r="177" spans="1:14">
      <c r="A177" s="4"/>
      <c r="B177" s="4"/>
      <c r="C177" s="4"/>
      <c r="D177" s="4"/>
      <c r="E177" s="4"/>
      <c r="F177" s="4"/>
      <c r="G177" s="4"/>
      <c r="H177" s="4"/>
      <c r="I177" s="24"/>
      <c r="J177" s="4"/>
      <c r="K177" s="4"/>
      <c r="L177" s="4"/>
      <c r="M177" s="4"/>
      <c r="N177" s="4"/>
    </row>
    <row r="178" spans="1:14">
      <c r="A178" s="4"/>
      <c r="B178" s="4"/>
      <c r="C178" s="4"/>
      <c r="D178" s="4"/>
      <c r="E178" s="4"/>
      <c r="F178" s="4"/>
      <c r="G178" s="4"/>
      <c r="H178" s="4"/>
      <c r="I178" s="24"/>
      <c r="J178" s="4"/>
      <c r="K178" s="4"/>
      <c r="L178" s="4"/>
      <c r="M178" s="4"/>
      <c r="N178" s="4"/>
    </row>
    <row r="179" spans="1:14">
      <c r="A179" s="4"/>
      <c r="B179" s="4"/>
      <c r="C179" s="4"/>
      <c r="D179" s="4"/>
      <c r="E179" s="4"/>
      <c r="F179" s="4"/>
      <c r="G179" s="4"/>
      <c r="H179" s="4"/>
      <c r="I179" s="24"/>
      <c r="J179" s="4"/>
      <c r="K179" s="4"/>
      <c r="L179" s="4"/>
      <c r="M179" s="4"/>
      <c r="N179" s="4"/>
    </row>
    <row r="180" spans="1:14">
      <c r="A180" s="4"/>
      <c r="B180" s="4"/>
      <c r="C180" s="4"/>
      <c r="D180" s="4"/>
      <c r="E180" s="4"/>
      <c r="F180" s="4"/>
      <c r="G180" s="4"/>
      <c r="H180" s="4"/>
      <c r="I180" s="24"/>
      <c r="J180" s="4"/>
      <c r="K180" s="4"/>
      <c r="L180" s="4"/>
      <c r="M180" s="4"/>
      <c r="N180" s="4"/>
    </row>
    <row r="181" spans="1:14">
      <c r="A181" s="4"/>
      <c r="B181" s="4"/>
      <c r="C181" s="4"/>
      <c r="D181" s="4"/>
      <c r="E181" s="4"/>
      <c r="F181" s="4"/>
      <c r="G181" s="4"/>
      <c r="H181" s="4"/>
      <c r="I181" s="24"/>
      <c r="J181" s="4"/>
      <c r="K181" s="4"/>
      <c r="L181" s="4"/>
      <c r="M181" s="4"/>
      <c r="N181" s="4"/>
    </row>
    <row r="182" spans="1:14">
      <c r="A182" s="4"/>
      <c r="B182" s="4"/>
      <c r="C182" s="4"/>
      <c r="D182" s="4"/>
      <c r="E182" s="4"/>
      <c r="F182" s="4"/>
      <c r="G182" s="4"/>
      <c r="H182" s="4"/>
      <c r="I182" s="24"/>
      <c r="J182" s="4"/>
      <c r="K182" s="4"/>
      <c r="L182" s="4"/>
      <c r="M182" s="4"/>
      <c r="N182" s="4"/>
    </row>
    <row r="183" spans="1:14">
      <c r="A183" s="4"/>
      <c r="B183" s="4"/>
      <c r="C183" s="4"/>
      <c r="D183" s="4"/>
      <c r="E183" s="4"/>
      <c r="F183" s="4"/>
      <c r="G183" s="4"/>
      <c r="H183" s="4"/>
      <c r="I183" s="24"/>
      <c r="J183" s="4"/>
      <c r="K183" s="4"/>
      <c r="L183" s="4"/>
      <c r="M183" s="4"/>
      <c r="N183" s="4"/>
    </row>
    <row r="184" spans="1:14">
      <c r="A184" s="4"/>
      <c r="B184" s="4"/>
      <c r="C184" s="4"/>
      <c r="D184" s="4"/>
      <c r="E184" s="4"/>
      <c r="F184" s="4"/>
      <c r="G184" s="4"/>
      <c r="H184" s="4"/>
      <c r="I184" s="24"/>
      <c r="J184" s="4"/>
      <c r="K184" s="4"/>
      <c r="L184" s="4"/>
      <c r="M184" s="4"/>
      <c r="N184" s="4"/>
    </row>
    <row r="185" spans="1:14">
      <c r="A185" s="4"/>
      <c r="B185" s="4"/>
      <c r="C185" s="4"/>
      <c r="D185" s="4"/>
      <c r="E185" s="4"/>
      <c r="F185" s="4"/>
      <c r="G185" s="4"/>
      <c r="H185" s="4"/>
      <c r="I185" s="24"/>
      <c r="J185" s="4"/>
      <c r="K185" s="4"/>
      <c r="L185" s="4"/>
      <c r="M185" s="4"/>
      <c r="N185" s="4"/>
    </row>
    <row r="186" spans="1:14">
      <c r="A186" s="4"/>
      <c r="B186" s="4"/>
      <c r="C186" s="4"/>
      <c r="D186" s="4"/>
      <c r="E186" s="4"/>
      <c r="F186" s="4"/>
      <c r="G186" s="4"/>
      <c r="H186" s="4"/>
      <c r="I186" s="24"/>
      <c r="J186" s="4"/>
      <c r="K186" s="4"/>
      <c r="L186" s="4"/>
      <c r="M186" s="4"/>
      <c r="N186" s="4"/>
    </row>
    <row r="187" spans="1:14">
      <c r="A187" s="4"/>
      <c r="B187" s="4"/>
      <c r="C187" s="4"/>
      <c r="D187" s="4"/>
      <c r="E187" s="4"/>
      <c r="F187" s="4"/>
      <c r="G187" s="4"/>
      <c r="H187" s="4"/>
      <c r="I187" s="24"/>
      <c r="J187" s="4"/>
      <c r="K187" s="4"/>
      <c r="L187" s="4"/>
      <c r="M187" s="4"/>
      <c r="N187" s="4"/>
    </row>
    <row r="188" spans="1:14">
      <c r="A188" s="4"/>
      <c r="B188" s="4"/>
      <c r="C188" s="4"/>
      <c r="D188" s="4"/>
      <c r="E188" s="4"/>
      <c r="F188" s="4"/>
      <c r="G188" s="4"/>
      <c r="H188" s="4"/>
      <c r="I188" s="24"/>
      <c r="J188" s="4"/>
      <c r="K188" s="4"/>
      <c r="L188" s="4"/>
      <c r="M188" s="4"/>
      <c r="N188" s="4"/>
    </row>
    <row r="189" spans="1:14">
      <c r="A189" s="4"/>
      <c r="B189" s="4"/>
      <c r="C189" s="4"/>
      <c r="D189" s="4"/>
      <c r="E189" s="4"/>
      <c r="F189" s="4"/>
      <c r="G189" s="4"/>
      <c r="H189" s="4"/>
      <c r="I189" s="24"/>
      <c r="J189" s="4"/>
      <c r="K189" s="4"/>
      <c r="L189" s="4"/>
      <c r="M189" s="4"/>
      <c r="N189" s="4"/>
    </row>
    <row r="190" spans="1:14">
      <c r="A190" s="4"/>
      <c r="B190" s="4"/>
      <c r="C190" s="4"/>
      <c r="D190" s="4"/>
      <c r="E190" s="4"/>
      <c r="F190" s="4"/>
      <c r="G190" s="4"/>
      <c r="H190" s="4"/>
      <c r="I190" s="24"/>
      <c r="J190" s="4"/>
      <c r="K190" s="4"/>
      <c r="L190" s="4"/>
      <c r="M190" s="4"/>
      <c r="N190" s="4"/>
    </row>
    <row r="191" spans="1:14">
      <c r="A191" s="4"/>
      <c r="B191" s="4"/>
      <c r="C191" s="4"/>
      <c r="D191" s="4"/>
      <c r="E191" s="4"/>
      <c r="F191" s="4"/>
      <c r="G191" s="4"/>
      <c r="H191" s="4"/>
      <c r="I191" s="24"/>
      <c r="J191" s="4"/>
      <c r="K191" s="4"/>
      <c r="L191" s="4"/>
      <c r="M191" s="4"/>
      <c r="N191" s="4"/>
    </row>
    <row r="192" spans="1:14">
      <c r="A192" s="4"/>
      <c r="B192" s="4"/>
      <c r="C192" s="4"/>
      <c r="D192" s="4"/>
      <c r="E192" s="4"/>
      <c r="F192" s="4"/>
      <c r="G192" s="4"/>
      <c r="H192" s="4"/>
      <c r="I192" s="24"/>
      <c r="J192" s="4"/>
      <c r="K192" s="4"/>
      <c r="L192" s="4"/>
      <c r="M192" s="4"/>
      <c r="N192" s="4"/>
    </row>
    <row r="193" spans="1:14">
      <c r="A193" s="4"/>
      <c r="B193" s="4"/>
      <c r="C193" s="4"/>
      <c r="D193" s="4"/>
      <c r="E193" s="4"/>
      <c r="F193" s="4"/>
      <c r="G193" s="4"/>
      <c r="H193" s="4"/>
      <c r="I193" s="24"/>
      <c r="J193" s="4"/>
      <c r="K193" s="4"/>
      <c r="L193" s="4"/>
      <c r="M193" s="4"/>
      <c r="N193" s="4"/>
    </row>
    <row r="194" spans="1:14">
      <c r="A194" s="4"/>
      <c r="B194" s="4"/>
      <c r="C194" s="4"/>
      <c r="D194" s="4"/>
      <c r="E194" s="4"/>
      <c r="F194" s="4"/>
      <c r="G194" s="4"/>
      <c r="H194" s="4"/>
      <c r="I194" s="24"/>
      <c r="J194" s="4"/>
      <c r="K194" s="4"/>
      <c r="L194" s="4"/>
      <c r="M194" s="4"/>
      <c r="N194" s="4"/>
    </row>
    <row r="195" spans="1:14">
      <c r="A195" s="4"/>
      <c r="B195" s="4"/>
      <c r="C195" s="4"/>
      <c r="D195" s="4"/>
      <c r="E195" s="4"/>
      <c r="F195" s="4"/>
      <c r="G195" s="4"/>
      <c r="H195" s="4"/>
      <c r="I195" s="24"/>
      <c r="J195" s="4"/>
      <c r="K195" s="4"/>
      <c r="L195" s="4"/>
      <c r="M195" s="4"/>
      <c r="N195" s="4"/>
    </row>
    <row r="196" spans="1:14">
      <c r="A196" s="4"/>
      <c r="B196" s="4"/>
      <c r="C196" s="4"/>
      <c r="D196" s="4"/>
      <c r="E196" s="4"/>
      <c r="F196" s="4"/>
      <c r="G196" s="4"/>
      <c r="H196" s="4"/>
      <c r="I196" s="24"/>
      <c r="J196" s="4"/>
      <c r="K196" s="4"/>
      <c r="L196" s="4"/>
      <c r="M196" s="4"/>
      <c r="N196" s="4"/>
    </row>
    <row r="197" spans="1:14">
      <c r="A197" s="4"/>
      <c r="B197" s="4"/>
      <c r="C197" s="4"/>
      <c r="D197" s="4"/>
      <c r="E197" s="4"/>
      <c r="F197" s="4"/>
      <c r="G197" s="4"/>
      <c r="H197" s="4"/>
      <c r="I197" s="24"/>
      <c r="J197" s="4"/>
      <c r="K197" s="4"/>
      <c r="L197" s="4"/>
      <c r="M197" s="4"/>
      <c r="N197" s="4"/>
    </row>
    <row r="198" spans="1:14">
      <c r="A198" s="4"/>
      <c r="B198" s="4"/>
      <c r="C198" s="4"/>
      <c r="D198" s="4"/>
      <c r="E198" s="4"/>
      <c r="F198" s="4"/>
      <c r="G198" s="4"/>
      <c r="H198" s="4"/>
      <c r="I198" s="24"/>
      <c r="J198" s="4"/>
      <c r="K198" s="4"/>
      <c r="L198" s="4"/>
      <c r="M198" s="4"/>
      <c r="N198" s="4"/>
    </row>
    <row r="199" spans="1:14">
      <c r="A199" s="4"/>
      <c r="B199" s="4"/>
      <c r="C199" s="4"/>
      <c r="D199" s="4"/>
      <c r="E199" s="4"/>
      <c r="F199" s="4"/>
      <c r="G199" s="4"/>
      <c r="H199" s="4"/>
      <c r="I199" s="24"/>
      <c r="J199" s="4"/>
      <c r="K199" s="4"/>
      <c r="L199" s="4"/>
      <c r="M199" s="4"/>
      <c r="N199" s="4"/>
    </row>
    <row r="200" spans="1:14">
      <c r="A200" s="4"/>
      <c r="B200" s="4"/>
      <c r="C200" s="4"/>
      <c r="D200" s="4"/>
      <c r="E200" s="4"/>
      <c r="F200" s="4"/>
      <c r="G200" s="4"/>
      <c r="H200" s="4"/>
      <c r="I200" s="24"/>
      <c r="J200" s="4"/>
      <c r="K200" s="4"/>
      <c r="L200" s="4"/>
      <c r="M200" s="4"/>
      <c r="N200" s="4"/>
    </row>
    <row r="201" spans="1:14">
      <c r="A201" s="4"/>
      <c r="B201" s="4"/>
      <c r="C201" s="4"/>
      <c r="D201" s="4"/>
      <c r="E201" s="4"/>
      <c r="F201" s="4"/>
      <c r="G201" s="4"/>
      <c r="H201" s="4"/>
      <c r="I201" s="24"/>
      <c r="J201" s="4"/>
      <c r="K201" s="4"/>
      <c r="L201" s="4"/>
      <c r="M201" s="4"/>
      <c r="N201" s="4"/>
    </row>
    <row r="202" spans="1:14">
      <c r="A202" s="4"/>
      <c r="B202" s="4"/>
      <c r="C202" s="4"/>
      <c r="D202" s="4"/>
      <c r="E202" s="4"/>
      <c r="F202" s="4"/>
      <c r="G202" s="4"/>
      <c r="H202" s="4"/>
      <c r="I202" s="24"/>
      <c r="J202" s="4"/>
      <c r="K202" s="4"/>
      <c r="L202" s="4"/>
      <c r="M202" s="4"/>
      <c r="N202" s="4"/>
    </row>
    <row r="203" spans="1:14">
      <c r="A203" s="4"/>
      <c r="B203" s="4"/>
      <c r="C203" s="4"/>
      <c r="D203" s="4"/>
      <c r="E203" s="4"/>
      <c r="F203" s="4"/>
      <c r="G203" s="4"/>
      <c r="H203" s="4"/>
      <c r="I203" s="24"/>
      <c r="J203" s="4"/>
      <c r="K203" s="4"/>
      <c r="L203" s="4"/>
      <c r="M203" s="4"/>
      <c r="N203" s="4"/>
    </row>
    <row r="204" spans="1:14">
      <c r="A204" s="4"/>
      <c r="B204" s="4"/>
      <c r="C204" s="4"/>
      <c r="D204" s="4"/>
      <c r="E204" s="4"/>
      <c r="F204" s="4"/>
      <c r="G204" s="4"/>
      <c r="H204" s="4"/>
      <c r="I204" s="24"/>
      <c r="J204" s="4"/>
      <c r="K204" s="4"/>
      <c r="L204" s="4"/>
      <c r="M204" s="4"/>
      <c r="N204" s="4"/>
    </row>
    <row r="205" spans="1:14">
      <c r="A205" s="4"/>
      <c r="B205" s="4"/>
      <c r="C205" s="4"/>
      <c r="D205" s="4"/>
      <c r="E205" s="4"/>
      <c r="F205" s="4"/>
      <c r="G205" s="4"/>
      <c r="H205" s="4"/>
      <c r="I205" s="24"/>
      <c r="J205" s="4"/>
      <c r="K205" s="4"/>
      <c r="L205" s="4"/>
      <c r="M205" s="4"/>
      <c r="N205" s="4"/>
    </row>
    <row r="206" spans="1:14">
      <c r="A206" s="4"/>
      <c r="B206" s="4"/>
      <c r="C206" s="4"/>
      <c r="D206" s="4"/>
      <c r="E206" s="4"/>
      <c r="F206" s="4"/>
      <c r="G206" s="4"/>
      <c r="H206" s="4"/>
      <c r="I206" s="24"/>
      <c r="J206" s="4"/>
      <c r="K206" s="4"/>
      <c r="L206" s="4"/>
      <c r="M206" s="4"/>
      <c r="N206" s="4"/>
    </row>
    <row r="207" spans="1:14">
      <c r="A207" s="4"/>
      <c r="B207" s="4"/>
      <c r="C207" s="4"/>
      <c r="D207" s="4"/>
      <c r="E207" s="4"/>
      <c r="F207" s="4"/>
      <c r="G207" s="4"/>
      <c r="H207" s="4"/>
      <c r="I207" s="24"/>
      <c r="J207" s="4"/>
      <c r="K207" s="4"/>
      <c r="L207" s="4"/>
      <c r="M207" s="4"/>
      <c r="N207" s="4"/>
    </row>
    <row r="208" spans="1:14">
      <c r="A208" s="4"/>
      <c r="B208" s="4"/>
      <c r="C208" s="4"/>
      <c r="D208" s="4"/>
      <c r="E208" s="4"/>
      <c r="F208" s="4"/>
      <c r="G208" s="4"/>
      <c r="H208" s="4"/>
      <c r="I208" s="24"/>
      <c r="J208" s="4"/>
      <c r="K208" s="4"/>
      <c r="L208" s="4"/>
      <c r="M208" s="4"/>
      <c r="N208" s="4"/>
    </row>
    <row r="209" spans="1:14">
      <c r="A209" s="4"/>
      <c r="B209" s="4"/>
      <c r="C209" s="4"/>
      <c r="D209" s="4"/>
      <c r="E209" s="4"/>
      <c r="F209" s="4"/>
      <c r="G209" s="4"/>
      <c r="H209" s="4"/>
      <c r="I209" s="24"/>
      <c r="J209" s="4"/>
      <c r="K209" s="4"/>
      <c r="L209" s="4"/>
      <c r="M209" s="4"/>
      <c r="N209" s="4"/>
    </row>
    <row r="210" spans="1:14">
      <c r="A210" s="4"/>
      <c r="B210" s="4"/>
      <c r="C210" s="4"/>
      <c r="D210" s="4"/>
      <c r="E210" s="4"/>
      <c r="F210" s="4"/>
      <c r="G210" s="4"/>
      <c r="H210" s="4"/>
      <c r="I210" s="24"/>
      <c r="J210" s="4"/>
      <c r="K210" s="4"/>
      <c r="L210" s="4"/>
      <c r="M210" s="4"/>
      <c r="N210" s="4"/>
    </row>
    <row r="211" spans="1:14">
      <c r="A211" s="4"/>
      <c r="B211" s="4"/>
      <c r="C211" s="4"/>
      <c r="D211" s="4"/>
      <c r="E211" s="4"/>
      <c r="F211" s="4"/>
      <c r="G211" s="4"/>
      <c r="H211" s="4"/>
      <c r="I211" s="24"/>
      <c r="J211" s="4"/>
      <c r="K211" s="4"/>
      <c r="L211" s="4"/>
      <c r="M211" s="4"/>
      <c r="N211" s="4"/>
    </row>
    <row r="212" spans="1:14">
      <c r="A212" s="4"/>
      <c r="B212" s="4"/>
      <c r="C212" s="4"/>
      <c r="D212" s="4"/>
      <c r="E212" s="4"/>
      <c r="F212" s="4"/>
      <c r="G212" s="4"/>
      <c r="H212" s="4"/>
      <c r="I212" s="24"/>
      <c r="J212" s="4"/>
      <c r="K212" s="4"/>
      <c r="L212" s="4"/>
      <c r="M212" s="4"/>
      <c r="N212" s="4"/>
    </row>
    <row r="213" spans="1:14">
      <c r="A213" s="4"/>
      <c r="B213" s="4"/>
      <c r="C213" s="4"/>
      <c r="D213" s="4"/>
      <c r="E213" s="4"/>
      <c r="F213" s="4"/>
      <c r="G213" s="4"/>
      <c r="H213" s="4"/>
      <c r="I213" s="24"/>
      <c r="J213" s="4"/>
      <c r="K213" s="4"/>
      <c r="L213" s="4"/>
      <c r="M213" s="4"/>
      <c r="N213" s="4"/>
    </row>
    <row r="214" spans="1:14">
      <c r="A214" s="4"/>
      <c r="B214" s="4"/>
      <c r="C214" s="4"/>
      <c r="D214" s="4"/>
      <c r="E214" s="4"/>
      <c r="F214" s="4"/>
      <c r="G214" s="4"/>
      <c r="H214" s="4"/>
      <c r="I214" s="24"/>
      <c r="J214" s="4"/>
      <c r="K214" s="4"/>
      <c r="L214" s="4"/>
      <c r="M214" s="4"/>
      <c r="N214" s="4"/>
    </row>
    <row r="215" spans="1:14">
      <c r="A215" s="4"/>
      <c r="B215" s="4"/>
      <c r="C215" s="4"/>
      <c r="D215" s="4"/>
      <c r="E215" s="4"/>
      <c r="F215" s="4"/>
      <c r="G215" s="4"/>
      <c r="H215" s="4"/>
      <c r="I215" s="24"/>
      <c r="J215" s="4"/>
      <c r="K215" s="4"/>
      <c r="L215" s="4"/>
      <c r="M215" s="4"/>
      <c r="N215" s="4"/>
    </row>
    <row r="216" spans="1:14">
      <c r="A216" s="4"/>
      <c r="B216" s="4"/>
      <c r="C216" s="4"/>
      <c r="D216" s="4"/>
      <c r="E216" s="4"/>
      <c r="F216" s="4"/>
      <c r="G216" s="4"/>
      <c r="H216" s="4"/>
      <c r="I216" s="24"/>
      <c r="J216" s="4"/>
      <c r="K216" s="4"/>
      <c r="L216" s="4"/>
      <c r="M216" s="4"/>
      <c r="N216" s="4"/>
    </row>
    <row r="217" spans="1:14">
      <c r="A217" s="4"/>
      <c r="B217" s="4"/>
      <c r="C217" s="4"/>
      <c r="D217" s="4"/>
      <c r="E217" s="4"/>
      <c r="F217" s="4"/>
      <c r="G217" s="4"/>
      <c r="H217" s="4"/>
      <c r="I217" s="24"/>
      <c r="J217" s="4"/>
      <c r="K217" s="4"/>
      <c r="L217" s="4"/>
      <c r="M217" s="4"/>
      <c r="N217" s="4"/>
    </row>
    <row r="218" spans="1:14">
      <c r="A218" s="4"/>
      <c r="B218" s="4"/>
      <c r="C218" s="4"/>
      <c r="D218" s="4"/>
      <c r="E218" s="4"/>
      <c r="F218" s="4"/>
      <c r="G218" s="4"/>
      <c r="H218" s="4"/>
      <c r="I218" s="24"/>
      <c r="J218" s="4"/>
      <c r="K218" s="4"/>
      <c r="L218" s="4"/>
      <c r="M218" s="4"/>
      <c r="N218" s="4"/>
    </row>
    <row r="219" spans="1:14">
      <c r="A219" s="4"/>
      <c r="B219" s="4"/>
      <c r="C219" s="4"/>
      <c r="D219" s="4"/>
      <c r="E219" s="4"/>
      <c r="F219" s="4"/>
      <c r="G219" s="4"/>
      <c r="H219" s="4"/>
      <c r="I219" s="24"/>
      <c r="J219" s="4"/>
      <c r="K219" s="4"/>
      <c r="L219" s="4"/>
      <c r="M219" s="4"/>
      <c r="N219" s="4"/>
    </row>
    <row r="220" spans="1:14">
      <c r="A220" s="4"/>
      <c r="B220" s="4"/>
      <c r="C220" s="4"/>
      <c r="D220" s="4"/>
      <c r="E220" s="4"/>
      <c r="F220" s="4"/>
      <c r="G220" s="4"/>
      <c r="H220" s="4"/>
      <c r="I220" s="24"/>
      <c r="J220" s="4"/>
      <c r="K220" s="4"/>
      <c r="L220" s="4"/>
      <c r="M220" s="4"/>
      <c r="N220" s="4"/>
    </row>
    <row r="221" spans="1:14">
      <c r="A221" s="4"/>
      <c r="B221" s="4"/>
      <c r="C221" s="4"/>
      <c r="D221" s="4"/>
      <c r="E221" s="4"/>
      <c r="F221" s="4"/>
      <c r="G221" s="4"/>
      <c r="H221" s="4"/>
      <c r="I221" s="24"/>
      <c r="J221" s="4"/>
      <c r="K221" s="4"/>
      <c r="L221" s="4"/>
      <c r="M221" s="4"/>
      <c r="N221" s="4"/>
    </row>
    <row r="222" spans="1:14">
      <c r="A222" s="4"/>
      <c r="B222" s="4"/>
      <c r="C222" s="4"/>
      <c r="D222" s="4"/>
      <c r="E222" s="4"/>
      <c r="F222" s="4"/>
      <c r="G222" s="4"/>
      <c r="H222" s="4"/>
      <c r="I222" s="24"/>
      <c r="J222" s="4"/>
      <c r="K222" s="4"/>
      <c r="L222" s="4"/>
      <c r="M222" s="4"/>
      <c r="N222" s="4"/>
    </row>
    <row r="223" spans="1:14">
      <c r="A223" s="4"/>
      <c r="B223" s="4"/>
      <c r="C223" s="4"/>
      <c r="D223" s="4"/>
      <c r="E223" s="4"/>
      <c r="F223" s="4"/>
      <c r="G223" s="4"/>
      <c r="H223" s="4"/>
      <c r="I223" s="24"/>
      <c r="J223" s="4"/>
      <c r="K223" s="4"/>
      <c r="L223" s="4"/>
      <c r="M223" s="4"/>
      <c r="N223" s="4"/>
    </row>
    <row r="224" spans="1:14">
      <c r="A224" s="4"/>
      <c r="B224" s="4"/>
      <c r="C224" s="4"/>
      <c r="D224" s="4"/>
      <c r="E224" s="4"/>
      <c r="F224" s="4"/>
      <c r="G224" s="4"/>
      <c r="H224" s="4"/>
      <c r="I224" s="24"/>
      <c r="J224" s="4"/>
      <c r="K224" s="4"/>
      <c r="L224" s="4"/>
      <c r="M224" s="4"/>
      <c r="N224" s="4"/>
    </row>
    <row r="225" spans="1:14">
      <c r="A225" s="4"/>
      <c r="B225" s="4"/>
      <c r="C225" s="4"/>
      <c r="D225" s="4"/>
      <c r="E225" s="4"/>
      <c r="F225" s="4"/>
      <c r="G225" s="4"/>
      <c r="H225" s="4"/>
      <c r="I225" s="24"/>
      <c r="J225" s="4"/>
      <c r="K225" s="4"/>
      <c r="L225" s="4"/>
      <c r="M225" s="4"/>
      <c r="N225" s="4"/>
    </row>
    <row r="226" spans="1:14">
      <c r="A226" s="4"/>
      <c r="B226" s="4"/>
      <c r="C226" s="4"/>
      <c r="D226" s="4"/>
      <c r="E226" s="4"/>
      <c r="F226" s="4"/>
      <c r="G226" s="4"/>
      <c r="H226" s="4"/>
      <c r="I226" s="24"/>
      <c r="J226" s="4"/>
      <c r="K226" s="4"/>
      <c r="L226" s="4"/>
      <c r="M226" s="4"/>
      <c r="N226" s="4"/>
    </row>
    <row r="227" spans="1:14">
      <c r="A227" s="4"/>
      <c r="B227" s="4"/>
      <c r="C227" s="4"/>
      <c r="D227" s="4"/>
      <c r="E227" s="4"/>
      <c r="F227" s="4"/>
      <c r="G227" s="4"/>
      <c r="H227" s="4"/>
      <c r="I227" s="24"/>
      <c r="J227" s="4"/>
      <c r="K227" s="4"/>
      <c r="L227" s="4"/>
      <c r="M227" s="4"/>
      <c r="N227" s="4"/>
    </row>
    <row r="228" spans="1:14">
      <c r="A228" s="4"/>
      <c r="B228" s="4"/>
      <c r="C228" s="4"/>
      <c r="D228" s="4"/>
      <c r="E228" s="4"/>
      <c r="F228" s="4"/>
      <c r="G228" s="4"/>
      <c r="H228" s="4"/>
      <c r="I228" s="24"/>
      <c r="J228" s="4"/>
      <c r="K228" s="4"/>
      <c r="L228" s="4"/>
      <c r="M228" s="4"/>
      <c r="N228" s="4"/>
    </row>
    <row r="229" spans="1:14">
      <c r="A229" s="4"/>
      <c r="B229" s="4"/>
      <c r="C229" s="4"/>
      <c r="D229" s="4"/>
      <c r="E229" s="4"/>
      <c r="F229" s="4"/>
      <c r="G229" s="4"/>
      <c r="H229" s="4"/>
      <c r="I229" s="24"/>
      <c r="J229" s="4"/>
      <c r="K229" s="4"/>
      <c r="L229" s="4"/>
      <c r="M229" s="4"/>
      <c r="N229" s="4"/>
    </row>
    <row r="230" spans="1:14">
      <c r="A230" s="4"/>
      <c r="B230" s="4"/>
      <c r="C230" s="4"/>
      <c r="D230" s="4"/>
      <c r="E230" s="4"/>
      <c r="F230" s="4"/>
      <c r="G230" s="4"/>
      <c r="H230" s="4"/>
      <c r="I230" s="24"/>
      <c r="J230" s="4"/>
      <c r="K230" s="4"/>
      <c r="L230" s="4"/>
      <c r="M230" s="4"/>
      <c r="N230" s="4"/>
    </row>
    <row r="231" spans="1:14">
      <c r="A231" s="4"/>
      <c r="B231" s="4"/>
      <c r="C231" s="4"/>
      <c r="D231" s="4"/>
      <c r="E231" s="4"/>
      <c r="F231" s="4"/>
      <c r="G231" s="4"/>
      <c r="H231" s="4"/>
      <c r="I231" s="24"/>
      <c r="J231" s="4"/>
      <c r="K231" s="4"/>
      <c r="L231" s="4"/>
      <c r="M231" s="4"/>
      <c r="N231" s="4"/>
    </row>
    <row r="232" spans="1:14">
      <c r="A232" s="4"/>
      <c r="B232" s="4"/>
      <c r="C232" s="4"/>
      <c r="D232" s="4"/>
      <c r="E232" s="4"/>
      <c r="F232" s="4"/>
      <c r="G232" s="4"/>
      <c r="H232" s="4"/>
      <c r="I232" s="24"/>
      <c r="J232" s="4"/>
      <c r="K232" s="4"/>
      <c r="L232" s="4"/>
      <c r="M232" s="4"/>
      <c r="N232" s="4"/>
    </row>
    <row r="233" spans="1:14">
      <c r="A233" s="4"/>
      <c r="B233" s="4"/>
      <c r="C233" s="4"/>
      <c r="D233" s="4"/>
      <c r="E233" s="4"/>
      <c r="F233" s="4"/>
      <c r="G233" s="4"/>
      <c r="H233" s="4"/>
      <c r="I233" s="24"/>
      <c r="J233" s="4"/>
      <c r="K233" s="4"/>
      <c r="L233" s="4"/>
      <c r="M233" s="4"/>
      <c r="N233" s="4"/>
    </row>
    <row r="234" spans="1:14">
      <c r="A234" s="4"/>
      <c r="B234" s="4"/>
      <c r="C234" s="4"/>
      <c r="D234" s="4"/>
      <c r="E234" s="4"/>
      <c r="F234" s="4"/>
      <c r="G234" s="4"/>
      <c r="H234" s="4"/>
      <c r="I234" s="24"/>
      <c r="J234" s="4"/>
      <c r="K234" s="4"/>
      <c r="L234" s="4"/>
      <c r="M234" s="4"/>
      <c r="N234" s="4"/>
    </row>
    <row r="235" spans="1:14">
      <c r="A235" s="4"/>
      <c r="B235" s="4"/>
      <c r="C235" s="4"/>
      <c r="D235" s="4"/>
      <c r="E235" s="4"/>
      <c r="F235" s="4"/>
      <c r="G235" s="4"/>
      <c r="H235" s="4"/>
      <c r="I235" s="24"/>
      <c r="J235" s="4"/>
      <c r="K235" s="4"/>
      <c r="L235" s="4"/>
      <c r="M235" s="4"/>
      <c r="N235" s="4"/>
    </row>
    <row r="236" spans="1:14">
      <c r="A236" s="4"/>
      <c r="B236" s="4"/>
      <c r="C236" s="4"/>
      <c r="D236" s="4"/>
      <c r="E236" s="4"/>
      <c r="F236" s="4"/>
      <c r="G236" s="4"/>
      <c r="H236" s="4"/>
      <c r="I236" s="24"/>
      <c r="J236" s="4"/>
      <c r="K236" s="4"/>
      <c r="L236" s="4"/>
      <c r="M236" s="4"/>
      <c r="N236" s="4"/>
    </row>
    <row r="237" spans="1:14">
      <c r="A237" s="4"/>
      <c r="B237" s="4"/>
      <c r="C237" s="4"/>
      <c r="D237" s="4"/>
      <c r="E237" s="4"/>
      <c r="F237" s="4"/>
      <c r="G237" s="4"/>
      <c r="H237" s="4"/>
      <c r="I237" s="24"/>
      <c r="J237" s="4"/>
      <c r="K237" s="4"/>
      <c r="L237" s="4"/>
      <c r="M237" s="4"/>
      <c r="N237" s="4"/>
    </row>
    <row r="238" spans="1:14">
      <c r="A238" s="4"/>
      <c r="B238" s="4"/>
      <c r="C238" s="4"/>
      <c r="D238" s="4"/>
      <c r="E238" s="4"/>
      <c r="F238" s="4"/>
      <c r="G238" s="4"/>
      <c r="H238" s="4"/>
      <c r="I238" s="24"/>
      <c r="J238" s="4"/>
      <c r="K238" s="4"/>
      <c r="L238" s="4"/>
      <c r="M238" s="4"/>
      <c r="N238" s="4"/>
    </row>
    <row r="239" spans="1:14">
      <c r="A239" s="4"/>
      <c r="B239" s="4"/>
      <c r="C239" s="4"/>
      <c r="D239" s="4"/>
      <c r="E239" s="4"/>
      <c r="F239" s="4"/>
      <c r="G239" s="4"/>
      <c r="H239" s="4"/>
      <c r="I239" s="24"/>
      <c r="J239" s="4"/>
      <c r="K239" s="4"/>
      <c r="L239" s="4"/>
      <c r="M239" s="4"/>
      <c r="N239" s="4"/>
    </row>
    <row r="240" spans="1:14">
      <c r="A240" s="4"/>
      <c r="B240" s="4"/>
      <c r="C240" s="4"/>
      <c r="D240" s="4"/>
      <c r="E240" s="4"/>
      <c r="F240" s="4"/>
      <c r="G240" s="4"/>
      <c r="H240" s="4"/>
      <c r="I240" s="24"/>
      <c r="J240" s="4"/>
      <c r="K240" s="4"/>
      <c r="L240" s="4"/>
      <c r="M240" s="4"/>
      <c r="N240" s="4"/>
    </row>
    <row r="241" spans="1:14">
      <c r="A241" s="4"/>
      <c r="B241" s="4"/>
      <c r="C241" s="4"/>
      <c r="D241" s="4"/>
      <c r="E241" s="4"/>
      <c r="F241" s="4"/>
      <c r="G241" s="4"/>
      <c r="H241" s="4"/>
      <c r="I241" s="24"/>
      <c r="J241" s="4"/>
      <c r="K241" s="4"/>
      <c r="L241" s="4"/>
      <c r="M241" s="4"/>
      <c r="N241" s="4"/>
    </row>
    <row r="242" spans="1:14">
      <c r="A242" s="4"/>
      <c r="B242" s="4"/>
      <c r="C242" s="4"/>
      <c r="D242" s="4"/>
      <c r="E242" s="4"/>
      <c r="F242" s="4"/>
      <c r="G242" s="4"/>
      <c r="H242" s="4"/>
      <c r="I242" s="24"/>
      <c r="J242" s="4"/>
      <c r="K242" s="4"/>
      <c r="L242" s="4"/>
      <c r="M242" s="4"/>
      <c r="N242" s="4"/>
    </row>
    <row r="243" spans="1:14">
      <c r="A243" s="4"/>
      <c r="B243" s="4"/>
      <c r="C243" s="4"/>
      <c r="D243" s="4"/>
      <c r="E243" s="4"/>
      <c r="F243" s="4"/>
      <c r="G243" s="4"/>
      <c r="H243" s="4"/>
      <c r="I243" s="24"/>
      <c r="J243" s="4"/>
      <c r="K243" s="4"/>
      <c r="L243" s="4"/>
      <c r="M243" s="4"/>
      <c r="N243" s="4"/>
    </row>
    <row r="244" spans="1:14">
      <c r="A244" s="4"/>
      <c r="B244" s="4"/>
      <c r="C244" s="4"/>
      <c r="D244" s="4"/>
      <c r="E244" s="4"/>
      <c r="F244" s="4"/>
      <c r="G244" s="4"/>
      <c r="H244" s="4"/>
      <c r="I244" s="24"/>
      <c r="J244" s="4"/>
      <c r="K244" s="4"/>
      <c r="L244" s="4"/>
      <c r="M244" s="4"/>
      <c r="N244" s="4"/>
    </row>
    <row r="245" spans="1:14">
      <c r="A245" s="4"/>
      <c r="B245" s="4"/>
      <c r="C245" s="4"/>
      <c r="D245" s="4"/>
      <c r="E245" s="4"/>
      <c r="F245" s="4"/>
      <c r="G245" s="4"/>
      <c r="H245" s="4"/>
      <c r="I245" s="24"/>
      <c r="J245" s="4"/>
      <c r="K245" s="4"/>
      <c r="L245" s="4"/>
      <c r="M245" s="4"/>
      <c r="N245" s="4"/>
    </row>
    <row r="246" spans="1:14">
      <c r="A246" s="4"/>
      <c r="B246" s="4"/>
      <c r="C246" s="4"/>
      <c r="D246" s="4"/>
      <c r="E246" s="4"/>
      <c r="F246" s="4"/>
      <c r="G246" s="4"/>
      <c r="H246" s="4"/>
      <c r="I246" s="24"/>
      <c r="J246" s="4"/>
      <c r="K246" s="4"/>
      <c r="L246" s="4"/>
      <c r="M246" s="4"/>
      <c r="N246" s="4"/>
    </row>
    <row r="247" spans="1:14">
      <c r="A247" s="4"/>
      <c r="B247" s="4"/>
      <c r="C247" s="4"/>
      <c r="D247" s="4"/>
      <c r="E247" s="4"/>
      <c r="F247" s="4"/>
      <c r="G247" s="4"/>
      <c r="H247" s="4"/>
      <c r="I247" s="24"/>
      <c r="J247" s="4"/>
      <c r="K247" s="4"/>
      <c r="L247" s="4"/>
      <c r="M247" s="4"/>
      <c r="N247" s="4"/>
    </row>
    <row r="248" spans="1:14">
      <c r="A248" s="4"/>
      <c r="B248" s="4"/>
      <c r="C248" s="4"/>
      <c r="D248" s="4"/>
      <c r="E248" s="4"/>
      <c r="F248" s="4"/>
      <c r="G248" s="4"/>
      <c r="H248" s="4"/>
      <c r="I248" s="24"/>
      <c r="J248" s="4"/>
      <c r="K248" s="4"/>
      <c r="L248" s="4"/>
      <c r="M248" s="4"/>
      <c r="N248" s="4"/>
    </row>
    <row r="249" spans="1:14">
      <c r="A249" s="4"/>
      <c r="B249" s="4"/>
      <c r="C249" s="4"/>
      <c r="D249" s="4"/>
      <c r="E249" s="4"/>
      <c r="F249" s="4"/>
      <c r="G249" s="4"/>
      <c r="H249" s="4"/>
      <c r="I249" s="24"/>
      <c r="J249" s="4"/>
      <c r="K249" s="4"/>
      <c r="L249" s="4"/>
      <c r="M249" s="4"/>
      <c r="N249" s="4"/>
    </row>
    <row r="250" spans="1:14">
      <c r="A250" s="4"/>
      <c r="B250" s="4"/>
      <c r="C250" s="4"/>
      <c r="D250" s="4"/>
      <c r="E250" s="4"/>
      <c r="F250" s="4"/>
      <c r="G250" s="4"/>
      <c r="H250" s="4"/>
      <c r="I250" s="24"/>
      <c r="J250" s="4"/>
      <c r="K250" s="4"/>
      <c r="L250" s="4"/>
      <c r="M250" s="4"/>
      <c r="N250" s="4"/>
    </row>
    <row r="251" spans="1:14">
      <c r="A251" s="4"/>
      <c r="B251" s="4"/>
      <c r="C251" s="4"/>
      <c r="D251" s="4"/>
      <c r="E251" s="4"/>
      <c r="F251" s="4"/>
      <c r="G251" s="4"/>
      <c r="H251" s="4"/>
      <c r="I251" s="24"/>
      <c r="J251" s="4"/>
      <c r="K251" s="4"/>
      <c r="L251" s="4"/>
      <c r="M251" s="4"/>
      <c r="N251" s="4"/>
    </row>
    <row r="252" spans="1:14">
      <c r="A252" s="4"/>
      <c r="B252" s="4"/>
      <c r="C252" s="4"/>
      <c r="D252" s="4"/>
      <c r="E252" s="4"/>
      <c r="F252" s="4"/>
      <c r="G252" s="4"/>
      <c r="H252" s="4"/>
      <c r="I252" s="24"/>
      <c r="J252" s="4"/>
      <c r="K252" s="4"/>
      <c r="L252" s="4"/>
      <c r="M252" s="4"/>
      <c r="N252" s="4"/>
    </row>
    <row r="253" spans="1:14">
      <c r="A253" s="4"/>
      <c r="B253" s="4"/>
      <c r="C253" s="4"/>
      <c r="D253" s="4"/>
      <c r="E253" s="4"/>
      <c r="F253" s="4"/>
      <c r="G253" s="4"/>
      <c r="H253" s="4"/>
      <c r="I253" s="24"/>
      <c r="J253" s="4"/>
      <c r="K253" s="4"/>
      <c r="L253" s="4"/>
      <c r="M253" s="4"/>
      <c r="N253" s="4"/>
    </row>
    <row r="254" spans="1:14">
      <c r="A254" s="4"/>
      <c r="B254" s="4"/>
      <c r="C254" s="4"/>
      <c r="D254" s="4"/>
      <c r="E254" s="4"/>
      <c r="F254" s="4"/>
      <c r="G254" s="4"/>
      <c r="H254" s="4"/>
      <c r="I254" s="24"/>
      <c r="J254" s="4"/>
      <c r="K254" s="4"/>
      <c r="L254" s="4"/>
      <c r="M254" s="4"/>
      <c r="N254" s="4"/>
    </row>
    <row r="255" spans="1:14">
      <c r="A255" s="4"/>
      <c r="B255" s="4"/>
      <c r="C255" s="4"/>
      <c r="D255" s="4"/>
      <c r="E255" s="4"/>
      <c r="F255" s="4"/>
      <c r="G255" s="4"/>
      <c r="H255" s="4"/>
      <c r="I255" s="24"/>
      <c r="J255" s="4"/>
      <c r="K255" s="4"/>
      <c r="L255" s="4"/>
      <c r="M255" s="4"/>
      <c r="N255" s="4"/>
    </row>
    <row r="256" spans="1:14">
      <c r="A256" s="4"/>
      <c r="B256" s="4"/>
      <c r="C256" s="4"/>
      <c r="D256" s="4"/>
      <c r="E256" s="4"/>
      <c r="F256" s="4"/>
      <c r="G256" s="4"/>
      <c r="H256" s="4"/>
      <c r="I256" s="24"/>
      <c r="J256" s="4"/>
      <c r="K256" s="4"/>
      <c r="L256" s="4"/>
      <c r="M256" s="4"/>
      <c r="N256" s="4"/>
    </row>
    <row r="257" spans="1:14">
      <c r="A257" s="4"/>
      <c r="B257" s="4"/>
      <c r="C257" s="4"/>
      <c r="D257" s="4"/>
      <c r="E257" s="4"/>
      <c r="F257" s="4"/>
      <c r="G257" s="4"/>
      <c r="H257" s="4"/>
      <c r="I257" s="24"/>
      <c r="J257" s="4"/>
      <c r="K257" s="4"/>
      <c r="L257" s="4"/>
      <c r="M257" s="4"/>
      <c r="N257" s="4"/>
    </row>
    <row r="258" spans="1:14">
      <c r="A258" s="4"/>
      <c r="B258" s="4"/>
      <c r="C258" s="4"/>
      <c r="D258" s="4"/>
      <c r="E258" s="4"/>
      <c r="F258" s="4"/>
      <c r="G258" s="4"/>
      <c r="H258" s="4"/>
      <c r="I258" s="24"/>
      <c r="J258" s="4"/>
      <c r="K258" s="4"/>
      <c r="L258" s="4"/>
      <c r="M258" s="4"/>
      <c r="N258" s="4"/>
    </row>
    <row r="259" spans="1:14">
      <c r="A259" s="4"/>
      <c r="B259" s="4"/>
      <c r="C259" s="4"/>
      <c r="D259" s="4"/>
      <c r="E259" s="4"/>
      <c r="F259" s="4"/>
      <c r="G259" s="4"/>
      <c r="H259" s="4"/>
      <c r="I259" s="24"/>
      <c r="J259" s="4"/>
      <c r="K259" s="4"/>
      <c r="L259" s="4"/>
      <c r="M259" s="4"/>
      <c r="N259" s="4"/>
    </row>
    <row r="260" spans="1:14">
      <c r="A260" s="4"/>
      <c r="B260" s="4"/>
      <c r="C260" s="4"/>
      <c r="D260" s="4"/>
      <c r="E260" s="4"/>
      <c r="F260" s="4"/>
      <c r="G260" s="4"/>
      <c r="H260" s="4"/>
      <c r="I260" s="24"/>
      <c r="J260" s="4"/>
      <c r="K260" s="4"/>
      <c r="L260" s="4"/>
      <c r="M260" s="4"/>
      <c r="N260" s="4"/>
    </row>
    <row r="261" spans="1:14">
      <c r="A261" s="4"/>
      <c r="B261" s="4"/>
      <c r="C261" s="4"/>
      <c r="D261" s="4"/>
      <c r="E261" s="4"/>
      <c r="F261" s="4"/>
      <c r="G261" s="4"/>
      <c r="H261" s="4"/>
      <c r="I261" s="24"/>
      <c r="J261" s="4"/>
      <c r="K261" s="4"/>
      <c r="L261" s="4"/>
      <c r="M261" s="4"/>
      <c r="N261" s="4"/>
    </row>
    <row r="262" spans="1:14">
      <c r="A262" s="4"/>
      <c r="B262" s="4"/>
      <c r="C262" s="4"/>
      <c r="D262" s="4"/>
      <c r="E262" s="4"/>
      <c r="F262" s="4"/>
      <c r="G262" s="4"/>
      <c r="H262" s="4"/>
      <c r="I262" s="24"/>
      <c r="J262" s="4"/>
      <c r="K262" s="4"/>
      <c r="L262" s="4"/>
      <c r="M262" s="4"/>
      <c r="N262" s="4"/>
    </row>
    <row r="263" spans="1:14">
      <c r="A263" s="4"/>
      <c r="B263" s="4"/>
      <c r="C263" s="4"/>
      <c r="D263" s="4"/>
      <c r="E263" s="4"/>
      <c r="F263" s="4"/>
      <c r="G263" s="4"/>
      <c r="H263" s="4"/>
      <c r="I263" s="24"/>
      <c r="J263" s="4"/>
      <c r="K263" s="4"/>
      <c r="L263" s="4"/>
      <c r="M263" s="4"/>
      <c r="N263" s="4"/>
    </row>
    <row r="264" spans="1:14">
      <c r="A264" s="4"/>
      <c r="B264" s="4"/>
      <c r="C264" s="4"/>
      <c r="D264" s="4"/>
      <c r="E264" s="4"/>
      <c r="F264" s="4"/>
      <c r="G264" s="4"/>
      <c r="H264" s="4"/>
      <c r="I264" s="24"/>
      <c r="J264" s="4"/>
      <c r="K264" s="4"/>
      <c r="L264" s="4"/>
      <c r="M264" s="4"/>
      <c r="N264" s="4"/>
    </row>
    <row r="265" spans="1:14">
      <c r="A265" s="4"/>
      <c r="B265" s="4"/>
      <c r="C265" s="4"/>
      <c r="D265" s="4"/>
      <c r="E265" s="4"/>
      <c r="F265" s="4"/>
      <c r="G265" s="4"/>
      <c r="H265" s="4"/>
      <c r="I265" s="24"/>
      <c r="J265" s="4"/>
      <c r="K265" s="4"/>
      <c r="L265" s="4"/>
      <c r="M265" s="4"/>
      <c r="N265" s="4"/>
    </row>
    <row r="266" spans="1:14">
      <c r="A266" s="4"/>
      <c r="B266" s="4"/>
      <c r="C266" s="4"/>
      <c r="D266" s="4"/>
      <c r="E266" s="4"/>
      <c r="F266" s="4"/>
      <c r="G266" s="4"/>
      <c r="H266" s="4"/>
      <c r="I266" s="24"/>
      <c r="J266" s="4"/>
      <c r="K266" s="4"/>
      <c r="L266" s="4"/>
      <c r="M266" s="4"/>
      <c r="N266" s="4"/>
    </row>
    <row r="267" spans="1:14">
      <c r="A267" s="4"/>
      <c r="B267" s="4"/>
      <c r="C267" s="4"/>
      <c r="D267" s="4"/>
      <c r="E267" s="4"/>
      <c r="F267" s="4"/>
      <c r="G267" s="4"/>
      <c r="H267" s="4"/>
      <c r="I267" s="24"/>
      <c r="J267" s="4"/>
      <c r="K267" s="4"/>
      <c r="L267" s="4"/>
      <c r="M267" s="4"/>
      <c r="N267" s="4"/>
    </row>
    <row r="268" spans="1:14">
      <c r="A268" s="4"/>
      <c r="B268" s="4"/>
      <c r="C268" s="4"/>
      <c r="D268" s="4"/>
      <c r="E268" s="4"/>
      <c r="F268" s="4"/>
      <c r="G268" s="4"/>
      <c r="H268" s="4"/>
      <c r="I268" s="24"/>
      <c r="J268" s="4"/>
      <c r="K268" s="4"/>
      <c r="L268" s="4"/>
      <c r="M268" s="4"/>
      <c r="N268" s="4"/>
    </row>
    <row r="269" spans="1:14">
      <c r="A269" s="4"/>
      <c r="B269" s="4"/>
      <c r="C269" s="4"/>
      <c r="D269" s="4"/>
      <c r="E269" s="4"/>
      <c r="F269" s="4"/>
      <c r="G269" s="4"/>
      <c r="H269" s="4"/>
      <c r="I269" s="24"/>
      <c r="J269" s="4"/>
      <c r="K269" s="4"/>
      <c r="L269" s="4"/>
      <c r="M269" s="4"/>
      <c r="N269" s="4"/>
    </row>
    <row r="270" spans="1:14">
      <c r="A270" s="4"/>
      <c r="B270" s="4"/>
      <c r="C270" s="4"/>
      <c r="D270" s="4"/>
      <c r="E270" s="4"/>
      <c r="F270" s="4"/>
      <c r="G270" s="4"/>
      <c r="H270" s="4"/>
      <c r="I270" s="24"/>
      <c r="J270" s="4"/>
      <c r="K270" s="4"/>
      <c r="L270" s="4"/>
      <c r="M270" s="4"/>
      <c r="N270" s="4"/>
    </row>
    <row r="271" spans="1:14">
      <c r="A271" s="4"/>
      <c r="B271" s="4"/>
      <c r="C271" s="4"/>
      <c r="D271" s="4"/>
      <c r="E271" s="4"/>
      <c r="F271" s="4"/>
      <c r="G271" s="4"/>
      <c r="H271" s="4"/>
      <c r="I271" s="24"/>
      <c r="J271" s="4"/>
      <c r="K271" s="4"/>
      <c r="L271" s="4"/>
      <c r="M271" s="4"/>
      <c r="N271" s="4"/>
    </row>
    <row r="272" spans="1:14">
      <c r="A272" s="4"/>
      <c r="B272" s="4"/>
      <c r="C272" s="4"/>
      <c r="D272" s="4"/>
      <c r="E272" s="4"/>
      <c r="F272" s="4"/>
      <c r="G272" s="4"/>
      <c r="H272" s="4"/>
      <c r="I272" s="24"/>
      <c r="J272" s="4"/>
      <c r="K272" s="4"/>
      <c r="L272" s="4"/>
      <c r="M272" s="4"/>
      <c r="N272" s="4"/>
    </row>
    <row r="273" spans="1:14">
      <c r="A273" s="4"/>
      <c r="B273" s="4"/>
      <c r="C273" s="4"/>
      <c r="D273" s="4"/>
      <c r="E273" s="4"/>
      <c r="F273" s="4"/>
      <c r="G273" s="4"/>
      <c r="H273" s="4"/>
      <c r="I273" s="24"/>
      <c r="J273" s="4"/>
      <c r="K273" s="4"/>
      <c r="L273" s="4"/>
      <c r="M273" s="4"/>
      <c r="N273" s="4"/>
    </row>
  </sheetData>
  <autoFilter ref="A1:N1" xr:uid="{00000000-0001-0000-0200-000000000000}"/>
  <dataValidations count="1">
    <dataValidation type="list" allowBlank="1" showInputMessage="1" showErrorMessage="1" sqref="C27:C273 C2:C22 C24" xr:uid="{067F06ED-A5AE-45DD-987E-F5954C2BF435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39C8469-9CD8-4165-BFE3-149F697F7A1F}">
          <x14:formula1>
            <xm:f>List!$P$2:$P$11</xm:f>
          </x14:formula1>
          <xm:sqref>B2:B9 B27:B273 B12:B22</xm:sqref>
        </x14:dataValidation>
        <x14:dataValidation type="list" allowBlank="1" showInputMessage="1" showErrorMessage="1" xr:uid="{32FE5AEF-F6B2-471E-A50E-1CAC47DAB448}">
          <x14:formula1>
            <xm:f>List!$H$2:$H$13</xm:f>
          </x14:formula1>
          <xm:sqref>M27:M273</xm:sqref>
        </x14:dataValidation>
        <x14:dataValidation type="list" allowBlank="1" showInputMessage="1" showErrorMessage="1" xr:uid="{60284DE7-453C-4344-8240-31F7A646BA73}">
          <x14:formula1>
            <xm:f>List!$J$2:$J$4</xm:f>
          </x14:formula1>
          <xm:sqref>N27:N273</xm:sqref>
        </x14:dataValidation>
        <x14:dataValidation type="list" allowBlank="1" showInputMessage="1" showErrorMessage="1" xr:uid="{9F4E4ADD-A6B1-4263-BAA0-8CEFF8EE2812}">
          <x14:formula1>
            <xm:f>List!$C$2:$C$3</xm:f>
          </x14:formula1>
          <xm:sqref>D2:D273</xm:sqref>
        </x14:dataValidation>
        <x14:dataValidation type="list" allowBlank="1" showInputMessage="1" showErrorMessage="1" xr:uid="{FD73F5BE-968C-4311-B8D8-CA0C5F57934D}">
          <x14:formula1>
            <xm:f>List!$E$2:$E$32</xm:f>
          </x14:formula1>
          <xm:sqref>E2:E273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9"/>
  <sheetViews>
    <sheetView topLeftCell="D1" workbookViewId="0">
      <selection activeCell="A2" sqref="A2:N9"/>
    </sheetView>
  </sheetViews>
  <sheetFormatPr defaultColWidth="9" defaultRowHeight="14.5"/>
  <cols>
    <col min="1" max="1" width="5.36328125" customWidth="1"/>
    <col min="2" max="2" width="9.36328125" customWidth="1"/>
    <col min="3" max="3" width="9.6328125" customWidth="1"/>
    <col min="4" max="4" width="9" customWidth="1"/>
    <col min="5" max="5" width="17.1796875" customWidth="1"/>
    <col min="6" max="6" width="10.1796875" customWidth="1"/>
    <col min="7" max="7" width="42.453125" customWidth="1"/>
    <col min="8" max="8" width="25.453125" customWidth="1"/>
    <col min="9" max="9" width="18.08984375" customWidth="1"/>
    <col min="10" max="10" width="10.08984375" customWidth="1"/>
    <col min="11" max="11" width="11.1796875" customWidth="1"/>
    <col min="12" max="12" width="10.81640625" customWidth="1"/>
    <col min="13" max="13" width="6.54296875" customWidth="1"/>
    <col min="14" max="14" width="4.81640625" customWidth="1"/>
  </cols>
  <sheetData>
    <row r="1" spans="1:14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6" t="s">
        <v>9</v>
      </c>
      <c r="K1" s="66" t="s">
        <v>10</v>
      </c>
      <c r="L1" s="66" t="s">
        <v>11</v>
      </c>
      <c r="M1" s="66" t="s">
        <v>12</v>
      </c>
      <c r="N1" s="66" t="s">
        <v>13</v>
      </c>
    </row>
    <row r="2" spans="1:14">
      <c r="A2" s="41">
        <v>1</v>
      </c>
      <c r="B2" s="133" t="s">
        <v>40</v>
      </c>
      <c r="C2" s="140" t="s">
        <v>47</v>
      </c>
      <c r="D2" s="133" t="s">
        <v>19</v>
      </c>
      <c r="E2" s="41" t="s">
        <v>54</v>
      </c>
      <c r="F2" s="41"/>
      <c r="G2" s="41" t="s">
        <v>274</v>
      </c>
      <c r="H2" s="41" t="s">
        <v>54</v>
      </c>
      <c r="I2" s="69">
        <f>4500000/1540</f>
        <v>2922.0779220779223</v>
      </c>
      <c r="J2" s="133" t="s">
        <v>14</v>
      </c>
      <c r="K2" s="133" t="s">
        <v>14</v>
      </c>
      <c r="L2" s="115" t="s">
        <v>14</v>
      </c>
      <c r="M2" s="133" t="s">
        <v>197</v>
      </c>
      <c r="N2" s="41">
        <v>2026</v>
      </c>
    </row>
    <row r="3" spans="1:14">
      <c r="A3" s="41">
        <v>2</v>
      </c>
      <c r="B3" s="68" t="s">
        <v>50</v>
      </c>
      <c r="C3" s="68" t="s">
        <v>60</v>
      </c>
      <c r="D3" s="133" t="s">
        <v>19</v>
      </c>
      <c r="E3" s="41" t="s">
        <v>54</v>
      </c>
      <c r="F3" s="41"/>
      <c r="G3" s="41" t="s">
        <v>274</v>
      </c>
      <c r="H3" s="41" t="s">
        <v>54</v>
      </c>
      <c r="I3" s="69">
        <f>3900000/1540</f>
        <v>2532.4675324675327</v>
      </c>
      <c r="J3" s="133" t="s">
        <v>14</v>
      </c>
      <c r="K3" s="133" t="s">
        <v>14</v>
      </c>
      <c r="L3" s="115" t="s">
        <v>14</v>
      </c>
      <c r="M3" s="133" t="s">
        <v>197</v>
      </c>
      <c r="N3" s="41">
        <v>2026</v>
      </c>
    </row>
    <row r="4" spans="1:14">
      <c r="A4" s="41">
        <v>3</v>
      </c>
      <c r="B4" s="133" t="s">
        <v>40</v>
      </c>
      <c r="C4" s="140" t="s">
        <v>47</v>
      </c>
      <c r="D4" s="133" t="s">
        <v>19</v>
      </c>
      <c r="E4" s="41" t="s">
        <v>54</v>
      </c>
      <c r="F4" s="41"/>
      <c r="G4" s="41" t="s">
        <v>274</v>
      </c>
      <c r="H4" s="41" t="s">
        <v>54</v>
      </c>
      <c r="I4" s="69">
        <f>2000000/1540</f>
        <v>1298.7012987012988</v>
      </c>
      <c r="J4" s="133" t="s">
        <v>14</v>
      </c>
      <c r="K4" s="133" t="s">
        <v>14</v>
      </c>
      <c r="L4" s="115" t="s">
        <v>14</v>
      </c>
      <c r="M4" s="133" t="s">
        <v>197</v>
      </c>
      <c r="N4" s="41">
        <v>2026</v>
      </c>
    </row>
    <row r="5" spans="1:14">
      <c r="A5" s="41">
        <v>4</v>
      </c>
      <c r="B5" s="133" t="s">
        <v>40</v>
      </c>
      <c r="C5" s="140" t="s">
        <v>47</v>
      </c>
      <c r="D5" s="133" t="s">
        <v>19</v>
      </c>
      <c r="E5" s="41" t="s">
        <v>54</v>
      </c>
      <c r="F5" s="41"/>
      <c r="G5" s="113" t="s">
        <v>253</v>
      </c>
      <c r="H5" s="41" t="s">
        <v>54</v>
      </c>
      <c r="I5" s="116">
        <f>13200000/1540</f>
        <v>8571.4285714285706</v>
      </c>
      <c r="J5" s="115" t="s">
        <v>14</v>
      </c>
      <c r="K5" s="133" t="s">
        <v>14</v>
      </c>
      <c r="L5" s="115" t="s">
        <v>14</v>
      </c>
      <c r="M5" s="133" t="s">
        <v>197</v>
      </c>
      <c r="N5" s="41">
        <v>2026</v>
      </c>
    </row>
    <row r="6" spans="1:14">
      <c r="A6" s="41">
        <v>5</v>
      </c>
      <c r="B6" s="130" t="s">
        <v>52</v>
      </c>
      <c r="C6" s="4" t="s">
        <v>53</v>
      </c>
      <c r="D6" s="133" t="s">
        <v>19</v>
      </c>
      <c r="E6" s="41" t="s">
        <v>54</v>
      </c>
      <c r="G6" s="113" t="s">
        <v>253</v>
      </c>
      <c r="H6" s="41" t="s">
        <v>54</v>
      </c>
      <c r="I6" s="116">
        <f>13200000/1540</f>
        <v>8571.4285714285706</v>
      </c>
      <c r="J6" s="115" t="s">
        <v>14</v>
      </c>
      <c r="K6" s="133" t="s">
        <v>14</v>
      </c>
      <c r="L6" s="115" t="s">
        <v>14</v>
      </c>
      <c r="M6" s="133" t="s">
        <v>197</v>
      </c>
      <c r="N6" s="41">
        <v>2026</v>
      </c>
    </row>
    <row r="7" spans="1:14">
      <c r="A7" s="41">
        <v>6</v>
      </c>
      <c r="B7" s="133" t="s">
        <v>40</v>
      </c>
      <c r="C7" s="140" t="s">
        <v>47</v>
      </c>
      <c r="D7" s="133" t="s">
        <v>19</v>
      </c>
      <c r="E7" s="41" t="s">
        <v>54</v>
      </c>
      <c r="G7" s="113" t="s">
        <v>253</v>
      </c>
      <c r="H7" s="41" t="s">
        <v>54</v>
      </c>
      <c r="I7" s="116">
        <f>13200000/1540</f>
        <v>8571.4285714285706</v>
      </c>
      <c r="J7" s="115" t="s">
        <v>14</v>
      </c>
      <c r="K7" s="133" t="s">
        <v>14</v>
      </c>
      <c r="L7" s="115" t="s">
        <v>14</v>
      </c>
      <c r="M7" s="133" t="s">
        <v>197</v>
      </c>
      <c r="N7" s="41">
        <v>2026</v>
      </c>
    </row>
    <row r="8" spans="1:14">
      <c r="A8" s="41">
        <v>7</v>
      </c>
      <c r="B8" s="130" t="s">
        <v>50</v>
      </c>
      <c r="C8" s="130" t="s">
        <v>60</v>
      </c>
      <c r="D8" s="133" t="s">
        <v>19</v>
      </c>
      <c r="E8" s="41" t="s">
        <v>54</v>
      </c>
      <c r="G8" s="113" t="s">
        <v>253</v>
      </c>
      <c r="H8" s="41" t="s">
        <v>54</v>
      </c>
      <c r="I8" s="116">
        <f>13200000/1540</f>
        <v>8571.4285714285706</v>
      </c>
      <c r="J8" s="115" t="s">
        <v>14</v>
      </c>
      <c r="K8" s="133" t="s">
        <v>14</v>
      </c>
      <c r="L8" s="115" t="s">
        <v>14</v>
      </c>
      <c r="M8" s="133" t="s">
        <v>197</v>
      </c>
      <c r="N8" s="41">
        <v>2026</v>
      </c>
    </row>
    <row r="9" spans="1:14">
      <c r="A9" s="41">
        <v>8</v>
      </c>
      <c r="B9" s="133" t="s">
        <v>40</v>
      </c>
      <c r="C9" s="140" t="s">
        <v>47</v>
      </c>
      <c r="D9" s="133" t="s">
        <v>19</v>
      </c>
      <c r="E9" s="41" t="s">
        <v>54</v>
      </c>
      <c r="G9" s="113" t="s">
        <v>253</v>
      </c>
      <c r="H9" s="41" t="s">
        <v>54</v>
      </c>
      <c r="I9" s="116">
        <f>13200000/1540</f>
        <v>8571.4285714285706</v>
      </c>
      <c r="J9" s="115" t="s">
        <v>14</v>
      </c>
      <c r="K9" s="133" t="s">
        <v>14</v>
      </c>
      <c r="L9" s="115" t="s">
        <v>14</v>
      </c>
      <c r="M9" s="133" t="s">
        <v>197</v>
      </c>
      <c r="N9" s="41">
        <v>2026</v>
      </c>
    </row>
  </sheetData>
  <dataValidations count="1">
    <dataValidation type="list" allowBlank="1" showInputMessage="1" showErrorMessage="1" sqref="C6" xr:uid="{70DF57B1-07DF-461C-8CB6-0EE7DC4159DA}">
      <formula1>INDIRECT(B6)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List!$P$2:$P$11</xm:f>
          </x14:formula1>
          <xm:sqref>B2:B5 B7 B9</xm:sqref>
        </x14:dataValidation>
        <x14:dataValidation type="list" allowBlank="1" showInputMessage="1" showErrorMessage="1" xr:uid="{00000000-0002-0000-0300-000002000000}">
          <x14:formula1>
            <xm:f>List!$C$2:$C$3</xm:f>
          </x14:formula1>
          <xm:sqref>D2:D9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N128"/>
  <sheetViews>
    <sheetView topLeftCell="D111" workbookViewId="0">
      <selection activeCell="A2" sqref="A2:N128"/>
    </sheetView>
  </sheetViews>
  <sheetFormatPr defaultColWidth="9" defaultRowHeight="14.5"/>
  <cols>
    <col min="1" max="1" width="5.36328125" style="41" customWidth="1"/>
    <col min="2" max="2" width="9.36328125" style="41" customWidth="1"/>
    <col min="3" max="3" width="10.453125" style="41" customWidth="1"/>
    <col min="4" max="4" width="8.90625" style="41" customWidth="1"/>
    <col min="5" max="5" width="24.81640625" style="41" customWidth="1"/>
    <col min="6" max="6" width="10.08984375" style="41" customWidth="1"/>
    <col min="7" max="7" width="9.453125" style="41" customWidth="1"/>
    <col min="8" max="8" width="22.36328125" style="41" customWidth="1"/>
    <col min="9" max="9" width="18" style="41" customWidth="1"/>
    <col min="10" max="10" width="10.08984375" style="41" customWidth="1"/>
    <col min="11" max="11" width="13.453125" style="41" bestFit="1" customWidth="1"/>
    <col min="12" max="12" width="10.453125" style="41" customWidth="1"/>
    <col min="13" max="13" width="6.453125" style="41" customWidth="1"/>
    <col min="14" max="14" width="4.81640625" style="41" customWidth="1"/>
    <col min="15" max="16384" width="9" style="41"/>
  </cols>
  <sheetData>
    <row r="1" spans="1:14">
      <c r="A1" s="111" t="s">
        <v>0</v>
      </c>
      <c r="B1" s="111" t="s">
        <v>1</v>
      </c>
      <c r="C1" s="111" t="s">
        <v>2</v>
      </c>
      <c r="D1" s="111" t="s">
        <v>3</v>
      </c>
      <c r="E1" s="111" t="s">
        <v>4</v>
      </c>
      <c r="F1" s="111" t="s">
        <v>5</v>
      </c>
      <c r="G1" s="111" t="s">
        <v>6</v>
      </c>
      <c r="H1" s="111" t="s">
        <v>7</v>
      </c>
      <c r="I1" s="111" t="s">
        <v>8</v>
      </c>
      <c r="J1" s="111" t="s">
        <v>9</v>
      </c>
      <c r="K1" s="111" t="s">
        <v>10</v>
      </c>
      <c r="L1" s="111" t="s">
        <v>11</v>
      </c>
      <c r="M1" s="111" t="s">
        <v>12</v>
      </c>
      <c r="N1" s="111" t="s">
        <v>13</v>
      </c>
    </row>
    <row r="2" spans="1:14">
      <c r="A2" s="26">
        <v>1</v>
      </c>
      <c r="B2" s="26" t="s">
        <v>259</v>
      </c>
      <c r="C2" s="45" t="s">
        <v>260</v>
      </c>
      <c r="D2" s="26" t="s">
        <v>58</v>
      </c>
      <c r="E2" s="26" t="s">
        <v>61</v>
      </c>
      <c r="F2" s="26"/>
      <c r="G2" s="26" t="s">
        <v>62</v>
      </c>
      <c r="H2" s="46" t="s">
        <v>63</v>
      </c>
      <c r="I2" s="47">
        <v>594.80519480519479</v>
      </c>
      <c r="J2" s="26" t="s">
        <v>65</v>
      </c>
      <c r="K2" s="45" t="s">
        <v>285</v>
      </c>
      <c r="L2" s="60" t="s">
        <v>14</v>
      </c>
      <c r="M2" s="132" t="s">
        <v>197</v>
      </c>
      <c r="N2" s="26">
        <v>2026</v>
      </c>
    </row>
    <row r="3" spans="1:14">
      <c r="A3" s="26">
        <v>2</v>
      </c>
      <c r="B3" s="26" t="s">
        <v>31</v>
      </c>
      <c r="C3" s="26" t="s">
        <v>32</v>
      </c>
      <c r="D3" s="26" t="s">
        <v>58</v>
      </c>
      <c r="E3" s="26" t="s">
        <v>61</v>
      </c>
      <c r="F3" s="26"/>
      <c r="G3" s="26" t="s">
        <v>62</v>
      </c>
      <c r="H3" s="26" t="s">
        <v>306</v>
      </c>
      <c r="I3" s="47">
        <v>487.01298701298703</v>
      </c>
      <c r="J3" s="26" t="s">
        <v>65</v>
      </c>
      <c r="K3" s="45" t="s">
        <v>376</v>
      </c>
      <c r="L3" s="60" t="s">
        <v>14</v>
      </c>
      <c r="M3" s="132" t="s">
        <v>197</v>
      </c>
      <c r="N3" s="26">
        <v>2026</v>
      </c>
    </row>
    <row r="4" spans="1:14">
      <c r="A4" s="26">
        <v>3</v>
      </c>
      <c r="B4" s="26" t="s">
        <v>31</v>
      </c>
      <c r="C4" s="26" t="s">
        <v>32</v>
      </c>
      <c r="D4" s="26" t="s">
        <v>58</v>
      </c>
      <c r="E4" s="26" t="s">
        <v>61</v>
      </c>
      <c r="F4" s="26"/>
      <c r="G4" s="26" t="s">
        <v>62</v>
      </c>
      <c r="H4" s="26" t="s">
        <v>306</v>
      </c>
      <c r="I4" s="47">
        <v>974.02597402597405</v>
      </c>
      <c r="J4" s="26" t="s">
        <v>65</v>
      </c>
      <c r="K4" s="45">
        <v>46329</v>
      </c>
      <c r="L4" s="60" t="s">
        <v>14</v>
      </c>
      <c r="M4" s="132" t="s">
        <v>197</v>
      </c>
      <c r="N4" s="26">
        <v>2026</v>
      </c>
    </row>
    <row r="5" spans="1:14">
      <c r="A5" s="26">
        <v>4</v>
      </c>
      <c r="B5" s="26" t="s">
        <v>31</v>
      </c>
      <c r="C5" s="45" t="s">
        <v>32</v>
      </c>
      <c r="D5" s="26" t="s">
        <v>58</v>
      </c>
      <c r="E5" s="26" t="s">
        <v>61</v>
      </c>
      <c r="F5" s="26"/>
      <c r="G5" s="26" t="s">
        <v>62</v>
      </c>
      <c r="H5" s="46" t="s">
        <v>306</v>
      </c>
      <c r="I5" s="47">
        <v>324.6753246753247</v>
      </c>
      <c r="J5" s="26" t="s">
        <v>65</v>
      </c>
      <c r="K5" s="45">
        <v>46056</v>
      </c>
      <c r="L5" s="60" t="s">
        <v>14</v>
      </c>
      <c r="M5" s="132" t="s">
        <v>197</v>
      </c>
      <c r="N5" s="26">
        <v>2026</v>
      </c>
    </row>
    <row r="6" spans="1:14">
      <c r="A6" s="26">
        <v>5</v>
      </c>
      <c r="B6" s="26" t="s">
        <v>31</v>
      </c>
      <c r="C6" s="45" t="s">
        <v>32</v>
      </c>
      <c r="D6" s="26" t="s">
        <v>58</v>
      </c>
      <c r="E6" s="26" t="s">
        <v>61</v>
      </c>
      <c r="F6" s="26"/>
      <c r="G6" s="26" t="s">
        <v>62</v>
      </c>
      <c r="H6" s="46" t="s">
        <v>307</v>
      </c>
      <c r="I6" s="47">
        <v>185.06493506493507</v>
      </c>
      <c r="J6" s="26" t="s">
        <v>65</v>
      </c>
      <c r="K6" s="45">
        <v>46115</v>
      </c>
      <c r="L6" s="60" t="s">
        <v>14</v>
      </c>
      <c r="M6" s="132" t="s">
        <v>197</v>
      </c>
      <c r="N6" s="26">
        <v>2026</v>
      </c>
    </row>
    <row r="7" spans="1:14">
      <c r="A7" s="26">
        <v>6</v>
      </c>
      <c r="B7" s="26" t="s">
        <v>50</v>
      </c>
      <c r="C7" s="26" t="s">
        <v>51</v>
      </c>
      <c r="D7" s="26" t="s">
        <v>58</v>
      </c>
      <c r="E7" s="26" t="s">
        <v>61</v>
      </c>
      <c r="F7" s="26"/>
      <c r="G7" s="26" t="s">
        <v>62</v>
      </c>
      <c r="H7" s="26" t="s">
        <v>66</v>
      </c>
      <c r="I7" s="47">
        <v>324.6753246753247</v>
      </c>
      <c r="J7" s="26" t="s">
        <v>65</v>
      </c>
      <c r="K7" s="45" t="s">
        <v>376</v>
      </c>
      <c r="L7" s="60" t="s">
        <v>14</v>
      </c>
      <c r="M7" s="132" t="s">
        <v>197</v>
      </c>
      <c r="N7" s="26">
        <v>2026</v>
      </c>
    </row>
    <row r="8" spans="1:14">
      <c r="A8" s="26">
        <v>7</v>
      </c>
      <c r="B8" s="26" t="s">
        <v>56</v>
      </c>
      <c r="C8" s="26" t="s">
        <v>57</v>
      </c>
      <c r="D8" s="26" t="s">
        <v>58</v>
      </c>
      <c r="E8" s="26" t="s">
        <v>61</v>
      </c>
      <c r="F8" s="26"/>
      <c r="G8" s="26" t="s">
        <v>62</v>
      </c>
      <c r="H8" s="26" t="s">
        <v>63</v>
      </c>
      <c r="I8" s="47">
        <v>2544.8051948051948</v>
      </c>
      <c r="J8" s="26" t="s">
        <v>65</v>
      </c>
      <c r="K8" s="45" t="s">
        <v>377</v>
      </c>
      <c r="L8" s="60" t="s">
        <v>14</v>
      </c>
      <c r="M8" s="132" t="s">
        <v>197</v>
      </c>
      <c r="N8" s="26">
        <v>2026</v>
      </c>
    </row>
    <row r="9" spans="1:14">
      <c r="A9" s="26">
        <v>8</v>
      </c>
      <c r="B9" s="26" t="s">
        <v>56</v>
      </c>
      <c r="C9" s="26" t="s">
        <v>57</v>
      </c>
      <c r="D9" s="26" t="s">
        <v>58</v>
      </c>
      <c r="E9" s="26" t="s">
        <v>61</v>
      </c>
      <c r="F9" s="26"/>
      <c r="G9" s="26" t="s">
        <v>62</v>
      </c>
      <c r="H9" s="26" t="s">
        <v>238</v>
      </c>
      <c r="I9" s="47">
        <v>7928.5714285714284</v>
      </c>
      <c r="J9" s="26" t="s">
        <v>65</v>
      </c>
      <c r="K9" s="45" t="s">
        <v>377</v>
      </c>
      <c r="L9" s="60" t="s">
        <v>14</v>
      </c>
      <c r="M9" s="132" t="s">
        <v>197</v>
      </c>
      <c r="N9" s="26">
        <v>2026</v>
      </c>
    </row>
    <row r="10" spans="1:14">
      <c r="A10" s="26">
        <v>9</v>
      </c>
      <c r="B10" s="26" t="s">
        <v>56</v>
      </c>
      <c r="C10" s="45" t="s">
        <v>57</v>
      </c>
      <c r="D10" s="26" t="s">
        <v>58</v>
      </c>
      <c r="E10" s="26" t="s">
        <v>61</v>
      </c>
      <c r="F10" s="26"/>
      <c r="G10" s="26" t="s">
        <v>62</v>
      </c>
      <c r="H10" s="46" t="s">
        <v>308</v>
      </c>
      <c r="I10" s="47">
        <v>2357.1428571428573</v>
      </c>
      <c r="J10" s="26">
        <v>45731</v>
      </c>
      <c r="K10" s="45" t="s">
        <v>376</v>
      </c>
      <c r="L10" s="60" t="s">
        <v>14</v>
      </c>
      <c r="M10" s="132" t="s">
        <v>197</v>
      </c>
      <c r="N10" s="26">
        <v>2026</v>
      </c>
    </row>
    <row r="11" spans="1:14">
      <c r="A11" s="26">
        <v>10</v>
      </c>
      <c r="B11" s="26" t="s">
        <v>56</v>
      </c>
      <c r="C11" s="26" t="s">
        <v>57</v>
      </c>
      <c r="D11" s="26" t="s">
        <v>58</v>
      </c>
      <c r="E11" s="26" t="s">
        <v>61</v>
      </c>
      <c r="F11" s="26"/>
      <c r="G11" s="26" t="s">
        <v>62</v>
      </c>
      <c r="H11" s="46" t="s">
        <v>309</v>
      </c>
      <c r="I11" s="47">
        <v>178.57142857142858</v>
      </c>
      <c r="J11" s="26" t="s">
        <v>65</v>
      </c>
      <c r="K11" s="45" t="s">
        <v>376</v>
      </c>
      <c r="L11" s="60" t="s">
        <v>14</v>
      </c>
      <c r="M11" s="132" t="s">
        <v>197</v>
      </c>
      <c r="N11" s="26">
        <v>2026</v>
      </c>
    </row>
    <row r="12" spans="1:14">
      <c r="A12" s="26">
        <v>11</v>
      </c>
      <c r="B12" s="26" t="s">
        <v>56</v>
      </c>
      <c r="C12" s="45" t="s">
        <v>57</v>
      </c>
      <c r="D12" s="26" t="s">
        <v>58</v>
      </c>
      <c r="E12" s="26" t="s">
        <v>61</v>
      </c>
      <c r="F12" s="26"/>
      <c r="G12" s="26" t="s">
        <v>62</v>
      </c>
      <c r="H12" s="46" t="s">
        <v>310</v>
      </c>
      <c r="I12" s="47">
        <v>1461.0389610389611</v>
      </c>
      <c r="J12" s="26" t="s">
        <v>65</v>
      </c>
      <c r="K12" s="45" t="s">
        <v>378</v>
      </c>
      <c r="L12" s="60" t="s">
        <v>14</v>
      </c>
      <c r="M12" s="132" t="s">
        <v>197</v>
      </c>
      <c r="N12" s="26">
        <v>2026</v>
      </c>
    </row>
    <row r="13" spans="1:14">
      <c r="A13" s="26">
        <v>12</v>
      </c>
      <c r="B13" s="26" t="s">
        <v>17</v>
      </c>
      <c r="C13" s="26" t="s">
        <v>22</v>
      </c>
      <c r="D13" s="26" t="s">
        <v>58</v>
      </c>
      <c r="E13" s="26" t="s">
        <v>61</v>
      </c>
      <c r="F13" s="26"/>
      <c r="G13" s="26" t="s">
        <v>62</v>
      </c>
      <c r="H13" s="26" t="s">
        <v>64</v>
      </c>
      <c r="I13" s="50">
        <v>844.15584415584419</v>
      </c>
      <c r="J13" s="26" t="s">
        <v>65</v>
      </c>
      <c r="K13" s="45" t="s">
        <v>376</v>
      </c>
      <c r="L13" s="60" t="s">
        <v>14</v>
      </c>
      <c r="M13" s="132" t="s">
        <v>197</v>
      </c>
      <c r="N13" s="26">
        <v>2026</v>
      </c>
    </row>
    <row r="14" spans="1:14">
      <c r="A14" s="26">
        <v>13</v>
      </c>
      <c r="B14" s="26" t="s">
        <v>40</v>
      </c>
      <c r="C14" s="26" t="s">
        <v>46</v>
      </c>
      <c r="D14" s="26" t="s">
        <v>58</v>
      </c>
      <c r="E14" s="26" t="s">
        <v>61</v>
      </c>
      <c r="F14" s="26"/>
      <c r="G14" s="26" t="s">
        <v>62</v>
      </c>
      <c r="H14" s="26" t="s">
        <v>63</v>
      </c>
      <c r="I14" s="50">
        <v>266.23376623376623</v>
      </c>
      <c r="J14" s="26" t="s">
        <v>65</v>
      </c>
      <c r="K14" s="45" t="s">
        <v>377</v>
      </c>
      <c r="L14" s="60" t="s">
        <v>14</v>
      </c>
      <c r="M14" s="132" t="s">
        <v>197</v>
      </c>
      <c r="N14" s="26">
        <v>2026</v>
      </c>
    </row>
    <row r="15" spans="1:14">
      <c r="A15" s="26">
        <v>14</v>
      </c>
      <c r="B15" s="26" t="s">
        <v>302</v>
      </c>
      <c r="C15" s="26" t="s">
        <v>302</v>
      </c>
      <c r="D15" s="26" t="s">
        <v>58</v>
      </c>
      <c r="E15" s="26" t="s">
        <v>61</v>
      </c>
      <c r="F15" s="26"/>
      <c r="G15" s="26" t="s">
        <v>62</v>
      </c>
      <c r="H15" s="26" t="s">
        <v>238</v>
      </c>
      <c r="I15" s="50">
        <v>1006.4935064935065</v>
      </c>
      <c r="J15" s="26" t="s">
        <v>65</v>
      </c>
      <c r="K15" s="45">
        <v>46115</v>
      </c>
      <c r="L15" s="60" t="s">
        <v>14</v>
      </c>
      <c r="M15" s="132" t="s">
        <v>197</v>
      </c>
      <c r="N15" s="26">
        <v>2026</v>
      </c>
    </row>
    <row r="16" spans="1:14">
      <c r="A16" s="26">
        <v>15</v>
      </c>
      <c r="B16" s="26" t="s">
        <v>17</v>
      </c>
      <c r="C16" s="26" t="s">
        <v>25</v>
      </c>
      <c r="D16" s="26" t="s">
        <v>58</v>
      </c>
      <c r="E16" s="26" t="s">
        <v>61</v>
      </c>
      <c r="F16" s="26"/>
      <c r="G16" s="26" t="s">
        <v>62</v>
      </c>
      <c r="H16" s="26" t="s">
        <v>311</v>
      </c>
      <c r="I16" s="50">
        <v>1298.7012987012988</v>
      </c>
      <c r="J16" s="26" t="s">
        <v>65</v>
      </c>
      <c r="K16" s="45">
        <v>46359</v>
      </c>
      <c r="L16" s="60" t="s">
        <v>14</v>
      </c>
      <c r="M16" s="132" t="s">
        <v>197</v>
      </c>
      <c r="N16" s="26">
        <v>2026</v>
      </c>
    </row>
    <row r="17" spans="1:14">
      <c r="A17" s="26">
        <v>16</v>
      </c>
      <c r="B17" s="26" t="s">
        <v>17</v>
      </c>
      <c r="C17" s="26" t="s">
        <v>18</v>
      </c>
      <c r="D17" s="26" t="s">
        <v>58</v>
      </c>
      <c r="E17" s="26" t="s">
        <v>68</v>
      </c>
      <c r="F17" s="26"/>
      <c r="G17" s="26" t="s">
        <v>62</v>
      </c>
      <c r="H17" s="26" t="s">
        <v>312</v>
      </c>
      <c r="I17" s="47">
        <v>389.61038961038963</v>
      </c>
      <c r="J17" s="26">
        <v>4327</v>
      </c>
      <c r="K17" s="45">
        <v>46359</v>
      </c>
      <c r="L17" s="60" t="s">
        <v>14</v>
      </c>
      <c r="M17" s="132" t="s">
        <v>197</v>
      </c>
      <c r="N17" s="26">
        <v>2026</v>
      </c>
    </row>
    <row r="18" spans="1:14">
      <c r="A18" s="26">
        <v>17</v>
      </c>
      <c r="B18" s="26" t="s">
        <v>17</v>
      </c>
      <c r="C18" s="26" t="s">
        <v>18</v>
      </c>
      <c r="D18" s="26" t="s">
        <v>58</v>
      </c>
      <c r="E18" s="26" t="s">
        <v>68</v>
      </c>
      <c r="F18" s="26"/>
      <c r="G18" s="26" t="s">
        <v>62</v>
      </c>
      <c r="H18" s="26" t="s">
        <v>313</v>
      </c>
      <c r="I18" s="47">
        <v>876.62337662337666</v>
      </c>
      <c r="J18" s="26">
        <v>3896</v>
      </c>
      <c r="K18" s="45" t="s">
        <v>379</v>
      </c>
      <c r="L18" s="60" t="s">
        <v>14</v>
      </c>
      <c r="M18" s="132" t="s">
        <v>197</v>
      </c>
      <c r="N18" s="26">
        <v>2026</v>
      </c>
    </row>
    <row r="19" spans="1:14">
      <c r="A19" s="26">
        <v>18</v>
      </c>
      <c r="B19" s="26" t="s">
        <v>17</v>
      </c>
      <c r="C19" s="45" t="s">
        <v>18</v>
      </c>
      <c r="D19" s="26" t="s">
        <v>58</v>
      </c>
      <c r="E19" s="26" t="s">
        <v>68</v>
      </c>
      <c r="F19" s="26"/>
      <c r="G19" s="26" t="s">
        <v>62</v>
      </c>
      <c r="H19" s="46" t="s">
        <v>314</v>
      </c>
      <c r="I19" s="47">
        <v>995.12987012987014</v>
      </c>
      <c r="J19" s="26" t="s">
        <v>65</v>
      </c>
      <c r="K19" s="45" t="s">
        <v>283</v>
      </c>
      <c r="L19" s="60" t="s">
        <v>14</v>
      </c>
      <c r="M19" s="132" t="s">
        <v>197</v>
      </c>
      <c r="N19" s="26">
        <v>2026</v>
      </c>
    </row>
    <row r="20" spans="1:14">
      <c r="A20" s="26">
        <v>19</v>
      </c>
      <c r="B20" s="26" t="s">
        <v>17</v>
      </c>
      <c r="C20" s="45" t="s">
        <v>18</v>
      </c>
      <c r="D20" s="26" t="s">
        <v>58</v>
      </c>
      <c r="E20" s="26" t="s">
        <v>68</v>
      </c>
      <c r="F20" s="26"/>
      <c r="G20" s="26" t="s">
        <v>62</v>
      </c>
      <c r="H20" s="46" t="s">
        <v>314</v>
      </c>
      <c r="I20" s="47">
        <v>1018.5064935064935</v>
      </c>
      <c r="J20" s="45" t="s">
        <v>65</v>
      </c>
      <c r="K20" s="45" t="s">
        <v>377</v>
      </c>
      <c r="L20" s="60" t="s">
        <v>14</v>
      </c>
      <c r="M20" s="132" t="s">
        <v>197</v>
      </c>
      <c r="N20" s="26">
        <v>2026</v>
      </c>
    </row>
    <row r="21" spans="1:14">
      <c r="A21" s="26">
        <v>20</v>
      </c>
      <c r="B21" s="26" t="s">
        <v>52</v>
      </c>
      <c r="C21" s="45" t="s">
        <v>53</v>
      </c>
      <c r="D21" s="26" t="s">
        <v>58</v>
      </c>
      <c r="E21" s="26" t="s">
        <v>68</v>
      </c>
      <c r="F21" s="26"/>
      <c r="G21" s="26" t="s">
        <v>62</v>
      </c>
      <c r="H21" s="46" t="s">
        <v>315</v>
      </c>
      <c r="I21" s="47">
        <v>292.20779220779218</v>
      </c>
      <c r="J21" s="26">
        <v>1424</v>
      </c>
      <c r="K21" s="45" t="s">
        <v>380</v>
      </c>
      <c r="L21" s="60" t="s">
        <v>14</v>
      </c>
      <c r="M21" s="132" t="s">
        <v>197</v>
      </c>
      <c r="N21" s="26">
        <v>2026</v>
      </c>
    </row>
    <row r="22" spans="1:14">
      <c r="A22" s="26">
        <v>21</v>
      </c>
      <c r="B22" s="26" t="s">
        <v>52</v>
      </c>
      <c r="C22" s="45" t="s">
        <v>53</v>
      </c>
      <c r="D22" s="26" t="s">
        <v>58</v>
      </c>
      <c r="E22" s="26" t="s">
        <v>68</v>
      </c>
      <c r="F22" s="26"/>
      <c r="G22" s="26" t="s">
        <v>62</v>
      </c>
      <c r="H22" s="46" t="s">
        <v>316</v>
      </c>
      <c r="I22" s="47">
        <v>454.54545454545456</v>
      </c>
      <c r="J22" s="26">
        <v>602</v>
      </c>
      <c r="K22" s="45" t="s">
        <v>380</v>
      </c>
      <c r="L22" s="60" t="s">
        <v>14</v>
      </c>
      <c r="M22" s="132" t="s">
        <v>197</v>
      </c>
      <c r="N22" s="26">
        <v>2026</v>
      </c>
    </row>
    <row r="23" spans="1:14">
      <c r="A23" s="26">
        <v>22</v>
      </c>
      <c r="B23" s="26" t="s">
        <v>52</v>
      </c>
      <c r="C23" s="45" t="s">
        <v>53</v>
      </c>
      <c r="D23" s="26" t="s">
        <v>58</v>
      </c>
      <c r="E23" s="26" t="s">
        <v>68</v>
      </c>
      <c r="F23" s="26"/>
      <c r="G23" s="26" t="s">
        <v>62</v>
      </c>
      <c r="H23" s="46" t="s">
        <v>317</v>
      </c>
      <c r="I23" s="47">
        <v>319.48051948051949</v>
      </c>
      <c r="J23" s="46">
        <v>420</v>
      </c>
      <c r="K23" s="45" t="s">
        <v>379</v>
      </c>
      <c r="L23" s="60" t="s">
        <v>14</v>
      </c>
      <c r="M23" s="132" t="s">
        <v>197</v>
      </c>
      <c r="N23" s="26">
        <v>2026</v>
      </c>
    </row>
    <row r="24" spans="1:14">
      <c r="A24" s="26">
        <v>23</v>
      </c>
      <c r="B24" s="26" t="s">
        <v>52</v>
      </c>
      <c r="C24" s="45" t="s">
        <v>53</v>
      </c>
      <c r="D24" s="26" t="s">
        <v>58</v>
      </c>
      <c r="E24" s="26" t="s">
        <v>68</v>
      </c>
      <c r="F24" s="26"/>
      <c r="G24" s="26" t="s">
        <v>62</v>
      </c>
      <c r="H24" s="46" t="s">
        <v>318</v>
      </c>
      <c r="I24" s="47">
        <v>110.71428571428571</v>
      </c>
      <c r="J24" s="26">
        <v>37382</v>
      </c>
      <c r="K24" s="45">
        <v>46298</v>
      </c>
      <c r="L24" s="60" t="s">
        <v>14</v>
      </c>
      <c r="M24" s="132" t="s">
        <v>197</v>
      </c>
      <c r="N24" s="26">
        <v>2026</v>
      </c>
    </row>
    <row r="25" spans="1:14">
      <c r="A25" s="26">
        <v>24</v>
      </c>
      <c r="B25" s="26" t="s">
        <v>52</v>
      </c>
      <c r="C25" s="45" t="s">
        <v>53</v>
      </c>
      <c r="D25" s="26" t="s">
        <v>58</v>
      </c>
      <c r="E25" s="26" t="s">
        <v>68</v>
      </c>
      <c r="F25" s="26"/>
      <c r="G25" s="26" t="s">
        <v>62</v>
      </c>
      <c r="H25" s="46" t="s">
        <v>319</v>
      </c>
      <c r="I25" s="47">
        <v>750</v>
      </c>
      <c r="J25" s="26">
        <v>1.28</v>
      </c>
      <c r="K25" s="45" t="s">
        <v>381</v>
      </c>
      <c r="L25" s="60" t="s">
        <v>14</v>
      </c>
      <c r="M25" s="132" t="s">
        <v>197</v>
      </c>
      <c r="N25" s="26">
        <v>2026</v>
      </c>
    </row>
    <row r="26" spans="1:14">
      <c r="A26" s="26">
        <v>25</v>
      </c>
      <c r="B26" s="26" t="s">
        <v>52</v>
      </c>
      <c r="C26" s="45" t="s">
        <v>53</v>
      </c>
      <c r="D26" s="26" t="s">
        <v>58</v>
      </c>
      <c r="E26" s="26" t="s">
        <v>68</v>
      </c>
      <c r="F26" s="26"/>
      <c r="G26" s="26" t="s">
        <v>62</v>
      </c>
      <c r="H26" s="46" t="s">
        <v>320</v>
      </c>
      <c r="I26" s="47">
        <v>168.83116883116884</v>
      </c>
      <c r="J26" s="26">
        <v>3677</v>
      </c>
      <c r="K26" s="45" t="s">
        <v>380</v>
      </c>
      <c r="L26" s="60" t="s">
        <v>14</v>
      </c>
      <c r="M26" s="132" t="s">
        <v>197</v>
      </c>
      <c r="N26" s="26">
        <v>2026</v>
      </c>
    </row>
    <row r="27" spans="1:14">
      <c r="A27" s="26">
        <v>26</v>
      </c>
      <c r="B27" s="26" t="s">
        <v>52</v>
      </c>
      <c r="C27" s="26" t="s">
        <v>53</v>
      </c>
      <c r="D27" s="26" t="s">
        <v>58</v>
      </c>
      <c r="E27" s="26" t="s">
        <v>68</v>
      </c>
      <c r="F27" s="26"/>
      <c r="G27" s="26" t="s">
        <v>62</v>
      </c>
      <c r="H27" s="46" t="s">
        <v>71</v>
      </c>
      <c r="I27" s="47">
        <v>1716.8831168831168</v>
      </c>
      <c r="J27" s="26" t="s">
        <v>390</v>
      </c>
      <c r="K27" s="45">
        <v>46145</v>
      </c>
      <c r="L27" s="60" t="s">
        <v>14</v>
      </c>
      <c r="M27" s="132" t="s">
        <v>197</v>
      </c>
      <c r="N27" s="26">
        <v>2026</v>
      </c>
    </row>
    <row r="28" spans="1:14">
      <c r="A28" s="26">
        <v>27</v>
      </c>
      <c r="B28" s="26" t="s">
        <v>52</v>
      </c>
      <c r="C28" s="45" t="s">
        <v>53</v>
      </c>
      <c r="D28" s="26" t="s">
        <v>58</v>
      </c>
      <c r="E28" s="26" t="s">
        <v>68</v>
      </c>
      <c r="F28" s="26"/>
      <c r="G28" s="26" t="s">
        <v>62</v>
      </c>
      <c r="H28" s="46" t="s">
        <v>71</v>
      </c>
      <c r="I28" s="47">
        <v>2269.4805194805194</v>
      </c>
      <c r="J28" s="26" t="s">
        <v>391</v>
      </c>
      <c r="K28" s="45">
        <v>46329</v>
      </c>
      <c r="L28" s="60" t="s">
        <v>14</v>
      </c>
      <c r="M28" s="132" t="s">
        <v>197</v>
      </c>
      <c r="N28" s="26">
        <v>2026</v>
      </c>
    </row>
    <row r="29" spans="1:14">
      <c r="A29" s="26">
        <v>28</v>
      </c>
      <c r="B29" s="26" t="s">
        <v>52</v>
      </c>
      <c r="C29" s="45" t="s">
        <v>53</v>
      </c>
      <c r="D29" s="26" t="s">
        <v>58</v>
      </c>
      <c r="E29" s="26" t="s">
        <v>68</v>
      </c>
      <c r="F29" s="26"/>
      <c r="G29" s="26" t="s">
        <v>62</v>
      </c>
      <c r="H29" s="46" t="s">
        <v>71</v>
      </c>
      <c r="I29" s="47">
        <v>1648.0519480519481</v>
      </c>
      <c r="J29" s="26" t="s">
        <v>392</v>
      </c>
      <c r="K29" s="45" t="s">
        <v>382</v>
      </c>
      <c r="L29" s="60" t="s">
        <v>14</v>
      </c>
      <c r="M29" s="132" t="s">
        <v>197</v>
      </c>
      <c r="N29" s="26">
        <v>2026</v>
      </c>
    </row>
    <row r="30" spans="1:14">
      <c r="A30" s="26">
        <v>29</v>
      </c>
      <c r="B30" s="26" t="s">
        <v>52</v>
      </c>
      <c r="C30" s="45" t="s">
        <v>53</v>
      </c>
      <c r="D30" s="26" t="s">
        <v>58</v>
      </c>
      <c r="E30" s="26" t="s">
        <v>68</v>
      </c>
      <c r="F30" s="26"/>
      <c r="G30" s="26" t="s">
        <v>62</v>
      </c>
      <c r="H30" s="46" t="s">
        <v>71</v>
      </c>
      <c r="I30" s="47">
        <v>1392.2077922077922</v>
      </c>
      <c r="J30" s="26" t="s">
        <v>65</v>
      </c>
      <c r="K30" s="45" t="s">
        <v>379</v>
      </c>
      <c r="L30" s="60" t="s">
        <v>14</v>
      </c>
      <c r="M30" s="132" t="s">
        <v>197</v>
      </c>
      <c r="N30" s="26">
        <v>2026</v>
      </c>
    </row>
    <row r="31" spans="1:14">
      <c r="A31" s="26">
        <v>30</v>
      </c>
      <c r="B31" s="26" t="s">
        <v>52</v>
      </c>
      <c r="C31" s="45" t="s">
        <v>53</v>
      </c>
      <c r="D31" s="26" t="s">
        <v>58</v>
      </c>
      <c r="E31" s="26" t="s">
        <v>68</v>
      </c>
      <c r="F31" s="26"/>
      <c r="G31" s="26" t="s">
        <v>62</v>
      </c>
      <c r="H31" s="46" t="s">
        <v>321</v>
      </c>
      <c r="I31" s="47">
        <v>399.35064935064935</v>
      </c>
      <c r="J31" s="26">
        <v>431</v>
      </c>
      <c r="K31" s="45" t="s">
        <v>383</v>
      </c>
      <c r="L31" s="60" t="s">
        <v>14</v>
      </c>
      <c r="M31" s="132" t="s">
        <v>197</v>
      </c>
      <c r="N31" s="26">
        <v>2026</v>
      </c>
    </row>
    <row r="32" spans="1:14">
      <c r="A32" s="26">
        <v>31</v>
      </c>
      <c r="B32" s="26" t="s">
        <v>33</v>
      </c>
      <c r="C32" s="45" t="s">
        <v>35</v>
      </c>
      <c r="D32" s="26" t="s">
        <v>58</v>
      </c>
      <c r="E32" s="26" t="s">
        <v>68</v>
      </c>
      <c r="F32" s="26"/>
      <c r="G32" s="26" t="s">
        <v>62</v>
      </c>
      <c r="H32" s="46" t="s">
        <v>322</v>
      </c>
      <c r="I32" s="47">
        <v>262.01298701298703</v>
      </c>
      <c r="J32" s="26" t="s">
        <v>65</v>
      </c>
      <c r="K32" s="45">
        <v>45756</v>
      </c>
      <c r="L32" s="60" t="s">
        <v>14</v>
      </c>
      <c r="M32" s="132" t="s">
        <v>197</v>
      </c>
      <c r="N32" s="26">
        <v>2026</v>
      </c>
    </row>
    <row r="33" spans="1:14">
      <c r="A33" s="26">
        <v>32</v>
      </c>
      <c r="B33" s="26" t="s">
        <v>17</v>
      </c>
      <c r="C33" s="45" t="s">
        <v>70</v>
      </c>
      <c r="D33" s="26" t="s">
        <v>58</v>
      </c>
      <c r="E33" s="26" t="s">
        <v>68</v>
      </c>
      <c r="F33" s="26"/>
      <c r="G33" s="26" t="s">
        <v>62</v>
      </c>
      <c r="H33" s="46" t="s">
        <v>323</v>
      </c>
      <c r="I33" s="47">
        <v>542.53246753246754</v>
      </c>
      <c r="J33" s="26" t="s">
        <v>65</v>
      </c>
      <c r="K33" s="45">
        <v>46115</v>
      </c>
      <c r="L33" s="60" t="s">
        <v>14</v>
      </c>
      <c r="M33" s="132" t="s">
        <v>197</v>
      </c>
      <c r="N33" s="26">
        <v>2026</v>
      </c>
    </row>
    <row r="34" spans="1:14">
      <c r="A34" s="26">
        <v>33</v>
      </c>
      <c r="B34" s="26" t="s">
        <v>259</v>
      </c>
      <c r="C34" s="26" t="s">
        <v>260</v>
      </c>
      <c r="D34" s="26" t="s">
        <v>58</v>
      </c>
      <c r="E34" s="26" t="s">
        <v>68</v>
      </c>
      <c r="F34" s="26"/>
      <c r="G34" s="26" t="s">
        <v>62</v>
      </c>
      <c r="H34" s="26" t="s">
        <v>324</v>
      </c>
      <c r="I34" s="47">
        <v>194.80519480519482</v>
      </c>
      <c r="J34" s="26" t="s">
        <v>65</v>
      </c>
      <c r="K34" s="45">
        <v>46268</v>
      </c>
      <c r="L34" s="60" t="s">
        <v>14</v>
      </c>
      <c r="M34" s="132" t="s">
        <v>197</v>
      </c>
      <c r="N34" s="26">
        <v>2026</v>
      </c>
    </row>
    <row r="35" spans="1:14">
      <c r="A35" s="26">
        <v>34</v>
      </c>
      <c r="B35" s="26" t="s">
        <v>259</v>
      </c>
      <c r="C35" s="26" t="s">
        <v>260</v>
      </c>
      <c r="D35" s="26" t="s">
        <v>58</v>
      </c>
      <c r="E35" s="26" t="s">
        <v>68</v>
      </c>
      <c r="F35" s="26"/>
      <c r="G35" s="26" t="s">
        <v>62</v>
      </c>
      <c r="H35" s="46" t="s">
        <v>325</v>
      </c>
      <c r="I35" s="47">
        <v>25.974025974025974</v>
      </c>
      <c r="J35" s="26" t="s">
        <v>65</v>
      </c>
      <c r="K35" s="45" t="s">
        <v>380</v>
      </c>
      <c r="L35" s="60" t="s">
        <v>14</v>
      </c>
      <c r="M35" s="132" t="s">
        <v>197</v>
      </c>
      <c r="N35" s="26">
        <v>2026</v>
      </c>
    </row>
    <row r="36" spans="1:14">
      <c r="A36" s="26">
        <v>35</v>
      </c>
      <c r="B36" s="26" t="s">
        <v>31</v>
      </c>
      <c r="C36" s="45" t="s">
        <v>32</v>
      </c>
      <c r="D36" s="26" t="s">
        <v>58</v>
      </c>
      <c r="E36" s="26" t="s">
        <v>68</v>
      </c>
      <c r="F36" s="26"/>
      <c r="G36" s="26" t="s">
        <v>62</v>
      </c>
      <c r="H36" s="46" t="s">
        <v>307</v>
      </c>
      <c r="I36" s="47">
        <v>1298.7012987012988</v>
      </c>
      <c r="J36" s="26" t="s">
        <v>65</v>
      </c>
      <c r="K36" s="45" t="s">
        <v>286</v>
      </c>
      <c r="L36" s="60" t="s">
        <v>14</v>
      </c>
      <c r="M36" s="132" t="s">
        <v>197</v>
      </c>
      <c r="N36" s="26">
        <v>2026</v>
      </c>
    </row>
    <row r="37" spans="1:14">
      <c r="A37" s="26">
        <v>36</v>
      </c>
      <c r="B37" s="26" t="s">
        <v>31</v>
      </c>
      <c r="C37" s="26" t="s">
        <v>32</v>
      </c>
      <c r="D37" s="26" t="s">
        <v>58</v>
      </c>
      <c r="E37" s="26" t="s">
        <v>68</v>
      </c>
      <c r="F37" s="26"/>
      <c r="G37" s="26" t="s">
        <v>62</v>
      </c>
      <c r="H37" s="26" t="s">
        <v>307</v>
      </c>
      <c r="I37" s="47">
        <v>390.90909090909093</v>
      </c>
      <c r="J37" s="26" t="s">
        <v>65</v>
      </c>
      <c r="K37" s="45" t="s">
        <v>286</v>
      </c>
      <c r="L37" s="60" t="s">
        <v>14</v>
      </c>
      <c r="M37" s="132" t="s">
        <v>197</v>
      </c>
      <c r="N37" s="26">
        <v>2026</v>
      </c>
    </row>
    <row r="38" spans="1:14">
      <c r="A38" s="26">
        <v>37</v>
      </c>
      <c r="B38" s="26" t="s">
        <v>50</v>
      </c>
      <c r="C38" s="45" t="s">
        <v>51</v>
      </c>
      <c r="D38" s="26" t="s">
        <v>58</v>
      </c>
      <c r="E38" s="26" t="s">
        <v>68</v>
      </c>
      <c r="F38" s="26"/>
      <c r="G38" s="26" t="s">
        <v>62</v>
      </c>
      <c r="H38" s="46" t="s">
        <v>326</v>
      </c>
      <c r="I38" s="47">
        <v>487.01298701298703</v>
      </c>
      <c r="J38" s="26" t="s">
        <v>65</v>
      </c>
      <c r="K38" s="45">
        <v>46298</v>
      </c>
      <c r="L38" s="60" t="s">
        <v>14</v>
      </c>
      <c r="M38" s="132" t="s">
        <v>197</v>
      </c>
      <c r="N38" s="26">
        <v>2026</v>
      </c>
    </row>
    <row r="39" spans="1:14">
      <c r="A39" s="26">
        <v>38</v>
      </c>
      <c r="B39" s="26" t="s">
        <v>50</v>
      </c>
      <c r="C39" s="45" t="s">
        <v>51</v>
      </c>
      <c r="D39" s="26" t="s">
        <v>58</v>
      </c>
      <c r="E39" s="26" t="s">
        <v>68</v>
      </c>
      <c r="F39" s="26"/>
      <c r="G39" s="26" t="s">
        <v>62</v>
      </c>
      <c r="H39" s="46" t="s">
        <v>277</v>
      </c>
      <c r="I39" s="47">
        <v>1367.5324675324675</v>
      </c>
      <c r="J39" s="26" t="s">
        <v>65</v>
      </c>
      <c r="K39" s="45" t="s">
        <v>380</v>
      </c>
      <c r="L39" s="60" t="s">
        <v>14</v>
      </c>
      <c r="M39" s="132" t="s">
        <v>197</v>
      </c>
      <c r="N39" s="26">
        <v>2026</v>
      </c>
    </row>
    <row r="40" spans="1:14">
      <c r="A40" s="26">
        <v>39</v>
      </c>
      <c r="B40" s="26" t="s">
        <v>56</v>
      </c>
      <c r="C40" s="45" t="s">
        <v>57</v>
      </c>
      <c r="D40" s="26" t="s">
        <v>58</v>
      </c>
      <c r="E40" s="26" t="s">
        <v>68</v>
      </c>
      <c r="F40" s="26"/>
      <c r="G40" s="26" t="s">
        <v>62</v>
      </c>
      <c r="H40" s="46" t="s">
        <v>327</v>
      </c>
      <c r="I40" s="47">
        <v>90.909090909090907</v>
      </c>
      <c r="J40" s="26">
        <v>152931</v>
      </c>
      <c r="K40" s="45">
        <v>46268</v>
      </c>
      <c r="L40" s="60" t="s">
        <v>14</v>
      </c>
      <c r="M40" s="132" t="s">
        <v>197</v>
      </c>
      <c r="N40" s="26">
        <v>2026</v>
      </c>
    </row>
    <row r="41" spans="1:14">
      <c r="A41" s="26">
        <v>40</v>
      </c>
      <c r="B41" s="26" t="s">
        <v>56</v>
      </c>
      <c r="C41" s="45" t="s">
        <v>57</v>
      </c>
      <c r="D41" s="26" t="s">
        <v>58</v>
      </c>
      <c r="E41" s="26" t="s">
        <v>68</v>
      </c>
      <c r="F41" s="26"/>
      <c r="G41" s="26" t="s">
        <v>62</v>
      </c>
      <c r="H41" s="46" t="s">
        <v>328</v>
      </c>
      <c r="I41" s="47">
        <v>51.948051948051948</v>
      </c>
      <c r="J41" s="26">
        <v>546</v>
      </c>
      <c r="K41" s="45">
        <v>46268</v>
      </c>
      <c r="L41" s="60" t="s">
        <v>14</v>
      </c>
      <c r="M41" s="132" t="s">
        <v>197</v>
      </c>
      <c r="N41" s="26">
        <v>2026</v>
      </c>
    </row>
    <row r="42" spans="1:14">
      <c r="A42" s="26">
        <v>41</v>
      </c>
      <c r="B42" s="26" t="s">
        <v>56</v>
      </c>
      <c r="C42" s="45" t="s">
        <v>57</v>
      </c>
      <c r="D42" s="26" t="s">
        <v>58</v>
      </c>
      <c r="E42" s="26" t="s">
        <v>68</v>
      </c>
      <c r="F42" s="26"/>
      <c r="G42" s="26" t="s">
        <v>62</v>
      </c>
      <c r="H42" s="46" t="s">
        <v>278</v>
      </c>
      <c r="I42" s="47">
        <v>487.01298701298703</v>
      </c>
      <c r="J42" s="26" t="s">
        <v>65</v>
      </c>
      <c r="K42" s="45" t="s">
        <v>384</v>
      </c>
      <c r="L42" s="60" t="s">
        <v>14</v>
      </c>
      <c r="M42" s="132" t="s">
        <v>197</v>
      </c>
      <c r="N42" s="26">
        <v>2026</v>
      </c>
    </row>
    <row r="43" spans="1:14">
      <c r="A43" s="26">
        <v>42</v>
      </c>
      <c r="B43" s="26" t="s">
        <v>40</v>
      </c>
      <c r="C43" s="26" t="s">
        <v>44</v>
      </c>
      <c r="D43" s="26" t="s">
        <v>58</v>
      </c>
      <c r="E43" s="26" t="s">
        <v>68</v>
      </c>
      <c r="F43" s="26"/>
      <c r="G43" s="26" t="s">
        <v>62</v>
      </c>
      <c r="H43" s="26" t="s">
        <v>329</v>
      </c>
      <c r="I43" s="50">
        <v>321.10389610389609</v>
      </c>
      <c r="J43" s="26" t="s">
        <v>65</v>
      </c>
      <c r="K43" s="45" t="s">
        <v>385</v>
      </c>
      <c r="L43" s="60" t="s">
        <v>14</v>
      </c>
      <c r="M43" s="132" t="s">
        <v>197</v>
      </c>
      <c r="N43" s="26">
        <v>2026</v>
      </c>
    </row>
    <row r="44" spans="1:14">
      <c r="A44" s="26">
        <v>43</v>
      </c>
      <c r="B44" s="26" t="s">
        <v>40</v>
      </c>
      <c r="C44" s="26" t="s">
        <v>46</v>
      </c>
      <c r="D44" s="26" t="s">
        <v>58</v>
      </c>
      <c r="E44" s="26" t="s">
        <v>68</v>
      </c>
      <c r="F44" s="26"/>
      <c r="G44" s="26" t="s">
        <v>62</v>
      </c>
      <c r="H44" s="26" t="s">
        <v>239</v>
      </c>
      <c r="I44" s="50">
        <v>649.35064935064941</v>
      </c>
      <c r="J44" s="26" t="s">
        <v>65</v>
      </c>
      <c r="K44" s="45" t="s">
        <v>286</v>
      </c>
      <c r="L44" s="60" t="s">
        <v>14</v>
      </c>
      <c r="M44" s="132" t="s">
        <v>197</v>
      </c>
      <c r="N44" s="26">
        <v>2026</v>
      </c>
    </row>
    <row r="45" spans="1:14">
      <c r="A45" s="26">
        <v>44</v>
      </c>
      <c r="B45" s="26" t="s">
        <v>40</v>
      </c>
      <c r="C45" s="26" t="s">
        <v>47</v>
      </c>
      <c r="D45" s="26" t="s">
        <v>58</v>
      </c>
      <c r="E45" s="26" t="s">
        <v>68</v>
      </c>
      <c r="F45" s="26"/>
      <c r="G45" s="26" t="s">
        <v>62</v>
      </c>
      <c r="H45" s="26" t="s">
        <v>330</v>
      </c>
      <c r="I45" s="50">
        <v>324.6753246753247</v>
      </c>
      <c r="J45" s="26">
        <v>183</v>
      </c>
      <c r="K45" s="45">
        <v>46329</v>
      </c>
      <c r="L45" s="60" t="s">
        <v>14</v>
      </c>
      <c r="M45" s="132" t="s">
        <v>197</v>
      </c>
      <c r="N45" s="26">
        <v>2026</v>
      </c>
    </row>
    <row r="46" spans="1:14">
      <c r="A46" s="26">
        <v>45</v>
      </c>
      <c r="B46" s="26" t="s">
        <v>40</v>
      </c>
      <c r="C46" s="26" t="s">
        <v>47</v>
      </c>
      <c r="D46" s="26" t="s">
        <v>58</v>
      </c>
      <c r="E46" s="26" t="s">
        <v>68</v>
      </c>
      <c r="F46" s="26"/>
      <c r="G46" s="26" t="s">
        <v>62</v>
      </c>
      <c r="H46" s="26" t="s">
        <v>279</v>
      </c>
      <c r="I46" s="50">
        <v>978.57142857142856</v>
      </c>
      <c r="J46" s="26" t="s">
        <v>65</v>
      </c>
      <c r="K46" s="45" t="s">
        <v>282</v>
      </c>
      <c r="L46" s="60" t="s">
        <v>14</v>
      </c>
      <c r="M46" s="132" t="s">
        <v>197</v>
      </c>
      <c r="N46" s="26">
        <v>2026</v>
      </c>
    </row>
    <row r="47" spans="1:14">
      <c r="A47" s="26">
        <v>46</v>
      </c>
      <c r="B47" s="26" t="s">
        <v>40</v>
      </c>
      <c r="C47" s="26" t="s">
        <v>47</v>
      </c>
      <c r="D47" s="26" t="s">
        <v>58</v>
      </c>
      <c r="E47" s="26" t="s">
        <v>68</v>
      </c>
      <c r="F47" s="26"/>
      <c r="G47" s="26" t="s">
        <v>62</v>
      </c>
      <c r="H47" s="26" t="s">
        <v>279</v>
      </c>
      <c r="I47" s="50">
        <v>721.42857142857144</v>
      </c>
      <c r="J47" s="26" t="s">
        <v>65</v>
      </c>
      <c r="K47" s="45" t="s">
        <v>286</v>
      </c>
      <c r="L47" s="60" t="s">
        <v>14</v>
      </c>
      <c r="M47" s="132" t="s">
        <v>197</v>
      </c>
      <c r="N47" s="26">
        <v>2026</v>
      </c>
    </row>
    <row r="48" spans="1:14">
      <c r="A48" s="26">
        <v>47</v>
      </c>
      <c r="B48" s="26" t="s">
        <v>40</v>
      </c>
      <c r="C48" s="26" t="s">
        <v>48</v>
      </c>
      <c r="D48" s="26" t="s">
        <v>58</v>
      </c>
      <c r="E48" s="26" t="s">
        <v>68</v>
      </c>
      <c r="F48" s="26"/>
      <c r="G48" s="26" t="s">
        <v>62</v>
      </c>
      <c r="H48" s="26" t="s">
        <v>240</v>
      </c>
      <c r="I48" s="50">
        <v>1193.1818181818182</v>
      </c>
      <c r="J48" s="26" t="s">
        <v>65</v>
      </c>
      <c r="K48" s="45" t="s">
        <v>384</v>
      </c>
      <c r="L48" s="60" t="s">
        <v>14</v>
      </c>
      <c r="M48" s="132" t="s">
        <v>197</v>
      </c>
      <c r="N48" s="26">
        <v>2026</v>
      </c>
    </row>
    <row r="49" spans="1:14">
      <c r="A49" s="26">
        <v>48</v>
      </c>
      <c r="B49" s="26" t="s">
        <v>40</v>
      </c>
      <c r="C49" s="26" t="s">
        <v>48</v>
      </c>
      <c r="D49" s="26" t="s">
        <v>58</v>
      </c>
      <c r="E49" s="26" t="s">
        <v>68</v>
      </c>
      <c r="F49" s="26"/>
      <c r="G49" s="26" t="s">
        <v>62</v>
      </c>
      <c r="H49" s="26" t="s">
        <v>240</v>
      </c>
      <c r="I49" s="50">
        <v>968.01948051948057</v>
      </c>
      <c r="J49" s="26" t="s">
        <v>65</v>
      </c>
      <c r="K49" s="45">
        <v>46145</v>
      </c>
      <c r="L49" s="60" t="s">
        <v>14</v>
      </c>
      <c r="M49" s="132" t="s">
        <v>197</v>
      </c>
      <c r="N49" s="26">
        <v>2026</v>
      </c>
    </row>
    <row r="50" spans="1:14">
      <c r="A50" s="26">
        <v>49</v>
      </c>
      <c r="B50" s="26" t="s">
        <v>40</v>
      </c>
      <c r="C50" s="26" t="s">
        <v>48</v>
      </c>
      <c r="D50" s="26" t="s">
        <v>58</v>
      </c>
      <c r="E50" s="26" t="s">
        <v>68</v>
      </c>
      <c r="F50" s="26"/>
      <c r="G50" s="26" t="s">
        <v>62</v>
      </c>
      <c r="H50" s="26" t="s">
        <v>331</v>
      </c>
      <c r="I50" s="50">
        <v>525.97402597402595</v>
      </c>
      <c r="J50" s="26">
        <v>4815</v>
      </c>
      <c r="K50" s="45" t="s">
        <v>384</v>
      </c>
      <c r="L50" s="60" t="s">
        <v>14</v>
      </c>
      <c r="M50" s="132" t="s">
        <v>197</v>
      </c>
      <c r="N50" s="26">
        <v>2026</v>
      </c>
    </row>
    <row r="51" spans="1:14">
      <c r="A51" s="26">
        <v>50</v>
      </c>
      <c r="B51" s="26" t="s">
        <v>40</v>
      </c>
      <c r="C51" s="26" t="s">
        <v>49</v>
      </c>
      <c r="D51" s="26" t="s">
        <v>58</v>
      </c>
      <c r="E51" s="26" t="s">
        <v>68</v>
      </c>
      <c r="F51" s="26"/>
      <c r="G51" s="26" t="s">
        <v>62</v>
      </c>
      <c r="H51" s="26" t="s">
        <v>332</v>
      </c>
      <c r="I51" s="50">
        <v>716.88311688311683</v>
      </c>
      <c r="J51" s="26" t="s">
        <v>65</v>
      </c>
      <c r="K51" s="45">
        <v>46298</v>
      </c>
      <c r="L51" s="60" t="s">
        <v>14</v>
      </c>
      <c r="M51" s="132" t="s">
        <v>197</v>
      </c>
      <c r="N51" s="26">
        <v>2026</v>
      </c>
    </row>
    <row r="52" spans="1:14">
      <c r="A52" s="26">
        <v>51</v>
      </c>
      <c r="B52" s="26" t="s">
        <v>17</v>
      </c>
      <c r="C52" s="45" t="s">
        <v>24</v>
      </c>
      <c r="D52" s="26" t="s">
        <v>58</v>
      </c>
      <c r="E52" s="26" t="s">
        <v>68</v>
      </c>
      <c r="F52" s="26"/>
      <c r="G52" s="26" t="s">
        <v>62</v>
      </c>
      <c r="H52" s="46" t="s">
        <v>333</v>
      </c>
      <c r="I52" s="47">
        <v>818.18181818181813</v>
      </c>
      <c r="J52" s="26" t="s">
        <v>65</v>
      </c>
      <c r="K52" s="45" t="s">
        <v>286</v>
      </c>
      <c r="L52" s="60" t="s">
        <v>14</v>
      </c>
      <c r="M52" s="132" t="s">
        <v>197</v>
      </c>
      <c r="N52" s="26">
        <v>2026</v>
      </c>
    </row>
    <row r="53" spans="1:14">
      <c r="A53" s="26">
        <v>52</v>
      </c>
      <c r="B53" s="26" t="s">
        <v>17</v>
      </c>
      <c r="C53" s="45" t="s">
        <v>24</v>
      </c>
      <c r="D53" s="26" t="s">
        <v>58</v>
      </c>
      <c r="E53" s="26" t="s">
        <v>68</v>
      </c>
      <c r="F53" s="26"/>
      <c r="G53" s="26" t="s">
        <v>62</v>
      </c>
      <c r="H53" s="46" t="s">
        <v>333</v>
      </c>
      <c r="I53" s="47">
        <v>4321.4285714285716</v>
      </c>
      <c r="J53" s="26" t="s">
        <v>65</v>
      </c>
      <c r="K53" s="45">
        <v>46206</v>
      </c>
      <c r="L53" s="60" t="s">
        <v>14</v>
      </c>
      <c r="M53" s="132" t="s">
        <v>197</v>
      </c>
      <c r="N53" s="26">
        <v>2026</v>
      </c>
    </row>
    <row r="54" spans="1:14">
      <c r="A54" s="26">
        <v>53</v>
      </c>
      <c r="B54" s="26" t="s">
        <v>17</v>
      </c>
      <c r="C54" s="45" t="s">
        <v>25</v>
      </c>
      <c r="D54" s="26" t="s">
        <v>58</v>
      </c>
      <c r="E54" s="26" t="s">
        <v>68</v>
      </c>
      <c r="F54" s="26"/>
      <c r="G54" s="26" t="s">
        <v>62</v>
      </c>
      <c r="H54" s="49" t="s">
        <v>334</v>
      </c>
      <c r="I54" s="47">
        <v>120.12987012987013</v>
      </c>
      <c r="J54" s="26">
        <v>603</v>
      </c>
      <c r="K54" s="45" t="s">
        <v>380</v>
      </c>
      <c r="L54" s="60" t="s">
        <v>14</v>
      </c>
      <c r="M54" s="132" t="s">
        <v>197</v>
      </c>
      <c r="N54" s="26">
        <v>2026</v>
      </c>
    </row>
    <row r="55" spans="1:14">
      <c r="A55" s="26">
        <v>54</v>
      </c>
      <c r="B55" s="26" t="s">
        <v>17</v>
      </c>
      <c r="C55" s="45" t="s">
        <v>25</v>
      </c>
      <c r="D55" s="26" t="s">
        <v>58</v>
      </c>
      <c r="E55" s="26" t="s">
        <v>68</v>
      </c>
      <c r="F55" s="26"/>
      <c r="G55" s="26" t="s">
        <v>62</v>
      </c>
      <c r="H55" s="46" t="s">
        <v>335</v>
      </c>
      <c r="I55" s="47">
        <v>220.77922077922079</v>
      </c>
      <c r="J55" s="26">
        <v>286</v>
      </c>
      <c r="K55" s="45" t="s">
        <v>380</v>
      </c>
      <c r="L55" s="60" t="s">
        <v>14</v>
      </c>
      <c r="M55" s="132" t="s">
        <v>197</v>
      </c>
      <c r="N55" s="26">
        <v>2026</v>
      </c>
    </row>
    <row r="56" spans="1:14">
      <c r="A56" s="26">
        <v>55</v>
      </c>
      <c r="B56" s="26" t="s">
        <v>17</v>
      </c>
      <c r="C56" s="45" t="s">
        <v>25</v>
      </c>
      <c r="D56" s="26" t="s">
        <v>58</v>
      </c>
      <c r="E56" s="26" t="s">
        <v>68</v>
      </c>
      <c r="F56" s="26"/>
      <c r="G56" s="26" t="s">
        <v>62</v>
      </c>
      <c r="H56" s="46" t="s">
        <v>241</v>
      </c>
      <c r="I56" s="47">
        <v>1927.2727272727273</v>
      </c>
      <c r="J56" s="26" t="s">
        <v>65</v>
      </c>
      <c r="K56" s="45">
        <v>46115</v>
      </c>
      <c r="L56" s="60" t="s">
        <v>14</v>
      </c>
      <c r="M56" s="132" t="s">
        <v>197</v>
      </c>
      <c r="N56" s="26">
        <v>2026</v>
      </c>
    </row>
    <row r="57" spans="1:14">
      <c r="A57" s="26">
        <v>56</v>
      </c>
      <c r="B57" s="26" t="s">
        <v>17</v>
      </c>
      <c r="C57" s="45" t="s">
        <v>25</v>
      </c>
      <c r="D57" s="26" t="s">
        <v>58</v>
      </c>
      <c r="E57" s="26" t="s">
        <v>68</v>
      </c>
      <c r="F57" s="26"/>
      <c r="G57" s="26" t="s">
        <v>62</v>
      </c>
      <c r="H57" s="46" t="s">
        <v>241</v>
      </c>
      <c r="I57" s="47">
        <v>2066.8831168831171</v>
      </c>
      <c r="J57" s="26" t="s">
        <v>65</v>
      </c>
      <c r="K57" s="45" t="s">
        <v>384</v>
      </c>
      <c r="L57" s="60" t="s">
        <v>14</v>
      </c>
      <c r="M57" s="132" t="s">
        <v>197</v>
      </c>
      <c r="N57" s="26">
        <v>2026</v>
      </c>
    </row>
    <row r="58" spans="1:14">
      <c r="A58" s="26">
        <v>57</v>
      </c>
      <c r="B58" s="26" t="s">
        <v>40</v>
      </c>
      <c r="C58" s="26" t="s">
        <v>69</v>
      </c>
      <c r="D58" s="26" t="s">
        <v>58</v>
      </c>
      <c r="E58" s="26" t="s">
        <v>68</v>
      </c>
      <c r="F58" s="26"/>
      <c r="G58" s="26" t="s">
        <v>62</v>
      </c>
      <c r="H58" s="46" t="s">
        <v>242</v>
      </c>
      <c r="I58" s="47">
        <v>1901.7857142857142</v>
      </c>
      <c r="J58" s="46" t="s">
        <v>65</v>
      </c>
      <c r="K58" s="45" t="s">
        <v>377</v>
      </c>
      <c r="L58" s="60" t="s">
        <v>14</v>
      </c>
      <c r="M58" s="132" t="s">
        <v>197</v>
      </c>
      <c r="N58" s="26">
        <v>2026</v>
      </c>
    </row>
    <row r="59" spans="1:14">
      <c r="A59" s="26">
        <v>58</v>
      </c>
      <c r="B59" s="26" t="s">
        <v>275</v>
      </c>
      <c r="C59" s="26" t="s">
        <v>303</v>
      </c>
      <c r="D59" s="26" t="s">
        <v>58</v>
      </c>
      <c r="E59" s="26" t="s">
        <v>76</v>
      </c>
      <c r="F59" s="26"/>
      <c r="G59" s="26" t="s">
        <v>62</v>
      </c>
      <c r="H59" s="26" t="s">
        <v>336</v>
      </c>
      <c r="I59" s="50">
        <v>3023.0519480519479</v>
      </c>
      <c r="J59" s="26" t="s">
        <v>65</v>
      </c>
      <c r="K59" s="45" t="s">
        <v>386</v>
      </c>
      <c r="L59" s="60" t="s">
        <v>14</v>
      </c>
      <c r="M59" s="132" t="s">
        <v>197</v>
      </c>
      <c r="N59" s="26">
        <v>2026</v>
      </c>
    </row>
    <row r="60" spans="1:14">
      <c r="A60" s="26">
        <v>59</v>
      </c>
      <c r="B60" s="26" t="s">
        <v>56</v>
      </c>
      <c r="C60" s="45" t="s">
        <v>57</v>
      </c>
      <c r="D60" s="26" t="s">
        <v>58</v>
      </c>
      <c r="E60" s="26" t="s">
        <v>76</v>
      </c>
      <c r="F60" s="26"/>
      <c r="G60" s="26" t="s">
        <v>62</v>
      </c>
      <c r="H60" s="46" t="s">
        <v>337</v>
      </c>
      <c r="I60" s="47">
        <v>324.6753246753247</v>
      </c>
      <c r="J60" s="26" t="s">
        <v>65</v>
      </c>
      <c r="K60" s="45" t="s">
        <v>386</v>
      </c>
      <c r="L60" s="60" t="s">
        <v>14</v>
      </c>
      <c r="M60" s="132" t="s">
        <v>197</v>
      </c>
      <c r="N60" s="26">
        <v>2026</v>
      </c>
    </row>
    <row r="61" spans="1:14">
      <c r="A61" s="26">
        <v>60</v>
      </c>
      <c r="B61" s="26" t="s">
        <v>56</v>
      </c>
      <c r="C61" s="45" t="s">
        <v>57</v>
      </c>
      <c r="D61" s="26" t="s">
        <v>58</v>
      </c>
      <c r="E61" s="26" t="s">
        <v>76</v>
      </c>
      <c r="F61" s="26"/>
      <c r="G61" s="26" t="s">
        <v>62</v>
      </c>
      <c r="H61" s="46" t="s">
        <v>338</v>
      </c>
      <c r="I61" s="47">
        <v>1352.5974025974026</v>
      </c>
      <c r="J61" s="26" t="s">
        <v>65</v>
      </c>
      <c r="K61" s="45">
        <v>46025</v>
      </c>
      <c r="L61" s="60" t="s">
        <v>14</v>
      </c>
      <c r="M61" s="132" t="s">
        <v>197</v>
      </c>
      <c r="N61" s="26">
        <v>2026</v>
      </c>
    </row>
    <row r="62" spans="1:14">
      <c r="A62" s="26">
        <v>61</v>
      </c>
      <c r="B62" s="26" t="s">
        <v>56</v>
      </c>
      <c r="C62" s="45" t="s">
        <v>57</v>
      </c>
      <c r="D62" s="26" t="s">
        <v>58</v>
      </c>
      <c r="E62" s="26" t="s">
        <v>76</v>
      </c>
      <c r="F62" s="26"/>
      <c r="G62" s="26" t="s">
        <v>62</v>
      </c>
      <c r="H62" s="46" t="s">
        <v>339</v>
      </c>
      <c r="I62" s="47">
        <v>3019.4805194805194</v>
      </c>
      <c r="J62" s="26" t="s">
        <v>65</v>
      </c>
      <c r="K62" s="45">
        <v>46115</v>
      </c>
      <c r="L62" s="60" t="s">
        <v>14</v>
      </c>
      <c r="M62" s="132" t="s">
        <v>197</v>
      </c>
      <c r="N62" s="26">
        <v>2026</v>
      </c>
    </row>
    <row r="63" spans="1:14">
      <c r="A63" s="26">
        <v>62</v>
      </c>
      <c r="B63" s="26" t="s">
        <v>56</v>
      </c>
      <c r="C63" s="26" t="s">
        <v>57</v>
      </c>
      <c r="D63" s="26" t="s">
        <v>58</v>
      </c>
      <c r="E63" s="26" t="s">
        <v>76</v>
      </c>
      <c r="F63" s="26"/>
      <c r="G63" s="26" t="s">
        <v>62</v>
      </c>
      <c r="H63" s="26" t="s">
        <v>336</v>
      </c>
      <c r="I63" s="50">
        <v>592.20779220779218</v>
      </c>
      <c r="J63" s="26" t="s">
        <v>65</v>
      </c>
      <c r="K63" s="45">
        <v>46359</v>
      </c>
      <c r="L63" s="60" t="s">
        <v>14</v>
      </c>
      <c r="M63" s="132" t="s">
        <v>197</v>
      </c>
      <c r="N63" s="26">
        <v>2026</v>
      </c>
    </row>
    <row r="64" spans="1:14">
      <c r="A64" s="26">
        <v>63</v>
      </c>
      <c r="B64" s="26" t="s">
        <v>56</v>
      </c>
      <c r="C64" s="26" t="s">
        <v>57</v>
      </c>
      <c r="D64" s="26" t="s">
        <v>58</v>
      </c>
      <c r="E64" s="26" t="s">
        <v>76</v>
      </c>
      <c r="F64" s="26"/>
      <c r="G64" s="26" t="s">
        <v>62</v>
      </c>
      <c r="H64" s="26" t="s">
        <v>336</v>
      </c>
      <c r="I64" s="50">
        <v>576.62337662337666</v>
      </c>
      <c r="J64" s="26" t="s">
        <v>65</v>
      </c>
      <c r="K64" s="45">
        <v>46025</v>
      </c>
      <c r="L64" s="60" t="s">
        <v>14</v>
      </c>
      <c r="M64" s="132" t="s">
        <v>197</v>
      </c>
      <c r="N64" s="26">
        <v>2026</v>
      </c>
    </row>
    <row r="65" spans="1:14">
      <c r="A65" s="26">
        <v>64</v>
      </c>
      <c r="B65" s="26" t="s">
        <v>56</v>
      </c>
      <c r="C65" s="26" t="s">
        <v>57</v>
      </c>
      <c r="D65" s="26" t="s">
        <v>58</v>
      </c>
      <c r="E65" s="26" t="s">
        <v>76</v>
      </c>
      <c r="F65" s="26"/>
      <c r="G65" s="26" t="s">
        <v>62</v>
      </c>
      <c r="H65" s="26" t="s">
        <v>340</v>
      </c>
      <c r="I65" s="47">
        <v>98.701298701298697</v>
      </c>
      <c r="J65" s="26" t="s">
        <v>65</v>
      </c>
      <c r="K65" s="45" t="s">
        <v>384</v>
      </c>
      <c r="L65" s="60" t="s">
        <v>14</v>
      </c>
      <c r="M65" s="132" t="s">
        <v>197</v>
      </c>
      <c r="N65" s="26">
        <v>2026</v>
      </c>
    </row>
    <row r="66" spans="1:14">
      <c r="A66" s="26">
        <v>65</v>
      </c>
      <c r="B66" s="26" t="s">
        <v>56</v>
      </c>
      <c r="C66" s="26" t="s">
        <v>57</v>
      </c>
      <c r="D66" s="26" t="s">
        <v>58</v>
      </c>
      <c r="E66" s="26" t="s">
        <v>76</v>
      </c>
      <c r="F66" s="26"/>
      <c r="G66" s="26" t="s">
        <v>62</v>
      </c>
      <c r="H66" s="26" t="s">
        <v>340</v>
      </c>
      <c r="I66" s="47">
        <v>111.03896103896103</v>
      </c>
      <c r="J66" s="26" t="s">
        <v>65</v>
      </c>
      <c r="K66" s="45" t="s">
        <v>387</v>
      </c>
      <c r="L66" s="60" t="s">
        <v>14</v>
      </c>
      <c r="M66" s="132" t="s">
        <v>197</v>
      </c>
      <c r="N66" s="26">
        <v>2026</v>
      </c>
    </row>
    <row r="67" spans="1:14">
      <c r="A67" s="26">
        <v>66</v>
      </c>
      <c r="B67" s="26" t="s">
        <v>40</v>
      </c>
      <c r="C67" s="45" t="s">
        <v>48</v>
      </c>
      <c r="D67" s="26" t="s">
        <v>58</v>
      </c>
      <c r="E67" s="26" t="s">
        <v>76</v>
      </c>
      <c r="F67" s="26"/>
      <c r="G67" s="26" t="s">
        <v>62</v>
      </c>
      <c r="H67" s="46" t="s">
        <v>341</v>
      </c>
      <c r="I67" s="47">
        <v>649.35064935064941</v>
      </c>
      <c r="J67" s="26" t="s">
        <v>65</v>
      </c>
      <c r="K67" s="45" t="s">
        <v>384</v>
      </c>
      <c r="L67" s="60" t="s">
        <v>14</v>
      </c>
      <c r="M67" s="132" t="s">
        <v>197</v>
      </c>
      <c r="N67" s="26">
        <v>2026</v>
      </c>
    </row>
    <row r="68" spans="1:14">
      <c r="A68" s="26">
        <v>67</v>
      </c>
      <c r="B68" s="26" t="s">
        <v>302</v>
      </c>
      <c r="C68" s="45" t="s">
        <v>302</v>
      </c>
      <c r="D68" s="26" t="s">
        <v>58</v>
      </c>
      <c r="E68" s="26" t="s">
        <v>76</v>
      </c>
      <c r="F68" s="26"/>
      <c r="G68" s="26" t="s">
        <v>62</v>
      </c>
      <c r="H68" s="46" t="s">
        <v>342</v>
      </c>
      <c r="I68" s="47">
        <v>51.948051948051948</v>
      </c>
      <c r="J68" s="26" t="s">
        <v>65</v>
      </c>
      <c r="K68" s="45" t="s">
        <v>388</v>
      </c>
      <c r="L68" s="60" t="s">
        <v>14</v>
      </c>
      <c r="M68" s="132" t="s">
        <v>197</v>
      </c>
      <c r="N68" s="26">
        <v>2026</v>
      </c>
    </row>
    <row r="69" spans="1:14">
      <c r="A69" s="26">
        <v>68</v>
      </c>
      <c r="B69" s="26" t="s">
        <v>52</v>
      </c>
      <c r="C69" s="45" t="s">
        <v>53</v>
      </c>
      <c r="D69" s="26" t="s">
        <v>58</v>
      </c>
      <c r="E69" s="26" t="s">
        <v>54</v>
      </c>
      <c r="F69" s="26"/>
      <c r="G69" s="26" t="s">
        <v>62</v>
      </c>
      <c r="H69" s="46" t="s">
        <v>343</v>
      </c>
      <c r="I69" s="47">
        <v>42.20779220779221</v>
      </c>
      <c r="J69" s="26" t="s">
        <v>65</v>
      </c>
      <c r="K69" s="45">
        <v>46268</v>
      </c>
      <c r="L69" s="60" t="s">
        <v>14</v>
      </c>
      <c r="M69" s="132" t="s">
        <v>197</v>
      </c>
      <c r="N69" s="26">
        <v>2026</v>
      </c>
    </row>
    <row r="70" spans="1:14">
      <c r="A70" s="26">
        <v>69</v>
      </c>
      <c r="B70" s="26" t="s">
        <v>50</v>
      </c>
      <c r="C70" s="45" t="s">
        <v>51</v>
      </c>
      <c r="D70" s="26" t="s">
        <v>58</v>
      </c>
      <c r="E70" s="26" t="s">
        <v>54</v>
      </c>
      <c r="F70" s="26"/>
      <c r="G70" s="26" t="s">
        <v>62</v>
      </c>
      <c r="H70" s="46" t="s">
        <v>344</v>
      </c>
      <c r="I70" s="47">
        <v>13655.844155844155</v>
      </c>
      <c r="J70" s="26" t="s">
        <v>393</v>
      </c>
      <c r="K70" s="45" t="s">
        <v>377</v>
      </c>
      <c r="L70" s="60" t="s">
        <v>14</v>
      </c>
      <c r="M70" s="132" t="s">
        <v>197</v>
      </c>
      <c r="N70" s="26">
        <v>2026</v>
      </c>
    </row>
    <row r="71" spans="1:14">
      <c r="A71" s="26">
        <v>70</v>
      </c>
      <c r="B71" s="26" t="s">
        <v>50</v>
      </c>
      <c r="C71" s="45" t="s">
        <v>51</v>
      </c>
      <c r="D71" s="26" t="s">
        <v>58</v>
      </c>
      <c r="E71" s="26" t="s">
        <v>54</v>
      </c>
      <c r="F71" s="26"/>
      <c r="G71" s="26" t="s">
        <v>62</v>
      </c>
      <c r="H71" s="46" t="s">
        <v>343</v>
      </c>
      <c r="I71" s="47">
        <v>51.948051948051948</v>
      </c>
      <c r="J71" s="26" t="s">
        <v>379</v>
      </c>
      <c r="K71" s="45" t="s">
        <v>284</v>
      </c>
      <c r="L71" s="60" t="s">
        <v>14</v>
      </c>
      <c r="M71" s="132" t="s">
        <v>197</v>
      </c>
      <c r="N71" s="26">
        <v>2026</v>
      </c>
    </row>
    <row r="72" spans="1:14">
      <c r="A72" s="26">
        <v>71</v>
      </c>
      <c r="B72" s="26" t="s">
        <v>302</v>
      </c>
      <c r="C72" s="45" t="s">
        <v>302</v>
      </c>
      <c r="D72" s="26" t="s">
        <v>58</v>
      </c>
      <c r="E72" s="26" t="s">
        <v>76</v>
      </c>
      <c r="F72" s="26"/>
      <c r="G72" s="26" t="s">
        <v>62</v>
      </c>
      <c r="H72" s="46" t="s">
        <v>345</v>
      </c>
      <c r="I72" s="47">
        <v>1444.8051948051948</v>
      </c>
      <c r="J72" s="26" t="s">
        <v>65</v>
      </c>
      <c r="K72" s="45" t="s">
        <v>376</v>
      </c>
      <c r="L72" s="60" t="s">
        <v>14</v>
      </c>
      <c r="M72" s="132" t="s">
        <v>197</v>
      </c>
      <c r="N72" s="26">
        <v>2026</v>
      </c>
    </row>
    <row r="73" spans="1:14">
      <c r="A73" s="26">
        <v>72</v>
      </c>
      <c r="B73" s="26" t="s">
        <v>50</v>
      </c>
      <c r="C73" s="45" t="s">
        <v>51</v>
      </c>
      <c r="D73" s="26" t="s">
        <v>58</v>
      </c>
      <c r="E73" s="26" t="s">
        <v>68</v>
      </c>
      <c r="F73" s="26"/>
      <c r="G73" s="26" t="s">
        <v>62</v>
      </c>
      <c r="H73" s="46" t="s">
        <v>346</v>
      </c>
      <c r="I73" s="47">
        <v>1128.5714285714287</v>
      </c>
      <c r="J73" s="26" t="s">
        <v>65</v>
      </c>
      <c r="K73" s="45">
        <v>46115</v>
      </c>
      <c r="L73" s="60" t="s">
        <v>14</v>
      </c>
      <c r="M73" s="132" t="s">
        <v>197</v>
      </c>
      <c r="N73" s="26">
        <v>2026</v>
      </c>
    </row>
    <row r="74" spans="1:14">
      <c r="A74" s="26">
        <v>73</v>
      </c>
      <c r="B74" s="26" t="s">
        <v>50</v>
      </c>
      <c r="C74" s="26" t="s">
        <v>51</v>
      </c>
      <c r="D74" s="26" t="s">
        <v>58</v>
      </c>
      <c r="E74" s="26" t="s">
        <v>68</v>
      </c>
      <c r="F74" s="26"/>
      <c r="G74" s="26" t="s">
        <v>62</v>
      </c>
      <c r="H74" s="26" t="s">
        <v>346</v>
      </c>
      <c r="I74" s="47">
        <v>1106.4935064935064</v>
      </c>
      <c r="J74" s="26" t="s">
        <v>65</v>
      </c>
      <c r="K74" s="45" t="s">
        <v>387</v>
      </c>
      <c r="L74" s="60" t="s">
        <v>14</v>
      </c>
      <c r="M74" s="132" t="s">
        <v>197</v>
      </c>
      <c r="N74" s="26">
        <v>2026</v>
      </c>
    </row>
    <row r="75" spans="1:14">
      <c r="A75" s="26">
        <v>74</v>
      </c>
      <c r="B75" s="26" t="s">
        <v>56</v>
      </c>
      <c r="C75" s="45" t="s">
        <v>57</v>
      </c>
      <c r="D75" s="26" t="s">
        <v>58</v>
      </c>
      <c r="E75" s="26" t="s">
        <v>77</v>
      </c>
      <c r="F75" s="26"/>
      <c r="G75" s="26" t="s">
        <v>62</v>
      </c>
      <c r="H75" s="46" t="s">
        <v>347</v>
      </c>
      <c r="I75" s="47">
        <v>454.54545454545456</v>
      </c>
      <c r="J75" s="26" t="s">
        <v>65</v>
      </c>
      <c r="K75" s="45">
        <v>46268</v>
      </c>
      <c r="L75" s="60" t="s">
        <v>14</v>
      </c>
      <c r="M75" s="132" t="s">
        <v>197</v>
      </c>
      <c r="N75" s="26">
        <v>2026</v>
      </c>
    </row>
    <row r="76" spans="1:14">
      <c r="A76" s="26">
        <v>75</v>
      </c>
      <c r="B76" s="26" t="s">
        <v>56</v>
      </c>
      <c r="C76" s="26" t="s">
        <v>57</v>
      </c>
      <c r="D76" s="26" t="s">
        <v>58</v>
      </c>
      <c r="E76" s="26" t="s">
        <v>77</v>
      </c>
      <c r="F76" s="26"/>
      <c r="G76" s="26" t="s">
        <v>62</v>
      </c>
      <c r="H76" s="26" t="s">
        <v>348</v>
      </c>
      <c r="I76" s="47">
        <v>116.88311688311688</v>
      </c>
      <c r="J76" s="26" t="s">
        <v>65</v>
      </c>
      <c r="K76" s="45" t="s">
        <v>376</v>
      </c>
      <c r="L76" s="60" t="s">
        <v>14</v>
      </c>
      <c r="M76" s="132" t="s">
        <v>197</v>
      </c>
      <c r="N76" s="26">
        <v>2026</v>
      </c>
    </row>
    <row r="77" spans="1:14">
      <c r="A77" s="26">
        <v>76</v>
      </c>
      <c r="B77" s="26" t="s">
        <v>56</v>
      </c>
      <c r="C77" s="45" t="s">
        <v>57</v>
      </c>
      <c r="D77" s="26" t="s">
        <v>58</v>
      </c>
      <c r="E77" s="26" t="s">
        <v>80</v>
      </c>
      <c r="F77" s="26"/>
      <c r="G77" s="26" t="s">
        <v>62</v>
      </c>
      <c r="H77" s="46" t="s">
        <v>349</v>
      </c>
      <c r="I77" s="47">
        <v>719.48051948051943</v>
      </c>
      <c r="J77" s="26" t="s">
        <v>394</v>
      </c>
      <c r="K77" s="45" t="s">
        <v>382</v>
      </c>
      <c r="L77" s="60" t="s">
        <v>14</v>
      </c>
      <c r="M77" s="132" t="s">
        <v>197</v>
      </c>
      <c r="N77" s="26">
        <v>2026</v>
      </c>
    </row>
    <row r="78" spans="1:14">
      <c r="A78" s="26">
        <v>77</v>
      </c>
      <c r="B78" s="26" t="s">
        <v>56</v>
      </c>
      <c r="C78" s="45" t="s">
        <v>57</v>
      </c>
      <c r="D78" s="26" t="s">
        <v>58</v>
      </c>
      <c r="E78" s="26" t="s">
        <v>76</v>
      </c>
      <c r="F78" s="26"/>
      <c r="G78" s="26" t="s">
        <v>62</v>
      </c>
      <c r="H78" s="46" t="s">
        <v>350</v>
      </c>
      <c r="I78" s="47">
        <v>649.35064935064941</v>
      </c>
      <c r="J78" s="26" t="s">
        <v>65</v>
      </c>
      <c r="K78" s="45">
        <v>46115</v>
      </c>
      <c r="L78" s="60" t="s">
        <v>14</v>
      </c>
      <c r="M78" s="132" t="s">
        <v>197</v>
      </c>
      <c r="N78" s="26">
        <v>2026</v>
      </c>
    </row>
    <row r="79" spans="1:14">
      <c r="A79" s="26">
        <v>78</v>
      </c>
      <c r="B79" s="26" t="s">
        <v>40</v>
      </c>
      <c r="C79" s="45" t="s">
        <v>48</v>
      </c>
      <c r="D79" s="26" t="s">
        <v>58</v>
      </c>
      <c r="E79" s="26" t="s">
        <v>76</v>
      </c>
      <c r="F79" s="26"/>
      <c r="G79" s="26" t="s">
        <v>62</v>
      </c>
      <c r="H79" s="46" t="s">
        <v>351</v>
      </c>
      <c r="I79" s="47">
        <v>681.81818181818187</v>
      </c>
      <c r="J79" s="26" t="s">
        <v>395</v>
      </c>
      <c r="K79" s="45" t="s">
        <v>376</v>
      </c>
      <c r="L79" s="60" t="s">
        <v>14</v>
      </c>
      <c r="M79" s="132" t="s">
        <v>197</v>
      </c>
      <c r="N79" s="26">
        <v>2026</v>
      </c>
    </row>
    <row r="80" spans="1:14">
      <c r="A80" s="26">
        <v>79</v>
      </c>
      <c r="B80" s="26" t="s">
        <v>40</v>
      </c>
      <c r="C80" s="26" t="s">
        <v>48</v>
      </c>
      <c r="D80" s="26" t="s">
        <v>58</v>
      </c>
      <c r="E80" s="26" t="s">
        <v>76</v>
      </c>
      <c r="F80" s="26"/>
      <c r="G80" s="26" t="s">
        <v>62</v>
      </c>
      <c r="H80" s="26" t="s">
        <v>351</v>
      </c>
      <c r="I80" s="47">
        <v>194.80519480519482</v>
      </c>
      <c r="J80" s="26">
        <v>67</v>
      </c>
      <c r="K80" s="45" t="s">
        <v>376</v>
      </c>
      <c r="L80" s="60" t="s">
        <v>14</v>
      </c>
      <c r="M80" s="132" t="s">
        <v>197</v>
      </c>
      <c r="N80" s="26">
        <v>2026</v>
      </c>
    </row>
    <row r="81" spans="1:14">
      <c r="A81" s="26">
        <v>80</v>
      </c>
      <c r="B81" s="26" t="s">
        <v>275</v>
      </c>
      <c r="C81" s="26" t="s">
        <v>303</v>
      </c>
      <c r="D81" s="26" t="s">
        <v>58</v>
      </c>
      <c r="E81" s="26" t="s">
        <v>95</v>
      </c>
      <c r="F81" s="26"/>
      <c r="G81" s="26" t="s">
        <v>62</v>
      </c>
      <c r="H81" s="26" t="s">
        <v>352</v>
      </c>
      <c r="I81" s="47">
        <v>259.74025974025972</v>
      </c>
      <c r="J81" s="26" t="s">
        <v>65</v>
      </c>
      <c r="K81" s="45" t="s">
        <v>378</v>
      </c>
      <c r="L81" s="60" t="s">
        <v>14</v>
      </c>
      <c r="M81" s="132" t="s">
        <v>197</v>
      </c>
      <c r="N81" s="26">
        <v>2026</v>
      </c>
    </row>
    <row r="82" spans="1:14">
      <c r="A82" s="26">
        <v>81</v>
      </c>
      <c r="B82" s="26" t="s">
        <v>31</v>
      </c>
      <c r="C82" s="26" t="s">
        <v>32</v>
      </c>
      <c r="D82" s="26" t="s">
        <v>58</v>
      </c>
      <c r="E82" s="26" t="s">
        <v>95</v>
      </c>
      <c r="F82" s="26"/>
      <c r="G82" s="26" t="s">
        <v>62</v>
      </c>
      <c r="H82" s="46" t="s">
        <v>353</v>
      </c>
      <c r="I82" s="47">
        <v>1298.7012987012988</v>
      </c>
      <c r="J82" s="46" t="s">
        <v>65</v>
      </c>
      <c r="K82" s="45" t="s">
        <v>376</v>
      </c>
      <c r="L82" s="60" t="s">
        <v>14</v>
      </c>
      <c r="M82" s="132" t="s">
        <v>197</v>
      </c>
      <c r="N82" s="26">
        <v>2026</v>
      </c>
    </row>
    <row r="83" spans="1:14">
      <c r="A83" s="26">
        <v>82</v>
      </c>
      <c r="B83" s="26" t="s">
        <v>40</v>
      </c>
      <c r="C83" s="26" t="s">
        <v>48</v>
      </c>
      <c r="D83" s="26" t="s">
        <v>58</v>
      </c>
      <c r="E83" s="26" t="s">
        <v>95</v>
      </c>
      <c r="F83" s="26"/>
      <c r="G83" s="26" t="s">
        <v>62</v>
      </c>
      <c r="H83" s="26" t="s">
        <v>354</v>
      </c>
      <c r="I83" s="50">
        <v>6038.9610389610389</v>
      </c>
      <c r="J83" s="26" t="s">
        <v>65</v>
      </c>
      <c r="K83" s="45" t="s">
        <v>285</v>
      </c>
      <c r="L83" s="60" t="s">
        <v>14</v>
      </c>
      <c r="M83" s="132" t="s">
        <v>197</v>
      </c>
      <c r="N83" s="26">
        <v>2026</v>
      </c>
    </row>
    <row r="84" spans="1:14">
      <c r="A84" s="26">
        <v>83</v>
      </c>
      <c r="B84" s="26" t="s">
        <v>40</v>
      </c>
      <c r="C84" s="26" t="s">
        <v>49</v>
      </c>
      <c r="D84" s="26" t="s">
        <v>58</v>
      </c>
      <c r="E84" s="26" t="s">
        <v>95</v>
      </c>
      <c r="F84" s="26"/>
      <c r="G84" s="26" t="s">
        <v>62</v>
      </c>
      <c r="H84" s="26" t="s">
        <v>353</v>
      </c>
      <c r="I84" s="50">
        <v>1298.7012987012988</v>
      </c>
      <c r="J84" s="26" t="s">
        <v>65</v>
      </c>
      <c r="K84" s="45" t="s">
        <v>376</v>
      </c>
      <c r="L84" s="60" t="s">
        <v>14</v>
      </c>
      <c r="M84" s="132" t="s">
        <v>197</v>
      </c>
      <c r="N84" s="26">
        <v>2026</v>
      </c>
    </row>
    <row r="85" spans="1:14">
      <c r="A85" s="26">
        <v>84</v>
      </c>
      <c r="B85" s="26" t="s">
        <v>259</v>
      </c>
      <c r="C85" s="26" t="s">
        <v>260</v>
      </c>
      <c r="D85" s="26" t="s">
        <v>58</v>
      </c>
      <c r="E85" s="26" t="s">
        <v>82</v>
      </c>
      <c r="F85" s="26"/>
      <c r="G85" s="26" t="s">
        <v>62</v>
      </c>
      <c r="H85" s="26" t="s">
        <v>355</v>
      </c>
      <c r="I85" s="50">
        <v>779.22077922077926</v>
      </c>
      <c r="J85" s="26">
        <v>2713</v>
      </c>
      <c r="K85" s="45">
        <v>46206</v>
      </c>
      <c r="L85" s="60" t="s">
        <v>14</v>
      </c>
      <c r="M85" s="132" t="s">
        <v>197</v>
      </c>
      <c r="N85" s="26">
        <v>2026</v>
      </c>
    </row>
    <row r="86" spans="1:14">
      <c r="A86" s="26">
        <v>85</v>
      </c>
      <c r="B86" s="26" t="s">
        <v>259</v>
      </c>
      <c r="C86" s="26" t="s">
        <v>260</v>
      </c>
      <c r="D86" s="26" t="s">
        <v>58</v>
      </c>
      <c r="E86" s="26" t="s">
        <v>82</v>
      </c>
      <c r="F86" s="26"/>
      <c r="G86" s="26" t="s">
        <v>62</v>
      </c>
      <c r="H86" s="26" t="s">
        <v>356</v>
      </c>
      <c r="I86" s="50">
        <v>38.961038961038959</v>
      </c>
      <c r="J86" s="26">
        <v>2714</v>
      </c>
      <c r="K86" s="45">
        <v>46268</v>
      </c>
      <c r="L86" s="60" t="s">
        <v>14</v>
      </c>
      <c r="M86" s="132" t="s">
        <v>197</v>
      </c>
      <c r="N86" s="26">
        <v>2026</v>
      </c>
    </row>
    <row r="87" spans="1:14">
      <c r="A87" s="26">
        <v>86</v>
      </c>
      <c r="B87" s="26" t="s">
        <v>259</v>
      </c>
      <c r="C87" s="45" t="s">
        <v>260</v>
      </c>
      <c r="D87" s="26" t="s">
        <v>58</v>
      </c>
      <c r="E87" s="26" t="s">
        <v>82</v>
      </c>
      <c r="F87" s="26"/>
      <c r="G87" s="26" t="s">
        <v>62</v>
      </c>
      <c r="H87" s="46" t="s">
        <v>357</v>
      </c>
      <c r="I87" s="47">
        <v>16.233766233766232</v>
      </c>
      <c r="J87" s="26" t="s">
        <v>65</v>
      </c>
      <c r="K87" s="45" t="s">
        <v>381</v>
      </c>
      <c r="L87" s="60" t="s">
        <v>14</v>
      </c>
      <c r="M87" s="132" t="s">
        <v>197</v>
      </c>
      <c r="N87" s="26">
        <v>2026</v>
      </c>
    </row>
    <row r="88" spans="1:14">
      <c r="A88" s="26">
        <v>87</v>
      </c>
      <c r="B88" s="26" t="s">
        <v>259</v>
      </c>
      <c r="C88" s="45" t="s">
        <v>260</v>
      </c>
      <c r="D88" s="26" t="s">
        <v>58</v>
      </c>
      <c r="E88" s="26" t="s">
        <v>82</v>
      </c>
      <c r="F88" s="26"/>
      <c r="G88" s="26" t="s">
        <v>62</v>
      </c>
      <c r="H88" s="46" t="s">
        <v>358</v>
      </c>
      <c r="I88" s="47">
        <v>16.233766233766232</v>
      </c>
      <c r="J88" s="26" t="s">
        <v>65</v>
      </c>
      <c r="K88" s="45" t="s">
        <v>380</v>
      </c>
      <c r="L88" s="60" t="s">
        <v>14</v>
      </c>
      <c r="M88" s="132" t="s">
        <v>197</v>
      </c>
      <c r="N88" s="26">
        <v>2026</v>
      </c>
    </row>
    <row r="89" spans="1:14">
      <c r="A89" s="26">
        <v>88</v>
      </c>
      <c r="B89" s="26" t="s">
        <v>302</v>
      </c>
      <c r="C89" s="45" t="s">
        <v>302</v>
      </c>
      <c r="D89" s="26" t="s">
        <v>58</v>
      </c>
      <c r="E89" s="26" t="s">
        <v>82</v>
      </c>
      <c r="F89" s="26"/>
      <c r="G89" s="26" t="s">
        <v>62</v>
      </c>
      <c r="H89" s="46" t="s">
        <v>359</v>
      </c>
      <c r="I89" s="47">
        <v>41.558441558441558</v>
      </c>
      <c r="J89" s="26" t="s">
        <v>65</v>
      </c>
      <c r="K89" s="45" t="s">
        <v>381</v>
      </c>
      <c r="L89" s="60" t="s">
        <v>14</v>
      </c>
      <c r="M89" s="132" t="s">
        <v>197</v>
      </c>
      <c r="N89" s="26">
        <v>2026</v>
      </c>
    </row>
    <row r="90" spans="1:14">
      <c r="A90" s="26">
        <v>89</v>
      </c>
      <c r="B90" s="26" t="s">
        <v>302</v>
      </c>
      <c r="C90" s="45" t="s">
        <v>302</v>
      </c>
      <c r="D90" s="26" t="s">
        <v>58</v>
      </c>
      <c r="E90" s="26" t="s">
        <v>82</v>
      </c>
      <c r="F90" s="26"/>
      <c r="G90" s="26" t="s">
        <v>62</v>
      </c>
      <c r="H90" s="46" t="s">
        <v>360</v>
      </c>
      <c r="I90" s="47">
        <v>9.7402597402597397</v>
      </c>
      <c r="J90" s="26" t="s">
        <v>65</v>
      </c>
      <c r="K90" s="45" t="s">
        <v>381</v>
      </c>
      <c r="L90" s="60" t="s">
        <v>14</v>
      </c>
      <c r="M90" s="132" t="s">
        <v>197</v>
      </c>
      <c r="N90" s="26">
        <v>2026</v>
      </c>
    </row>
    <row r="91" spans="1:14">
      <c r="A91" s="26">
        <v>90</v>
      </c>
      <c r="B91" s="26" t="s">
        <v>259</v>
      </c>
      <c r="C91" s="45" t="s">
        <v>260</v>
      </c>
      <c r="D91" s="26" t="s">
        <v>58</v>
      </c>
      <c r="E91" s="26" t="s">
        <v>68</v>
      </c>
      <c r="F91" s="26"/>
      <c r="G91" s="26" t="s">
        <v>62</v>
      </c>
      <c r="H91" s="46" t="s">
        <v>361</v>
      </c>
      <c r="I91" s="47">
        <v>340.90909090909093</v>
      </c>
      <c r="J91" s="26">
        <v>434</v>
      </c>
      <c r="K91" s="45" t="s">
        <v>389</v>
      </c>
      <c r="L91" s="60" t="s">
        <v>14</v>
      </c>
      <c r="M91" s="132" t="s">
        <v>197</v>
      </c>
      <c r="N91" s="26">
        <v>2026</v>
      </c>
    </row>
    <row r="92" spans="1:14">
      <c r="A92" s="26">
        <v>91</v>
      </c>
      <c r="B92" s="26" t="s">
        <v>17</v>
      </c>
      <c r="C92" s="26" t="s">
        <v>18</v>
      </c>
      <c r="D92" s="26" t="s">
        <v>58</v>
      </c>
      <c r="E92" s="26" t="s">
        <v>76</v>
      </c>
      <c r="F92" s="26"/>
      <c r="G92" s="26" t="s">
        <v>62</v>
      </c>
      <c r="H92" s="26" t="s">
        <v>362</v>
      </c>
      <c r="I92" s="47">
        <v>374.02597402597405</v>
      </c>
      <c r="J92" s="26" t="s">
        <v>65</v>
      </c>
      <c r="K92" s="45" t="s">
        <v>376</v>
      </c>
      <c r="L92" s="60" t="s">
        <v>14</v>
      </c>
      <c r="M92" s="132" t="s">
        <v>197</v>
      </c>
      <c r="N92" s="26">
        <v>2026</v>
      </c>
    </row>
    <row r="93" spans="1:14">
      <c r="A93" s="26">
        <v>92</v>
      </c>
      <c r="B93" s="26" t="s">
        <v>259</v>
      </c>
      <c r="C93" s="45" t="s">
        <v>260</v>
      </c>
      <c r="D93" s="26" t="s">
        <v>58</v>
      </c>
      <c r="E93" s="26" t="s">
        <v>76</v>
      </c>
      <c r="F93" s="26"/>
      <c r="G93" s="26" t="s">
        <v>62</v>
      </c>
      <c r="H93" s="46" t="s">
        <v>363</v>
      </c>
      <c r="I93" s="47">
        <v>64.935064935064929</v>
      </c>
      <c r="J93" s="26">
        <v>195013</v>
      </c>
      <c r="K93" s="45" t="s">
        <v>380</v>
      </c>
      <c r="L93" s="60" t="s">
        <v>14</v>
      </c>
      <c r="M93" s="132" t="s">
        <v>197</v>
      </c>
      <c r="N93" s="26">
        <v>2026</v>
      </c>
    </row>
    <row r="94" spans="1:14">
      <c r="A94" s="26">
        <v>93</v>
      </c>
      <c r="B94" s="26" t="s">
        <v>259</v>
      </c>
      <c r="C94" s="45" t="s">
        <v>260</v>
      </c>
      <c r="D94" s="26" t="s">
        <v>58</v>
      </c>
      <c r="E94" s="26" t="s">
        <v>305</v>
      </c>
      <c r="F94" s="26"/>
      <c r="G94" s="26" t="s">
        <v>62</v>
      </c>
      <c r="H94" s="46" t="s">
        <v>364</v>
      </c>
      <c r="I94" s="47">
        <v>389.61038961038963</v>
      </c>
      <c r="J94" s="26">
        <v>20</v>
      </c>
      <c r="K94" s="45" t="s">
        <v>381</v>
      </c>
      <c r="L94" s="60" t="s">
        <v>14</v>
      </c>
      <c r="M94" s="132" t="s">
        <v>197</v>
      </c>
      <c r="N94" s="26">
        <v>2026</v>
      </c>
    </row>
    <row r="95" spans="1:14">
      <c r="A95" s="26">
        <v>94</v>
      </c>
      <c r="B95" s="26" t="s">
        <v>56</v>
      </c>
      <c r="C95" s="45" t="s">
        <v>57</v>
      </c>
      <c r="D95" s="26" t="s">
        <v>58</v>
      </c>
      <c r="E95" s="26" t="s">
        <v>305</v>
      </c>
      <c r="F95" s="26"/>
      <c r="G95" s="26" t="s">
        <v>62</v>
      </c>
      <c r="H95" s="46" t="s">
        <v>243</v>
      </c>
      <c r="I95" s="47">
        <v>1071.4285714285713</v>
      </c>
      <c r="J95" s="26" t="s">
        <v>65</v>
      </c>
      <c r="K95" s="45" t="s">
        <v>376</v>
      </c>
      <c r="L95" s="60" t="s">
        <v>14</v>
      </c>
      <c r="M95" s="132" t="s">
        <v>197</v>
      </c>
      <c r="N95" s="26">
        <v>2026</v>
      </c>
    </row>
    <row r="96" spans="1:14">
      <c r="A96" s="26">
        <v>95</v>
      </c>
      <c r="B96" s="26" t="s">
        <v>275</v>
      </c>
      <c r="C96" s="45" t="s">
        <v>276</v>
      </c>
      <c r="D96" s="26" t="s">
        <v>58</v>
      </c>
      <c r="E96" s="26" t="s">
        <v>76</v>
      </c>
      <c r="F96" s="26"/>
      <c r="G96" s="26" t="s">
        <v>62</v>
      </c>
      <c r="H96" s="46" t="s">
        <v>280</v>
      </c>
      <c r="I96" s="47">
        <v>34.415584415584412</v>
      </c>
      <c r="J96" s="45" t="s">
        <v>65</v>
      </c>
      <c r="K96" s="45" t="s">
        <v>383</v>
      </c>
      <c r="L96" s="60" t="s">
        <v>14</v>
      </c>
      <c r="M96" s="132" t="s">
        <v>197</v>
      </c>
      <c r="N96" s="26">
        <v>2026</v>
      </c>
    </row>
    <row r="97" spans="1:14">
      <c r="A97" s="26">
        <v>96</v>
      </c>
      <c r="B97" s="26" t="s">
        <v>304</v>
      </c>
      <c r="C97" s="26" t="s">
        <v>304</v>
      </c>
      <c r="D97" s="26" t="s">
        <v>58</v>
      </c>
      <c r="E97" s="26" t="s">
        <v>97</v>
      </c>
      <c r="F97" s="26"/>
      <c r="G97" s="26" t="s">
        <v>62</v>
      </c>
      <c r="H97" s="26" t="s">
        <v>365</v>
      </c>
      <c r="I97" s="47">
        <v>42.857142857142854</v>
      </c>
      <c r="J97" s="26">
        <v>1809</v>
      </c>
      <c r="K97" s="45" t="s">
        <v>386</v>
      </c>
      <c r="L97" s="60" t="s">
        <v>14</v>
      </c>
      <c r="M97" s="132" t="s">
        <v>197</v>
      </c>
      <c r="N97" s="26">
        <v>2026</v>
      </c>
    </row>
    <row r="98" spans="1:14">
      <c r="A98" s="26">
        <v>97</v>
      </c>
      <c r="B98" s="26" t="s">
        <v>304</v>
      </c>
      <c r="C98" s="26" t="s">
        <v>304</v>
      </c>
      <c r="D98" s="26" t="s">
        <v>58</v>
      </c>
      <c r="E98" s="26" t="s">
        <v>97</v>
      </c>
      <c r="F98" s="26"/>
      <c r="G98" s="26" t="s">
        <v>62</v>
      </c>
      <c r="H98" s="46" t="s">
        <v>366</v>
      </c>
      <c r="I98" s="47">
        <v>1246.7532467532467</v>
      </c>
      <c r="J98" s="26" t="s">
        <v>65</v>
      </c>
      <c r="K98" s="45" t="s">
        <v>384</v>
      </c>
      <c r="L98" s="60" t="s">
        <v>14</v>
      </c>
      <c r="M98" s="132" t="s">
        <v>197</v>
      </c>
      <c r="N98" s="26">
        <v>2026</v>
      </c>
    </row>
    <row r="99" spans="1:14">
      <c r="A99" s="26">
        <v>98</v>
      </c>
      <c r="B99" s="26" t="s">
        <v>17</v>
      </c>
      <c r="C99" s="45" t="s">
        <v>18</v>
      </c>
      <c r="D99" s="26" t="s">
        <v>58</v>
      </c>
      <c r="E99" s="26" t="s">
        <v>97</v>
      </c>
      <c r="F99" s="26"/>
      <c r="G99" s="26" t="s">
        <v>62</v>
      </c>
      <c r="H99" s="46" t="s">
        <v>280</v>
      </c>
      <c r="I99" s="47">
        <v>309.74025974025972</v>
      </c>
      <c r="J99" s="26" t="s">
        <v>65</v>
      </c>
      <c r="K99" s="45" t="s">
        <v>383</v>
      </c>
      <c r="L99" s="60" t="s">
        <v>14</v>
      </c>
      <c r="M99" s="132" t="s">
        <v>197</v>
      </c>
      <c r="N99" s="26">
        <v>2026</v>
      </c>
    </row>
    <row r="100" spans="1:14">
      <c r="A100" s="26">
        <v>99</v>
      </c>
      <c r="B100" s="26" t="s">
        <v>52</v>
      </c>
      <c r="C100" s="45" t="s">
        <v>53</v>
      </c>
      <c r="D100" s="26" t="s">
        <v>58</v>
      </c>
      <c r="E100" s="26" t="s">
        <v>97</v>
      </c>
      <c r="F100" s="26"/>
      <c r="G100" s="26" t="s">
        <v>62</v>
      </c>
      <c r="H100" s="46" t="s">
        <v>280</v>
      </c>
      <c r="I100" s="47">
        <v>251.94805194805195</v>
      </c>
      <c r="J100" s="26" t="s">
        <v>65</v>
      </c>
      <c r="K100" s="45" t="s">
        <v>383</v>
      </c>
      <c r="L100" s="60" t="s">
        <v>14</v>
      </c>
      <c r="M100" s="132" t="s">
        <v>197</v>
      </c>
      <c r="N100" s="26">
        <v>2026</v>
      </c>
    </row>
    <row r="101" spans="1:14">
      <c r="A101" s="26">
        <v>100</v>
      </c>
      <c r="B101" s="26" t="s">
        <v>40</v>
      </c>
      <c r="C101" s="26" t="s">
        <v>67</v>
      </c>
      <c r="D101" s="26" t="s">
        <v>58</v>
      </c>
      <c r="E101" s="26" t="s">
        <v>97</v>
      </c>
      <c r="F101" s="26"/>
      <c r="G101" s="26" t="s">
        <v>62</v>
      </c>
      <c r="H101" s="26" t="s">
        <v>280</v>
      </c>
      <c r="I101" s="50">
        <v>568.18181818181813</v>
      </c>
      <c r="J101" s="26" t="s">
        <v>65</v>
      </c>
      <c r="K101" s="45" t="s">
        <v>383</v>
      </c>
      <c r="L101" s="60" t="s">
        <v>14</v>
      </c>
      <c r="M101" s="132" t="s">
        <v>197</v>
      </c>
      <c r="N101" s="26">
        <v>2026</v>
      </c>
    </row>
    <row r="102" spans="1:14">
      <c r="A102" s="26">
        <v>101</v>
      </c>
      <c r="B102" s="26" t="s">
        <v>33</v>
      </c>
      <c r="C102" s="26" t="s">
        <v>34</v>
      </c>
      <c r="D102" s="26" t="s">
        <v>58</v>
      </c>
      <c r="E102" s="26" t="s">
        <v>97</v>
      </c>
      <c r="F102" s="26"/>
      <c r="G102" s="26" t="s">
        <v>62</v>
      </c>
      <c r="H102" s="26" t="s">
        <v>280</v>
      </c>
      <c r="I102" s="50">
        <v>68.831168831168824</v>
      </c>
      <c r="J102" s="26" t="s">
        <v>65</v>
      </c>
      <c r="K102" s="45" t="s">
        <v>383</v>
      </c>
      <c r="L102" s="60" t="s">
        <v>14</v>
      </c>
      <c r="M102" s="132" t="s">
        <v>197</v>
      </c>
      <c r="N102" s="26">
        <v>2026</v>
      </c>
    </row>
    <row r="103" spans="1:14">
      <c r="A103" s="26">
        <v>102</v>
      </c>
      <c r="B103" s="26" t="s">
        <v>40</v>
      </c>
      <c r="C103" s="45" t="s">
        <v>43</v>
      </c>
      <c r="D103" s="26" t="s">
        <v>58</v>
      </c>
      <c r="E103" s="26" t="s">
        <v>97</v>
      </c>
      <c r="F103" s="26"/>
      <c r="G103" s="26" t="s">
        <v>62</v>
      </c>
      <c r="H103" s="46" t="s">
        <v>280</v>
      </c>
      <c r="I103" s="47">
        <v>34.415584415584412</v>
      </c>
      <c r="J103" s="26" t="s">
        <v>65</v>
      </c>
      <c r="K103" s="45" t="s">
        <v>383</v>
      </c>
      <c r="L103" s="60" t="s">
        <v>14</v>
      </c>
      <c r="M103" s="132" t="s">
        <v>197</v>
      </c>
      <c r="N103" s="26">
        <v>2026</v>
      </c>
    </row>
    <row r="104" spans="1:14">
      <c r="A104" s="26">
        <v>103</v>
      </c>
      <c r="B104" s="26" t="s">
        <v>259</v>
      </c>
      <c r="C104" s="26" t="s">
        <v>260</v>
      </c>
      <c r="D104" s="26" t="s">
        <v>58</v>
      </c>
      <c r="E104" s="26" t="s">
        <v>97</v>
      </c>
      <c r="F104" s="26"/>
      <c r="G104" s="26" t="s">
        <v>62</v>
      </c>
      <c r="H104" s="46" t="s">
        <v>367</v>
      </c>
      <c r="I104" s="47">
        <v>155.84415584415584</v>
      </c>
      <c r="J104" s="26">
        <v>991</v>
      </c>
      <c r="K104" s="45">
        <v>46268</v>
      </c>
      <c r="L104" s="60" t="s">
        <v>14</v>
      </c>
      <c r="M104" s="132" t="s">
        <v>197</v>
      </c>
      <c r="N104" s="26">
        <v>2026</v>
      </c>
    </row>
    <row r="105" spans="1:14">
      <c r="A105" s="26">
        <v>104</v>
      </c>
      <c r="B105" s="26" t="s">
        <v>259</v>
      </c>
      <c r="C105" s="26" t="s">
        <v>260</v>
      </c>
      <c r="D105" s="26" t="s">
        <v>58</v>
      </c>
      <c r="E105" s="26" t="s">
        <v>97</v>
      </c>
      <c r="F105" s="26"/>
      <c r="G105" s="26" t="s">
        <v>62</v>
      </c>
      <c r="H105" s="46" t="s">
        <v>280</v>
      </c>
      <c r="I105" s="47">
        <v>29.220779220779221</v>
      </c>
      <c r="J105" s="26" t="s">
        <v>65</v>
      </c>
      <c r="K105" s="45" t="s">
        <v>383</v>
      </c>
      <c r="L105" s="60" t="s">
        <v>14</v>
      </c>
      <c r="M105" s="132" t="s">
        <v>197</v>
      </c>
      <c r="N105" s="26">
        <v>2026</v>
      </c>
    </row>
    <row r="106" spans="1:14">
      <c r="A106" s="26">
        <v>105</v>
      </c>
      <c r="B106" s="26" t="s">
        <v>31</v>
      </c>
      <c r="C106" s="26" t="s">
        <v>32</v>
      </c>
      <c r="D106" s="26" t="s">
        <v>58</v>
      </c>
      <c r="E106" s="26" t="s">
        <v>97</v>
      </c>
      <c r="F106" s="26"/>
      <c r="G106" s="26" t="s">
        <v>62</v>
      </c>
      <c r="H106" s="46" t="s">
        <v>280</v>
      </c>
      <c r="I106" s="47">
        <v>224.67532467532467</v>
      </c>
      <c r="J106" s="26" t="s">
        <v>65</v>
      </c>
      <c r="K106" s="45" t="s">
        <v>383</v>
      </c>
      <c r="L106" s="60" t="s">
        <v>14</v>
      </c>
      <c r="M106" s="132" t="s">
        <v>197</v>
      </c>
      <c r="N106" s="26">
        <v>2026</v>
      </c>
    </row>
    <row r="107" spans="1:14">
      <c r="A107" s="26">
        <v>106</v>
      </c>
      <c r="B107" s="26" t="s">
        <v>50</v>
      </c>
      <c r="C107" s="26" t="s">
        <v>51</v>
      </c>
      <c r="D107" s="26" t="s">
        <v>58</v>
      </c>
      <c r="E107" s="26" t="s">
        <v>97</v>
      </c>
      <c r="F107" s="26"/>
      <c r="G107" s="26" t="s">
        <v>62</v>
      </c>
      <c r="H107" s="46" t="s">
        <v>280</v>
      </c>
      <c r="I107" s="47">
        <v>251.94805194805195</v>
      </c>
      <c r="J107" s="26" t="s">
        <v>65</v>
      </c>
      <c r="K107" s="45" t="s">
        <v>383</v>
      </c>
      <c r="L107" s="60" t="s">
        <v>14</v>
      </c>
      <c r="M107" s="132" t="s">
        <v>197</v>
      </c>
      <c r="N107" s="26">
        <v>2026</v>
      </c>
    </row>
    <row r="108" spans="1:14">
      <c r="A108" s="26">
        <v>107</v>
      </c>
      <c r="B108" s="26" t="s">
        <v>56</v>
      </c>
      <c r="C108" s="26" t="s">
        <v>57</v>
      </c>
      <c r="D108" s="26" t="s">
        <v>58</v>
      </c>
      <c r="E108" s="26" t="s">
        <v>76</v>
      </c>
      <c r="F108" s="26"/>
      <c r="G108" s="26" t="s">
        <v>62</v>
      </c>
      <c r="H108" s="46" t="s">
        <v>368</v>
      </c>
      <c r="I108" s="47">
        <v>438.31168831168833</v>
      </c>
      <c r="J108" s="26" t="s">
        <v>396</v>
      </c>
      <c r="K108" s="45">
        <v>46268</v>
      </c>
      <c r="L108" s="60" t="s">
        <v>14</v>
      </c>
      <c r="M108" s="132" t="s">
        <v>197</v>
      </c>
      <c r="N108" s="26">
        <v>2026</v>
      </c>
    </row>
    <row r="109" spans="1:14">
      <c r="A109" s="26">
        <v>108</v>
      </c>
      <c r="B109" s="26" t="s">
        <v>56</v>
      </c>
      <c r="C109" s="26" t="s">
        <v>57</v>
      </c>
      <c r="D109" s="26" t="s">
        <v>58</v>
      </c>
      <c r="E109" s="26" t="s">
        <v>68</v>
      </c>
      <c r="F109" s="26"/>
      <c r="G109" s="26" t="s">
        <v>62</v>
      </c>
      <c r="H109" s="46" t="s">
        <v>78</v>
      </c>
      <c r="I109" s="47">
        <v>75</v>
      </c>
      <c r="J109" s="26" t="s">
        <v>65</v>
      </c>
      <c r="K109" s="45" t="s">
        <v>377</v>
      </c>
      <c r="L109" s="60" t="s">
        <v>14</v>
      </c>
      <c r="M109" s="132" t="s">
        <v>197</v>
      </c>
      <c r="N109" s="26">
        <v>2026</v>
      </c>
    </row>
    <row r="110" spans="1:14">
      <c r="A110" s="26">
        <v>109</v>
      </c>
      <c r="B110" s="26" t="s">
        <v>56</v>
      </c>
      <c r="C110" s="26" t="s">
        <v>57</v>
      </c>
      <c r="D110" s="26" t="s">
        <v>58</v>
      </c>
      <c r="E110" s="26" t="s">
        <v>97</v>
      </c>
      <c r="F110" s="26"/>
      <c r="G110" s="26" t="s">
        <v>62</v>
      </c>
      <c r="H110" s="46" t="s">
        <v>280</v>
      </c>
      <c r="I110" s="47">
        <v>584.41558441558436</v>
      </c>
      <c r="J110" s="26" t="s">
        <v>65</v>
      </c>
      <c r="K110" s="45" t="s">
        <v>383</v>
      </c>
      <c r="L110" s="60" t="s">
        <v>14</v>
      </c>
      <c r="M110" s="132" t="s">
        <v>197</v>
      </c>
      <c r="N110" s="26">
        <v>2026</v>
      </c>
    </row>
    <row r="111" spans="1:14">
      <c r="A111" s="26">
        <v>110</v>
      </c>
      <c r="B111" s="26" t="s">
        <v>40</v>
      </c>
      <c r="C111" s="26" t="s">
        <v>46</v>
      </c>
      <c r="D111" s="26" t="s">
        <v>58</v>
      </c>
      <c r="E111" s="26" t="s">
        <v>97</v>
      </c>
      <c r="F111" s="26"/>
      <c r="G111" s="26" t="s">
        <v>62</v>
      </c>
      <c r="H111" s="46" t="s">
        <v>280</v>
      </c>
      <c r="I111" s="47">
        <v>251.94805194805195</v>
      </c>
      <c r="J111" s="26" t="s">
        <v>65</v>
      </c>
      <c r="K111" s="45" t="s">
        <v>383</v>
      </c>
      <c r="L111" s="60" t="s">
        <v>14</v>
      </c>
      <c r="M111" s="132" t="s">
        <v>197</v>
      </c>
      <c r="N111" s="26">
        <v>2026</v>
      </c>
    </row>
    <row r="112" spans="1:14">
      <c r="A112" s="26">
        <v>111</v>
      </c>
      <c r="B112" s="26" t="s">
        <v>40</v>
      </c>
      <c r="C112" s="26" t="s">
        <v>48</v>
      </c>
      <c r="D112" s="26" t="s">
        <v>58</v>
      </c>
      <c r="E112" s="26" t="s">
        <v>97</v>
      </c>
      <c r="F112" s="26"/>
      <c r="G112" s="26" t="s">
        <v>62</v>
      </c>
      <c r="H112" s="46" t="s">
        <v>280</v>
      </c>
      <c r="I112" s="47">
        <v>327.27272727272725</v>
      </c>
      <c r="J112" s="26" t="s">
        <v>65</v>
      </c>
      <c r="K112" s="45" t="s">
        <v>383</v>
      </c>
      <c r="L112" s="60" t="s">
        <v>14</v>
      </c>
      <c r="M112" s="132" t="s">
        <v>197</v>
      </c>
      <c r="N112" s="26">
        <v>2026</v>
      </c>
    </row>
    <row r="113" spans="1:14">
      <c r="A113" s="26">
        <v>112</v>
      </c>
      <c r="B113" s="26" t="s">
        <v>40</v>
      </c>
      <c r="C113" s="26" t="s">
        <v>49</v>
      </c>
      <c r="D113" s="26" t="s">
        <v>58</v>
      </c>
      <c r="E113" s="26" t="s">
        <v>97</v>
      </c>
      <c r="F113" s="26"/>
      <c r="G113" s="26" t="s">
        <v>62</v>
      </c>
      <c r="H113" s="46" t="s">
        <v>280</v>
      </c>
      <c r="I113" s="47">
        <v>137.66233766233765</v>
      </c>
      <c r="J113" s="26" t="s">
        <v>65</v>
      </c>
      <c r="K113" s="45" t="s">
        <v>383</v>
      </c>
      <c r="L113" s="60" t="s">
        <v>14</v>
      </c>
      <c r="M113" s="132" t="s">
        <v>197</v>
      </c>
      <c r="N113" s="26">
        <v>2026</v>
      </c>
    </row>
    <row r="114" spans="1:14">
      <c r="A114" s="26">
        <v>113</v>
      </c>
      <c r="B114" s="26" t="s">
        <v>17</v>
      </c>
      <c r="C114" s="26" t="s">
        <v>23</v>
      </c>
      <c r="D114" s="26" t="s">
        <v>58</v>
      </c>
      <c r="E114" s="26" t="s">
        <v>97</v>
      </c>
      <c r="F114" s="26"/>
      <c r="G114" s="26" t="s">
        <v>62</v>
      </c>
      <c r="H114" s="46" t="s">
        <v>280</v>
      </c>
      <c r="I114" s="47">
        <v>172.07792207792207</v>
      </c>
      <c r="J114" s="26" t="s">
        <v>65</v>
      </c>
      <c r="K114" s="45" t="s">
        <v>383</v>
      </c>
      <c r="L114" s="60" t="s">
        <v>14</v>
      </c>
      <c r="M114" s="132" t="s">
        <v>197</v>
      </c>
      <c r="N114" s="26">
        <v>2026</v>
      </c>
    </row>
    <row r="115" spans="1:14">
      <c r="A115" s="26">
        <v>114</v>
      </c>
      <c r="B115" s="26" t="s">
        <v>17</v>
      </c>
      <c r="C115" s="26" t="s">
        <v>24</v>
      </c>
      <c r="D115" s="26" t="s">
        <v>58</v>
      </c>
      <c r="E115" s="26" t="s">
        <v>97</v>
      </c>
      <c r="F115" s="26"/>
      <c r="G115" s="26" t="s">
        <v>62</v>
      </c>
      <c r="H115" s="46" t="s">
        <v>280</v>
      </c>
      <c r="I115" s="47">
        <v>240.90909090909091</v>
      </c>
      <c r="J115" s="26" t="s">
        <v>65</v>
      </c>
      <c r="K115" s="45" t="s">
        <v>383</v>
      </c>
      <c r="L115" s="60" t="s">
        <v>14</v>
      </c>
      <c r="M115" s="132" t="s">
        <v>197</v>
      </c>
      <c r="N115" s="26">
        <v>2026</v>
      </c>
    </row>
    <row r="116" spans="1:14">
      <c r="A116" s="26">
        <v>115</v>
      </c>
      <c r="B116" s="26" t="s">
        <v>302</v>
      </c>
      <c r="C116" s="26" t="s">
        <v>302</v>
      </c>
      <c r="D116" s="26" t="s">
        <v>58</v>
      </c>
      <c r="E116" s="26" t="s">
        <v>76</v>
      </c>
      <c r="F116" s="26"/>
      <c r="G116" s="26" t="s">
        <v>62</v>
      </c>
      <c r="H116" s="46" t="s">
        <v>369</v>
      </c>
      <c r="I116" s="47">
        <v>195.45454545454547</v>
      </c>
      <c r="J116" s="26">
        <v>8608</v>
      </c>
      <c r="K116" s="45" t="s">
        <v>376</v>
      </c>
      <c r="L116" s="60" t="s">
        <v>14</v>
      </c>
      <c r="M116" s="132" t="s">
        <v>197</v>
      </c>
      <c r="N116" s="26">
        <v>2026</v>
      </c>
    </row>
    <row r="117" spans="1:14">
      <c r="A117" s="26">
        <v>116</v>
      </c>
      <c r="B117" s="26" t="s">
        <v>17</v>
      </c>
      <c r="C117" s="26" t="s">
        <v>25</v>
      </c>
      <c r="D117" s="26" t="s">
        <v>58</v>
      </c>
      <c r="E117" s="26" t="s">
        <v>97</v>
      </c>
      <c r="F117" s="26"/>
      <c r="G117" s="26" t="s">
        <v>62</v>
      </c>
      <c r="H117" s="46" t="s">
        <v>280</v>
      </c>
      <c r="I117" s="47">
        <v>464.93506493506493</v>
      </c>
      <c r="J117" s="26" t="s">
        <v>65</v>
      </c>
      <c r="K117" s="45" t="s">
        <v>383</v>
      </c>
      <c r="L117" s="60" t="s">
        <v>14</v>
      </c>
      <c r="M117" s="132" t="s">
        <v>197</v>
      </c>
      <c r="N117" s="26">
        <v>2026</v>
      </c>
    </row>
    <row r="118" spans="1:14">
      <c r="A118" s="26">
        <v>117</v>
      </c>
      <c r="B118" s="26" t="s">
        <v>275</v>
      </c>
      <c r="C118" s="26" t="s">
        <v>303</v>
      </c>
      <c r="D118" s="26" t="s">
        <v>58</v>
      </c>
      <c r="E118" s="26" t="s">
        <v>237</v>
      </c>
      <c r="F118" s="26"/>
      <c r="G118" s="26" t="s">
        <v>62</v>
      </c>
      <c r="H118" s="46" t="s">
        <v>370</v>
      </c>
      <c r="I118" s="47">
        <v>2532.4675324675327</v>
      </c>
      <c r="J118" s="26" t="s">
        <v>65</v>
      </c>
      <c r="K118" s="45" t="s">
        <v>386</v>
      </c>
      <c r="L118" s="60" t="s">
        <v>14</v>
      </c>
      <c r="M118" s="132" t="s">
        <v>197</v>
      </c>
      <c r="N118" s="26">
        <v>2026</v>
      </c>
    </row>
    <row r="119" spans="1:14">
      <c r="A119" s="26">
        <v>118</v>
      </c>
      <c r="B119" s="26" t="s">
        <v>259</v>
      </c>
      <c r="C119" s="26" t="s">
        <v>260</v>
      </c>
      <c r="D119" s="26" t="s">
        <v>58</v>
      </c>
      <c r="E119" s="26" t="s">
        <v>237</v>
      </c>
      <c r="F119" s="26"/>
      <c r="G119" s="26" t="s">
        <v>62</v>
      </c>
      <c r="H119" s="46" t="s">
        <v>371</v>
      </c>
      <c r="I119" s="47">
        <v>1298.7012987012988</v>
      </c>
      <c r="J119" s="26" t="s">
        <v>65</v>
      </c>
      <c r="K119" s="45" t="s">
        <v>387</v>
      </c>
      <c r="L119" s="60" t="s">
        <v>14</v>
      </c>
      <c r="M119" s="132" t="s">
        <v>197</v>
      </c>
      <c r="N119" s="26">
        <v>2026</v>
      </c>
    </row>
    <row r="120" spans="1:14">
      <c r="A120" s="26">
        <v>119</v>
      </c>
      <c r="B120" s="26" t="s">
        <v>56</v>
      </c>
      <c r="C120" s="26" t="s">
        <v>57</v>
      </c>
      <c r="D120" s="26" t="s">
        <v>58</v>
      </c>
      <c r="E120" s="26" t="s">
        <v>237</v>
      </c>
      <c r="F120" s="26"/>
      <c r="G120" s="26" t="s">
        <v>62</v>
      </c>
      <c r="H120" s="46" t="s">
        <v>372</v>
      </c>
      <c r="I120" s="47">
        <v>129.87012987012986</v>
      </c>
      <c r="J120" s="26" t="s">
        <v>65</v>
      </c>
      <c r="K120" s="45">
        <v>46206</v>
      </c>
      <c r="L120" s="60" t="s">
        <v>14</v>
      </c>
      <c r="M120" s="132" t="s">
        <v>197</v>
      </c>
      <c r="N120" s="26">
        <v>2026</v>
      </c>
    </row>
    <row r="121" spans="1:14">
      <c r="A121" s="26">
        <v>120</v>
      </c>
      <c r="B121" s="26" t="s">
        <v>56</v>
      </c>
      <c r="C121" s="26" t="s">
        <v>57</v>
      </c>
      <c r="D121" s="26" t="s">
        <v>58</v>
      </c>
      <c r="E121" s="26" t="s">
        <v>237</v>
      </c>
      <c r="F121" s="26"/>
      <c r="G121" s="26" t="s">
        <v>62</v>
      </c>
      <c r="H121" s="46" t="s">
        <v>281</v>
      </c>
      <c r="I121" s="47">
        <v>588.31168831168827</v>
      </c>
      <c r="J121" s="26" t="s">
        <v>65</v>
      </c>
      <c r="K121" s="45">
        <v>46206</v>
      </c>
      <c r="L121" s="60" t="s">
        <v>14</v>
      </c>
      <c r="M121" s="132" t="s">
        <v>197</v>
      </c>
      <c r="N121" s="26">
        <v>2026</v>
      </c>
    </row>
    <row r="122" spans="1:14">
      <c r="A122" s="26">
        <v>121</v>
      </c>
      <c r="B122" s="26" t="s">
        <v>56</v>
      </c>
      <c r="C122" s="26" t="s">
        <v>57</v>
      </c>
      <c r="D122" s="26" t="s">
        <v>58</v>
      </c>
      <c r="E122" s="26" t="s">
        <v>237</v>
      </c>
      <c r="F122" s="26"/>
      <c r="G122" s="26" t="s">
        <v>62</v>
      </c>
      <c r="H122" s="46" t="s">
        <v>281</v>
      </c>
      <c r="I122" s="47">
        <v>217.53246753246754</v>
      </c>
      <c r="J122" s="26" t="s">
        <v>65</v>
      </c>
      <c r="K122" s="45">
        <v>46206</v>
      </c>
      <c r="L122" s="60" t="s">
        <v>14</v>
      </c>
      <c r="M122" s="132" t="s">
        <v>197</v>
      </c>
      <c r="N122" s="26">
        <v>2026</v>
      </c>
    </row>
    <row r="123" spans="1:14">
      <c r="A123" s="26">
        <v>122</v>
      </c>
      <c r="B123" s="26" t="s">
        <v>56</v>
      </c>
      <c r="C123" s="26" t="s">
        <v>57</v>
      </c>
      <c r="D123" s="26" t="s">
        <v>58</v>
      </c>
      <c r="E123" s="26" t="s">
        <v>237</v>
      </c>
      <c r="F123" s="26"/>
      <c r="G123" s="26" t="s">
        <v>62</v>
      </c>
      <c r="H123" s="46" t="s">
        <v>373</v>
      </c>
      <c r="I123" s="47">
        <v>519.48051948051943</v>
      </c>
      <c r="J123" s="26" t="s">
        <v>65</v>
      </c>
      <c r="K123" s="45" t="s">
        <v>384</v>
      </c>
      <c r="L123" s="60" t="s">
        <v>14</v>
      </c>
      <c r="M123" s="132" t="s">
        <v>197</v>
      </c>
      <c r="N123" s="26">
        <v>2026</v>
      </c>
    </row>
    <row r="124" spans="1:14">
      <c r="A124" s="26">
        <v>123</v>
      </c>
      <c r="B124" s="26" t="s">
        <v>56</v>
      </c>
      <c r="C124" s="26" t="s">
        <v>57</v>
      </c>
      <c r="D124" s="26" t="s">
        <v>58</v>
      </c>
      <c r="E124" s="26" t="s">
        <v>237</v>
      </c>
      <c r="F124" s="26"/>
      <c r="G124" s="26" t="s">
        <v>62</v>
      </c>
      <c r="H124" s="46" t="s">
        <v>281</v>
      </c>
      <c r="I124" s="47">
        <v>360.38961038961037</v>
      </c>
      <c r="J124" s="26" t="s">
        <v>65</v>
      </c>
      <c r="K124" s="45" t="s">
        <v>378</v>
      </c>
      <c r="L124" s="60" t="s">
        <v>14</v>
      </c>
      <c r="M124" s="132" t="s">
        <v>197</v>
      </c>
      <c r="N124" s="26">
        <v>2026</v>
      </c>
    </row>
    <row r="125" spans="1:14">
      <c r="A125" s="26">
        <v>124</v>
      </c>
      <c r="B125" s="26" t="s">
        <v>56</v>
      </c>
      <c r="C125" s="26" t="s">
        <v>57</v>
      </c>
      <c r="D125" s="26" t="s">
        <v>58</v>
      </c>
      <c r="E125" s="26" t="s">
        <v>237</v>
      </c>
      <c r="F125" s="26"/>
      <c r="G125" s="26" t="s">
        <v>62</v>
      </c>
      <c r="H125" s="46" t="s">
        <v>281</v>
      </c>
      <c r="I125" s="47">
        <v>298.7012987012987</v>
      </c>
      <c r="J125" s="26" t="s">
        <v>65</v>
      </c>
      <c r="K125" s="45" t="s">
        <v>378</v>
      </c>
      <c r="L125" s="60" t="s">
        <v>14</v>
      </c>
      <c r="M125" s="132" t="s">
        <v>197</v>
      </c>
      <c r="N125" s="26">
        <v>2026</v>
      </c>
    </row>
    <row r="126" spans="1:14">
      <c r="A126" s="26">
        <v>125</v>
      </c>
      <c r="B126" s="26" t="s">
        <v>56</v>
      </c>
      <c r="C126" s="26" t="s">
        <v>57</v>
      </c>
      <c r="D126" s="26" t="s">
        <v>58</v>
      </c>
      <c r="E126" s="26" t="s">
        <v>237</v>
      </c>
      <c r="F126" s="26"/>
      <c r="G126" s="26" t="s">
        <v>62</v>
      </c>
      <c r="H126" s="46" t="s">
        <v>281</v>
      </c>
      <c r="I126" s="47">
        <v>38.961038961038959</v>
      </c>
      <c r="J126" s="26" t="s">
        <v>65</v>
      </c>
      <c r="K126" s="45" t="s">
        <v>378</v>
      </c>
      <c r="L126" s="60" t="s">
        <v>14</v>
      </c>
      <c r="M126" s="132" t="s">
        <v>197</v>
      </c>
      <c r="N126" s="26">
        <v>2026</v>
      </c>
    </row>
    <row r="127" spans="1:14">
      <c r="A127" s="26">
        <v>126</v>
      </c>
      <c r="B127" s="26" t="s">
        <v>56</v>
      </c>
      <c r="C127" s="26" t="s">
        <v>57</v>
      </c>
      <c r="D127" s="26" t="s">
        <v>58</v>
      </c>
      <c r="E127" s="26" t="s">
        <v>237</v>
      </c>
      <c r="F127" s="26"/>
      <c r="G127" s="26" t="s">
        <v>62</v>
      </c>
      <c r="H127" s="46" t="s">
        <v>374</v>
      </c>
      <c r="I127" s="47">
        <v>1509.7402597402597</v>
      </c>
      <c r="J127" s="26" t="s">
        <v>65</v>
      </c>
      <c r="K127" s="45" t="s">
        <v>386</v>
      </c>
      <c r="L127" s="60" t="s">
        <v>14</v>
      </c>
      <c r="M127" s="132" t="s">
        <v>197</v>
      </c>
      <c r="N127" s="26">
        <v>2026</v>
      </c>
    </row>
    <row r="128" spans="1:14">
      <c r="A128" s="26">
        <v>127</v>
      </c>
      <c r="B128" s="26" t="s">
        <v>56</v>
      </c>
      <c r="C128" s="26" t="s">
        <v>57</v>
      </c>
      <c r="D128" s="26" t="s">
        <v>58</v>
      </c>
      <c r="E128" s="26" t="s">
        <v>237</v>
      </c>
      <c r="F128" s="26"/>
      <c r="G128" s="26" t="s">
        <v>62</v>
      </c>
      <c r="H128" s="46" t="s">
        <v>375</v>
      </c>
      <c r="I128" s="47">
        <v>487.01298701298703</v>
      </c>
      <c r="J128" s="26" t="s">
        <v>65</v>
      </c>
      <c r="K128" s="45" t="s">
        <v>386</v>
      </c>
      <c r="L128" s="60" t="s">
        <v>14</v>
      </c>
      <c r="M128" s="132" t="s">
        <v>197</v>
      </c>
      <c r="N128" s="26">
        <v>2026</v>
      </c>
    </row>
  </sheetData>
  <autoFilter ref="A1:N83" xr:uid="{00000000-0009-0000-0000-000004000000}">
    <sortState xmlns:xlrd2="http://schemas.microsoft.com/office/spreadsheetml/2017/richdata2" ref="A2:N110">
      <sortCondition ref="B1:B83"/>
    </sortState>
  </autoFilter>
  <dataValidations count="2">
    <dataValidation type="list" allowBlank="1" showInputMessage="1" showErrorMessage="1" sqref="C2:C31 C34:C71 C73:C86" xr:uid="{00000000-0002-0000-0400-000001000000}">
      <formula1>Level_2</formula1>
    </dataValidation>
    <dataValidation type="list" allowBlank="1" showInputMessage="1" showErrorMessage="1" sqref="C87:C406" xr:uid="{00000000-0002-0000-0400-000002000000}">
      <formula1>INDIRECT(B87)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5000000}">
          <x14:formula1>
            <xm:f>List!$H$2:$H$13</xm:f>
          </x14:formula1>
          <xm:sqref>M129:M406</xm:sqref>
        </x14:dataValidation>
        <x14:dataValidation type="list" allowBlank="1" showInputMessage="1" showErrorMessage="1" xr:uid="{00000000-0002-0000-0400-000006000000}">
          <x14:formula1>
            <xm:f>List!$J$2:$J$4</xm:f>
          </x14:formula1>
          <xm:sqref>N129:N406</xm:sqref>
        </x14:dataValidation>
        <x14:dataValidation type="list" allowBlank="1" showInputMessage="1" showErrorMessage="1" xr:uid="{00000000-0002-0000-0400-000000000000}">
          <x14:formula1>
            <xm:f>List!$P$2:$P$11</xm:f>
          </x14:formula1>
          <xm:sqref>B87:B406</xm:sqref>
        </x14:dataValidation>
        <x14:dataValidation type="list" allowBlank="1" showInputMessage="1" showErrorMessage="1" xr:uid="{00000000-0002-0000-0400-000003000000}">
          <x14:formula1>
            <xm:f>List!$C$2:$C$3</xm:f>
          </x14:formula1>
          <xm:sqref>D129:D406</xm:sqref>
        </x14:dataValidation>
        <x14:dataValidation type="list" allowBlank="1" showInputMessage="1" showErrorMessage="1" xr:uid="{00000000-0002-0000-0400-000004000000}">
          <x14:formula1>
            <xm:f>List!$E$2:$E$32</xm:f>
          </x14:formula1>
          <xm:sqref>E87:E406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N6"/>
  <sheetViews>
    <sheetView workbookViewId="0">
      <selection activeCell="A2" sqref="A2:N6"/>
    </sheetView>
  </sheetViews>
  <sheetFormatPr defaultColWidth="9" defaultRowHeight="14.5"/>
  <cols>
    <col min="1" max="1" width="5.36328125" customWidth="1"/>
    <col min="2" max="2" width="8.6328125" customWidth="1"/>
    <col min="3" max="3" width="9.6328125" customWidth="1"/>
    <col min="4" max="4" width="9" customWidth="1"/>
    <col min="5" max="5" width="14.36328125" customWidth="1"/>
    <col min="6" max="6" width="10.1796875" customWidth="1"/>
    <col min="7" max="7" width="7" customWidth="1"/>
    <col min="8" max="8" width="28.7265625" bestFit="1" customWidth="1"/>
    <col min="9" max="9" width="18.08984375" customWidth="1"/>
    <col min="10" max="10" width="10.08984375" customWidth="1"/>
    <col min="11" max="11" width="11.1796875" customWidth="1"/>
    <col min="12" max="12" width="10.54296875" customWidth="1"/>
    <col min="13" max="13" width="6.54296875" customWidth="1"/>
    <col min="14" max="14" width="4.81640625" customWidth="1"/>
  </cols>
  <sheetData>
    <row r="1" spans="1:14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4">
      <c r="A2" s="15">
        <v>1</v>
      </c>
      <c r="B2" s="11" t="s">
        <v>52</v>
      </c>
      <c r="C2" s="11" t="s">
        <v>53</v>
      </c>
      <c r="D2" s="70" t="s">
        <v>58</v>
      </c>
      <c r="E2" s="10" t="s">
        <v>77</v>
      </c>
      <c r="F2" s="15"/>
      <c r="G2" s="15" t="s">
        <v>21</v>
      </c>
      <c r="H2" s="22" t="s">
        <v>397</v>
      </c>
      <c r="I2" s="23">
        <f>65000000/1540</f>
        <v>42207.792207792205</v>
      </c>
      <c r="J2" s="15" t="s">
        <v>14</v>
      </c>
      <c r="K2" s="16" t="s">
        <v>14</v>
      </c>
      <c r="L2" s="18" t="s">
        <v>14</v>
      </c>
      <c r="M2" s="134" t="s">
        <v>197</v>
      </c>
      <c r="N2" s="15">
        <v>2026</v>
      </c>
    </row>
    <row r="3" spans="1:14">
      <c r="A3" s="15">
        <v>2</v>
      </c>
      <c r="B3" s="118" t="s">
        <v>17</v>
      </c>
      <c r="C3" s="118" t="s">
        <v>25</v>
      </c>
      <c r="D3" s="15" t="s">
        <v>19</v>
      </c>
      <c r="E3" s="10" t="s">
        <v>77</v>
      </c>
      <c r="F3" s="10"/>
      <c r="G3" s="15" t="s">
        <v>21</v>
      </c>
      <c r="H3" s="22" t="s">
        <v>398</v>
      </c>
      <c r="I3" s="119">
        <f>3000000/1540</f>
        <v>1948.0519480519481</v>
      </c>
      <c r="J3" s="15" t="s">
        <v>14</v>
      </c>
      <c r="K3" s="16" t="s">
        <v>14</v>
      </c>
      <c r="L3" s="18" t="s">
        <v>14</v>
      </c>
      <c r="M3" s="134" t="s">
        <v>197</v>
      </c>
      <c r="N3" s="15">
        <v>2026</v>
      </c>
    </row>
    <row r="4" spans="1:14">
      <c r="A4" s="15">
        <v>3</v>
      </c>
      <c r="B4" s="118" t="s">
        <v>17</v>
      </c>
      <c r="C4" s="118" t="s">
        <v>22</v>
      </c>
      <c r="D4" s="15" t="s">
        <v>19</v>
      </c>
      <c r="E4" s="10" t="s">
        <v>77</v>
      </c>
      <c r="F4" s="10"/>
      <c r="G4" s="15" t="s">
        <v>21</v>
      </c>
      <c r="H4" s="22" t="s">
        <v>398</v>
      </c>
      <c r="I4" s="119">
        <f>2000000/1540</f>
        <v>1298.7012987012988</v>
      </c>
      <c r="J4" s="15" t="s">
        <v>14</v>
      </c>
      <c r="K4" s="16" t="s">
        <v>14</v>
      </c>
      <c r="L4" s="18" t="s">
        <v>14</v>
      </c>
      <c r="M4" s="134" t="s">
        <v>197</v>
      </c>
      <c r="N4" s="15">
        <v>2026</v>
      </c>
    </row>
    <row r="5" spans="1:14">
      <c r="A5" s="15">
        <v>4</v>
      </c>
      <c r="B5" s="118" t="s">
        <v>40</v>
      </c>
      <c r="C5" s="118" t="s">
        <v>48</v>
      </c>
      <c r="D5" s="15" t="s">
        <v>19</v>
      </c>
      <c r="E5" s="10" t="s">
        <v>77</v>
      </c>
      <c r="F5" s="10"/>
      <c r="G5" s="15" t="s">
        <v>21</v>
      </c>
      <c r="H5" s="22" t="s">
        <v>398</v>
      </c>
      <c r="I5" s="119">
        <f>2000000/1540</f>
        <v>1298.7012987012988</v>
      </c>
      <c r="J5" s="15" t="s">
        <v>14</v>
      </c>
      <c r="K5" s="16" t="s">
        <v>14</v>
      </c>
      <c r="L5" s="18" t="s">
        <v>14</v>
      </c>
      <c r="M5" s="134" t="s">
        <v>197</v>
      </c>
      <c r="N5" s="15">
        <v>2026</v>
      </c>
    </row>
    <row r="6" spans="1:14">
      <c r="A6" s="15">
        <v>5</v>
      </c>
      <c r="B6" s="118" t="s">
        <v>50</v>
      </c>
      <c r="C6" s="118" t="s">
        <v>60</v>
      </c>
      <c r="D6" s="15" t="s">
        <v>19</v>
      </c>
      <c r="E6" s="10" t="s">
        <v>77</v>
      </c>
      <c r="F6" s="10"/>
      <c r="G6" s="15" t="s">
        <v>21</v>
      </c>
      <c r="H6" s="22" t="s">
        <v>398</v>
      </c>
      <c r="I6" s="119">
        <f>7000000/1540</f>
        <v>4545.454545454545</v>
      </c>
      <c r="J6" s="15" t="s">
        <v>14</v>
      </c>
      <c r="K6" s="16" t="s">
        <v>14</v>
      </c>
      <c r="L6" s="18" t="s">
        <v>14</v>
      </c>
      <c r="M6" s="134" t="s">
        <v>197</v>
      </c>
      <c r="N6" s="15">
        <v>2026</v>
      </c>
    </row>
  </sheetData>
  <conditionalFormatting sqref="L2:L6">
    <cfRule type="duplicateValues" dxfId="3" priority="275"/>
  </conditionalFormatting>
  <dataValidations count="1">
    <dataValidation type="list" allowBlank="1" showInputMessage="1" showErrorMessage="1" sqref="C2" xr:uid="{00000000-0002-0000-05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List!$P$2:$P$11</xm:f>
          </x14:formula1>
          <xm:sqref>B2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N3"/>
  <sheetViews>
    <sheetView workbookViewId="0">
      <selection activeCell="A2" sqref="A2:N3"/>
    </sheetView>
  </sheetViews>
  <sheetFormatPr defaultColWidth="9" defaultRowHeight="14.5"/>
  <cols>
    <col min="1" max="1" width="5.36328125" customWidth="1"/>
    <col min="2" max="2" width="9.1796875" bestFit="1" customWidth="1"/>
    <col min="3" max="3" width="10.36328125" bestFit="1" customWidth="1"/>
    <col min="4" max="4" width="9" customWidth="1"/>
    <col min="5" max="5" width="21.453125" customWidth="1"/>
    <col min="6" max="6" width="10.1796875" customWidth="1"/>
    <col min="7" max="7" width="7" bestFit="1" customWidth="1"/>
    <col min="8" max="8" width="21.453125" customWidth="1"/>
    <col min="9" max="9" width="18.08984375" customWidth="1"/>
    <col min="10" max="10" width="10.08984375" customWidth="1"/>
    <col min="11" max="11" width="11.1796875" customWidth="1"/>
    <col min="12" max="12" width="10.54296875" customWidth="1"/>
    <col min="13" max="13" width="6.54296875" customWidth="1"/>
    <col min="14" max="14" width="4.81640625" customWidth="1"/>
  </cols>
  <sheetData>
    <row r="1" spans="1:14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4">
      <c r="A2" s="15">
        <v>1</v>
      </c>
      <c r="B2" s="141" t="s">
        <v>27</v>
      </c>
      <c r="C2" s="142" t="s">
        <v>28</v>
      </c>
      <c r="D2" s="15" t="s">
        <v>58</v>
      </c>
      <c r="E2" s="15" t="s">
        <v>61</v>
      </c>
      <c r="F2" s="15"/>
      <c r="G2" s="15" t="s">
        <v>21</v>
      </c>
      <c r="H2" s="15" t="s">
        <v>61</v>
      </c>
      <c r="I2" s="21">
        <f>15500000/1540</f>
        <v>10064.935064935065</v>
      </c>
      <c r="J2" s="16" t="s">
        <v>14</v>
      </c>
      <c r="K2" s="16" t="s">
        <v>14</v>
      </c>
      <c r="L2" s="18" t="s">
        <v>14</v>
      </c>
      <c r="M2" s="117" t="s">
        <v>197</v>
      </c>
      <c r="N2" s="15">
        <v>2026</v>
      </c>
    </row>
    <row r="3" spans="1:14">
      <c r="A3" s="15">
        <v>2</v>
      </c>
      <c r="B3" s="118" t="s">
        <v>50</v>
      </c>
      <c r="C3" s="118" t="s">
        <v>51</v>
      </c>
      <c r="D3" s="15" t="s">
        <v>58</v>
      </c>
      <c r="E3" s="15" t="s">
        <v>61</v>
      </c>
      <c r="F3" s="15"/>
      <c r="G3" s="15" t="s">
        <v>21</v>
      </c>
      <c r="H3" s="15" t="s">
        <v>61</v>
      </c>
      <c r="I3" s="21">
        <f>5000000/1540</f>
        <v>3246.7532467532469</v>
      </c>
      <c r="J3" s="16" t="s">
        <v>14</v>
      </c>
      <c r="K3" s="16" t="s">
        <v>14</v>
      </c>
      <c r="L3" s="18" t="s">
        <v>14</v>
      </c>
      <c r="M3" s="117" t="s">
        <v>197</v>
      </c>
      <c r="N3" s="15">
        <v>2026</v>
      </c>
    </row>
  </sheetData>
  <conditionalFormatting sqref="L2:L3">
    <cfRule type="duplicateValues" dxfId="2" priority="277"/>
  </conditionalFormatting>
  <dataValidations count="1">
    <dataValidation type="list" allowBlank="1" showInputMessage="1" showErrorMessage="1" sqref="C2" xr:uid="{00000000-0002-0000-0600-000000000000}">
      <formula1>Level_2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N11"/>
  <sheetViews>
    <sheetView topLeftCell="E1" workbookViewId="0">
      <selection activeCell="A2" sqref="A2:N11"/>
    </sheetView>
  </sheetViews>
  <sheetFormatPr defaultColWidth="9" defaultRowHeight="14.5"/>
  <cols>
    <col min="1" max="1" width="5.54296875" bestFit="1" customWidth="1"/>
    <col min="2" max="2" width="7.1796875" bestFit="1" customWidth="1"/>
    <col min="3" max="3" width="9.54296875" bestFit="1" customWidth="1"/>
    <col min="4" max="4" width="9.1796875" bestFit="1" customWidth="1"/>
    <col min="5" max="5" width="14.54296875" bestFit="1" customWidth="1"/>
    <col min="6" max="6" width="10.54296875" bestFit="1" customWidth="1"/>
    <col min="7" max="7" width="26.36328125" bestFit="1" customWidth="1"/>
    <col min="8" max="8" width="37" bestFit="1" customWidth="1"/>
    <col min="9" max="9" width="18.6328125" bestFit="1" customWidth="1"/>
    <col min="10" max="10" width="11" bestFit="1" customWidth="1"/>
    <col min="11" max="11" width="11.453125" bestFit="1" customWidth="1"/>
    <col min="12" max="12" width="10.81640625" bestFit="1" customWidth="1"/>
    <col min="13" max="13" width="6.81640625" bestFit="1" customWidth="1"/>
    <col min="14" max="14" width="5" bestFit="1" customWidth="1"/>
  </cols>
  <sheetData>
    <row r="1" spans="1:14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4">
      <c r="A2" s="15">
        <v>1</v>
      </c>
      <c r="B2" s="15" t="s">
        <v>56</v>
      </c>
      <c r="C2" s="16" t="s">
        <v>57</v>
      </c>
      <c r="D2" s="15" t="s">
        <v>58</v>
      </c>
      <c r="E2" s="15" t="s">
        <v>80</v>
      </c>
      <c r="F2" s="15"/>
      <c r="G2" s="15" t="s">
        <v>21</v>
      </c>
      <c r="H2" s="15" t="s">
        <v>429</v>
      </c>
      <c r="I2" s="17">
        <f>3000000/1430</f>
        <v>2097.9020979020979</v>
      </c>
      <c r="J2" s="16" t="s">
        <v>14</v>
      </c>
      <c r="K2" s="16" t="s">
        <v>14</v>
      </c>
      <c r="L2" s="18" t="s">
        <v>14</v>
      </c>
      <c r="M2" s="70" t="s">
        <v>197</v>
      </c>
      <c r="N2" s="15">
        <v>2026</v>
      </c>
    </row>
    <row r="3" spans="1:14">
      <c r="A3" s="15">
        <v>2</v>
      </c>
      <c r="B3" s="15" t="s">
        <v>56</v>
      </c>
      <c r="C3" s="16" t="s">
        <v>57</v>
      </c>
      <c r="D3" s="15" t="s">
        <v>58</v>
      </c>
      <c r="E3" s="15" t="s">
        <v>80</v>
      </c>
      <c r="F3" s="15"/>
      <c r="G3" s="15" t="s">
        <v>21</v>
      </c>
      <c r="H3" s="15" t="s">
        <v>430</v>
      </c>
      <c r="I3" s="17">
        <f>5000000/1430</f>
        <v>3496.5034965034965</v>
      </c>
      <c r="J3" s="16" t="s">
        <v>14</v>
      </c>
      <c r="K3" s="16" t="s">
        <v>14</v>
      </c>
      <c r="L3" s="18" t="s">
        <v>14</v>
      </c>
      <c r="M3" s="70" t="s">
        <v>197</v>
      </c>
      <c r="N3" s="15">
        <v>2026</v>
      </c>
    </row>
    <row r="4" spans="1:14">
      <c r="A4" s="15">
        <v>3</v>
      </c>
      <c r="B4" s="15" t="s">
        <v>56</v>
      </c>
      <c r="C4" s="16" t="s">
        <v>57</v>
      </c>
      <c r="D4" s="15" t="s">
        <v>58</v>
      </c>
      <c r="E4" s="15" t="s">
        <v>80</v>
      </c>
      <c r="F4" s="15"/>
      <c r="G4" s="15" t="s">
        <v>21</v>
      </c>
      <c r="H4" s="15" t="s">
        <v>431</v>
      </c>
      <c r="I4" s="17">
        <v>2000</v>
      </c>
      <c r="J4" s="16" t="s">
        <v>14</v>
      </c>
      <c r="K4" s="16" t="s">
        <v>14</v>
      </c>
      <c r="L4" s="18" t="s">
        <v>14</v>
      </c>
      <c r="M4" s="70" t="s">
        <v>197</v>
      </c>
      <c r="N4" s="15">
        <v>2026</v>
      </c>
    </row>
    <row r="5" spans="1:14">
      <c r="A5" s="15">
        <v>4</v>
      </c>
      <c r="B5" s="15" t="s">
        <v>56</v>
      </c>
      <c r="C5" s="16" t="s">
        <v>57</v>
      </c>
      <c r="D5" s="15" t="s">
        <v>58</v>
      </c>
      <c r="E5" s="15" t="s">
        <v>80</v>
      </c>
      <c r="F5" s="15"/>
      <c r="G5" s="15" t="s">
        <v>21</v>
      </c>
      <c r="H5" s="10" t="s">
        <v>432</v>
      </c>
      <c r="I5" s="19">
        <f>1250000/1430</f>
        <v>874.12587412587413</v>
      </c>
      <c r="J5" s="16" t="s">
        <v>14</v>
      </c>
      <c r="K5" s="16" t="s">
        <v>14</v>
      </c>
      <c r="L5" s="18" t="s">
        <v>14</v>
      </c>
      <c r="M5" s="70" t="s">
        <v>197</v>
      </c>
      <c r="N5" s="15">
        <v>2026</v>
      </c>
    </row>
    <row r="6" spans="1:14">
      <c r="A6" s="15">
        <v>5</v>
      </c>
      <c r="B6" s="15" t="s">
        <v>56</v>
      </c>
      <c r="C6" s="16" t="s">
        <v>57</v>
      </c>
      <c r="D6" s="15" t="s">
        <v>58</v>
      </c>
      <c r="E6" s="15" t="s">
        <v>80</v>
      </c>
      <c r="F6" s="15"/>
      <c r="G6" s="15" t="s">
        <v>21</v>
      </c>
      <c r="H6" s="10" t="s">
        <v>433</v>
      </c>
      <c r="I6" s="19">
        <v>4500</v>
      </c>
      <c r="J6" s="16" t="s">
        <v>14</v>
      </c>
      <c r="K6" s="16" t="s">
        <v>14</v>
      </c>
      <c r="L6" s="18" t="s">
        <v>14</v>
      </c>
      <c r="M6" s="70" t="s">
        <v>197</v>
      </c>
      <c r="N6" s="15">
        <v>2026</v>
      </c>
    </row>
    <row r="7" spans="1:14">
      <c r="A7" s="15">
        <v>6</v>
      </c>
      <c r="B7" s="15" t="s">
        <v>56</v>
      </c>
      <c r="C7" s="16" t="s">
        <v>57</v>
      </c>
      <c r="D7" s="15" t="s">
        <v>58</v>
      </c>
      <c r="E7" s="15" t="s">
        <v>80</v>
      </c>
      <c r="F7" s="15"/>
      <c r="G7" s="15" t="s">
        <v>21</v>
      </c>
      <c r="H7" s="10" t="s">
        <v>434</v>
      </c>
      <c r="I7" s="19">
        <v>6000</v>
      </c>
      <c r="J7" s="16" t="s">
        <v>14</v>
      </c>
      <c r="K7" s="16" t="s">
        <v>14</v>
      </c>
      <c r="L7" s="18" t="s">
        <v>14</v>
      </c>
      <c r="M7" s="70" t="s">
        <v>197</v>
      </c>
      <c r="N7" s="15">
        <v>2026</v>
      </c>
    </row>
    <row r="8" spans="1:14">
      <c r="A8" s="15">
        <v>7</v>
      </c>
      <c r="B8" s="15" t="s">
        <v>56</v>
      </c>
      <c r="C8" s="16" t="s">
        <v>57</v>
      </c>
      <c r="D8" s="15" t="s">
        <v>58</v>
      </c>
      <c r="E8" s="15" t="s">
        <v>80</v>
      </c>
      <c r="F8" s="15"/>
      <c r="G8" s="15" t="s">
        <v>21</v>
      </c>
      <c r="H8" s="143" t="s">
        <v>735</v>
      </c>
      <c r="I8" s="19">
        <f>2500000/1490</f>
        <v>1677.8523489932886</v>
      </c>
      <c r="J8" s="16" t="s">
        <v>14</v>
      </c>
      <c r="K8" s="16" t="s">
        <v>14</v>
      </c>
      <c r="L8" s="18" t="s">
        <v>14</v>
      </c>
      <c r="M8" s="70" t="s">
        <v>197</v>
      </c>
      <c r="N8" s="15">
        <v>2026</v>
      </c>
    </row>
    <row r="9" spans="1:14">
      <c r="A9" s="15">
        <v>8</v>
      </c>
      <c r="B9" s="15" t="s">
        <v>56</v>
      </c>
      <c r="C9" s="16" t="s">
        <v>57</v>
      </c>
      <c r="D9" s="15" t="s">
        <v>58</v>
      </c>
      <c r="E9" s="15" t="s">
        <v>80</v>
      </c>
      <c r="F9" s="15"/>
      <c r="G9" s="15" t="s">
        <v>21</v>
      </c>
      <c r="H9" s="143" t="s">
        <v>736</v>
      </c>
      <c r="I9" s="19">
        <v>1500</v>
      </c>
      <c r="J9" s="16" t="s">
        <v>14</v>
      </c>
      <c r="K9" s="16" t="s">
        <v>14</v>
      </c>
      <c r="L9" s="18" t="s">
        <v>14</v>
      </c>
      <c r="M9" s="70" t="s">
        <v>197</v>
      </c>
      <c r="N9" s="15">
        <v>2026</v>
      </c>
    </row>
    <row r="10" spans="1:14">
      <c r="A10" s="15">
        <v>9</v>
      </c>
      <c r="B10" s="15" t="s">
        <v>56</v>
      </c>
      <c r="C10" s="16" t="s">
        <v>57</v>
      </c>
      <c r="D10" s="15" t="s">
        <v>58</v>
      </c>
      <c r="E10" s="15" t="s">
        <v>80</v>
      </c>
      <c r="F10" s="15"/>
      <c r="G10" s="10" t="s">
        <v>81</v>
      </c>
      <c r="H10" s="10" t="s">
        <v>435</v>
      </c>
      <c r="I10" s="20">
        <v>2520</v>
      </c>
      <c r="J10" s="15" t="s">
        <v>399</v>
      </c>
      <c r="K10" s="16">
        <v>46081</v>
      </c>
      <c r="L10" s="18" t="s">
        <v>14</v>
      </c>
      <c r="M10" s="70" t="s">
        <v>197</v>
      </c>
      <c r="N10" s="15">
        <v>2026</v>
      </c>
    </row>
    <row r="11" spans="1:14">
      <c r="A11" s="15">
        <v>10</v>
      </c>
      <c r="B11" s="15" t="s">
        <v>56</v>
      </c>
      <c r="C11" s="16" t="s">
        <v>57</v>
      </c>
      <c r="D11" s="15" t="s">
        <v>58</v>
      </c>
      <c r="E11" s="15" t="s">
        <v>80</v>
      </c>
      <c r="F11" s="10"/>
      <c r="G11" s="10" t="s">
        <v>426</v>
      </c>
      <c r="H11" s="10" t="s">
        <v>428</v>
      </c>
      <c r="I11" s="20">
        <v>750</v>
      </c>
      <c r="J11" s="10" t="s">
        <v>427</v>
      </c>
      <c r="K11" s="16">
        <v>46090</v>
      </c>
      <c r="L11" s="18" t="s">
        <v>14</v>
      </c>
      <c r="M11" s="70" t="s">
        <v>197</v>
      </c>
      <c r="N11" s="15">
        <v>2026</v>
      </c>
    </row>
  </sheetData>
  <conditionalFormatting sqref="L2:L11">
    <cfRule type="duplicateValues" dxfId="1" priority="1"/>
  </conditionalFormatting>
  <dataValidations count="1">
    <dataValidation type="list" allowBlank="1" showInputMessage="1" showErrorMessage="1" sqref="C2:C11" xr:uid="{00000000-0002-0000-0700-000000000000}">
      <formula1>Level_2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N426"/>
  <sheetViews>
    <sheetView topLeftCell="F69" workbookViewId="0">
      <selection activeCell="A2" sqref="A2:N86"/>
    </sheetView>
  </sheetViews>
  <sheetFormatPr defaultColWidth="9" defaultRowHeight="14.5"/>
  <cols>
    <col min="1" max="1" width="7.6328125" customWidth="1"/>
    <col min="2" max="2" width="9.36328125" customWidth="1"/>
    <col min="3" max="3" width="10.6328125" customWidth="1"/>
    <col min="4" max="4" width="11.1796875" customWidth="1"/>
    <col min="5" max="5" width="29" customWidth="1"/>
    <col min="6" max="6" width="12.36328125" customWidth="1"/>
    <col min="7" max="7" width="28.6328125" customWidth="1"/>
    <col min="8" max="8" width="21.08984375" customWidth="1"/>
    <col min="9" max="9" width="20.1796875" style="7" customWidth="1"/>
    <col min="10" max="10" width="12.36328125" customWidth="1"/>
    <col min="11" max="11" width="13.36328125" customWidth="1"/>
    <col min="12" max="12" width="12.81640625" customWidth="1"/>
    <col min="13" max="13" width="8.81640625" customWidth="1"/>
    <col min="14" max="14" width="6.816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">
        <v>1</v>
      </c>
      <c r="B2" s="30" t="s">
        <v>59</v>
      </c>
      <c r="C2" s="30" t="s">
        <v>60</v>
      </c>
      <c r="D2" s="4" t="s">
        <v>19</v>
      </c>
      <c r="E2" s="4" t="s">
        <v>82</v>
      </c>
      <c r="F2" s="4"/>
      <c r="G2" s="4" t="s">
        <v>89</v>
      </c>
      <c r="H2" s="4" t="s">
        <v>86</v>
      </c>
      <c r="I2" s="6">
        <v>2080</v>
      </c>
      <c r="J2" s="4" t="s">
        <v>14</v>
      </c>
      <c r="K2" s="4" t="s">
        <v>14</v>
      </c>
      <c r="L2" s="4" t="s">
        <v>14</v>
      </c>
      <c r="M2" s="130" t="s">
        <v>197</v>
      </c>
      <c r="N2">
        <v>2026</v>
      </c>
    </row>
    <row r="3" spans="1:14">
      <c r="A3" s="4">
        <v>2</v>
      </c>
      <c r="B3" s="4" t="s">
        <v>17</v>
      </c>
      <c r="C3" s="30" t="s">
        <v>23</v>
      </c>
      <c r="D3" s="4" t="s">
        <v>19</v>
      </c>
      <c r="E3" s="4" t="s">
        <v>82</v>
      </c>
      <c r="F3" s="4"/>
      <c r="G3" s="4" t="s">
        <v>89</v>
      </c>
      <c r="H3" s="4" t="s">
        <v>86</v>
      </c>
      <c r="I3" s="6">
        <v>1620</v>
      </c>
      <c r="J3" s="4" t="s">
        <v>14</v>
      </c>
      <c r="K3" s="4" t="s">
        <v>14</v>
      </c>
      <c r="L3" s="4" t="s">
        <v>14</v>
      </c>
      <c r="M3" s="130" t="s">
        <v>197</v>
      </c>
      <c r="N3">
        <v>2026</v>
      </c>
    </row>
    <row r="4" spans="1:14">
      <c r="A4" s="4">
        <v>3</v>
      </c>
      <c r="B4" s="35" t="s">
        <v>52</v>
      </c>
      <c r="C4" s="4" t="s">
        <v>53</v>
      </c>
      <c r="D4" s="4" t="s">
        <v>19</v>
      </c>
      <c r="E4" s="4" t="s">
        <v>82</v>
      </c>
      <c r="F4" s="4"/>
      <c r="G4" s="64" t="s">
        <v>85</v>
      </c>
      <c r="H4" s="65" t="s">
        <v>264</v>
      </c>
      <c r="I4" s="6">
        <v>31874.999935064934</v>
      </c>
      <c r="J4" s="4" t="s">
        <v>14</v>
      </c>
      <c r="K4" s="4" t="s">
        <v>14</v>
      </c>
      <c r="L4" s="4" t="s">
        <v>14</v>
      </c>
      <c r="M4" s="130" t="s">
        <v>197</v>
      </c>
      <c r="N4">
        <v>2026</v>
      </c>
    </row>
    <row r="5" spans="1:14">
      <c r="A5" s="4">
        <v>4</v>
      </c>
      <c r="B5" s="35" t="s">
        <v>40</v>
      </c>
      <c r="C5" s="4" t="s">
        <v>41</v>
      </c>
      <c r="D5" s="4" t="s">
        <v>19</v>
      </c>
      <c r="E5" s="4" t="s">
        <v>82</v>
      </c>
      <c r="F5" s="4"/>
      <c r="G5" s="64" t="s">
        <v>85</v>
      </c>
      <c r="H5" s="65" t="s">
        <v>264</v>
      </c>
      <c r="I5" s="6">
        <v>2405.0949155844155</v>
      </c>
      <c r="J5" s="4" t="s">
        <v>14</v>
      </c>
      <c r="K5" s="4" t="s">
        <v>14</v>
      </c>
      <c r="L5" s="4" t="s">
        <v>14</v>
      </c>
      <c r="M5" s="130" t="s">
        <v>197</v>
      </c>
      <c r="N5">
        <v>2026</v>
      </c>
    </row>
    <row r="6" spans="1:14">
      <c r="A6" s="4">
        <v>5</v>
      </c>
      <c r="B6" s="35" t="s">
        <v>33</v>
      </c>
      <c r="C6" s="4" t="s">
        <v>34</v>
      </c>
      <c r="D6" s="4" t="s">
        <v>19</v>
      </c>
      <c r="E6" s="4" t="s">
        <v>82</v>
      </c>
      <c r="F6" s="4"/>
      <c r="G6" s="64" t="s">
        <v>85</v>
      </c>
      <c r="H6" s="65" t="s">
        <v>264</v>
      </c>
      <c r="I6" s="6">
        <v>239.76024025974027</v>
      </c>
      <c r="J6" s="4" t="s">
        <v>14</v>
      </c>
      <c r="K6" s="4" t="s">
        <v>14</v>
      </c>
      <c r="L6" s="4" t="s">
        <v>14</v>
      </c>
      <c r="M6" s="130" t="s">
        <v>197</v>
      </c>
      <c r="N6">
        <v>2026</v>
      </c>
    </row>
    <row r="7" spans="1:14">
      <c r="A7" s="4">
        <v>6</v>
      </c>
      <c r="B7" s="35" t="s">
        <v>40</v>
      </c>
      <c r="C7" s="4" t="s">
        <v>42</v>
      </c>
      <c r="D7" s="4" t="s">
        <v>19</v>
      </c>
      <c r="E7" s="4" t="s">
        <v>82</v>
      </c>
      <c r="F7" s="4"/>
      <c r="G7" s="64" t="s">
        <v>85</v>
      </c>
      <c r="H7" s="65" t="s">
        <v>264</v>
      </c>
      <c r="I7" s="6">
        <v>571.21940259740256</v>
      </c>
      <c r="J7" s="4" t="s">
        <v>14</v>
      </c>
      <c r="K7" s="4" t="s">
        <v>14</v>
      </c>
      <c r="L7" s="4" t="s">
        <v>14</v>
      </c>
      <c r="M7" s="130" t="s">
        <v>197</v>
      </c>
      <c r="N7">
        <v>2026</v>
      </c>
    </row>
    <row r="8" spans="1:14">
      <c r="A8" s="4">
        <v>7</v>
      </c>
      <c r="B8" s="35" t="s">
        <v>40</v>
      </c>
      <c r="C8" s="4" t="s">
        <v>43</v>
      </c>
      <c r="D8" s="4" t="s">
        <v>19</v>
      </c>
      <c r="E8" s="4" t="s">
        <v>82</v>
      </c>
      <c r="F8" s="4"/>
      <c r="G8" s="64" t="s">
        <v>85</v>
      </c>
      <c r="H8" s="65" t="s">
        <v>264</v>
      </c>
      <c r="I8" s="6">
        <v>11933.316720779221</v>
      </c>
      <c r="J8" s="4" t="s">
        <v>14</v>
      </c>
      <c r="K8" s="4" t="s">
        <v>14</v>
      </c>
      <c r="L8" s="4" t="s">
        <v>14</v>
      </c>
      <c r="M8" s="130" t="s">
        <v>197</v>
      </c>
      <c r="N8">
        <v>2026</v>
      </c>
    </row>
    <row r="9" spans="1:14">
      <c r="A9" s="4">
        <v>8</v>
      </c>
      <c r="B9" s="35" t="s">
        <v>31</v>
      </c>
      <c r="C9" s="4" t="s">
        <v>234</v>
      </c>
      <c r="D9" s="4" t="s">
        <v>19</v>
      </c>
      <c r="E9" s="4" t="s">
        <v>82</v>
      </c>
      <c r="F9" s="4"/>
      <c r="G9" s="64" t="s">
        <v>85</v>
      </c>
      <c r="H9" s="65" t="s">
        <v>264</v>
      </c>
      <c r="I9" s="6">
        <v>6964.1608311688306</v>
      </c>
      <c r="J9" s="4" t="s">
        <v>14</v>
      </c>
      <c r="K9" s="4" t="s">
        <v>14</v>
      </c>
      <c r="L9" s="4" t="s">
        <v>14</v>
      </c>
      <c r="M9" s="130" t="s">
        <v>197</v>
      </c>
      <c r="N9">
        <v>2026</v>
      </c>
    </row>
    <row r="10" spans="1:14">
      <c r="A10" s="4">
        <v>9</v>
      </c>
      <c r="B10" s="35" t="s">
        <v>50</v>
      </c>
      <c r="C10" s="4" t="s">
        <v>51</v>
      </c>
      <c r="D10" s="4" t="s">
        <v>19</v>
      </c>
      <c r="E10" s="4" t="s">
        <v>82</v>
      </c>
      <c r="F10" s="4"/>
      <c r="G10" s="64" t="s">
        <v>85</v>
      </c>
      <c r="H10" s="65" t="s">
        <v>264</v>
      </c>
      <c r="I10" s="6">
        <v>30426.074032467532</v>
      </c>
      <c r="J10" s="4" t="s">
        <v>14</v>
      </c>
      <c r="K10" s="4" t="s">
        <v>14</v>
      </c>
      <c r="L10" s="4" t="s">
        <v>14</v>
      </c>
      <c r="M10" s="130" t="s">
        <v>197</v>
      </c>
      <c r="N10">
        <v>2026</v>
      </c>
    </row>
    <row r="11" spans="1:14">
      <c r="A11" s="4">
        <v>10</v>
      </c>
      <c r="B11" s="35" t="s">
        <v>17</v>
      </c>
      <c r="C11" s="4" t="s">
        <v>22</v>
      </c>
      <c r="D11" s="4" t="s">
        <v>19</v>
      </c>
      <c r="E11" s="4" t="s">
        <v>82</v>
      </c>
      <c r="F11" s="4"/>
      <c r="G11" s="64" t="s">
        <v>85</v>
      </c>
      <c r="H11" s="65" t="s">
        <v>264</v>
      </c>
      <c r="I11" s="6">
        <v>217.28271428571429</v>
      </c>
      <c r="J11" s="4" t="s">
        <v>14</v>
      </c>
      <c r="K11" s="4" t="s">
        <v>14</v>
      </c>
      <c r="L11" s="4" t="s">
        <v>14</v>
      </c>
      <c r="M11" s="130" t="s">
        <v>197</v>
      </c>
      <c r="N11">
        <v>2026</v>
      </c>
    </row>
    <row r="12" spans="1:14">
      <c r="A12" s="4">
        <v>11</v>
      </c>
      <c r="B12" s="35" t="s">
        <v>40</v>
      </c>
      <c r="C12" s="4" t="s">
        <v>45</v>
      </c>
      <c r="D12" s="4" t="s">
        <v>19</v>
      </c>
      <c r="E12" s="4" t="s">
        <v>82</v>
      </c>
      <c r="F12" s="4"/>
      <c r="G12" s="113" t="s">
        <v>85</v>
      </c>
      <c r="H12" s="65" t="s">
        <v>264</v>
      </c>
      <c r="I12" s="6">
        <v>772.85215584415585</v>
      </c>
      <c r="J12" s="4" t="s">
        <v>14</v>
      </c>
      <c r="K12" s="4" t="s">
        <v>14</v>
      </c>
      <c r="L12" s="4" t="s">
        <v>14</v>
      </c>
      <c r="M12" s="130" t="s">
        <v>197</v>
      </c>
      <c r="N12">
        <v>2026</v>
      </c>
    </row>
    <row r="13" spans="1:14">
      <c r="A13" s="4">
        <v>12</v>
      </c>
      <c r="B13" s="35" t="s">
        <v>40</v>
      </c>
      <c r="C13" s="4" t="s">
        <v>247</v>
      </c>
      <c r="D13" s="4" t="s">
        <v>19</v>
      </c>
      <c r="E13" s="4" t="s">
        <v>82</v>
      </c>
      <c r="F13" s="4"/>
      <c r="G13" s="113" t="s">
        <v>85</v>
      </c>
      <c r="H13" s="65" t="s">
        <v>264</v>
      </c>
      <c r="I13" s="6">
        <v>1421.9842662337662</v>
      </c>
      <c r="J13" s="4" t="s">
        <v>14</v>
      </c>
      <c r="K13" s="4" t="s">
        <v>14</v>
      </c>
      <c r="L13" s="4" t="s">
        <v>14</v>
      </c>
      <c r="M13" s="130" t="s">
        <v>197</v>
      </c>
      <c r="N13">
        <v>2026</v>
      </c>
    </row>
    <row r="14" spans="1:14">
      <c r="A14" s="4">
        <v>13</v>
      </c>
      <c r="B14" s="35" t="s">
        <v>40</v>
      </c>
      <c r="C14" s="4" t="s">
        <v>48</v>
      </c>
      <c r="D14" s="4" t="s">
        <v>19</v>
      </c>
      <c r="E14" s="4" t="s">
        <v>82</v>
      </c>
      <c r="F14" s="4"/>
      <c r="G14" s="130" t="s">
        <v>85</v>
      </c>
      <c r="H14" s="65" t="s">
        <v>264</v>
      </c>
      <c r="I14" s="6">
        <v>21335.82051948052</v>
      </c>
      <c r="J14" s="4" t="s">
        <v>14</v>
      </c>
      <c r="K14" s="4" t="s">
        <v>14</v>
      </c>
      <c r="L14" s="4" t="s">
        <v>14</v>
      </c>
      <c r="M14" s="130" t="s">
        <v>197</v>
      </c>
      <c r="N14">
        <v>2026</v>
      </c>
    </row>
    <row r="15" spans="1:14">
      <c r="A15" s="4">
        <v>14</v>
      </c>
      <c r="B15" s="35" t="s">
        <v>17</v>
      </c>
      <c r="C15" s="4" t="s">
        <v>25</v>
      </c>
      <c r="D15" s="4" t="s">
        <v>19</v>
      </c>
      <c r="E15" s="4" t="s">
        <v>82</v>
      </c>
      <c r="F15" s="4"/>
      <c r="G15" s="130" t="s">
        <v>85</v>
      </c>
      <c r="H15" s="65" t="s">
        <v>264</v>
      </c>
      <c r="I15" s="6">
        <v>1873.7824675324675</v>
      </c>
      <c r="J15" s="4" t="s">
        <v>14</v>
      </c>
      <c r="K15" s="4" t="s">
        <v>14</v>
      </c>
      <c r="L15" s="4" t="s">
        <v>14</v>
      </c>
      <c r="M15" s="130" t="s">
        <v>197</v>
      </c>
      <c r="N15">
        <v>2026</v>
      </c>
    </row>
    <row r="16" spans="1:14">
      <c r="A16" s="4">
        <v>15</v>
      </c>
      <c r="B16" s="35" t="s">
        <v>17</v>
      </c>
      <c r="C16" s="4" t="s">
        <v>18</v>
      </c>
      <c r="D16" s="4" t="s">
        <v>19</v>
      </c>
      <c r="E16" s="4" t="s">
        <v>82</v>
      </c>
      <c r="F16" s="4"/>
      <c r="G16" s="34" t="s">
        <v>84</v>
      </c>
      <c r="H16" s="65" t="s">
        <v>264</v>
      </c>
      <c r="I16" s="6">
        <v>31379.495415584413</v>
      </c>
      <c r="J16" s="4" t="s">
        <v>14</v>
      </c>
      <c r="K16" s="4" t="s">
        <v>14</v>
      </c>
      <c r="L16" s="4" t="s">
        <v>14</v>
      </c>
      <c r="M16" s="130" t="s">
        <v>197</v>
      </c>
      <c r="N16">
        <v>2026</v>
      </c>
    </row>
    <row r="17" spans="1:14">
      <c r="A17" s="4">
        <v>16</v>
      </c>
      <c r="B17" s="35" t="s">
        <v>52</v>
      </c>
      <c r="C17" s="4" t="s">
        <v>53</v>
      </c>
      <c r="D17" s="4" t="s">
        <v>19</v>
      </c>
      <c r="E17" s="4" t="s">
        <v>82</v>
      </c>
      <c r="F17" s="4"/>
      <c r="G17" s="34" t="s">
        <v>84</v>
      </c>
      <c r="H17" s="65" t="s">
        <v>264</v>
      </c>
      <c r="I17" s="6">
        <v>196.92807142857143</v>
      </c>
      <c r="J17" s="4" t="s">
        <v>14</v>
      </c>
      <c r="K17" s="4" t="s">
        <v>14</v>
      </c>
      <c r="L17" s="4" t="s">
        <v>14</v>
      </c>
      <c r="M17" s="130" t="s">
        <v>197</v>
      </c>
      <c r="N17">
        <v>2026</v>
      </c>
    </row>
    <row r="18" spans="1:14">
      <c r="A18" s="4">
        <v>17</v>
      </c>
      <c r="B18" s="35" t="s">
        <v>33</v>
      </c>
      <c r="C18" s="4" t="s">
        <v>34</v>
      </c>
      <c r="D18" s="4" t="s">
        <v>19</v>
      </c>
      <c r="E18" s="4" t="s">
        <v>82</v>
      </c>
      <c r="F18" s="4"/>
      <c r="G18" s="34" t="s">
        <v>84</v>
      </c>
      <c r="H18" s="65" t="s">
        <v>264</v>
      </c>
      <c r="I18" s="6">
        <v>2657.3426493506495</v>
      </c>
      <c r="J18" s="4" t="s">
        <v>14</v>
      </c>
      <c r="K18" s="4" t="s">
        <v>14</v>
      </c>
      <c r="L18" s="4" t="s">
        <v>14</v>
      </c>
      <c r="M18" s="130" t="s">
        <v>197</v>
      </c>
      <c r="N18">
        <v>2026</v>
      </c>
    </row>
    <row r="19" spans="1:14">
      <c r="A19" s="4">
        <v>18</v>
      </c>
      <c r="B19" s="35" t="s">
        <v>33</v>
      </c>
      <c r="C19" s="4" t="s">
        <v>35</v>
      </c>
      <c r="D19" s="4" t="s">
        <v>19</v>
      </c>
      <c r="E19" s="4" t="s">
        <v>82</v>
      </c>
      <c r="F19" s="4"/>
      <c r="G19" s="34" t="s">
        <v>84</v>
      </c>
      <c r="H19" s="65" t="s">
        <v>264</v>
      </c>
      <c r="I19" s="6">
        <v>15359.140915584416</v>
      </c>
      <c r="J19" s="4" t="s">
        <v>14</v>
      </c>
      <c r="K19" s="4" t="s">
        <v>14</v>
      </c>
      <c r="L19" s="4" t="s">
        <v>14</v>
      </c>
      <c r="M19" s="130" t="s">
        <v>197</v>
      </c>
      <c r="N19">
        <v>2026</v>
      </c>
    </row>
    <row r="20" spans="1:14">
      <c r="A20" s="4">
        <v>19</v>
      </c>
      <c r="B20" s="35" t="s">
        <v>40</v>
      </c>
      <c r="C20" s="4" t="s">
        <v>43</v>
      </c>
      <c r="D20" s="4" t="s">
        <v>19</v>
      </c>
      <c r="E20" s="4" t="s">
        <v>82</v>
      </c>
      <c r="F20" s="4"/>
      <c r="G20" s="34" t="s">
        <v>84</v>
      </c>
      <c r="H20" s="65" t="s">
        <v>264</v>
      </c>
      <c r="I20" s="6">
        <v>22668.081740259742</v>
      </c>
      <c r="J20" s="4" t="s">
        <v>14</v>
      </c>
      <c r="K20" s="4" t="s">
        <v>14</v>
      </c>
      <c r="L20" s="4" t="s">
        <v>14</v>
      </c>
      <c r="M20" s="130" t="s">
        <v>197</v>
      </c>
      <c r="N20">
        <v>2026</v>
      </c>
    </row>
    <row r="21" spans="1:14">
      <c r="A21" s="4">
        <v>20</v>
      </c>
      <c r="B21" s="35" t="s">
        <v>50</v>
      </c>
      <c r="C21" s="4" t="s">
        <v>51</v>
      </c>
      <c r="D21" s="4" t="s">
        <v>19</v>
      </c>
      <c r="E21" s="4" t="s">
        <v>82</v>
      </c>
      <c r="F21" s="4"/>
      <c r="G21" s="34" t="s">
        <v>84</v>
      </c>
      <c r="H21" s="65" t="s">
        <v>264</v>
      </c>
      <c r="I21" s="6">
        <v>59794.886097402603</v>
      </c>
      <c r="J21" s="4" t="s">
        <v>14</v>
      </c>
      <c r="K21" s="4" t="s">
        <v>14</v>
      </c>
      <c r="L21" s="4" t="s">
        <v>14</v>
      </c>
      <c r="M21" s="130" t="s">
        <v>197</v>
      </c>
      <c r="N21">
        <v>2026</v>
      </c>
    </row>
    <row r="22" spans="1:14">
      <c r="A22" s="4">
        <v>21</v>
      </c>
      <c r="B22" s="35" t="s">
        <v>17</v>
      </c>
      <c r="C22" s="4" t="s">
        <v>22</v>
      </c>
      <c r="D22" s="4" t="s">
        <v>19</v>
      </c>
      <c r="E22" s="4" t="s">
        <v>82</v>
      </c>
      <c r="F22" s="4"/>
      <c r="G22" s="34" t="s">
        <v>84</v>
      </c>
      <c r="H22" s="65" t="s">
        <v>264</v>
      </c>
      <c r="I22" s="6">
        <v>27883.379064935063</v>
      </c>
      <c r="J22" s="4" t="s">
        <v>14</v>
      </c>
      <c r="K22" s="4" t="s">
        <v>14</v>
      </c>
      <c r="L22" s="4" t="s">
        <v>14</v>
      </c>
      <c r="M22" s="130" t="s">
        <v>197</v>
      </c>
      <c r="N22">
        <v>2026</v>
      </c>
    </row>
    <row r="23" spans="1:14">
      <c r="A23" s="4">
        <v>22</v>
      </c>
      <c r="B23" s="35" t="s">
        <v>40</v>
      </c>
      <c r="C23" s="4" t="s">
        <v>45</v>
      </c>
      <c r="D23" s="4" t="s">
        <v>19</v>
      </c>
      <c r="E23" s="4" t="s">
        <v>82</v>
      </c>
      <c r="F23" s="4"/>
      <c r="G23" s="34" t="s">
        <v>84</v>
      </c>
      <c r="H23" s="65" t="s">
        <v>245</v>
      </c>
      <c r="I23" s="6">
        <v>17840.284636363634</v>
      </c>
      <c r="J23" s="4" t="s">
        <v>14</v>
      </c>
      <c r="K23" s="4" t="s">
        <v>14</v>
      </c>
      <c r="L23" s="4" t="s">
        <v>14</v>
      </c>
      <c r="M23" s="130" t="s">
        <v>197</v>
      </c>
      <c r="N23">
        <v>2026</v>
      </c>
    </row>
    <row r="24" spans="1:14">
      <c r="A24" s="4">
        <v>23</v>
      </c>
      <c r="B24" s="35" t="s">
        <v>17</v>
      </c>
      <c r="C24" s="4" t="s">
        <v>400</v>
      </c>
      <c r="D24" s="4" t="s">
        <v>19</v>
      </c>
      <c r="E24" s="4" t="s">
        <v>82</v>
      </c>
      <c r="F24" s="4"/>
      <c r="G24" s="34" t="s">
        <v>84</v>
      </c>
      <c r="H24" s="65" t="s">
        <v>245</v>
      </c>
      <c r="I24" s="6">
        <v>30189.06087012987</v>
      </c>
      <c r="J24" s="4" t="s">
        <v>14</v>
      </c>
      <c r="K24" s="4" t="s">
        <v>14</v>
      </c>
      <c r="L24" s="4" t="s">
        <v>14</v>
      </c>
      <c r="M24" s="130" t="s">
        <v>197</v>
      </c>
      <c r="N24">
        <v>2026</v>
      </c>
    </row>
    <row r="25" spans="1:14">
      <c r="A25" s="4">
        <v>24</v>
      </c>
      <c r="B25" s="35" t="s">
        <v>40</v>
      </c>
      <c r="C25" s="4" t="s">
        <v>247</v>
      </c>
      <c r="D25" s="4" t="s">
        <v>19</v>
      </c>
      <c r="E25" s="4" t="s">
        <v>82</v>
      </c>
      <c r="F25" s="4"/>
      <c r="G25" s="34" t="s">
        <v>84</v>
      </c>
      <c r="H25" s="65" t="s">
        <v>245</v>
      </c>
      <c r="I25" s="6">
        <v>3219.280707792208</v>
      </c>
      <c r="J25" s="4" t="s">
        <v>14</v>
      </c>
      <c r="K25" s="4" t="s">
        <v>14</v>
      </c>
      <c r="L25" s="4" t="s">
        <v>14</v>
      </c>
      <c r="M25" s="130" t="s">
        <v>197</v>
      </c>
      <c r="N25">
        <v>2026</v>
      </c>
    </row>
    <row r="26" spans="1:14">
      <c r="A26" s="4">
        <v>25</v>
      </c>
      <c r="B26" s="35" t="s">
        <v>40</v>
      </c>
      <c r="C26" s="4" t="s">
        <v>48</v>
      </c>
      <c r="D26" s="4" t="s">
        <v>19</v>
      </c>
      <c r="E26" s="4" t="s">
        <v>82</v>
      </c>
      <c r="F26" s="4"/>
      <c r="G26" s="130" t="s">
        <v>84</v>
      </c>
      <c r="H26" s="65" t="s">
        <v>245</v>
      </c>
      <c r="I26" s="6">
        <v>28148.716233766234</v>
      </c>
      <c r="J26" s="4" t="s">
        <v>14</v>
      </c>
      <c r="K26" s="4" t="s">
        <v>14</v>
      </c>
      <c r="L26" s="4" t="s">
        <v>14</v>
      </c>
      <c r="M26" s="130" t="s">
        <v>197</v>
      </c>
      <c r="N26">
        <v>2026</v>
      </c>
    </row>
    <row r="27" spans="1:14">
      <c r="A27" s="4">
        <v>26</v>
      </c>
      <c r="B27" s="35" t="s">
        <v>40</v>
      </c>
      <c r="C27" s="4" t="s">
        <v>47</v>
      </c>
      <c r="D27" s="4" t="s">
        <v>19</v>
      </c>
      <c r="E27" s="4" t="s">
        <v>82</v>
      </c>
      <c r="F27" s="4"/>
      <c r="G27" s="130" t="s">
        <v>84</v>
      </c>
      <c r="H27" s="65" t="s">
        <v>245</v>
      </c>
      <c r="I27" s="6">
        <v>521.97801948051949</v>
      </c>
      <c r="J27" s="4" t="s">
        <v>14</v>
      </c>
      <c r="K27" s="4" t="s">
        <v>14</v>
      </c>
      <c r="L27" s="4" t="s">
        <v>14</v>
      </c>
      <c r="M27" s="130" t="s">
        <v>197</v>
      </c>
      <c r="N27">
        <v>2026</v>
      </c>
    </row>
    <row r="28" spans="1:14">
      <c r="A28" s="4">
        <v>27</v>
      </c>
      <c r="B28" s="35" t="s">
        <v>17</v>
      </c>
      <c r="C28" s="4" t="s">
        <v>25</v>
      </c>
      <c r="D28" s="4" t="s">
        <v>19</v>
      </c>
      <c r="E28" s="4" t="s">
        <v>82</v>
      </c>
      <c r="F28" s="4"/>
      <c r="G28" s="130" t="s">
        <v>84</v>
      </c>
      <c r="H28" s="65" t="s">
        <v>245</v>
      </c>
      <c r="I28" s="6">
        <v>81521.177214285708</v>
      </c>
      <c r="J28" s="4" t="s">
        <v>14</v>
      </c>
      <c r="K28" s="4" t="s">
        <v>14</v>
      </c>
      <c r="L28" s="4" t="s">
        <v>14</v>
      </c>
      <c r="M28" s="130" t="s">
        <v>197</v>
      </c>
      <c r="N28">
        <v>2026</v>
      </c>
    </row>
    <row r="29" spans="1:14">
      <c r="A29" s="4">
        <v>28</v>
      </c>
      <c r="B29" s="35" t="s">
        <v>17</v>
      </c>
      <c r="C29" s="4" t="s">
        <v>18</v>
      </c>
      <c r="D29" s="4" t="s">
        <v>19</v>
      </c>
      <c r="E29" s="4" t="s">
        <v>82</v>
      </c>
      <c r="F29" s="4"/>
      <c r="G29" s="34" t="s">
        <v>83</v>
      </c>
      <c r="H29" s="65" t="s">
        <v>245</v>
      </c>
      <c r="I29" s="6">
        <v>9879.6003376623376</v>
      </c>
      <c r="J29" s="4" t="s">
        <v>14</v>
      </c>
      <c r="K29" s="4" t="s">
        <v>14</v>
      </c>
      <c r="L29" s="4" t="s">
        <v>14</v>
      </c>
      <c r="M29" s="130" t="s">
        <v>197</v>
      </c>
      <c r="N29">
        <v>2026</v>
      </c>
    </row>
    <row r="30" spans="1:14">
      <c r="A30" s="4">
        <v>29</v>
      </c>
      <c r="B30" s="35" t="s">
        <v>52</v>
      </c>
      <c r="C30" s="4" t="s">
        <v>53</v>
      </c>
      <c r="D30" s="4" t="s">
        <v>19</v>
      </c>
      <c r="E30" s="4" t="s">
        <v>82</v>
      </c>
      <c r="F30" s="4"/>
      <c r="G30" s="34" t="s">
        <v>83</v>
      </c>
      <c r="H30" s="65" t="s">
        <v>245</v>
      </c>
      <c r="I30" s="6">
        <v>36203.264058441557</v>
      </c>
      <c r="J30" s="4" t="s">
        <v>14</v>
      </c>
      <c r="K30" s="4" t="s">
        <v>14</v>
      </c>
      <c r="L30" s="4" t="s">
        <v>14</v>
      </c>
      <c r="M30" s="130" t="s">
        <v>197</v>
      </c>
      <c r="N30">
        <v>2026</v>
      </c>
    </row>
    <row r="31" spans="1:14">
      <c r="A31" s="4">
        <v>30</v>
      </c>
      <c r="B31" s="35" t="s">
        <v>40</v>
      </c>
      <c r="C31" s="4" t="s">
        <v>41</v>
      </c>
      <c r="D31" s="4" t="s">
        <v>19</v>
      </c>
      <c r="E31" s="4" t="s">
        <v>82</v>
      </c>
      <c r="F31" s="4"/>
      <c r="G31" s="34" t="s">
        <v>83</v>
      </c>
      <c r="H31" s="65" t="s">
        <v>245</v>
      </c>
      <c r="I31" s="6">
        <v>11575.794084415586</v>
      </c>
      <c r="J31" s="4" t="s">
        <v>14</v>
      </c>
      <c r="K31" s="4" t="s">
        <v>14</v>
      </c>
      <c r="L31" s="4" t="s">
        <v>14</v>
      </c>
      <c r="M31" s="130" t="s">
        <v>197</v>
      </c>
      <c r="N31">
        <v>2026</v>
      </c>
    </row>
    <row r="32" spans="1:14">
      <c r="A32" s="4">
        <v>31</v>
      </c>
      <c r="B32" s="35" t="s">
        <v>288</v>
      </c>
      <c r="C32" s="4" t="s">
        <v>30</v>
      </c>
      <c r="D32" s="4" t="s">
        <v>19</v>
      </c>
      <c r="E32" s="4" t="s">
        <v>82</v>
      </c>
      <c r="F32" s="4"/>
      <c r="G32" s="34" t="s">
        <v>83</v>
      </c>
      <c r="H32" s="65" t="s">
        <v>245</v>
      </c>
      <c r="I32" s="6">
        <v>1498.5015064935064</v>
      </c>
      <c r="J32" s="4" t="s">
        <v>14</v>
      </c>
      <c r="K32" s="4" t="s">
        <v>14</v>
      </c>
      <c r="L32" s="4" t="s">
        <v>14</v>
      </c>
      <c r="M32" s="130" t="s">
        <v>197</v>
      </c>
      <c r="N32">
        <v>2026</v>
      </c>
    </row>
    <row r="33" spans="1:14">
      <c r="A33" s="4">
        <v>32</v>
      </c>
      <c r="B33" s="35" t="s">
        <v>33</v>
      </c>
      <c r="C33" s="4" t="s">
        <v>34</v>
      </c>
      <c r="D33" s="4" t="s">
        <v>19</v>
      </c>
      <c r="E33" s="4" t="s">
        <v>82</v>
      </c>
      <c r="F33" s="4"/>
      <c r="G33" s="34" t="s">
        <v>83</v>
      </c>
      <c r="H33" s="65" t="s">
        <v>245</v>
      </c>
      <c r="I33" s="6">
        <v>3066.9330259740264</v>
      </c>
      <c r="J33" s="4" t="s">
        <v>14</v>
      </c>
      <c r="K33" s="4" t="s">
        <v>14</v>
      </c>
      <c r="L33" s="4" t="s">
        <v>14</v>
      </c>
      <c r="M33" s="130" t="s">
        <v>197</v>
      </c>
      <c r="N33">
        <v>2026</v>
      </c>
    </row>
    <row r="34" spans="1:14">
      <c r="A34" s="4">
        <v>33</v>
      </c>
      <c r="B34" s="35" t="s">
        <v>33</v>
      </c>
      <c r="C34" s="4" t="s">
        <v>35</v>
      </c>
      <c r="D34" s="4" t="s">
        <v>19</v>
      </c>
      <c r="E34" s="4" t="s">
        <v>82</v>
      </c>
      <c r="F34" s="4"/>
      <c r="G34" s="34" t="s">
        <v>83</v>
      </c>
      <c r="H34" s="65" t="s">
        <v>245</v>
      </c>
      <c r="I34" s="6">
        <v>23242.627279220778</v>
      </c>
      <c r="J34" s="4" t="s">
        <v>14</v>
      </c>
      <c r="K34" s="4" t="s">
        <v>14</v>
      </c>
      <c r="L34" s="4" t="s">
        <v>14</v>
      </c>
      <c r="M34" s="130" t="s">
        <v>197</v>
      </c>
      <c r="N34">
        <v>2026</v>
      </c>
    </row>
    <row r="35" spans="1:14">
      <c r="A35" s="4">
        <v>34</v>
      </c>
      <c r="B35" s="35" t="s">
        <v>40</v>
      </c>
      <c r="C35" s="4" t="s">
        <v>42</v>
      </c>
      <c r="D35" s="4" t="s">
        <v>19</v>
      </c>
      <c r="E35" s="4" t="s">
        <v>82</v>
      </c>
      <c r="F35" s="4"/>
      <c r="G35" s="34" t="s">
        <v>83</v>
      </c>
      <c r="H35" s="65" t="s">
        <v>245</v>
      </c>
      <c r="I35" s="6">
        <v>23889.720207792205</v>
      </c>
      <c r="J35" s="4" t="s">
        <v>14</v>
      </c>
      <c r="K35" s="4" t="s">
        <v>14</v>
      </c>
      <c r="L35" s="4" t="s">
        <v>14</v>
      </c>
      <c r="M35" s="130" t="s">
        <v>197</v>
      </c>
      <c r="N35">
        <v>2026</v>
      </c>
    </row>
    <row r="36" spans="1:14">
      <c r="A36" s="4">
        <v>35</v>
      </c>
      <c r="B36" s="35" t="s">
        <v>40</v>
      </c>
      <c r="C36" s="4" t="s">
        <v>43</v>
      </c>
      <c r="D36" s="4" t="s">
        <v>19</v>
      </c>
      <c r="E36" s="4" t="s">
        <v>82</v>
      </c>
      <c r="F36" s="4"/>
      <c r="G36" s="34" t="s">
        <v>83</v>
      </c>
      <c r="H36" s="65" t="s">
        <v>245</v>
      </c>
      <c r="I36" s="6">
        <v>41991.508331168843</v>
      </c>
      <c r="J36" s="4" t="s">
        <v>14</v>
      </c>
      <c r="K36" s="4" t="s">
        <v>14</v>
      </c>
      <c r="L36" s="4" t="s">
        <v>14</v>
      </c>
      <c r="M36" s="130" t="s">
        <v>197</v>
      </c>
      <c r="N36">
        <v>2026</v>
      </c>
    </row>
    <row r="37" spans="1:14">
      <c r="A37" s="4">
        <v>36</v>
      </c>
      <c r="B37" s="35" t="s">
        <v>31</v>
      </c>
      <c r="C37" s="4" t="s">
        <v>234</v>
      </c>
      <c r="D37" s="4" t="s">
        <v>19</v>
      </c>
      <c r="E37" s="4" t="s">
        <v>82</v>
      </c>
      <c r="F37" s="4"/>
      <c r="G37" s="34" t="s">
        <v>83</v>
      </c>
      <c r="H37" s="65" t="s">
        <v>245</v>
      </c>
      <c r="I37" s="6">
        <v>9898.6013831168839</v>
      </c>
      <c r="J37" s="4" t="s">
        <v>14</v>
      </c>
      <c r="K37" s="4" t="s">
        <v>14</v>
      </c>
      <c r="L37" s="4" t="s">
        <v>14</v>
      </c>
      <c r="M37" s="130" t="s">
        <v>197</v>
      </c>
      <c r="N37">
        <v>2026</v>
      </c>
    </row>
    <row r="38" spans="1:14">
      <c r="A38" s="4">
        <v>37</v>
      </c>
      <c r="B38" s="35" t="s">
        <v>50</v>
      </c>
      <c r="C38" s="4" t="s">
        <v>51</v>
      </c>
      <c r="D38" s="4" t="s">
        <v>19</v>
      </c>
      <c r="E38" s="4" t="s">
        <v>82</v>
      </c>
      <c r="F38" s="4"/>
      <c r="G38" s="34" t="s">
        <v>83</v>
      </c>
      <c r="H38" s="65" t="s">
        <v>245</v>
      </c>
      <c r="I38" s="6">
        <v>168677.55499350649</v>
      </c>
      <c r="J38" s="4" t="s">
        <v>14</v>
      </c>
      <c r="K38" s="4" t="s">
        <v>14</v>
      </c>
      <c r="L38" s="4" t="s">
        <v>14</v>
      </c>
      <c r="M38" s="130" t="s">
        <v>197</v>
      </c>
      <c r="N38">
        <v>2026</v>
      </c>
    </row>
    <row r="39" spans="1:14">
      <c r="A39" s="4">
        <v>38</v>
      </c>
      <c r="B39" s="35" t="s">
        <v>56</v>
      </c>
      <c r="C39" s="4" t="s">
        <v>57</v>
      </c>
      <c r="D39" s="4" t="s">
        <v>19</v>
      </c>
      <c r="E39" s="4" t="s">
        <v>82</v>
      </c>
      <c r="F39" s="4"/>
      <c r="G39" s="34" t="s">
        <v>83</v>
      </c>
      <c r="H39" s="65" t="s">
        <v>245</v>
      </c>
      <c r="I39" s="6">
        <v>3564.4354870129873</v>
      </c>
      <c r="J39" s="4" t="s">
        <v>14</v>
      </c>
      <c r="K39" s="4" t="s">
        <v>14</v>
      </c>
      <c r="L39" s="4" t="s">
        <v>14</v>
      </c>
      <c r="M39" s="130" t="s">
        <v>197</v>
      </c>
      <c r="N39">
        <v>2026</v>
      </c>
    </row>
    <row r="40" spans="1:14">
      <c r="A40" s="4">
        <v>39</v>
      </c>
      <c r="B40" s="35" t="s">
        <v>17</v>
      </c>
      <c r="C40" s="4" t="s">
        <v>22</v>
      </c>
      <c r="D40" s="4" t="s">
        <v>19</v>
      </c>
      <c r="E40" s="4" t="s">
        <v>82</v>
      </c>
      <c r="F40" s="4"/>
      <c r="G40" s="34" t="s">
        <v>83</v>
      </c>
      <c r="H40" s="65" t="s">
        <v>245</v>
      </c>
      <c r="I40" s="6">
        <v>3224.2756818181815</v>
      </c>
      <c r="J40" s="4" t="s">
        <v>14</v>
      </c>
      <c r="K40" s="4" t="s">
        <v>14</v>
      </c>
      <c r="L40" s="4" t="s">
        <v>14</v>
      </c>
      <c r="M40" s="130" t="s">
        <v>197</v>
      </c>
      <c r="N40">
        <v>2026</v>
      </c>
    </row>
    <row r="41" spans="1:14">
      <c r="A41" s="4">
        <v>40</v>
      </c>
      <c r="B41" s="35" t="s">
        <v>40</v>
      </c>
      <c r="C41" s="4" t="s">
        <v>44</v>
      </c>
      <c r="D41" s="4" t="s">
        <v>19</v>
      </c>
      <c r="E41" s="4" t="s">
        <v>82</v>
      </c>
      <c r="F41" s="4"/>
      <c r="G41" s="34" t="s">
        <v>83</v>
      </c>
      <c r="H41" s="65" t="s">
        <v>245</v>
      </c>
      <c r="I41" s="6">
        <v>159.84015584415584</v>
      </c>
      <c r="J41" s="4" t="s">
        <v>14</v>
      </c>
      <c r="K41" s="4" t="s">
        <v>14</v>
      </c>
      <c r="L41" s="4" t="s">
        <v>14</v>
      </c>
      <c r="M41" s="130" t="s">
        <v>197</v>
      </c>
      <c r="N41">
        <v>2026</v>
      </c>
    </row>
    <row r="42" spans="1:14">
      <c r="A42" s="4">
        <v>41</v>
      </c>
      <c r="B42" s="35" t="s">
        <v>40</v>
      </c>
      <c r="C42" s="4" t="s">
        <v>45</v>
      </c>
      <c r="D42" s="4" t="s">
        <v>19</v>
      </c>
      <c r="E42" s="4" t="s">
        <v>82</v>
      </c>
      <c r="F42" s="4"/>
      <c r="G42" s="34" t="s">
        <v>83</v>
      </c>
      <c r="H42" s="65" t="s">
        <v>245</v>
      </c>
      <c r="I42" s="6">
        <v>20631.782077922078</v>
      </c>
      <c r="J42" s="4" t="s">
        <v>14</v>
      </c>
      <c r="K42" s="4" t="s">
        <v>14</v>
      </c>
      <c r="L42" s="4" t="s">
        <v>14</v>
      </c>
      <c r="M42" s="130" t="s">
        <v>197</v>
      </c>
      <c r="N42">
        <v>2026</v>
      </c>
    </row>
    <row r="43" spans="1:14">
      <c r="A43" s="4">
        <v>42</v>
      </c>
      <c r="B43" s="35" t="s">
        <v>17</v>
      </c>
      <c r="C43" s="4" t="s">
        <v>400</v>
      </c>
      <c r="D43" s="4" t="s">
        <v>19</v>
      </c>
      <c r="E43" s="4" t="s">
        <v>82</v>
      </c>
      <c r="F43" s="4"/>
      <c r="G43" s="34" t="s">
        <v>83</v>
      </c>
      <c r="H43" s="65" t="s">
        <v>245</v>
      </c>
      <c r="I43" s="6">
        <v>9627.3725454545456</v>
      </c>
      <c r="J43" s="4" t="s">
        <v>14</v>
      </c>
      <c r="K43" s="4" t="s">
        <v>14</v>
      </c>
      <c r="L43" s="4" t="s">
        <v>14</v>
      </c>
      <c r="M43" s="130" t="s">
        <v>197</v>
      </c>
      <c r="N43">
        <v>2026</v>
      </c>
    </row>
    <row r="44" spans="1:14">
      <c r="A44" s="4">
        <v>43</v>
      </c>
      <c r="B44" s="35" t="s">
        <v>40</v>
      </c>
      <c r="C44" s="4" t="s">
        <v>247</v>
      </c>
      <c r="D44" s="4" t="s">
        <v>19</v>
      </c>
      <c r="E44" s="4" t="s">
        <v>82</v>
      </c>
      <c r="F44" s="4"/>
      <c r="G44" s="34" t="s">
        <v>83</v>
      </c>
      <c r="H44" s="65" t="s">
        <v>245</v>
      </c>
      <c r="I44" s="6">
        <v>40236.263701298703</v>
      </c>
      <c r="J44" s="4" t="s">
        <v>14</v>
      </c>
      <c r="K44" s="4" t="s">
        <v>14</v>
      </c>
      <c r="L44" s="4" t="s">
        <v>14</v>
      </c>
      <c r="M44" s="130" t="s">
        <v>197</v>
      </c>
      <c r="N44">
        <v>2026</v>
      </c>
    </row>
    <row r="45" spans="1:14">
      <c r="A45" s="4">
        <v>44</v>
      </c>
      <c r="B45" s="35" t="s">
        <v>40</v>
      </c>
      <c r="C45" s="4" t="s">
        <v>48</v>
      </c>
      <c r="D45" s="4" t="s">
        <v>19</v>
      </c>
      <c r="E45" s="4" t="s">
        <v>82</v>
      </c>
      <c r="F45" s="4"/>
      <c r="G45" s="34" t="s">
        <v>83</v>
      </c>
      <c r="H45" s="65" t="s">
        <v>245</v>
      </c>
      <c r="I45" s="7">
        <v>28443.806045454548</v>
      </c>
      <c r="J45" s="4" t="s">
        <v>14</v>
      </c>
      <c r="K45" s="4" t="s">
        <v>14</v>
      </c>
      <c r="L45" s="4" t="s">
        <v>14</v>
      </c>
      <c r="M45" s="130" t="s">
        <v>197</v>
      </c>
      <c r="N45">
        <v>2026</v>
      </c>
    </row>
    <row r="46" spans="1:14">
      <c r="A46" s="4">
        <v>45</v>
      </c>
      <c r="B46" s="35" t="s">
        <v>40</v>
      </c>
      <c r="C46" s="4" t="s">
        <v>47</v>
      </c>
      <c r="D46" s="4" t="s">
        <v>19</v>
      </c>
      <c r="E46" s="4" t="s">
        <v>82</v>
      </c>
      <c r="F46" s="4"/>
      <c r="G46" s="34" t="s">
        <v>83</v>
      </c>
      <c r="H46" s="65" t="s">
        <v>245</v>
      </c>
      <c r="I46" s="7">
        <v>5157.9120649350652</v>
      </c>
      <c r="J46" s="4" t="s">
        <v>14</v>
      </c>
      <c r="K46" s="4" t="s">
        <v>14</v>
      </c>
      <c r="L46" s="4" t="s">
        <v>14</v>
      </c>
      <c r="M46" s="130" t="s">
        <v>197</v>
      </c>
      <c r="N46">
        <v>2026</v>
      </c>
    </row>
    <row r="47" spans="1:14">
      <c r="A47" s="4">
        <v>46</v>
      </c>
      <c r="B47" s="35" t="s">
        <v>17</v>
      </c>
      <c r="C47" s="4" t="s">
        <v>25</v>
      </c>
      <c r="D47" s="4" t="s">
        <v>19</v>
      </c>
      <c r="E47" s="4" t="s">
        <v>82</v>
      </c>
      <c r="F47" s="4"/>
      <c r="G47" s="34" t="s">
        <v>83</v>
      </c>
      <c r="H47" s="65" t="s">
        <v>245</v>
      </c>
      <c r="I47" s="7">
        <v>9855.144766233765</v>
      </c>
      <c r="J47" s="4" t="s">
        <v>14</v>
      </c>
      <c r="K47" s="4" t="s">
        <v>14</v>
      </c>
      <c r="L47" s="4" t="s">
        <v>14</v>
      </c>
      <c r="M47" s="130" t="s">
        <v>197</v>
      </c>
      <c r="N47">
        <v>2026</v>
      </c>
    </row>
    <row r="48" spans="1:14">
      <c r="A48" s="4">
        <v>47</v>
      </c>
      <c r="B48" s="35" t="s">
        <v>17</v>
      </c>
      <c r="C48" s="4" t="s">
        <v>18</v>
      </c>
      <c r="D48" s="4" t="s">
        <v>19</v>
      </c>
      <c r="E48" s="4" t="s">
        <v>82</v>
      </c>
      <c r="F48" s="4"/>
      <c r="G48" s="64" t="s">
        <v>84</v>
      </c>
      <c r="H48" s="65" t="s">
        <v>86</v>
      </c>
      <c r="I48" s="6">
        <v>20130.97264935065</v>
      </c>
      <c r="J48" s="4" t="s">
        <v>14</v>
      </c>
      <c r="K48" s="4" t="s">
        <v>14</v>
      </c>
      <c r="L48" s="4" t="s">
        <v>14</v>
      </c>
      <c r="M48" s="130" t="s">
        <v>197</v>
      </c>
      <c r="N48">
        <v>2026</v>
      </c>
    </row>
    <row r="49" spans="1:14">
      <c r="A49" s="4">
        <v>48</v>
      </c>
      <c r="B49" s="4" t="s">
        <v>52</v>
      </c>
      <c r="C49" s="4" t="s">
        <v>53</v>
      </c>
      <c r="D49" s="4" t="s">
        <v>19</v>
      </c>
      <c r="E49" s="4" t="s">
        <v>82</v>
      </c>
      <c r="F49" s="4"/>
      <c r="G49" s="59" t="s">
        <v>84</v>
      </c>
      <c r="H49" s="65" t="s">
        <v>86</v>
      </c>
      <c r="I49" s="6">
        <v>13603.896103896104</v>
      </c>
      <c r="J49" s="4" t="s">
        <v>14</v>
      </c>
      <c r="K49" s="4" t="s">
        <v>14</v>
      </c>
      <c r="L49" s="4" t="s">
        <v>14</v>
      </c>
      <c r="M49" s="130" t="s">
        <v>197</v>
      </c>
      <c r="N49">
        <v>2026</v>
      </c>
    </row>
    <row r="50" spans="1:14">
      <c r="A50" s="4">
        <v>49</v>
      </c>
      <c r="B50" s="4" t="s">
        <v>40</v>
      </c>
      <c r="C50" s="4" t="s">
        <v>41</v>
      </c>
      <c r="D50" s="4" t="s">
        <v>19</v>
      </c>
      <c r="E50" s="4" t="s">
        <v>82</v>
      </c>
      <c r="F50" s="4"/>
      <c r="G50" s="59" t="s">
        <v>84</v>
      </c>
      <c r="H50" s="65" t="s">
        <v>86</v>
      </c>
      <c r="I50" s="6">
        <v>1883.1168831168832</v>
      </c>
      <c r="J50" s="4" t="s">
        <v>14</v>
      </c>
      <c r="K50" s="4" t="s">
        <v>14</v>
      </c>
      <c r="L50" s="4" t="s">
        <v>14</v>
      </c>
      <c r="M50" s="130" t="s">
        <v>197</v>
      </c>
      <c r="N50">
        <v>2026</v>
      </c>
    </row>
    <row r="51" spans="1:14">
      <c r="A51" s="4">
        <v>50</v>
      </c>
      <c r="B51" s="4" t="s">
        <v>33</v>
      </c>
      <c r="C51" s="4" t="s">
        <v>34</v>
      </c>
      <c r="D51" s="4" t="s">
        <v>19</v>
      </c>
      <c r="E51" s="4" t="s">
        <v>82</v>
      </c>
      <c r="F51" s="4"/>
      <c r="G51" s="59" t="s">
        <v>84</v>
      </c>
      <c r="H51" s="65" t="s">
        <v>86</v>
      </c>
      <c r="I51" s="6">
        <v>2077.9220779220777</v>
      </c>
      <c r="J51" s="4" t="s">
        <v>14</v>
      </c>
      <c r="K51" s="4" t="s">
        <v>14</v>
      </c>
      <c r="L51" s="4" t="s">
        <v>14</v>
      </c>
      <c r="M51" s="130" t="s">
        <v>197</v>
      </c>
      <c r="N51">
        <v>2026</v>
      </c>
    </row>
    <row r="52" spans="1:14">
      <c r="A52" s="4">
        <v>51</v>
      </c>
      <c r="B52" s="4" t="s">
        <v>33</v>
      </c>
      <c r="C52" s="4" t="s">
        <v>35</v>
      </c>
      <c r="D52" s="4" t="s">
        <v>19</v>
      </c>
      <c r="E52" s="4" t="s">
        <v>82</v>
      </c>
      <c r="F52" s="4"/>
      <c r="G52" s="59" t="s">
        <v>84</v>
      </c>
      <c r="H52" s="65" t="s">
        <v>86</v>
      </c>
      <c r="I52" s="6">
        <v>7532.4675324675327</v>
      </c>
      <c r="J52" s="4" t="s">
        <v>14</v>
      </c>
      <c r="K52" s="4" t="s">
        <v>14</v>
      </c>
      <c r="L52" s="4" t="s">
        <v>14</v>
      </c>
      <c r="M52" s="130" t="s">
        <v>197</v>
      </c>
      <c r="N52">
        <v>2026</v>
      </c>
    </row>
    <row r="53" spans="1:14">
      <c r="A53" s="4">
        <v>52</v>
      </c>
      <c r="B53" s="4" t="s">
        <v>40</v>
      </c>
      <c r="C53" s="4" t="s">
        <v>43</v>
      </c>
      <c r="D53" s="4" t="s">
        <v>19</v>
      </c>
      <c r="E53" s="4" t="s">
        <v>82</v>
      </c>
      <c r="F53" s="4"/>
      <c r="G53" s="59" t="s">
        <v>84</v>
      </c>
      <c r="H53" s="65" t="s">
        <v>86</v>
      </c>
      <c r="I53" s="6">
        <v>6990.5095194805199</v>
      </c>
      <c r="J53" s="4" t="s">
        <v>14</v>
      </c>
      <c r="K53" s="4" t="s">
        <v>14</v>
      </c>
      <c r="L53" s="4" t="s">
        <v>14</v>
      </c>
      <c r="M53" s="130" t="s">
        <v>197</v>
      </c>
      <c r="N53">
        <v>2026</v>
      </c>
    </row>
    <row r="54" spans="1:14">
      <c r="A54" s="4">
        <v>53</v>
      </c>
      <c r="B54" s="4" t="s">
        <v>31</v>
      </c>
      <c r="C54" s="4" t="s">
        <v>32</v>
      </c>
      <c r="D54" s="4" t="s">
        <v>19</v>
      </c>
      <c r="E54" s="4" t="s">
        <v>82</v>
      </c>
      <c r="F54" s="4"/>
      <c r="G54" s="59" t="s">
        <v>84</v>
      </c>
      <c r="H54" s="65" t="s">
        <v>86</v>
      </c>
      <c r="I54" s="6">
        <v>11943.057012987014</v>
      </c>
      <c r="J54" s="4" t="s">
        <v>14</v>
      </c>
      <c r="K54" s="4" t="s">
        <v>14</v>
      </c>
      <c r="L54" s="4" t="s">
        <v>14</v>
      </c>
      <c r="M54" s="130" t="s">
        <v>197</v>
      </c>
      <c r="N54">
        <v>2026</v>
      </c>
    </row>
    <row r="55" spans="1:14">
      <c r="A55" s="4">
        <v>54</v>
      </c>
      <c r="B55" s="4" t="s">
        <v>50</v>
      </c>
      <c r="C55" s="4" t="s">
        <v>60</v>
      </c>
      <c r="D55" s="4" t="s">
        <v>19</v>
      </c>
      <c r="E55" s="4" t="s">
        <v>82</v>
      </c>
      <c r="F55" s="4"/>
      <c r="G55" s="59" t="s">
        <v>84</v>
      </c>
      <c r="H55" s="65" t="s">
        <v>86</v>
      </c>
      <c r="I55" s="6">
        <v>17631.454662337663</v>
      </c>
      <c r="J55" s="4" t="s">
        <v>14</v>
      </c>
      <c r="K55" s="4" t="s">
        <v>14</v>
      </c>
      <c r="L55" s="4" t="s">
        <v>14</v>
      </c>
      <c r="M55" s="130" t="s">
        <v>197</v>
      </c>
      <c r="N55">
        <v>2026</v>
      </c>
    </row>
    <row r="56" spans="1:14">
      <c r="A56" s="4">
        <v>55</v>
      </c>
      <c r="B56" s="4" t="s">
        <v>56</v>
      </c>
      <c r="C56" s="4" t="s">
        <v>57</v>
      </c>
      <c r="D56" s="4" t="s">
        <v>19</v>
      </c>
      <c r="E56" s="4" t="s">
        <v>82</v>
      </c>
      <c r="F56" s="4"/>
      <c r="G56" s="59" t="s">
        <v>84</v>
      </c>
      <c r="H56" s="65" t="s">
        <v>86</v>
      </c>
      <c r="I56" s="6">
        <v>1033.9660519480519</v>
      </c>
      <c r="J56" s="4" t="s">
        <v>14</v>
      </c>
      <c r="K56" s="4" t="s">
        <v>14</v>
      </c>
      <c r="L56" s="4" t="s">
        <v>14</v>
      </c>
      <c r="M56" s="130" t="s">
        <v>197</v>
      </c>
      <c r="N56">
        <v>2026</v>
      </c>
    </row>
    <row r="57" spans="1:14">
      <c r="A57" s="4">
        <v>56</v>
      </c>
      <c r="B57" s="4" t="s">
        <v>17</v>
      </c>
      <c r="C57" s="4" t="s">
        <v>22</v>
      </c>
      <c r="D57" s="4" t="s">
        <v>19</v>
      </c>
      <c r="E57" s="4" t="s">
        <v>82</v>
      </c>
      <c r="F57" s="4"/>
      <c r="G57" s="59" t="s">
        <v>84</v>
      </c>
      <c r="H57" s="65" t="s">
        <v>86</v>
      </c>
      <c r="I57" s="6">
        <v>9493.0409675324681</v>
      </c>
      <c r="J57" s="4" t="s">
        <v>14</v>
      </c>
      <c r="K57" s="4" t="s">
        <v>14</v>
      </c>
      <c r="L57" s="4" t="s">
        <v>14</v>
      </c>
      <c r="M57" s="130" t="s">
        <v>197</v>
      </c>
      <c r="N57">
        <v>2026</v>
      </c>
    </row>
    <row r="58" spans="1:14">
      <c r="A58" s="4">
        <v>57</v>
      </c>
      <c r="B58" s="4" t="s">
        <v>17</v>
      </c>
      <c r="C58" s="4" t="s">
        <v>87</v>
      </c>
      <c r="D58" s="4" t="s">
        <v>19</v>
      </c>
      <c r="E58" s="4" t="s">
        <v>82</v>
      </c>
      <c r="F58" s="4"/>
      <c r="G58" s="59" t="s">
        <v>84</v>
      </c>
      <c r="H58" s="65" t="s">
        <v>86</v>
      </c>
      <c r="I58" s="6">
        <v>3636.3636363636365</v>
      </c>
      <c r="J58" s="4" t="s">
        <v>14</v>
      </c>
      <c r="K58" s="4" t="s">
        <v>14</v>
      </c>
      <c r="L58" s="4" t="s">
        <v>14</v>
      </c>
      <c r="M58" s="130" t="s">
        <v>197</v>
      </c>
      <c r="N58">
        <v>2026</v>
      </c>
    </row>
    <row r="59" spans="1:14">
      <c r="A59" s="4">
        <v>58</v>
      </c>
      <c r="B59" s="4" t="s">
        <v>40</v>
      </c>
      <c r="C59" s="4" t="s">
        <v>45</v>
      </c>
      <c r="D59" s="4" t="s">
        <v>19</v>
      </c>
      <c r="E59" s="4" t="s">
        <v>82</v>
      </c>
      <c r="F59" s="4"/>
      <c r="G59" s="59" t="s">
        <v>84</v>
      </c>
      <c r="H59" s="65" t="s">
        <v>86</v>
      </c>
      <c r="I59" s="6">
        <v>5798.7012987012986</v>
      </c>
      <c r="J59" s="4" t="s">
        <v>14</v>
      </c>
      <c r="K59" s="4" t="s">
        <v>14</v>
      </c>
      <c r="L59" s="4" t="s">
        <v>14</v>
      </c>
      <c r="M59" s="130" t="s">
        <v>197</v>
      </c>
      <c r="N59">
        <v>2026</v>
      </c>
    </row>
    <row r="60" spans="1:14">
      <c r="A60" s="4">
        <v>59</v>
      </c>
      <c r="B60" s="4" t="s">
        <v>17</v>
      </c>
      <c r="C60" s="4" t="s">
        <v>400</v>
      </c>
      <c r="D60" s="4" t="s">
        <v>19</v>
      </c>
      <c r="E60" s="4" t="s">
        <v>82</v>
      </c>
      <c r="F60" s="4"/>
      <c r="G60" s="59" t="s">
        <v>84</v>
      </c>
      <c r="H60" s="65" t="s">
        <v>86</v>
      </c>
      <c r="I60" s="6">
        <v>6628.3956103896107</v>
      </c>
      <c r="J60" s="4" t="s">
        <v>14</v>
      </c>
      <c r="K60" s="4" t="s">
        <v>14</v>
      </c>
      <c r="L60" s="4" t="s">
        <v>14</v>
      </c>
      <c r="M60" s="130" t="s">
        <v>197</v>
      </c>
      <c r="N60">
        <v>2026</v>
      </c>
    </row>
    <row r="61" spans="1:14">
      <c r="A61" s="4">
        <v>60</v>
      </c>
      <c r="B61" s="4" t="s">
        <v>40</v>
      </c>
      <c r="C61" s="4" t="s">
        <v>247</v>
      </c>
      <c r="D61" s="4" t="s">
        <v>19</v>
      </c>
      <c r="E61" s="4" t="s">
        <v>82</v>
      </c>
      <c r="F61" s="4"/>
      <c r="G61" s="59" t="s">
        <v>84</v>
      </c>
      <c r="H61" s="65" t="s">
        <v>86</v>
      </c>
      <c r="I61" s="6">
        <v>8311.6883116883109</v>
      </c>
      <c r="J61" s="4" t="s">
        <v>14</v>
      </c>
      <c r="K61" s="4" t="s">
        <v>14</v>
      </c>
      <c r="L61" s="4" t="s">
        <v>14</v>
      </c>
      <c r="M61" s="130" t="s">
        <v>197</v>
      </c>
      <c r="N61">
        <v>2026</v>
      </c>
    </row>
    <row r="62" spans="1:14">
      <c r="A62" s="4">
        <v>61</v>
      </c>
      <c r="B62" s="4" t="s">
        <v>40</v>
      </c>
      <c r="C62" s="4" t="s">
        <v>48</v>
      </c>
      <c r="D62" s="4" t="s">
        <v>19</v>
      </c>
      <c r="E62" s="4" t="s">
        <v>82</v>
      </c>
      <c r="F62" s="4"/>
      <c r="G62" s="59" t="s">
        <v>84</v>
      </c>
      <c r="H62" s="65" t="s">
        <v>86</v>
      </c>
      <c r="I62" s="6">
        <v>17904.709357142856</v>
      </c>
      <c r="J62" s="4" t="s">
        <v>14</v>
      </c>
      <c r="K62" s="4" t="s">
        <v>14</v>
      </c>
      <c r="L62" s="4" t="s">
        <v>14</v>
      </c>
      <c r="M62" s="130" t="s">
        <v>197</v>
      </c>
      <c r="N62">
        <v>2026</v>
      </c>
    </row>
    <row r="63" spans="1:14">
      <c r="A63" s="4">
        <v>62</v>
      </c>
      <c r="B63" s="4" t="s">
        <v>40</v>
      </c>
      <c r="C63" s="4" t="s">
        <v>47</v>
      </c>
      <c r="D63" s="4" t="s">
        <v>19</v>
      </c>
      <c r="E63" s="4" t="s">
        <v>82</v>
      </c>
      <c r="F63" s="4"/>
      <c r="G63" s="59" t="s">
        <v>84</v>
      </c>
      <c r="H63" s="65" t="s">
        <v>86</v>
      </c>
      <c r="I63" s="6">
        <v>2792.2077922077924</v>
      </c>
      <c r="J63" s="4" t="s">
        <v>14</v>
      </c>
      <c r="K63" s="4" t="s">
        <v>14</v>
      </c>
      <c r="L63" s="4" t="s">
        <v>14</v>
      </c>
      <c r="M63" s="130" t="s">
        <v>197</v>
      </c>
      <c r="N63">
        <v>2026</v>
      </c>
    </row>
    <row r="64" spans="1:14">
      <c r="A64" s="4">
        <v>63</v>
      </c>
      <c r="B64" s="4" t="s">
        <v>17</v>
      </c>
      <c r="C64" s="4" t="s">
        <v>25</v>
      </c>
      <c r="D64" s="4" t="s">
        <v>19</v>
      </c>
      <c r="E64" s="4" t="s">
        <v>82</v>
      </c>
      <c r="F64" s="4"/>
      <c r="G64" s="59" t="s">
        <v>84</v>
      </c>
      <c r="H64" s="65" t="s">
        <v>86</v>
      </c>
      <c r="I64" s="6">
        <v>15339.732285714284</v>
      </c>
      <c r="J64" s="4" t="s">
        <v>14</v>
      </c>
      <c r="K64" s="4" t="s">
        <v>14</v>
      </c>
      <c r="L64" s="4" t="s">
        <v>14</v>
      </c>
      <c r="M64" s="130" t="s">
        <v>197</v>
      </c>
      <c r="N64">
        <v>2026</v>
      </c>
    </row>
    <row r="65" spans="1:14">
      <c r="A65" s="4">
        <v>64</v>
      </c>
      <c r="B65" s="4" t="s">
        <v>17</v>
      </c>
      <c r="C65" s="4" t="s">
        <v>18</v>
      </c>
      <c r="D65" s="4" t="s">
        <v>19</v>
      </c>
      <c r="E65" s="4" t="s">
        <v>82</v>
      </c>
      <c r="F65" s="4"/>
      <c r="G65" s="64" t="s">
        <v>83</v>
      </c>
      <c r="H65" s="65" t="s">
        <v>86</v>
      </c>
      <c r="I65" s="6">
        <v>10644.855168831169</v>
      </c>
      <c r="J65" s="4" t="s">
        <v>14</v>
      </c>
      <c r="K65" s="4" t="s">
        <v>14</v>
      </c>
      <c r="L65" s="4" t="s">
        <v>14</v>
      </c>
      <c r="M65" s="130" t="s">
        <v>197</v>
      </c>
      <c r="N65">
        <v>2026</v>
      </c>
    </row>
    <row r="66" spans="1:14">
      <c r="A66" s="4">
        <v>65</v>
      </c>
      <c r="B66" s="58" t="s">
        <v>52</v>
      </c>
      <c r="C66" s="4" t="s">
        <v>53</v>
      </c>
      <c r="D66" s="4" t="s">
        <v>19</v>
      </c>
      <c r="E66" s="4" t="s">
        <v>82</v>
      </c>
      <c r="F66" s="4"/>
      <c r="G66" s="64" t="s">
        <v>83</v>
      </c>
      <c r="H66" s="65" t="s">
        <v>86</v>
      </c>
      <c r="I66" s="6">
        <v>44137.055051948053</v>
      </c>
      <c r="J66" s="4" t="s">
        <v>14</v>
      </c>
      <c r="K66" s="4" t="s">
        <v>14</v>
      </c>
      <c r="L66" s="4" t="s">
        <v>14</v>
      </c>
      <c r="M66" s="130" t="s">
        <v>197</v>
      </c>
      <c r="N66">
        <v>2026</v>
      </c>
    </row>
    <row r="67" spans="1:14">
      <c r="A67" s="4">
        <v>66</v>
      </c>
      <c r="B67" s="58" t="s">
        <v>40</v>
      </c>
      <c r="C67" s="4" t="s">
        <v>41</v>
      </c>
      <c r="D67" s="4" t="s">
        <v>19</v>
      </c>
      <c r="E67" s="4" t="s">
        <v>82</v>
      </c>
      <c r="F67" s="4"/>
      <c r="G67" s="64" t="s">
        <v>83</v>
      </c>
      <c r="H67" s="65" t="s">
        <v>86</v>
      </c>
      <c r="I67" s="6">
        <v>13701.298727272726</v>
      </c>
      <c r="J67" s="4" t="s">
        <v>14</v>
      </c>
      <c r="K67" s="4" t="s">
        <v>14</v>
      </c>
      <c r="L67" s="4" t="s">
        <v>14</v>
      </c>
      <c r="M67" s="130" t="s">
        <v>197</v>
      </c>
      <c r="N67">
        <v>2026</v>
      </c>
    </row>
    <row r="68" spans="1:14">
      <c r="A68" s="4">
        <v>67</v>
      </c>
      <c r="B68" s="58" t="s">
        <v>33</v>
      </c>
      <c r="C68" s="4" t="s">
        <v>34</v>
      </c>
      <c r="D68" s="4" t="s">
        <v>19</v>
      </c>
      <c r="E68" s="4" t="s">
        <v>82</v>
      </c>
      <c r="F68" s="4"/>
      <c r="G68" s="64" t="s">
        <v>83</v>
      </c>
      <c r="H68" s="65" t="s">
        <v>86</v>
      </c>
      <c r="I68" s="6">
        <v>1688.3116883116884</v>
      </c>
      <c r="J68" s="4" t="s">
        <v>14</v>
      </c>
      <c r="K68" s="4" t="s">
        <v>14</v>
      </c>
      <c r="L68" s="4" t="s">
        <v>14</v>
      </c>
      <c r="M68" s="130" t="s">
        <v>197</v>
      </c>
      <c r="N68">
        <v>2026</v>
      </c>
    </row>
    <row r="69" spans="1:14">
      <c r="A69" s="4">
        <v>68</v>
      </c>
      <c r="B69" s="58" t="s">
        <v>33</v>
      </c>
      <c r="C69" s="4" t="s">
        <v>35</v>
      </c>
      <c r="D69" s="4" t="s">
        <v>19</v>
      </c>
      <c r="E69" s="4" t="s">
        <v>82</v>
      </c>
      <c r="F69" s="4"/>
      <c r="G69" s="64" t="s">
        <v>83</v>
      </c>
      <c r="H69" s="65" t="s">
        <v>86</v>
      </c>
      <c r="I69" s="6">
        <v>13371.628415584417</v>
      </c>
      <c r="J69" s="4" t="s">
        <v>14</v>
      </c>
      <c r="K69" s="4" t="s">
        <v>14</v>
      </c>
      <c r="L69" s="4" t="s">
        <v>14</v>
      </c>
      <c r="M69" s="130" t="s">
        <v>197</v>
      </c>
      <c r="N69">
        <v>2026</v>
      </c>
    </row>
    <row r="70" spans="1:14">
      <c r="A70" s="4">
        <v>69</v>
      </c>
      <c r="B70" s="58" t="s">
        <v>40</v>
      </c>
      <c r="C70" s="4" t="s">
        <v>42</v>
      </c>
      <c r="D70" s="4" t="s">
        <v>19</v>
      </c>
      <c r="E70" s="4" t="s">
        <v>82</v>
      </c>
      <c r="F70" s="4"/>
      <c r="G70" s="64" t="s">
        <v>83</v>
      </c>
      <c r="H70" s="65" t="s">
        <v>86</v>
      </c>
      <c r="I70" s="6">
        <v>6149.3506623376625</v>
      </c>
      <c r="J70" s="4" t="s">
        <v>14</v>
      </c>
      <c r="K70" s="4" t="s">
        <v>14</v>
      </c>
      <c r="L70" s="4" t="s">
        <v>14</v>
      </c>
      <c r="M70" s="130" t="s">
        <v>197</v>
      </c>
      <c r="N70">
        <v>2026</v>
      </c>
    </row>
    <row r="71" spans="1:14">
      <c r="A71" s="4">
        <v>70</v>
      </c>
      <c r="B71" s="58" t="s">
        <v>40</v>
      </c>
      <c r="C71" s="58" t="s">
        <v>43</v>
      </c>
      <c r="D71" s="4" t="s">
        <v>19</v>
      </c>
      <c r="E71" s="4" t="s">
        <v>82</v>
      </c>
      <c r="F71" s="4"/>
      <c r="G71" s="64" t="s">
        <v>83</v>
      </c>
      <c r="H71" s="65" t="s">
        <v>86</v>
      </c>
      <c r="I71" s="6">
        <v>28218.531551948054</v>
      </c>
      <c r="J71" s="4" t="s">
        <v>14</v>
      </c>
      <c r="K71" s="4" t="s">
        <v>14</v>
      </c>
      <c r="L71" s="4" t="s">
        <v>14</v>
      </c>
      <c r="M71" s="130" t="s">
        <v>197</v>
      </c>
      <c r="N71">
        <v>2026</v>
      </c>
    </row>
    <row r="72" spans="1:14">
      <c r="A72" s="4">
        <v>71</v>
      </c>
      <c r="B72" s="58" t="s">
        <v>31</v>
      </c>
      <c r="C72" s="4" t="s">
        <v>32</v>
      </c>
      <c r="D72" s="4" t="s">
        <v>19</v>
      </c>
      <c r="E72" s="4" t="s">
        <v>82</v>
      </c>
      <c r="F72" s="4"/>
      <c r="G72" s="64" t="s">
        <v>83</v>
      </c>
      <c r="H72" s="65" t="s">
        <v>86</v>
      </c>
      <c r="I72" s="6">
        <v>26565.043149350651</v>
      </c>
      <c r="J72" s="4" t="s">
        <v>14</v>
      </c>
      <c r="K72" s="4" t="s">
        <v>14</v>
      </c>
      <c r="L72" s="4" t="s">
        <v>14</v>
      </c>
      <c r="M72" s="130" t="s">
        <v>197</v>
      </c>
      <c r="N72">
        <v>2026</v>
      </c>
    </row>
    <row r="73" spans="1:14">
      <c r="A73" s="4">
        <v>72</v>
      </c>
      <c r="B73" s="58" t="s">
        <v>50</v>
      </c>
      <c r="C73" s="4" t="s">
        <v>60</v>
      </c>
      <c r="D73" s="4" t="s">
        <v>19</v>
      </c>
      <c r="E73" s="4" t="s">
        <v>82</v>
      </c>
      <c r="F73" s="4"/>
      <c r="G73" s="64" t="s">
        <v>83</v>
      </c>
      <c r="H73" s="65" t="s">
        <v>86</v>
      </c>
      <c r="I73" s="6">
        <v>91435.965448051938</v>
      </c>
      <c r="J73" s="4" t="s">
        <v>14</v>
      </c>
      <c r="K73" s="4" t="s">
        <v>14</v>
      </c>
      <c r="L73" s="4" t="s">
        <v>14</v>
      </c>
      <c r="M73" s="130" t="s">
        <v>197</v>
      </c>
      <c r="N73">
        <v>2026</v>
      </c>
    </row>
    <row r="74" spans="1:14">
      <c r="A74" s="4">
        <v>73</v>
      </c>
      <c r="B74" s="58" t="s">
        <v>56</v>
      </c>
      <c r="C74" s="58" t="s">
        <v>57</v>
      </c>
      <c r="D74" s="4" t="s">
        <v>19</v>
      </c>
      <c r="E74" s="4" t="s">
        <v>82</v>
      </c>
      <c r="F74" s="4"/>
      <c r="G74" s="64" t="s">
        <v>83</v>
      </c>
      <c r="H74" s="65" t="s">
        <v>86</v>
      </c>
      <c r="I74" s="6">
        <v>3503.9960649350642</v>
      </c>
      <c r="J74" s="4" t="s">
        <v>14</v>
      </c>
      <c r="K74" s="4" t="s">
        <v>14</v>
      </c>
      <c r="L74" s="4" t="s">
        <v>14</v>
      </c>
      <c r="M74" s="130" t="s">
        <v>197</v>
      </c>
      <c r="N74">
        <v>2026</v>
      </c>
    </row>
    <row r="75" spans="1:14">
      <c r="A75" s="4">
        <v>74</v>
      </c>
      <c r="B75" s="58" t="s">
        <v>17</v>
      </c>
      <c r="C75" s="4" t="s">
        <v>22</v>
      </c>
      <c r="D75" s="4" t="s">
        <v>19</v>
      </c>
      <c r="E75" s="4" t="s">
        <v>82</v>
      </c>
      <c r="F75" s="4"/>
      <c r="G75" s="64" t="s">
        <v>83</v>
      </c>
      <c r="H75" s="65" t="s">
        <v>86</v>
      </c>
      <c r="I75" s="6">
        <v>1925.5744285714286</v>
      </c>
      <c r="J75" s="4" t="s">
        <v>14</v>
      </c>
      <c r="K75" s="4" t="s">
        <v>14</v>
      </c>
      <c r="L75" s="4" t="s">
        <v>14</v>
      </c>
      <c r="M75" s="130" t="s">
        <v>197</v>
      </c>
      <c r="N75">
        <v>2026</v>
      </c>
    </row>
    <row r="76" spans="1:14">
      <c r="A76" s="4">
        <v>75</v>
      </c>
      <c r="B76" s="58" t="s">
        <v>40</v>
      </c>
      <c r="C76" s="4" t="s">
        <v>44</v>
      </c>
      <c r="D76" s="4" t="s">
        <v>19</v>
      </c>
      <c r="E76" s="4" t="s">
        <v>82</v>
      </c>
      <c r="F76" s="4"/>
      <c r="G76" s="64" t="s">
        <v>83</v>
      </c>
      <c r="H76" s="65" t="s">
        <v>86</v>
      </c>
      <c r="I76" s="6">
        <v>7330.1698571428569</v>
      </c>
      <c r="J76" s="4" t="s">
        <v>14</v>
      </c>
      <c r="K76" s="4" t="s">
        <v>14</v>
      </c>
      <c r="L76" s="4" t="s">
        <v>14</v>
      </c>
      <c r="M76" s="130" t="s">
        <v>197</v>
      </c>
      <c r="N76">
        <v>2026</v>
      </c>
    </row>
    <row r="77" spans="1:14">
      <c r="A77" s="4">
        <v>76</v>
      </c>
      <c r="B77" s="58" t="s">
        <v>33</v>
      </c>
      <c r="C77" s="4" t="s">
        <v>37</v>
      </c>
      <c r="D77" s="4" t="s">
        <v>19</v>
      </c>
      <c r="E77" s="4" t="s">
        <v>82</v>
      </c>
      <c r="F77" s="4"/>
      <c r="G77" s="64" t="s">
        <v>83</v>
      </c>
      <c r="H77" s="65" t="s">
        <v>86</v>
      </c>
      <c r="I77" s="6">
        <v>1168.8311688311687</v>
      </c>
      <c r="J77" s="4" t="s">
        <v>14</v>
      </c>
      <c r="K77" s="4" t="s">
        <v>14</v>
      </c>
      <c r="L77" s="4" t="s">
        <v>14</v>
      </c>
      <c r="M77" s="130" t="s">
        <v>197</v>
      </c>
      <c r="N77">
        <v>2026</v>
      </c>
    </row>
    <row r="78" spans="1:14">
      <c r="A78" s="4">
        <v>77</v>
      </c>
      <c r="B78" s="58" t="s">
        <v>33</v>
      </c>
      <c r="C78" s="4" t="s">
        <v>39</v>
      </c>
      <c r="D78" s="4" t="s">
        <v>19</v>
      </c>
      <c r="E78" s="4" t="s">
        <v>82</v>
      </c>
      <c r="F78" s="4"/>
      <c r="G78" s="64" t="s">
        <v>83</v>
      </c>
      <c r="H78" s="65" t="s">
        <v>86</v>
      </c>
      <c r="I78" s="6">
        <v>1835.6643506493508</v>
      </c>
      <c r="J78" s="4" t="s">
        <v>14</v>
      </c>
      <c r="K78" s="4" t="s">
        <v>14</v>
      </c>
      <c r="L78" s="4" t="s">
        <v>14</v>
      </c>
      <c r="M78" s="130" t="s">
        <v>197</v>
      </c>
      <c r="N78">
        <v>2026</v>
      </c>
    </row>
    <row r="79" spans="1:14">
      <c r="A79" s="4">
        <v>78</v>
      </c>
      <c r="B79" s="58" t="s">
        <v>40</v>
      </c>
      <c r="C79" s="4" t="s">
        <v>45</v>
      </c>
      <c r="D79" s="4" t="s">
        <v>19</v>
      </c>
      <c r="E79" s="4" t="s">
        <v>82</v>
      </c>
      <c r="F79" s="4"/>
      <c r="G79" s="64" t="s">
        <v>83</v>
      </c>
      <c r="H79" s="65" t="s">
        <v>86</v>
      </c>
      <c r="I79" s="6">
        <v>10594.905103896104</v>
      </c>
      <c r="J79" s="4" t="s">
        <v>14</v>
      </c>
      <c r="K79" s="4" t="s">
        <v>14</v>
      </c>
      <c r="L79" s="4" t="s">
        <v>14</v>
      </c>
      <c r="M79" s="130" t="s">
        <v>197</v>
      </c>
      <c r="N79">
        <v>2026</v>
      </c>
    </row>
    <row r="80" spans="1:14">
      <c r="A80" s="4">
        <v>79</v>
      </c>
      <c r="B80" s="58" t="s">
        <v>17</v>
      </c>
      <c r="C80" s="4" t="s">
        <v>400</v>
      </c>
      <c r="D80" s="4" t="s">
        <v>19</v>
      </c>
      <c r="E80" s="4" t="s">
        <v>82</v>
      </c>
      <c r="F80" s="4"/>
      <c r="G80" s="64" t="s">
        <v>83</v>
      </c>
      <c r="H80" s="65" t="s">
        <v>86</v>
      </c>
      <c r="I80" s="6">
        <v>10000.000025974025</v>
      </c>
      <c r="J80" s="4" t="s">
        <v>14</v>
      </c>
      <c r="K80" s="4" t="s">
        <v>14</v>
      </c>
      <c r="L80" s="4" t="s">
        <v>14</v>
      </c>
      <c r="M80" s="130" t="s">
        <v>197</v>
      </c>
      <c r="N80">
        <v>2026</v>
      </c>
    </row>
    <row r="81" spans="1:14">
      <c r="A81" s="4">
        <v>80</v>
      </c>
      <c r="B81" s="58" t="s">
        <v>40</v>
      </c>
      <c r="C81" s="4" t="s">
        <v>247</v>
      </c>
      <c r="D81" s="4" t="s">
        <v>19</v>
      </c>
      <c r="E81" s="4" t="s">
        <v>82</v>
      </c>
      <c r="F81" s="4"/>
      <c r="G81" s="64" t="s">
        <v>83</v>
      </c>
      <c r="H81" s="65" t="s">
        <v>86</v>
      </c>
      <c r="I81" s="6">
        <v>50281.540792207794</v>
      </c>
      <c r="J81" s="4" t="s">
        <v>14</v>
      </c>
      <c r="K81" s="4" t="s">
        <v>14</v>
      </c>
      <c r="L81" s="4" t="s">
        <v>14</v>
      </c>
      <c r="M81" s="130" t="s">
        <v>197</v>
      </c>
      <c r="N81">
        <v>2026</v>
      </c>
    </row>
    <row r="82" spans="1:14">
      <c r="A82" s="4">
        <v>81</v>
      </c>
      <c r="B82" s="58" t="s">
        <v>40</v>
      </c>
      <c r="C82" s="58" t="s">
        <v>48</v>
      </c>
      <c r="D82" s="4" t="s">
        <v>19</v>
      </c>
      <c r="E82" s="4" t="s">
        <v>82</v>
      </c>
      <c r="F82" s="4"/>
      <c r="G82" s="64" t="s">
        <v>83</v>
      </c>
      <c r="H82" s="65" t="s">
        <v>86</v>
      </c>
      <c r="I82" s="6">
        <v>16988.049980519481</v>
      </c>
      <c r="J82" s="4" t="s">
        <v>14</v>
      </c>
      <c r="K82" s="4" t="s">
        <v>14</v>
      </c>
      <c r="L82" s="4" t="s">
        <v>14</v>
      </c>
      <c r="M82" s="130" t="s">
        <v>197</v>
      </c>
      <c r="N82">
        <v>2026</v>
      </c>
    </row>
    <row r="83" spans="1:14">
      <c r="A83" s="4">
        <v>82</v>
      </c>
      <c r="B83" s="58" t="s">
        <v>40</v>
      </c>
      <c r="C83" s="4" t="s">
        <v>47</v>
      </c>
      <c r="D83" s="4" t="s">
        <v>19</v>
      </c>
      <c r="E83" s="4" t="s">
        <v>82</v>
      </c>
      <c r="F83" s="4"/>
      <c r="G83" s="64" t="s">
        <v>83</v>
      </c>
      <c r="H83" s="65" t="s">
        <v>86</v>
      </c>
      <c r="I83" s="6">
        <v>909.09090909090912</v>
      </c>
      <c r="J83" s="4" t="s">
        <v>14</v>
      </c>
      <c r="K83" s="4" t="s">
        <v>14</v>
      </c>
      <c r="L83" s="4" t="s">
        <v>14</v>
      </c>
      <c r="M83" s="130" t="s">
        <v>197</v>
      </c>
      <c r="N83">
        <v>2026</v>
      </c>
    </row>
    <row r="84" spans="1:14">
      <c r="A84" s="4">
        <v>83</v>
      </c>
      <c r="B84" s="58" t="s">
        <v>40</v>
      </c>
      <c r="C84" s="4" t="s">
        <v>49</v>
      </c>
      <c r="D84" s="4" t="s">
        <v>19</v>
      </c>
      <c r="E84" s="4" t="s">
        <v>82</v>
      </c>
      <c r="F84" s="4"/>
      <c r="G84" s="64" t="s">
        <v>83</v>
      </c>
      <c r="H84" s="65" t="s">
        <v>86</v>
      </c>
      <c r="I84" s="6">
        <v>516.98302597402596</v>
      </c>
      <c r="J84" s="4" t="s">
        <v>14</v>
      </c>
      <c r="K84" s="4" t="s">
        <v>14</v>
      </c>
      <c r="L84" s="4" t="s">
        <v>14</v>
      </c>
      <c r="M84" s="130" t="s">
        <v>197</v>
      </c>
      <c r="N84">
        <v>2026</v>
      </c>
    </row>
    <row r="85" spans="1:14">
      <c r="A85" s="4">
        <v>84</v>
      </c>
      <c r="B85" s="58" t="s">
        <v>17</v>
      </c>
      <c r="C85" s="4" t="s">
        <v>25</v>
      </c>
      <c r="D85" s="4" t="s">
        <v>19</v>
      </c>
      <c r="E85" s="4" t="s">
        <v>82</v>
      </c>
      <c r="F85" s="4"/>
      <c r="G85" s="64" t="s">
        <v>83</v>
      </c>
      <c r="H85" s="65" t="s">
        <v>86</v>
      </c>
      <c r="I85" s="6">
        <v>9865.1348831168834</v>
      </c>
      <c r="J85" s="4" t="s">
        <v>14</v>
      </c>
      <c r="K85" s="4" t="s">
        <v>14</v>
      </c>
      <c r="L85" s="4" t="s">
        <v>14</v>
      </c>
      <c r="M85" s="130" t="s">
        <v>197</v>
      </c>
      <c r="N85">
        <v>2026</v>
      </c>
    </row>
    <row r="86" spans="1:14">
      <c r="A86" s="4">
        <v>85</v>
      </c>
      <c r="B86" s="4" t="s">
        <v>17</v>
      </c>
      <c r="C86" s="4" t="s">
        <v>18</v>
      </c>
      <c r="D86" s="131" t="s">
        <v>19</v>
      </c>
      <c r="E86" s="4" t="s">
        <v>82</v>
      </c>
      <c r="F86" s="4"/>
      <c r="G86" t="s">
        <v>401</v>
      </c>
      <c r="H86" s="131" t="s">
        <v>86</v>
      </c>
      <c r="I86" s="6">
        <v>5600</v>
      </c>
      <c r="J86" s="4" t="s">
        <v>14</v>
      </c>
      <c r="K86" s="13" t="s">
        <v>14</v>
      </c>
      <c r="L86" s="4" t="s">
        <v>14</v>
      </c>
      <c r="M86" s="130" t="s">
        <v>197</v>
      </c>
      <c r="N86">
        <v>2026</v>
      </c>
    </row>
    <row r="87" spans="1:14">
      <c r="A87" s="4"/>
      <c r="B87" s="4"/>
      <c r="C87" s="4"/>
      <c r="D87" s="4"/>
      <c r="E87" s="4"/>
      <c r="F87" s="4"/>
      <c r="H87" s="4"/>
      <c r="I87" s="6"/>
      <c r="J87" s="4"/>
      <c r="K87" s="4"/>
      <c r="L87" s="4"/>
      <c r="M87" s="4"/>
      <c r="N87" s="4"/>
    </row>
    <row r="88" spans="1:14">
      <c r="A88" s="4"/>
      <c r="B88" s="4"/>
      <c r="C88" s="4"/>
      <c r="D88" s="4"/>
      <c r="E88" s="4"/>
      <c r="F88" s="4"/>
      <c r="H88" s="4"/>
      <c r="I88" s="6"/>
      <c r="J88" s="4"/>
      <c r="K88" s="4"/>
      <c r="L88" s="4"/>
      <c r="M88" s="4"/>
      <c r="N88" s="4"/>
    </row>
    <row r="89" spans="1:14">
      <c r="A89" s="4"/>
      <c r="B89" s="4"/>
      <c r="C89" s="4"/>
      <c r="D89" s="4"/>
      <c r="E89" s="4"/>
      <c r="F89" s="4"/>
      <c r="H89" s="4"/>
      <c r="I89" s="6"/>
      <c r="J89" s="4"/>
      <c r="K89" s="4"/>
      <c r="L89" s="4"/>
      <c r="M89" s="4"/>
      <c r="N89" s="4"/>
    </row>
    <row r="90" spans="1:14">
      <c r="A90" s="4"/>
      <c r="B90" s="4"/>
      <c r="C90" s="4"/>
      <c r="D90" s="4"/>
      <c r="E90" s="4"/>
      <c r="F90" s="4"/>
      <c r="H90" s="4"/>
      <c r="I90" s="6"/>
      <c r="J90" s="4"/>
      <c r="K90" s="4"/>
      <c r="L90" s="4"/>
      <c r="M90" s="4"/>
      <c r="N90" s="4"/>
    </row>
    <row r="91" spans="1:14">
      <c r="A91" s="4"/>
      <c r="B91" s="4"/>
      <c r="C91" s="4"/>
      <c r="D91" s="4"/>
      <c r="E91" s="4"/>
      <c r="F91" s="4"/>
      <c r="H91" s="4"/>
      <c r="I91" s="6"/>
      <c r="J91" s="4"/>
      <c r="K91" s="4"/>
      <c r="L91" s="4"/>
      <c r="M91" s="4"/>
      <c r="N91" s="4"/>
    </row>
    <row r="92" spans="1:14">
      <c r="A92" s="4"/>
      <c r="B92" s="4"/>
      <c r="C92" s="4"/>
      <c r="D92" s="4"/>
      <c r="E92" s="4"/>
      <c r="F92" s="4"/>
      <c r="H92" s="4"/>
      <c r="I92" s="6"/>
      <c r="J92" s="4"/>
      <c r="K92" s="4"/>
      <c r="L92" s="4"/>
      <c r="M92" s="4"/>
      <c r="N92" s="4"/>
    </row>
    <row r="93" spans="1:14">
      <c r="A93" s="4"/>
      <c r="B93" s="4"/>
      <c r="C93" s="4"/>
      <c r="D93" s="4"/>
      <c r="E93" s="4"/>
      <c r="F93" s="4"/>
      <c r="H93" s="4"/>
      <c r="I93" s="6"/>
      <c r="J93" s="4"/>
      <c r="K93" s="4"/>
      <c r="L93" s="4"/>
      <c r="M93" s="4"/>
      <c r="N93" s="4"/>
    </row>
    <row r="94" spans="1:14">
      <c r="A94" s="4"/>
      <c r="B94" s="4"/>
      <c r="C94" s="4"/>
      <c r="D94" s="4"/>
      <c r="E94" s="4"/>
      <c r="F94" s="4"/>
      <c r="H94" s="4"/>
      <c r="I94" s="6"/>
      <c r="J94" s="4"/>
      <c r="K94" s="4"/>
      <c r="L94" s="4"/>
      <c r="M94" s="4"/>
      <c r="N94" s="4"/>
    </row>
    <row r="95" spans="1:14">
      <c r="A95" s="4"/>
      <c r="B95" s="4"/>
      <c r="C95" s="4"/>
      <c r="D95" s="4"/>
      <c r="E95" s="4"/>
      <c r="F95" s="4"/>
      <c r="H95" s="4"/>
      <c r="I95" s="6"/>
      <c r="J95" s="4"/>
      <c r="K95" s="4"/>
      <c r="L95" s="4"/>
      <c r="M95" s="4"/>
      <c r="N95" s="4"/>
    </row>
    <row r="96" spans="1:14">
      <c r="A96" s="4"/>
      <c r="B96" s="4"/>
      <c r="C96" s="4"/>
      <c r="D96" s="4"/>
      <c r="E96" s="4"/>
      <c r="F96" s="4"/>
      <c r="H96" s="4"/>
      <c r="I96" s="6"/>
      <c r="J96" s="4"/>
      <c r="K96" s="4"/>
      <c r="L96" s="4"/>
      <c r="M96" s="4"/>
      <c r="N96" s="4"/>
    </row>
    <row r="97" spans="1:14">
      <c r="A97" s="4"/>
      <c r="B97" s="4"/>
      <c r="C97" s="4"/>
      <c r="D97" s="4"/>
      <c r="E97" s="4"/>
      <c r="F97" s="4"/>
      <c r="H97" s="4"/>
      <c r="I97" s="6"/>
      <c r="J97" s="4"/>
      <c r="K97" s="4"/>
      <c r="L97" s="4"/>
      <c r="M97" s="4"/>
      <c r="N97" s="4"/>
    </row>
    <row r="98" spans="1:14">
      <c r="A98" s="4"/>
      <c r="B98" s="4"/>
      <c r="C98" s="4"/>
      <c r="D98" s="4"/>
      <c r="E98" s="4"/>
      <c r="F98" s="4"/>
      <c r="H98" s="4"/>
      <c r="I98" s="6"/>
      <c r="J98" s="4"/>
      <c r="K98" s="4"/>
      <c r="L98" s="4"/>
      <c r="M98" s="4"/>
      <c r="N98" s="4"/>
    </row>
    <row r="99" spans="1:14">
      <c r="A99" s="4"/>
      <c r="B99" s="4"/>
      <c r="C99" s="4"/>
      <c r="D99" s="4"/>
      <c r="E99" s="4"/>
      <c r="F99" s="4"/>
      <c r="H99" s="4"/>
      <c r="I99" s="6"/>
      <c r="J99" s="4"/>
      <c r="K99" s="4"/>
      <c r="L99" s="4"/>
      <c r="M99" s="4"/>
      <c r="N99" s="4"/>
    </row>
    <row r="100" spans="1:14">
      <c r="A100" s="4"/>
      <c r="B100" s="4"/>
      <c r="C100" s="4"/>
      <c r="D100" s="4"/>
      <c r="E100" s="4"/>
      <c r="F100" s="4"/>
      <c r="H100" s="4"/>
      <c r="I100" s="6"/>
      <c r="J100" s="4"/>
      <c r="K100" s="4"/>
      <c r="L100" s="4"/>
      <c r="M100" s="4"/>
      <c r="N100" s="4"/>
    </row>
    <row r="101" spans="1:14">
      <c r="A101" s="4"/>
      <c r="B101" s="4"/>
      <c r="C101" s="4"/>
      <c r="D101" s="4"/>
      <c r="E101" s="4"/>
      <c r="F101" s="4"/>
      <c r="H101" s="4"/>
      <c r="I101" s="6"/>
      <c r="J101" s="4"/>
      <c r="K101" s="4"/>
      <c r="L101" s="4"/>
      <c r="M101" s="4"/>
      <c r="N101" s="4"/>
    </row>
    <row r="102" spans="1:14">
      <c r="A102" s="4"/>
      <c r="B102" s="4"/>
      <c r="C102" s="4"/>
      <c r="D102" s="4"/>
      <c r="E102" s="4"/>
      <c r="F102" s="4"/>
      <c r="H102" s="4"/>
      <c r="I102" s="6"/>
      <c r="J102" s="4"/>
      <c r="K102" s="4"/>
      <c r="L102" s="4"/>
      <c r="M102" s="4"/>
      <c r="N102" s="4"/>
    </row>
    <row r="103" spans="1:14">
      <c r="A103" s="4"/>
      <c r="B103" s="4"/>
      <c r="C103" s="4"/>
      <c r="D103" s="4"/>
      <c r="E103" s="4"/>
      <c r="F103" s="4"/>
      <c r="H103" s="4"/>
      <c r="I103" s="6"/>
      <c r="J103" s="4"/>
      <c r="K103" s="4"/>
      <c r="L103" s="4"/>
      <c r="M103" s="4"/>
      <c r="N103" s="4"/>
    </row>
    <row r="104" spans="1:14">
      <c r="A104" s="4"/>
      <c r="B104" s="4"/>
      <c r="C104" s="4"/>
      <c r="D104" s="4"/>
      <c r="E104" s="4"/>
      <c r="F104" s="4"/>
      <c r="H104" s="4"/>
      <c r="I104" s="6"/>
      <c r="J104" s="4"/>
      <c r="K104" s="4"/>
      <c r="L104" s="4"/>
      <c r="M104" s="4"/>
      <c r="N104" s="4"/>
    </row>
    <row r="105" spans="1:14">
      <c r="A105" s="4"/>
      <c r="B105" s="4"/>
      <c r="C105" s="4"/>
      <c r="D105" s="4"/>
      <c r="E105" s="4"/>
      <c r="F105" s="4"/>
      <c r="H105" s="4"/>
      <c r="I105" s="6"/>
      <c r="J105" s="4"/>
      <c r="K105" s="4"/>
      <c r="L105" s="4"/>
      <c r="M105" s="4"/>
      <c r="N105" s="4"/>
    </row>
    <row r="106" spans="1:14">
      <c r="A106" s="4"/>
      <c r="B106" s="4"/>
      <c r="C106" s="4"/>
      <c r="D106" s="4"/>
      <c r="E106" s="4"/>
      <c r="F106" s="4"/>
      <c r="H106" s="4"/>
      <c r="I106" s="6"/>
      <c r="J106" s="4"/>
      <c r="K106" s="4"/>
      <c r="L106" s="4"/>
      <c r="M106" s="4"/>
      <c r="N106" s="4"/>
    </row>
    <row r="107" spans="1:14">
      <c r="A107" s="4"/>
      <c r="B107" s="4"/>
      <c r="C107" s="4"/>
      <c r="D107" s="4"/>
      <c r="E107" s="4"/>
      <c r="F107" s="4"/>
      <c r="H107" s="4"/>
      <c r="I107" s="6"/>
      <c r="J107" s="4"/>
      <c r="K107" s="4"/>
      <c r="L107" s="4"/>
      <c r="M107" s="4"/>
      <c r="N107" s="4"/>
    </row>
    <row r="108" spans="1:14">
      <c r="A108" s="4"/>
      <c r="B108" s="4"/>
      <c r="C108" s="4"/>
      <c r="D108" s="4"/>
      <c r="E108" s="4"/>
      <c r="F108" s="4"/>
      <c r="H108" s="4"/>
      <c r="I108" s="6"/>
      <c r="J108" s="4"/>
      <c r="K108" s="4"/>
      <c r="L108" s="4"/>
      <c r="M108" s="4"/>
      <c r="N108" s="4"/>
    </row>
    <row r="109" spans="1:14">
      <c r="A109" s="4"/>
      <c r="B109" s="4"/>
      <c r="C109" s="4"/>
      <c r="D109" s="4"/>
      <c r="E109" s="4"/>
      <c r="F109" s="4"/>
      <c r="H109" s="4"/>
      <c r="I109" s="6"/>
      <c r="J109" s="4"/>
      <c r="K109" s="4"/>
      <c r="L109" s="4"/>
      <c r="M109" s="4"/>
      <c r="N109" s="4"/>
    </row>
    <row r="110" spans="1:14">
      <c r="A110" s="4"/>
      <c r="B110" s="4"/>
      <c r="C110" s="4"/>
      <c r="D110" s="4"/>
      <c r="E110" s="4"/>
      <c r="F110" s="4"/>
      <c r="H110" s="4"/>
      <c r="I110" s="6"/>
      <c r="J110" s="4"/>
      <c r="K110" s="4"/>
      <c r="L110" s="4"/>
      <c r="M110" s="4"/>
      <c r="N110" s="4"/>
    </row>
    <row r="111" spans="1:14">
      <c r="A111" s="4"/>
      <c r="B111" s="4"/>
      <c r="C111" s="4"/>
      <c r="D111" s="4"/>
      <c r="E111" s="4"/>
      <c r="F111" s="4"/>
      <c r="H111" s="4"/>
      <c r="I111" s="6"/>
      <c r="J111" s="4"/>
      <c r="K111" s="4"/>
      <c r="L111" s="4"/>
      <c r="M111" s="4"/>
      <c r="N111" s="4"/>
    </row>
    <row r="112" spans="1:14">
      <c r="A112" s="4"/>
      <c r="B112" s="4"/>
      <c r="C112" s="4"/>
      <c r="D112" s="4"/>
      <c r="E112" s="4"/>
      <c r="F112" s="4"/>
      <c r="H112" s="4"/>
      <c r="I112" s="6"/>
      <c r="J112" s="4"/>
      <c r="K112" s="4"/>
      <c r="L112" s="4"/>
      <c r="M112" s="4"/>
      <c r="N112" s="4"/>
    </row>
    <row r="113" spans="1:14">
      <c r="A113" s="4"/>
      <c r="B113" s="4"/>
      <c r="C113" s="4"/>
      <c r="D113" s="4"/>
      <c r="E113" s="4"/>
      <c r="F113" s="4"/>
      <c r="H113" s="4"/>
      <c r="I113" s="6"/>
      <c r="J113" s="4"/>
      <c r="K113" s="4"/>
      <c r="L113" s="4"/>
      <c r="M113" s="4"/>
      <c r="N113" s="4"/>
    </row>
    <row r="114" spans="1:14">
      <c r="A114" s="4"/>
      <c r="B114" s="4"/>
      <c r="C114" s="4"/>
      <c r="D114" s="4"/>
      <c r="E114" s="4"/>
      <c r="F114" s="4"/>
      <c r="H114" s="4"/>
      <c r="I114" s="6"/>
      <c r="J114" s="4"/>
      <c r="K114" s="4"/>
      <c r="L114" s="4"/>
      <c r="M114" s="4"/>
      <c r="N114" s="4"/>
    </row>
    <row r="115" spans="1:14">
      <c r="A115" s="4"/>
      <c r="B115" s="4"/>
      <c r="C115" s="4"/>
      <c r="D115" s="4"/>
      <c r="E115" s="4"/>
      <c r="F115" s="4"/>
      <c r="H115" s="4"/>
      <c r="I115" s="6"/>
      <c r="J115" s="4"/>
      <c r="K115" s="4"/>
      <c r="L115" s="4"/>
      <c r="M115" s="4"/>
      <c r="N115" s="4"/>
    </row>
    <row r="116" spans="1:14">
      <c r="A116" s="4"/>
      <c r="B116" s="4"/>
      <c r="C116" s="4"/>
      <c r="D116" s="4"/>
      <c r="E116" s="4"/>
      <c r="F116" s="4"/>
      <c r="H116" s="4"/>
      <c r="I116" s="6"/>
      <c r="J116" s="4"/>
      <c r="K116" s="4"/>
      <c r="L116" s="4"/>
      <c r="M116" s="4"/>
      <c r="N116" s="4"/>
    </row>
    <row r="117" spans="1:14">
      <c r="A117" s="4"/>
      <c r="B117" s="4"/>
      <c r="C117" s="4"/>
      <c r="D117" s="4"/>
      <c r="E117" s="4"/>
      <c r="F117" s="4"/>
      <c r="H117" s="4"/>
      <c r="I117" s="6"/>
      <c r="J117" s="4"/>
      <c r="K117" s="4"/>
      <c r="L117" s="4"/>
      <c r="M117" s="4"/>
      <c r="N117" s="4"/>
    </row>
    <row r="118" spans="1:14">
      <c r="A118" s="4"/>
      <c r="B118" s="4"/>
      <c r="C118" s="4"/>
      <c r="D118" s="4"/>
      <c r="E118" s="4"/>
      <c r="F118" s="4"/>
      <c r="H118" s="4"/>
      <c r="I118" s="6"/>
      <c r="J118" s="4"/>
      <c r="K118" s="4"/>
      <c r="L118" s="4"/>
      <c r="M118" s="4"/>
      <c r="N118" s="4"/>
    </row>
    <row r="119" spans="1:14">
      <c r="A119" s="4"/>
      <c r="B119" s="4"/>
      <c r="C119" s="4"/>
      <c r="D119" s="4"/>
      <c r="E119" s="4"/>
      <c r="F119" s="4"/>
      <c r="H119" s="4"/>
      <c r="I119" s="6"/>
      <c r="J119" s="4"/>
      <c r="K119" s="4"/>
      <c r="L119" s="4"/>
      <c r="M119" s="4"/>
      <c r="N119" s="4"/>
    </row>
    <row r="120" spans="1:14">
      <c r="A120" s="4"/>
      <c r="B120" s="4"/>
      <c r="C120" s="4"/>
      <c r="D120" s="4"/>
      <c r="E120" s="4"/>
      <c r="F120" s="4"/>
      <c r="H120" s="4"/>
      <c r="I120" s="6"/>
      <c r="J120" s="4"/>
      <c r="K120" s="4"/>
      <c r="L120" s="4"/>
      <c r="M120" s="4"/>
      <c r="N120" s="4"/>
    </row>
    <row r="121" spans="1:14">
      <c r="A121" s="4"/>
      <c r="B121" s="4"/>
      <c r="C121" s="4"/>
      <c r="D121" s="4"/>
      <c r="E121" s="4"/>
      <c r="F121" s="4"/>
      <c r="H121" s="4"/>
      <c r="I121" s="6"/>
      <c r="J121" s="4"/>
      <c r="K121" s="4"/>
      <c r="L121" s="4"/>
      <c r="M121" s="4"/>
      <c r="N121" s="4"/>
    </row>
    <row r="122" spans="1:14">
      <c r="A122" s="4"/>
      <c r="B122" s="4"/>
      <c r="C122" s="4"/>
      <c r="D122" s="4"/>
      <c r="E122" s="4"/>
      <c r="F122" s="4"/>
      <c r="H122" s="4"/>
      <c r="I122" s="6"/>
      <c r="J122" s="4"/>
      <c r="K122" s="4"/>
      <c r="L122" s="4"/>
      <c r="M122" s="4"/>
      <c r="N122" s="4"/>
    </row>
    <row r="123" spans="1:14">
      <c r="A123" s="4"/>
      <c r="B123" s="4"/>
      <c r="C123" s="4"/>
      <c r="D123" s="4"/>
      <c r="E123" s="4"/>
      <c r="F123" s="4"/>
      <c r="H123" s="4"/>
      <c r="I123" s="6"/>
      <c r="J123" s="4"/>
      <c r="K123" s="4"/>
      <c r="L123" s="4"/>
      <c r="M123" s="4"/>
      <c r="N123" s="4"/>
    </row>
    <row r="124" spans="1:14">
      <c r="A124" s="4"/>
      <c r="B124" s="4"/>
      <c r="C124" s="4"/>
      <c r="D124" s="4"/>
      <c r="E124" s="4"/>
      <c r="F124" s="4"/>
      <c r="H124" s="4"/>
      <c r="I124" s="6"/>
      <c r="J124" s="4"/>
      <c r="K124" s="4"/>
      <c r="L124" s="4"/>
      <c r="M124" s="4"/>
      <c r="N124" s="4"/>
    </row>
    <row r="125" spans="1:14">
      <c r="A125" s="4"/>
      <c r="B125" s="4"/>
      <c r="C125" s="4"/>
      <c r="D125" s="4"/>
      <c r="E125" s="4"/>
      <c r="F125" s="4"/>
      <c r="H125" s="4"/>
      <c r="I125" s="6"/>
      <c r="J125" s="4"/>
      <c r="K125" s="4"/>
      <c r="L125" s="4"/>
      <c r="M125" s="4"/>
      <c r="N125" s="4"/>
    </row>
    <row r="126" spans="1:14">
      <c r="A126" s="4"/>
      <c r="B126" s="4"/>
      <c r="C126" s="4"/>
      <c r="D126" s="4"/>
      <c r="E126" s="4"/>
      <c r="F126" s="4"/>
      <c r="H126" s="4"/>
      <c r="I126" s="6"/>
      <c r="J126" s="4"/>
      <c r="K126" s="4"/>
      <c r="L126" s="4"/>
      <c r="M126" s="4"/>
      <c r="N126" s="4"/>
    </row>
    <row r="127" spans="1:14">
      <c r="A127" s="4"/>
      <c r="B127" s="4"/>
      <c r="C127" s="4"/>
      <c r="D127" s="4"/>
      <c r="E127" s="4"/>
      <c r="F127" s="4"/>
      <c r="H127" s="4"/>
      <c r="I127" s="6"/>
      <c r="J127" s="4"/>
      <c r="K127" s="4"/>
      <c r="L127" s="4"/>
      <c r="M127" s="4"/>
      <c r="N127" s="4"/>
    </row>
    <row r="128" spans="1:14">
      <c r="A128" s="4"/>
      <c r="B128" s="4"/>
      <c r="C128" s="4"/>
      <c r="D128" s="4"/>
      <c r="E128" s="4"/>
      <c r="F128" s="4"/>
      <c r="H128" s="4"/>
      <c r="I128" s="6"/>
      <c r="J128" s="4"/>
      <c r="K128" s="4"/>
      <c r="L128" s="4"/>
      <c r="M128" s="4"/>
      <c r="N128" s="4"/>
    </row>
    <row r="129" spans="1:14">
      <c r="A129" s="4"/>
      <c r="B129" s="4"/>
      <c r="C129" s="4"/>
      <c r="D129" s="4"/>
      <c r="E129" s="4"/>
      <c r="F129" s="4"/>
      <c r="H129" s="4"/>
      <c r="I129" s="6"/>
      <c r="J129" s="4"/>
      <c r="K129" s="4"/>
      <c r="L129" s="4"/>
      <c r="M129" s="4"/>
      <c r="N129" s="4"/>
    </row>
    <row r="130" spans="1:14">
      <c r="A130" s="4"/>
      <c r="B130" s="4"/>
      <c r="C130" s="4"/>
      <c r="D130" s="4"/>
      <c r="E130" s="4"/>
      <c r="F130" s="4"/>
      <c r="H130" s="4"/>
      <c r="I130" s="6"/>
      <c r="J130" s="4"/>
      <c r="K130" s="4"/>
      <c r="L130" s="4"/>
      <c r="M130" s="4"/>
      <c r="N130" s="4"/>
    </row>
    <row r="131" spans="1:14">
      <c r="A131" s="4"/>
      <c r="B131" s="4"/>
      <c r="C131" s="4"/>
      <c r="D131" s="4"/>
      <c r="E131" s="4"/>
      <c r="F131" s="4"/>
      <c r="H131" s="4"/>
      <c r="I131" s="6"/>
      <c r="J131" s="4"/>
      <c r="K131" s="4"/>
      <c r="L131" s="4"/>
      <c r="M131" s="4"/>
      <c r="N131" s="4"/>
    </row>
    <row r="132" spans="1:14">
      <c r="A132" s="4"/>
      <c r="B132" s="4"/>
      <c r="C132" s="4"/>
      <c r="D132" s="4"/>
      <c r="E132" s="4"/>
      <c r="F132" s="4"/>
      <c r="H132" s="4"/>
      <c r="I132" s="6"/>
      <c r="J132" s="4"/>
      <c r="K132" s="4"/>
      <c r="L132" s="4"/>
      <c r="M132" s="4"/>
      <c r="N132" s="4"/>
    </row>
    <row r="133" spans="1:14">
      <c r="A133" s="4"/>
      <c r="B133" s="4"/>
      <c r="C133" s="4"/>
      <c r="D133" s="4"/>
      <c r="E133" s="4"/>
      <c r="F133" s="4"/>
      <c r="H133" s="4"/>
      <c r="I133" s="6"/>
      <c r="J133" s="4"/>
      <c r="K133" s="4"/>
      <c r="L133" s="4"/>
      <c r="M133" s="4"/>
      <c r="N133" s="4"/>
    </row>
    <row r="134" spans="1:14">
      <c r="A134" s="4"/>
      <c r="B134" s="4"/>
      <c r="C134" s="4"/>
      <c r="D134" s="4"/>
      <c r="E134" s="4"/>
      <c r="F134" s="4"/>
      <c r="H134" s="4"/>
      <c r="I134" s="6"/>
      <c r="J134" s="4"/>
      <c r="K134" s="4"/>
      <c r="L134" s="4"/>
      <c r="M134" s="4"/>
      <c r="N134" s="4"/>
    </row>
    <row r="135" spans="1:14">
      <c r="A135" s="4"/>
      <c r="B135" s="4"/>
      <c r="C135" s="4"/>
      <c r="D135" s="4"/>
      <c r="E135" s="4"/>
      <c r="F135" s="4"/>
      <c r="H135" s="4"/>
      <c r="I135" s="6"/>
      <c r="J135" s="4"/>
      <c r="K135" s="4"/>
      <c r="L135" s="4"/>
      <c r="M135" s="4"/>
      <c r="N135" s="4"/>
    </row>
    <row r="136" spans="1:14">
      <c r="A136" s="4"/>
      <c r="B136" s="4"/>
      <c r="C136" s="4"/>
      <c r="D136" s="4"/>
      <c r="E136" s="4"/>
      <c r="F136" s="4"/>
      <c r="H136" s="4"/>
      <c r="I136" s="6"/>
      <c r="J136" s="4"/>
      <c r="K136" s="4"/>
      <c r="L136" s="4"/>
      <c r="M136" s="4"/>
      <c r="N136" s="4"/>
    </row>
    <row r="137" spans="1:14">
      <c r="A137" s="4"/>
      <c r="B137" s="4"/>
      <c r="C137" s="4"/>
      <c r="D137" s="4"/>
      <c r="E137" s="4"/>
      <c r="F137" s="4"/>
      <c r="H137" s="4"/>
      <c r="I137" s="6"/>
      <c r="J137" s="4"/>
      <c r="K137" s="4"/>
      <c r="L137" s="4"/>
      <c r="M137" s="4"/>
      <c r="N137" s="4"/>
    </row>
    <row r="138" spans="1:14">
      <c r="A138" s="4"/>
      <c r="B138" s="4"/>
      <c r="C138" s="4"/>
      <c r="D138" s="4"/>
      <c r="E138" s="4"/>
      <c r="F138" s="4"/>
      <c r="H138" s="4"/>
      <c r="I138" s="6"/>
      <c r="J138" s="4"/>
      <c r="K138" s="4"/>
      <c r="L138" s="4"/>
      <c r="M138" s="4"/>
      <c r="N138" s="4"/>
    </row>
    <row r="139" spans="1:14">
      <c r="A139" s="4"/>
      <c r="B139" s="4"/>
      <c r="C139" s="4"/>
      <c r="D139" s="4"/>
      <c r="E139" s="4"/>
      <c r="F139" s="4"/>
      <c r="H139" s="4"/>
      <c r="I139" s="6"/>
      <c r="J139" s="4"/>
      <c r="K139" s="4"/>
      <c r="L139" s="4"/>
      <c r="M139" s="4"/>
      <c r="N139" s="4"/>
    </row>
    <row r="140" spans="1:14">
      <c r="A140" s="4"/>
      <c r="B140" s="4"/>
      <c r="C140" s="4"/>
      <c r="D140" s="4"/>
      <c r="E140" s="4"/>
      <c r="F140" s="4"/>
      <c r="H140" s="4"/>
      <c r="I140" s="6"/>
      <c r="J140" s="4"/>
      <c r="K140" s="4"/>
      <c r="L140" s="4"/>
      <c r="M140" s="4"/>
      <c r="N140" s="4"/>
    </row>
    <row r="141" spans="1:14">
      <c r="A141" s="4"/>
      <c r="B141" s="4"/>
      <c r="C141" s="4"/>
      <c r="D141" s="4"/>
      <c r="E141" s="4"/>
      <c r="F141" s="4"/>
      <c r="H141" s="4"/>
      <c r="I141" s="6"/>
      <c r="J141" s="4"/>
      <c r="K141" s="4"/>
      <c r="L141" s="4"/>
      <c r="M141" s="4"/>
      <c r="N141" s="4"/>
    </row>
    <row r="142" spans="1:14">
      <c r="A142" s="4"/>
      <c r="B142" s="4"/>
      <c r="C142" s="4"/>
      <c r="D142" s="4"/>
      <c r="E142" s="4"/>
      <c r="F142" s="4"/>
      <c r="H142" s="4"/>
      <c r="I142" s="6"/>
      <c r="J142" s="4"/>
      <c r="K142" s="4"/>
      <c r="L142" s="4"/>
      <c r="M142" s="4"/>
      <c r="N142" s="4"/>
    </row>
    <row r="143" spans="1:14">
      <c r="A143" s="4"/>
      <c r="B143" s="4"/>
      <c r="C143" s="4"/>
      <c r="D143" s="4"/>
      <c r="E143" s="4"/>
      <c r="F143" s="4"/>
      <c r="H143" s="4"/>
      <c r="I143" s="6"/>
      <c r="J143" s="4"/>
      <c r="K143" s="4"/>
      <c r="L143" s="4"/>
      <c r="M143" s="4"/>
      <c r="N143" s="4"/>
    </row>
    <row r="144" spans="1:14">
      <c r="A144" s="4"/>
      <c r="B144" s="4"/>
      <c r="C144" s="4"/>
      <c r="D144" s="4"/>
      <c r="E144" s="4"/>
      <c r="F144" s="4"/>
      <c r="H144" s="4"/>
      <c r="I144" s="6"/>
      <c r="J144" s="4"/>
      <c r="K144" s="4"/>
      <c r="L144" s="4"/>
      <c r="M144" s="4"/>
      <c r="N144" s="4"/>
    </row>
    <row r="145" spans="1:14">
      <c r="A145" s="4"/>
      <c r="B145" s="4"/>
      <c r="C145" s="4"/>
      <c r="D145" s="4"/>
      <c r="E145" s="4"/>
      <c r="F145" s="4"/>
      <c r="H145" s="4"/>
      <c r="I145" s="6"/>
      <c r="J145" s="4"/>
      <c r="K145" s="4"/>
      <c r="L145" s="4"/>
      <c r="M145" s="4"/>
      <c r="N145" s="4"/>
    </row>
    <row r="146" spans="1:14">
      <c r="A146" s="4"/>
      <c r="B146" s="4"/>
      <c r="C146" s="4"/>
      <c r="D146" s="4"/>
      <c r="E146" s="4"/>
      <c r="F146" s="4"/>
      <c r="H146" s="4"/>
      <c r="I146" s="6"/>
      <c r="J146" s="4"/>
      <c r="K146" s="4"/>
      <c r="L146" s="4"/>
      <c r="M146" s="4"/>
      <c r="N146" s="4"/>
    </row>
    <row r="147" spans="1:14">
      <c r="A147" s="4"/>
      <c r="B147" s="4"/>
      <c r="C147" s="4"/>
      <c r="D147" s="4"/>
      <c r="E147" s="4"/>
      <c r="F147" s="4"/>
      <c r="H147" s="4"/>
      <c r="I147" s="6"/>
      <c r="J147" s="4"/>
      <c r="K147" s="4"/>
      <c r="L147" s="4"/>
      <c r="M147" s="4"/>
      <c r="N147" s="4"/>
    </row>
    <row r="148" spans="1:14">
      <c r="A148" s="4"/>
      <c r="B148" s="4"/>
      <c r="C148" s="4"/>
      <c r="D148" s="4"/>
      <c r="E148" s="4"/>
      <c r="F148" s="4"/>
      <c r="H148" s="4"/>
      <c r="I148" s="6"/>
      <c r="J148" s="4"/>
      <c r="K148" s="4"/>
      <c r="L148" s="4"/>
      <c r="M148" s="4"/>
      <c r="N148" s="4"/>
    </row>
    <row r="149" spans="1:14">
      <c r="A149" s="4"/>
      <c r="B149" s="4"/>
      <c r="C149" s="4"/>
      <c r="D149" s="4"/>
      <c r="E149" s="4"/>
      <c r="F149" s="4"/>
      <c r="H149" s="4"/>
      <c r="I149" s="6"/>
      <c r="J149" s="4"/>
      <c r="K149" s="4"/>
      <c r="L149" s="4"/>
      <c r="M149" s="4"/>
      <c r="N149" s="4"/>
    </row>
    <row r="150" spans="1:14">
      <c r="A150" s="4"/>
      <c r="B150" s="4"/>
      <c r="C150" s="4"/>
      <c r="D150" s="4"/>
      <c r="E150" s="4"/>
      <c r="F150" s="4"/>
      <c r="H150" s="4"/>
      <c r="I150" s="6"/>
      <c r="J150" s="4"/>
      <c r="K150" s="4"/>
      <c r="L150" s="4"/>
      <c r="M150" s="4"/>
      <c r="N150" s="4"/>
    </row>
    <row r="151" spans="1:14">
      <c r="A151" s="4"/>
      <c r="B151" s="4"/>
      <c r="C151" s="4"/>
      <c r="D151" s="4"/>
      <c r="E151" s="4"/>
      <c r="F151" s="4"/>
      <c r="H151" s="4"/>
      <c r="I151" s="6"/>
      <c r="J151" s="4"/>
      <c r="K151" s="4"/>
      <c r="L151" s="4"/>
      <c r="M151" s="4"/>
      <c r="N151" s="4"/>
    </row>
    <row r="152" spans="1:14">
      <c r="A152" s="4"/>
      <c r="B152" s="4"/>
      <c r="C152" s="4"/>
      <c r="D152" s="4"/>
      <c r="E152" s="4"/>
      <c r="F152" s="4"/>
      <c r="H152" s="4"/>
      <c r="I152" s="6"/>
      <c r="J152" s="4"/>
      <c r="K152" s="4"/>
      <c r="L152" s="4"/>
      <c r="M152" s="4"/>
      <c r="N152" s="4"/>
    </row>
    <row r="153" spans="1:14">
      <c r="A153" s="4"/>
      <c r="B153" s="4"/>
      <c r="C153" s="4"/>
      <c r="D153" s="4"/>
      <c r="E153" s="4"/>
      <c r="F153" s="4"/>
      <c r="H153" s="4"/>
      <c r="I153" s="6"/>
      <c r="J153" s="4"/>
      <c r="K153" s="4"/>
      <c r="L153" s="4"/>
      <c r="M153" s="4"/>
      <c r="N153" s="4"/>
    </row>
    <row r="154" spans="1:14">
      <c r="A154" s="4"/>
      <c r="B154" s="4"/>
      <c r="C154" s="4"/>
      <c r="D154" s="4"/>
      <c r="E154" s="4"/>
      <c r="F154" s="4"/>
      <c r="H154" s="4"/>
      <c r="I154" s="6"/>
      <c r="J154" s="4"/>
      <c r="K154" s="4"/>
      <c r="L154" s="4"/>
      <c r="M154" s="4"/>
      <c r="N154" s="4"/>
    </row>
    <row r="155" spans="1:14">
      <c r="A155" s="4"/>
      <c r="B155" s="4"/>
      <c r="C155" s="4"/>
      <c r="D155" s="4"/>
      <c r="E155" s="4"/>
      <c r="F155" s="4"/>
      <c r="H155" s="4"/>
      <c r="I155" s="6"/>
      <c r="J155" s="4"/>
      <c r="K155" s="4"/>
      <c r="L155" s="4"/>
      <c r="M155" s="4"/>
      <c r="N155" s="4"/>
    </row>
    <row r="156" spans="1:14">
      <c r="A156" s="4"/>
      <c r="B156" s="4"/>
      <c r="C156" s="4"/>
      <c r="D156" s="4"/>
      <c r="E156" s="4"/>
      <c r="F156" s="4"/>
      <c r="H156" s="4"/>
      <c r="I156" s="6"/>
      <c r="J156" s="4"/>
      <c r="K156" s="4"/>
      <c r="L156" s="4"/>
      <c r="M156" s="4"/>
      <c r="N156" s="4"/>
    </row>
    <row r="157" spans="1:14">
      <c r="A157" s="4"/>
      <c r="B157" s="4"/>
      <c r="C157" s="4"/>
      <c r="D157" s="4"/>
      <c r="E157" s="4"/>
      <c r="F157" s="4"/>
      <c r="H157" s="4"/>
      <c r="I157" s="6"/>
      <c r="J157" s="4"/>
      <c r="K157" s="4"/>
      <c r="L157" s="4"/>
      <c r="M157" s="4"/>
      <c r="N157" s="4"/>
    </row>
    <row r="158" spans="1:14">
      <c r="A158" s="4"/>
      <c r="B158" s="4"/>
      <c r="C158" s="4"/>
      <c r="D158" s="4"/>
      <c r="E158" s="4"/>
      <c r="F158" s="4"/>
      <c r="H158" s="4"/>
      <c r="I158" s="6"/>
      <c r="J158" s="4"/>
      <c r="K158" s="4"/>
      <c r="L158" s="4"/>
      <c r="M158" s="4"/>
      <c r="N158" s="4"/>
    </row>
    <row r="159" spans="1:14">
      <c r="A159" s="4"/>
      <c r="B159" s="4"/>
      <c r="C159" s="4"/>
      <c r="D159" s="4"/>
      <c r="E159" s="4"/>
      <c r="F159" s="4"/>
      <c r="H159" s="4"/>
      <c r="I159" s="6"/>
      <c r="J159" s="4"/>
      <c r="K159" s="4"/>
      <c r="L159" s="4"/>
      <c r="M159" s="4"/>
      <c r="N159" s="4"/>
    </row>
    <row r="160" spans="1:14">
      <c r="A160" s="4"/>
      <c r="B160" s="4"/>
      <c r="C160" s="4"/>
      <c r="D160" s="4"/>
      <c r="E160" s="4"/>
      <c r="F160" s="4"/>
      <c r="H160" s="4"/>
      <c r="I160" s="6"/>
      <c r="J160" s="4"/>
      <c r="K160" s="4"/>
      <c r="L160" s="4"/>
      <c r="M160" s="4"/>
      <c r="N160" s="4"/>
    </row>
    <row r="161" spans="1:14">
      <c r="A161" s="4"/>
      <c r="B161" s="4"/>
      <c r="C161" s="4"/>
      <c r="D161" s="4"/>
      <c r="E161" s="4"/>
      <c r="F161" s="4"/>
      <c r="H161" s="4"/>
      <c r="I161" s="6"/>
      <c r="J161" s="4"/>
      <c r="K161" s="4"/>
      <c r="L161" s="4"/>
      <c r="M161" s="4"/>
      <c r="N161" s="4"/>
    </row>
    <row r="162" spans="1:14">
      <c r="A162" s="4"/>
      <c r="B162" s="4"/>
      <c r="C162" s="4"/>
      <c r="D162" s="4"/>
      <c r="E162" s="4"/>
      <c r="F162" s="4"/>
      <c r="H162" s="4"/>
      <c r="I162" s="6"/>
      <c r="J162" s="4"/>
      <c r="K162" s="4"/>
      <c r="L162" s="4"/>
      <c r="M162" s="4"/>
      <c r="N162" s="4"/>
    </row>
    <row r="163" spans="1:14">
      <c r="A163" s="4"/>
      <c r="B163" s="4"/>
      <c r="C163" s="4"/>
      <c r="D163" s="4"/>
      <c r="E163" s="4"/>
      <c r="F163" s="4"/>
      <c r="H163" s="4"/>
      <c r="I163" s="6"/>
      <c r="J163" s="4"/>
      <c r="K163" s="4"/>
      <c r="L163" s="4"/>
      <c r="M163" s="4"/>
      <c r="N163" s="4"/>
    </row>
    <row r="164" spans="1:14">
      <c r="A164" s="4"/>
      <c r="B164" s="4"/>
      <c r="C164" s="4"/>
      <c r="D164" s="4"/>
      <c r="E164" s="4"/>
      <c r="F164" s="4"/>
      <c r="H164" s="4"/>
      <c r="I164" s="6"/>
      <c r="J164" s="4"/>
      <c r="K164" s="4"/>
      <c r="L164" s="4"/>
      <c r="M164" s="4"/>
      <c r="N164" s="4"/>
    </row>
    <row r="165" spans="1:14">
      <c r="A165" s="4"/>
      <c r="B165" s="4"/>
      <c r="C165" s="4"/>
      <c r="D165" s="4"/>
      <c r="E165" s="4"/>
      <c r="F165" s="4"/>
      <c r="H165" s="4"/>
      <c r="I165" s="6"/>
      <c r="J165" s="4"/>
      <c r="K165" s="4"/>
      <c r="L165" s="4"/>
      <c r="M165" s="4"/>
      <c r="N165" s="4"/>
    </row>
    <row r="166" spans="1:14">
      <c r="A166" s="4"/>
      <c r="B166" s="4"/>
      <c r="C166" s="4"/>
      <c r="D166" s="4"/>
      <c r="E166" s="4"/>
      <c r="F166" s="4"/>
      <c r="H166" s="4"/>
      <c r="I166" s="6"/>
      <c r="J166" s="4"/>
      <c r="K166" s="4"/>
      <c r="L166" s="4"/>
      <c r="M166" s="4"/>
      <c r="N166" s="4"/>
    </row>
    <row r="167" spans="1:14">
      <c r="A167" s="4"/>
      <c r="B167" s="4"/>
      <c r="C167" s="4"/>
      <c r="D167" s="4"/>
      <c r="E167" s="4"/>
      <c r="F167" s="4"/>
      <c r="H167" s="4"/>
      <c r="I167" s="6"/>
      <c r="J167" s="4"/>
      <c r="K167" s="4"/>
      <c r="L167" s="4"/>
      <c r="M167" s="4"/>
      <c r="N167" s="4"/>
    </row>
    <row r="168" spans="1:14">
      <c r="A168" s="4"/>
      <c r="B168" s="4"/>
      <c r="C168" s="4"/>
      <c r="D168" s="4"/>
      <c r="E168" s="4"/>
      <c r="F168" s="4"/>
      <c r="H168" s="4"/>
      <c r="I168" s="6"/>
      <c r="J168" s="4"/>
      <c r="K168" s="4"/>
      <c r="L168" s="4"/>
      <c r="M168" s="4"/>
      <c r="N168" s="4"/>
    </row>
    <row r="169" spans="1:14">
      <c r="A169" s="4"/>
      <c r="B169" s="4"/>
      <c r="C169" s="4"/>
      <c r="D169" s="4"/>
      <c r="E169" s="4"/>
      <c r="F169" s="4"/>
      <c r="H169" s="4"/>
      <c r="I169" s="6"/>
      <c r="J169" s="4"/>
      <c r="K169" s="4"/>
      <c r="L169" s="4"/>
      <c r="M169" s="4"/>
      <c r="N169" s="4"/>
    </row>
    <row r="170" spans="1:14">
      <c r="A170" s="4"/>
      <c r="B170" s="4"/>
      <c r="C170" s="4"/>
      <c r="D170" s="4"/>
      <c r="E170" s="4"/>
      <c r="F170" s="4"/>
      <c r="H170" s="4"/>
      <c r="I170" s="6"/>
      <c r="J170" s="4"/>
      <c r="K170" s="4"/>
      <c r="L170" s="4"/>
      <c r="M170" s="4"/>
      <c r="N170" s="4"/>
    </row>
    <row r="171" spans="1:14">
      <c r="A171" s="4"/>
      <c r="B171" s="4"/>
      <c r="C171" s="4"/>
      <c r="D171" s="4"/>
      <c r="E171" s="4"/>
      <c r="F171" s="4"/>
      <c r="H171" s="4"/>
      <c r="I171" s="6"/>
      <c r="J171" s="4"/>
      <c r="K171" s="4"/>
      <c r="L171" s="4"/>
      <c r="M171" s="4"/>
      <c r="N171" s="4"/>
    </row>
    <row r="172" spans="1:14">
      <c r="A172" s="4"/>
      <c r="B172" s="4"/>
      <c r="C172" s="4"/>
      <c r="D172" s="4"/>
      <c r="E172" s="4"/>
      <c r="F172" s="4"/>
      <c r="H172" s="4"/>
      <c r="I172" s="6"/>
      <c r="J172" s="4"/>
      <c r="K172" s="4"/>
      <c r="L172" s="4"/>
      <c r="M172" s="4"/>
      <c r="N172" s="4"/>
    </row>
    <row r="173" spans="1:14">
      <c r="A173" s="4"/>
      <c r="B173" s="4"/>
      <c r="C173" s="4"/>
      <c r="D173" s="4"/>
      <c r="E173" s="4"/>
      <c r="F173" s="4"/>
      <c r="H173" s="4"/>
      <c r="I173" s="6"/>
      <c r="J173" s="4"/>
      <c r="K173" s="4"/>
      <c r="L173" s="4"/>
      <c r="M173" s="4"/>
      <c r="N173" s="4"/>
    </row>
    <row r="174" spans="1:14">
      <c r="A174" s="4"/>
      <c r="B174" s="4"/>
      <c r="C174" s="4"/>
      <c r="D174" s="4"/>
      <c r="E174" s="4"/>
      <c r="F174" s="4"/>
      <c r="H174" s="4"/>
      <c r="I174" s="6"/>
      <c r="J174" s="4"/>
      <c r="K174" s="4"/>
      <c r="L174" s="4"/>
      <c r="M174" s="4"/>
      <c r="N174" s="4"/>
    </row>
    <row r="175" spans="1:14">
      <c r="A175" s="4"/>
      <c r="B175" s="4"/>
      <c r="C175" s="4"/>
      <c r="D175" s="4"/>
      <c r="E175" s="4"/>
      <c r="F175" s="4"/>
      <c r="H175" s="4"/>
      <c r="I175" s="6"/>
      <c r="J175" s="4"/>
      <c r="K175" s="4"/>
      <c r="L175" s="4"/>
      <c r="M175" s="4"/>
      <c r="N175" s="4"/>
    </row>
    <row r="176" spans="1:14">
      <c r="A176" s="4"/>
      <c r="B176" s="4"/>
      <c r="C176" s="4"/>
      <c r="D176" s="4"/>
      <c r="E176" s="4"/>
      <c r="F176" s="4"/>
      <c r="H176" s="4"/>
      <c r="I176" s="6"/>
      <c r="J176" s="4"/>
      <c r="K176" s="4"/>
      <c r="L176" s="4"/>
      <c r="M176" s="4"/>
      <c r="N176" s="4"/>
    </row>
    <row r="177" spans="1:14">
      <c r="A177" s="4"/>
      <c r="B177" s="4"/>
      <c r="C177" s="4"/>
      <c r="D177" s="4"/>
      <c r="E177" s="4"/>
      <c r="F177" s="4"/>
      <c r="H177" s="4"/>
      <c r="I177" s="6"/>
      <c r="J177" s="4"/>
      <c r="K177" s="4"/>
      <c r="L177" s="4"/>
      <c r="M177" s="4"/>
      <c r="N177" s="4"/>
    </row>
    <row r="178" spans="1:14">
      <c r="A178" s="4"/>
      <c r="B178" s="4"/>
      <c r="C178" s="4"/>
      <c r="D178" s="4"/>
      <c r="E178" s="4"/>
      <c r="F178" s="4"/>
      <c r="H178" s="4"/>
      <c r="I178" s="6"/>
      <c r="J178" s="4"/>
      <c r="K178" s="4"/>
      <c r="L178" s="4"/>
      <c r="M178" s="4"/>
      <c r="N178" s="4"/>
    </row>
    <row r="179" spans="1:14">
      <c r="A179" s="4"/>
      <c r="B179" s="4"/>
      <c r="C179" s="4"/>
      <c r="D179" s="4"/>
      <c r="E179" s="4"/>
      <c r="F179" s="4"/>
      <c r="H179" s="4"/>
      <c r="I179" s="6"/>
      <c r="J179" s="4"/>
      <c r="K179" s="4"/>
      <c r="L179" s="4"/>
      <c r="M179" s="4"/>
      <c r="N179" s="4"/>
    </row>
    <row r="180" spans="1:14">
      <c r="A180" s="4"/>
      <c r="B180" s="4"/>
      <c r="C180" s="4"/>
      <c r="D180" s="4"/>
      <c r="E180" s="4"/>
      <c r="F180" s="4"/>
      <c r="H180" s="4"/>
      <c r="I180" s="6"/>
      <c r="J180" s="4"/>
      <c r="K180" s="4"/>
      <c r="L180" s="4"/>
      <c r="M180" s="4"/>
      <c r="N180" s="4"/>
    </row>
    <row r="181" spans="1:14">
      <c r="A181" s="4"/>
      <c r="B181" s="4"/>
      <c r="C181" s="4"/>
      <c r="D181" s="4"/>
      <c r="E181" s="4"/>
      <c r="F181" s="4"/>
      <c r="H181" s="4"/>
      <c r="I181" s="6"/>
      <c r="J181" s="4"/>
      <c r="K181" s="4"/>
      <c r="L181" s="4"/>
      <c r="M181" s="4"/>
      <c r="N181" s="4"/>
    </row>
    <row r="182" spans="1:14">
      <c r="A182" s="4"/>
      <c r="B182" s="4"/>
      <c r="C182" s="4"/>
      <c r="D182" s="4"/>
      <c r="E182" s="4"/>
      <c r="F182" s="4"/>
      <c r="H182" s="4"/>
      <c r="I182" s="6"/>
      <c r="J182" s="4"/>
      <c r="K182" s="4"/>
      <c r="L182" s="4"/>
      <c r="M182" s="4"/>
      <c r="N182" s="4"/>
    </row>
    <row r="183" spans="1:14">
      <c r="A183" s="4"/>
      <c r="B183" s="4"/>
      <c r="C183" s="4"/>
      <c r="D183" s="4"/>
      <c r="E183" s="4"/>
      <c r="F183" s="4"/>
      <c r="H183" s="4"/>
      <c r="I183" s="6"/>
      <c r="J183" s="4"/>
      <c r="K183" s="4"/>
      <c r="L183" s="4"/>
      <c r="M183" s="4"/>
      <c r="N183" s="4"/>
    </row>
    <row r="184" spans="1:14">
      <c r="A184" s="4"/>
      <c r="B184" s="4"/>
      <c r="C184" s="4"/>
      <c r="D184" s="4"/>
      <c r="E184" s="4"/>
      <c r="F184" s="4"/>
      <c r="H184" s="4"/>
      <c r="I184" s="6"/>
      <c r="J184" s="4"/>
      <c r="K184" s="4"/>
      <c r="L184" s="4"/>
      <c r="M184" s="4"/>
      <c r="N184" s="4"/>
    </row>
    <row r="185" spans="1:14">
      <c r="A185" s="4"/>
      <c r="B185" s="4"/>
      <c r="C185" s="4"/>
      <c r="D185" s="4"/>
      <c r="E185" s="4"/>
      <c r="F185" s="4"/>
      <c r="H185" s="4"/>
      <c r="I185" s="6"/>
      <c r="J185" s="4"/>
      <c r="K185" s="4"/>
      <c r="L185" s="4"/>
      <c r="M185" s="4"/>
      <c r="N185" s="4"/>
    </row>
    <row r="186" spans="1:14">
      <c r="A186" s="4"/>
      <c r="B186" s="4"/>
      <c r="C186" s="4"/>
      <c r="D186" s="4"/>
      <c r="E186" s="4"/>
      <c r="F186" s="4"/>
      <c r="H186" s="4"/>
      <c r="I186" s="6"/>
      <c r="J186" s="4"/>
      <c r="K186" s="4"/>
      <c r="L186" s="4"/>
      <c r="M186" s="4"/>
      <c r="N186" s="4"/>
    </row>
    <row r="187" spans="1:14">
      <c r="A187" s="4"/>
      <c r="B187" s="4"/>
      <c r="C187" s="4"/>
      <c r="D187" s="4"/>
      <c r="E187" s="4"/>
      <c r="F187" s="4"/>
      <c r="H187" s="4"/>
      <c r="I187" s="6"/>
      <c r="J187" s="4"/>
      <c r="K187" s="4"/>
      <c r="L187" s="4"/>
      <c r="M187" s="4"/>
      <c r="N187" s="4"/>
    </row>
    <row r="188" spans="1:14">
      <c r="A188" s="4"/>
      <c r="B188" s="4"/>
      <c r="C188" s="4"/>
      <c r="D188" s="4"/>
      <c r="E188" s="4"/>
      <c r="F188" s="4"/>
      <c r="H188" s="4"/>
      <c r="I188" s="6"/>
      <c r="J188" s="4"/>
      <c r="K188" s="4"/>
      <c r="L188" s="4"/>
      <c r="M188" s="4"/>
      <c r="N188" s="4"/>
    </row>
    <row r="189" spans="1:14">
      <c r="A189" s="4"/>
      <c r="B189" s="4"/>
      <c r="C189" s="4"/>
      <c r="D189" s="4"/>
      <c r="E189" s="4"/>
      <c r="F189" s="4"/>
      <c r="H189" s="4"/>
      <c r="I189" s="6"/>
      <c r="J189" s="4"/>
      <c r="K189" s="4"/>
      <c r="L189" s="4"/>
      <c r="M189" s="4"/>
      <c r="N189" s="4"/>
    </row>
    <row r="190" spans="1:14">
      <c r="A190" s="4"/>
      <c r="B190" s="4"/>
      <c r="C190" s="4"/>
      <c r="D190" s="4"/>
      <c r="E190" s="4"/>
      <c r="F190" s="4"/>
      <c r="H190" s="4"/>
      <c r="I190" s="6"/>
      <c r="J190" s="4"/>
      <c r="K190" s="4"/>
      <c r="L190" s="4"/>
      <c r="M190" s="4"/>
      <c r="N190" s="4"/>
    </row>
    <row r="191" spans="1:14">
      <c r="A191" s="4"/>
      <c r="B191" s="4"/>
      <c r="C191" s="4"/>
      <c r="D191" s="4"/>
      <c r="E191" s="4"/>
      <c r="F191" s="4"/>
      <c r="H191" s="4"/>
      <c r="I191" s="6"/>
      <c r="J191" s="4"/>
      <c r="K191" s="4"/>
      <c r="L191" s="4"/>
      <c r="M191" s="4"/>
      <c r="N191" s="4"/>
    </row>
    <row r="192" spans="1:14">
      <c r="A192" s="4"/>
      <c r="B192" s="4"/>
      <c r="C192" s="4"/>
      <c r="D192" s="4"/>
      <c r="E192" s="4"/>
      <c r="F192" s="4"/>
      <c r="H192" s="4"/>
      <c r="I192" s="6"/>
      <c r="J192" s="4"/>
      <c r="K192" s="4"/>
      <c r="L192" s="4"/>
      <c r="M192" s="4"/>
      <c r="N192" s="4"/>
    </row>
    <row r="193" spans="1:14">
      <c r="A193" s="4"/>
      <c r="B193" s="4"/>
      <c r="C193" s="4"/>
      <c r="D193" s="4"/>
      <c r="E193" s="4"/>
      <c r="F193" s="4"/>
      <c r="H193" s="4"/>
      <c r="I193" s="6"/>
      <c r="J193" s="4"/>
      <c r="K193" s="4"/>
      <c r="L193" s="4"/>
      <c r="M193" s="4"/>
      <c r="N193" s="4"/>
    </row>
    <row r="194" spans="1:14">
      <c r="A194" s="4"/>
      <c r="B194" s="4"/>
      <c r="C194" s="4"/>
      <c r="D194" s="4"/>
      <c r="E194" s="4"/>
      <c r="F194" s="4"/>
      <c r="H194" s="4"/>
      <c r="I194" s="6"/>
      <c r="J194" s="4"/>
      <c r="K194" s="4"/>
      <c r="L194" s="4"/>
      <c r="M194" s="4"/>
      <c r="N194" s="4"/>
    </row>
    <row r="195" spans="1:14">
      <c r="A195" s="4"/>
      <c r="B195" s="4"/>
      <c r="C195" s="4"/>
      <c r="D195" s="4"/>
      <c r="E195" s="4"/>
      <c r="F195" s="4"/>
      <c r="H195" s="4"/>
      <c r="I195" s="6"/>
      <c r="J195" s="4"/>
      <c r="K195" s="4"/>
      <c r="L195" s="4"/>
      <c r="M195" s="4"/>
      <c r="N195" s="4"/>
    </row>
    <row r="196" spans="1:14">
      <c r="A196" s="4"/>
      <c r="B196" s="4"/>
      <c r="C196" s="4"/>
      <c r="D196" s="4"/>
      <c r="E196" s="4"/>
      <c r="F196" s="4"/>
      <c r="H196" s="4"/>
      <c r="I196" s="6"/>
      <c r="J196" s="4"/>
      <c r="K196" s="4"/>
      <c r="L196" s="4"/>
      <c r="M196" s="4"/>
      <c r="N196" s="4"/>
    </row>
    <row r="197" spans="1:14">
      <c r="A197" s="4"/>
      <c r="B197" s="4"/>
      <c r="C197" s="4"/>
      <c r="D197" s="4"/>
      <c r="E197" s="4"/>
      <c r="F197" s="4"/>
      <c r="H197" s="4"/>
      <c r="I197" s="6"/>
      <c r="J197" s="4"/>
      <c r="K197" s="4"/>
      <c r="L197" s="4"/>
      <c r="M197" s="4"/>
      <c r="N197" s="4"/>
    </row>
    <row r="198" spans="1:14">
      <c r="A198" s="4"/>
      <c r="B198" s="4"/>
      <c r="C198" s="4"/>
      <c r="D198" s="4"/>
      <c r="E198" s="4"/>
      <c r="F198" s="4"/>
      <c r="H198" s="4"/>
      <c r="I198" s="6"/>
      <c r="J198" s="4"/>
      <c r="K198" s="4"/>
      <c r="L198" s="4"/>
      <c r="M198" s="4"/>
      <c r="N198" s="4"/>
    </row>
    <row r="199" spans="1:14">
      <c r="A199" s="4"/>
      <c r="B199" s="4"/>
      <c r="C199" s="4"/>
      <c r="D199" s="4"/>
      <c r="E199" s="4"/>
      <c r="F199" s="4"/>
      <c r="H199" s="4"/>
      <c r="I199" s="6"/>
      <c r="J199" s="4"/>
      <c r="K199" s="4"/>
      <c r="L199" s="4"/>
      <c r="M199" s="4"/>
      <c r="N199" s="4"/>
    </row>
    <row r="200" spans="1:14">
      <c r="A200" s="4"/>
      <c r="B200" s="4"/>
      <c r="C200" s="4"/>
      <c r="D200" s="4"/>
      <c r="E200" s="4"/>
      <c r="F200" s="4"/>
      <c r="H200" s="4"/>
      <c r="I200" s="6"/>
      <c r="J200" s="4"/>
      <c r="K200" s="4"/>
      <c r="L200" s="4"/>
      <c r="M200" s="4"/>
      <c r="N200" s="4"/>
    </row>
    <row r="201" spans="1:14">
      <c r="A201" s="4"/>
      <c r="B201" s="4"/>
      <c r="C201" s="4"/>
      <c r="D201" s="4"/>
      <c r="E201" s="4"/>
      <c r="F201" s="4"/>
      <c r="H201" s="4"/>
      <c r="I201" s="6"/>
      <c r="J201" s="4"/>
      <c r="K201" s="4"/>
      <c r="L201" s="4"/>
      <c r="M201" s="4"/>
      <c r="N201" s="4"/>
    </row>
    <row r="202" spans="1:14">
      <c r="A202" s="4"/>
      <c r="B202" s="4"/>
      <c r="C202" s="4"/>
      <c r="D202" s="4"/>
      <c r="E202" s="4"/>
      <c r="F202" s="4"/>
      <c r="H202" s="4"/>
      <c r="I202" s="6"/>
      <c r="J202" s="4"/>
      <c r="K202" s="4"/>
      <c r="L202" s="4"/>
      <c r="M202" s="4"/>
      <c r="N202" s="4"/>
    </row>
    <row r="203" spans="1:14">
      <c r="A203" s="4"/>
      <c r="B203" s="4"/>
      <c r="C203" s="4"/>
      <c r="D203" s="4"/>
      <c r="E203" s="4"/>
      <c r="F203" s="4"/>
      <c r="H203" s="4"/>
      <c r="I203" s="6"/>
      <c r="J203" s="4"/>
      <c r="K203" s="4"/>
      <c r="L203" s="4"/>
      <c r="M203" s="4"/>
      <c r="N203" s="4"/>
    </row>
    <row r="204" spans="1:14">
      <c r="A204" s="4"/>
      <c r="B204" s="4"/>
      <c r="C204" s="4"/>
      <c r="D204" s="4"/>
      <c r="E204" s="4"/>
      <c r="F204" s="4"/>
      <c r="H204" s="4"/>
      <c r="I204" s="6"/>
      <c r="J204" s="4"/>
      <c r="K204" s="4"/>
      <c r="L204" s="4"/>
      <c r="M204" s="4"/>
      <c r="N204" s="4"/>
    </row>
    <row r="205" spans="1:14">
      <c r="A205" s="4"/>
      <c r="B205" s="4"/>
      <c r="C205" s="4"/>
      <c r="D205" s="4"/>
      <c r="E205" s="4"/>
      <c r="F205" s="4"/>
      <c r="H205" s="4"/>
      <c r="I205" s="6"/>
      <c r="J205" s="4"/>
      <c r="K205" s="4"/>
      <c r="L205" s="4"/>
      <c r="M205" s="4"/>
      <c r="N205" s="4"/>
    </row>
    <row r="206" spans="1:14">
      <c r="A206" s="4"/>
      <c r="B206" s="4"/>
      <c r="C206" s="4"/>
      <c r="D206" s="4"/>
      <c r="E206" s="4"/>
      <c r="F206" s="4"/>
      <c r="H206" s="4"/>
      <c r="I206" s="6"/>
      <c r="J206" s="4"/>
      <c r="K206" s="4"/>
      <c r="L206" s="4"/>
      <c r="M206" s="4"/>
      <c r="N206" s="4"/>
    </row>
    <row r="207" spans="1:14">
      <c r="A207" s="4"/>
      <c r="B207" s="4"/>
      <c r="C207" s="4"/>
      <c r="D207" s="4"/>
      <c r="E207" s="4"/>
      <c r="F207" s="4"/>
      <c r="H207" s="4"/>
      <c r="I207" s="6"/>
      <c r="J207" s="4"/>
      <c r="K207" s="4"/>
      <c r="L207" s="4"/>
      <c r="M207" s="4"/>
      <c r="N207" s="4"/>
    </row>
    <row r="208" spans="1:14">
      <c r="A208" s="4"/>
      <c r="B208" s="4"/>
      <c r="C208" s="4"/>
      <c r="D208" s="4"/>
      <c r="E208" s="4"/>
      <c r="F208" s="4"/>
      <c r="H208" s="4"/>
      <c r="I208" s="6"/>
      <c r="J208" s="4"/>
      <c r="K208" s="4"/>
      <c r="L208" s="4"/>
      <c r="M208" s="4"/>
      <c r="N208" s="4"/>
    </row>
    <row r="209" spans="1:14">
      <c r="A209" s="4"/>
      <c r="B209" s="4"/>
      <c r="C209" s="4"/>
      <c r="D209" s="4"/>
      <c r="E209" s="4"/>
      <c r="F209" s="4"/>
      <c r="H209" s="4"/>
      <c r="I209" s="6"/>
      <c r="J209" s="4"/>
      <c r="K209" s="4"/>
      <c r="L209" s="4"/>
      <c r="M209" s="4"/>
      <c r="N209" s="4"/>
    </row>
    <row r="210" spans="1:14">
      <c r="A210" s="4"/>
      <c r="B210" s="4"/>
      <c r="C210" s="4"/>
      <c r="D210" s="4"/>
      <c r="E210" s="4"/>
      <c r="F210" s="4"/>
      <c r="H210" s="4"/>
      <c r="I210" s="6"/>
      <c r="J210" s="4"/>
      <c r="K210" s="4"/>
      <c r="L210" s="4"/>
      <c r="M210" s="4"/>
      <c r="N210" s="4"/>
    </row>
    <row r="211" spans="1:14">
      <c r="A211" s="4"/>
      <c r="B211" s="4"/>
      <c r="C211" s="4"/>
      <c r="D211" s="4"/>
      <c r="E211" s="4"/>
      <c r="F211" s="4"/>
      <c r="H211" s="4"/>
      <c r="I211" s="6"/>
      <c r="J211" s="4"/>
      <c r="K211" s="4"/>
      <c r="L211" s="4"/>
      <c r="M211" s="4"/>
      <c r="N211" s="4"/>
    </row>
    <row r="212" spans="1:14">
      <c r="A212" s="4"/>
      <c r="B212" s="4"/>
      <c r="C212" s="4"/>
      <c r="D212" s="4"/>
      <c r="E212" s="4"/>
      <c r="F212" s="4"/>
      <c r="H212" s="4"/>
      <c r="I212" s="6"/>
      <c r="J212" s="4"/>
      <c r="K212" s="4"/>
      <c r="L212" s="4"/>
      <c r="M212" s="4"/>
      <c r="N212" s="4"/>
    </row>
    <row r="213" spans="1:14">
      <c r="A213" s="4"/>
      <c r="B213" s="4"/>
      <c r="C213" s="4"/>
      <c r="D213" s="4"/>
      <c r="E213" s="4"/>
      <c r="F213" s="4"/>
      <c r="H213" s="4"/>
      <c r="I213" s="6"/>
      <c r="J213" s="4"/>
      <c r="K213" s="4"/>
      <c r="L213" s="4"/>
      <c r="M213" s="4"/>
      <c r="N213" s="4"/>
    </row>
    <row r="214" spans="1:14">
      <c r="A214" s="4"/>
      <c r="B214" s="4"/>
      <c r="C214" s="4"/>
      <c r="D214" s="4"/>
      <c r="E214" s="4"/>
      <c r="F214" s="4"/>
      <c r="H214" s="4"/>
      <c r="I214" s="6"/>
      <c r="J214" s="4"/>
      <c r="K214" s="4"/>
      <c r="L214" s="4"/>
      <c r="M214" s="4"/>
      <c r="N214" s="4"/>
    </row>
    <row r="215" spans="1:14">
      <c r="A215" s="4"/>
      <c r="B215" s="4"/>
      <c r="C215" s="4"/>
      <c r="D215" s="4"/>
      <c r="E215" s="4"/>
      <c r="F215" s="4"/>
      <c r="H215" s="4"/>
      <c r="I215" s="6"/>
      <c r="J215" s="4"/>
      <c r="K215" s="4"/>
      <c r="L215" s="4"/>
      <c r="M215" s="4"/>
      <c r="N215" s="4"/>
    </row>
    <row r="216" spans="1:14">
      <c r="A216" s="4"/>
      <c r="B216" s="4"/>
      <c r="C216" s="4"/>
      <c r="D216" s="4"/>
      <c r="E216" s="4"/>
      <c r="F216" s="4"/>
      <c r="H216" s="4"/>
      <c r="I216" s="6"/>
      <c r="J216" s="4"/>
      <c r="K216" s="4"/>
      <c r="L216" s="4"/>
      <c r="M216" s="4"/>
      <c r="N216" s="4"/>
    </row>
    <row r="217" spans="1:14">
      <c r="A217" s="4"/>
      <c r="B217" s="4"/>
      <c r="C217" s="4"/>
      <c r="D217" s="4"/>
      <c r="E217" s="4"/>
      <c r="F217" s="4"/>
      <c r="H217" s="4"/>
      <c r="I217" s="6"/>
      <c r="J217" s="4"/>
      <c r="K217" s="4"/>
      <c r="L217" s="4"/>
      <c r="M217" s="4"/>
      <c r="N217" s="4"/>
    </row>
    <row r="218" spans="1:14">
      <c r="A218" s="4"/>
      <c r="B218" s="4"/>
      <c r="C218" s="4"/>
      <c r="D218" s="4"/>
      <c r="E218" s="4"/>
      <c r="F218" s="4"/>
      <c r="H218" s="4"/>
      <c r="I218" s="6"/>
      <c r="J218" s="4"/>
      <c r="K218" s="4"/>
      <c r="L218" s="4"/>
      <c r="M218" s="4"/>
      <c r="N218" s="4"/>
    </row>
    <row r="219" spans="1:14">
      <c r="A219" s="4"/>
      <c r="B219" s="4"/>
      <c r="C219" s="4"/>
      <c r="D219" s="4"/>
      <c r="E219" s="4"/>
      <c r="F219" s="4"/>
      <c r="H219" s="4"/>
      <c r="I219" s="6"/>
      <c r="J219" s="4"/>
      <c r="K219" s="4"/>
      <c r="L219" s="4"/>
      <c r="M219" s="4"/>
      <c r="N219" s="4"/>
    </row>
    <row r="220" spans="1:14">
      <c r="A220" s="4"/>
      <c r="B220" s="4"/>
      <c r="C220" s="4"/>
      <c r="D220" s="4"/>
      <c r="E220" s="4"/>
      <c r="F220" s="4"/>
      <c r="H220" s="4"/>
      <c r="I220" s="6"/>
      <c r="J220" s="4"/>
      <c r="K220" s="4"/>
      <c r="L220" s="4"/>
      <c r="M220" s="4"/>
      <c r="N220" s="4"/>
    </row>
    <row r="221" spans="1:14">
      <c r="A221" s="4"/>
      <c r="B221" s="4"/>
      <c r="C221" s="4"/>
      <c r="D221" s="4"/>
      <c r="E221" s="4"/>
      <c r="F221" s="4"/>
      <c r="H221" s="4"/>
      <c r="I221" s="6"/>
      <c r="J221" s="4"/>
      <c r="K221" s="4"/>
      <c r="L221" s="4"/>
      <c r="M221" s="4"/>
      <c r="N221" s="4"/>
    </row>
    <row r="222" spans="1:14">
      <c r="A222" s="4"/>
      <c r="B222" s="4"/>
      <c r="C222" s="4"/>
      <c r="D222" s="4"/>
      <c r="E222" s="4"/>
      <c r="F222" s="4"/>
      <c r="H222" s="4"/>
      <c r="I222" s="6"/>
      <c r="J222" s="4"/>
      <c r="K222" s="4"/>
      <c r="L222" s="4"/>
      <c r="M222" s="4"/>
      <c r="N222" s="4"/>
    </row>
    <row r="223" spans="1:14">
      <c r="A223" s="4"/>
      <c r="B223" s="4"/>
      <c r="C223" s="4"/>
      <c r="D223" s="4"/>
      <c r="E223" s="4"/>
      <c r="F223" s="4"/>
      <c r="H223" s="4"/>
      <c r="I223" s="6"/>
      <c r="J223" s="4"/>
      <c r="K223" s="4"/>
      <c r="L223" s="4"/>
      <c r="M223" s="4"/>
      <c r="N223" s="4"/>
    </row>
    <row r="224" spans="1:14">
      <c r="A224" s="4"/>
      <c r="B224" s="4"/>
      <c r="C224" s="4"/>
      <c r="D224" s="4"/>
      <c r="E224" s="4"/>
      <c r="F224" s="4"/>
      <c r="H224" s="4"/>
      <c r="I224" s="6"/>
      <c r="J224" s="4"/>
      <c r="K224" s="4"/>
      <c r="L224" s="4"/>
      <c r="M224" s="4"/>
      <c r="N224" s="4"/>
    </row>
    <row r="225" spans="1:14">
      <c r="A225" s="4"/>
      <c r="B225" s="4"/>
      <c r="C225" s="4"/>
      <c r="D225" s="4"/>
      <c r="E225" s="4"/>
      <c r="F225" s="4"/>
      <c r="H225" s="4"/>
      <c r="I225" s="6"/>
      <c r="J225" s="4"/>
      <c r="K225" s="4"/>
      <c r="L225" s="4"/>
      <c r="M225" s="4"/>
      <c r="N225" s="4"/>
    </row>
    <row r="226" spans="1:14">
      <c r="A226" s="4"/>
      <c r="B226" s="4"/>
      <c r="C226" s="4"/>
      <c r="D226" s="4"/>
      <c r="E226" s="4"/>
      <c r="F226" s="4"/>
      <c r="H226" s="4"/>
      <c r="I226" s="6"/>
      <c r="J226" s="4"/>
      <c r="K226" s="4"/>
      <c r="L226" s="4"/>
      <c r="M226" s="4"/>
      <c r="N226" s="4"/>
    </row>
    <row r="227" spans="1:14">
      <c r="A227" s="4"/>
      <c r="B227" s="4"/>
      <c r="C227" s="4"/>
      <c r="D227" s="4"/>
      <c r="E227" s="4"/>
      <c r="F227" s="4"/>
      <c r="H227" s="4"/>
      <c r="I227" s="6"/>
      <c r="J227" s="4"/>
      <c r="K227" s="4"/>
      <c r="L227" s="4"/>
      <c r="M227" s="4"/>
      <c r="N227" s="4"/>
    </row>
    <row r="228" spans="1:14">
      <c r="A228" s="4"/>
      <c r="B228" s="4"/>
      <c r="C228" s="4"/>
      <c r="D228" s="4"/>
      <c r="E228" s="4"/>
      <c r="F228" s="4"/>
      <c r="H228" s="4"/>
      <c r="I228" s="6"/>
      <c r="J228" s="4"/>
      <c r="K228" s="4"/>
      <c r="L228" s="4"/>
      <c r="M228" s="4"/>
      <c r="N228" s="4"/>
    </row>
    <row r="229" spans="1:14">
      <c r="A229" s="4"/>
      <c r="B229" s="4"/>
      <c r="C229" s="4"/>
      <c r="D229" s="4"/>
      <c r="E229" s="4"/>
      <c r="F229" s="4"/>
      <c r="H229" s="4"/>
      <c r="I229" s="6"/>
      <c r="J229" s="4"/>
      <c r="K229" s="4"/>
      <c r="L229" s="4"/>
      <c r="M229" s="4"/>
      <c r="N229" s="4"/>
    </row>
    <row r="230" spans="1:14">
      <c r="A230" s="4"/>
      <c r="B230" s="4"/>
      <c r="C230" s="4"/>
      <c r="D230" s="4"/>
      <c r="E230" s="4"/>
      <c r="F230" s="4"/>
      <c r="H230" s="4"/>
      <c r="I230" s="6"/>
      <c r="J230" s="4"/>
      <c r="K230" s="4"/>
      <c r="L230" s="4"/>
      <c r="M230" s="4"/>
      <c r="N230" s="4"/>
    </row>
    <row r="231" spans="1:14">
      <c r="A231" s="4"/>
      <c r="B231" s="4"/>
      <c r="C231" s="4"/>
      <c r="D231" s="4"/>
      <c r="E231" s="4"/>
      <c r="F231" s="4"/>
      <c r="H231" s="4"/>
      <c r="I231" s="6"/>
      <c r="J231" s="4"/>
      <c r="K231" s="4"/>
      <c r="L231" s="4"/>
      <c r="M231" s="4"/>
      <c r="N231" s="4"/>
    </row>
    <row r="232" spans="1:14">
      <c r="A232" s="4"/>
      <c r="B232" s="4"/>
      <c r="C232" s="4"/>
      <c r="D232" s="4"/>
      <c r="E232" s="4"/>
      <c r="F232" s="4"/>
      <c r="H232" s="4"/>
      <c r="I232" s="6"/>
      <c r="J232" s="4"/>
      <c r="K232" s="4"/>
      <c r="L232" s="4"/>
      <c r="M232" s="4"/>
      <c r="N232" s="4"/>
    </row>
    <row r="233" spans="1:14">
      <c r="A233" s="4"/>
      <c r="B233" s="4"/>
      <c r="C233" s="4"/>
      <c r="D233" s="4"/>
      <c r="E233" s="4"/>
      <c r="F233" s="4"/>
      <c r="H233" s="4"/>
      <c r="I233" s="6"/>
      <c r="J233" s="4"/>
      <c r="K233" s="4"/>
      <c r="L233" s="4"/>
      <c r="M233" s="4"/>
      <c r="N233" s="4"/>
    </row>
    <row r="234" spans="1:14">
      <c r="A234" s="4"/>
      <c r="B234" s="4"/>
      <c r="C234" s="4"/>
      <c r="D234" s="4"/>
      <c r="E234" s="4"/>
      <c r="F234" s="4"/>
      <c r="H234" s="4"/>
      <c r="I234" s="6"/>
      <c r="J234" s="4"/>
      <c r="K234" s="4"/>
      <c r="L234" s="4"/>
      <c r="M234" s="4"/>
      <c r="N234" s="4"/>
    </row>
    <row r="235" spans="1:14">
      <c r="A235" s="4"/>
      <c r="B235" s="4"/>
      <c r="C235" s="4"/>
      <c r="D235" s="4"/>
      <c r="E235" s="4"/>
      <c r="F235" s="4"/>
      <c r="H235" s="4"/>
      <c r="I235" s="6"/>
      <c r="J235" s="4"/>
      <c r="K235" s="4"/>
      <c r="L235" s="4"/>
      <c r="M235" s="4"/>
      <c r="N235" s="4"/>
    </row>
    <row r="236" spans="1:14">
      <c r="A236" s="4"/>
      <c r="B236" s="4"/>
      <c r="C236" s="4"/>
      <c r="D236" s="4"/>
      <c r="E236" s="4"/>
      <c r="F236" s="4"/>
      <c r="H236" s="4"/>
      <c r="I236" s="6"/>
      <c r="J236" s="4"/>
      <c r="K236" s="4"/>
      <c r="L236" s="4"/>
      <c r="M236" s="4"/>
      <c r="N236" s="4"/>
    </row>
    <row r="237" spans="1:14">
      <c r="A237" s="4"/>
      <c r="B237" s="4"/>
      <c r="C237" s="4"/>
      <c r="D237" s="4"/>
      <c r="E237" s="4"/>
      <c r="F237" s="4"/>
      <c r="H237" s="4"/>
      <c r="I237" s="6"/>
      <c r="J237" s="4"/>
      <c r="K237" s="4"/>
      <c r="L237" s="4"/>
      <c r="M237" s="4"/>
      <c r="N237" s="4"/>
    </row>
    <row r="238" spans="1:14">
      <c r="A238" s="4"/>
      <c r="B238" s="4"/>
      <c r="C238" s="4"/>
      <c r="D238" s="4"/>
      <c r="E238" s="4"/>
      <c r="F238" s="4"/>
      <c r="H238" s="4"/>
      <c r="I238" s="6"/>
      <c r="J238" s="4"/>
      <c r="K238" s="4"/>
      <c r="L238" s="4"/>
      <c r="M238" s="4"/>
      <c r="N238" s="4"/>
    </row>
    <row r="239" spans="1:14">
      <c r="A239" s="4"/>
      <c r="B239" s="4"/>
      <c r="C239" s="4"/>
      <c r="D239" s="4"/>
      <c r="E239" s="4"/>
      <c r="F239" s="4"/>
      <c r="H239" s="4"/>
      <c r="I239" s="6"/>
      <c r="J239" s="4"/>
      <c r="K239" s="4"/>
      <c r="L239" s="4"/>
      <c r="M239" s="4"/>
      <c r="N239" s="4"/>
    </row>
    <row r="240" spans="1:14">
      <c r="A240" s="4"/>
      <c r="B240" s="4"/>
      <c r="C240" s="4"/>
      <c r="D240" s="4"/>
      <c r="E240" s="4"/>
      <c r="F240" s="4"/>
      <c r="H240" s="4"/>
      <c r="I240" s="6"/>
      <c r="J240" s="4"/>
      <c r="K240" s="4"/>
      <c r="L240" s="4"/>
      <c r="M240" s="4"/>
      <c r="N240" s="4"/>
    </row>
    <row r="241" spans="1:14">
      <c r="A241" s="4"/>
      <c r="B241" s="4"/>
      <c r="C241" s="4"/>
      <c r="D241" s="4"/>
      <c r="E241" s="4"/>
      <c r="F241" s="4"/>
      <c r="H241" s="4"/>
      <c r="I241" s="6"/>
      <c r="J241" s="4"/>
      <c r="K241" s="4"/>
      <c r="L241" s="4"/>
      <c r="M241" s="4"/>
      <c r="N241" s="4"/>
    </row>
    <row r="242" spans="1:14">
      <c r="A242" s="4"/>
      <c r="B242" s="4"/>
      <c r="C242" s="4"/>
      <c r="D242" s="4"/>
      <c r="E242" s="4"/>
      <c r="F242" s="4"/>
      <c r="H242" s="4"/>
      <c r="I242" s="6"/>
      <c r="J242" s="4"/>
      <c r="K242" s="4"/>
      <c r="L242" s="4"/>
      <c r="M242" s="4"/>
      <c r="N242" s="4"/>
    </row>
    <row r="243" spans="1:14">
      <c r="A243" s="4"/>
      <c r="B243" s="4"/>
      <c r="C243" s="4"/>
      <c r="D243" s="4"/>
      <c r="E243" s="4"/>
      <c r="F243" s="4"/>
      <c r="H243" s="4"/>
      <c r="I243" s="6"/>
      <c r="J243" s="4"/>
      <c r="K243" s="4"/>
      <c r="L243" s="4"/>
      <c r="M243" s="4"/>
      <c r="N243" s="4"/>
    </row>
    <row r="244" spans="1:14">
      <c r="A244" s="4"/>
      <c r="B244" s="4"/>
      <c r="C244" s="4"/>
      <c r="D244" s="4"/>
      <c r="E244" s="4"/>
      <c r="F244" s="4"/>
      <c r="H244" s="4"/>
      <c r="I244" s="6"/>
      <c r="J244" s="4"/>
      <c r="K244" s="4"/>
      <c r="L244" s="4"/>
      <c r="M244" s="4"/>
      <c r="N244" s="4"/>
    </row>
    <row r="245" spans="1:14">
      <c r="A245" s="4"/>
      <c r="B245" s="4"/>
      <c r="C245" s="4"/>
      <c r="D245" s="4"/>
      <c r="E245" s="4"/>
      <c r="F245" s="4"/>
      <c r="H245" s="4"/>
      <c r="I245" s="6"/>
      <c r="J245" s="4"/>
      <c r="K245" s="4"/>
      <c r="L245" s="4"/>
      <c r="M245" s="4"/>
      <c r="N245" s="4"/>
    </row>
    <row r="246" spans="1:14">
      <c r="A246" s="4"/>
      <c r="B246" s="4"/>
      <c r="C246" s="4"/>
      <c r="D246" s="4"/>
      <c r="E246" s="4"/>
      <c r="F246" s="4"/>
      <c r="H246" s="4"/>
      <c r="I246" s="6"/>
      <c r="J246" s="4"/>
      <c r="K246" s="4"/>
      <c r="L246" s="4"/>
      <c r="M246" s="4"/>
      <c r="N246" s="4"/>
    </row>
    <row r="247" spans="1:14">
      <c r="A247" s="4"/>
      <c r="B247" s="4"/>
      <c r="C247" s="4"/>
      <c r="D247" s="4"/>
      <c r="E247" s="4"/>
      <c r="F247" s="4"/>
      <c r="H247" s="4"/>
      <c r="I247" s="6"/>
      <c r="J247" s="4"/>
      <c r="K247" s="4"/>
      <c r="L247" s="4"/>
      <c r="M247" s="4"/>
      <c r="N247" s="4"/>
    </row>
    <row r="248" spans="1:14">
      <c r="A248" s="4"/>
      <c r="B248" s="4"/>
      <c r="C248" s="4"/>
      <c r="D248" s="4"/>
      <c r="E248" s="4"/>
      <c r="F248" s="4"/>
      <c r="H248" s="4"/>
      <c r="I248" s="6"/>
      <c r="J248" s="4"/>
      <c r="K248" s="4"/>
      <c r="L248" s="4"/>
      <c r="M248" s="4"/>
      <c r="N248" s="4"/>
    </row>
    <row r="249" spans="1:14">
      <c r="A249" s="4"/>
      <c r="B249" s="4"/>
      <c r="C249" s="4"/>
      <c r="D249" s="4"/>
      <c r="E249" s="4"/>
      <c r="F249" s="4"/>
      <c r="H249" s="4"/>
      <c r="I249" s="6"/>
      <c r="J249" s="4"/>
      <c r="K249" s="4"/>
      <c r="L249" s="4"/>
      <c r="M249" s="4"/>
      <c r="N249" s="4"/>
    </row>
    <row r="250" spans="1:14">
      <c r="A250" s="4"/>
      <c r="B250" s="4"/>
      <c r="C250" s="4"/>
      <c r="D250" s="4"/>
      <c r="E250" s="4"/>
      <c r="F250" s="4"/>
      <c r="H250" s="4"/>
      <c r="I250" s="6"/>
      <c r="J250" s="4"/>
      <c r="K250" s="4"/>
      <c r="L250" s="4"/>
      <c r="M250" s="4"/>
      <c r="N250" s="4"/>
    </row>
    <row r="251" spans="1:14">
      <c r="A251" s="4"/>
      <c r="B251" s="4"/>
      <c r="C251" s="4"/>
      <c r="D251" s="4"/>
      <c r="E251" s="4"/>
      <c r="F251" s="4"/>
      <c r="H251" s="4"/>
      <c r="I251" s="6"/>
      <c r="J251" s="4"/>
      <c r="K251" s="4"/>
      <c r="L251" s="4"/>
      <c r="M251" s="4"/>
      <c r="N251" s="4"/>
    </row>
    <row r="252" spans="1:14">
      <c r="A252" s="4"/>
      <c r="B252" s="4"/>
      <c r="C252" s="4"/>
      <c r="D252" s="4"/>
      <c r="E252" s="4"/>
      <c r="F252" s="4"/>
      <c r="H252" s="4"/>
      <c r="I252" s="6"/>
      <c r="J252" s="4"/>
      <c r="K252" s="4"/>
      <c r="L252" s="4"/>
      <c r="M252" s="4"/>
      <c r="N252" s="4"/>
    </row>
    <row r="253" spans="1:14">
      <c r="A253" s="4"/>
      <c r="B253" s="4"/>
      <c r="C253" s="4"/>
      <c r="D253" s="4"/>
      <c r="E253" s="4"/>
      <c r="F253" s="4"/>
      <c r="H253" s="4"/>
      <c r="I253" s="6"/>
      <c r="J253" s="4"/>
      <c r="K253" s="4"/>
      <c r="L253" s="4"/>
      <c r="M253" s="4"/>
      <c r="N253" s="4"/>
    </row>
    <row r="254" spans="1:14">
      <c r="A254" s="4"/>
      <c r="B254" s="4"/>
      <c r="C254" s="4"/>
      <c r="D254" s="4"/>
      <c r="E254" s="4"/>
      <c r="F254" s="4"/>
      <c r="H254" s="4"/>
      <c r="I254" s="6"/>
      <c r="J254" s="4"/>
      <c r="K254" s="4"/>
      <c r="L254" s="4"/>
      <c r="M254" s="4"/>
      <c r="N254" s="4"/>
    </row>
    <row r="255" spans="1:14">
      <c r="A255" s="4"/>
      <c r="B255" s="4"/>
      <c r="C255" s="4"/>
      <c r="D255" s="4"/>
      <c r="E255" s="4"/>
      <c r="F255" s="4"/>
      <c r="H255" s="4"/>
      <c r="I255" s="6"/>
      <c r="J255" s="4"/>
      <c r="K255" s="4"/>
      <c r="L255" s="4"/>
      <c r="M255" s="4"/>
      <c r="N255" s="4"/>
    </row>
    <row r="256" spans="1:14">
      <c r="A256" s="4"/>
      <c r="B256" s="4"/>
      <c r="C256" s="4"/>
      <c r="D256" s="4"/>
      <c r="E256" s="4"/>
      <c r="F256" s="4"/>
      <c r="H256" s="4"/>
      <c r="I256" s="6"/>
      <c r="J256" s="4"/>
      <c r="K256" s="4"/>
      <c r="L256" s="4"/>
      <c r="M256" s="4"/>
      <c r="N256" s="4"/>
    </row>
    <row r="257" spans="1:14">
      <c r="A257" s="4"/>
      <c r="B257" s="4"/>
      <c r="C257" s="4"/>
      <c r="D257" s="4"/>
      <c r="E257" s="4"/>
      <c r="F257" s="4"/>
      <c r="H257" s="4"/>
      <c r="I257" s="6"/>
      <c r="J257" s="4"/>
      <c r="K257" s="4"/>
      <c r="L257" s="4"/>
      <c r="M257" s="4"/>
      <c r="N257" s="4"/>
    </row>
    <row r="258" spans="1:14">
      <c r="A258" s="4"/>
      <c r="B258" s="4"/>
      <c r="C258" s="4"/>
      <c r="D258" s="4"/>
      <c r="E258" s="4"/>
      <c r="F258" s="4"/>
      <c r="H258" s="4"/>
      <c r="I258" s="6"/>
      <c r="J258" s="4"/>
      <c r="K258" s="4"/>
      <c r="L258" s="4"/>
      <c r="M258" s="4"/>
      <c r="N258" s="4"/>
    </row>
    <row r="259" spans="1:14">
      <c r="A259" s="4"/>
      <c r="B259" s="4"/>
      <c r="C259" s="4"/>
      <c r="D259" s="4"/>
      <c r="E259" s="4"/>
      <c r="F259" s="4"/>
      <c r="H259" s="4"/>
      <c r="I259" s="6"/>
      <c r="J259" s="4"/>
      <c r="K259" s="4"/>
      <c r="L259" s="4"/>
      <c r="M259" s="4"/>
      <c r="N259" s="4"/>
    </row>
    <row r="260" spans="1:14">
      <c r="A260" s="4"/>
      <c r="B260" s="4"/>
      <c r="C260" s="4"/>
      <c r="D260" s="4"/>
      <c r="E260" s="4"/>
      <c r="F260" s="4"/>
      <c r="H260" s="4"/>
      <c r="I260" s="6"/>
      <c r="J260" s="4"/>
      <c r="K260" s="4"/>
      <c r="L260" s="4"/>
      <c r="M260" s="4"/>
      <c r="N260" s="4"/>
    </row>
    <row r="261" spans="1:14">
      <c r="A261" s="4"/>
      <c r="B261" s="4"/>
      <c r="C261" s="4"/>
      <c r="D261" s="4"/>
      <c r="E261" s="4"/>
      <c r="F261" s="4"/>
      <c r="H261" s="4"/>
      <c r="I261" s="6"/>
      <c r="J261" s="4"/>
      <c r="K261" s="4"/>
      <c r="L261" s="4"/>
      <c r="M261" s="4"/>
      <c r="N261" s="4"/>
    </row>
    <row r="262" spans="1:14">
      <c r="A262" s="4"/>
      <c r="B262" s="4"/>
      <c r="C262" s="4"/>
      <c r="D262" s="4"/>
      <c r="E262" s="4"/>
      <c r="F262" s="4"/>
      <c r="H262" s="4"/>
      <c r="I262" s="6"/>
      <c r="J262" s="4"/>
      <c r="K262" s="4"/>
      <c r="L262" s="4"/>
      <c r="M262" s="4"/>
      <c r="N262" s="4"/>
    </row>
    <row r="263" spans="1:14">
      <c r="A263" s="4"/>
      <c r="B263" s="4"/>
      <c r="C263" s="4"/>
      <c r="D263" s="4"/>
      <c r="E263" s="4"/>
      <c r="F263" s="4"/>
      <c r="H263" s="4"/>
      <c r="I263" s="6"/>
      <c r="J263" s="4"/>
      <c r="K263" s="4"/>
      <c r="L263" s="4"/>
      <c r="M263" s="4"/>
      <c r="N263" s="4"/>
    </row>
    <row r="264" spans="1:14">
      <c r="A264" s="4"/>
      <c r="B264" s="4"/>
      <c r="C264" s="4"/>
      <c r="D264" s="4"/>
      <c r="E264" s="4"/>
      <c r="F264" s="4"/>
      <c r="H264" s="4"/>
      <c r="I264" s="6"/>
      <c r="J264" s="4"/>
      <c r="K264" s="4"/>
      <c r="L264" s="4"/>
      <c r="M264" s="4"/>
      <c r="N264" s="4"/>
    </row>
    <row r="265" spans="1:14">
      <c r="A265" s="4"/>
      <c r="B265" s="4"/>
      <c r="C265" s="4"/>
      <c r="D265" s="4"/>
      <c r="E265" s="4"/>
      <c r="F265" s="4"/>
      <c r="H265" s="4"/>
      <c r="I265" s="6"/>
      <c r="J265" s="4"/>
      <c r="K265" s="4"/>
      <c r="L265" s="4"/>
      <c r="M265" s="4"/>
      <c r="N265" s="4"/>
    </row>
    <row r="266" spans="1:14">
      <c r="A266" s="4"/>
      <c r="B266" s="4"/>
      <c r="C266" s="4"/>
      <c r="D266" s="4"/>
      <c r="E266" s="4"/>
      <c r="F266" s="4"/>
      <c r="H266" s="4"/>
      <c r="I266" s="6"/>
      <c r="J266" s="4"/>
      <c r="K266" s="4"/>
      <c r="L266" s="4"/>
      <c r="M266" s="4"/>
      <c r="N266" s="4"/>
    </row>
    <row r="267" spans="1:14">
      <c r="A267" s="4"/>
      <c r="B267" s="4"/>
      <c r="C267" s="4"/>
      <c r="D267" s="4"/>
      <c r="E267" s="4"/>
      <c r="F267" s="4"/>
      <c r="H267" s="4"/>
      <c r="I267" s="6"/>
      <c r="J267" s="4"/>
      <c r="K267" s="4"/>
      <c r="L267" s="4"/>
      <c r="M267" s="4"/>
      <c r="N267" s="4"/>
    </row>
    <row r="268" spans="1:14">
      <c r="A268" s="4"/>
      <c r="B268" s="4"/>
      <c r="C268" s="4"/>
      <c r="D268" s="4"/>
      <c r="E268" s="4"/>
      <c r="F268" s="4"/>
      <c r="H268" s="4"/>
      <c r="I268" s="6"/>
      <c r="J268" s="4"/>
      <c r="K268" s="4"/>
      <c r="L268" s="4"/>
      <c r="M268" s="4"/>
      <c r="N268" s="4"/>
    </row>
    <row r="269" spans="1:14">
      <c r="A269" s="4"/>
      <c r="B269" s="4"/>
      <c r="C269" s="4"/>
      <c r="D269" s="4"/>
      <c r="E269" s="4"/>
      <c r="F269" s="4"/>
      <c r="H269" s="4"/>
      <c r="I269" s="6"/>
      <c r="J269" s="4"/>
      <c r="K269" s="4"/>
      <c r="L269" s="4"/>
      <c r="M269" s="4"/>
      <c r="N269" s="4"/>
    </row>
    <row r="270" spans="1:14">
      <c r="A270" s="4"/>
      <c r="B270" s="4"/>
      <c r="C270" s="4"/>
      <c r="D270" s="4"/>
      <c r="E270" s="4"/>
      <c r="F270" s="4"/>
      <c r="H270" s="4"/>
      <c r="I270" s="6"/>
      <c r="J270" s="4"/>
      <c r="K270" s="4"/>
      <c r="L270" s="4"/>
      <c r="M270" s="4"/>
      <c r="N270" s="4"/>
    </row>
    <row r="271" spans="1:14">
      <c r="A271" s="4"/>
      <c r="B271" s="4"/>
      <c r="C271" s="4"/>
      <c r="D271" s="4"/>
      <c r="E271" s="4"/>
      <c r="F271" s="4"/>
      <c r="H271" s="4"/>
      <c r="I271" s="6"/>
      <c r="J271" s="4"/>
      <c r="K271" s="4"/>
      <c r="L271" s="4"/>
      <c r="M271" s="4"/>
      <c r="N271" s="4"/>
    </row>
    <row r="272" spans="1:14">
      <c r="A272" s="4"/>
      <c r="B272" s="4"/>
      <c r="C272" s="4"/>
      <c r="D272" s="4"/>
      <c r="E272" s="4"/>
      <c r="F272" s="4"/>
      <c r="H272" s="4"/>
      <c r="I272" s="6"/>
      <c r="J272" s="4"/>
      <c r="K272" s="4"/>
      <c r="L272" s="4"/>
      <c r="M272" s="4"/>
      <c r="N272" s="4"/>
    </row>
    <row r="273" spans="1:14">
      <c r="A273" s="4"/>
      <c r="B273" s="4"/>
      <c r="C273" s="4"/>
      <c r="D273" s="4"/>
      <c r="E273" s="4"/>
      <c r="F273" s="4"/>
      <c r="H273" s="4"/>
      <c r="I273" s="6"/>
      <c r="J273" s="4"/>
      <c r="K273" s="4"/>
      <c r="L273" s="4"/>
      <c r="M273" s="4"/>
      <c r="N273" s="4"/>
    </row>
    <row r="274" spans="1:14">
      <c r="A274" s="4"/>
      <c r="B274" s="4"/>
      <c r="C274" s="4"/>
      <c r="D274" s="4"/>
      <c r="E274" s="4"/>
      <c r="F274" s="4"/>
      <c r="H274" s="4"/>
      <c r="I274" s="6"/>
      <c r="J274" s="4"/>
      <c r="K274" s="4"/>
      <c r="L274" s="4"/>
      <c r="M274" s="4"/>
      <c r="N274" s="4"/>
    </row>
    <row r="275" spans="1:14">
      <c r="A275" s="4"/>
      <c r="B275" s="4"/>
      <c r="C275" s="4"/>
      <c r="D275" s="4"/>
      <c r="E275" s="4"/>
      <c r="F275" s="4"/>
      <c r="H275" s="4"/>
      <c r="I275" s="6"/>
      <c r="J275" s="4"/>
      <c r="K275" s="4"/>
      <c r="L275" s="4"/>
      <c r="M275" s="4"/>
      <c r="N275" s="4"/>
    </row>
    <row r="276" spans="1:14">
      <c r="A276" s="4"/>
      <c r="B276" s="4"/>
      <c r="C276" s="4"/>
      <c r="D276" s="4"/>
      <c r="E276" s="4"/>
      <c r="F276" s="4"/>
      <c r="H276" s="4"/>
      <c r="I276" s="6"/>
      <c r="J276" s="4"/>
      <c r="K276" s="4"/>
      <c r="L276" s="4"/>
      <c r="M276" s="4"/>
      <c r="N276" s="4"/>
    </row>
    <row r="277" spans="1:14">
      <c r="A277" s="4"/>
      <c r="B277" s="4"/>
      <c r="C277" s="4"/>
      <c r="D277" s="4"/>
      <c r="E277" s="4"/>
      <c r="F277" s="4"/>
      <c r="H277" s="4"/>
      <c r="I277" s="6"/>
      <c r="J277" s="4"/>
      <c r="K277" s="4"/>
      <c r="L277" s="4"/>
      <c r="M277" s="4"/>
      <c r="N277" s="4"/>
    </row>
    <row r="278" spans="1:14">
      <c r="A278" s="4"/>
      <c r="B278" s="4"/>
      <c r="C278" s="4"/>
      <c r="D278" s="4"/>
      <c r="E278" s="4"/>
      <c r="F278" s="4"/>
      <c r="H278" s="4"/>
      <c r="I278" s="6"/>
      <c r="J278" s="4"/>
      <c r="K278" s="4"/>
      <c r="L278" s="4"/>
      <c r="M278" s="4"/>
      <c r="N278" s="4"/>
    </row>
    <row r="279" spans="1:14">
      <c r="A279" s="4"/>
      <c r="B279" s="4"/>
      <c r="C279" s="4"/>
      <c r="D279" s="4"/>
      <c r="E279" s="4"/>
      <c r="F279" s="4"/>
      <c r="H279" s="4"/>
      <c r="I279" s="6"/>
      <c r="J279" s="4"/>
      <c r="K279" s="4"/>
      <c r="L279" s="4"/>
      <c r="M279" s="4"/>
      <c r="N279" s="4"/>
    </row>
    <row r="280" spans="1:14">
      <c r="A280" s="4"/>
      <c r="B280" s="4"/>
      <c r="C280" s="4"/>
      <c r="D280" s="4"/>
      <c r="E280" s="4"/>
      <c r="F280" s="4"/>
      <c r="H280" s="4"/>
      <c r="I280" s="6"/>
      <c r="J280" s="4"/>
      <c r="K280" s="4"/>
      <c r="L280" s="4"/>
      <c r="M280" s="4"/>
      <c r="N280" s="4"/>
    </row>
    <row r="281" spans="1:14">
      <c r="A281" s="4"/>
      <c r="B281" s="4"/>
      <c r="C281" s="4"/>
      <c r="D281" s="4"/>
      <c r="E281" s="4"/>
      <c r="F281" s="4"/>
      <c r="H281" s="4"/>
      <c r="I281" s="6"/>
      <c r="J281" s="4"/>
      <c r="K281" s="4"/>
      <c r="L281" s="4"/>
      <c r="M281" s="4"/>
      <c r="N281" s="4"/>
    </row>
    <row r="282" spans="1:14">
      <c r="A282" s="4"/>
      <c r="B282" s="4"/>
      <c r="C282" s="4"/>
      <c r="D282" s="4"/>
      <c r="E282" s="4"/>
      <c r="F282" s="4"/>
      <c r="H282" s="4"/>
      <c r="I282" s="6"/>
      <c r="J282" s="4"/>
      <c r="K282" s="4"/>
      <c r="L282" s="4"/>
      <c r="M282" s="4"/>
      <c r="N282" s="4"/>
    </row>
    <row r="283" spans="1:14">
      <c r="A283" s="4"/>
      <c r="B283" s="4"/>
      <c r="C283" s="4"/>
      <c r="D283" s="4"/>
      <c r="E283" s="4"/>
      <c r="F283" s="4"/>
      <c r="H283" s="4"/>
      <c r="I283" s="6"/>
      <c r="J283" s="4"/>
      <c r="K283" s="4"/>
      <c r="L283" s="4"/>
      <c r="M283" s="4"/>
      <c r="N283" s="4"/>
    </row>
    <row r="284" spans="1:14">
      <c r="A284" s="4"/>
      <c r="B284" s="4"/>
      <c r="C284" s="4"/>
      <c r="D284" s="4"/>
      <c r="E284" s="4"/>
      <c r="F284" s="4"/>
      <c r="H284" s="4"/>
      <c r="I284" s="6"/>
      <c r="J284" s="4"/>
      <c r="K284" s="4"/>
      <c r="L284" s="4"/>
      <c r="M284" s="4"/>
      <c r="N284" s="4"/>
    </row>
    <row r="285" spans="1:14">
      <c r="A285" s="4"/>
      <c r="B285" s="4"/>
      <c r="C285" s="4"/>
      <c r="D285" s="4"/>
      <c r="E285" s="4"/>
      <c r="F285" s="4"/>
      <c r="H285" s="4"/>
      <c r="I285" s="6"/>
      <c r="J285" s="4"/>
      <c r="K285" s="4"/>
      <c r="L285" s="4"/>
      <c r="M285" s="4"/>
      <c r="N285" s="4"/>
    </row>
    <row r="286" spans="1:14">
      <c r="A286" s="4"/>
      <c r="B286" s="4"/>
      <c r="C286" s="4"/>
      <c r="D286" s="4"/>
      <c r="E286" s="4"/>
      <c r="F286" s="4"/>
      <c r="H286" s="4"/>
      <c r="I286" s="6"/>
      <c r="J286" s="4"/>
      <c r="K286" s="4"/>
      <c r="L286" s="4"/>
      <c r="M286" s="4"/>
      <c r="N286" s="4"/>
    </row>
    <row r="287" spans="1:14">
      <c r="A287" s="4"/>
      <c r="B287" s="4"/>
      <c r="C287" s="4"/>
      <c r="D287" s="4"/>
      <c r="E287" s="4"/>
      <c r="F287" s="4"/>
      <c r="H287" s="4"/>
      <c r="I287" s="6"/>
      <c r="J287" s="4"/>
      <c r="K287" s="4"/>
      <c r="L287" s="4"/>
      <c r="M287" s="4"/>
      <c r="N287" s="4"/>
    </row>
    <row r="288" spans="1:14">
      <c r="A288" s="4"/>
      <c r="B288" s="4"/>
      <c r="C288" s="4"/>
      <c r="D288" s="4"/>
      <c r="E288" s="4"/>
      <c r="F288" s="4"/>
      <c r="H288" s="4"/>
      <c r="I288" s="6"/>
      <c r="J288" s="4"/>
      <c r="K288" s="4"/>
      <c r="L288" s="4"/>
      <c r="M288" s="4"/>
      <c r="N288" s="4"/>
    </row>
    <row r="289" spans="1:14">
      <c r="A289" s="4"/>
      <c r="B289" s="4"/>
      <c r="C289" s="4"/>
      <c r="D289" s="4"/>
      <c r="E289" s="4"/>
      <c r="F289" s="4"/>
      <c r="H289" s="4"/>
      <c r="I289" s="6"/>
      <c r="J289" s="4"/>
      <c r="K289" s="4"/>
      <c r="L289" s="4"/>
      <c r="M289" s="4"/>
      <c r="N289" s="4"/>
    </row>
    <row r="290" spans="1:14">
      <c r="A290" s="4"/>
      <c r="B290" s="4"/>
      <c r="C290" s="4"/>
      <c r="D290" s="4"/>
      <c r="E290" s="4"/>
      <c r="F290" s="4"/>
      <c r="H290" s="4"/>
      <c r="I290" s="6"/>
      <c r="J290" s="4"/>
      <c r="K290" s="4"/>
      <c r="L290" s="4"/>
      <c r="M290" s="4"/>
      <c r="N290" s="4"/>
    </row>
    <row r="291" spans="1:14">
      <c r="A291" s="4"/>
      <c r="B291" s="4"/>
      <c r="C291" s="4"/>
      <c r="D291" s="4"/>
      <c r="E291" s="4"/>
      <c r="F291" s="4"/>
      <c r="H291" s="4"/>
      <c r="I291" s="6"/>
      <c r="J291" s="4"/>
      <c r="K291" s="4"/>
      <c r="L291" s="4"/>
      <c r="M291" s="4"/>
      <c r="N291" s="4"/>
    </row>
    <row r="292" spans="1:14">
      <c r="A292" s="4"/>
      <c r="B292" s="4"/>
      <c r="C292" s="4"/>
      <c r="D292" s="4"/>
      <c r="E292" s="4"/>
      <c r="F292" s="4"/>
      <c r="H292" s="4"/>
      <c r="I292" s="6"/>
      <c r="J292" s="4"/>
      <c r="K292" s="4"/>
      <c r="L292" s="4"/>
      <c r="M292" s="4"/>
      <c r="N292" s="4"/>
    </row>
    <row r="293" spans="1:14">
      <c r="A293" s="4"/>
      <c r="B293" s="4"/>
      <c r="C293" s="4"/>
      <c r="D293" s="4"/>
      <c r="E293" s="4"/>
      <c r="F293" s="4"/>
      <c r="H293" s="4"/>
      <c r="I293" s="6"/>
      <c r="J293" s="4"/>
      <c r="K293" s="4"/>
      <c r="L293" s="4"/>
      <c r="M293" s="4"/>
      <c r="N293" s="4"/>
    </row>
    <row r="294" spans="1:14">
      <c r="A294" s="4"/>
      <c r="B294" s="4"/>
      <c r="C294" s="4"/>
      <c r="D294" s="4"/>
      <c r="E294" s="4"/>
      <c r="F294" s="4"/>
      <c r="H294" s="4"/>
      <c r="I294" s="6"/>
      <c r="J294" s="4"/>
      <c r="K294" s="4"/>
      <c r="L294" s="4"/>
      <c r="M294" s="4"/>
      <c r="N294" s="4"/>
    </row>
    <row r="295" spans="1:14">
      <c r="A295" s="4"/>
      <c r="B295" s="4"/>
      <c r="C295" s="4"/>
      <c r="D295" s="4"/>
      <c r="E295" s="4"/>
      <c r="F295" s="4"/>
      <c r="H295" s="4"/>
      <c r="I295" s="6"/>
      <c r="J295" s="4"/>
      <c r="K295" s="4"/>
      <c r="L295" s="4"/>
      <c r="M295" s="4"/>
      <c r="N295" s="4"/>
    </row>
    <row r="296" spans="1:14">
      <c r="A296" s="4"/>
      <c r="B296" s="4"/>
      <c r="C296" s="4"/>
      <c r="D296" s="4"/>
      <c r="E296" s="4"/>
      <c r="F296" s="4"/>
      <c r="H296" s="4"/>
      <c r="I296" s="6"/>
      <c r="J296" s="4"/>
      <c r="K296" s="4"/>
      <c r="L296" s="4"/>
      <c r="M296" s="4"/>
      <c r="N296" s="4"/>
    </row>
    <row r="297" spans="1:14">
      <c r="A297" s="4"/>
      <c r="B297" s="4"/>
      <c r="C297" s="4"/>
      <c r="D297" s="4"/>
      <c r="E297" s="4"/>
      <c r="F297" s="4"/>
      <c r="H297" s="4"/>
      <c r="I297" s="6"/>
      <c r="J297" s="4"/>
      <c r="K297" s="4"/>
      <c r="L297" s="4"/>
      <c r="M297" s="4"/>
      <c r="N297" s="4"/>
    </row>
    <row r="298" spans="1:14">
      <c r="A298" s="4"/>
      <c r="B298" s="4"/>
      <c r="C298" s="4"/>
      <c r="D298" s="4"/>
      <c r="E298" s="4"/>
      <c r="F298" s="4"/>
      <c r="H298" s="4"/>
      <c r="I298" s="6"/>
      <c r="J298" s="4"/>
      <c r="K298" s="4"/>
      <c r="L298" s="4"/>
      <c r="M298" s="4"/>
      <c r="N298" s="4"/>
    </row>
    <row r="299" spans="1:14">
      <c r="A299" s="4"/>
      <c r="B299" s="4"/>
      <c r="C299" s="4"/>
      <c r="D299" s="4"/>
      <c r="E299" s="4"/>
      <c r="F299" s="4"/>
      <c r="H299" s="4"/>
      <c r="I299" s="6"/>
      <c r="J299" s="4"/>
      <c r="K299" s="4"/>
      <c r="L299" s="4"/>
      <c r="M299" s="4"/>
      <c r="N299" s="4"/>
    </row>
    <row r="300" spans="1:14">
      <c r="A300" s="4"/>
      <c r="B300" s="4"/>
      <c r="C300" s="4"/>
      <c r="D300" s="4"/>
      <c r="E300" s="4"/>
      <c r="F300" s="4"/>
      <c r="H300" s="4"/>
      <c r="I300" s="6"/>
      <c r="J300" s="4"/>
      <c r="K300" s="4"/>
      <c r="L300" s="4"/>
      <c r="M300" s="4"/>
      <c r="N300" s="4"/>
    </row>
    <row r="301" spans="1:14">
      <c r="A301" s="4"/>
      <c r="B301" s="4"/>
      <c r="C301" s="4"/>
      <c r="D301" s="4"/>
      <c r="E301" s="4"/>
      <c r="F301" s="4"/>
      <c r="H301" s="4"/>
      <c r="I301" s="6"/>
      <c r="J301" s="4"/>
      <c r="K301" s="4"/>
      <c r="L301" s="4"/>
      <c r="M301" s="4"/>
      <c r="N301" s="4"/>
    </row>
    <row r="302" spans="1:14">
      <c r="A302" s="4"/>
      <c r="B302" s="4"/>
      <c r="C302" s="4"/>
      <c r="D302" s="4"/>
      <c r="E302" s="4"/>
      <c r="F302" s="4"/>
      <c r="H302" s="4"/>
      <c r="I302" s="6"/>
      <c r="J302" s="4"/>
      <c r="K302" s="4"/>
      <c r="L302" s="4"/>
      <c r="M302" s="4"/>
      <c r="N302" s="4"/>
    </row>
    <row r="303" spans="1:14">
      <c r="A303" s="4"/>
      <c r="B303" s="4"/>
      <c r="C303" s="4"/>
      <c r="D303" s="4"/>
      <c r="E303" s="4"/>
      <c r="F303" s="4"/>
      <c r="H303" s="4"/>
      <c r="I303" s="6"/>
      <c r="J303" s="4"/>
      <c r="K303" s="4"/>
      <c r="L303" s="4"/>
      <c r="M303" s="4"/>
      <c r="N303" s="4"/>
    </row>
    <row r="304" spans="1:14">
      <c r="A304" s="4"/>
      <c r="B304" s="4"/>
      <c r="C304" s="4"/>
      <c r="D304" s="4"/>
      <c r="E304" s="4"/>
      <c r="F304" s="4"/>
      <c r="H304" s="4"/>
      <c r="I304" s="6"/>
      <c r="J304" s="4"/>
      <c r="K304" s="4"/>
      <c r="L304" s="4"/>
      <c r="M304" s="4"/>
      <c r="N304" s="4"/>
    </row>
    <row r="305" spans="1:14">
      <c r="A305" s="4"/>
      <c r="B305" s="4"/>
      <c r="C305" s="4"/>
      <c r="D305" s="4"/>
      <c r="E305" s="4"/>
      <c r="F305" s="4"/>
      <c r="H305" s="4"/>
      <c r="I305" s="6"/>
      <c r="J305" s="4"/>
      <c r="K305" s="4"/>
      <c r="L305" s="4"/>
      <c r="M305" s="4"/>
      <c r="N305" s="4"/>
    </row>
    <row r="306" spans="1:14">
      <c r="A306" s="4"/>
      <c r="B306" s="4"/>
      <c r="C306" s="4"/>
      <c r="D306" s="4"/>
      <c r="E306" s="4"/>
      <c r="F306" s="4"/>
      <c r="H306" s="4"/>
      <c r="I306" s="6"/>
      <c r="J306" s="4"/>
      <c r="K306" s="4"/>
      <c r="L306" s="4"/>
      <c r="M306" s="4"/>
      <c r="N306" s="4"/>
    </row>
    <row r="307" spans="1:14">
      <c r="A307" s="4"/>
      <c r="B307" s="4"/>
      <c r="C307" s="4"/>
      <c r="D307" s="4"/>
      <c r="E307" s="4"/>
      <c r="F307" s="4"/>
      <c r="H307" s="4"/>
      <c r="I307" s="6"/>
      <c r="J307" s="4"/>
      <c r="K307" s="4"/>
      <c r="L307" s="4"/>
      <c r="M307" s="4"/>
      <c r="N307" s="4"/>
    </row>
    <row r="308" spans="1:14">
      <c r="A308" s="4"/>
      <c r="B308" s="4"/>
      <c r="C308" s="4"/>
      <c r="D308" s="4"/>
      <c r="E308" s="4"/>
      <c r="F308" s="4"/>
      <c r="H308" s="4"/>
      <c r="I308" s="6"/>
      <c r="J308" s="4"/>
      <c r="K308" s="4"/>
      <c r="L308" s="4"/>
      <c r="M308" s="4"/>
      <c r="N308" s="4"/>
    </row>
    <row r="309" spans="1:14">
      <c r="A309" s="4"/>
      <c r="B309" s="4"/>
      <c r="C309" s="4"/>
      <c r="D309" s="4"/>
      <c r="E309" s="4"/>
      <c r="F309" s="4"/>
      <c r="H309" s="4"/>
      <c r="I309" s="6"/>
      <c r="J309" s="4"/>
      <c r="K309" s="4"/>
      <c r="L309" s="4"/>
      <c r="M309" s="4"/>
      <c r="N309" s="4"/>
    </row>
    <row r="310" spans="1:14">
      <c r="A310" s="4"/>
      <c r="B310" s="4"/>
      <c r="C310" s="4"/>
      <c r="D310" s="4"/>
      <c r="E310" s="4"/>
      <c r="F310" s="4"/>
      <c r="H310" s="4"/>
      <c r="I310" s="6"/>
      <c r="J310" s="4"/>
      <c r="K310" s="4"/>
      <c r="L310" s="4"/>
      <c r="M310" s="4"/>
      <c r="N310" s="4"/>
    </row>
    <row r="311" spans="1:14">
      <c r="A311" s="4"/>
      <c r="B311" s="4"/>
      <c r="C311" s="4"/>
      <c r="D311" s="4"/>
      <c r="E311" s="4"/>
      <c r="F311" s="4"/>
      <c r="H311" s="4"/>
      <c r="I311" s="6"/>
      <c r="J311" s="4"/>
      <c r="K311" s="4"/>
      <c r="L311" s="4"/>
      <c r="M311" s="4"/>
      <c r="N311" s="4"/>
    </row>
    <row r="312" spans="1:14">
      <c r="A312" s="4"/>
      <c r="B312" s="4"/>
      <c r="C312" s="4"/>
      <c r="D312" s="4"/>
      <c r="E312" s="4"/>
      <c r="F312" s="4"/>
      <c r="H312" s="4"/>
      <c r="I312" s="6"/>
      <c r="J312" s="4"/>
      <c r="K312" s="4"/>
      <c r="L312" s="4"/>
      <c r="M312" s="4"/>
      <c r="N312" s="4"/>
    </row>
    <row r="313" spans="1:14">
      <c r="A313" s="4"/>
      <c r="B313" s="4"/>
      <c r="C313" s="4"/>
      <c r="D313" s="4"/>
      <c r="E313" s="4"/>
      <c r="F313" s="4"/>
      <c r="H313" s="4"/>
      <c r="I313" s="6"/>
      <c r="J313" s="4"/>
      <c r="K313" s="4"/>
      <c r="L313" s="4"/>
      <c r="M313" s="4"/>
      <c r="N313" s="4"/>
    </row>
    <row r="314" spans="1:14">
      <c r="A314" s="4"/>
      <c r="B314" s="4"/>
      <c r="C314" s="4"/>
      <c r="D314" s="4"/>
      <c r="E314" s="4"/>
      <c r="F314" s="4"/>
      <c r="H314" s="4"/>
      <c r="I314" s="6"/>
      <c r="J314" s="4"/>
      <c r="K314" s="4"/>
      <c r="L314" s="4"/>
      <c r="M314" s="4"/>
      <c r="N314" s="4"/>
    </row>
    <row r="315" spans="1:14">
      <c r="A315" s="4"/>
      <c r="B315" s="4"/>
      <c r="C315" s="4"/>
      <c r="D315" s="4"/>
      <c r="E315" s="4"/>
      <c r="F315" s="4"/>
      <c r="H315" s="4"/>
      <c r="I315" s="6"/>
      <c r="J315" s="4"/>
      <c r="K315" s="4"/>
      <c r="L315" s="4"/>
      <c r="M315" s="4"/>
      <c r="N315" s="4"/>
    </row>
    <row r="316" spans="1:14">
      <c r="A316" s="4"/>
      <c r="B316" s="4"/>
      <c r="C316" s="4"/>
      <c r="D316" s="4"/>
      <c r="E316" s="4"/>
      <c r="F316" s="4"/>
      <c r="H316" s="4"/>
      <c r="I316" s="6"/>
      <c r="J316" s="4"/>
      <c r="K316" s="4"/>
      <c r="L316" s="4"/>
      <c r="M316" s="4"/>
      <c r="N316" s="4"/>
    </row>
    <row r="317" spans="1:14">
      <c r="A317" s="4"/>
      <c r="B317" s="4"/>
      <c r="C317" s="4"/>
      <c r="D317" s="4"/>
      <c r="E317" s="4"/>
      <c r="F317" s="4"/>
      <c r="H317" s="4"/>
      <c r="I317" s="6"/>
      <c r="J317" s="4"/>
      <c r="K317" s="4"/>
      <c r="L317" s="4"/>
      <c r="M317" s="4"/>
      <c r="N317" s="4"/>
    </row>
    <row r="318" spans="1:14">
      <c r="A318" s="4"/>
      <c r="B318" s="4"/>
      <c r="C318" s="4"/>
      <c r="D318" s="4"/>
      <c r="E318" s="4"/>
      <c r="F318" s="4"/>
      <c r="H318" s="4"/>
      <c r="I318" s="6"/>
      <c r="J318" s="4"/>
      <c r="K318" s="4"/>
      <c r="L318" s="4"/>
      <c r="M318" s="4"/>
      <c r="N318" s="4"/>
    </row>
    <row r="319" spans="1:14">
      <c r="A319" s="4"/>
      <c r="B319" s="4"/>
      <c r="C319" s="4"/>
      <c r="D319" s="4"/>
      <c r="E319" s="4"/>
      <c r="F319" s="4"/>
      <c r="H319" s="4"/>
      <c r="I319" s="6"/>
      <c r="J319" s="4"/>
      <c r="K319" s="4"/>
      <c r="L319" s="4"/>
      <c r="M319" s="4"/>
      <c r="N319" s="4"/>
    </row>
    <row r="320" spans="1:14">
      <c r="A320" s="4"/>
      <c r="B320" s="4"/>
      <c r="C320" s="4"/>
      <c r="D320" s="4"/>
      <c r="E320" s="4"/>
      <c r="F320" s="4"/>
      <c r="H320" s="4"/>
      <c r="I320" s="6"/>
      <c r="J320" s="4"/>
      <c r="K320" s="4"/>
      <c r="L320" s="4"/>
      <c r="M320" s="4"/>
      <c r="N320" s="4"/>
    </row>
    <row r="321" spans="1:14">
      <c r="A321" s="4"/>
      <c r="B321" s="4"/>
      <c r="C321" s="4"/>
      <c r="D321" s="4"/>
      <c r="E321" s="4"/>
      <c r="F321" s="4"/>
      <c r="H321" s="4"/>
      <c r="I321" s="6"/>
      <c r="J321" s="4"/>
      <c r="K321" s="4"/>
      <c r="L321" s="4"/>
      <c r="M321" s="4"/>
      <c r="N321" s="4"/>
    </row>
    <row r="322" spans="1:14">
      <c r="A322" s="4"/>
      <c r="B322" s="4"/>
      <c r="C322" s="4"/>
      <c r="D322" s="4"/>
      <c r="E322" s="4"/>
      <c r="F322" s="4"/>
      <c r="H322" s="4"/>
      <c r="I322" s="6"/>
      <c r="J322" s="4"/>
      <c r="K322" s="4"/>
      <c r="L322" s="4"/>
      <c r="M322" s="4"/>
      <c r="N322" s="4"/>
    </row>
    <row r="323" spans="1:14">
      <c r="A323" s="4"/>
      <c r="B323" s="4"/>
      <c r="C323" s="4"/>
      <c r="D323" s="4"/>
      <c r="E323" s="4"/>
      <c r="F323" s="4"/>
      <c r="H323" s="4"/>
      <c r="I323" s="6"/>
      <c r="J323" s="4"/>
      <c r="K323" s="4"/>
      <c r="L323" s="4"/>
      <c r="M323" s="4"/>
      <c r="N323" s="4"/>
    </row>
    <row r="324" spans="1:14">
      <c r="A324" s="4"/>
      <c r="B324" s="4"/>
      <c r="C324" s="4"/>
      <c r="D324" s="4"/>
      <c r="E324" s="4"/>
      <c r="F324" s="4"/>
      <c r="H324" s="4"/>
      <c r="I324" s="6"/>
      <c r="J324" s="4"/>
      <c r="K324" s="4"/>
      <c r="L324" s="4"/>
      <c r="M324" s="4"/>
      <c r="N324" s="4"/>
    </row>
    <row r="325" spans="1:14">
      <c r="A325" s="4"/>
      <c r="B325" s="4"/>
      <c r="C325" s="4"/>
      <c r="D325" s="4"/>
      <c r="E325" s="4"/>
      <c r="F325" s="4"/>
      <c r="H325" s="4"/>
      <c r="I325" s="6"/>
      <c r="J325" s="4"/>
      <c r="K325" s="4"/>
      <c r="L325" s="4"/>
      <c r="M325" s="4"/>
      <c r="N325" s="4"/>
    </row>
    <row r="326" spans="1:14">
      <c r="A326" s="4"/>
      <c r="B326" s="4"/>
      <c r="C326" s="4"/>
      <c r="D326" s="4"/>
      <c r="E326" s="4"/>
      <c r="F326" s="4"/>
      <c r="H326" s="4"/>
      <c r="I326" s="6"/>
      <c r="J326" s="4"/>
      <c r="K326" s="4"/>
      <c r="L326" s="4"/>
      <c r="M326" s="4"/>
      <c r="N326" s="4"/>
    </row>
    <row r="327" spans="1:14">
      <c r="A327" s="4"/>
      <c r="B327" s="4"/>
      <c r="C327" s="4"/>
      <c r="D327" s="4"/>
      <c r="E327" s="4"/>
      <c r="F327" s="4"/>
      <c r="H327" s="4"/>
      <c r="I327" s="6"/>
      <c r="J327" s="4"/>
      <c r="K327" s="4"/>
      <c r="L327" s="4"/>
      <c r="M327" s="4"/>
      <c r="N327" s="4"/>
    </row>
    <row r="328" spans="1:14">
      <c r="A328" s="4"/>
      <c r="B328" s="4"/>
      <c r="C328" s="4"/>
      <c r="D328" s="4"/>
      <c r="E328" s="4"/>
      <c r="F328" s="4"/>
      <c r="H328" s="4"/>
      <c r="I328" s="6"/>
      <c r="J328" s="4"/>
      <c r="K328" s="4"/>
      <c r="L328" s="4"/>
      <c r="M328" s="4"/>
      <c r="N328" s="4"/>
    </row>
    <row r="329" spans="1:14">
      <c r="A329" s="4"/>
      <c r="B329" s="4"/>
      <c r="C329" s="4"/>
      <c r="D329" s="4"/>
      <c r="E329" s="4"/>
      <c r="F329" s="4"/>
      <c r="H329" s="4"/>
      <c r="I329" s="6"/>
      <c r="J329" s="4"/>
      <c r="K329" s="4"/>
      <c r="L329" s="4"/>
      <c r="M329" s="4"/>
      <c r="N329" s="4"/>
    </row>
    <row r="330" spans="1:14">
      <c r="A330" s="4"/>
      <c r="B330" s="4"/>
      <c r="C330" s="4"/>
      <c r="D330" s="4"/>
      <c r="E330" s="4"/>
      <c r="F330" s="4"/>
      <c r="H330" s="4"/>
      <c r="I330" s="6"/>
      <c r="J330" s="4"/>
      <c r="K330" s="4"/>
      <c r="L330" s="4"/>
      <c r="M330" s="4"/>
      <c r="N330" s="4"/>
    </row>
    <row r="331" spans="1:14">
      <c r="A331" s="4"/>
      <c r="B331" s="4"/>
      <c r="C331" s="4"/>
      <c r="D331" s="4"/>
      <c r="E331" s="4"/>
      <c r="F331" s="4"/>
      <c r="H331" s="4"/>
      <c r="I331" s="6"/>
      <c r="J331" s="4"/>
      <c r="K331" s="4"/>
      <c r="L331" s="4"/>
      <c r="M331" s="4"/>
      <c r="N331" s="4"/>
    </row>
    <row r="332" spans="1:14">
      <c r="A332" s="4"/>
      <c r="B332" s="4"/>
      <c r="C332" s="4"/>
      <c r="D332" s="4"/>
      <c r="E332" s="4"/>
      <c r="F332" s="4"/>
      <c r="H332" s="4"/>
      <c r="I332" s="6"/>
      <c r="J332" s="4"/>
      <c r="K332" s="4"/>
      <c r="L332" s="4"/>
      <c r="M332" s="4"/>
      <c r="N332" s="4"/>
    </row>
    <row r="333" spans="1:14">
      <c r="A333" s="4"/>
      <c r="B333" s="4"/>
      <c r="C333" s="4"/>
      <c r="D333" s="4"/>
      <c r="E333" s="4"/>
      <c r="F333" s="4"/>
      <c r="H333" s="4"/>
      <c r="I333" s="6"/>
      <c r="J333" s="4"/>
      <c r="K333" s="4"/>
      <c r="L333" s="4"/>
      <c r="M333" s="4"/>
      <c r="N333" s="4"/>
    </row>
    <row r="334" spans="1:14">
      <c r="A334" s="4"/>
      <c r="B334" s="4"/>
      <c r="C334" s="4"/>
      <c r="D334" s="4"/>
      <c r="E334" s="4"/>
      <c r="F334" s="4"/>
      <c r="H334" s="4"/>
      <c r="I334" s="6"/>
      <c r="J334" s="4"/>
      <c r="K334" s="4"/>
      <c r="L334" s="4"/>
      <c r="M334" s="4"/>
      <c r="N334" s="4"/>
    </row>
    <row r="335" spans="1:14">
      <c r="A335" s="4"/>
      <c r="B335" s="4"/>
      <c r="C335" s="4"/>
      <c r="D335" s="4"/>
      <c r="E335" s="4"/>
      <c r="F335" s="4"/>
      <c r="H335" s="4"/>
      <c r="I335" s="6"/>
      <c r="J335" s="4"/>
      <c r="K335" s="4"/>
      <c r="L335" s="4"/>
      <c r="M335" s="4"/>
      <c r="N335" s="4"/>
    </row>
    <row r="336" spans="1:14">
      <c r="A336" s="4"/>
      <c r="B336" s="4"/>
      <c r="C336" s="4"/>
      <c r="D336" s="4"/>
      <c r="E336" s="4"/>
      <c r="F336" s="4"/>
      <c r="H336" s="4"/>
      <c r="I336" s="6"/>
      <c r="J336" s="4"/>
      <c r="K336" s="4"/>
      <c r="L336" s="4"/>
      <c r="M336" s="4"/>
      <c r="N336" s="4"/>
    </row>
    <row r="337" spans="1:14">
      <c r="A337" s="4"/>
      <c r="B337" s="4"/>
      <c r="C337" s="4"/>
      <c r="D337" s="4"/>
      <c r="E337" s="4"/>
      <c r="F337" s="4"/>
      <c r="H337" s="4"/>
      <c r="I337" s="6"/>
      <c r="J337" s="4"/>
      <c r="K337" s="4"/>
      <c r="L337" s="4"/>
      <c r="M337" s="4"/>
      <c r="N337" s="4"/>
    </row>
    <row r="338" spans="1:14">
      <c r="A338" s="4"/>
      <c r="B338" s="4"/>
      <c r="C338" s="4"/>
      <c r="D338" s="4"/>
      <c r="E338" s="4"/>
      <c r="F338" s="4"/>
      <c r="H338" s="4"/>
      <c r="I338" s="6"/>
      <c r="J338" s="4"/>
      <c r="K338" s="4"/>
      <c r="L338" s="4"/>
      <c r="M338" s="4"/>
      <c r="N338" s="4"/>
    </row>
    <row r="339" spans="1:14">
      <c r="A339" s="4"/>
      <c r="B339" s="4"/>
      <c r="C339" s="4"/>
      <c r="D339" s="4"/>
      <c r="E339" s="4"/>
      <c r="F339" s="4"/>
      <c r="H339" s="4"/>
      <c r="I339" s="6"/>
      <c r="J339" s="4"/>
      <c r="K339" s="4"/>
      <c r="L339" s="4"/>
      <c r="M339" s="4"/>
      <c r="N339" s="4"/>
    </row>
    <row r="340" spans="1:14">
      <c r="A340" s="4"/>
      <c r="B340" s="4"/>
      <c r="C340" s="4"/>
      <c r="D340" s="4"/>
      <c r="E340" s="4"/>
      <c r="F340" s="4"/>
      <c r="H340" s="4"/>
      <c r="I340" s="6"/>
      <c r="J340" s="4"/>
      <c r="K340" s="4"/>
      <c r="L340" s="4"/>
      <c r="M340" s="4"/>
      <c r="N340" s="4"/>
    </row>
    <row r="341" spans="1:14">
      <c r="A341" s="4"/>
      <c r="B341" s="4"/>
      <c r="C341" s="4"/>
      <c r="D341" s="4"/>
      <c r="E341" s="4"/>
      <c r="F341" s="4"/>
      <c r="H341" s="4"/>
      <c r="I341" s="6"/>
      <c r="J341" s="4"/>
      <c r="K341" s="4"/>
      <c r="L341" s="4"/>
      <c r="M341" s="4"/>
      <c r="N341" s="4"/>
    </row>
    <row r="342" spans="1:14">
      <c r="A342" s="4"/>
      <c r="B342" s="4"/>
      <c r="C342" s="4"/>
      <c r="D342" s="4"/>
      <c r="E342" s="4"/>
      <c r="F342" s="4"/>
      <c r="H342" s="4"/>
      <c r="I342" s="6"/>
      <c r="J342" s="4"/>
      <c r="K342" s="4"/>
      <c r="L342" s="4"/>
      <c r="M342" s="4"/>
      <c r="N342" s="4"/>
    </row>
    <row r="343" spans="1:14">
      <c r="A343" s="4"/>
      <c r="B343" s="4"/>
      <c r="C343" s="4"/>
      <c r="D343" s="4"/>
      <c r="E343" s="4"/>
      <c r="F343" s="4"/>
      <c r="H343" s="4"/>
      <c r="I343" s="6"/>
      <c r="J343" s="4"/>
      <c r="K343" s="4"/>
      <c r="L343" s="4"/>
      <c r="M343" s="4"/>
      <c r="N343" s="4"/>
    </row>
    <row r="344" spans="1:14">
      <c r="A344" s="4"/>
      <c r="B344" s="4"/>
      <c r="C344" s="4"/>
      <c r="D344" s="4"/>
      <c r="E344" s="4"/>
      <c r="F344" s="4"/>
      <c r="H344" s="4"/>
      <c r="I344" s="6"/>
      <c r="J344" s="4"/>
      <c r="K344" s="4"/>
      <c r="L344" s="4"/>
      <c r="M344" s="4"/>
      <c r="N344" s="4"/>
    </row>
    <row r="345" spans="1:14">
      <c r="A345" s="4"/>
      <c r="B345" s="4"/>
      <c r="C345" s="4"/>
      <c r="D345" s="4"/>
      <c r="E345" s="4"/>
      <c r="F345" s="4"/>
      <c r="H345" s="4"/>
      <c r="I345" s="6"/>
      <c r="J345" s="4"/>
      <c r="K345" s="4"/>
      <c r="L345" s="4"/>
      <c r="M345" s="4"/>
      <c r="N345" s="4"/>
    </row>
    <row r="346" spans="1:14">
      <c r="A346" s="4"/>
      <c r="B346" s="4"/>
      <c r="C346" s="4"/>
      <c r="D346" s="4"/>
      <c r="E346" s="4"/>
      <c r="F346" s="4"/>
      <c r="H346" s="4"/>
      <c r="I346" s="6"/>
      <c r="J346" s="4"/>
      <c r="K346" s="4"/>
      <c r="L346" s="4"/>
      <c r="M346" s="4"/>
      <c r="N346" s="4"/>
    </row>
    <row r="347" spans="1:14">
      <c r="A347" s="4"/>
      <c r="B347" s="4"/>
      <c r="C347" s="4"/>
      <c r="D347" s="4"/>
      <c r="E347" s="4"/>
      <c r="F347" s="4"/>
      <c r="H347" s="4"/>
      <c r="I347" s="6"/>
      <c r="J347" s="4"/>
      <c r="K347" s="4"/>
      <c r="L347" s="4"/>
      <c r="M347" s="4"/>
      <c r="N347" s="4"/>
    </row>
    <row r="348" spans="1:14">
      <c r="A348" s="4"/>
      <c r="B348" s="4"/>
      <c r="C348" s="4"/>
      <c r="D348" s="4"/>
      <c r="E348" s="4"/>
      <c r="F348" s="4"/>
      <c r="H348" s="4"/>
      <c r="I348" s="6"/>
      <c r="J348" s="4"/>
      <c r="K348" s="4"/>
      <c r="L348" s="4"/>
      <c r="M348" s="4"/>
      <c r="N348" s="4"/>
    </row>
    <row r="349" spans="1:14">
      <c r="A349" s="4"/>
      <c r="B349" s="4"/>
      <c r="C349" s="4"/>
      <c r="D349" s="4"/>
      <c r="E349" s="4"/>
      <c r="F349" s="4"/>
      <c r="H349" s="4"/>
      <c r="I349" s="6"/>
      <c r="J349" s="4"/>
      <c r="K349" s="4"/>
      <c r="L349" s="4"/>
      <c r="M349" s="4"/>
      <c r="N349" s="4"/>
    </row>
    <row r="350" spans="1:14">
      <c r="A350" s="4"/>
      <c r="B350" s="4"/>
      <c r="C350" s="4"/>
      <c r="D350" s="4"/>
      <c r="E350" s="4"/>
      <c r="F350" s="4"/>
      <c r="H350" s="4"/>
      <c r="I350" s="6"/>
      <c r="J350" s="4"/>
      <c r="K350" s="4"/>
      <c r="L350" s="4"/>
      <c r="M350" s="4"/>
      <c r="N350" s="4"/>
    </row>
    <row r="351" spans="1:14">
      <c r="A351" s="4"/>
      <c r="B351" s="4"/>
      <c r="C351" s="4"/>
      <c r="D351" s="4"/>
      <c r="E351" s="4"/>
      <c r="F351" s="4"/>
      <c r="H351" s="4"/>
      <c r="I351" s="6"/>
      <c r="J351" s="4"/>
      <c r="K351" s="4"/>
      <c r="L351" s="4"/>
      <c r="M351" s="4"/>
      <c r="N351" s="4"/>
    </row>
    <row r="352" spans="1:14">
      <c r="A352" s="4"/>
      <c r="B352" s="4"/>
      <c r="C352" s="4"/>
      <c r="D352" s="4"/>
      <c r="E352" s="4"/>
      <c r="F352" s="4"/>
      <c r="H352" s="4"/>
      <c r="I352" s="6"/>
      <c r="J352" s="4"/>
      <c r="K352" s="4"/>
      <c r="L352" s="4"/>
      <c r="M352" s="4"/>
      <c r="N352" s="4"/>
    </row>
    <row r="353" spans="1:14">
      <c r="A353" s="4"/>
      <c r="B353" s="4"/>
      <c r="C353" s="4"/>
      <c r="D353" s="4"/>
      <c r="E353" s="4"/>
      <c r="F353" s="4"/>
      <c r="H353" s="4"/>
      <c r="I353" s="6"/>
      <c r="J353" s="4"/>
      <c r="K353" s="4"/>
      <c r="L353" s="4"/>
      <c r="M353" s="4"/>
      <c r="N353" s="4"/>
    </row>
    <row r="354" spans="1:14">
      <c r="A354" s="4"/>
      <c r="B354" s="4"/>
      <c r="C354" s="4"/>
      <c r="D354" s="4"/>
      <c r="E354" s="4"/>
      <c r="F354" s="4"/>
      <c r="H354" s="4"/>
      <c r="I354" s="6"/>
      <c r="J354" s="4"/>
      <c r="K354" s="4"/>
      <c r="L354" s="4"/>
      <c r="M354" s="4"/>
      <c r="N354" s="4"/>
    </row>
    <row r="355" spans="1:14">
      <c r="A355" s="4"/>
      <c r="B355" s="4"/>
      <c r="C355" s="4"/>
      <c r="D355" s="4"/>
      <c r="E355" s="4"/>
      <c r="F355" s="4"/>
      <c r="H355" s="4"/>
      <c r="I355" s="6"/>
      <c r="J355" s="4"/>
      <c r="K355" s="4"/>
      <c r="L355" s="4"/>
      <c r="M355" s="4"/>
      <c r="N355" s="4"/>
    </row>
    <row r="356" spans="1:14">
      <c r="A356" s="4"/>
      <c r="B356" s="4"/>
      <c r="C356" s="4"/>
      <c r="D356" s="4"/>
      <c r="E356" s="4"/>
      <c r="F356" s="4"/>
      <c r="H356" s="4"/>
      <c r="I356" s="6"/>
      <c r="J356" s="4"/>
      <c r="K356" s="4"/>
      <c r="L356" s="4"/>
      <c r="M356" s="4"/>
      <c r="N356" s="4"/>
    </row>
    <row r="357" spans="1:14">
      <c r="A357" s="4"/>
      <c r="B357" s="4"/>
      <c r="C357" s="4"/>
      <c r="D357" s="4"/>
      <c r="E357" s="4"/>
      <c r="F357" s="4"/>
      <c r="H357" s="4"/>
      <c r="I357" s="6"/>
      <c r="J357" s="4"/>
      <c r="K357" s="4"/>
      <c r="L357" s="4"/>
      <c r="M357" s="4"/>
      <c r="N357" s="4"/>
    </row>
    <row r="358" spans="1:14">
      <c r="A358" s="4"/>
      <c r="B358" s="4"/>
      <c r="C358" s="4"/>
      <c r="D358" s="4"/>
      <c r="E358" s="4"/>
      <c r="F358" s="4"/>
      <c r="H358" s="4"/>
      <c r="I358" s="6"/>
      <c r="J358" s="4"/>
      <c r="K358" s="4"/>
      <c r="L358" s="4"/>
      <c r="M358" s="4"/>
      <c r="N358" s="4"/>
    </row>
    <row r="359" spans="1:14">
      <c r="A359" s="4"/>
      <c r="B359" s="4"/>
      <c r="C359" s="4"/>
      <c r="D359" s="4"/>
      <c r="E359" s="4"/>
      <c r="F359" s="4"/>
      <c r="H359" s="4"/>
      <c r="I359" s="6"/>
      <c r="J359" s="4"/>
      <c r="K359" s="4"/>
      <c r="L359" s="4"/>
      <c r="M359" s="4"/>
      <c r="N359" s="4"/>
    </row>
    <row r="360" spans="1:14">
      <c r="A360" s="4"/>
      <c r="B360" s="4"/>
      <c r="C360" s="4"/>
      <c r="D360" s="4"/>
      <c r="E360" s="4"/>
      <c r="F360" s="4"/>
      <c r="H360" s="4"/>
      <c r="I360" s="6"/>
      <c r="J360" s="4"/>
      <c r="K360" s="4"/>
      <c r="L360" s="4"/>
      <c r="M360" s="4"/>
      <c r="N360" s="4"/>
    </row>
    <row r="361" spans="1:14">
      <c r="A361" s="4"/>
      <c r="B361" s="4"/>
      <c r="C361" s="4"/>
      <c r="D361" s="4"/>
      <c r="E361" s="4"/>
      <c r="F361" s="4"/>
      <c r="H361" s="4"/>
      <c r="I361" s="6"/>
      <c r="J361" s="4"/>
      <c r="K361" s="4"/>
      <c r="L361" s="4"/>
      <c r="M361" s="4"/>
      <c r="N361" s="4"/>
    </row>
    <row r="362" spans="1:14">
      <c r="A362" s="4"/>
      <c r="B362" s="4"/>
      <c r="C362" s="4"/>
      <c r="D362" s="4"/>
      <c r="E362" s="4"/>
      <c r="F362" s="4"/>
      <c r="H362" s="4"/>
      <c r="I362" s="6"/>
      <c r="J362" s="4"/>
      <c r="K362" s="4"/>
      <c r="L362" s="4"/>
      <c r="M362" s="4"/>
      <c r="N362" s="4"/>
    </row>
    <row r="363" spans="1:14">
      <c r="A363" s="4"/>
      <c r="B363" s="4"/>
      <c r="C363" s="4"/>
      <c r="D363" s="4"/>
      <c r="E363" s="4"/>
      <c r="F363" s="4"/>
      <c r="H363" s="4"/>
      <c r="I363" s="6"/>
      <c r="J363" s="4"/>
      <c r="K363" s="4"/>
      <c r="L363" s="4"/>
      <c r="M363" s="4"/>
      <c r="N363" s="4"/>
    </row>
    <row r="364" spans="1:14">
      <c r="A364" s="4"/>
      <c r="B364" s="4"/>
      <c r="C364" s="4"/>
      <c r="D364" s="4"/>
      <c r="E364" s="4"/>
      <c r="F364" s="4"/>
      <c r="H364" s="4"/>
      <c r="I364" s="6"/>
      <c r="J364" s="4"/>
      <c r="K364" s="4"/>
      <c r="L364" s="4"/>
      <c r="M364" s="4"/>
      <c r="N364" s="4"/>
    </row>
    <row r="365" spans="1:14">
      <c r="A365" s="4"/>
      <c r="B365" s="4"/>
      <c r="C365" s="4"/>
      <c r="D365" s="4"/>
      <c r="E365" s="4"/>
      <c r="F365" s="4"/>
      <c r="H365" s="4"/>
      <c r="I365" s="6"/>
      <c r="J365" s="4"/>
      <c r="K365" s="4"/>
      <c r="L365" s="4"/>
      <c r="M365" s="4"/>
      <c r="N365" s="4"/>
    </row>
    <row r="366" spans="1:14">
      <c r="A366" s="4"/>
      <c r="B366" s="4"/>
      <c r="C366" s="4"/>
      <c r="D366" s="4"/>
      <c r="E366" s="4"/>
      <c r="F366" s="4"/>
      <c r="H366" s="4"/>
      <c r="I366" s="6"/>
      <c r="J366" s="4"/>
      <c r="K366" s="4"/>
      <c r="L366" s="4"/>
      <c r="M366" s="4"/>
      <c r="N366" s="4"/>
    </row>
    <row r="367" spans="1:14">
      <c r="A367" s="4"/>
      <c r="B367" s="4"/>
      <c r="C367" s="4"/>
      <c r="D367" s="4"/>
      <c r="E367" s="4"/>
      <c r="F367" s="4"/>
      <c r="H367" s="4"/>
      <c r="I367" s="6"/>
      <c r="J367" s="4"/>
      <c r="K367" s="4"/>
      <c r="L367" s="4"/>
      <c r="M367" s="4"/>
      <c r="N367" s="4"/>
    </row>
    <row r="368" spans="1:14">
      <c r="A368" s="4"/>
      <c r="B368" s="4"/>
      <c r="C368" s="4"/>
      <c r="D368" s="4"/>
      <c r="E368" s="4"/>
      <c r="F368" s="4"/>
      <c r="H368" s="4"/>
      <c r="I368" s="6"/>
      <c r="J368" s="4"/>
      <c r="K368" s="4"/>
      <c r="L368" s="4"/>
      <c r="M368" s="4"/>
      <c r="N368" s="4"/>
    </row>
    <row r="369" spans="1:14">
      <c r="A369" s="4"/>
      <c r="B369" s="4"/>
      <c r="C369" s="4"/>
      <c r="D369" s="4"/>
      <c r="E369" s="4"/>
      <c r="F369" s="4"/>
      <c r="H369" s="4"/>
      <c r="I369" s="6"/>
      <c r="J369" s="4"/>
      <c r="K369" s="4"/>
      <c r="L369" s="4"/>
      <c r="M369" s="4"/>
      <c r="N369" s="4"/>
    </row>
    <row r="370" spans="1:14">
      <c r="A370" s="4"/>
      <c r="B370" s="4"/>
      <c r="C370" s="4"/>
      <c r="D370" s="4"/>
      <c r="E370" s="4"/>
      <c r="F370" s="4"/>
      <c r="H370" s="4"/>
      <c r="I370" s="6"/>
      <c r="J370" s="4"/>
      <c r="K370" s="4"/>
      <c r="L370" s="4"/>
      <c r="M370" s="4"/>
      <c r="N370" s="4"/>
    </row>
    <row r="371" spans="1:14">
      <c r="A371" s="4"/>
      <c r="B371" s="4"/>
      <c r="C371" s="4"/>
      <c r="D371" s="4"/>
      <c r="E371" s="4"/>
      <c r="F371" s="4"/>
      <c r="H371" s="4"/>
      <c r="I371" s="6"/>
      <c r="J371" s="4"/>
      <c r="K371" s="4"/>
      <c r="L371" s="4"/>
      <c r="M371" s="4"/>
      <c r="N371" s="4"/>
    </row>
    <row r="372" spans="1:14">
      <c r="A372" s="4"/>
      <c r="B372" s="4"/>
      <c r="C372" s="4"/>
      <c r="D372" s="4"/>
      <c r="E372" s="4"/>
      <c r="F372" s="4"/>
      <c r="H372" s="4"/>
      <c r="I372" s="6"/>
      <c r="J372" s="4"/>
      <c r="K372" s="4"/>
      <c r="L372" s="4"/>
      <c r="M372" s="4"/>
      <c r="N372" s="4"/>
    </row>
    <row r="373" spans="1:14">
      <c r="A373" s="4"/>
      <c r="B373" s="4"/>
      <c r="C373" s="4"/>
      <c r="D373" s="4"/>
      <c r="E373" s="4"/>
      <c r="F373" s="4"/>
      <c r="H373" s="4"/>
      <c r="I373" s="6"/>
      <c r="J373" s="4"/>
      <c r="K373" s="4"/>
      <c r="L373" s="4"/>
      <c r="M373" s="4"/>
      <c r="N373" s="4"/>
    </row>
    <row r="374" spans="1:14">
      <c r="A374" s="4"/>
      <c r="B374" s="4"/>
      <c r="C374" s="4"/>
      <c r="D374" s="4"/>
      <c r="E374" s="4"/>
      <c r="F374" s="4"/>
      <c r="H374" s="4"/>
      <c r="I374" s="6"/>
      <c r="J374" s="4"/>
      <c r="K374" s="4"/>
      <c r="L374" s="4"/>
      <c r="M374" s="4"/>
      <c r="N374" s="4"/>
    </row>
    <row r="375" spans="1:14">
      <c r="A375" s="4"/>
      <c r="B375" s="4"/>
      <c r="C375" s="4"/>
      <c r="D375" s="4"/>
      <c r="E375" s="4"/>
      <c r="F375" s="4"/>
      <c r="H375" s="4"/>
      <c r="I375" s="6"/>
      <c r="J375" s="4"/>
      <c r="K375" s="4"/>
      <c r="L375" s="4"/>
      <c r="M375" s="4"/>
      <c r="N375" s="4"/>
    </row>
    <row r="376" spans="1:14">
      <c r="A376" s="4"/>
      <c r="B376" s="4"/>
      <c r="C376" s="4"/>
      <c r="D376" s="4"/>
      <c r="E376" s="4"/>
      <c r="F376" s="4"/>
      <c r="H376" s="4"/>
      <c r="I376" s="6"/>
      <c r="J376" s="4"/>
      <c r="K376" s="4"/>
      <c r="L376" s="4"/>
      <c r="M376" s="4"/>
      <c r="N376" s="4"/>
    </row>
    <row r="377" spans="1:14">
      <c r="A377" s="4"/>
      <c r="B377" s="4"/>
      <c r="C377" s="4"/>
      <c r="D377" s="4"/>
      <c r="E377" s="4"/>
      <c r="F377" s="4"/>
      <c r="H377" s="4"/>
      <c r="I377" s="6"/>
      <c r="J377" s="4"/>
      <c r="K377" s="4"/>
      <c r="L377" s="4"/>
      <c r="M377" s="4"/>
      <c r="N377" s="4"/>
    </row>
    <row r="378" spans="1:14">
      <c r="A378" s="4"/>
      <c r="B378" s="4"/>
      <c r="C378" s="4"/>
      <c r="D378" s="4"/>
      <c r="E378" s="4"/>
      <c r="F378" s="4"/>
      <c r="H378" s="4"/>
      <c r="I378" s="6"/>
      <c r="J378" s="4"/>
      <c r="K378" s="4"/>
      <c r="L378" s="4"/>
      <c r="M378" s="4"/>
      <c r="N378" s="4"/>
    </row>
    <row r="379" spans="1:14">
      <c r="A379" s="4"/>
      <c r="B379" s="4"/>
      <c r="C379" s="4"/>
      <c r="D379" s="4"/>
      <c r="E379" s="4"/>
      <c r="F379" s="4"/>
      <c r="H379" s="4"/>
      <c r="I379" s="6"/>
      <c r="J379" s="4"/>
      <c r="K379" s="4"/>
      <c r="L379" s="4"/>
      <c r="M379" s="4"/>
      <c r="N379" s="4"/>
    </row>
    <row r="380" spans="1:14">
      <c r="A380" s="4"/>
      <c r="B380" s="4"/>
      <c r="C380" s="4"/>
      <c r="D380" s="4"/>
      <c r="E380" s="4"/>
      <c r="F380" s="4"/>
      <c r="H380" s="4"/>
      <c r="I380" s="6"/>
      <c r="J380" s="4"/>
      <c r="K380" s="4"/>
      <c r="L380" s="4"/>
      <c r="M380" s="4"/>
      <c r="N380" s="4"/>
    </row>
    <row r="381" spans="1:14">
      <c r="A381" s="4"/>
      <c r="B381" s="4"/>
      <c r="C381" s="4"/>
      <c r="D381" s="4"/>
      <c r="E381" s="4"/>
      <c r="F381" s="4"/>
      <c r="H381" s="4"/>
      <c r="I381" s="6"/>
      <c r="J381" s="4"/>
      <c r="K381" s="4"/>
      <c r="L381" s="4"/>
      <c r="M381" s="4"/>
      <c r="N381" s="4"/>
    </row>
    <row r="382" spans="1:14">
      <c r="A382" s="4"/>
      <c r="B382" s="4"/>
      <c r="C382" s="4"/>
      <c r="D382" s="4"/>
      <c r="E382" s="4"/>
      <c r="F382" s="4"/>
      <c r="H382" s="4"/>
      <c r="I382" s="6"/>
      <c r="J382" s="4"/>
      <c r="K382" s="4"/>
      <c r="L382" s="4"/>
      <c r="M382" s="4"/>
      <c r="N382" s="4"/>
    </row>
    <row r="383" spans="1:14">
      <c r="A383" s="4"/>
      <c r="B383" s="4"/>
      <c r="C383" s="4"/>
      <c r="D383" s="4"/>
      <c r="E383" s="4"/>
      <c r="F383" s="4"/>
      <c r="H383" s="4"/>
      <c r="I383" s="6"/>
      <c r="J383" s="4"/>
      <c r="K383" s="4"/>
      <c r="L383" s="4"/>
      <c r="M383" s="4"/>
      <c r="N383" s="4"/>
    </row>
    <row r="384" spans="1:14">
      <c r="A384" s="4"/>
      <c r="B384" s="4"/>
      <c r="C384" s="4"/>
      <c r="D384" s="4"/>
      <c r="E384" s="4"/>
      <c r="F384" s="4"/>
      <c r="H384" s="4"/>
      <c r="I384" s="6"/>
      <c r="J384" s="4"/>
      <c r="K384" s="4"/>
      <c r="L384" s="4"/>
      <c r="M384" s="4"/>
      <c r="N384" s="4"/>
    </row>
    <row r="385" spans="1:14">
      <c r="A385" s="4"/>
      <c r="B385" s="4"/>
      <c r="C385" s="4"/>
      <c r="D385" s="4"/>
      <c r="E385" s="4"/>
      <c r="F385" s="4"/>
      <c r="H385" s="4"/>
      <c r="I385" s="6"/>
      <c r="J385" s="4"/>
      <c r="K385" s="4"/>
      <c r="L385" s="4"/>
      <c r="M385" s="4"/>
      <c r="N385" s="4"/>
    </row>
    <row r="386" spans="1:14">
      <c r="A386" s="4"/>
      <c r="B386" s="4"/>
      <c r="C386" s="4"/>
      <c r="D386" s="4"/>
      <c r="E386" s="4"/>
      <c r="F386" s="4"/>
      <c r="H386" s="4"/>
      <c r="I386" s="6"/>
      <c r="J386" s="4"/>
      <c r="K386" s="4"/>
      <c r="L386" s="4"/>
      <c r="M386" s="4"/>
      <c r="N386" s="4"/>
    </row>
    <row r="387" spans="1:14">
      <c r="A387" s="4"/>
      <c r="B387" s="4"/>
      <c r="C387" s="4"/>
      <c r="D387" s="4"/>
      <c r="E387" s="4"/>
      <c r="F387" s="4"/>
      <c r="H387" s="4"/>
      <c r="I387" s="6"/>
      <c r="J387" s="4"/>
      <c r="K387" s="4"/>
      <c r="L387" s="4"/>
      <c r="M387" s="4"/>
      <c r="N387" s="4"/>
    </row>
    <row r="388" spans="1:14">
      <c r="A388" s="4"/>
      <c r="B388" s="4"/>
      <c r="C388" s="4"/>
      <c r="D388" s="4"/>
      <c r="E388" s="4"/>
      <c r="F388" s="4"/>
      <c r="H388" s="4"/>
      <c r="I388" s="6"/>
      <c r="J388" s="4"/>
      <c r="K388" s="4"/>
      <c r="L388" s="4"/>
      <c r="M388" s="4"/>
      <c r="N388" s="4"/>
    </row>
    <row r="389" spans="1:14">
      <c r="A389" s="4"/>
      <c r="B389" s="4"/>
      <c r="C389" s="4"/>
      <c r="D389" s="4"/>
      <c r="E389" s="4"/>
      <c r="F389" s="4"/>
      <c r="H389" s="4"/>
      <c r="I389" s="6"/>
      <c r="J389" s="4"/>
      <c r="K389" s="4"/>
      <c r="L389" s="4"/>
      <c r="M389" s="4"/>
      <c r="N389" s="4"/>
    </row>
    <row r="390" spans="1:14">
      <c r="A390" s="4"/>
      <c r="B390" s="4"/>
      <c r="C390" s="4"/>
      <c r="D390" s="4"/>
      <c r="E390" s="4"/>
      <c r="F390" s="4"/>
      <c r="H390" s="4"/>
      <c r="I390" s="6"/>
      <c r="J390" s="4"/>
      <c r="K390" s="4"/>
      <c r="L390" s="4"/>
      <c r="M390" s="4"/>
      <c r="N390" s="4"/>
    </row>
    <row r="391" spans="1:14">
      <c r="A391" s="4"/>
      <c r="B391" s="4"/>
      <c r="C391" s="4"/>
      <c r="D391" s="4"/>
      <c r="E391" s="4"/>
      <c r="F391" s="4"/>
      <c r="H391" s="4"/>
      <c r="I391" s="6"/>
      <c r="J391" s="4"/>
      <c r="K391" s="4"/>
      <c r="L391" s="4"/>
      <c r="M391" s="4"/>
      <c r="N391" s="4"/>
    </row>
    <row r="392" spans="1:14">
      <c r="A392" s="4"/>
      <c r="B392" s="4"/>
      <c r="C392" s="4"/>
      <c r="D392" s="4"/>
      <c r="E392" s="4"/>
      <c r="F392" s="4"/>
      <c r="H392" s="4"/>
      <c r="I392" s="6"/>
      <c r="J392" s="4"/>
      <c r="K392" s="4"/>
      <c r="L392" s="4"/>
      <c r="M392" s="4"/>
      <c r="N392" s="4"/>
    </row>
    <row r="393" spans="1:14">
      <c r="A393" s="4"/>
      <c r="B393" s="4"/>
      <c r="C393" s="4"/>
      <c r="D393" s="4"/>
      <c r="E393" s="4"/>
      <c r="F393" s="4"/>
      <c r="H393" s="4"/>
      <c r="I393" s="6"/>
      <c r="J393" s="4"/>
      <c r="K393" s="4"/>
      <c r="L393" s="4"/>
      <c r="M393" s="4"/>
      <c r="N393" s="4"/>
    </row>
    <row r="394" spans="1:14">
      <c r="A394" s="4"/>
      <c r="B394" s="4"/>
      <c r="C394" s="4"/>
      <c r="D394" s="4"/>
      <c r="E394" s="4"/>
      <c r="F394" s="4"/>
      <c r="H394" s="4"/>
      <c r="I394" s="6"/>
      <c r="J394" s="4"/>
      <c r="K394" s="4"/>
      <c r="L394" s="4"/>
      <c r="M394" s="4"/>
      <c r="N394" s="4"/>
    </row>
    <row r="395" spans="1:14">
      <c r="A395" s="4"/>
      <c r="B395" s="4"/>
      <c r="C395" s="4"/>
      <c r="D395" s="4"/>
      <c r="E395" s="4"/>
      <c r="F395" s="4"/>
      <c r="H395" s="4"/>
      <c r="I395" s="6"/>
      <c r="J395" s="4"/>
      <c r="K395" s="4"/>
      <c r="L395" s="4"/>
      <c r="M395" s="4"/>
      <c r="N395" s="4"/>
    </row>
    <row r="396" spans="1:14">
      <c r="A396" s="4"/>
      <c r="B396" s="4"/>
      <c r="C396" s="4"/>
      <c r="D396" s="4"/>
      <c r="E396" s="4"/>
      <c r="F396" s="4"/>
      <c r="H396" s="4"/>
      <c r="I396" s="6"/>
      <c r="J396" s="4"/>
      <c r="K396" s="4"/>
      <c r="L396" s="4"/>
      <c r="M396" s="4"/>
      <c r="N396" s="4"/>
    </row>
    <row r="397" spans="1:14">
      <c r="A397" s="4"/>
      <c r="B397" s="4"/>
      <c r="C397" s="4"/>
      <c r="D397" s="4"/>
      <c r="E397" s="4"/>
      <c r="F397" s="4"/>
      <c r="H397" s="4"/>
      <c r="I397" s="6"/>
      <c r="J397" s="4"/>
      <c r="K397" s="4"/>
      <c r="L397" s="4"/>
      <c r="M397" s="4"/>
      <c r="N397" s="4"/>
    </row>
    <row r="398" spans="1:14">
      <c r="A398" s="4"/>
      <c r="B398" s="4"/>
      <c r="C398" s="4"/>
      <c r="D398" s="4"/>
      <c r="E398" s="4"/>
      <c r="F398" s="4"/>
      <c r="H398" s="4"/>
      <c r="I398" s="6"/>
      <c r="J398" s="4"/>
      <c r="K398" s="4"/>
      <c r="L398" s="4"/>
      <c r="M398" s="4"/>
      <c r="N398" s="4"/>
    </row>
    <row r="399" spans="1:14">
      <c r="A399" s="4"/>
      <c r="B399" s="4"/>
      <c r="C399" s="4"/>
      <c r="D399" s="4"/>
      <c r="E399" s="4"/>
      <c r="F399" s="4"/>
      <c r="H399" s="4"/>
      <c r="I399" s="6"/>
      <c r="J399" s="4"/>
      <c r="K399" s="4"/>
      <c r="L399" s="4"/>
      <c r="M399" s="4"/>
      <c r="N399" s="4"/>
    </row>
    <row r="400" spans="1:14">
      <c r="A400" s="4"/>
      <c r="B400" s="4"/>
      <c r="C400" s="4"/>
      <c r="D400" s="4"/>
      <c r="E400" s="4"/>
      <c r="F400" s="4"/>
      <c r="H400" s="4"/>
      <c r="I400" s="6"/>
      <c r="J400" s="4"/>
      <c r="K400" s="4"/>
      <c r="L400" s="4"/>
      <c r="M400" s="4"/>
      <c r="N400" s="4"/>
    </row>
    <row r="401" spans="1:14">
      <c r="A401" s="4"/>
      <c r="B401" s="4"/>
      <c r="C401" s="4"/>
      <c r="D401" s="4"/>
      <c r="E401" s="4"/>
      <c r="F401" s="4"/>
      <c r="H401" s="4"/>
      <c r="I401" s="6"/>
      <c r="J401" s="4"/>
      <c r="K401" s="4"/>
      <c r="L401" s="4"/>
      <c r="M401" s="4"/>
      <c r="N401" s="4"/>
    </row>
    <row r="402" spans="1:14">
      <c r="A402" s="4"/>
      <c r="B402" s="4"/>
      <c r="C402" s="4"/>
      <c r="D402" s="4"/>
      <c r="E402" s="4"/>
      <c r="F402" s="4"/>
      <c r="H402" s="4"/>
      <c r="I402" s="6"/>
      <c r="J402" s="4"/>
      <c r="K402" s="4"/>
      <c r="L402" s="4"/>
      <c r="M402" s="4"/>
      <c r="N402" s="4"/>
    </row>
    <row r="403" spans="1:14">
      <c r="A403" s="4"/>
      <c r="B403" s="4"/>
      <c r="C403" s="4"/>
      <c r="D403" s="4"/>
      <c r="E403" s="4"/>
      <c r="F403" s="4"/>
      <c r="H403" s="4"/>
      <c r="I403" s="6"/>
      <c r="J403" s="4"/>
      <c r="K403" s="4"/>
      <c r="L403" s="4"/>
      <c r="M403" s="4"/>
      <c r="N403" s="4"/>
    </row>
    <row r="404" spans="1:14">
      <c r="A404" s="4"/>
      <c r="B404" s="4"/>
      <c r="C404" s="4"/>
      <c r="D404" s="4"/>
      <c r="E404" s="4"/>
      <c r="F404" s="4"/>
      <c r="H404" s="4"/>
      <c r="I404" s="6"/>
      <c r="J404" s="4"/>
      <c r="K404" s="4"/>
      <c r="L404" s="4"/>
      <c r="M404" s="4"/>
      <c r="N404" s="4"/>
    </row>
    <row r="405" spans="1:14">
      <c r="A405" s="4"/>
      <c r="B405" s="4"/>
      <c r="C405" s="4"/>
      <c r="D405" s="4"/>
      <c r="E405" s="4"/>
      <c r="F405" s="4"/>
      <c r="H405" s="4"/>
      <c r="I405" s="6"/>
      <c r="J405" s="4"/>
      <c r="K405" s="4"/>
      <c r="L405" s="4"/>
      <c r="M405" s="4"/>
      <c r="N405" s="4"/>
    </row>
    <row r="406" spans="1:14">
      <c r="A406" s="4"/>
      <c r="B406" s="4"/>
      <c r="C406" s="4"/>
      <c r="D406" s="4"/>
      <c r="E406" s="4"/>
      <c r="F406" s="4"/>
      <c r="H406" s="4"/>
      <c r="I406" s="6"/>
      <c r="J406" s="4"/>
      <c r="K406" s="4"/>
      <c r="L406" s="4"/>
      <c r="M406" s="4"/>
      <c r="N406" s="4"/>
    </row>
    <row r="407" spans="1:14">
      <c r="A407" s="4"/>
      <c r="B407" s="4"/>
      <c r="C407" s="4"/>
      <c r="D407" s="4"/>
      <c r="E407" s="4"/>
      <c r="F407" s="4"/>
      <c r="H407" s="4"/>
      <c r="I407" s="6"/>
      <c r="J407" s="4"/>
      <c r="K407" s="4"/>
      <c r="L407" s="4"/>
      <c r="M407" s="4"/>
      <c r="N407" s="4"/>
    </row>
    <row r="408" spans="1:14">
      <c r="A408" s="4"/>
      <c r="B408" s="4"/>
      <c r="C408" s="4"/>
      <c r="D408" s="4"/>
      <c r="E408" s="4"/>
      <c r="F408" s="4"/>
      <c r="H408" s="4"/>
      <c r="I408" s="6"/>
      <c r="J408" s="4"/>
      <c r="K408" s="4"/>
      <c r="L408" s="4"/>
      <c r="M408" s="4"/>
      <c r="N408" s="4"/>
    </row>
    <row r="409" spans="1:14">
      <c r="A409" s="4"/>
      <c r="B409" s="4"/>
      <c r="C409" s="4"/>
      <c r="D409" s="4"/>
      <c r="E409" s="4"/>
      <c r="F409" s="4"/>
      <c r="H409" s="4"/>
      <c r="I409" s="6"/>
      <c r="J409" s="4"/>
      <c r="K409" s="4"/>
      <c r="L409" s="4"/>
      <c r="M409" s="4"/>
      <c r="N409" s="4"/>
    </row>
    <row r="410" spans="1:14">
      <c r="A410" s="4"/>
      <c r="B410" s="4"/>
      <c r="C410" s="4"/>
      <c r="D410" s="4"/>
      <c r="E410" s="4"/>
      <c r="F410" s="4"/>
      <c r="H410" s="4"/>
      <c r="I410" s="6"/>
      <c r="J410" s="4"/>
      <c r="K410" s="4"/>
      <c r="L410" s="4"/>
      <c r="M410" s="4"/>
      <c r="N410" s="4"/>
    </row>
    <row r="411" spans="1:14">
      <c r="A411" s="4"/>
      <c r="B411" s="4"/>
      <c r="C411" s="4"/>
      <c r="D411" s="4"/>
      <c r="E411" s="4"/>
      <c r="F411" s="4"/>
      <c r="H411" s="4"/>
      <c r="I411" s="6"/>
      <c r="J411" s="4"/>
      <c r="K411" s="4"/>
      <c r="L411" s="4"/>
      <c r="M411" s="4"/>
      <c r="N411" s="4"/>
    </row>
    <row r="412" spans="1:14">
      <c r="A412" s="4"/>
      <c r="B412" s="4"/>
      <c r="C412" s="4"/>
      <c r="D412" s="4"/>
      <c r="E412" s="4"/>
      <c r="F412" s="4"/>
      <c r="H412" s="4"/>
      <c r="I412" s="6"/>
      <c r="J412" s="4"/>
      <c r="K412" s="4"/>
      <c r="L412" s="4"/>
      <c r="M412" s="4"/>
      <c r="N412" s="4"/>
    </row>
    <row r="413" spans="1:14">
      <c r="A413" s="4"/>
      <c r="B413" s="4"/>
      <c r="C413" s="4"/>
      <c r="D413" s="4"/>
      <c r="E413" s="4"/>
      <c r="F413" s="4"/>
      <c r="H413" s="4"/>
      <c r="I413" s="6"/>
      <c r="J413" s="4"/>
      <c r="K413" s="4"/>
      <c r="L413" s="4"/>
      <c r="M413" s="4"/>
      <c r="N413" s="4"/>
    </row>
    <row r="414" spans="1:14">
      <c r="A414" s="4"/>
      <c r="B414" s="4"/>
      <c r="C414" s="4"/>
      <c r="D414" s="4"/>
      <c r="E414" s="4"/>
      <c r="F414" s="4"/>
      <c r="H414" s="4"/>
      <c r="I414" s="6"/>
      <c r="J414" s="4"/>
      <c r="K414" s="4"/>
      <c r="L414" s="4"/>
      <c r="M414" s="4"/>
      <c r="N414" s="4"/>
    </row>
    <row r="415" spans="1:14">
      <c r="A415" s="4"/>
      <c r="B415" s="4"/>
      <c r="C415" s="4"/>
      <c r="D415" s="4"/>
      <c r="E415" s="4"/>
      <c r="F415" s="4"/>
      <c r="H415" s="4"/>
      <c r="I415" s="6"/>
      <c r="J415" s="4"/>
      <c r="K415" s="4"/>
      <c r="L415" s="4"/>
      <c r="M415" s="4"/>
      <c r="N415" s="4"/>
    </row>
    <row r="416" spans="1:14">
      <c r="A416" s="4"/>
      <c r="B416" s="4"/>
      <c r="C416" s="4"/>
      <c r="D416" s="4"/>
      <c r="E416" s="4"/>
      <c r="F416" s="4"/>
      <c r="H416" s="4"/>
      <c r="I416" s="6"/>
      <c r="J416" s="4"/>
      <c r="K416" s="4"/>
      <c r="L416" s="4"/>
      <c r="M416" s="4"/>
      <c r="N416" s="4"/>
    </row>
    <row r="417" spans="1:14">
      <c r="A417" s="4"/>
      <c r="B417" s="4"/>
      <c r="C417" s="4"/>
      <c r="D417" s="4"/>
      <c r="E417" s="4"/>
      <c r="F417" s="4"/>
      <c r="H417" s="4"/>
      <c r="I417" s="6"/>
      <c r="J417" s="4"/>
      <c r="K417" s="4"/>
      <c r="L417" s="4"/>
      <c r="M417" s="4"/>
      <c r="N417" s="4"/>
    </row>
    <row r="418" spans="1:14">
      <c r="A418" s="4"/>
      <c r="B418" s="4"/>
      <c r="C418" s="4"/>
      <c r="D418" s="4"/>
      <c r="E418" s="4"/>
      <c r="F418" s="4"/>
      <c r="H418" s="4"/>
      <c r="I418" s="6"/>
      <c r="J418" s="4"/>
      <c r="K418" s="4"/>
      <c r="L418" s="4"/>
      <c r="M418" s="4"/>
      <c r="N418" s="4"/>
    </row>
    <row r="419" spans="1:14">
      <c r="A419" s="4"/>
      <c r="B419" s="4"/>
      <c r="C419" s="4"/>
      <c r="D419" s="4"/>
      <c r="E419" s="4"/>
      <c r="F419" s="4"/>
      <c r="H419" s="4"/>
      <c r="I419" s="6"/>
      <c r="J419" s="4"/>
      <c r="K419" s="4"/>
      <c r="L419" s="4"/>
      <c r="M419" s="4"/>
      <c r="N419" s="4"/>
    </row>
    <row r="420" spans="1:14">
      <c r="A420" s="4"/>
      <c r="B420" s="4"/>
      <c r="C420" s="4"/>
      <c r="D420" s="4"/>
      <c r="E420" s="4"/>
      <c r="F420" s="4"/>
      <c r="H420" s="4"/>
      <c r="I420" s="6"/>
      <c r="J420" s="4"/>
      <c r="K420" s="4"/>
      <c r="L420" s="4"/>
      <c r="M420" s="4"/>
      <c r="N420" s="4"/>
    </row>
    <row r="421" spans="1:14">
      <c r="A421" s="4"/>
      <c r="B421" s="4"/>
      <c r="C421" s="4"/>
      <c r="D421" s="4"/>
      <c r="E421" s="4"/>
      <c r="F421" s="4"/>
      <c r="H421" s="4"/>
      <c r="I421" s="6"/>
      <c r="J421" s="4"/>
      <c r="K421" s="4"/>
      <c r="L421" s="4"/>
      <c r="M421" s="4"/>
      <c r="N421" s="4"/>
    </row>
    <row r="422" spans="1:14">
      <c r="A422" s="4"/>
      <c r="B422" s="4"/>
      <c r="C422" s="4"/>
      <c r="D422" s="4"/>
      <c r="E422" s="4"/>
      <c r="F422" s="4"/>
      <c r="H422" s="4"/>
      <c r="I422" s="6"/>
      <c r="J422" s="4"/>
      <c r="K422" s="4"/>
      <c r="L422" s="4"/>
      <c r="M422" s="4"/>
      <c r="N422" s="4"/>
    </row>
    <row r="423" spans="1:14">
      <c r="A423" s="4"/>
      <c r="B423" s="4"/>
      <c r="C423" s="4"/>
      <c r="D423" s="4"/>
      <c r="E423" s="4"/>
      <c r="F423" s="4"/>
      <c r="H423" s="4"/>
      <c r="I423" s="6"/>
      <c r="J423" s="4"/>
      <c r="K423" s="4"/>
      <c r="L423" s="4"/>
      <c r="M423" s="4"/>
      <c r="N423" s="4"/>
    </row>
    <row r="424" spans="1:14">
      <c r="A424" s="4"/>
      <c r="B424" s="4"/>
      <c r="C424" s="4"/>
      <c r="D424" s="4"/>
      <c r="E424" s="4"/>
      <c r="F424" s="4"/>
      <c r="H424" s="4"/>
      <c r="I424" s="6"/>
      <c r="J424" s="4"/>
      <c r="K424" s="4"/>
      <c r="L424" s="4"/>
      <c r="M424" s="4"/>
      <c r="N424" s="4"/>
    </row>
    <row r="425" spans="1:14">
      <c r="A425" s="4"/>
      <c r="B425" s="4"/>
      <c r="C425" s="4"/>
      <c r="D425" s="4"/>
      <c r="E425" s="4"/>
      <c r="F425" s="4"/>
      <c r="H425" s="4"/>
      <c r="I425" s="6"/>
      <c r="J425" s="4"/>
      <c r="K425" s="4"/>
      <c r="L425" s="4"/>
      <c r="M425" s="4"/>
      <c r="N425" s="4"/>
    </row>
    <row r="426" spans="1:14">
      <c r="A426" s="4"/>
      <c r="B426" s="4"/>
      <c r="C426" s="4"/>
      <c r="D426" s="4"/>
      <c r="E426" s="4"/>
      <c r="F426" s="4"/>
      <c r="H426" s="4"/>
      <c r="I426" s="6"/>
      <c r="J426" s="4"/>
      <c r="K426" s="4"/>
      <c r="L426" s="4"/>
      <c r="M426" s="4"/>
      <c r="N426" s="4"/>
    </row>
  </sheetData>
  <autoFilter ref="A1:N82" xr:uid="{00000000-0009-0000-0000-000008000000}">
    <sortState xmlns:xlrd2="http://schemas.microsoft.com/office/spreadsheetml/2017/richdata2" ref="A2:N50">
      <sortCondition ref="G1"/>
    </sortState>
  </autoFilter>
  <dataValidations count="1">
    <dataValidation type="list" allowBlank="1" showInputMessage="1" showErrorMessage="1" sqref="C87:C426 C72:C85 C2:C70" xr:uid="{00000000-0002-0000-08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800-000000000000}">
          <x14:formula1>
            <xm:f>List!$P$2:$P$11</xm:f>
          </x14:formula1>
          <xm:sqref>B13:B14 B16:B30 B32:B34 B36:B70 B72:B426 B2:B11</xm:sqref>
        </x14:dataValidation>
        <x14:dataValidation type="list" allowBlank="1" showInputMessage="1" showErrorMessage="1" xr:uid="{00000000-0002-0000-0800-000004000000}">
          <x14:formula1>
            <xm:f>List!$H$2:$H$13</xm:f>
          </x14:formula1>
          <xm:sqref>M87:M426</xm:sqref>
        </x14:dataValidation>
        <x14:dataValidation type="list" allowBlank="1" showInputMessage="1" showErrorMessage="1" xr:uid="{00000000-0002-0000-0800-000005000000}">
          <x14:formula1>
            <xm:f>List!$J$2:$J$4</xm:f>
          </x14:formula1>
          <xm:sqref>N87:N426</xm:sqref>
        </x14:dataValidation>
        <x14:dataValidation type="list" allowBlank="1" showInputMessage="1" showErrorMessage="1" xr:uid="{00000000-0002-0000-0800-000002000000}">
          <x14:formula1>
            <xm:f>List!$C$2:$C$3</xm:f>
          </x14:formula1>
          <xm:sqref>D2:D426</xm:sqref>
        </x14:dataValidation>
        <x14:dataValidation type="list" allowBlank="1" showInputMessage="1" showErrorMessage="1" xr:uid="{00000000-0002-0000-0800-000003000000}">
          <x14:formula1>
            <xm:f>List!$E$2:$E$32</xm:f>
          </x14:formula1>
          <xm:sqref>E2:E426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N11"/>
  <sheetViews>
    <sheetView topLeftCell="D1" workbookViewId="0">
      <selection activeCell="A2" sqref="A2:N11"/>
    </sheetView>
  </sheetViews>
  <sheetFormatPr defaultColWidth="9" defaultRowHeight="14.5"/>
  <cols>
    <col min="1" max="1" width="5.36328125" customWidth="1"/>
    <col min="2" max="2" width="8.6328125" customWidth="1"/>
    <col min="3" max="3" width="10.1796875" bestFit="1" customWidth="1"/>
    <col min="4" max="4" width="8.90625" customWidth="1"/>
    <col min="5" max="5" width="8.1796875" customWidth="1"/>
    <col min="6" max="6" width="10.08984375" customWidth="1"/>
    <col min="7" max="7" width="41.1796875" customWidth="1"/>
    <col min="8" max="8" width="21.08984375" customWidth="1"/>
    <col min="9" max="9" width="18" customWidth="1"/>
    <col min="10" max="10" width="10.08984375" customWidth="1"/>
    <col min="11" max="11" width="11.08984375" customWidth="1"/>
    <col min="12" max="12" width="10.453125" customWidth="1"/>
    <col min="13" max="13" width="6.453125" customWidth="1"/>
    <col min="14" max="14" width="4.816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">
        <v>1</v>
      </c>
      <c r="B2" t="s">
        <v>40</v>
      </c>
      <c r="C2" t="s">
        <v>49</v>
      </c>
      <c r="D2" s="112" t="s">
        <v>19</v>
      </c>
      <c r="E2" s="4" t="s">
        <v>91</v>
      </c>
      <c r="F2" s="4"/>
      <c r="G2" t="s">
        <v>88</v>
      </c>
      <c r="H2" s="4" t="s">
        <v>93</v>
      </c>
      <c r="I2" s="28">
        <f>2000000/1540</f>
        <v>1298.7012987012988</v>
      </c>
      <c r="J2" s="4">
        <v>2541</v>
      </c>
      <c r="K2" s="79">
        <v>46112</v>
      </c>
      <c r="L2" s="4" t="s">
        <v>14</v>
      </c>
      <c r="M2" s="130" t="s">
        <v>197</v>
      </c>
      <c r="N2">
        <v>2026</v>
      </c>
    </row>
    <row r="3" spans="1:14">
      <c r="A3" s="4">
        <v>2</v>
      </c>
      <c r="B3" t="s">
        <v>50</v>
      </c>
      <c r="C3" t="s">
        <v>60</v>
      </c>
      <c r="D3" s="4" t="s">
        <v>58</v>
      </c>
      <c r="E3" s="4" t="s">
        <v>91</v>
      </c>
      <c r="F3" s="4"/>
      <c r="G3" t="s">
        <v>236</v>
      </c>
      <c r="H3" s="4" t="s">
        <v>93</v>
      </c>
      <c r="I3" s="28">
        <v>21168</v>
      </c>
      <c r="J3" s="4" t="s">
        <v>402</v>
      </c>
      <c r="K3" s="32">
        <v>46112</v>
      </c>
      <c r="L3" s="4" t="s">
        <v>14</v>
      </c>
      <c r="M3" s="130" t="s">
        <v>197</v>
      </c>
      <c r="N3">
        <v>2026</v>
      </c>
    </row>
    <row r="4" spans="1:14">
      <c r="A4" s="4">
        <v>3</v>
      </c>
      <c r="B4" t="s">
        <v>31</v>
      </c>
      <c r="C4" t="s">
        <v>32</v>
      </c>
      <c r="D4" s="4" t="s">
        <v>58</v>
      </c>
      <c r="E4" s="4" t="s">
        <v>91</v>
      </c>
      <c r="G4" t="s">
        <v>92</v>
      </c>
      <c r="H4" s="4" t="s">
        <v>93</v>
      </c>
      <c r="I4" s="28">
        <v>5580</v>
      </c>
      <c r="J4" s="4" t="s">
        <v>403</v>
      </c>
      <c r="K4" s="32">
        <v>46112</v>
      </c>
      <c r="L4" s="4" t="s">
        <v>14</v>
      </c>
      <c r="M4" s="130" t="s">
        <v>197</v>
      </c>
      <c r="N4">
        <v>2026</v>
      </c>
    </row>
    <row r="5" spans="1:14">
      <c r="A5" s="4">
        <v>4</v>
      </c>
      <c r="B5" t="s">
        <v>31</v>
      </c>
      <c r="C5" t="s">
        <v>32</v>
      </c>
      <c r="D5" s="4" t="s">
        <v>58</v>
      </c>
      <c r="E5" s="4" t="s">
        <v>91</v>
      </c>
      <c r="G5" t="s">
        <v>92</v>
      </c>
      <c r="H5" s="4" t="s">
        <v>235</v>
      </c>
      <c r="I5" s="28">
        <v>7750</v>
      </c>
      <c r="J5" s="4" t="s">
        <v>404</v>
      </c>
      <c r="K5" s="32">
        <v>46112</v>
      </c>
      <c r="L5" s="4" t="s">
        <v>14</v>
      </c>
      <c r="M5" s="130" t="s">
        <v>197</v>
      </c>
      <c r="N5">
        <v>2026</v>
      </c>
    </row>
    <row r="6" spans="1:14">
      <c r="A6" s="4">
        <v>5</v>
      </c>
      <c r="B6" t="s">
        <v>27</v>
      </c>
      <c r="C6" t="s">
        <v>28</v>
      </c>
      <c r="D6" s="4" t="s">
        <v>58</v>
      </c>
      <c r="E6" s="4" t="s">
        <v>91</v>
      </c>
      <c r="G6" t="s">
        <v>92</v>
      </c>
      <c r="H6" s="4" t="s">
        <v>93</v>
      </c>
      <c r="I6" s="28">
        <v>14880</v>
      </c>
      <c r="J6" s="4" t="s">
        <v>405</v>
      </c>
      <c r="K6" s="32">
        <v>46112</v>
      </c>
      <c r="L6" s="4" t="s">
        <v>14</v>
      </c>
      <c r="M6" s="130" t="s">
        <v>197</v>
      </c>
      <c r="N6">
        <v>2026</v>
      </c>
    </row>
    <row r="7" spans="1:14">
      <c r="A7" s="4">
        <v>6</v>
      </c>
      <c r="B7" t="s">
        <v>31</v>
      </c>
      <c r="C7" t="s">
        <v>32</v>
      </c>
      <c r="D7" s="4" t="s">
        <v>58</v>
      </c>
      <c r="E7" s="4" t="s">
        <v>91</v>
      </c>
      <c r="G7" t="s">
        <v>92</v>
      </c>
      <c r="H7" s="4" t="s">
        <v>235</v>
      </c>
      <c r="I7" s="28">
        <v>15500</v>
      </c>
      <c r="J7" s="4" t="s">
        <v>406</v>
      </c>
      <c r="K7" s="32">
        <v>46112</v>
      </c>
      <c r="L7" s="4" t="s">
        <v>14</v>
      </c>
      <c r="M7" s="130" t="s">
        <v>197</v>
      </c>
      <c r="N7">
        <v>2026</v>
      </c>
    </row>
    <row r="8" spans="1:14">
      <c r="A8" s="4">
        <v>7</v>
      </c>
      <c r="B8" t="s">
        <v>31</v>
      </c>
      <c r="C8" t="s">
        <v>32</v>
      </c>
      <c r="D8" s="4" t="s">
        <v>58</v>
      </c>
      <c r="E8" s="4" t="s">
        <v>91</v>
      </c>
      <c r="G8" t="s">
        <v>92</v>
      </c>
      <c r="H8" s="4" t="s">
        <v>93</v>
      </c>
      <c r="I8" s="31">
        <v>3720</v>
      </c>
      <c r="J8" s="4" t="s">
        <v>407</v>
      </c>
      <c r="K8" s="32">
        <v>46112</v>
      </c>
      <c r="L8" s="4" t="s">
        <v>14</v>
      </c>
      <c r="M8" s="130" t="s">
        <v>197</v>
      </c>
      <c r="N8">
        <v>2026</v>
      </c>
    </row>
    <row r="9" spans="1:14">
      <c r="A9" s="4">
        <v>10</v>
      </c>
      <c r="B9" t="s">
        <v>52</v>
      </c>
      <c r="C9" t="s">
        <v>53</v>
      </c>
      <c r="D9" s="4" t="s">
        <v>58</v>
      </c>
      <c r="E9" s="4" t="s">
        <v>91</v>
      </c>
      <c r="G9" t="s">
        <v>94</v>
      </c>
      <c r="H9" t="s">
        <v>93</v>
      </c>
      <c r="I9" s="28">
        <v>11520</v>
      </c>
      <c r="J9" t="s">
        <v>408</v>
      </c>
      <c r="K9" s="32">
        <v>46111</v>
      </c>
      <c r="L9" s="4" t="s">
        <v>14</v>
      </c>
      <c r="M9" s="130" t="s">
        <v>197</v>
      </c>
      <c r="N9">
        <v>2026</v>
      </c>
    </row>
    <row r="10" spans="1:14">
      <c r="A10" s="4">
        <v>11</v>
      </c>
      <c r="B10" t="s">
        <v>17</v>
      </c>
      <c r="C10" t="s">
        <v>23</v>
      </c>
      <c r="D10" s="4" t="s">
        <v>58</v>
      </c>
      <c r="E10" s="4" t="s">
        <v>91</v>
      </c>
      <c r="G10" t="s">
        <v>94</v>
      </c>
      <c r="H10" t="s">
        <v>93</v>
      </c>
      <c r="I10" s="28">
        <v>4500</v>
      </c>
      <c r="J10" t="s">
        <v>408</v>
      </c>
      <c r="K10" s="32">
        <v>46111</v>
      </c>
      <c r="L10" s="4" t="s">
        <v>14</v>
      </c>
      <c r="M10" s="130" t="s">
        <v>197</v>
      </c>
      <c r="N10">
        <v>2026</v>
      </c>
    </row>
    <row r="11" spans="1:14">
      <c r="A11" s="4">
        <v>12</v>
      </c>
      <c r="B11" t="s">
        <v>17</v>
      </c>
      <c r="C11" t="s">
        <v>23</v>
      </c>
      <c r="D11" s="4" t="s">
        <v>58</v>
      </c>
      <c r="E11" s="4" t="s">
        <v>91</v>
      </c>
      <c r="G11" t="s">
        <v>94</v>
      </c>
      <c r="H11" t="s">
        <v>235</v>
      </c>
      <c r="I11" s="28">
        <v>1000</v>
      </c>
      <c r="J11" t="s">
        <v>408</v>
      </c>
      <c r="K11" s="32">
        <v>46111</v>
      </c>
      <c r="L11" s="4" t="s">
        <v>14</v>
      </c>
      <c r="M11" s="130" t="s">
        <v>197</v>
      </c>
      <c r="N11">
        <v>2026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900-000002000000}">
          <x14:formula1>
            <xm:f>List!$C$2:$C$3</xm:f>
          </x14:formula1>
          <xm:sqref>D2:D11</xm:sqref>
        </x14:dataValidation>
        <x14:dataValidation type="list" allowBlank="1" showInputMessage="1" showErrorMessage="1" xr:uid="{00000000-0002-0000-0900-000003000000}">
          <x14:formula1>
            <xm:f>List!$E$2:$E$32</xm:f>
          </x14:formula1>
          <xm:sqref>E2:E11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N4"/>
  <sheetViews>
    <sheetView topLeftCell="E1" workbookViewId="0">
      <selection activeCell="A2" sqref="A2:N4"/>
    </sheetView>
  </sheetViews>
  <sheetFormatPr defaultColWidth="9" defaultRowHeight="14.5"/>
  <cols>
    <col min="1" max="1" width="5.36328125" customWidth="1"/>
    <col min="2" max="2" width="9.36328125" bestFit="1" customWidth="1"/>
    <col min="3" max="3" width="9.6328125" bestFit="1" customWidth="1"/>
    <col min="4" max="4" width="8.90625" customWidth="1"/>
    <col min="5" max="5" width="11.54296875" bestFit="1" customWidth="1"/>
    <col min="6" max="6" width="10.08984375" customWidth="1"/>
    <col min="7" max="7" width="48.1796875" bestFit="1" customWidth="1"/>
    <col min="8" max="8" width="17.1796875" bestFit="1" customWidth="1"/>
    <col min="9" max="9" width="18" customWidth="1"/>
    <col min="10" max="10" width="10.08984375" customWidth="1"/>
    <col min="11" max="11" width="11.08984375" customWidth="1"/>
    <col min="12" max="12" width="10.81640625" bestFit="1" customWidth="1"/>
    <col min="13" max="13" width="6.453125" customWidth="1"/>
    <col min="14" max="14" width="4.816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1">
        <v>1</v>
      </c>
      <c r="B2" s="74" t="s">
        <v>52</v>
      </c>
      <c r="C2" s="74" t="s">
        <v>53</v>
      </c>
      <c r="D2" s="4" t="s">
        <v>58</v>
      </c>
      <c r="E2" s="4" t="s">
        <v>95</v>
      </c>
      <c r="G2" t="s">
        <v>21</v>
      </c>
      <c r="H2" s="4" t="s">
        <v>96</v>
      </c>
      <c r="I2" s="76">
        <v>2500</v>
      </c>
      <c r="J2" s="4" t="s">
        <v>14</v>
      </c>
      <c r="K2" s="13" t="s">
        <v>14</v>
      </c>
      <c r="L2" s="4" t="s">
        <v>14</v>
      </c>
      <c r="M2" s="130" t="s">
        <v>197</v>
      </c>
      <c r="N2">
        <v>2026</v>
      </c>
    </row>
    <row r="3" spans="1:14">
      <c r="A3" s="41">
        <v>2</v>
      </c>
      <c r="B3" s="75" t="s">
        <v>50</v>
      </c>
      <c r="C3" s="75" t="s">
        <v>60</v>
      </c>
      <c r="D3" s="4" t="s">
        <v>19</v>
      </c>
      <c r="E3" s="4" t="s">
        <v>95</v>
      </c>
      <c r="G3" s="4" t="s">
        <v>229</v>
      </c>
      <c r="H3" s="4" t="s">
        <v>95</v>
      </c>
      <c r="I3" s="28">
        <v>4000</v>
      </c>
      <c r="J3" s="4" t="s">
        <v>14</v>
      </c>
      <c r="K3" s="13" t="s">
        <v>14</v>
      </c>
      <c r="L3" s="4" t="s">
        <v>14</v>
      </c>
      <c r="M3" s="130" t="s">
        <v>197</v>
      </c>
      <c r="N3">
        <v>2026</v>
      </c>
    </row>
    <row r="4" spans="1:14">
      <c r="A4" s="41">
        <v>4</v>
      </c>
      <c r="B4" s="113" t="s">
        <v>40</v>
      </c>
      <c r="C4" t="s">
        <v>43</v>
      </c>
      <c r="D4" s="4" t="s">
        <v>19</v>
      </c>
      <c r="E4" s="4" t="s">
        <v>95</v>
      </c>
      <c r="G4" s="4" t="s">
        <v>229</v>
      </c>
      <c r="H4" s="4" t="s">
        <v>95</v>
      </c>
      <c r="I4" s="28">
        <v>4000</v>
      </c>
      <c r="J4" s="4" t="s">
        <v>14</v>
      </c>
      <c r="K4" s="13" t="s">
        <v>14</v>
      </c>
      <c r="L4" s="4" t="s">
        <v>14</v>
      </c>
      <c r="M4" s="130" t="s">
        <v>197</v>
      </c>
      <c r="N4">
        <v>2026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A00-000003000000}">
          <x14:formula1>
            <xm:f>List!$E$2:$E$32</xm:f>
          </x14:formula1>
          <xm:sqref>H3:H4 E2:E4</xm:sqref>
        </x14:dataValidation>
        <x14:dataValidation type="list" allowBlank="1" showInputMessage="1" showErrorMessage="1" xr:uid="{00000000-0002-0000-0A00-000002000000}">
          <x14:formula1>
            <xm:f>List!$C$2:$C$3</xm:f>
          </x14:formula1>
          <xm:sqref>D2:D4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P19"/>
  <sheetViews>
    <sheetView workbookViewId="0">
      <selection activeCell="A2" sqref="A2:N12"/>
    </sheetView>
  </sheetViews>
  <sheetFormatPr defaultColWidth="9" defaultRowHeight="14.5"/>
  <cols>
    <col min="1" max="1" width="5.453125" bestFit="1" customWidth="1"/>
    <col min="2" max="2" width="10.90625" bestFit="1" customWidth="1"/>
    <col min="3" max="3" width="10.6328125" bestFit="1" customWidth="1"/>
    <col min="4" max="4" width="9" bestFit="1" customWidth="1"/>
    <col min="5" max="5" width="22.90625" bestFit="1" customWidth="1"/>
    <col min="6" max="6" width="10.1796875" bestFit="1" customWidth="1"/>
    <col min="7" max="7" width="13.81640625" bestFit="1" customWidth="1"/>
    <col min="8" max="8" width="19" customWidth="1"/>
    <col min="9" max="9" width="17.90625" bestFit="1" customWidth="1"/>
    <col min="10" max="10" width="11.90625" bestFit="1" customWidth="1"/>
    <col min="11" max="11" width="11.1796875" bestFit="1" customWidth="1"/>
    <col min="12" max="12" width="10.36328125" bestFit="1" customWidth="1"/>
    <col min="13" max="13" width="6.453125" customWidth="1"/>
    <col min="14" max="14" width="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6">
      <c r="A2" s="4">
        <v>1</v>
      </c>
      <c r="B2" s="4" t="s">
        <v>17</v>
      </c>
      <c r="C2" s="4" t="s">
        <v>17</v>
      </c>
      <c r="D2" s="112" t="s">
        <v>19</v>
      </c>
      <c r="E2" s="4" t="s">
        <v>97</v>
      </c>
      <c r="F2" s="4"/>
      <c r="G2" t="s">
        <v>98</v>
      </c>
      <c r="H2" s="4" t="s">
        <v>99</v>
      </c>
      <c r="I2" s="135">
        <f>1683000/1540</f>
        <v>1092.8571428571429</v>
      </c>
      <c r="J2" s="114" t="s">
        <v>409</v>
      </c>
      <c r="K2" s="13">
        <v>46025</v>
      </c>
      <c r="L2" s="4" t="s">
        <v>14</v>
      </c>
      <c r="M2" s="130" t="s">
        <v>197</v>
      </c>
      <c r="N2">
        <v>2026</v>
      </c>
    </row>
    <row r="3" spans="1:16">
      <c r="A3" s="4">
        <v>2</v>
      </c>
      <c r="B3" t="s">
        <v>17</v>
      </c>
      <c r="C3" t="s">
        <v>17</v>
      </c>
      <c r="D3" s="4" t="s">
        <v>58</v>
      </c>
      <c r="E3" s="4" t="s">
        <v>97</v>
      </c>
      <c r="G3" t="s">
        <v>100</v>
      </c>
      <c r="H3" s="4" t="s">
        <v>101</v>
      </c>
      <c r="I3" s="28">
        <v>1454.8047563227256</v>
      </c>
      <c r="J3" s="4">
        <v>64</v>
      </c>
      <c r="K3" s="13">
        <v>46079</v>
      </c>
      <c r="L3" s="4" t="s">
        <v>14</v>
      </c>
      <c r="M3" s="130" t="s">
        <v>197</v>
      </c>
      <c r="N3">
        <v>2026</v>
      </c>
    </row>
    <row r="4" spans="1:16">
      <c r="A4" s="4">
        <v>3</v>
      </c>
      <c r="B4" t="s">
        <v>27</v>
      </c>
      <c r="C4" t="s">
        <v>27</v>
      </c>
      <c r="D4" s="4" t="s">
        <v>58</v>
      </c>
      <c r="E4" s="4" t="s">
        <v>97</v>
      </c>
      <c r="G4" t="s">
        <v>100</v>
      </c>
      <c r="H4" s="4" t="s">
        <v>101</v>
      </c>
      <c r="I4" s="28">
        <v>59.513447553263369</v>
      </c>
      <c r="J4" s="4">
        <v>64</v>
      </c>
      <c r="K4" s="13">
        <v>46079</v>
      </c>
      <c r="L4" s="4" t="s">
        <v>14</v>
      </c>
      <c r="M4" s="130" t="s">
        <v>197</v>
      </c>
      <c r="N4">
        <v>2026</v>
      </c>
    </row>
    <row r="5" spans="1:16">
      <c r="A5" s="4">
        <v>4</v>
      </c>
      <c r="B5" t="s">
        <v>246</v>
      </c>
      <c r="C5" t="s">
        <v>246</v>
      </c>
      <c r="D5" s="4" t="s">
        <v>58</v>
      </c>
      <c r="E5" s="4" t="s">
        <v>97</v>
      </c>
      <c r="G5" t="s">
        <v>100</v>
      </c>
      <c r="H5" s="4" t="s">
        <v>101</v>
      </c>
      <c r="I5" s="28">
        <v>354.82803956359589</v>
      </c>
      <c r="J5" s="4">
        <v>64</v>
      </c>
      <c r="K5" s="13">
        <v>46079</v>
      </c>
      <c r="L5" s="4" t="s">
        <v>14</v>
      </c>
      <c r="M5" s="130" t="s">
        <v>197</v>
      </c>
      <c r="N5">
        <v>2026</v>
      </c>
    </row>
    <row r="6" spans="1:16">
      <c r="A6" s="4">
        <v>5</v>
      </c>
      <c r="B6" t="s">
        <v>56</v>
      </c>
      <c r="C6" t="s">
        <v>56</v>
      </c>
      <c r="D6" s="4" t="s">
        <v>58</v>
      </c>
      <c r="E6" s="4" t="s">
        <v>97</v>
      </c>
      <c r="G6" t="s">
        <v>100</v>
      </c>
      <c r="H6" s="4" t="s">
        <v>101</v>
      </c>
      <c r="I6" s="28">
        <v>404.79696702032538</v>
      </c>
      <c r="J6" s="4">
        <v>64</v>
      </c>
      <c r="K6" s="13">
        <v>46079</v>
      </c>
      <c r="L6" s="4" t="s">
        <v>14</v>
      </c>
      <c r="M6" s="130" t="s">
        <v>197</v>
      </c>
      <c r="N6">
        <v>2026</v>
      </c>
    </row>
    <row r="7" spans="1:16">
      <c r="A7" s="4">
        <v>6</v>
      </c>
      <c r="B7" t="s">
        <v>263</v>
      </c>
      <c r="C7" t="s">
        <v>263</v>
      </c>
      <c r="D7" s="4" t="s">
        <v>58</v>
      </c>
      <c r="E7" s="4" t="s">
        <v>97</v>
      </c>
      <c r="G7" t="s">
        <v>100</v>
      </c>
      <c r="H7" s="4" t="s">
        <v>101</v>
      </c>
      <c r="I7" s="28">
        <v>262.22944985511811</v>
      </c>
      <c r="J7" s="4">
        <v>64</v>
      </c>
      <c r="K7" s="13">
        <v>46079</v>
      </c>
      <c r="L7" s="4" t="s">
        <v>14</v>
      </c>
      <c r="M7" s="130" t="s">
        <v>197</v>
      </c>
      <c r="N7">
        <v>2026</v>
      </c>
    </row>
    <row r="8" spans="1:16">
      <c r="A8" s="4">
        <v>7</v>
      </c>
      <c r="B8" t="s">
        <v>246</v>
      </c>
      <c r="C8" t="s">
        <v>90</v>
      </c>
      <c r="D8" s="4" t="s">
        <v>58</v>
      </c>
      <c r="E8" s="4" t="s">
        <v>97</v>
      </c>
      <c r="G8" t="s">
        <v>100</v>
      </c>
      <c r="H8" s="4" t="s">
        <v>101</v>
      </c>
      <c r="I8" s="28">
        <v>279.50499963593478</v>
      </c>
      <c r="J8" s="4">
        <v>64</v>
      </c>
      <c r="K8" s="13">
        <v>46079</v>
      </c>
      <c r="L8" s="4" t="s">
        <v>14</v>
      </c>
      <c r="M8" s="130" t="s">
        <v>197</v>
      </c>
      <c r="N8">
        <v>2026</v>
      </c>
    </row>
    <row r="9" spans="1:16">
      <c r="A9" s="4">
        <v>8</v>
      </c>
      <c r="B9" t="s">
        <v>31</v>
      </c>
      <c r="C9" t="s">
        <v>31</v>
      </c>
      <c r="D9" s="4" t="s">
        <v>58</v>
      </c>
      <c r="E9" s="4" t="s">
        <v>97</v>
      </c>
      <c r="G9" t="s">
        <v>100</v>
      </c>
      <c r="H9" s="4" t="s">
        <v>101</v>
      </c>
      <c r="I9" s="28">
        <v>174.42365623616095</v>
      </c>
      <c r="J9" s="4">
        <v>64</v>
      </c>
      <c r="K9" s="13">
        <v>46079</v>
      </c>
      <c r="L9" s="4" t="s">
        <v>14</v>
      </c>
      <c r="M9" s="130" t="s">
        <v>197</v>
      </c>
      <c r="N9">
        <v>2026</v>
      </c>
    </row>
    <row r="10" spans="1:16">
      <c r="A10" s="4">
        <v>9</v>
      </c>
      <c r="B10" t="s">
        <v>33</v>
      </c>
      <c r="C10" t="s">
        <v>33</v>
      </c>
      <c r="D10" s="4" t="s">
        <v>58</v>
      </c>
      <c r="E10" s="4" t="s">
        <v>97</v>
      </c>
      <c r="G10" t="s">
        <v>100</v>
      </c>
      <c r="H10" s="4" t="s">
        <v>101</v>
      </c>
      <c r="I10" s="28">
        <v>239.7882958512518</v>
      </c>
      <c r="J10" s="4">
        <v>64</v>
      </c>
      <c r="K10" s="13">
        <v>46079</v>
      </c>
      <c r="L10" s="4" t="s">
        <v>14</v>
      </c>
      <c r="M10" s="130" t="s">
        <v>197</v>
      </c>
      <c r="N10">
        <v>2026</v>
      </c>
    </row>
    <row r="11" spans="1:16">
      <c r="A11" s="4">
        <v>10</v>
      </c>
      <c r="B11" t="s">
        <v>40</v>
      </c>
      <c r="C11" t="s">
        <v>40</v>
      </c>
      <c r="D11" s="4" t="s">
        <v>58</v>
      </c>
      <c r="E11" s="4" t="s">
        <v>97</v>
      </c>
      <c r="G11" t="s">
        <v>100</v>
      </c>
      <c r="H11" s="4" t="s">
        <v>101</v>
      </c>
      <c r="I11" s="28">
        <v>1518.5833816748373</v>
      </c>
      <c r="J11" s="4">
        <v>64</v>
      </c>
      <c r="K11" s="13">
        <v>46079</v>
      </c>
      <c r="L11" s="4" t="s">
        <v>14</v>
      </c>
      <c r="M11" s="130" t="s">
        <v>197</v>
      </c>
      <c r="N11">
        <v>2026</v>
      </c>
    </row>
    <row r="12" spans="1:16">
      <c r="A12" s="4">
        <v>11</v>
      </c>
      <c r="B12" t="s">
        <v>50</v>
      </c>
      <c r="C12" t="s">
        <v>50</v>
      </c>
      <c r="D12" s="4" t="s">
        <v>58</v>
      </c>
      <c r="E12" s="4" t="s">
        <v>97</v>
      </c>
      <c r="G12" t="s">
        <v>100</v>
      </c>
      <c r="H12" s="4" t="s">
        <v>101</v>
      </c>
      <c r="I12" s="31">
        <v>776.20233096211166</v>
      </c>
      <c r="J12" s="4">
        <v>64</v>
      </c>
      <c r="K12" s="13">
        <v>46079</v>
      </c>
      <c r="L12" s="4" t="s">
        <v>14</v>
      </c>
      <c r="M12" s="130" t="s">
        <v>197</v>
      </c>
      <c r="N12">
        <v>2026</v>
      </c>
    </row>
    <row r="13" spans="1:16">
      <c r="G13" s="71"/>
      <c r="H13" s="37"/>
      <c r="I13" s="6"/>
      <c r="J13" s="28"/>
      <c r="K13" s="37"/>
      <c r="L13" s="73"/>
      <c r="M13" s="28"/>
      <c r="N13" s="28"/>
      <c r="O13" s="28"/>
      <c r="P13" s="28"/>
    </row>
    <row r="14" spans="1:16">
      <c r="G14" s="71"/>
      <c r="H14" s="37"/>
      <c r="I14" s="6"/>
      <c r="J14" s="72"/>
      <c r="K14" s="37"/>
      <c r="L14" s="73"/>
      <c r="M14" s="36"/>
      <c r="N14" s="36"/>
      <c r="O14" s="36"/>
      <c r="P14" s="36"/>
    </row>
    <row r="15" spans="1:16">
      <c r="G15" s="71"/>
      <c r="H15" s="37"/>
      <c r="I15" s="6"/>
      <c r="J15" s="28"/>
      <c r="K15" s="37"/>
      <c r="L15" s="73"/>
    </row>
    <row r="16" spans="1:16">
      <c r="G16" s="71"/>
      <c r="H16" s="37"/>
      <c r="I16" s="6"/>
      <c r="J16" s="28"/>
      <c r="K16" s="37"/>
      <c r="L16" s="73"/>
    </row>
    <row r="17" spans="7:9">
      <c r="G17" s="71"/>
      <c r="H17" s="37"/>
      <c r="I17" s="6"/>
    </row>
    <row r="18" spans="7:9">
      <c r="H18" s="37"/>
      <c r="I18" s="6"/>
    </row>
    <row r="19" spans="7:9">
      <c r="H19" s="37"/>
      <c r="I19" s="6"/>
    </row>
  </sheetData>
  <dataValidations count="1">
    <dataValidation type="list" allowBlank="1" showInputMessage="1" showErrorMessage="1" sqref="C2" xr:uid="{00000000-0002-0000-0B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B00-000000000000}">
          <x14:formula1>
            <xm:f>List!$P$2:$P$11</xm:f>
          </x14:formula1>
          <xm:sqref>B2</xm:sqref>
        </x14:dataValidation>
        <x14:dataValidation type="list" allowBlank="1" showInputMessage="1" showErrorMessage="1" xr:uid="{00000000-0002-0000-0B00-000002000000}">
          <x14:formula1>
            <xm:f>List!$C$2:$C$3</xm:f>
          </x14:formula1>
          <xm:sqref>D2:D12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N2"/>
  <sheetViews>
    <sheetView workbookViewId="0">
      <selection activeCell="A2" sqref="A2:N2"/>
    </sheetView>
  </sheetViews>
  <sheetFormatPr defaultColWidth="9" defaultRowHeight="14.5"/>
  <cols>
    <col min="1" max="1" width="5.36328125" customWidth="1"/>
    <col min="2" max="2" width="6.90625" customWidth="1"/>
    <col min="3" max="3" width="9.36328125" customWidth="1"/>
    <col min="4" max="4" width="8.90625" customWidth="1"/>
    <col min="5" max="5" width="12.453125" customWidth="1"/>
    <col min="6" max="6" width="10.08984375" customWidth="1"/>
    <col min="7" max="7" width="13.90625" customWidth="1"/>
    <col min="8" max="8" width="12.453125" customWidth="1"/>
    <col min="9" max="9" width="18" customWidth="1"/>
    <col min="10" max="10" width="10.08984375" customWidth="1"/>
    <col min="11" max="11" width="11.08984375" customWidth="1"/>
    <col min="12" max="12" width="10.453125" customWidth="1"/>
    <col min="13" max="13" width="6.453125" customWidth="1"/>
    <col min="14" max="14" width="4.816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">
        <v>1</v>
      </c>
      <c r="B2" s="4" t="s">
        <v>56</v>
      </c>
      <c r="C2" t="s">
        <v>102</v>
      </c>
      <c r="D2" s="4" t="s">
        <v>19</v>
      </c>
      <c r="E2" s="4" t="s">
        <v>103</v>
      </c>
      <c r="F2" s="4"/>
      <c r="G2" t="s">
        <v>21</v>
      </c>
      <c r="H2" s="4" t="s">
        <v>103</v>
      </c>
      <c r="I2" s="6">
        <v>25000</v>
      </c>
      <c r="J2" s="4" t="s">
        <v>14</v>
      </c>
      <c r="K2" s="4" t="s">
        <v>14</v>
      </c>
      <c r="L2" s="4" t="s">
        <v>14</v>
      </c>
      <c r="M2" s="130" t="s">
        <v>197</v>
      </c>
      <c r="N2">
        <v>2026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C00-000000000000}">
          <x14:formula1>
            <xm:f>List!$P$2:$P$11</xm:f>
          </x14:formula1>
          <xm:sqref>B2</xm:sqref>
        </x14:dataValidation>
        <x14:dataValidation type="list" allowBlank="1" showInputMessage="1" showErrorMessage="1" xr:uid="{00000000-0002-0000-0C00-000001000000}">
          <x14:formula1>
            <xm:f>List!$C$2:$C$3</xm:f>
          </x14:formula1>
          <xm:sqref>D2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N2"/>
  <sheetViews>
    <sheetView workbookViewId="0">
      <selection activeCell="A2" sqref="A2:N2"/>
    </sheetView>
  </sheetViews>
  <sheetFormatPr defaultColWidth="9" defaultRowHeight="14.5"/>
  <cols>
    <col min="1" max="1" width="5.36328125" bestFit="1" customWidth="1"/>
    <col min="2" max="2" width="6.90625" bestFit="1" customWidth="1"/>
    <col min="3" max="3" width="9.453125" bestFit="1" customWidth="1"/>
    <col min="5" max="5" width="15.6328125" bestFit="1" customWidth="1"/>
    <col min="6" max="6" width="10.1796875" bestFit="1" customWidth="1"/>
    <col min="7" max="7" width="7" bestFit="1" customWidth="1"/>
    <col min="8" max="8" width="15.6328125" bestFit="1" customWidth="1"/>
    <col min="9" max="9" width="18.08984375" bestFit="1" customWidth="1"/>
    <col min="10" max="10" width="10.08984375" bestFit="1" customWidth="1"/>
    <col min="11" max="11" width="11.1796875" bestFit="1" customWidth="1"/>
    <col min="12" max="12" width="10.54296875" bestFit="1" customWidth="1"/>
    <col min="13" max="13" width="6.54296875" bestFit="1" customWidth="1"/>
    <col min="14" max="14" width="4.81640625" bestFit="1" customWidth="1"/>
  </cols>
  <sheetData>
    <row r="1" spans="1:1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>
      <c r="A2" s="10">
        <v>1</v>
      </c>
      <c r="B2" s="25" t="s">
        <v>56</v>
      </c>
      <c r="C2" s="25" t="s">
        <v>57</v>
      </c>
      <c r="D2" s="11" t="s">
        <v>58</v>
      </c>
      <c r="E2" s="25" t="s">
        <v>217</v>
      </c>
      <c r="F2" s="10"/>
      <c r="G2" s="25" t="s">
        <v>21</v>
      </c>
      <c r="H2" s="25" t="s">
        <v>217</v>
      </c>
      <c r="I2" s="12">
        <v>380000</v>
      </c>
      <c r="J2" s="10" t="s">
        <v>14</v>
      </c>
      <c r="K2" s="10" t="s">
        <v>14</v>
      </c>
      <c r="L2" s="10" t="s">
        <v>14</v>
      </c>
      <c r="M2" s="136" t="s">
        <v>197</v>
      </c>
      <c r="N2" s="10">
        <v>2026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FE03FE-EB31-4FBB-B774-9F848699ADB8}">
          <x14:formula1>
            <xm:f>List!$C$2:$C$3</xm:f>
          </x14:formula1>
          <xm:sqref>D2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E26F-881C-4843-AB25-DB1EA872EC94}">
  <sheetPr>
    <tabColor rgb="FFFFFF00"/>
  </sheetPr>
  <dimension ref="A1:N2"/>
  <sheetViews>
    <sheetView workbookViewId="0">
      <selection activeCell="A2" sqref="A2:N2"/>
    </sheetView>
  </sheetViews>
  <sheetFormatPr defaultRowHeight="14.5"/>
  <cols>
    <col min="1" max="1" width="5.36328125" bestFit="1" customWidth="1"/>
    <col min="2" max="2" width="11.90625" bestFit="1" customWidth="1"/>
    <col min="3" max="3" width="12.08984375" bestFit="1" customWidth="1"/>
    <col min="4" max="4" width="9" bestFit="1" customWidth="1"/>
    <col min="5" max="5" width="15.6328125" bestFit="1" customWidth="1"/>
    <col min="6" max="6" width="10.1796875" bestFit="1" customWidth="1"/>
    <col min="7" max="7" width="14.54296875" bestFit="1" customWidth="1"/>
    <col min="8" max="8" width="15.6328125" bestFit="1" customWidth="1"/>
    <col min="9" max="9" width="18.08984375" bestFit="1" customWidth="1"/>
    <col min="10" max="10" width="10.08984375" bestFit="1" customWidth="1"/>
    <col min="11" max="11" width="11.1796875" bestFit="1" customWidth="1"/>
    <col min="12" max="12" width="10.54296875" bestFit="1" customWidth="1"/>
    <col min="13" max="13" width="6.54296875" bestFit="1" customWidth="1"/>
    <col min="14" max="14" width="4.81640625" bestFit="1" customWidth="1"/>
  </cols>
  <sheetData>
    <row r="1" spans="1:1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>
      <c r="A2" s="10">
        <v>1</v>
      </c>
      <c r="B2" s="77" t="s">
        <v>261</v>
      </c>
      <c r="C2" s="77" t="s">
        <v>261</v>
      </c>
      <c r="D2" s="78" t="s">
        <v>58</v>
      </c>
      <c r="E2" s="25" t="s">
        <v>120</v>
      </c>
      <c r="F2" s="10"/>
      <c r="G2" s="25" t="s">
        <v>218</v>
      </c>
      <c r="H2" s="25" t="s">
        <v>120</v>
      </c>
      <c r="I2" s="29">
        <v>1006</v>
      </c>
      <c r="J2" s="136" t="s">
        <v>14</v>
      </c>
      <c r="K2" s="61">
        <v>46112</v>
      </c>
      <c r="L2" s="10" t="s">
        <v>14</v>
      </c>
      <c r="M2" s="136" t="s">
        <v>197</v>
      </c>
      <c r="N2" s="10">
        <v>2026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B243F6-E0BD-4811-A841-949721841676}">
          <x14:formula1>
            <xm:f>List!$C$2:$C$3</xm:f>
          </x14:formula1>
          <xm:sqref>D2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N308"/>
  <sheetViews>
    <sheetView topLeftCell="F271" workbookViewId="0">
      <selection activeCell="G285" sqref="G285"/>
    </sheetView>
  </sheetViews>
  <sheetFormatPr defaultColWidth="9" defaultRowHeight="14.5"/>
  <cols>
    <col min="1" max="1" width="5.36328125" style="90" customWidth="1"/>
    <col min="2" max="4" width="18.453125" style="90" customWidth="1"/>
    <col min="5" max="5" width="33.6328125" style="90" customWidth="1"/>
    <col min="6" max="6" width="10.6328125" style="90" customWidth="1"/>
    <col min="7" max="7" width="44.36328125" style="90" customWidth="1"/>
    <col min="8" max="8" width="23.1796875" style="90" bestFit="1" customWidth="1"/>
    <col min="9" max="9" width="18.453125" style="107" customWidth="1"/>
    <col min="10" max="13" width="18.453125" style="90" customWidth="1"/>
    <col min="14" max="14" width="10.36328125" style="90" customWidth="1"/>
    <col min="15" max="16384" width="9" style="90"/>
  </cols>
  <sheetData>
    <row r="1" spans="1:14">
      <c r="A1" s="89" t="s">
        <v>0</v>
      </c>
      <c r="B1" s="89" t="s">
        <v>1</v>
      </c>
      <c r="C1" s="89" t="s">
        <v>2</v>
      </c>
      <c r="D1" s="89" t="s">
        <v>3</v>
      </c>
      <c r="E1" s="89" t="s">
        <v>4</v>
      </c>
      <c r="F1" s="89" t="s">
        <v>5</v>
      </c>
      <c r="G1" s="89" t="s">
        <v>6</v>
      </c>
      <c r="H1" s="89" t="s">
        <v>7</v>
      </c>
      <c r="I1" s="106" t="s">
        <v>8</v>
      </c>
      <c r="J1" s="89" t="s">
        <v>9</v>
      </c>
      <c r="K1" s="89" t="s">
        <v>10</v>
      </c>
      <c r="L1" s="89" t="s">
        <v>11</v>
      </c>
      <c r="M1" s="89" t="s">
        <v>12</v>
      </c>
      <c r="N1" s="89" t="s">
        <v>13</v>
      </c>
    </row>
    <row r="2" spans="1:14">
      <c r="A2" s="90">
        <v>1</v>
      </c>
      <c r="B2" s="90" t="s">
        <v>17</v>
      </c>
      <c r="C2" s="90" t="s">
        <v>25</v>
      </c>
      <c r="D2" s="90" t="s">
        <v>58</v>
      </c>
      <c r="E2" s="90" t="s">
        <v>68</v>
      </c>
      <c r="G2" s="90" t="s">
        <v>109</v>
      </c>
      <c r="H2" s="120" t="s">
        <v>110</v>
      </c>
      <c r="I2" s="91">
        <v>2532.4675324675327</v>
      </c>
      <c r="J2" s="90" t="s">
        <v>471</v>
      </c>
      <c r="K2" s="93">
        <v>46083</v>
      </c>
      <c r="L2" s="90">
        <v>2026400724</v>
      </c>
      <c r="M2" s="138" t="s">
        <v>197</v>
      </c>
      <c r="N2" s="90">
        <v>2026</v>
      </c>
    </row>
    <row r="3" spans="1:14">
      <c r="A3" s="90">
        <v>2</v>
      </c>
      <c r="B3" s="90" t="s">
        <v>17</v>
      </c>
      <c r="C3" s="90" t="s">
        <v>287</v>
      </c>
      <c r="D3" s="90" t="s">
        <v>58</v>
      </c>
      <c r="E3" s="108" t="s">
        <v>68</v>
      </c>
      <c r="G3" s="90" t="s">
        <v>109</v>
      </c>
      <c r="H3" s="120" t="s">
        <v>110</v>
      </c>
      <c r="I3" s="91">
        <v>2137.0129870129872</v>
      </c>
      <c r="J3" s="90" t="s">
        <v>225</v>
      </c>
      <c r="K3" s="93">
        <v>46078</v>
      </c>
      <c r="L3" s="90">
        <v>2026400730</v>
      </c>
      <c r="M3" s="138" t="s">
        <v>197</v>
      </c>
      <c r="N3" s="90">
        <v>2026</v>
      </c>
    </row>
    <row r="4" spans="1:14">
      <c r="A4" s="90">
        <v>3</v>
      </c>
      <c r="B4" s="90" t="s">
        <v>52</v>
      </c>
      <c r="C4" s="90" t="s">
        <v>53</v>
      </c>
      <c r="D4" s="90" t="s">
        <v>58</v>
      </c>
      <c r="E4" s="108" t="s">
        <v>68</v>
      </c>
      <c r="G4" s="90" t="s">
        <v>109</v>
      </c>
      <c r="H4" s="120" t="s">
        <v>110</v>
      </c>
      <c r="I4" s="91">
        <v>649.35064935064941</v>
      </c>
      <c r="J4" s="90" t="s">
        <v>473</v>
      </c>
      <c r="K4" s="93">
        <v>46089</v>
      </c>
      <c r="L4" s="90">
        <v>2026400723</v>
      </c>
      <c r="M4" s="138" t="s">
        <v>197</v>
      </c>
      <c r="N4" s="90">
        <v>2026</v>
      </c>
    </row>
    <row r="5" spans="1:14">
      <c r="A5" s="90">
        <v>4</v>
      </c>
      <c r="B5" s="90" t="s">
        <v>40</v>
      </c>
      <c r="C5" s="90" t="s">
        <v>46</v>
      </c>
      <c r="D5" s="90" t="s">
        <v>58</v>
      </c>
      <c r="E5" s="90" t="s">
        <v>68</v>
      </c>
      <c r="G5" s="90" t="s">
        <v>109</v>
      </c>
      <c r="H5" s="120" t="s">
        <v>110</v>
      </c>
      <c r="I5" s="91">
        <v>389.61038961038963</v>
      </c>
      <c r="J5" s="90" t="s">
        <v>472</v>
      </c>
      <c r="K5" s="93">
        <v>46090</v>
      </c>
      <c r="L5" s="90">
        <v>2026400717</v>
      </c>
      <c r="M5" s="138" t="s">
        <v>197</v>
      </c>
      <c r="N5" s="90">
        <v>2026</v>
      </c>
    </row>
    <row r="6" spans="1:14">
      <c r="A6" s="90">
        <v>5</v>
      </c>
      <c r="B6" s="90" t="s">
        <v>17</v>
      </c>
      <c r="C6" s="90" t="s">
        <v>22</v>
      </c>
      <c r="D6" s="90" t="s">
        <v>58</v>
      </c>
      <c r="E6" s="90" t="s">
        <v>68</v>
      </c>
      <c r="G6" s="90" t="s">
        <v>109</v>
      </c>
      <c r="H6" s="120" t="s">
        <v>110</v>
      </c>
      <c r="I6" s="91">
        <v>292.20779220779218</v>
      </c>
      <c r="J6" s="90" t="s">
        <v>458</v>
      </c>
      <c r="K6" s="93">
        <v>46082</v>
      </c>
      <c r="L6" s="90">
        <v>2026400715</v>
      </c>
      <c r="M6" s="138" t="s">
        <v>197</v>
      </c>
      <c r="N6" s="90">
        <v>2026</v>
      </c>
    </row>
    <row r="7" spans="1:14">
      <c r="A7" s="90">
        <v>6</v>
      </c>
      <c r="B7" s="90" t="s">
        <v>52</v>
      </c>
      <c r="C7" s="90" t="s">
        <v>90</v>
      </c>
      <c r="D7" s="90" t="s">
        <v>58</v>
      </c>
      <c r="E7" s="108" t="s">
        <v>68</v>
      </c>
      <c r="G7" s="90" t="s">
        <v>223</v>
      </c>
      <c r="H7" s="90" t="s">
        <v>297</v>
      </c>
      <c r="I7" s="91">
        <v>1363.6363636363637</v>
      </c>
      <c r="J7" s="90" t="s">
        <v>537</v>
      </c>
      <c r="K7" s="93">
        <v>46085</v>
      </c>
      <c r="L7" s="90">
        <v>2026400886</v>
      </c>
      <c r="M7" s="138" t="s">
        <v>197</v>
      </c>
      <c r="N7" s="90">
        <v>2026</v>
      </c>
    </row>
    <row r="8" spans="1:14">
      <c r="A8" s="90">
        <v>7</v>
      </c>
      <c r="B8" s="90" t="s">
        <v>40</v>
      </c>
      <c r="C8" s="90" t="s">
        <v>46</v>
      </c>
      <c r="D8" s="90" t="s">
        <v>58</v>
      </c>
      <c r="E8" s="108" t="s">
        <v>68</v>
      </c>
      <c r="G8" s="90" t="s">
        <v>268</v>
      </c>
      <c r="H8" s="90" t="s">
        <v>111</v>
      </c>
      <c r="I8" s="91">
        <v>1428.5714285714287</v>
      </c>
      <c r="J8" s="90" t="s">
        <v>488</v>
      </c>
      <c r="K8" s="93">
        <v>46081</v>
      </c>
      <c r="L8" s="90">
        <v>2026400784</v>
      </c>
      <c r="M8" s="138" t="s">
        <v>197</v>
      </c>
      <c r="N8" s="90">
        <v>2026</v>
      </c>
    </row>
    <row r="9" spans="1:14">
      <c r="A9" s="90">
        <v>8</v>
      </c>
      <c r="B9" s="90" t="s">
        <v>52</v>
      </c>
      <c r="C9" s="90" t="s">
        <v>90</v>
      </c>
      <c r="D9" s="90" t="s">
        <v>58</v>
      </c>
      <c r="E9" s="108" t="s">
        <v>68</v>
      </c>
      <c r="G9" s="90" t="s">
        <v>268</v>
      </c>
      <c r="H9" s="90" t="s">
        <v>111</v>
      </c>
      <c r="I9" s="91">
        <v>1071.4285714285713</v>
      </c>
      <c r="J9" s="90" t="s">
        <v>715</v>
      </c>
      <c r="K9" s="93">
        <v>46097</v>
      </c>
      <c r="L9" s="90">
        <v>2026401185</v>
      </c>
      <c r="M9" s="138" t="s">
        <v>197</v>
      </c>
      <c r="N9" s="90">
        <v>2026</v>
      </c>
    </row>
    <row r="10" spans="1:14">
      <c r="A10" s="90">
        <v>9</v>
      </c>
      <c r="B10" s="90" t="s">
        <v>40</v>
      </c>
      <c r="C10" s="90" t="s">
        <v>48</v>
      </c>
      <c r="D10" s="90" t="s">
        <v>58</v>
      </c>
      <c r="E10" s="108" t="s">
        <v>68</v>
      </c>
      <c r="G10" s="90" t="s">
        <v>268</v>
      </c>
      <c r="H10" s="90" t="s">
        <v>111</v>
      </c>
      <c r="I10" s="91">
        <v>214.28571428571428</v>
      </c>
      <c r="J10" s="90" t="s">
        <v>721</v>
      </c>
      <c r="K10" s="93">
        <v>46113</v>
      </c>
      <c r="L10" s="90">
        <v>2026401189</v>
      </c>
      <c r="M10" s="138" t="s">
        <v>197</v>
      </c>
      <c r="N10" s="90">
        <v>2026</v>
      </c>
    </row>
    <row r="11" spans="1:14">
      <c r="A11" s="90">
        <v>10</v>
      </c>
      <c r="B11" s="90" t="s">
        <v>52</v>
      </c>
      <c r="C11" s="90" t="s">
        <v>90</v>
      </c>
      <c r="D11" s="90" t="s">
        <v>58</v>
      </c>
      <c r="E11" s="108" t="s">
        <v>68</v>
      </c>
      <c r="G11" s="110" t="s">
        <v>445</v>
      </c>
      <c r="H11" s="90" t="s">
        <v>111</v>
      </c>
      <c r="I11" s="91">
        <v>1948.0519480519481</v>
      </c>
      <c r="J11" s="110" t="s">
        <v>588</v>
      </c>
      <c r="K11" s="109">
        <v>46092</v>
      </c>
      <c r="L11" s="110">
        <v>2026401048</v>
      </c>
      <c r="M11" s="138" t="s">
        <v>197</v>
      </c>
      <c r="N11" s="90">
        <v>2026</v>
      </c>
    </row>
    <row r="12" spans="1:14">
      <c r="A12" s="90">
        <v>11</v>
      </c>
      <c r="B12" s="90" t="s">
        <v>40</v>
      </c>
      <c r="C12" s="90" t="s">
        <v>48</v>
      </c>
      <c r="D12" s="90" t="s">
        <v>58</v>
      </c>
      <c r="E12" s="90" t="s">
        <v>68</v>
      </c>
      <c r="G12" s="90" t="s">
        <v>439</v>
      </c>
      <c r="H12" s="90" t="s">
        <v>111</v>
      </c>
      <c r="I12" s="91">
        <v>1870.1298701298701</v>
      </c>
      <c r="J12" s="90" t="s">
        <v>509</v>
      </c>
      <c r="K12" s="93">
        <v>46082</v>
      </c>
      <c r="L12" s="90">
        <v>2026400935</v>
      </c>
      <c r="M12" s="138" t="s">
        <v>197</v>
      </c>
      <c r="N12" s="90">
        <v>2026</v>
      </c>
    </row>
    <row r="13" spans="1:14">
      <c r="A13" s="90">
        <v>12</v>
      </c>
      <c r="B13" s="90" t="s">
        <v>17</v>
      </c>
      <c r="C13" s="90" t="s">
        <v>22</v>
      </c>
      <c r="D13" s="90" t="s">
        <v>58</v>
      </c>
      <c r="E13" s="108" t="s">
        <v>68</v>
      </c>
      <c r="G13" s="90" t="s">
        <v>271</v>
      </c>
      <c r="H13" s="90" t="s">
        <v>111</v>
      </c>
      <c r="I13" s="91">
        <v>4155.8441558441555</v>
      </c>
      <c r="J13" s="90" t="s">
        <v>510</v>
      </c>
      <c r="K13" s="109">
        <v>46086</v>
      </c>
      <c r="L13" s="90">
        <v>2026400943</v>
      </c>
      <c r="M13" s="138" t="s">
        <v>197</v>
      </c>
      <c r="N13" s="90">
        <v>2026</v>
      </c>
    </row>
    <row r="14" spans="1:14">
      <c r="A14" s="90">
        <v>13</v>
      </c>
      <c r="B14" s="90" t="s">
        <v>17</v>
      </c>
      <c r="C14" s="90" t="s">
        <v>22</v>
      </c>
      <c r="D14" s="90" t="s">
        <v>58</v>
      </c>
      <c r="E14" s="108" t="s">
        <v>68</v>
      </c>
      <c r="G14" s="90" t="s">
        <v>271</v>
      </c>
      <c r="H14" s="90" t="s">
        <v>111</v>
      </c>
      <c r="I14" s="91">
        <v>584.41558441558436</v>
      </c>
      <c r="J14" s="90" t="s">
        <v>622</v>
      </c>
      <c r="K14" s="93">
        <v>46086</v>
      </c>
      <c r="L14" s="90">
        <v>2026400872</v>
      </c>
      <c r="M14" s="138" t="s">
        <v>197</v>
      </c>
      <c r="N14" s="90">
        <v>2026</v>
      </c>
    </row>
    <row r="15" spans="1:14">
      <c r="A15" s="90">
        <v>14</v>
      </c>
      <c r="B15" s="90" t="s">
        <v>17</v>
      </c>
      <c r="C15" s="90" t="s">
        <v>287</v>
      </c>
      <c r="D15" s="90" t="s">
        <v>58</v>
      </c>
      <c r="E15" s="108" t="s">
        <v>68</v>
      </c>
      <c r="G15" s="90" t="s">
        <v>454</v>
      </c>
      <c r="H15" s="90" t="s">
        <v>111</v>
      </c>
      <c r="I15" s="91">
        <v>1262.3376623376623</v>
      </c>
      <c r="J15" s="90" t="s">
        <v>714</v>
      </c>
      <c r="K15" s="93">
        <v>46092</v>
      </c>
      <c r="L15" s="90">
        <v>2026401077</v>
      </c>
      <c r="M15" s="138" t="s">
        <v>197</v>
      </c>
      <c r="N15" s="90">
        <v>2026</v>
      </c>
    </row>
    <row r="16" spans="1:14">
      <c r="A16" s="90">
        <v>15</v>
      </c>
      <c r="B16" s="108" t="s">
        <v>52</v>
      </c>
      <c r="C16" s="108" t="s">
        <v>53</v>
      </c>
      <c r="D16" s="90" t="s">
        <v>58</v>
      </c>
      <c r="E16" s="108" t="s">
        <v>68</v>
      </c>
      <c r="G16" s="108" t="s">
        <v>437</v>
      </c>
      <c r="H16" s="90" t="s">
        <v>111</v>
      </c>
      <c r="I16" s="91">
        <v>340.90909090909093</v>
      </c>
      <c r="J16" s="90" t="s">
        <v>462</v>
      </c>
      <c r="K16" s="93">
        <v>46079</v>
      </c>
      <c r="L16" s="90">
        <v>2026400834</v>
      </c>
      <c r="M16" s="138" t="s">
        <v>197</v>
      </c>
      <c r="N16" s="90">
        <v>2026</v>
      </c>
    </row>
    <row r="17" spans="1:14">
      <c r="A17" s="90">
        <v>16</v>
      </c>
      <c r="B17" s="90" t="s">
        <v>259</v>
      </c>
      <c r="C17" s="90" t="s">
        <v>260</v>
      </c>
      <c r="D17" s="90" t="s">
        <v>58</v>
      </c>
      <c r="E17" s="108" t="s">
        <v>68</v>
      </c>
      <c r="G17" s="90" t="s">
        <v>436</v>
      </c>
      <c r="H17" s="90" t="s">
        <v>111</v>
      </c>
      <c r="I17" s="91">
        <v>454.54545454545456</v>
      </c>
      <c r="J17" s="90" t="s">
        <v>456</v>
      </c>
      <c r="K17" s="93">
        <v>46081</v>
      </c>
      <c r="L17" s="90">
        <v>2026400787</v>
      </c>
      <c r="M17" s="138" t="s">
        <v>197</v>
      </c>
      <c r="N17" s="90">
        <v>2026</v>
      </c>
    </row>
    <row r="18" spans="1:14">
      <c r="A18" s="90">
        <v>17</v>
      </c>
      <c r="B18" s="90" t="s">
        <v>40</v>
      </c>
      <c r="C18" s="90" t="s">
        <v>45</v>
      </c>
      <c r="D18" s="90" t="s">
        <v>58</v>
      </c>
      <c r="E18" s="108" t="s">
        <v>68</v>
      </c>
      <c r="G18" s="90" t="s">
        <v>112</v>
      </c>
      <c r="H18" s="138" t="s">
        <v>258</v>
      </c>
      <c r="I18" s="121">
        <v>2186.1</v>
      </c>
      <c r="J18" s="90" t="s">
        <v>457</v>
      </c>
      <c r="K18" s="93">
        <v>46079</v>
      </c>
      <c r="L18" s="90">
        <v>2026400427</v>
      </c>
      <c r="M18" s="138" t="s">
        <v>197</v>
      </c>
      <c r="N18" s="90">
        <v>2026</v>
      </c>
    </row>
    <row r="19" spans="1:14">
      <c r="A19" s="90">
        <v>18</v>
      </c>
      <c r="B19" s="90" t="s">
        <v>17</v>
      </c>
      <c r="C19" s="90" t="s">
        <v>287</v>
      </c>
      <c r="D19" s="90" t="s">
        <v>58</v>
      </c>
      <c r="E19" s="108" t="s">
        <v>68</v>
      </c>
      <c r="G19" s="90" t="s">
        <v>112</v>
      </c>
      <c r="H19" s="138" t="s">
        <v>258</v>
      </c>
      <c r="I19" s="121">
        <v>2284.9</v>
      </c>
      <c r="J19" s="90" t="s">
        <v>496</v>
      </c>
      <c r="K19" s="93">
        <v>46079</v>
      </c>
      <c r="L19" s="90">
        <v>2026400680</v>
      </c>
      <c r="M19" s="138" t="s">
        <v>197</v>
      </c>
      <c r="N19" s="90">
        <v>2026</v>
      </c>
    </row>
    <row r="20" spans="1:14">
      <c r="A20" s="90">
        <v>19</v>
      </c>
      <c r="B20" s="90" t="s">
        <v>50</v>
      </c>
      <c r="C20" s="90" t="s">
        <v>60</v>
      </c>
      <c r="D20" s="90" t="s">
        <v>58</v>
      </c>
      <c r="E20" s="108" t="s">
        <v>68</v>
      </c>
      <c r="G20" s="90" t="s">
        <v>112</v>
      </c>
      <c r="H20" s="138" t="s">
        <v>258</v>
      </c>
      <c r="I20" s="121">
        <v>1963</v>
      </c>
      <c r="J20" s="90" t="s">
        <v>530</v>
      </c>
      <c r="K20" s="93">
        <v>46092</v>
      </c>
      <c r="L20" s="90">
        <v>2026400713</v>
      </c>
      <c r="M20" s="138" t="s">
        <v>197</v>
      </c>
      <c r="N20" s="90">
        <v>2026</v>
      </c>
    </row>
    <row r="21" spans="1:14">
      <c r="A21" s="90">
        <v>20</v>
      </c>
      <c r="B21" s="90" t="s">
        <v>50</v>
      </c>
      <c r="C21" s="90" t="s">
        <v>60</v>
      </c>
      <c r="D21" s="90" t="s">
        <v>58</v>
      </c>
      <c r="E21" s="108" t="s">
        <v>68</v>
      </c>
      <c r="G21" s="90" t="s">
        <v>112</v>
      </c>
      <c r="H21" s="138" t="s">
        <v>258</v>
      </c>
      <c r="I21" s="121">
        <v>914.4</v>
      </c>
      <c r="J21" s="90" t="s">
        <v>539</v>
      </c>
      <c r="K21" s="93">
        <v>46092</v>
      </c>
      <c r="L21" s="90">
        <v>2026400716</v>
      </c>
      <c r="M21" s="138" t="s">
        <v>197</v>
      </c>
      <c r="N21" s="90">
        <v>2026</v>
      </c>
    </row>
    <row r="22" spans="1:14">
      <c r="A22" s="90">
        <v>21</v>
      </c>
      <c r="B22" s="90" t="s">
        <v>40</v>
      </c>
      <c r="C22" s="90" t="s">
        <v>48</v>
      </c>
      <c r="D22" s="90" t="s">
        <v>58</v>
      </c>
      <c r="E22" s="108" t="s">
        <v>68</v>
      </c>
      <c r="G22" s="110" t="s">
        <v>112</v>
      </c>
      <c r="H22" s="138" t="s">
        <v>258</v>
      </c>
      <c r="I22" s="121">
        <v>287.89999999999998</v>
      </c>
      <c r="J22" s="110" t="s">
        <v>583</v>
      </c>
      <c r="K22" s="93">
        <v>46092</v>
      </c>
      <c r="L22" s="110">
        <v>2026400681</v>
      </c>
      <c r="M22" s="138" t="s">
        <v>197</v>
      </c>
      <c r="N22" s="90">
        <v>2026</v>
      </c>
    </row>
    <row r="23" spans="1:14">
      <c r="A23" s="90">
        <v>22</v>
      </c>
      <c r="B23" s="90" t="s">
        <v>40</v>
      </c>
      <c r="C23" s="90" t="s">
        <v>247</v>
      </c>
      <c r="D23" s="90" t="s">
        <v>58</v>
      </c>
      <c r="E23" s="108" t="s">
        <v>68</v>
      </c>
      <c r="G23" s="90" t="s">
        <v>112</v>
      </c>
      <c r="H23" s="138" t="s">
        <v>258</v>
      </c>
      <c r="I23" s="121">
        <v>1637.1</v>
      </c>
      <c r="J23" s="90" t="s">
        <v>585</v>
      </c>
      <c r="K23" s="93">
        <v>46092</v>
      </c>
      <c r="L23" s="90">
        <v>2026400732</v>
      </c>
      <c r="M23" s="138" t="s">
        <v>197</v>
      </c>
      <c r="N23" s="90">
        <v>2026</v>
      </c>
    </row>
    <row r="24" spans="1:14">
      <c r="A24" s="90">
        <v>23</v>
      </c>
      <c r="B24" s="90" t="s">
        <v>52</v>
      </c>
      <c r="C24" s="90" t="s">
        <v>90</v>
      </c>
      <c r="D24" s="90" t="s">
        <v>58</v>
      </c>
      <c r="E24" s="108" t="s">
        <v>68</v>
      </c>
      <c r="G24" s="90" t="s">
        <v>112</v>
      </c>
      <c r="H24" s="138" t="s">
        <v>258</v>
      </c>
      <c r="I24" s="121">
        <v>2500</v>
      </c>
      <c r="J24" s="90" t="s">
        <v>592</v>
      </c>
      <c r="K24" s="93">
        <v>46095</v>
      </c>
      <c r="L24" s="90">
        <v>2026400960</v>
      </c>
      <c r="M24" s="138" t="s">
        <v>197</v>
      </c>
      <c r="N24" s="90">
        <v>2026</v>
      </c>
    </row>
    <row r="25" spans="1:14">
      <c r="A25" s="90">
        <v>24</v>
      </c>
      <c r="B25" s="90" t="s">
        <v>17</v>
      </c>
      <c r="C25" s="90" t="s">
        <v>287</v>
      </c>
      <c r="D25" s="90" t="s">
        <v>58</v>
      </c>
      <c r="E25" s="108" t="s">
        <v>68</v>
      </c>
      <c r="G25" s="90" t="s">
        <v>112</v>
      </c>
      <c r="H25" s="138" t="s">
        <v>258</v>
      </c>
      <c r="I25" s="121">
        <v>1141</v>
      </c>
      <c r="J25" s="90" t="s">
        <v>598</v>
      </c>
      <c r="K25" s="93">
        <v>46095</v>
      </c>
      <c r="L25" s="90">
        <v>2026401030</v>
      </c>
      <c r="M25" s="138" t="s">
        <v>197</v>
      </c>
      <c r="N25" s="90">
        <v>2026</v>
      </c>
    </row>
    <row r="26" spans="1:14">
      <c r="A26" s="90">
        <v>25</v>
      </c>
      <c r="B26" s="90" t="s">
        <v>17</v>
      </c>
      <c r="C26" s="90" t="s">
        <v>254</v>
      </c>
      <c r="D26" s="90" t="s">
        <v>58</v>
      </c>
      <c r="E26" s="108" t="s">
        <v>68</v>
      </c>
      <c r="G26" s="90" t="s">
        <v>112</v>
      </c>
      <c r="H26" s="138" t="s">
        <v>258</v>
      </c>
      <c r="I26" s="121">
        <v>1390</v>
      </c>
      <c r="J26" s="90" t="s">
        <v>600</v>
      </c>
      <c r="K26" s="93">
        <v>46096</v>
      </c>
      <c r="L26" s="90">
        <v>2026401031</v>
      </c>
      <c r="M26" s="138" t="s">
        <v>197</v>
      </c>
      <c r="N26" s="90">
        <v>2026</v>
      </c>
    </row>
    <row r="27" spans="1:14">
      <c r="A27" s="90">
        <v>26</v>
      </c>
      <c r="B27" s="90" t="s">
        <v>40</v>
      </c>
      <c r="C27" s="90" t="s">
        <v>247</v>
      </c>
      <c r="D27" s="90" t="s">
        <v>58</v>
      </c>
      <c r="E27" s="108" t="s">
        <v>68</v>
      </c>
      <c r="G27" s="90" t="s">
        <v>112</v>
      </c>
      <c r="H27" s="138" t="s">
        <v>258</v>
      </c>
      <c r="I27" s="121">
        <v>728.4</v>
      </c>
      <c r="J27" s="90" t="s">
        <v>656</v>
      </c>
      <c r="K27" s="93">
        <v>46097</v>
      </c>
      <c r="L27" s="90">
        <v>2026400965</v>
      </c>
      <c r="M27" s="138" t="s">
        <v>197</v>
      </c>
      <c r="N27" s="90">
        <v>2026</v>
      </c>
    </row>
    <row r="28" spans="1:14">
      <c r="A28" s="90">
        <v>27</v>
      </c>
      <c r="B28" s="90" t="s">
        <v>17</v>
      </c>
      <c r="C28" s="90" t="s">
        <v>287</v>
      </c>
      <c r="D28" s="90" t="s">
        <v>58</v>
      </c>
      <c r="E28" s="108" t="s">
        <v>68</v>
      </c>
      <c r="G28" s="90" t="s">
        <v>112</v>
      </c>
      <c r="H28" s="138" t="s">
        <v>258</v>
      </c>
      <c r="I28" s="121">
        <v>1200</v>
      </c>
      <c r="J28" s="90" t="s">
        <v>661</v>
      </c>
      <c r="K28" s="93">
        <v>46099</v>
      </c>
      <c r="L28" s="90">
        <v>2026401089</v>
      </c>
      <c r="M28" s="138" t="s">
        <v>197</v>
      </c>
      <c r="N28" s="90">
        <v>2026</v>
      </c>
    </row>
    <row r="29" spans="1:14">
      <c r="A29" s="90">
        <v>28</v>
      </c>
      <c r="B29" s="90" t="s">
        <v>17</v>
      </c>
      <c r="C29" s="90" t="s">
        <v>287</v>
      </c>
      <c r="D29" s="90" t="s">
        <v>58</v>
      </c>
      <c r="E29" s="108" t="s">
        <v>68</v>
      </c>
      <c r="G29" s="90" t="s">
        <v>112</v>
      </c>
      <c r="H29" s="138" t="s">
        <v>258</v>
      </c>
      <c r="I29" s="121">
        <v>2970.5</v>
      </c>
      <c r="J29" s="90" t="s">
        <v>662</v>
      </c>
      <c r="K29" s="93">
        <v>46099</v>
      </c>
      <c r="L29" s="90">
        <v>2026401085</v>
      </c>
      <c r="M29" s="138" t="s">
        <v>197</v>
      </c>
      <c r="N29" s="90">
        <v>2026</v>
      </c>
    </row>
    <row r="30" spans="1:14">
      <c r="A30" s="90">
        <v>29</v>
      </c>
      <c r="B30" s="90" t="s">
        <v>17</v>
      </c>
      <c r="C30" s="90" t="s">
        <v>287</v>
      </c>
      <c r="D30" s="90" t="s">
        <v>58</v>
      </c>
      <c r="E30" s="108" t="s">
        <v>68</v>
      </c>
      <c r="G30" s="90" t="s">
        <v>112</v>
      </c>
      <c r="H30" s="138" t="s">
        <v>258</v>
      </c>
      <c r="I30" s="121">
        <v>12060</v>
      </c>
      <c r="J30" s="90" t="s">
        <v>663</v>
      </c>
      <c r="K30" s="93">
        <v>46098</v>
      </c>
      <c r="L30" s="90">
        <v>2026401069</v>
      </c>
      <c r="M30" s="138" t="s">
        <v>197</v>
      </c>
      <c r="N30" s="90">
        <v>2026</v>
      </c>
    </row>
    <row r="31" spans="1:14">
      <c r="A31" s="90">
        <v>30</v>
      </c>
      <c r="B31" s="90" t="s">
        <v>17</v>
      </c>
      <c r="C31" s="90" t="s">
        <v>287</v>
      </c>
      <c r="D31" s="90" t="s">
        <v>58</v>
      </c>
      <c r="E31" s="108" t="s">
        <v>68</v>
      </c>
      <c r="G31" s="90" t="s">
        <v>112</v>
      </c>
      <c r="H31" s="138" t="s">
        <v>258</v>
      </c>
      <c r="I31" s="121">
        <v>1540</v>
      </c>
      <c r="J31" s="90" t="s">
        <v>666</v>
      </c>
      <c r="K31" s="93">
        <v>46099</v>
      </c>
      <c r="L31" s="90">
        <v>2026401090</v>
      </c>
      <c r="M31" s="138" t="s">
        <v>197</v>
      </c>
      <c r="N31" s="90">
        <v>2026</v>
      </c>
    </row>
    <row r="32" spans="1:14">
      <c r="A32" s="90">
        <v>31</v>
      </c>
      <c r="B32" s="90" t="s">
        <v>40</v>
      </c>
      <c r="C32" s="90" t="s">
        <v>247</v>
      </c>
      <c r="D32" s="90" t="s">
        <v>58</v>
      </c>
      <c r="E32" s="108" t="s">
        <v>68</v>
      </c>
      <c r="G32" s="90" t="s">
        <v>112</v>
      </c>
      <c r="H32" s="138" t="s">
        <v>258</v>
      </c>
      <c r="I32" s="121">
        <v>24140</v>
      </c>
      <c r="J32" s="90" t="s">
        <v>669</v>
      </c>
      <c r="K32" s="93">
        <v>46099</v>
      </c>
      <c r="L32" s="90">
        <v>2026401067</v>
      </c>
      <c r="M32" s="138" t="s">
        <v>197</v>
      </c>
      <c r="N32" s="90">
        <v>2026</v>
      </c>
    </row>
    <row r="33" spans="1:14">
      <c r="A33" s="90">
        <v>32</v>
      </c>
      <c r="B33" s="90" t="s">
        <v>40</v>
      </c>
      <c r="C33" s="90" t="s">
        <v>48</v>
      </c>
      <c r="D33" s="90" t="s">
        <v>58</v>
      </c>
      <c r="E33" s="108" t="s">
        <v>68</v>
      </c>
      <c r="G33" s="90" t="s">
        <v>112</v>
      </c>
      <c r="H33" s="138" t="s">
        <v>258</v>
      </c>
      <c r="I33" s="121">
        <v>16709.900000000001</v>
      </c>
      <c r="J33" s="90" t="s">
        <v>716</v>
      </c>
      <c r="K33" s="93">
        <v>46096</v>
      </c>
      <c r="L33" s="90">
        <v>2026401065</v>
      </c>
      <c r="M33" s="138" t="s">
        <v>197</v>
      </c>
      <c r="N33" s="90">
        <v>2026</v>
      </c>
    </row>
    <row r="34" spans="1:14">
      <c r="A34" s="90">
        <v>33</v>
      </c>
      <c r="B34" s="90" t="s">
        <v>50</v>
      </c>
      <c r="C34" s="90" t="s">
        <v>60</v>
      </c>
      <c r="D34" s="90" t="s">
        <v>58</v>
      </c>
      <c r="E34" s="108" t="s">
        <v>68</v>
      </c>
      <c r="G34" s="90" t="s">
        <v>112</v>
      </c>
      <c r="H34" s="138" t="s">
        <v>258</v>
      </c>
      <c r="I34" s="121">
        <v>13812.4</v>
      </c>
      <c r="J34" s="90" t="s">
        <v>717</v>
      </c>
      <c r="K34" s="93">
        <v>46098</v>
      </c>
      <c r="L34" s="90">
        <v>2026400898</v>
      </c>
      <c r="M34" s="138" t="s">
        <v>197</v>
      </c>
      <c r="N34" s="90">
        <v>2026</v>
      </c>
    </row>
    <row r="35" spans="1:14">
      <c r="A35" s="90">
        <v>34</v>
      </c>
      <c r="B35" s="90" t="s">
        <v>40</v>
      </c>
      <c r="C35" s="90" t="s">
        <v>48</v>
      </c>
      <c r="D35" s="90" t="s">
        <v>58</v>
      </c>
      <c r="E35" s="108" t="s">
        <v>68</v>
      </c>
      <c r="G35" s="90" t="s">
        <v>112</v>
      </c>
      <c r="H35" s="138" t="s">
        <v>258</v>
      </c>
      <c r="I35" s="121">
        <v>760.2</v>
      </c>
      <c r="J35" s="90" t="s">
        <v>723</v>
      </c>
      <c r="K35" s="93">
        <v>46118</v>
      </c>
      <c r="L35" s="90">
        <v>2026401264</v>
      </c>
      <c r="M35" s="138" t="s">
        <v>197</v>
      </c>
      <c r="N35" s="90">
        <v>2026</v>
      </c>
    </row>
    <row r="36" spans="1:14">
      <c r="A36" s="90">
        <v>35</v>
      </c>
      <c r="B36" s="90" t="s">
        <v>40</v>
      </c>
      <c r="C36" s="90" t="s">
        <v>48</v>
      </c>
      <c r="D36" s="90" t="s">
        <v>58</v>
      </c>
      <c r="E36" s="108" t="s">
        <v>68</v>
      </c>
      <c r="G36" s="90" t="s">
        <v>441</v>
      </c>
      <c r="H36" s="90" t="s">
        <v>726</v>
      </c>
      <c r="I36" s="91">
        <v>5481.818181818182</v>
      </c>
      <c r="J36" s="90" t="s">
        <v>542</v>
      </c>
      <c r="K36" s="93">
        <v>46093</v>
      </c>
      <c r="L36" s="90">
        <v>2026400873</v>
      </c>
      <c r="M36" s="138" t="s">
        <v>197</v>
      </c>
      <c r="N36" s="90">
        <v>2026</v>
      </c>
    </row>
    <row r="37" spans="1:14">
      <c r="A37" s="90">
        <v>36</v>
      </c>
      <c r="B37" s="90" t="s">
        <v>50</v>
      </c>
      <c r="C37" s="90" t="s">
        <v>60</v>
      </c>
      <c r="D37" s="90" t="s">
        <v>58</v>
      </c>
      <c r="E37" s="108" t="s">
        <v>68</v>
      </c>
      <c r="G37" s="90" t="s">
        <v>441</v>
      </c>
      <c r="H37" s="90" t="s">
        <v>726</v>
      </c>
      <c r="I37" s="91">
        <v>1357.1428571428571</v>
      </c>
      <c r="J37" s="90" t="s">
        <v>543</v>
      </c>
      <c r="K37" s="93">
        <v>46093</v>
      </c>
      <c r="L37" s="90">
        <v>2026400845</v>
      </c>
      <c r="M37" s="138" t="s">
        <v>197</v>
      </c>
      <c r="N37" s="90">
        <v>2026</v>
      </c>
    </row>
    <row r="38" spans="1:14">
      <c r="A38" s="90">
        <v>37</v>
      </c>
      <c r="B38" s="90" t="s">
        <v>40</v>
      </c>
      <c r="C38" s="90" t="s">
        <v>48</v>
      </c>
      <c r="D38" s="90" t="s">
        <v>58</v>
      </c>
      <c r="E38" s="108" t="s">
        <v>68</v>
      </c>
      <c r="G38" s="90" t="s">
        <v>441</v>
      </c>
      <c r="H38" s="90" t="s">
        <v>726</v>
      </c>
      <c r="I38" s="91">
        <v>857.14285714285711</v>
      </c>
      <c r="J38" s="90" t="s">
        <v>541</v>
      </c>
      <c r="K38" s="93">
        <v>46093</v>
      </c>
      <c r="L38" s="90">
        <v>2026400888</v>
      </c>
      <c r="M38" s="138" t="s">
        <v>197</v>
      </c>
      <c r="N38" s="90">
        <v>2026</v>
      </c>
    </row>
    <row r="39" spans="1:14">
      <c r="A39" s="90">
        <v>38</v>
      </c>
      <c r="B39" s="90" t="s">
        <v>50</v>
      </c>
      <c r="C39" s="90" t="s">
        <v>60</v>
      </c>
      <c r="D39" s="90" t="s">
        <v>58</v>
      </c>
      <c r="E39" s="90" t="s">
        <v>68</v>
      </c>
      <c r="G39" s="90" t="s">
        <v>441</v>
      </c>
      <c r="H39" s="90" t="s">
        <v>726</v>
      </c>
      <c r="I39" s="91">
        <v>740.25974025974028</v>
      </c>
      <c r="J39" s="90" t="s">
        <v>578</v>
      </c>
      <c r="K39" s="93">
        <v>46093</v>
      </c>
      <c r="L39" s="90">
        <v>2026400846</v>
      </c>
      <c r="M39" s="138" t="s">
        <v>197</v>
      </c>
      <c r="N39" s="90">
        <v>2026</v>
      </c>
    </row>
    <row r="40" spans="1:14">
      <c r="A40" s="90">
        <v>39</v>
      </c>
      <c r="B40" s="90" t="s">
        <v>52</v>
      </c>
      <c r="C40" s="90" t="s">
        <v>90</v>
      </c>
      <c r="D40" s="90" t="s">
        <v>58</v>
      </c>
      <c r="E40" s="108" t="s">
        <v>68</v>
      </c>
      <c r="G40" s="90" t="s">
        <v>449</v>
      </c>
      <c r="H40" s="90" t="s">
        <v>727</v>
      </c>
      <c r="I40" s="91">
        <v>1899.3506493506493</v>
      </c>
      <c r="J40" s="90" t="s">
        <v>674</v>
      </c>
      <c r="K40" s="93">
        <v>46097</v>
      </c>
      <c r="L40" s="90">
        <v>2026401103</v>
      </c>
      <c r="M40" s="138" t="s">
        <v>197</v>
      </c>
      <c r="N40" s="90">
        <v>2026</v>
      </c>
    </row>
    <row r="41" spans="1:14">
      <c r="A41" s="90">
        <v>40</v>
      </c>
      <c r="B41" s="90" t="s">
        <v>17</v>
      </c>
      <c r="C41" s="90" t="s">
        <v>22</v>
      </c>
      <c r="D41" s="90" t="s">
        <v>58</v>
      </c>
      <c r="E41" s="108" t="s">
        <v>68</v>
      </c>
      <c r="G41" s="90" t="s">
        <v>113</v>
      </c>
      <c r="H41" s="90" t="s">
        <v>111</v>
      </c>
      <c r="I41" s="91">
        <v>35.714285714285715</v>
      </c>
      <c r="J41" s="90" t="s">
        <v>712</v>
      </c>
      <c r="K41" s="93">
        <v>46099</v>
      </c>
      <c r="L41" s="90">
        <v>2026401174</v>
      </c>
      <c r="M41" s="138" t="s">
        <v>197</v>
      </c>
      <c r="N41" s="90">
        <v>2026</v>
      </c>
    </row>
    <row r="42" spans="1:14">
      <c r="A42" s="90">
        <v>41</v>
      </c>
      <c r="B42" s="90" t="s">
        <v>17</v>
      </c>
      <c r="C42" s="90" t="s">
        <v>22</v>
      </c>
      <c r="D42" s="90" t="s">
        <v>58</v>
      </c>
      <c r="E42" s="108" t="s">
        <v>68</v>
      </c>
      <c r="G42" s="90" t="s">
        <v>113</v>
      </c>
      <c r="H42" s="90" t="s">
        <v>111</v>
      </c>
      <c r="I42" s="91">
        <v>32.467532467532465</v>
      </c>
      <c r="J42" s="90" t="s">
        <v>713</v>
      </c>
      <c r="K42" s="93">
        <v>46106</v>
      </c>
      <c r="L42" s="90">
        <v>2026401175</v>
      </c>
      <c r="M42" s="138" t="s">
        <v>197</v>
      </c>
      <c r="N42" s="90">
        <v>2026</v>
      </c>
    </row>
    <row r="43" spans="1:14">
      <c r="A43" s="90">
        <v>42</v>
      </c>
      <c r="B43" s="90" t="s">
        <v>50</v>
      </c>
      <c r="C43" s="90" t="s">
        <v>60</v>
      </c>
      <c r="D43" s="90" t="s">
        <v>58</v>
      </c>
      <c r="E43" s="108" t="s">
        <v>68</v>
      </c>
      <c r="G43" s="90" t="s">
        <v>251</v>
      </c>
      <c r="H43" s="90" t="s">
        <v>111</v>
      </c>
      <c r="I43" s="91">
        <v>8701.2987012987014</v>
      </c>
      <c r="J43" s="90" t="s">
        <v>503</v>
      </c>
      <c r="K43" s="93">
        <v>46082</v>
      </c>
      <c r="L43" s="90">
        <v>2026400901</v>
      </c>
      <c r="M43" s="138" t="s">
        <v>197</v>
      </c>
      <c r="N43" s="90">
        <v>2026</v>
      </c>
    </row>
    <row r="44" spans="1:14">
      <c r="A44" s="90">
        <v>43</v>
      </c>
      <c r="B44" s="90" t="s">
        <v>50</v>
      </c>
      <c r="C44" s="90" t="s">
        <v>60</v>
      </c>
      <c r="D44" s="90" t="s">
        <v>58</v>
      </c>
      <c r="E44" s="108" t="s">
        <v>68</v>
      </c>
      <c r="G44" s="90" t="s">
        <v>251</v>
      </c>
      <c r="H44" s="90" t="s">
        <v>111</v>
      </c>
      <c r="I44" s="91">
        <v>6337.6623376623374</v>
      </c>
      <c r="J44" s="90" t="s">
        <v>582</v>
      </c>
      <c r="K44" s="93">
        <v>46082</v>
      </c>
      <c r="L44" s="90">
        <v>2026400896</v>
      </c>
      <c r="M44" s="138" t="s">
        <v>197</v>
      </c>
      <c r="N44" s="90">
        <v>2026</v>
      </c>
    </row>
    <row r="45" spans="1:14">
      <c r="A45" s="90">
        <v>44</v>
      </c>
      <c r="B45" s="90" t="s">
        <v>40</v>
      </c>
      <c r="C45" s="90" t="s">
        <v>41</v>
      </c>
      <c r="D45" s="90" t="s">
        <v>58</v>
      </c>
      <c r="E45" s="108" t="s">
        <v>68</v>
      </c>
      <c r="G45" s="90" t="s">
        <v>251</v>
      </c>
      <c r="H45" s="90" t="s">
        <v>111</v>
      </c>
      <c r="I45" s="91">
        <v>1344.1558441558441</v>
      </c>
      <c r="J45" s="90" t="s">
        <v>504</v>
      </c>
      <c r="K45" s="93">
        <v>46088</v>
      </c>
      <c r="L45" s="90">
        <v>2026400904</v>
      </c>
      <c r="M45" s="138" t="s">
        <v>197</v>
      </c>
      <c r="N45" s="90">
        <v>2026</v>
      </c>
    </row>
    <row r="46" spans="1:14">
      <c r="A46" s="90">
        <v>45</v>
      </c>
      <c r="B46" s="90" t="s">
        <v>33</v>
      </c>
      <c r="C46" s="90" t="s">
        <v>35</v>
      </c>
      <c r="D46" s="90" t="s">
        <v>58</v>
      </c>
      <c r="E46" s="108" t="s">
        <v>68</v>
      </c>
      <c r="G46" s="90" t="s">
        <v>290</v>
      </c>
      <c r="H46" s="120" t="s">
        <v>227</v>
      </c>
      <c r="I46" s="91">
        <v>2127.2727272727275</v>
      </c>
      <c r="J46" s="90" t="s">
        <v>512</v>
      </c>
      <c r="K46" s="93">
        <v>46071</v>
      </c>
      <c r="L46" s="90">
        <v>2026400907</v>
      </c>
      <c r="M46" s="138" t="s">
        <v>197</v>
      </c>
      <c r="N46" s="90">
        <v>2026</v>
      </c>
    </row>
    <row r="47" spans="1:14">
      <c r="A47" s="90">
        <v>46</v>
      </c>
      <c r="B47" s="90" t="s">
        <v>33</v>
      </c>
      <c r="C47" s="90" t="s">
        <v>35</v>
      </c>
      <c r="D47" s="90" t="s">
        <v>58</v>
      </c>
      <c r="E47" s="90" t="s">
        <v>68</v>
      </c>
      <c r="G47" s="90" t="s">
        <v>290</v>
      </c>
      <c r="H47" s="120" t="s">
        <v>227</v>
      </c>
      <c r="I47" s="91">
        <v>1872.7272727272727</v>
      </c>
      <c r="J47" s="90" t="s">
        <v>511</v>
      </c>
      <c r="K47" s="93">
        <v>46084</v>
      </c>
      <c r="L47" s="90">
        <v>2026400910</v>
      </c>
      <c r="M47" s="138" t="s">
        <v>197</v>
      </c>
      <c r="N47" s="90">
        <v>2026</v>
      </c>
    </row>
    <row r="48" spans="1:14">
      <c r="A48" s="90">
        <v>47</v>
      </c>
      <c r="B48" s="90" t="s">
        <v>40</v>
      </c>
      <c r="C48" s="90" t="s">
        <v>247</v>
      </c>
      <c r="D48" s="90" t="s">
        <v>58</v>
      </c>
      <c r="E48" s="90" t="s">
        <v>68</v>
      </c>
      <c r="G48" s="90" t="s">
        <v>295</v>
      </c>
      <c r="H48" s="90" t="s">
        <v>111</v>
      </c>
      <c r="I48" s="91">
        <v>1866.8831168831168</v>
      </c>
      <c r="J48" s="90" t="s">
        <v>581</v>
      </c>
      <c r="K48" s="93">
        <v>46094</v>
      </c>
      <c r="L48" s="90">
        <v>2026400964</v>
      </c>
      <c r="M48" s="138" t="s">
        <v>197</v>
      </c>
      <c r="N48" s="90">
        <v>2026</v>
      </c>
    </row>
    <row r="49" spans="1:14">
      <c r="A49" s="90">
        <v>48</v>
      </c>
      <c r="B49" s="90" t="s">
        <v>17</v>
      </c>
      <c r="C49" s="90" t="s">
        <v>25</v>
      </c>
      <c r="D49" s="90" t="s">
        <v>58</v>
      </c>
      <c r="E49" s="108" t="s">
        <v>68</v>
      </c>
      <c r="G49" s="90" t="s">
        <v>224</v>
      </c>
      <c r="H49" s="90" t="s">
        <v>227</v>
      </c>
      <c r="I49" s="91">
        <v>5267.5324675324673</v>
      </c>
      <c r="J49" s="90" t="s">
        <v>678</v>
      </c>
      <c r="K49" s="93">
        <v>46092</v>
      </c>
      <c r="L49" s="90">
        <v>2026401123</v>
      </c>
      <c r="M49" s="138" t="s">
        <v>197</v>
      </c>
      <c r="N49" s="90">
        <v>2026</v>
      </c>
    </row>
    <row r="50" spans="1:14">
      <c r="A50" s="90">
        <v>49</v>
      </c>
      <c r="B50" s="90" t="s">
        <v>52</v>
      </c>
      <c r="C50" s="90" t="s">
        <v>90</v>
      </c>
      <c r="D50" s="90" t="s">
        <v>58</v>
      </c>
      <c r="E50" s="108" t="s">
        <v>68</v>
      </c>
      <c r="G50" s="90" t="s">
        <v>224</v>
      </c>
      <c r="H50" s="90" t="s">
        <v>227</v>
      </c>
      <c r="I50" s="91">
        <v>5267.5324675324673</v>
      </c>
      <c r="J50" s="90" t="s">
        <v>724</v>
      </c>
      <c r="K50" s="93">
        <v>46097</v>
      </c>
      <c r="L50" s="90">
        <v>2026401245</v>
      </c>
      <c r="M50" s="138" t="s">
        <v>197</v>
      </c>
      <c r="N50" s="90">
        <v>2026</v>
      </c>
    </row>
    <row r="51" spans="1:14">
      <c r="A51" s="90">
        <v>50</v>
      </c>
      <c r="B51" s="90" t="s">
        <v>40</v>
      </c>
      <c r="C51" s="90" t="s">
        <v>45</v>
      </c>
      <c r="D51" s="90" t="s">
        <v>58</v>
      </c>
      <c r="E51" s="108" t="s">
        <v>68</v>
      </c>
      <c r="G51" s="90" t="s">
        <v>438</v>
      </c>
      <c r="H51" s="105" t="s">
        <v>258</v>
      </c>
      <c r="I51" s="121">
        <v>1920.6</v>
      </c>
      <c r="J51" s="90" t="s">
        <v>507</v>
      </c>
      <c r="K51" s="93">
        <v>46089</v>
      </c>
      <c r="L51" s="90">
        <v>2026400922</v>
      </c>
      <c r="M51" s="138" t="s">
        <v>197</v>
      </c>
      <c r="N51" s="90">
        <v>2026</v>
      </c>
    </row>
    <row r="52" spans="1:14">
      <c r="A52" s="90">
        <v>51</v>
      </c>
      <c r="B52" s="90" t="s">
        <v>33</v>
      </c>
      <c r="C52" s="90" t="s">
        <v>34</v>
      </c>
      <c r="D52" s="90" t="s">
        <v>58</v>
      </c>
      <c r="E52" s="108" t="s">
        <v>68</v>
      </c>
      <c r="G52" s="90" t="s">
        <v>438</v>
      </c>
      <c r="H52" s="90" t="s">
        <v>111</v>
      </c>
      <c r="I52" s="121">
        <v>1552</v>
      </c>
      <c r="J52" s="90" t="s">
        <v>534</v>
      </c>
      <c r="K52" s="93">
        <v>46089</v>
      </c>
      <c r="L52" s="90">
        <v>2026400958</v>
      </c>
      <c r="M52" s="138" t="s">
        <v>197</v>
      </c>
      <c r="N52" s="90">
        <v>2026</v>
      </c>
    </row>
    <row r="53" spans="1:14">
      <c r="A53" s="90">
        <v>52</v>
      </c>
      <c r="B53" s="90" t="s">
        <v>275</v>
      </c>
      <c r="C53" s="90" t="s">
        <v>289</v>
      </c>
      <c r="D53" s="90" t="s">
        <v>58</v>
      </c>
      <c r="E53" s="108" t="s">
        <v>68</v>
      </c>
      <c r="G53" s="90" t="s">
        <v>222</v>
      </c>
      <c r="H53" s="90" t="s">
        <v>228</v>
      </c>
      <c r="I53" s="91">
        <v>3672.0779220779223</v>
      </c>
      <c r="J53" s="90" t="s">
        <v>535</v>
      </c>
      <c r="K53" s="93">
        <v>46090</v>
      </c>
      <c r="L53" s="90">
        <v>2026400951</v>
      </c>
      <c r="M53" s="138" t="s">
        <v>197</v>
      </c>
      <c r="N53" s="90">
        <v>2026</v>
      </c>
    </row>
    <row r="54" spans="1:14">
      <c r="A54" s="90">
        <v>53</v>
      </c>
      <c r="B54" s="90" t="s">
        <v>52</v>
      </c>
      <c r="C54" s="90" t="s">
        <v>53</v>
      </c>
      <c r="D54" s="90" t="s">
        <v>58</v>
      </c>
      <c r="E54" s="108" t="s">
        <v>68</v>
      </c>
      <c r="G54" s="90" t="s">
        <v>222</v>
      </c>
      <c r="H54" s="90" t="s">
        <v>228</v>
      </c>
      <c r="I54" s="91">
        <v>2857.1428571428573</v>
      </c>
      <c r="J54" s="90" t="s">
        <v>655</v>
      </c>
      <c r="K54" s="93">
        <v>46084</v>
      </c>
      <c r="L54" s="90">
        <v>2026400882</v>
      </c>
      <c r="M54" s="138" t="s">
        <v>197</v>
      </c>
      <c r="N54" s="90">
        <v>2026</v>
      </c>
    </row>
    <row r="55" spans="1:14">
      <c r="A55" s="90">
        <v>54</v>
      </c>
      <c r="B55" s="90" t="s">
        <v>17</v>
      </c>
      <c r="C55" s="90" t="s">
        <v>22</v>
      </c>
      <c r="D55" s="90" t="s">
        <v>58</v>
      </c>
      <c r="E55" s="108" t="s">
        <v>68</v>
      </c>
      <c r="G55" s="90" t="s">
        <v>222</v>
      </c>
      <c r="H55" s="90" t="s">
        <v>228</v>
      </c>
      <c r="I55" s="91">
        <v>817.53246753246754</v>
      </c>
      <c r="J55" s="90" t="s">
        <v>621</v>
      </c>
      <c r="K55" s="93">
        <v>46090</v>
      </c>
      <c r="L55" s="90">
        <v>2026400963</v>
      </c>
      <c r="M55" s="138" t="s">
        <v>197</v>
      </c>
      <c r="N55" s="90">
        <v>2026</v>
      </c>
    </row>
    <row r="56" spans="1:14">
      <c r="A56" s="90">
        <v>55</v>
      </c>
      <c r="B56" s="90" t="s">
        <v>40</v>
      </c>
      <c r="C56" s="90" t="s">
        <v>48</v>
      </c>
      <c r="D56" s="90" t="s">
        <v>58</v>
      </c>
      <c r="E56" s="90" t="s">
        <v>68</v>
      </c>
      <c r="G56" s="90" t="s">
        <v>293</v>
      </c>
      <c r="H56" s="90" t="s">
        <v>728</v>
      </c>
      <c r="I56" s="91">
        <v>879.87012987012986</v>
      </c>
      <c r="J56" s="90" t="s">
        <v>671</v>
      </c>
      <c r="K56" s="93">
        <v>46097</v>
      </c>
      <c r="L56" s="90">
        <v>2026401072</v>
      </c>
      <c r="M56" s="138" t="s">
        <v>197</v>
      </c>
      <c r="N56" s="90">
        <v>2026</v>
      </c>
    </row>
    <row r="57" spans="1:14">
      <c r="A57" s="90">
        <v>56</v>
      </c>
      <c r="B57" s="90" t="s">
        <v>40</v>
      </c>
      <c r="C57" s="90" t="s">
        <v>48</v>
      </c>
      <c r="D57" s="90" t="s">
        <v>58</v>
      </c>
      <c r="E57" s="108" t="s">
        <v>68</v>
      </c>
      <c r="G57" s="90" t="s">
        <v>446</v>
      </c>
      <c r="H57" s="90" t="s">
        <v>111</v>
      </c>
      <c r="I57" s="91">
        <v>2042.2077922077922</v>
      </c>
      <c r="J57" s="90" t="s">
        <v>597</v>
      </c>
      <c r="K57" s="93">
        <v>46077</v>
      </c>
      <c r="L57" s="90">
        <v>2026400986</v>
      </c>
      <c r="M57" s="138" t="s">
        <v>197</v>
      </c>
      <c r="N57" s="90">
        <v>2026</v>
      </c>
    </row>
    <row r="58" spans="1:14">
      <c r="A58" s="90">
        <v>57</v>
      </c>
      <c r="B58" s="90" t="s">
        <v>40</v>
      </c>
      <c r="C58" s="90" t="s">
        <v>48</v>
      </c>
      <c r="D58" s="90" t="s">
        <v>58</v>
      </c>
      <c r="E58" s="90" t="s">
        <v>68</v>
      </c>
      <c r="G58" s="90" t="s">
        <v>446</v>
      </c>
      <c r="H58" s="90" t="s">
        <v>111</v>
      </c>
      <c r="I58" s="91">
        <v>1261.3636363636363</v>
      </c>
      <c r="J58" s="90" t="s">
        <v>596</v>
      </c>
      <c r="K58" s="93">
        <v>46089</v>
      </c>
      <c r="L58" s="90">
        <v>2026400985</v>
      </c>
      <c r="M58" s="138" t="s">
        <v>197</v>
      </c>
      <c r="N58" s="90">
        <v>2026</v>
      </c>
    </row>
    <row r="59" spans="1:14">
      <c r="A59" s="90">
        <v>58</v>
      </c>
      <c r="B59" s="90" t="s">
        <v>52</v>
      </c>
      <c r="C59" s="90" t="s">
        <v>53</v>
      </c>
      <c r="D59" s="90" t="s">
        <v>58</v>
      </c>
      <c r="E59" s="108" t="s">
        <v>68</v>
      </c>
      <c r="G59" s="90" t="s">
        <v>451</v>
      </c>
      <c r="H59" s="90" t="s">
        <v>111</v>
      </c>
      <c r="I59" s="91">
        <v>1589.6103896103896</v>
      </c>
      <c r="J59" s="90" t="s">
        <v>709</v>
      </c>
      <c r="K59" s="93">
        <v>46099</v>
      </c>
      <c r="L59" s="90">
        <v>2026401137</v>
      </c>
      <c r="M59" s="138" t="s">
        <v>197</v>
      </c>
      <c r="N59" s="90">
        <v>2026</v>
      </c>
    </row>
    <row r="60" spans="1:14">
      <c r="A60" s="90">
        <v>59</v>
      </c>
      <c r="B60" s="90" t="s">
        <v>52</v>
      </c>
      <c r="C60" s="90" t="s">
        <v>90</v>
      </c>
      <c r="D60" s="90" t="s">
        <v>58</v>
      </c>
      <c r="E60" s="90" t="s">
        <v>68</v>
      </c>
      <c r="G60" s="90" t="s">
        <v>444</v>
      </c>
      <c r="H60" s="90" t="s">
        <v>111</v>
      </c>
      <c r="I60" s="91">
        <v>5357.1428571428569</v>
      </c>
      <c r="J60" s="90" t="s">
        <v>586</v>
      </c>
      <c r="K60" s="93">
        <v>46093</v>
      </c>
      <c r="L60" s="90">
        <v>2026401053</v>
      </c>
      <c r="M60" s="138" t="s">
        <v>197</v>
      </c>
      <c r="N60" s="90">
        <v>2026</v>
      </c>
    </row>
    <row r="61" spans="1:14">
      <c r="A61" s="90">
        <v>60</v>
      </c>
      <c r="B61" s="90" t="s">
        <v>52</v>
      </c>
      <c r="C61" s="90" t="s">
        <v>90</v>
      </c>
      <c r="D61" s="90" t="s">
        <v>58</v>
      </c>
      <c r="E61" s="108" t="s">
        <v>68</v>
      </c>
      <c r="G61" s="90" t="s">
        <v>453</v>
      </c>
      <c r="H61" s="90" t="s">
        <v>111</v>
      </c>
      <c r="I61" s="91">
        <v>1191.5584415584415</v>
      </c>
      <c r="J61" s="90" t="s">
        <v>711</v>
      </c>
      <c r="K61" s="93">
        <v>46097</v>
      </c>
      <c r="L61" s="90">
        <v>2026401080</v>
      </c>
      <c r="M61" s="138" t="s">
        <v>197</v>
      </c>
      <c r="N61" s="90">
        <v>2026</v>
      </c>
    </row>
    <row r="62" spans="1:14">
      <c r="A62" s="90">
        <v>61</v>
      </c>
      <c r="B62" s="90" t="s">
        <v>40</v>
      </c>
      <c r="C62" s="90" t="s">
        <v>41</v>
      </c>
      <c r="D62" s="90" t="s">
        <v>58</v>
      </c>
      <c r="E62" s="108" t="s">
        <v>68</v>
      </c>
      <c r="G62" s="90" t="s">
        <v>292</v>
      </c>
      <c r="H62" s="90" t="s">
        <v>111</v>
      </c>
      <c r="I62" s="91">
        <v>1542.8571428571429</v>
      </c>
      <c r="J62" s="90" t="s">
        <v>693</v>
      </c>
      <c r="K62" s="93">
        <v>46092</v>
      </c>
      <c r="L62" s="90">
        <v>2026401099</v>
      </c>
      <c r="M62" s="138" t="s">
        <v>197</v>
      </c>
      <c r="N62" s="90">
        <v>2026</v>
      </c>
    </row>
    <row r="63" spans="1:14">
      <c r="A63" s="90">
        <v>62</v>
      </c>
      <c r="B63" s="90" t="s">
        <v>52</v>
      </c>
      <c r="C63" s="90" t="s">
        <v>53</v>
      </c>
      <c r="D63" s="90" t="s">
        <v>58</v>
      </c>
      <c r="E63" s="108" t="s">
        <v>68</v>
      </c>
      <c r="G63" s="90" t="s">
        <v>452</v>
      </c>
      <c r="H63" s="90" t="s">
        <v>111</v>
      </c>
      <c r="I63" s="91">
        <v>1948.0519480519481</v>
      </c>
      <c r="J63" s="90" t="s">
        <v>710</v>
      </c>
      <c r="K63" s="93">
        <v>46099</v>
      </c>
      <c r="L63" s="90">
        <v>2026401079</v>
      </c>
      <c r="M63" s="138" t="s">
        <v>197</v>
      </c>
      <c r="N63" s="90">
        <v>2026</v>
      </c>
    </row>
    <row r="64" spans="1:14">
      <c r="A64" s="90">
        <v>63</v>
      </c>
      <c r="B64" s="90" t="s">
        <v>17</v>
      </c>
      <c r="C64" s="90" t="s">
        <v>25</v>
      </c>
      <c r="D64" s="90" t="s">
        <v>58</v>
      </c>
      <c r="E64" s="108" t="s">
        <v>68</v>
      </c>
      <c r="G64" s="90" t="s">
        <v>450</v>
      </c>
      <c r="H64" s="90" t="s">
        <v>111</v>
      </c>
      <c r="I64" s="91">
        <v>925.32467532467535</v>
      </c>
      <c r="J64" s="90" t="s">
        <v>705</v>
      </c>
      <c r="K64" s="93">
        <v>46097</v>
      </c>
      <c r="L64" s="90">
        <v>2026401158</v>
      </c>
      <c r="M64" s="138" t="s">
        <v>197</v>
      </c>
      <c r="N64" s="90">
        <v>2026</v>
      </c>
    </row>
    <row r="65" spans="1:14">
      <c r="A65" s="90">
        <v>64</v>
      </c>
      <c r="B65" s="90" t="s">
        <v>52</v>
      </c>
      <c r="C65" s="90" t="s">
        <v>90</v>
      </c>
      <c r="D65" s="90" t="s">
        <v>58</v>
      </c>
      <c r="E65" s="108" t="s">
        <v>68</v>
      </c>
      <c r="G65" s="90" t="s">
        <v>443</v>
      </c>
      <c r="H65" s="90" t="s">
        <v>111</v>
      </c>
      <c r="I65" s="91">
        <v>2821.4285714285716</v>
      </c>
      <c r="J65" s="90" t="s">
        <v>584</v>
      </c>
      <c r="K65" s="93">
        <v>46091</v>
      </c>
      <c r="L65" s="90">
        <v>2026401049</v>
      </c>
      <c r="M65" s="138" t="s">
        <v>197</v>
      </c>
      <c r="N65" s="90">
        <v>2026</v>
      </c>
    </row>
    <row r="66" spans="1:14">
      <c r="A66" s="90">
        <v>65</v>
      </c>
      <c r="B66" s="90" t="s">
        <v>50</v>
      </c>
      <c r="C66" s="90" t="s">
        <v>60</v>
      </c>
      <c r="D66" s="90" t="s">
        <v>58</v>
      </c>
      <c r="E66" s="90" t="s">
        <v>68</v>
      </c>
      <c r="G66" s="90" t="s">
        <v>114</v>
      </c>
      <c r="H66" s="90" t="s">
        <v>111</v>
      </c>
      <c r="I66" s="121">
        <v>1570</v>
      </c>
      <c r="J66" s="90" t="s">
        <v>587</v>
      </c>
      <c r="K66" s="93">
        <v>46073</v>
      </c>
      <c r="L66" s="90">
        <v>2026400953</v>
      </c>
      <c r="M66" s="138" t="s">
        <v>197</v>
      </c>
      <c r="N66" s="90">
        <v>2026</v>
      </c>
    </row>
    <row r="67" spans="1:14">
      <c r="A67" s="90">
        <v>66</v>
      </c>
      <c r="B67" s="90" t="s">
        <v>40</v>
      </c>
      <c r="C67" s="90" t="s">
        <v>48</v>
      </c>
      <c r="D67" s="90" t="s">
        <v>58</v>
      </c>
      <c r="E67" s="108" t="s">
        <v>68</v>
      </c>
      <c r="G67" s="90" t="s">
        <v>114</v>
      </c>
      <c r="H67" s="90" t="s">
        <v>111</v>
      </c>
      <c r="I67" s="121">
        <v>1449.52</v>
      </c>
      <c r="J67" s="90" t="s">
        <v>608</v>
      </c>
      <c r="K67" s="93">
        <v>46082</v>
      </c>
      <c r="L67" s="90">
        <v>2026400984</v>
      </c>
      <c r="M67" s="138" t="s">
        <v>197</v>
      </c>
      <c r="N67" s="90">
        <v>2026</v>
      </c>
    </row>
    <row r="68" spans="1:14">
      <c r="A68" s="90">
        <v>67</v>
      </c>
      <c r="B68" s="90" t="s">
        <v>52</v>
      </c>
      <c r="C68" s="90" t="s">
        <v>90</v>
      </c>
      <c r="D68" s="90" t="s">
        <v>58</v>
      </c>
      <c r="E68" s="108" t="s">
        <v>68</v>
      </c>
      <c r="G68" s="90" t="s">
        <v>114</v>
      </c>
      <c r="H68" s="90" t="s">
        <v>111</v>
      </c>
      <c r="I68" s="121">
        <v>110.7</v>
      </c>
      <c r="J68" s="90" t="s">
        <v>609</v>
      </c>
      <c r="K68" s="93">
        <v>46082</v>
      </c>
      <c r="L68" s="90">
        <v>2026400989</v>
      </c>
      <c r="M68" s="138" t="s">
        <v>197</v>
      </c>
      <c r="N68" s="90">
        <v>2026</v>
      </c>
    </row>
    <row r="69" spans="1:14">
      <c r="A69" s="90">
        <v>68</v>
      </c>
      <c r="B69" s="90" t="s">
        <v>33</v>
      </c>
      <c r="C69" s="90" t="s">
        <v>34</v>
      </c>
      <c r="D69" s="90" t="s">
        <v>58</v>
      </c>
      <c r="E69" s="108" t="s">
        <v>68</v>
      </c>
      <c r="G69" s="90" t="s">
        <v>114</v>
      </c>
      <c r="H69" s="90" t="s">
        <v>111</v>
      </c>
      <c r="I69" s="121">
        <v>839.67</v>
      </c>
      <c r="J69" s="90" t="s">
        <v>610</v>
      </c>
      <c r="K69" s="93">
        <v>46082</v>
      </c>
      <c r="L69" s="90">
        <v>2026400983</v>
      </c>
      <c r="M69" s="138" t="s">
        <v>197</v>
      </c>
      <c r="N69" s="90">
        <v>2026</v>
      </c>
    </row>
    <row r="70" spans="1:14">
      <c r="A70" s="90">
        <v>69</v>
      </c>
      <c r="B70" s="90" t="s">
        <v>52</v>
      </c>
      <c r="C70" s="90" t="s">
        <v>90</v>
      </c>
      <c r="D70" s="90" t="s">
        <v>58</v>
      </c>
      <c r="E70" s="108" t="s">
        <v>68</v>
      </c>
      <c r="G70" s="90" t="s">
        <v>114</v>
      </c>
      <c r="H70" s="90" t="s">
        <v>111</v>
      </c>
      <c r="I70" s="121">
        <v>1035.98</v>
      </c>
      <c r="J70" s="90" t="s">
        <v>611</v>
      </c>
      <c r="K70" s="93">
        <v>46082</v>
      </c>
      <c r="L70" s="90">
        <v>2026400990</v>
      </c>
      <c r="M70" s="138" t="s">
        <v>197</v>
      </c>
      <c r="N70" s="90">
        <v>2026</v>
      </c>
    </row>
    <row r="71" spans="1:14">
      <c r="A71" s="90">
        <v>70</v>
      </c>
      <c r="B71" s="90" t="s">
        <v>52</v>
      </c>
      <c r="C71" s="90" t="s">
        <v>90</v>
      </c>
      <c r="D71" s="90" t="s">
        <v>58</v>
      </c>
      <c r="E71" s="108" t="s">
        <v>68</v>
      </c>
      <c r="G71" s="90" t="s">
        <v>114</v>
      </c>
      <c r="H71" s="90" t="s">
        <v>111</v>
      </c>
      <c r="I71" s="121">
        <v>231</v>
      </c>
      <c r="J71" s="90" t="s">
        <v>612</v>
      </c>
      <c r="K71" s="93">
        <v>46082</v>
      </c>
      <c r="L71" s="90">
        <v>2026400988</v>
      </c>
      <c r="M71" s="138" t="s">
        <v>197</v>
      </c>
      <c r="N71" s="90">
        <v>2026</v>
      </c>
    </row>
    <row r="72" spans="1:14">
      <c r="A72" s="90">
        <v>71</v>
      </c>
      <c r="B72" s="90" t="s">
        <v>33</v>
      </c>
      <c r="C72" s="90" t="s">
        <v>35</v>
      </c>
      <c r="D72" s="90" t="s">
        <v>58</v>
      </c>
      <c r="E72" s="108" t="s">
        <v>68</v>
      </c>
      <c r="G72" s="90" t="s">
        <v>114</v>
      </c>
      <c r="H72" s="90" t="s">
        <v>111</v>
      </c>
      <c r="I72" s="121">
        <v>57.5</v>
      </c>
      <c r="J72" s="90" t="s">
        <v>613</v>
      </c>
      <c r="K72" s="93">
        <v>46082</v>
      </c>
      <c r="L72" s="90">
        <v>2026400980</v>
      </c>
      <c r="M72" s="138" t="s">
        <v>197</v>
      </c>
      <c r="N72" s="90">
        <v>2026</v>
      </c>
    </row>
    <row r="73" spans="1:14">
      <c r="A73" s="90">
        <v>72</v>
      </c>
      <c r="B73" s="90" t="s">
        <v>40</v>
      </c>
      <c r="C73" s="90" t="s">
        <v>48</v>
      </c>
      <c r="D73" s="90" t="s">
        <v>58</v>
      </c>
      <c r="E73" s="108" t="s">
        <v>68</v>
      </c>
      <c r="G73" s="90" t="s">
        <v>114</v>
      </c>
      <c r="H73" s="90" t="s">
        <v>111</v>
      </c>
      <c r="I73" s="121">
        <v>60.05</v>
      </c>
      <c r="J73" s="90" t="s">
        <v>614</v>
      </c>
      <c r="K73" s="93">
        <v>46082</v>
      </c>
      <c r="L73" s="90">
        <v>2026400993</v>
      </c>
      <c r="M73" s="138" t="s">
        <v>197</v>
      </c>
      <c r="N73" s="90">
        <v>2026</v>
      </c>
    </row>
    <row r="74" spans="1:14">
      <c r="A74" s="90">
        <v>73</v>
      </c>
      <c r="B74" s="90" t="s">
        <v>40</v>
      </c>
      <c r="C74" s="90" t="s">
        <v>48</v>
      </c>
      <c r="D74" s="90" t="s">
        <v>58</v>
      </c>
      <c r="E74" s="108" t="s">
        <v>68</v>
      </c>
      <c r="G74" s="90" t="s">
        <v>114</v>
      </c>
      <c r="H74" s="90" t="s">
        <v>111</v>
      </c>
      <c r="I74" s="121">
        <v>725.85</v>
      </c>
      <c r="J74" s="90" t="s">
        <v>615</v>
      </c>
      <c r="K74" s="93">
        <v>46082</v>
      </c>
      <c r="L74" s="90">
        <v>2026400982</v>
      </c>
      <c r="M74" s="138" t="s">
        <v>197</v>
      </c>
      <c r="N74" s="90">
        <v>2026</v>
      </c>
    </row>
    <row r="75" spans="1:14">
      <c r="A75" s="90">
        <v>74</v>
      </c>
      <c r="B75" s="90" t="s">
        <v>40</v>
      </c>
      <c r="C75" s="90" t="s">
        <v>48</v>
      </c>
      <c r="D75" s="90" t="s">
        <v>58</v>
      </c>
      <c r="E75" s="108" t="s">
        <v>68</v>
      </c>
      <c r="G75" s="90" t="s">
        <v>114</v>
      </c>
      <c r="H75" s="90" t="s">
        <v>111</v>
      </c>
      <c r="I75" s="121">
        <v>143.08000000000001</v>
      </c>
      <c r="J75" s="90" t="s">
        <v>616</v>
      </c>
      <c r="K75" s="93">
        <v>46082</v>
      </c>
      <c r="L75" s="90">
        <v>2026400981</v>
      </c>
      <c r="M75" s="138" t="s">
        <v>197</v>
      </c>
      <c r="N75" s="90">
        <v>2026</v>
      </c>
    </row>
    <row r="76" spans="1:14">
      <c r="A76" s="90">
        <v>75</v>
      </c>
      <c r="B76" s="90" t="s">
        <v>17</v>
      </c>
      <c r="C76" s="90" t="s">
        <v>22</v>
      </c>
      <c r="D76" s="90" t="s">
        <v>58</v>
      </c>
      <c r="E76" s="108" t="s">
        <v>68</v>
      </c>
      <c r="G76" s="90" t="s">
        <v>114</v>
      </c>
      <c r="H76" s="90" t="s">
        <v>111</v>
      </c>
      <c r="I76" s="121">
        <v>747.38</v>
      </c>
      <c r="J76" s="90" t="s">
        <v>617</v>
      </c>
      <c r="K76" s="93">
        <v>46082</v>
      </c>
      <c r="L76" s="90">
        <v>2026401003</v>
      </c>
      <c r="M76" s="138" t="s">
        <v>197</v>
      </c>
      <c r="N76" s="90">
        <v>2026</v>
      </c>
    </row>
    <row r="77" spans="1:14">
      <c r="A77" s="90">
        <v>76</v>
      </c>
      <c r="B77" s="90" t="s">
        <v>17</v>
      </c>
      <c r="C77" s="90" t="s">
        <v>22</v>
      </c>
      <c r="D77" s="90" t="s">
        <v>58</v>
      </c>
      <c r="E77" s="108" t="s">
        <v>68</v>
      </c>
      <c r="G77" s="90" t="s">
        <v>114</v>
      </c>
      <c r="H77" s="90" t="s">
        <v>111</v>
      </c>
      <c r="I77" s="121">
        <v>138.6</v>
      </c>
      <c r="J77" s="90" t="s">
        <v>618</v>
      </c>
      <c r="K77" s="93">
        <v>46082</v>
      </c>
      <c r="L77" s="90">
        <v>2026400997</v>
      </c>
      <c r="M77" s="138" t="s">
        <v>197</v>
      </c>
      <c r="N77" s="90">
        <v>2026</v>
      </c>
    </row>
    <row r="78" spans="1:14">
      <c r="A78" s="90">
        <v>77</v>
      </c>
      <c r="B78" s="90" t="s">
        <v>17</v>
      </c>
      <c r="C78" s="90" t="s">
        <v>22</v>
      </c>
      <c r="D78" s="90" t="s">
        <v>58</v>
      </c>
      <c r="E78" s="90" t="s">
        <v>68</v>
      </c>
      <c r="G78" s="90" t="s">
        <v>114</v>
      </c>
      <c r="H78" s="90" t="s">
        <v>111</v>
      </c>
      <c r="I78" s="121">
        <v>31.44</v>
      </c>
      <c r="J78" s="90" t="s">
        <v>619</v>
      </c>
      <c r="K78" s="93">
        <v>46082</v>
      </c>
      <c r="L78" s="90">
        <v>2026401002</v>
      </c>
      <c r="M78" s="138" t="s">
        <v>197</v>
      </c>
      <c r="N78" s="90">
        <v>2026</v>
      </c>
    </row>
    <row r="79" spans="1:14">
      <c r="A79" s="90">
        <v>78</v>
      </c>
      <c r="B79" s="90" t="s">
        <v>33</v>
      </c>
      <c r="C79" s="90" t="s">
        <v>35</v>
      </c>
      <c r="D79" s="90" t="s">
        <v>58</v>
      </c>
      <c r="E79" s="108" t="s">
        <v>68</v>
      </c>
      <c r="G79" s="90" t="s">
        <v>114</v>
      </c>
      <c r="H79" s="90" t="s">
        <v>111</v>
      </c>
      <c r="I79" s="121">
        <v>124.5</v>
      </c>
      <c r="J79" s="90" t="s">
        <v>620</v>
      </c>
      <c r="K79" s="93">
        <v>46082</v>
      </c>
      <c r="L79" s="90">
        <v>2026400987</v>
      </c>
      <c r="M79" s="138" t="s">
        <v>197</v>
      </c>
      <c r="N79" s="90">
        <v>2026</v>
      </c>
    </row>
    <row r="80" spans="1:14">
      <c r="A80" s="90">
        <v>79</v>
      </c>
      <c r="B80" s="90" t="s">
        <v>40</v>
      </c>
      <c r="C80" s="90" t="s">
        <v>247</v>
      </c>
      <c r="D80" s="90" t="s">
        <v>58</v>
      </c>
      <c r="E80" s="108" t="s">
        <v>68</v>
      </c>
      <c r="G80" s="90" t="s">
        <v>114</v>
      </c>
      <c r="H80" s="90" t="s">
        <v>111</v>
      </c>
      <c r="I80" s="121">
        <v>295.36</v>
      </c>
      <c r="J80" s="90" t="s">
        <v>701</v>
      </c>
      <c r="K80" s="93">
        <v>46096</v>
      </c>
      <c r="L80" s="90">
        <v>2026401149</v>
      </c>
      <c r="M80" s="138" t="s">
        <v>197</v>
      </c>
      <c r="N80" s="90">
        <v>2026</v>
      </c>
    </row>
    <row r="81" spans="1:14">
      <c r="A81" s="90">
        <v>80</v>
      </c>
      <c r="B81" s="90" t="s">
        <v>50</v>
      </c>
      <c r="C81" s="90" t="s">
        <v>60</v>
      </c>
      <c r="D81" s="90" t="s">
        <v>58</v>
      </c>
      <c r="E81" s="108" t="s">
        <v>68</v>
      </c>
      <c r="G81" s="90" t="s">
        <v>114</v>
      </c>
      <c r="H81" s="90" t="s">
        <v>111</v>
      </c>
      <c r="I81" s="121">
        <v>646.5</v>
      </c>
      <c r="J81" s="90" t="s">
        <v>702</v>
      </c>
      <c r="K81" s="93">
        <v>46096</v>
      </c>
      <c r="L81" s="90">
        <v>2026401148</v>
      </c>
      <c r="M81" s="138" t="s">
        <v>197</v>
      </c>
      <c r="N81" s="90">
        <v>2026</v>
      </c>
    </row>
    <row r="82" spans="1:14">
      <c r="A82" s="90">
        <v>81</v>
      </c>
      <c r="B82" s="90" t="s">
        <v>40</v>
      </c>
      <c r="C82" s="90" t="s">
        <v>42</v>
      </c>
      <c r="D82" s="90" t="s">
        <v>58</v>
      </c>
      <c r="E82" s="108" t="s">
        <v>68</v>
      </c>
      <c r="G82" s="90" t="s">
        <v>114</v>
      </c>
      <c r="H82" s="90" t="s">
        <v>111</v>
      </c>
      <c r="I82" s="121">
        <v>177.12</v>
      </c>
      <c r="J82" s="90" t="s">
        <v>703</v>
      </c>
      <c r="K82" s="93">
        <v>46096</v>
      </c>
      <c r="L82" s="90">
        <v>2026401150</v>
      </c>
      <c r="M82" s="138" t="s">
        <v>197</v>
      </c>
      <c r="N82" s="90">
        <v>2026</v>
      </c>
    </row>
    <row r="83" spans="1:14">
      <c r="A83" s="90">
        <v>82</v>
      </c>
      <c r="B83" s="90" t="s">
        <v>50</v>
      </c>
      <c r="C83" s="90" t="s">
        <v>60</v>
      </c>
      <c r="D83" s="90" t="s">
        <v>58</v>
      </c>
      <c r="E83" s="108" t="s">
        <v>68</v>
      </c>
      <c r="G83" s="90" t="s">
        <v>114</v>
      </c>
      <c r="H83" s="90" t="s">
        <v>111</v>
      </c>
      <c r="I83" s="121">
        <v>496.26</v>
      </c>
      <c r="J83" s="90" t="s">
        <v>722</v>
      </c>
      <c r="K83" s="93">
        <v>46096</v>
      </c>
      <c r="L83" s="90">
        <v>2026401220</v>
      </c>
      <c r="M83" s="138" t="s">
        <v>197</v>
      </c>
      <c r="N83" s="90">
        <v>2026</v>
      </c>
    </row>
    <row r="84" spans="1:14">
      <c r="A84" s="90">
        <v>83</v>
      </c>
      <c r="B84" s="90" t="s">
        <v>40</v>
      </c>
      <c r="C84" s="90" t="s">
        <v>48</v>
      </c>
      <c r="D84" s="90" t="s">
        <v>58</v>
      </c>
      <c r="E84" s="108" t="s">
        <v>68</v>
      </c>
      <c r="G84" s="90" t="s">
        <v>296</v>
      </c>
      <c r="H84" s="90" t="s">
        <v>111</v>
      </c>
      <c r="I84" s="121">
        <v>2000</v>
      </c>
      <c r="J84" s="90" t="s">
        <v>424</v>
      </c>
      <c r="K84" s="93">
        <v>46106</v>
      </c>
      <c r="L84" s="90">
        <v>2026401131</v>
      </c>
      <c r="M84" s="138" t="s">
        <v>197</v>
      </c>
      <c r="N84" s="90">
        <v>2026</v>
      </c>
    </row>
    <row r="85" spans="1:14">
      <c r="A85" s="90">
        <v>84</v>
      </c>
      <c r="B85" s="90" t="s">
        <v>40</v>
      </c>
      <c r="C85" s="90" t="s">
        <v>725</v>
      </c>
      <c r="D85" s="90" t="s">
        <v>58</v>
      </c>
      <c r="E85" s="108" t="s">
        <v>68</v>
      </c>
      <c r="G85" s="90" t="s">
        <v>269</v>
      </c>
      <c r="H85" s="90" t="s">
        <v>111</v>
      </c>
      <c r="I85" s="91">
        <v>551.9480519480519</v>
      </c>
      <c r="J85" s="90" t="s">
        <v>225</v>
      </c>
      <c r="K85" s="93">
        <v>46096</v>
      </c>
      <c r="L85" s="90">
        <v>2026401015</v>
      </c>
      <c r="M85" s="138" t="s">
        <v>197</v>
      </c>
      <c r="N85" s="90">
        <v>2026</v>
      </c>
    </row>
    <row r="86" spans="1:14">
      <c r="A86" s="90">
        <v>85</v>
      </c>
      <c r="B86" s="90" t="s">
        <v>50</v>
      </c>
      <c r="C86" s="90" t="s">
        <v>60</v>
      </c>
      <c r="D86" s="90" t="s">
        <v>58</v>
      </c>
      <c r="E86" s="108" t="s">
        <v>68</v>
      </c>
      <c r="G86" s="90" t="s">
        <v>442</v>
      </c>
      <c r="H86" s="90" t="s">
        <v>111</v>
      </c>
      <c r="I86" s="121">
        <v>3800</v>
      </c>
      <c r="J86" s="90" t="s">
        <v>544</v>
      </c>
      <c r="K86" s="93">
        <v>46092</v>
      </c>
      <c r="L86" s="90">
        <v>2026401009</v>
      </c>
      <c r="M86" s="138" t="s">
        <v>197</v>
      </c>
      <c r="N86" s="90">
        <v>2026</v>
      </c>
    </row>
    <row r="87" spans="1:14">
      <c r="A87" s="90">
        <v>86</v>
      </c>
      <c r="B87" s="90" t="s">
        <v>40</v>
      </c>
      <c r="C87" s="90" t="s">
        <v>45</v>
      </c>
      <c r="D87" s="90" t="s">
        <v>58</v>
      </c>
      <c r="E87" s="108" t="s">
        <v>68</v>
      </c>
      <c r="G87" s="90" t="s">
        <v>256</v>
      </c>
      <c r="H87" s="120" t="s">
        <v>258</v>
      </c>
      <c r="I87" s="91">
        <v>727.27272727272725</v>
      </c>
      <c r="J87" s="90" t="s">
        <v>489</v>
      </c>
      <c r="K87" s="93">
        <v>46079</v>
      </c>
      <c r="L87" s="90">
        <v>2026400750</v>
      </c>
      <c r="M87" s="138" t="s">
        <v>197</v>
      </c>
      <c r="N87" s="90">
        <v>2026</v>
      </c>
    </row>
    <row r="88" spans="1:14">
      <c r="A88" s="90">
        <v>87</v>
      </c>
      <c r="B88" s="90" t="s">
        <v>40</v>
      </c>
      <c r="C88" s="90" t="s">
        <v>48</v>
      </c>
      <c r="D88" s="90" t="s">
        <v>58</v>
      </c>
      <c r="E88" s="108" t="s">
        <v>68</v>
      </c>
      <c r="G88" s="90" t="s">
        <v>257</v>
      </c>
      <c r="H88" s="90" t="s">
        <v>111</v>
      </c>
      <c r="I88" s="121">
        <v>749.31880108991822</v>
      </c>
      <c r="J88" s="90" t="s">
        <v>718</v>
      </c>
      <c r="K88" s="93">
        <v>46084</v>
      </c>
      <c r="L88" s="90">
        <v>2026401197</v>
      </c>
      <c r="M88" s="138" t="s">
        <v>197</v>
      </c>
      <c r="N88" s="90">
        <v>2026</v>
      </c>
    </row>
    <row r="89" spans="1:14">
      <c r="A89" s="90">
        <v>88</v>
      </c>
      <c r="B89" s="90" t="s">
        <v>31</v>
      </c>
      <c r="C89" s="90" t="s">
        <v>32</v>
      </c>
      <c r="D89" s="90" t="s">
        <v>58</v>
      </c>
      <c r="E89" s="108" t="s">
        <v>68</v>
      </c>
      <c r="G89" s="90" t="s">
        <v>448</v>
      </c>
      <c r="H89" s="90" t="s">
        <v>111</v>
      </c>
      <c r="I89" s="121">
        <v>55777.32</v>
      </c>
      <c r="J89" s="90" t="s">
        <v>659</v>
      </c>
      <c r="K89" s="93">
        <v>46099</v>
      </c>
      <c r="L89" s="90">
        <v>2026400820</v>
      </c>
      <c r="M89" s="138" t="s">
        <v>197</v>
      </c>
      <c r="N89" s="90">
        <v>2026</v>
      </c>
    </row>
    <row r="90" spans="1:14">
      <c r="A90" s="90">
        <v>89</v>
      </c>
      <c r="B90" s="90" t="s">
        <v>17</v>
      </c>
      <c r="C90" s="90" t="s">
        <v>25</v>
      </c>
      <c r="D90" s="90" t="s">
        <v>58</v>
      </c>
      <c r="E90" s="108" t="s">
        <v>68</v>
      </c>
      <c r="G90" s="90" t="s">
        <v>219</v>
      </c>
      <c r="H90" s="138" t="s">
        <v>226</v>
      </c>
      <c r="I90" s="121">
        <v>7620</v>
      </c>
      <c r="J90" s="90" t="s">
        <v>475</v>
      </c>
      <c r="K90" s="93">
        <v>46086</v>
      </c>
      <c r="L90" s="90">
        <v>2026400782</v>
      </c>
      <c r="M90" s="138" t="s">
        <v>197</v>
      </c>
      <c r="N90" s="90">
        <v>2026</v>
      </c>
    </row>
    <row r="91" spans="1:14">
      <c r="A91" s="90">
        <v>90</v>
      </c>
      <c r="B91" s="108" t="s">
        <v>17</v>
      </c>
      <c r="C91" s="108" t="s">
        <v>25</v>
      </c>
      <c r="D91" s="90" t="s">
        <v>58</v>
      </c>
      <c r="E91" s="108" t="s">
        <v>68</v>
      </c>
      <c r="G91" s="108" t="s">
        <v>219</v>
      </c>
      <c r="H91" s="138" t="s">
        <v>226</v>
      </c>
      <c r="I91" s="121">
        <v>794</v>
      </c>
      <c r="J91" s="90" t="s">
        <v>476</v>
      </c>
      <c r="K91" s="93">
        <v>46086</v>
      </c>
      <c r="L91" s="90">
        <v>2026400783</v>
      </c>
      <c r="M91" s="138" t="s">
        <v>197</v>
      </c>
      <c r="N91" s="90">
        <v>2026</v>
      </c>
    </row>
    <row r="92" spans="1:14">
      <c r="A92" s="90">
        <v>91</v>
      </c>
      <c r="B92" s="90" t="s">
        <v>17</v>
      </c>
      <c r="C92" s="90" t="s">
        <v>287</v>
      </c>
      <c r="D92" s="90" t="s">
        <v>58</v>
      </c>
      <c r="E92" s="108" t="s">
        <v>68</v>
      </c>
      <c r="G92" s="90" t="s">
        <v>219</v>
      </c>
      <c r="H92" s="138" t="s">
        <v>226</v>
      </c>
      <c r="I92" s="121">
        <v>850</v>
      </c>
      <c r="J92" s="90" t="s">
        <v>479</v>
      </c>
      <c r="K92" s="93">
        <v>46089</v>
      </c>
      <c r="L92" s="90">
        <v>2026400525</v>
      </c>
      <c r="M92" s="138" t="s">
        <v>197</v>
      </c>
      <c r="N92" s="90">
        <v>2026</v>
      </c>
    </row>
    <row r="93" spans="1:14">
      <c r="A93" s="90">
        <v>92</v>
      </c>
      <c r="B93" s="90" t="s">
        <v>52</v>
      </c>
      <c r="C93" s="90" t="s">
        <v>90</v>
      </c>
      <c r="D93" s="90" t="s">
        <v>58</v>
      </c>
      <c r="E93" s="108" t="s">
        <v>68</v>
      </c>
      <c r="G93" s="90" t="s">
        <v>219</v>
      </c>
      <c r="H93" s="138" t="s">
        <v>226</v>
      </c>
      <c r="I93" s="121">
        <v>1920.4</v>
      </c>
      <c r="J93" s="90" t="s">
        <v>480</v>
      </c>
      <c r="K93" s="93">
        <v>46089</v>
      </c>
      <c r="L93" s="90">
        <v>2026400728</v>
      </c>
      <c r="M93" s="138" t="s">
        <v>197</v>
      </c>
      <c r="N93" s="90">
        <v>2026</v>
      </c>
    </row>
    <row r="94" spans="1:14">
      <c r="A94" s="90">
        <v>93</v>
      </c>
      <c r="B94" s="90" t="s">
        <v>17</v>
      </c>
      <c r="C94" s="90" t="s">
        <v>25</v>
      </c>
      <c r="D94" s="90" t="s">
        <v>58</v>
      </c>
      <c r="E94" s="108" t="s">
        <v>68</v>
      </c>
      <c r="G94" s="90" t="s">
        <v>219</v>
      </c>
      <c r="H94" s="138" t="s">
        <v>226</v>
      </c>
      <c r="I94" s="121">
        <v>1854</v>
      </c>
      <c r="J94" s="90" t="s">
        <v>498</v>
      </c>
      <c r="K94" s="93">
        <v>46089</v>
      </c>
      <c r="L94" s="90">
        <v>2026400781</v>
      </c>
      <c r="M94" s="138" t="s">
        <v>197</v>
      </c>
      <c r="N94" s="90">
        <v>2026</v>
      </c>
    </row>
    <row r="95" spans="1:14">
      <c r="A95" s="90">
        <v>94</v>
      </c>
      <c r="B95" s="90" t="s">
        <v>50</v>
      </c>
      <c r="C95" s="90" t="s">
        <v>60</v>
      </c>
      <c r="D95" s="90" t="s">
        <v>58</v>
      </c>
      <c r="E95" s="108" t="s">
        <v>68</v>
      </c>
      <c r="G95" s="90" t="s">
        <v>219</v>
      </c>
      <c r="H95" s="138" t="s">
        <v>226</v>
      </c>
      <c r="I95" s="121">
        <v>15600</v>
      </c>
      <c r="J95" s="90" t="s">
        <v>679</v>
      </c>
      <c r="K95" s="93">
        <v>46106</v>
      </c>
      <c r="L95" s="90">
        <v>2026401117</v>
      </c>
      <c r="M95" s="138" t="s">
        <v>197</v>
      </c>
      <c r="N95" s="90">
        <v>2026</v>
      </c>
    </row>
    <row r="96" spans="1:14">
      <c r="A96" s="90">
        <v>95</v>
      </c>
      <c r="B96" s="90" t="s">
        <v>17</v>
      </c>
      <c r="C96" s="90" t="s">
        <v>287</v>
      </c>
      <c r="D96" s="90" t="s">
        <v>58</v>
      </c>
      <c r="E96" s="108" t="s">
        <v>68</v>
      </c>
      <c r="G96" s="90" t="s">
        <v>219</v>
      </c>
      <c r="H96" s="138" t="s">
        <v>226</v>
      </c>
      <c r="I96" s="121">
        <v>2392</v>
      </c>
      <c r="J96" s="90" t="s">
        <v>719</v>
      </c>
      <c r="K96" s="93">
        <v>46090</v>
      </c>
      <c r="L96" s="90">
        <v>2026400923</v>
      </c>
      <c r="M96" s="138" t="s">
        <v>197</v>
      </c>
      <c r="N96" s="90">
        <v>2026</v>
      </c>
    </row>
    <row r="97" spans="1:14">
      <c r="A97" s="90">
        <v>96</v>
      </c>
      <c r="B97" s="90" t="s">
        <v>40</v>
      </c>
      <c r="C97" s="90" t="s">
        <v>69</v>
      </c>
      <c r="D97" s="90" t="s">
        <v>58</v>
      </c>
      <c r="E97" s="108" t="s">
        <v>68</v>
      </c>
      <c r="G97" s="90" t="s">
        <v>447</v>
      </c>
      <c r="H97" s="90" t="s">
        <v>111</v>
      </c>
      <c r="I97" s="121">
        <v>3792.71</v>
      </c>
      <c r="J97" s="90" t="s">
        <v>604</v>
      </c>
      <c r="K97" s="93">
        <v>46092</v>
      </c>
      <c r="L97" s="90">
        <v>2026400659</v>
      </c>
      <c r="M97" s="138" t="s">
        <v>197</v>
      </c>
      <c r="N97" s="90">
        <v>2026</v>
      </c>
    </row>
    <row r="98" spans="1:14">
      <c r="A98" s="90">
        <v>97</v>
      </c>
      <c r="B98" s="90" t="s">
        <v>33</v>
      </c>
      <c r="C98" s="90" t="s">
        <v>37</v>
      </c>
      <c r="D98" s="90" t="s">
        <v>58</v>
      </c>
      <c r="E98" s="108" t="s">
        <v>68</v>
      </c>
      <c r="G98" s="90" t="s">
        <v>220</v>
      </c>
      <c r="H98" s="120" t="s">
        <v>258</v>
      </c>
      <c r="I98" s="121">
        <v>325</v>
      </c>
      <c r="J98" s="90" t="s">
        <v>478</v>
      </c>
      <c r="K98" s="93">
        <v>46084</v>
      </c>
      <c r="L98" s="90">
        <v>2026400885</v>
      </c>
      <c r="M98" s="138" t="s">
        <v>197</v>
      </c>
      <c r="N98" s="90">
        <v>2026</v>
      </c>
    </row>
    <row r="99" spans="1:14">
      <c r="A99" s="90">
        <v>98</v>
      </c>
      <c r="B99" s="90" t="s">
        <v>52</v>
      </c>
      <c r="C99" s="90" t="s">
        <v>90</v>
      </c>
      <c r="D99" s="90" t="s">
        <v>58</v>
      </c>
      <c r="E99" s="108" t="s">
        <v>68</v>
      </c>
      <c r="G99" s="90" t="s">
        <v>220</v>
      </c>
      <c r="H99" s="120" t="s">
        <v>258</v>
      </c>
      <c r="I99" s="121">
        <v>14940</v>
      </c>
      <c r="J99" s="90" t="s">
        <v>653</v>
      </c>
      <c r="K99" s="93">
        <v>46084</v>
      </c>
      <c r="L99" s="90">
        <v>2026400900</v>
      </c>
      <c r="M99" s="138" t="s">
        <v>197</v>
      </c>
      <c r="N99" s="90">
        <v>2026</v>
      </c>
    </row>
    <row r="100" spans="1:14">
      <c r="A100" s="90">
        <v>99</v>
      </c>
      <c r="B100" s="90" t="s">
        <v>33</v>
      </c>
      <c r="C100" s="90" t="s">
        <v>34</v>
      </c>
      <c r="D100" s="90" t="s">
        <v>58</v>
      </c>
      <c r="E100" s="108" t="s">
        <v>68</v>
      </c>
      <c r="G100" s="90" t="s">
        <v>220</v>
      </c>
      <c r="H100" s="120" t="s">
        <v>258</v>
      </c>
      <c r="I100" s="121">
        <v>216</v>
      </c>
      <c r="J100" s="90" t="s">
        <v>692</v>
      </c>
      <c r="K100" s="93">
        <v>46094</v>
      </c>
      <c r="L100" s="90">
        <v>2026401153</v>
      </c>
      <c r="M100" s="138" t="s">
        <v>197</v>
      </c>
      <c r="N100" s="90">
        <v>2026</v>
      </c>
    </row>
    <row r="101" spans="1:14">
      <c r="A101" s="90">
        <v>100</v>
      </c>
      <c r="B101" s="90" t="s">
        <v>17</v>
      </c>
      <c r="C101" s="90" t="s">
        <v>287</v>
      </c>
      <c r="D101" s="90" t="s">
        <v>58</v>
      </c>
      <c r="E101" s="108" t="s">
        <v>68</v>
      </c>
      <c r="G101" s="90" t="s">
        <v>220</v>
      </c>
      <c r="H101" s="120" t="s">
        <v>258</v>
      </c>
      <c r="I101" s="121">
        <v>1130</v>
      </c>
      <c r="J101" s="90" t="s">
        <v>706</v>
      </c>
      <c r="K101" s="93">
        <v>46092</v>
      </c>
      <c r="L101" s="90">
        <v>2026401177</v>
      </c>
      <c r="M101" s="138" t="s">
        <v>197</v>
      </c>
      <c r="N101" s="90">
        <v>2026</v>
      </c>
    </row>
    <row r="102" spans="1:14">
      <c r="A102" s="90">
        <v>101</v>
      </c>
      <c r="B102" s="90" t="s">
        <v>17</v>
      </c>
      <c r="C102" s="90" t="s">
        <v>287</v>
      </c>
      <c r="D102" s="90" t="s">
        <v>58</v>
      </c>
      <c r="E102" s="108" t="s">
        <v>68</v>
      </c>
      <c r="G102" s="90" t="s">
        <v>440</v>
      </c>
      <c r="H102" s="90" t="s">
        <v>111</v>
      </c>
      <c r="I102" s="91">
        <v>1152.5974025974026</v>
      </c>
      <c r="J102" s="90" t="s">
        <v>536</v>
      </c>
      <c r="K102" s="93">
        <v>46080</v>
      </c>
      <c r="L102" s="90">
        <v>2026400968</v>
      </c>
      <c r="M102" s="138" t="s">
        <v>197</v>
      </c>
      <c r="N102" s="90">
        <v>2026</v>
      </c>
    </row>
    <row r="103" spans="1:14">
      <c r="A103" s="90">
        <v>102</v>
      </c>
      <c r="B103" s="90" t="s">
        <v>52</v>
      </c>
      <c r="C103" s="90" t="s">
        <v>53</v>
      </c>
      <c r="D103" s="90" t="s">
        <v>58</v>
      </c>
      <c r="E103" s="108" t="s">
        <v>68</v>
      </c>
      <c r="G103" s="90" t="s">
        <v>221</v>
      </c>
      <c r="H103" s="90" t="s">
        <v>226</v>
      </c>
      <c r="I103" s="91">
        <v>4138.1168831168834</v>
      </c>
      <c r="J103" s="90" t="s">
        <v>508</v>
      </c>
      <c r="K103" s="93">
        <v>46083</v>
      </c>
      <c r="L103" s="90">
        <v>2026400918</v>
      </c>
      <c r="M103" s="138" t="s">
        <v>197</v>
      </c>
      <c r="N103" s="90">
        <v>2026</v>
      </c>
    </row>
    <row r="104" spans="1:14">
      <c r="A104" s="90">
        <v>103</v>
      </c>
      <c r="B104" s="90" t="s">
        <v>50</v>
      </c>
      <c r="C104" s="90" t="s">
        <v>60</v>
      </c>
      <c r="D104" s="90" t="s">
        <v>58</v>
      </c>
      <c r="E104" s="108" t="s">
        <v>68</v>
      </c>
      <c r="G104" s="90" t="s">
        <v>221</v>
      </c>
      <c r="H104" s="90" t="s">
        <v>226</v>
      </c>
      <c r="I104" s="91">
        <v>3678.5714285714284</v>
      </c>
      <c r="J104" s="90" t="s">
        <v>579</v>
      </c>
      <c r="K104" s="93">
        <v>46083</v>
      </c>
      <c r="L104" s="90">
        <v>2026401032</v>
      </c>
      <c r="M104" s="138" t="s">
        <v>197</v>
      </c>
      <c r="N104" s="90">
        <v>2026</v>
      </c>
    </row>
    <row r="105" spans="1:14">
      <c r="A105" s="90">
        <v>104</v>
      </c>
      <c r="B105" s="90" t="s">
        <v>17</v>
      </c>
      <c r="C105" s="90" t="s">
        <v>25</v>
      </c>
      <c r="D105" s="90" t="s">
        <v>58</v>
      </c>
      <c r="E105" s="108" t="s">
        <v>68</v>
      </c>
      <c r="G105" s="90" t="s">
        <v>221</v>
      </c>
      <c r="H105" s="90" t="s">
        <v>226</v>
      </c>
      <c r="I105" s="91">
        <v>3246.7532467532469</v>
      </c>
      <c r="J105" s="90" t="s">
        <v>455</v>
      </c>
      <c r="K105" s="93">
        <v>46082</v>
      </c>
      <c r="L105" s="90">
        <v>2026400725</v>
      </c>
      <c r="M105" s="138" t="s">
        <v>197</v>
      </c>
      <c r="N105" s="90">
        <v>2026</v>
      </c>
    </row>
    <row r="106" spans="1:14">
      <c r="A106" s="90">
        <v>105</v>
      </c>
      <c r="B106" s="90" t="s">
        <v>17</v>
      </c>
      <c r="C106" s="90" t="s">
        <v>25</v>
      </c>
      <c r="D106" s="90" t="s">
        <v>58</v>
      </c>
      <c r="E106" s="90" t="s">
        <v>68</v>
      </c>
      <c r="G106" s="90" t="s">
        <v>221</v>
      </c>
      <c r="H106" s="90" t="s">
        <v>226</v>
      </c>
      <c r="I106" s="91">
        <v>2438.3116883116882</v>
      </c>
      <c r="J106" s="90" t="s">
        <v>580</v>
      </c>
      <c r="K106" s="93">
        <v>46092</v>
      </c>
      <c r="L106" s="90">
        <v>2026401033</v>
      </c>
      <c r="M106" s="138" t="s">
        <v>197</v>
      </c>
      <c r="N106" s="90">
        <v>2026</v>
      </c>
    </row>
    <row r="107" spans="1:14">
      <c r="A107" s="90">
        <v>106</v>
      </c>
      <c r="B107" s="90" t="s">
        <v>52</v>
      </c>
      <c r="C107" s="90" t="s">
        <v>53</v>
      </c>
      <c r="D107" s="90" t="s">
        <v>58</v>
      </c>
      <c r="E107" s="108" t="s">
        <v>68</v>
      </c>
      <c r="G107" s="90" t="s">
        <v>221</v>
      </c>
      <c r="H107" s="90" t="s">
        <v>226</v>
      </c>
      <c r="I107" s="91">
        <v>519.48051948051943</v>
      </c>
      <c r="J107" s="90" t="s">
        <v>225</v>
      </c>
      <c r="K107" s="93">
        <v>46092</v>
      </c>
      <c r="L107" s="90">
        <v>2026401013</v>
      </c>
      <c r="M107" s="138" t="s">
        <v>197</v>
      </c>
      <c r="N107" s="90">
        <v>2026</v>
      </c>
    </row>
    <row r="108" spans="1:14">
      <c r="A108" s="90">
        <v>107</v>
      </c>
      <c r="B108" s="90" t="s">
        <v>40</v>
      </c>
      <c r="C108" s="90" t="s">
        <v>43</v>
      </c>
      <c r="D108" s="90" t="s">
        <v>58</v>
      </c>
      <c r="E108" s="108" t="s">
        <v>68</v>
      </c>
      <c r="G108" s="90" t="s">
        <v>413</v>
      </c>
      <c r="H108" s="90" t="s">
        <v>111</v>
      </c>
      <c r="I108" s="121">
        <v>1200</v>
      </c>
      <c r="J108" s="90" t="s">
        <v>532</v>
      </c>
      <c r="K108" s="93">
        <v>46082</v>
      </c>
      <c r="L108" s="90">
        <v>2026400959</v>
      </c>
      <c r="M108" s="138" t="s">
        <v>197</v>
      </c>
      <c r="N108" s="90">
        <v>2026</v>
      </c>
    </row>
    <row r="109" spans="1:14">
      <c r="A109" s="90">
        <v>108</v>
      </c>
      <c r="B109" s="90" t="s">
        <v>17</v>
      </c>
      <c r="C109" s="90" t="s">
        <v>287</v>
      </c>
      <c r="D109" s="90" t="s">
        <v>58</v>
      </c>
      <c r="E109" s="108" t="s">
        <v>68</v>
      </c>
      <c r="G109" s="90" t="s">
        <v>413</v>
      </c>
      <c r="H109" s="90" t="s">
        <v>111</v>
      </c>
      <c r="I109" s="121">
        <v>15800</v>
      </c>
      <c r="J109" s="90" t="s">
        <v>687</v>
      </c>
      <c r="K109" s="93">
        <v>46091</v>
      </c>
      <c r="L109" s="90">
        <v>2026401068</v>
      </c>
      <c r="M109" s="138" t="s">
        <v>197</v>
      </c>
      <c r="N109" s="90">
        <v>2026</v>
      </c>
    </row>
    <row r="110" spans="1:14">
      <c r="A110" s="90">
        <v>109</v>
      </c>
      <c r="B110" s="90" t="s">
        <v>40</v>
      </c>
      <c r="C110" s="90" t="s">
        <v>43</v>
      </c>
      <c r="D110" s="90" t="s">
        <v>58</v>
      </c>
      <c r="E110" s="108" t="s">
        <v>68</v>
      </c>
      <c r="G110" s="90" t="s">
        <v>413</v>
      </c>
      <c r="H110" s="90" t="s">
        <v>111</v>
      </c>
      <c r="I110" s="121">
        <v>1200</v>
      </c>
      <c r="J110" s="90" t="s">
        <v>532</v>
      </c>
      <c r="K110" s="93">
        <v>46082</v>
      </c>
      <c r="L110" s="90">
        <v>2026401260</v>
      </c>
      <c r="M110" s="138" t="s">
        <v>197</v>
      </c>
      <c r="N110" s="90">
        <v>2026</v>
      </c>
    </row>
    <row r="111" spans="1:14">
      <c r="A111" s="90">
        <v>110</v>
      </c>
      <c r="B111" s="90" t="s">
        <v>33</v>
      </c>
      <c r="C111" s="90" t="s">
        <v>35</v>
      </c>
      <c r="D111" s="90" t="s">
        <v>58</v>
      </c>
      <c r="E111" s="108" t="s">
        <v>68</v>
      </c>
      <c r="G111" s="90" t="s">
        <v>270</v>
      </c>
      <c r="H111" s="90" t="s">
        <v>111</v>
      </c>
      <c r="I111" s="91">
        <v>7408.7662337662341</v>
      </c>
      <c r="J111" s="90" t="s">
        <v>672</v>
      </c>
      <c r="K111" s="93">
        <v>46090</v>
      </c>
      <c r="L111" s="90">
        <v>2026401097</v>
      </c>
      <c r="M111" s="138" t="s">
        <v>197</v>
      </c>
      <c r="N111" s="90">
        <v>2026</v>
      </c>
    </row>
    <row r="112" spans="1:14">
      <c r="A112" s="90">
        <v>111</v>
      </c>
      <c r="B112" s="90" t="s">
        <v>33</v>
      </c>
      <c r="C112" s="90" t="s">
        <v>35</v>
      </c>
      <c r="D112" s="90" t="s">
        <v>58</v>
      </c>
      <c r="E112" s="108" t="s">
        <v>68</v>
      </c>
      <c r="G112" s="90" t="s">
        <v>270</v>
      </c>
      <c r="H112" s="90" t="s">
        <v>111</v>
      </c>
      <c r="I112" s="91">
        <v>6720.7792207792209</v>
      </c>
      <c r="J112" s="90" t="s">
        <v>660</v>
      </c>
      <c r="K112" s="93">
        <v>46098</v>
      </c>
      <c r="L112" s="90">
        <v>2026401098</v>
      </c>
      <c r="M112" s="138" t="s">
        <v>197</v>
      </c>
      <c r="N112" s="90">
        <v>2026</v>
      </c>
    </row>
    <row r="113" spans="1:14">
      <c r="A113" s="90">
        <v>112</v>
      </c>
      <c r="B113" s="90" t="s">
        <v>33</v>
      </c>
      <c r="C113" s="90" t="s">
        <v>35</v>
      </c>
      <c r="D113" s="90" t="s">
        <v>58</v>
      </c>
      <c r="E113" s="108" t="s">
        <v>68</v>
      </c>
      <c r="G113" s="90" t="s">
        <v>270</v>
      </c>
      <c r="H113" s="90" t="s">
        <v>111</v>
      </c>
      <c r="I113" s="91">
        <v>6720.7792207792209</v>
      </c>
      <c r="J113" s="90" t="s">
        <v>673</v>
      </c>
      <c r="K113" s="93">
        <v>46090</v>
      </c>
      <c r="L113" s="90">
        <v>2026401100</v>
      </c>
      <c r="M113" s="138" t="s">
        <v>197</v>
      </c>
      <c r="N113" s="90">
        <v>2026</v>
      </c>
    </row>
    <row r="114" spans="1:14">
      <c r="A114" s="90">
        <v>113</v>
      </c>
      <c r="B114" s="90" t="s">
        <v>17</v>
      </c>
      <c r="C114" s="90" t="s">
        <v>22</v>
      </c>
      <c r="D114" s="90" t="s">
        <v>58</v>
      </c>
      <c r="E114" s="108" t="s">
        <v>68</v>
      </c>
      <c r="G114" s="90" t="s">
        <v>270</v>
      </c>
      <c r="H114" s="90" t="s">
        <v>111</v>
      </c>
      <c r="I114" s="91">
        <v>5324.6753246753251</v>
      </c>
      <c r="J114" s="90" t="s">
        <v>691</v>
      </c>
      <c r="K114" s="93">
        <v>46096</v>
      </c>
      <c r="L114" s="90">
        <v>2026401104</v>
      </c>
      <c r="M114" s="138" t="s">
        <v>197</v>
      </c>
      <c r="N114" s="90">
        <v>2026</v>
      </c>
    </row>
    <row r="115" spans="1:14">
      <c r="A115" s="90">
        <v>114</v>
      </c>
      <c r="B115" s="90" t="s">
        <v>33</v>
      </c>
      <c r="C115" s="90" t="s">
        <v>34</v>
      </c>
      <c r="D115" s="90" t="s">
        <v>58</v>
      </c>
      <c r="E115" s="108" t="s">
        <v>68</v>
      </c>
      <c r="G115" s="90" t="s">
        <v>270</v>
      </c>
      <c r="H115" s="90" t="s">
        <v>111</v>
      </c>
      <c r="I115" s="91">
        <v>905.84415584415581</v>
      </c>
      <c r="J115" s="90" t="s">
        <v>460</v>
      </c>
      <c r="K115" s="93">
        <v>46082</v>
      </c>
      <c r="L115" s="90">
        <v>2026400799</v>
      </c>
      <c r="M115" s="138" t="s">
        <v>197</v>
      </c>
      <c r="N115" s="90">
        <v>2026</v>
      </c>
    </row>
    <row r="116" spans="1:14">
      <c r="A116" s="90">
        <v>115</v>
      </c>
      <c r="B116" s="90" t="s">
        <v>52</v>
      </c>
      <c r="C116" s="90" t="s">
        <v>90</v>
      </c>
      <c r="D116" s="90" t="s">
        <v>58</v>
      </c>
      <c r="E116" s="108" t="s">
        <v>68</v>
      </c>
      <c r="G116" s="90" t="s">
        <v>291</v>
      </c>
      <c r="H116" s="90" t="s">
        <v>111</v>
      </c>
      <c r="I116" s="91">
        <v>3032.4675324675327</v>
      </c>
      <c r="J116" s="90" t="s">
        <v>459</v>
      </c>
      <c r="K116" s="93">
        <v>46079</v>
      </c>
      <c r="L116" s="90">
        <v>2026400480</v>
      </c>
      <c r="M116" s="138" t="s">
        <v>197</v>
      </c>
      <c r="N116" s="90">
        <v>2026</v>
      </c>
    </row>
    <row r="117" spans="1:14">
      <c r="A117" s="90">
        <v>116</v>
      </c>
      <c r="B117" s="90" t="s">
        <v>40</v>
      </c>
      <c r="C117" s="90" t="s">
        <v>48</v>
      </c>
      <c r="D117" s="90" t="s">
        <v>58</v>
      </c>
      <c r="E117" s="108" t="s">
        <v>68</v>
      </c>
      <c r="G117" s="90" t="s">
        <v>291</v>
      </c>
      <c r="H117" s="90" t="s">
        <v>111</v>
      </c>
      <c r="I117" s="91">
        <v>1344.1558441558441</v>
      </c>
      <c r="J117" s="90" t="s">
        <v>531</v>
      </c>
      <c r="K117" s="93">
        <v>46089</v>
      </c>
      <c r="L117" s="90">
        <v>2026400947</v>
      </c>
      <c r="M117" s="138" t="s">
        <v>197</v>
      </c>
      <c r="N117" s="90">
        <v>2026</v>
      </c>
    </row>
    <row r="118" spans="1:14">
      <c r="A118" s="90">
        <v>117</v>
      </c>
      <c r="B118" s="90" t="s">
        <v>40</v>
      </c>
      <c r="C118" s="90" t="s">
        <v>247</v>
      </c>
      <c r="D118" s="90" t="s">
        <v>58</v>
      </c>
      <c r="E118" s="108" t="s">
        <v>68</v>
      </c>
      <c r="G118" s="90" t="s">
        <v>291</v>
      </c>
      <c r="H118" s="90" t="s">
        <v>111</v>
      </c>
      <c r="I118" s="91">
        <v>805.19480519480521</v>
      </c>
      <c r="J118" s="90" t="s">
        <v>670</v>
      </c>
      <c r="K118" s="93">
        <v>46093</v>
      </c>
      <c r="L118" s="90">
        <v>2026400883</v>
      </c>
      <c r="M118" s="138" t="s">
        <v>197</v>
      </c>
      <c r="N118" s="90">
        <v>2026</v>
      </c>
    </row>
    <row r="119" spans="1:14">
      <c r="A119" s="90">
        <v>118</v>
      </c>
      <c r="B119" s="90" t="s">
        <v>17</v>
      </c>
      <c r="C119" s="90" t="s">
        <v>287</v>
      </c>
      <c r="D119" s="90" t="s">
        <v>58</v>
      </c>
      <c r="E119" s="108" t="s">
        <v>68</v>
      </c>
      <c r="G119" s="90" t="s">
        <v>291</v>
      </c>
      <c r="H119" s="90" t="s">
        <v>111</v>
      </c>
      <c r="I119" s="91">
        <v>178.57142857142858</v>
      </c>
      <c r="J119" s="90" t="s">
        <v>704</v>
      </c>
      <c r="K119" s="93">
        <v>46093</v>
      </c>
      <c r="L119" s="90">
        <v>2026400962</v>
      </c>
      <c r="M119" s="138" t="s">
        <v>197</v>
      </c>
      <c r="N119" s="90">
        <v>2026</v>
      </c>
    </row>
    <row r="120" spans="1:14">
      <c r="A120" s="90">
        <v>119</v>
      </c>
      <c r="B120" s="90" t="s">
        <v>17</v>
      </c>
      <c r="C120" s="90" t="s">
        <v>287</v>
      </c>
      <c r="D120" s="90" t="s">
        <v>58</v>
      </c>
      <c r="E120" s="108" t="s">
        <v>68</v>
      </c>
      <c r="G120" s="90" t="s">
        <v>267</v>
      </c>
      <c r="H120" s="90" t="s">
        <v>111</v>
      </c>
      <c r="I120" s="121">
        <v>7866</v>
      </c>
      <c r="J120" s="90" t="s">
        <v>677</v>
      </c>
      <c r="K120" s="93">
        <v>46106</v>
      </c>
      <c r="L120" s="90">
        <v>2026401122</v>
      </c>
      <c r="M120" s="138" t="s">
        <v>197</v>
      </c>
      <c r="N120" s="90">
        <v>2026</v>
      </c>
    </row>
    <row r="121" spans="1:14">
      <c r="A121" s="90">
        <v>120</v>
      </c>
      <c r="B121" s="90" t="s">
        <v>52</v>
      </c>
      <c r="C121" s="90" t="s">
        <v>90</v>
      </c>
      <c r="D121" s="90" t="s">
        <v>58</v>
      </c>
      <c r="E121" s="108" t="s">
        <v>68</v>
      </c>
      <c r="G121" s="90" t="s">
        <v>294</v>
      </c>
      <c r="H121" s="90" t="s">
        <v>111</v>
      </c>
      <c r="I121" s="91">
        <v>616.88311688311683</v>
      </c>
      <c r="J121" s="90" t="s">
        <v>578</v>
      </c>
      <c r="K121" s="93">
        <v>46092</v>
      </c>
      <c r="L121" s="90">
        <v>2026401011</v>
      </c>
      <c r="M121" s="138" t="s">
        <v>197</v>
      </c>
      <c r="N121" s="90">
        <v>2026</v>
      </c>
    </row>
    <row r="122" spans="1:14">
      <c r="A122" s="90">
        <v>121</v>
      </c>
      <c r="B122" s="90" t="s">
        <v>40</v>
      </c>
      <c r="C122" s="90" t="s">
        <v>247</v>
      </c>
      <c r="D122" s="90" t="s">
        <v>58</v>
      </c>
      <c r="E122" s="108" t="s">
        <v>68</v>
      </c>
      <c r="G122" s="90" t="s">
        <v>255</v>
      </c>
      <c r="H122" s="90" t="s">
        <v>111</v>
      </c>
      <c r="I122" s="91">
        <v>181.81818181818181</v>
      </c>
      <c r="J122" s="90" t="s">
        <v>689</v>
      </c>
      <c r="K122" s="93">
        <v>46095</v>
      </c>
      <c r="L122" s="90">
        <v>2026401050</v>
      </c>
      <c r="M122" s="138" t="s">
        <v>197</v>
      </c>
      <c r="N122" s="90">
        <v>2026</v>
      </c>
    </row>
    <row r="123" spans="1:14">
      <c r="A123" s="90">
        <v>122</v>
      </c>
      <c r="B123" s="90" t="s">
        <v>52</v>
      </c>
      <c r="C123" s="90" t="s">
        <v>90</v>
      </c>
      <c r="D123" s="90" t="s">
        <v>58</v>
      </c>
      <c r="E123" s="108" t="s">
        <v>68</v>
      </c>
      <c r="G123" s="90" t="s">
        <v>115</v>
      </c>
      <c r="H123" s="90" t="s">
        <v>111</v>
      </c>
      <c r="I123" s="121">
        <v>410</v>
      </c>
      <c r="J123" s="90" t="s">
        <v>461</v>
      </c>
      <c r="K123" s="93">
        <v>46082</v>
      </c>
      <c r="L123" s="90">
        <v>2026400691</v>
      </c>
      <c r="M123" s="138" t="s">
        <v>197</v>
      </c>
      <c r="N123" s="90">
        <v>2026</v>
      </c>
    </row>
    <row r="124" spans="1:14">
      <c r="A124" s="90">
        <v>123</v>
      </c>
      <c r="B124" s="108" t="s">
        <v>40</v>
      </c>
      <c r="C124" s="108" t="s">
        <v>48</v>
      </c>
      <c r="D124" s="90" t="s">
        <v>58</v>
      </c>
      <c r="E124" s="90" t="s">
        <v>68</v>
      </c>
      <c r="G124" s="90" t="s">
        <v>115</v>
      </c>
      <c r="H124" s="90" t="s">
        <v>111</v>
      </c>
      <c r="I124" s="121">
        <v>2744.1</v>
      </c>
      <c r="J124" s="90" t="s">
        <v>463</v>
      </c>
      <c r="K124" s="93">
        <v>46082</v>
      </c>
      <c r="L124" s="90">
        <v>2026400689</v>
      </c>
      <c r="M124" s="138" t="s">
        <v>197</v>
      </c>
      <c r="N124" s="90">
        <v>2026</v>
      </c>
    </row>
    <row r="125" spans="1:14">
      <c r="A125" s="90">
        <v>124</v>
      </c>
      <c r="B125" s="90" t="s">
        <v>40</v>
      </c>
      <c r="C125" s="90" t="s">
        <v>48</v>
      </c>
      <c r="D125" s="90" t="s">
        <v>58</v>
      </c>
      <c r="E125" s="108" t="s">
        <v>68</v>
      </c>
      <c r="G125" s="90" t="s">
        <v>115</v>
      </c>
      <c r="H125" s="90" t="s">
        <v>111</v>
      </c>
      <c r="I125" s="121">
        <v>1276</v>
      </c>
      <c r="J125" s="90" t="s">
        <v>464</v>
      </c>
      <c r="K125" s="93">
        <v>46082</v>
      </c>
      <c r="L125" s="90">
        <v>2026400688</v>
      </c>
      <c r="M125" s="138" t="s">
        <v>197</v>
      </c>
      <c r="N125" s="90">
        <v>2026</v>
      </c>
    </row>
    <row r="126" spans="1:14">
      <c r="A126" s="90">
        <v>125</v>
      </c>
      <c r="B126" s="90" t="s">
        <v>40</v>
      </c>
      <c r="C126" s="90" t="s">
        <v>48</v>
      </c>
      <c r="D126" s="90" t="s">
        <v>58</v>
      </c>
      <c r="E126" s="108" t="s">
        <v>68</v>
      </c>
      <c r="G126" s="90" t="s">
        <v>115</v>
      </c>
      <c r="H126" s="90" t="s">
        <v>111</v>
      </c>
      <c r="I126" s="121">
        <v>540</v>
      </c>
      <c r="J126" s="90" t="s">
        <v>465</v>
      </c>
      <c r="K126" s="93">
        <v>46081</v>
      </c>
      <c r="L126" s="90">
        <v>2026400668</v>
      </c>
      <c r="M126" s="138" t="s">
        <v>197</v>
      </c>
      <c r="N126" s="90">
        <v>2026</v>
      </c>
    </row>
    <row r="127" spans="1:14">
      <c r="A127" s="90">
        <v>126</v>
      </c>
      <c r="B127" s="90" t="s">
        <v>17</v>
      </c>
      <c r="C127" s="90" t="s">
        <v>25</v>
      </c>
      <c r="D127" s="90" t="s">
        <v>58</v>
      </c>
      <c r="E127" s="90" t="s">
        <v>68</v>
      </c>
      <c r="G127" s="90" t="s">
        <v>115</v>
      </c>
      <c r="H127" s="90" t="s">
        <v>111</v>
      </c>
      <c r="I127" s="121">
        <v>613.1</v>
      </c>
      <c r="J127" s="90" t="s">
        <v>466</v>
      </c>
      <c r="K127" s="93">
        <v>46081</v>
      </c>
      <c r="L127" s="90">
        <v>2026400676</v>
      </c>
      <c r="M127" s="138" t="s">
        <v>197</v>
      </c>
      <c r="N127" s="90">
        <v>2026</v>
      </c>
    </row>
    <row r="128" spans="1:14">
      <c r="A128" s="90">
        <v>127</v>
      </c>
      <c r="B128" s="90" t="s">
        <v>50</v>
      </c>
      <c r="C128" s="90" t="s">
        <v>60</v>
      </c>
      <c r="D128" s="90" t="s">
        <v>58</v>
      </c>
      <c r="E128" s="90" t="s">
        <v>68</v>
      </c>
      <c r="G128" s="90" t="s">
        <v>115</v>
      </c>
      <c r="H128" s="90" t="s">
        <v>111</v>
      </c>
      <c r="I128" s="121">
        <v>1991.1</v>
      </c>
      <c r="J128" s="90" t="s">
        <v>467</v>
      </c>
      <c r="K128" s="93">
        <v>46082</v>
      </c>
      <c r="L128" s="90">
        <v>2026400690</v>
      </c>
      <c r="M128" s="138" t="s">
        <v>197</v>
      </c>
      <c r="N128" s="90">
        <v>2026</v>
      </c>
    </row>
    <row r="129" spans="1:14">
      <c r="A129" s="90">
        <v>128</v>
      </c>
      <c r="B129" s="90" t="s">
        <v>50</v>
      </c>
      <c r="C129" s="90" t="s">
        <v>60</v>
      </c>
      <c r="D129" s="90" t="s">
        <v>58</v>
      </c>
      <c r="E129" s="90" t="s">
        <v>68</v>
      </c>
      <c r="G129" s="90" t="s">
        <v>115</v>
      </c>
      <c r="H129" s="90" t="s">
        <v>111</v>
      </c>
      <c r="I129" s="121">
        <v>228</v>
      </c>
      <c r="J129" s="90" t="s">
        <v>468</v>
      </c>
      <c r="K129" s="93">
        <v>46082</v>
      </c>
      <c r="L129" s="90">
        <v>2026400687</v>
      </c>
      <c r="M129" s="138" t="s">
        <v>197</v>
      </c>
      <c r="N129" s="90">
        <v>2026</v>
      </c>
    </row>
    <row r="130" spans="1:14">
      <c r="A130" s="90">
        <v>129</v>
      </c>
      <c r="B130" s="90" t="s">
        <v>52</v>
      </c>
      <c r="C130" s="90" t="s">
        <v>53</v>
      </c>
      <c r="D130" s="90" t="s">
        <v>58</v>
      </c>
      <c r="E130" s="108" t="s">
        <v>68</v>
      </c>
      <c r="G130" s="90" t="s">
        <v>115</v>
      </c>
      <c r="H130" s="90" t="s">
        <v>111</v>
      </c>
      <c r="I130" s="121">
        <v>2185.8000000000002</v>
      </c>
      <c r="J130" s="90" t="s">
        <v>469</v>
      </c>
      <c r="K130" s="93">
        <v>46082</v>
      </c>
      <c r="L130" s="90">
        <v>2026400692</v>
      </c>
      <c r="M130" s="138" t="s">
        <v>197</v>
      </c>
      <c r="N130" s="90">
        <v>2026</v>
      </c>
    </row>
    <row r="131" spans="1:14">
      <c r="A131" s="90">
        <v>130</v>
      </c>
      <c r="B131" s="90" t="s">
        <v>40</v>
      </c>
      <c r="C131" s="90" t="s">
        <v>45</v>
      </c>
      <c r="D131" s="90" t="s">
        <v>58</v>
      </c>
      <c r="E131" s="108" t="s">
        <v>68</v>
      </c>
      <c r="G131" s="90" t="s">
        <v>115</v>
      </c>
      <c r="H131" s="90" t="s">
        <v>111</v>
      </c>
      <c r="I131" s="121">
        <v>287.27999999999997</v>
      </c>
      <c r="J131" s="90" t="s">
        <v>470</v>
      </c>
      <c r="K131" s="93">
        <v>46082</v>
      </c>
      <c r="L131" s="90">
        <v>2026400581</v>
      </c>
      <c r="M131" s="138" t="s">
        <v>197</v>
      </c>
      <c r="N131" s="90">
        <v>2026</v>
      </c>
    </row>
    <row r="132" spans="1:14">
      <c r="A132" s="90">
        <v>131</v>
      </c>
      <c r="B132" s="90" t="s">
        <v>40</v>
      </c>
      <c r="C132" s="90" t="s">
        <v>48</v>
      </c>
      <c r="D132" s="90" t="s">
        <v>58</v>
      </c>
      <c r="E132" s="108" t="s">
        <v>68</v>
      </c>
      <c r="G132" s="90" t="s">
        <v>115</v>
      </c>
      <c r="H132" s="90" t="s">
        <v>111</v>
      </c>
      <c r="I132" s="121">
        <v>280</v>
      </c>
      <c r="J132" s="90" t="s">
        <v>474</v>
      </c>
      <c r="K132" s="93">
        <v>46082</v>
      </c>
      <c r="L132" s="90">
        <v>2026400434</v>
      </c>
      <c r="M132" s="138" t="s">
        <v>197</v>
      </c>
      <c r="N132" s="90">
        <v>2026</v>
      </c>
    </row>
    <row r="133" spans="1:14">
      <c r="A133" s="90">
        <v>132</v>
      </c>
      <c r="B133" s="90" t="s">
        <v>40</v>
      </c>
      <c r="C133" s="90" t="s">
        <v>48</v>
      </c>
      <c r="D133" s="90" t="s">
        <v>58</v>
      </c>
      <c r="E133" s="108" t="s">
        <v>68</v>
      </c>
      <c r="G133" s="90" t="s">
        <v>115</v>
      </c>
      <c r="H133" s="90" t="s">
        <v>111</v>
      </c>
      <c r="I133" s="121">
        <v>385.8</v>
      </c>
      <c r="J133" s="90" t="s">
        <v>477</v>
      </c>
      <c r="K133" s="93">
        <v>46082</v>
      </c>
      <c r="L133" s="90">
        <v>2026400433</v>
      </c>
      <c r="M133" s="138" t="s">
        <v>197</v>
      </c>
      <c r="N133" s="90">
        <v>2026</v>
      </c>
    </row>
    <row r="134" spans="1:14">
      <c r="A134" s="90">
        <v>133</v>
      </c>
      <c r="B134" s="90" t="s">
        <v>33</v>
      </c>
      <c r="C134" s="90" t="s">
        <v>35</v>
      </c>
      <c r="D134" s="90" t="s">
        <v>58</v>
      </c>
      <c r="E134" s="108" t="s">
        <v>68</v>
      </c>
      <c r="G134" s="90" t="s">
        <v>115</v>
      </c>
      <c r="H134" s="90" t="s">
        <v>111</v>
      </c>
      <c r="I134" s="121">
        <v>1360.5</v>
      </c>
      <c r="J134" s="90" t="s">
        <v>481</v>
      </c>
      <c r="K134" s="93">
        <v>46088</v>
      </c>
      <c r="L134" s="90">
        <v>2026400686</v>
      </c>
      <c r="M134" s="138" t="s">
        <v>197</v>
      </c>
      <c r="N134" s="90">
        <v>2026</v>
      </c>
    </row>
    <row r="135" spans="1:14">
      <c r="A135" s="90">
        <v>134</v>
      </c>
      <c r="B135" s="90" t="s">
        <v>52</v>
      </c>
      <c r="C135" s="90" t="s">
        <v>90</v>
      </c>
      <c r="D135" s="90" t="s">
        <v>58</v>
      </c>
      <c r="E135" s="108" t="s">
        <v>68</v>
      </c>
      <c r="G135" s="90" t="s">
        <v>115</v>
      </c>
      <c r="H135" s="90" t="s">
        <v>111</v>
      </c>
      <c r="I135" s="121">
        <v>359.5</v>
      </c>
      <c r="J135" s="90" t="s">
        <v>482</v>
      </c>
      <c r="K135" s="93">
        <v>46088</v>
      </c>
      <c r="L135" s="90">
        <v>2026400775</v>
      </c>
      <c r="M135" s="138" t="s">
        <v>197</v>
      </c>
      <c r="N135" s="90">
        <v>2026</v>
      </c>
    </row>
    <row r="136" spans="1:14">
      <c r="A136" s="90">
        <v>135</v>
      </c>
      <c r="B136" s="90" t="s">
        <v>17</v>
      </c>
      <c r="C136" s="90" t="s">
        <v>22</v>
      </c>
      <c r="D136" s="90" t="s">
        <v>58</v>
      </c>
      <c r="E136" s="108" t="s">
        <v>68</v>
      </c>
      <c r="G136" s="90" t="s">
        <v>115</v>
      </c>
      <c r="H136" s="90" t="s">
        <v>111</v>
      </c>
      <c r="I136" s="121">
        <v>80</v>
      </c>
      <c r="J136" s="90" t="s">
        <v>483</v>
      </c>
      <c r="K136" s="93">
        <v>46088</v>
      </c>
      <c r="L136" s="90">
        <v>2026400771</v>
      </c>
      <c r="M136" s="138" t="s">
        <v>197</v>
      </c>
      <c r="N136" s="90">
        <v>2026</v>
      </c>
    </row>
    <row r="137" spans="1:14">
      <c r="A137" s="90">
        <v>136</v>
      </c>
      <c r="B137" s="90" t="s">
        <v>17</v>
      </c>
      <c r="C137" s="90" t="s">
        <v>22</v>
      </c>
      <c r="D137" s="90" t="s">
        <v>58</v>
      </c>
      <c r="E137" s="108" t="s">
        <v>68</v>
      </c>
      <c r="G137" s="90" t="s">
        <v>115</v>
      </c>
      <c r="H137" s="90" t="s">
        <v>111</v>
      </c>
      <c r="I137" s="121">
        <v>175</v>
      </c>
      <c r="J137" s="90" t="s">
        <v>484</v>
      </c>
      <c r="K137" s="93">
        <v>46088</v>
      </c>
      <c r="L137" s="90">
        <v>2026400685</v>
      </c>
      <c r="M137" s="138" t="s">
        <v>197</v>
      </c>
      <c r="N137" s="90">
        <v>2026</v>
      </c>
    </row>
    <row r="138" spans="1:14">
      <c r="A138" s="90">
        <v>137</v>
      </c>
      <c r="B138" s="90" t="s">
        <v>40</v>
      </c>
      <c r="C138" s="90" t="s">
        <v>45</v>
      </c>
      <c r="D138" s="90" t="s">
        <v>58</v>
      </c>
      <c r="E138" s="108" t="s">
        <v>68</v>
      </c>
      <c r="G138" s="90" t="s">
        <v>115</v>
      </c>
      <c r="H138" s="90" t="s">
        <v>111</v>
      </c>
      <c r="I138" s="121">
        <v>2319.9</v>
      </c>
      <c r="J138" s="90" t="s">
        <v>485</v>
      </c>
      <c r="K138" s="93">
        <v>46088</v>
      </c>
      <c r="L138" s="90">
        <v>2026400754</v>
      </c>
      <c r="M138" s="138" t="s">
        <v>197</v>
      </c>
      <c r="N138" s="90">
        <v>2026</v>
      </c>
    </row>
    <row r="139" spans="1:14">
      <c r="A139" s="90">
        <v>138</v>
      </c>
      <c r="B139" s="90" t="s">
        <v>40</v>
      </c>
      <c r="C139" s="90" t="s">
        <v>41</v>
      </c>
      <c r="D139" s="90" t="s">
        <v>58</v>
      </c>
      <c r="E139" s="108" t="s">
        <v>68</v>
      </c>
      <c r="G139" s="90" t="s">
        <v>115</v>
      </c>
      <c r="H139" s="90" t="s">
        <v>111</v>
      </c>
      <c r="I139" s="121">
        <v>1834.8</v>
      </c>
      <c r="J139" s="90" t="s">
        <v>486</v>
      </c>
      <c r="K139" s="93">
        <v>46088</v>
      </c>
      <c r="L139" s="90">
        <v>2026400773</v>
      </c>
      <c r="M139" s="138" t="s">
        <v>197</v>
      </c>
      <c r="N139" s="90">
        <v>2026</v>
      </c>
    </row>
    <row r="140" spans="1:14">
      <c r="A140" s="90">
        <v>139</v>
      </c>
      <c r="B140" s="90" t="s">
        <v>17</v>
      </c>
      <c r="C140" s="90" t="s">
        <v>22</v>
      </c>
      <c r="D140" s="90" t="s">
        <v>58</v>
      </c>
      <c r="E140" s="108" t="s">
        <v>68</v>
      </c>
      <c r="G140" s="90" t="s">
        <v>115</v>
      </c>
      <c r="H140" s="90" t="s">
        <v>111</v>
      </c>
      <c r="I140" s="121">
        <v>180</v>
      </c>
      <c r="J140" s="90" t="s">
        <v>487</v>
      </c>
      <c r="K140" s="93">
        <v>46088</v>
      </c>
      <c r="L140" s="90">
        <v>2026400768</v>
      </c>
      <c r="M140" s="138" t="s">
        <v>197</v>
      </c>
      <c r="N140" s="90">
        <v>2026</v>
      </c>
    </row>
    <row r="141" spans="1:14">
      <c r="A141" s="90">
        <v>140</v>
      </c>
      <c r="B141" s="90" t="s">
        <v>50</v>
      </c>
      <c r="C141" s="90" t="s">
        <v>60</v>
      </c>
      <c r="D141" s="90" t="s">
        <v>58</v>
      </c>
      <c r="E141" s="108" t="s">
        <v>68</v>
      </c>
      <c r="G141" s="90" t="s">
        <v>115</v>
      </c>
      <c r="H141" s="90" t="s">
        <v>111</v>
      </c>
      <c r="I141" s="121">
        <v>2861.7</v>
      </c>
      <c r="J141" s="90" t="s">
        <v>490</v>
      </c>
      <c r="K141" s="109">
        <v>46088</v>
      </c>
      <c r="L141" s="90">
        <v>2026400761</v>
      </c>
      <c r="M141" s="138" t="s">
        <v>197</v>
      </c>
      <c r="N141" s="90">
        <v>2026</v>
      </c>
    </row>
    <row r="142" spans="1:14">
      <c r="A142" s="90">
        <v>141</v>
      </c>
      <c r="B142" s="90" t="s">
        <v>50</v>
      </c>
      <c r="C142" s="90" t="s">
        <v>60</v>
      </c>
      <c r="D142" s="90" t="s">
        <v>58</v>
      </c>
      <c r="E142" s="108" t="s">
        <v>68</v>
      </c>
      <c r="G142" s="90" t="s">
        <v>115</v>
      </c>
      <c r="H142" s="90" t="s">
        <v>111</v>
      </c>
      <c r="I142" s="121">
        <v>2550</v>
      </c>
      <c r="J142" s="90" t="s">
        <v>491</v>
      </c>
      <c r="K142" s="93">
        <v>46088</v>
      </c>
      <c r="L142" s="90">
        <v>2026400762</v>
      </c>
      <c r="M142" s="138" t="s">
        <v>197</v>
      </c>
      <c r="N142" s="90">
        <v>2026</v>
      </c>
    </row>
    <row r="143" spans="1:14">
      <c r="A143" s="90">
        <v>142</v>
      </c>
      <c r="B143" s="90" t="s">
        <v>50</v>
      </c>
      <c r="C143" s="90" t="s">
        <v>60</v>
      </c>
      <c r="D143" s="90" t="s">
        <v>58</v>
      </c>
      <c r="E143" s="108" t="s">
        <v>68</v>
      </c>
      <c r="G143" s="90" t="s">
        <v>115</v>
      </c>
      <c r="H143" s="90" t="s">
        <v>111</v>
      </c>
      <c r="I143" s="121">
        <v>2720</v>
      </c>
      <c r="J143" s="90" t="s">
        <v>492</v>
      </c>
      <c r="K143" s="93">
        <v>46088</v>
      </c>
      <c r="L143" s="90">
        <v>2026400755</v>
      </c>
      <c r="M143" s="138" t="s">
        <v>197</v>
      </c>
      <c r="N143" s="90">
        <v>2026</v>
      </c>
    </row>
    <row r="144" spans="1:14">
      <c r="A144" s="90">
        <v>143</v>
      </c>
      <c r="B144" s="90" t="s">
        <v>33</v>
      </c>
      <c r="C144" s="90" t="s">
        <v>36</v>
      </c>
      <c r="D144" s="90" t="s">
        <v>58</v>
      </c>
      <c r="E144" s="108" t="s">
        <v>68</v>
      </c>
      <c r="G144" s="90" t="s">
        <v>115</v>
      </c>
      <c r="H144" s="90" t="s">
        <v>111</v>
      </c>
      <c r="I144" s="121">
        <v>1360</v>
      </c>
      <c r="J144" s="90" t="s">
        <v>493</v>
      </c>
      <c r="K144" s="93">
        <v>46088</v>
      </c>
      <c r="L144" s="90">
        <v>2026400765</v>
      </c>
      <c r="M144" s="138" t="s">
        <v>197</v>
      </c>
      <c r="N144" s="90">
        <v>2026</v>
      </c>
    </row>
    <row r="145" spans="1:14">
      <c r="A145" s="90">
        <v>144</v>
      </c>
      <c r="B145" s="90" t="s">
        <v>52</v>
      </c>
      <c r="C145" s="90" t="s">
        <v>90</v>
      </c>
      <c r="D145" s="90" t="s">
        <v>58</v>
      </c>
      <c r="E145" s="108" t="s">
        <v>68</v>
      </c>
      <c r="G145" s="90" t="s">
        <v>115</v>
      </c>
      <c r="H145" s="90" t="s">
        <v>111</v>
      </c>
      <c r="I145" s="121">
        <v>60</v>
      </c>
      <c r="J145" s="90" t="s">
        <v>494</v>
      </c>
      <c r="K145" s="93">
        <v>46088</v>
      </c>
      <c r="L145" s="90">
        <v>2026400770</v>
      </c>
      <c r="M145" s="138" t="s">
        <v>197</v>
      </c>
      <c r="N145" s="90">
        <v>2026</v>
      </c>
    </row>
    <row r="146" spans="1:14">
      <c r="A146" s="90">
        <v>145</v>
      </c>
      <c r="B146" s="90" t="s">
        <v>52</v>
      </c>
      <c r="C146" s="90" t="s">
        <v>90</v>
      </c>
      <c r="D146" s="90" t="s">
        <v>58</v>
      </c>
      <c r="E146" s="108" t="s">
        <v>68</v>
      </c>
      <c r="G146" s="90" t="s">
        <v>115</v>
      </c>
      <c r="H146" s="90" t="s">
        <v>111</v>
      </c>
      <c r="I146" s="121">
        <v>947</v>
      </c>
      <c r="J146" s="90" t="s">
        <v>495</v>
      </c>
      <c r="K146" s="93">
        <v>46083</v>
      </c>
      <c r="L146" s="90">
        <v>2026400763</v>
      </c>
      <c r="M146" s="138" t="s">
        <v>197</v>
      </c>
      <c r="N146" s="90">
        <v>2026</v>
      </c>
    </row>
    <row r="147" spans="1:14">
      <c r="A147" s="90">
        <v>146</v>
      </c>
      <c r="B147" s="90" t="s">
        <v>50</v>
      </c>
      <c r="C147" s="90" t="s">
        <v>60</v>
      </c>
      <c r="D147" s="90" t="s">
        <v>58</v>
      </c>
      <c r="E147" s="108" t="s">
        <v>68</v>
      </c>
      <c r="G147" s="90" t="s">
        <v>115</v>
      </c>
      <c r="H147" s="90" t="s">
        <v>111</v>
      </c>
      <c r="I147" s="121">
        <v>250</v>
      </c>
      <c r="J147" s="90" t="s">
        <v>497</v>
      </c>
      <c r="K147" s="93">
        <v>46088</v>
      </c>
      <c r="L147" s="90">
        <v>2026400519</v>
      </c>
      <c r="M147" s="138" t="s">
        <v>197</v>
      </c>
      <c r="N147" s="90">
        <v>2026</v>
      </c>
    </row>
    <row r="148" spans="1:14">
      <c r="A148" s="90">
        <v>147</v>
      </c>
      <c r="B148" s="90" t="s">
        <v>52</v>
      </c>
      <c r="C148" s="90" t="s">
        <v>90</v>
      </c>
      <c r="D148" s="90" t="s">
        <v>58</v>
      </c>
      <c r="E148" s="108" t="s">
        <v>68</v>
      </c>
      <c r="G148" s="90" t="s">
        <v>115</v>
      </c>
      <c r="H148" s="90" t="s">
        <v>111</v>
      </c>
      <c r="I148" s="121">
        <v>945</v>
      </c>
      <c r="J148" s="90" t="s">
        <v>499</v>
      </c>
      <c r="K148" s="93">
        <v>46088</v>
      </c>
      <c r="L148" s="90">
        <v>2026400769</v>
      </c>
      <c r="M148" s="138" t="s">
        <v>197</v>
      </c>
      <c r="N148" s="90">
        <v>2026</v>
      </c>
    </row>
    <row r="149" spans="1:14">
      <c r="A149" s="90">
        <v>148</v>
      </c>
      <c r="B149" s="90" t="s">
        <v>40</v>
      </c>
      <c r="C149" s="90" t="s">
        <v>46</v>
      </c>
      <c r="D149" s="90" t="s">
        <v>58</v>
      </c>
      <c r="E149" s="108" t="s">
        <v>68</v>
      </c>
      <c r="G149" s="90" t="s">
        <v>115</v>
      </c>
      <c r="H149" s="90" t="s">
        <v>111</v>
      </c>
      <c r="I149" s="121">
        <v>672</v>
      </c>
      <c r="J149" s="90" t="s">
        <v>500</v>
      </c>
      <c r="K149" s="93">
        <v>46088</v>
      </c>
      <c r="L149" s="90">
        <v>2026400764</v>
      </c>
      <c r="M149" s="138" t="s">
        <v>197</v>
      </c>
      <c r="N149" s="90">
        <v>2026</v>
      </c>
    </row>
    <row r="150" spans="1:14">
      <c r="A150" s="90">
        <v>149</v>
      </c>
      <c r="B150" s="90" t="s">
        <v>40</v>
      </c>
      <c r="C150" s="90" t="s">
        <v>48</v>
      </c>
      <c r="D150" s="90" t="s">
        <v>58</v>
      </c>
      <c r="E150" s="108" t="s">
        <v>68</v>
      </c>
      <c r="G150" s="90" t="s">
        <v>115</v>
      </c>
      <c r="H150" s="90" t="s">
        <v>111</v>
      </c>
      <c r="I150" s="121">
        <v>1213</v>
      </c>
      <c r="J150" s="90" t="s">
        <v>501</v>
      </c>
      <c r="K150" s="93">
        <v>46088</v>
      </c>
      <c r="L150" s="90">
        <v>2026400766</v>
      </c>
      <c r="M150" s="138" t="s">
        <v>197</v>
      </c>
      <c r="N150" s="90">
        <v>2026</v>
      </c>
    </row>
    <row r="151" spans="1:14">
      <c r="A151" s="90">
        <v>150</v>
      </c>
      <c r="B151" s="90" t="s">
        <v>40</v>
      </c>
      <c r="C151" s="90" t="s">
        <v>48</v>
      </c>
      <c r="D151" s="90" t="s">
        <v>58</v>
      </c>
      <c r="E151" s="108" t="s">
        <v>68</v>
      </c>
      <c r="G151" s="90" t="s">
        <v>115</v>
      </c>
      <c r="H151" s="90" t="s">
        <v>111</v>
      </c>
      <c r="I151" s="121">
        <v>560</v>
      </c>
      <c r="J151" s="90" t="s">
        <v>502</v>
      </c>
      <c r="K151" s="93">
        <v>46088</v>
      </c>
      <c r="L151" s="90">
        <v>2026400760</v>
      </c>
      <c r="M151" s="138" t="s">
        <v>197</v>
      </c>
      <c r="N151" s="90">
        <v>2026</v>
      </c>
    </row>
    <row r="152" spans="1:14">
      <c r="A152" s="90">
        <v>151</v>
      </c>
      <c r="B152" s="90" t="s">
        <v>40</v>
      </c>
      <c r="C152" s="90" t="s">
        <v>48</v>
      </c>
      <c r="D152" s="90" t="s">
        <v>58</v>
      </c>
      <c r="E152" s="108" t="s">
        <v>68</v>
      </c>
      <c r="G152" s="90" t="s">
        <v>115</v>
      </c>
      <c r="H152" s="90" t="s">
        <v>111</v>
      </c>
      <c r="I152" s="121">
        <v>600</v>
      </c>
      <c r="J152" s="90" t="s">
        <v>505</v>
      </c>
      <c r="K152" s="93">
        <v>46091</v>
      </c>
      <c r="L152" s="90">
        <v>2026400864</v>
      </c>
      <c r="M152" s="138" t="s">
        <v>197</v>
      </c>
      <c r="N152" s="90">
        <v>2026</v>
      </c>
    </row>
    <row r="153" spans="1:14">
      <c r="A153" s="90">
        <v>152</v>
      </c>
      <c r="B153" s="90" t="s">
        <v>40</v>
      </c>
      <c r="C153" s="90" t="s">
        <v>48</v>
      </c>
      <c r="D153" s="90" t="s">
        <v>58</v>
      </c>
      <c r="E153" s="108" t="s">
        <v>68</v>
      </c>
      <c r="G153" s="90" t="s">
        <v>115</v>
      </c>
      <c r="H153" s="90" t="s">
        <v>111</v>
      </c>
      <c r="I153" s="121">
        <v>310</v>
      </c>
      <c r="J153" s="90" t="s">
        <v>506</v>
      </c>
      <c r="K153" s="93">
        <v>46091</v>
      </c>
      <c r="L153" s="90">
        <v>2026400863</v>
      </c>
      <c r="M153" s="138" t="s">
        <v>197</v>
      </c>
      <c r="N153" s="90">
        <v>2026</v>
      </c>
    </row>
    <row r="154" spans="1:14">
      <c r="A154" s="90">
        <v>153</v>
      </c>
      <c r="B154" s="90" t="s">
        <v>50</v>
      </c>
      <c r="C154" s="90" t="s">
        <v>60</v>
      </c>
      <c r="D154" s="90" t="s">
        <v>58</v>
      </c>
      <c r="E154" s="108" t="s">
        <v>68</v>
      </c>
      <c r="G154" s="90" t="s">
        <v>115</v>
      </c>
      <c r="H154" s="90" t="s">
        <v>111</v>
      </c>
      <c r="I154" s="121">
        <v>3224</v>
      </c>
      <c r="J154" s="90" t="s">
        <v>513</v>
      </c>
      <c r="K154" s="93">
        <v>46088</v>
      </c>
      <c r="L154" s="90">
        <v>2026400740</v>
      </c>
      <c r="M154" s="138" t="s">
        <v>197</v>
      </c>
      <c r="N154" s="90">
        <v>2026</v>
      </c>
    </row>
    <row r="155" spans="1:14">
      <c r="A155" s="90">
        <v>154</v>
      </c>
      <c r="B155" s="90" t="s">
        <v>17</v>
      </c>
      <c r="C155" s="90" t="s">
        <v>22</v>
      </c>
      <c r="D155" s="90" t="s">
        <v>58</v>
      </c>
      <c r="E155" s="108" t="s">
        <v>68</v>
      </c>
      <c r="G155" s="90" t="s">
        <v>115</v>
      </c>
      <c r="H155" s="90" t="s">
        <v>111</v>
      </c>
      <c r="I155" s="121">
        <v>1499.4</v>
      </c>
      <c r="J155" s="90" t="s">
        <v>514</v>
      </c>
      <c r="K155" s="93">
        <v>46092</v>
      </c>
      <c r="L155" s="90">
        <v>2026400941</v>
      </c>
      <c r="M155" s="138" t="s">
        <v>197</v>
      </c>
      <c r="N155" s="90">
        <v>2026</v>
      </c>
    </row>
    <row r="156" spans="1:14">
      <c r="A156" s="90">
        <v>155</v>
      </c>
      <c r="B156" s="90" t="s">
        <v>17</v>
      </c>
      <c r="C156" s="90" t="s">
        <v>22</v>
      </c>
      <c r="D156" s="90" t="s">
        <v>58</v>
      </c>
      <c r="E156" s="108" t="s">
        <v>68</v>
      </c>
      <c r="G156" s="90" t="s">
        <v>115</v>
      </c>
      <c r="H156" s="90" t="s">
        <v>111</v>
      </c>
      <c r="I156" s="121">
        <v>45</v>
      </c>
      <c r="J156" s="90" t="s">
        <v>515</v>
      </c>
      <c r="K156" s="93">
        <v>46091</v>
      </c>
      <c r="L156" s="90">
        <v>2026400870</v>
      </c>
      <c r="M156" s="138" t="s">
        <v>197</v>
      </c>
      <c r="N156" s="90">
        <v>2026</v>
      </c>
    </row>
    <row r="157" spans="1:14">
      <c r="A157" s="90">
        <v>156</v>
      </c>
      <c r="B157" s="90" t="s">
        <v>17</v>
      </c>
      <c r="C157" s="90" t="s">
        <v>25</v>
      </c>
      <c r="D157" s="90" t="s">
        <v>58</v>
      </c>
      <c r="E157" s="108" t="s">
        <v>68</v>
      </c>
      <c r="G157" s="90" t="s">
        <v>115</v>
      </c>
      <c r="H157" s="90" t="s">
        <v>111</v>
      </c>
      <c r="I157" s="121">
        <v>96</v>
      </c>
      <c r="J157" s="90" t="s">
        <v>516</v>
      </c>
      <c r="K157" s="93">
        <v>46092</v>
      </c>
      <c r="L157" s="90">
        <v>2026400937</v>
      </c>
      <c r="M157" s="138" t="s">
        <v>197</v>
      </c>
      <c r="N157" s="90">
        <v>2026</v>
      </c>
    </row>
    <row r="158" spans="1:14">
      <c r="A158" s="90">
        <v>157</v>
      </c>
      <c r="B158" s="90" t="s">
        <v>40</v>
      </c>
      <c r="C158" s="90" t="s">
        <v>45</v>
      </c>
      <c r="D158" s="90" t="s">
        <v>58</v>
      </c>
      <c r="E158" s="108" t="s">
        <v>68</v>
      </c>
      <c r="G158" s="90" t="s">
        <v>115</v>
      </c>
      <c r="H158" s="90" t="s">
        <v>111</v>
      </c>
      <c r="I158" s="121">
        <v>77.400000000000006</v>
      </c>
      <c r="J158" s="90" t="s">
        <v>517</v>
      </c>
      <c r="K158" s="93">
        <v>46091</v>
      </c>
      <c r="L158" s="90">
        <v>2026400751</v>
      </c>
      <c r="M158" s="138" t="s">
        <v>197</v>
      </c>
      <c r="N158" s="90">
        <v>2026</v>
      </c>
    </row>
    <row r="159" spans="1:14">
      <c r="A159" s="90">
        <v>158</v>
      </c>
      <c r="B159" s="90" t="s">
        <v>17</v>
      </c>
      <c r="C159" s="90" t="s">
        <v>22</v>
      </c>
      <c r="D159" s="90" t="s">
        <v>58</v>
      </c>
      <c r="E159" s="108" t="s">
        <v>68</v>
      </c>
      <c r="G159" s="90" t="s">
        <v>115</v>
      </c>
      <c r="H159" s="90" t="s">
        <v>111</v>
      </c>
      <c r="I159" s="121">
        <v>72</v>
      </c>
      <c r="J159" s="90" t="s">
        <v>518</v>
      </c>
      <c r="K159" s="93">
        <v>46092</v>
      </c>
      <c r="L159" s="90">
        <v>2026400702</v>
      </c>
      <c r="M159" s="138" t="s">
        <v>197</v>
      </c>
      <c r="N159" s="90">
        <v>2026</v>
      </c>
    </row>
    <row r="160" spans="1:14">
      <c r="A160" s="90">
        <v>159</v>
      </c>
      <c r="B160" s="90" t="s">
        <v>17</v>
      </c>
      <c r="C160" s="90" t="s">
        <v>25</v>
      </c>
      <c r="D160" s="90" t="s">
        <v>58</v>
      </c>
      <c r="E160" s="90" t="s">
        <v>68</v>
      </c>
      <c r="G160" s="90" t="s">
        <v>115</v>
      </c>
      <c r="H160" s="90" t="s">
        <v>111</v>
      </c>
      <c r="I160" s="121">
        <v>746</v>
      </c>
      <c r="J160" s="90" t="s">
        <v>519</v>
      </c>
      <c r="K160" s="93">
        <v>46092</v>
      </c>
      <c r="L160" s="90">
        <v>2026400938</v>
      </c>
      <c r="M160" s="138" t="s">
        <v>197</v>
      </c>
      <c r="N160" s="90">
        <v>2026</v>
      </c>
    </row>
    <row r="161" spans="1:14">
      <c r="A161" s="90">
        <v>160</v>
      </c>
      <c r="B161" s="90" t="s">
        <v>17</v>
      </c>
      <c r="C161" s="90" t="s">
        <v>22</v>
      </c>
      <c r="D161" s="90" t="s">
        <v>58</v>
      </c>
      <c r="E161" s="108" t="s">
        <v>68</v>
      </c>
      <c r="G161" s="90" t="s">
        <v>115</v>
      </c>
      <c r="H161" s="90" t="s">
        <v>111</v>
      </c>
      <c r="I161" s="121">
        <v>96</v>
      </c>
      <c r="J161" s="90" t="s">
        <v>520</v>
      </c>
      <c r="K161" s="93">
        <v>46092</v>
      </c>
      <c r="L161" s="90">
        <v>2026400936</v>
      </c>
      <c r="M161" s="138" t="s">
        <v>197</v>
      </c>
      <c r="N161" s="90">
        <v>2026</v>
      </c>
    </row>
    <row r="162" spans="1:14">
      <c r="A162" s="90">
        <v>161</v>
      </c>
      <c r="B162" s="90" t="s">
        <v>40</v>
      </c>
      <c r="C162" s="90" t="s">
        <v>45</v>
      </c>
      <c r="D162" s="90" t="s">
        <v>58</v>
      </c>
      <c r="E162" s="108" t="s">
        <v>68</v>
      </c>
      <c r="G162" s="90" t="s">
        <v>115</v>
      </c>
      <c r="H162" s="90" t="s">
        <v>111</v>
      </c>
      <c r="I162" s="121">
        <v>163</v>
      </c>
      <c r="J162" s="90" t="s">
        <v>521</v>
      </c>
      <c r="K162" s="93">
        <v>46092</v>
      </c>
      <c r="L162" s="90">
        <v>2026400916</v>
      </c>
      <c r="M162" s="138" t="s">
        <v>197</v>
      </c>
      <c r="N162" s="90">
        <v>2026</v>
      </c>
    </row>
    <row r="163" spans="1:14">
      <c r="A163" s="90">
        <v>162</v>
      </c>
      <c r="B163" s="90" t="s">
        <v>56</v>
      </c>
      <c r="C163" s="90" t="s">
        <v>57</v>
      </c>
      <c r="D163" s="90" t="s">
        <v>58</v>
      </c>
      <c r="E163" s="108" t="s">
        <v>68</v>
      </c>
      <c r="G163" s="90" t="s">
        <v>115</v>
      </c>
      <c r="H163" s="90" t="s">
        <v>111</v>
      </c>
      <c r="I163" s="121">
        <v>450</v>
      </c>
      <c r="J163" s="90" t="s">
        <v>522</v>
      </c>
      <c r="K163" s="93">
        <v>46092</v>
      </c>
      <c r="L163" s="90">
        <v>2026400848</v>
      </c>
      <c r="M163" s="138" t="s">
        <v>197</v>
      </c>
      <c r="N163" s="90">
        <v>2026</v>
      </c>
    </row>
    <row r="164" spans="1:14">
      <c r="A164" s="90">
        <v>163</v>
      </c>
      <c r="B164" s="90" t="s">
        <v>275</v>
      </c>
      <c r="C164" s="90" t="s">
        <v>289</v>
      </c>
      <c r="D164" s="90" t="s">
        <v>58</v>
      </c>
      <c r="E164" s="108" t="s">
        <v>68</v>
      </c>
      <c r="G164" s="90" t="s">
        <v>115</v>
      </c>
      <c r="H164" s="90" t="s">
        <v>111</v>
      </c>
      <c r="I164" s="121">
        <v>65</v>
      </c>
      <c r="J164" s="90" t="s">
        <v>523</v>
      </c>
      <c r="K164" s="93">
        <v>46092</v>
      </c>
      <c r="L164" s="90">
        <v>2026400849</v>
      </c>
      <c r="M164" s="138" t="s">
        <v>197</v>
      </c>
      <c r="N164" s="90">
        <v>2026</v>
      </c>
    </row>
    <row r="165" spans="1:14">
      <c r="A165" s="90">
        <v>164</v>
      </c>
      <c r="B165" s="90" t="s">
        <v>275</v>
      </c>
      <c r="C165" s="90" t="s">
        <v>289</v>
      </c>
      <c r="D165" s="90" t="s">
        <v>58</v>
      </c>
      <c r="E165" s="108" t="s">
        <v>68</v>
      </c>
      <c r="G165" s="90" t="s">
        <v>115</v>
      </c>
      <c r="H165" s="90" t="s">
        <v>111</v>
      </c>
      <c r="I165" s="121">
        <v>2007.9</v>
      </c>
      <c r="J165" s="90" t="s">
        <v>524</v>
      </c>
      <c r="K165" s="93">
        <v>46092</v>
      </c>
      <c r="L165" s="90">
        <v>2026400847</v>
      </c>
      <c r="M165" s="138" t="s">
        <v>197</v>
      </c>
      <c r="N165" s="90">
        <v>2026</v>
      </c>
    </row>
    <row r="166" spans="1:14">
      <c r="A166" s="90">
        <v>165</v>
      </c>
      <c r="B166" s="108" t="s">
        <v>17</v>
      </c>
      <c r="C166" s="108" t="s">
        <v>22</v>
      </c>
      <c r="D166" s="90" t="s">
        <v>58</v>
      </c>
      <c r="E166" s="90" t="s">
        <v>68</v>
      </c>
      <c r="G166" s="90" t="s">
        <v>115</v>
      </c>
      <c r="H166" s="90" t="s">
        <v>111</v>
      </c>
      <c r="I166" s="121">
        <v>2975</v>
      </c>
      <c r="J166" s="90" t="s">
        <v>525</v>
      </c>
      <c r="K166" s="93">
        <v>46092</v>
      </c>
      <c r="L166" s="90">
        <v>2026400915</v>
      </c>
      <c r="M166" s="138" t="s">
        <v>197</v>
      </c>
      <c r="N166" s="90">
        <v>2026</v>
      </c>
    </row>
    <row r="167" spans="1:14">
      <c r="A167" s="90">
        <v>166</v>
      </c>
      <c r="B167" s="90" t="s">
        <v>17</v>
      </c>
      <c r="C167" s="90" t="s">
        <v>22</v>
      </c>
      <c r="D167" s="90" t="s">
        <v>58</v>
      </c>
      <c r="E167" s="108" t="s">
        <v>68</v>
      </c>
      <c r="G167" s="90" t="s">
        <v>115</v>
      </c>
      <c r="H167" s="90" t="s">
        <v>111</v>
      </c>
      <c r="I167" s="121">
        <v>1930.8</v>
      </c>
      <c r="J167" s="90" t="s">
        <v>526</v>
      </c>
      <c r="K167" s="93">
        <v>46092</v>
      </c>
      <c r="L167" s="90">
        <v>2026400889</v>
      </c>
      <c r="M167" s="138" t="s">
        <v>197</v>
      </c>
      <c r="N167" s="90">
        <v>2026</v>
      </c>
    </row>
    <row r="168" spans="1:14">
      <c r="A168" s="90">
        <v>167</v>
      </c>
      <c r="B168" s="90" t="s">
        <v>17</v>
      </c>
      <c r="C168" s="90" t="s">
        <v>22</v>
      </c>
      <c r="D168" s="90" t="s">
        <v>58</v>
      </c>
      <c r="E168" s="108" t="s">
        <v>68</v>
      </c>
      <c r="G168" s="90" t="s">
        <v>115</v>
      </c>
      <c r="H168" s="90" t="s">
        <v>111</v>
      </c>
      <c r="I168" s="121">
        <v>181.8</v>
      </c>
      <c r="J168" s="90" t="s">
        <v>527</v>
      </c>
      <c r="K168" s="93">
        <v>46092</v>
      </c>
      <c r="L168" s="90">
        <v>2026400851</v>
      </c>
      <c r="M168" s="138" t="s">
        <v>197</v>
      </c>
      <c r="N168" s="90">
        <v>2026</v>
      </c>
    </row>
    <row r="169" spans="1:14">
      <c r="A169" s="90">
        <v>168</v>
      </c>
      <c r="B169" s="90" t="s">
        <v>17</v>
      </c>
      <c r="C169" s="90" t="s">
        <v>22</v>
      </c>
      <c r="D169" s="90" t="s">
        <v>58</v>
      </c>
      <c r="E169" s="108" t="s">
        <v>68</v>
      </c>
      <c r="G169" s="90" t="s">
        <v>115</v>
      </c>
      <c r="H169" s="90" t="s">
        <v>111</v>
      </c>
      <c r="I169" s="121">
        <v>152.1</v>
      </c>
      <c r="J169" s="90" t="s">
        <v>528</v>
      </c>
      <c r="K169" s="93">
        <v>46092</v>
      </c>
      <c r="L169" s="90">
        <v>2026400931</v>
      </c>
      <c r="M169" s="138" t="s">
        <v>197</v>
      </c>
      <c r="N169" s="90">
        <v>2026</v>
      </c>
    </row>
    <row r="170" spans="1:14">
      <c r="A170" s="90">
        <v>169</v>
      </c>
      <c r="B170" s="90" t="s">
        <v>17</v>
      </c>
      <c r="C170" s="90" t="s">
        <v>22</v>
      </c>
      <c r="D170" s="90" t="s">
        <v>58</v>
      </c>
      <c r="E170" s="108" t="s">
        <v>68</v>
      </c>
      <c r="G170" s="90" t="s">
        <v>115</v>
      </c>
      <c r="H170" s="90" t="s">
        <v>111</v>
      </c>
      <c r="I170" s="121">
        <v>925</v>
      </c>
      <c r="J170" s="90" t="s">
        <v>529</v>
      </c>
      <c r="K170" s="93">
        <v>46092</v>
      </c>
      <c r="L170" s="90">
        <v>2026400928</v>
      </c>
      <c r="M170" s="138" t="s">
        <v>197</v>
      </c>
      <c r="N170" s="90">
        <v>2026</v>
      </c>
    </row>
    <row r="171" spans="1:14">
      <c r="A171" s="90">
        <v>170</v>
      </c>
      <c r="B171" s="90" t="s">
        <v>17</v>
      </c>
      <c r="C171" s="90" t="s">
        <v>22</v>
      </c>
      <c r="D171" s="90" t="s">
        <v>58</v>
      </c>
      <c r="E171" s="108" t="s">
        <v>68</v>
      </c>
      <c r="G171" s="90" t="s">
        <v>115</v>
      </c>
      <c r="H171" s="90" t="s">
        <v>111</v>
      </c>
      <c r="I171" s="121">
        <v>240</v>
      </c>
      <c r="J171" s="90" t="s">
        <v>533</v>
      </c>
      <c r="K171" s="93">
        <v>46092</v>
      </c>
      <c r="L171" s="90">
        <v>2026400926</v>
      </c>
      <c r="M171" s="138" t="s">
        <v>197</v>
      </c>
      <c r="N171" s="90">
        <v>2026</v>
      </c>
    </row>
    <row r="172" spans="1:14">
      <c r="A172" s="90">
        <v>171</v>
      </c>
      <c r="B172" s="90" t="s">
        <v>40</v>
      </c>
      <c r="C172" s="90" t="s">
        <v>48</v>
      </c>
      <c r="D172" s="90" t="s">
        <v>58</v>
      </c>
      <c r="E172" s="108" t="s">
        <v>68</v>
      </c>
      <c r="G172" s="90" t="s">
        <v>115</v>
      </c>
      <c r="H172" s="90" t="s">
        <v>111</v>
      </c>
      <c r="I172" s="121">
        <v>1583.6</v>
      </c>
      <c r="J172" s="90" t="s">
        <v>538</v>
      </c>
      <c r="K172" s="93">
        <v>46092</v>
      </c>
      <c r="L172" s="90">
        <v>2026400840</v>
      </c>
      <c r="M172" s="138" t="s">
        <v>197</v>
      </c>
      <c r="N172" s="90">
        <v>2026</v>
      </c>
    </row>
    <row r="173" spans="1:14">
      <c r="A173" s="90">
        <v>172</v>
      </c>
      <c r="B173" s="90" t="s">
        <v>17</v>
      </c>
      <c r="C173" s="90" t="s">
        <v>287</v>
      </c>
      <c r="D173" s="90" t="s">
        <v>58</v>
      </c>
      <c r="E173" s="108" t="s">
        <v>68</v>
      </c>
      <c r="G173" s="90" t="s">
        <v>115</v>
      </c>
      <c r="H173" s="90" t="s">
        <v>111</v>
      </c>
      <c r="I173" s="121">
        <v>344.9</v>
      </c>
      <c r="J173" s="90" t="s">
        <v>540</v>
      </c>
      <c r="K173" s="93">
        <v>46092</v>
      </c>
      <c r="L173" s="90">
        <v>2026400920</v>
      </c>
      <c r="M173" s="138" t="s">
        <v>197</v>
      </c>
      <c r="N173" s="90">
        <v>2026</v>
      </c>
    </row>
    <row r="174" spans="1:14">
      <c r="A174" s="90">
        <v>173</v>
      </c>
      <c r="B174" s="90" t="s">
        <v>17</v>
      </c>
      <c r="C174" s="90" t="s">
        <v>287</v>
      </c>
      <c r="D174" s="90" t="s">
        <v>58</v>
      </c>
      <c r="E174" s="108" t="s">
        <v>68</v>
      </c>
      <c r="G174" s="90" t="s">
        <v>115</v>
      </c>
      <c r="H174" s="90" t="s">
        <v>111</v>
      </c>
      <c r="I174" s="121">
        <v>175</v>
      </c>
      <c r="J174" s="90" t="s">
        <v>545</v>
      </c>
      <c r="K174" s="93">
        <v>46092</v>
      </c>
      <c r="L174" s="90">
        <v>2026400884</v>
      </c>
      <c r="M174" s="138" t="s">
        <v>197</v>
      </c>
      <c r="N174" s="90">
        <v>2026</v>
      </c>
    </row>
    <row r="175" spans="1:14">
      <c r="A175" s="90">
        <v>174</v>
      </c>
      <c r="B175" s="90" t="s">
        <v>275</v>
      </c>
      <c r="C175" s="90" t="s">
        <v>289</v>
      </c>
      <c r="D175" s="90" t="s">
        <v>58</v>
      </c>
      <c r="E175" s="108" t="s">
        <v>68</v>
      </c>
      <c r="G175" s="90" t="s">
        <v>115</v>
      </c>
      <c r="H175" s="90" t="s">
        <v>111</v>
      </c>
      <c r="I175" s="121">
        <v>1600</v>
      </c>
      <c r="J175" s="90" t="s">
        <v>546</v>
      </c>
      <c r="K175" s="93">
        <v>46092</v>
      </c>
      <c r="L175" s="90">
        <v>2026400950</v>
      </c>
      <c r="M175" s="138" t="s">
        <v>197</v>
      </c>
      <c r="N175" s="90">
        <v>2026</v>
      </c>
    </row>
    <row r="176" spans="1:14">
      <c r="A176" s="90">
        <v>175</v>
      </c>
      <c r="B176" s="90" t="s">
        <v>50</v>
      </c>
      <c r="C176" s="90" t="s">
        <v>60</v>
      </c>
      <c r="D176" s="90" t="s">
        <v>58</v>
      </c>
      <c r="E176" s="108" t="s">
        <v>68</v>
      </c>
      <c r="G176" s="90" t="s">
        <v>115</v>
      </c>
      <c r="H176" s="90" t="s">
        <v>111</v>
      </c>
      <c r="I176" s="121">
        <v>1479.1</v>
      </c>
      <c r="J176" s="90" t="s">
        <v>547</v>
      </c>
      <c r="K176" s="93">
        <v>46092</v>
      </c>
      <c r="L176" s="90">
        <v>2026400905</v>
      </c>
      <c r="M176" s="138" t="s">
        <v>197</v>
      </c>
      <c r="N176" s="90">
        <v>2026</v>
      </c>
    </row>
    <row r="177" spans="1:14">
      <c r="A177" s="90">
        <v>176</v>
      </c>
      <c r="B177" s="90" t="s">
        <v>33</v>
      </c>
      <c r="C177" s="90" t="s">
        <v>35</v>
      </c>
      <c r="D177" s="90" t="s">
        <v>58</v>
      </c>
      <c r="E177" s="108" t="s">
        <v>68</v>
      </c>
      <c r="G177" s="90" t="s">
        <v>115</v>
      </c>
      <c r="H177" s="90" t="s">
        <v>111</v>
      </c>
      <c r="I177" s="121">
        <v>154</v>
      </c>
      <c r="J177" s="90" t="s">
        <v>548</v>
      </c>
      <c r="K177" s="93">
        <v>46092</v>
      </c>
      <c r="L177" s="90">
        <v>2026400934</v>
      </c>
      <c r="M177" s="138" t="s">
        <v>197</v>
      </c>
      <c r="N177" s="90">
        <v>2026</v>
      </c>
    </row>
    <row r="178" spans="1:14">
      <c r="A178" s="90">
        <v>177</v>
      </c>
      <c r="B178" s="90" t="s">
        <v>40</v>
      </c>
      <c r="C178" s="90" t="s">
        <v>48</v>
      </c>
      <c r="D178" s="90" t="s">
        <v>58</v>
      </c>
      <c r="E178" s="108" t="s">
        <v>68</v>
      </c>
      <c r="G178" s="90" t="s">
        <v>115</v>
      </c>
      <c r="H178" s="90" t="s">
        <v>111</v>
      </c>
      <c r="I178" s="121">
        <v>500</v>
      </c>
      <c r="J178" s="90" t="s">
        <v>549</v>
      </c>
      <c r="K178" s="93">
        <v>46092</v>
      </c>
      <c r="L178" s="90">
        <v>2026400903</v>
      </c>
      <c r="M178" s="138" t="s">
        <v>197</v>
      </c>
      <c r="N178" s="90">
        <v>2026</v>
      </c>
    </row>
    <row r="179" spans="1:14">
      <c r="A179" s="90">
        <v>178</v>
      </c>
      <c r="B179" s="90" t="s">
        <v>40</v>
      </c>
      <c r="C179" s="90" t="s">
        <v>48</v>
      </c>
      <c r="D179" s="90" t="s">
        <v>58</v>
      </c>
      <c r="E179" s="108" t="s">
        <v>68</v>
      </c>
      <c r="G179" s="90" t="s">
        <v>115</v>
      </c>
      <c r="H179" s="90" t="s">
        <v>111</v>
      </c>
      <c r="I179" s="121">
        <v>99</v>
      </c>
      <c r="J179" s="90" t="s">
        <v>550</v>
      </c>
      <c r="K179" s="93">
        <v>46092</v>
      </c>
      <c r="L179" s="90">
        <v>2026400911</v>
      </c>
      <c r="M179" s="138" t="s">
        <v>197</v>
      </c>
      <c r="N179" s="90">
        <v>2026</v>
      </c>
    </row>
    <row r="180" spans="1:14">
      <c r="A180" s="90">
        <v>179</v>
      </c>
      <c r="B180" s="90" t="s">
        <v>40</v>
      </c>
      <c r="C180" s="90" t="s">
        <v>48</v>
      </c>
      <c r="D180" s="90" t="s">
        <v>58</v>
      </c>
      <c r="E180" s="108" t="s">
        <v>68</v>
      </c>
      <c r="G180" s="90" t="s">
        <v>115</v>
      </c>
      <c r="H180" s="90" t="s">
        <v>111</v>
      </c>
      <c r="I180" s="121">
        <v>805.1</v>
      </c>
      <c r="J180" s="90" t="s">
        <v>551</v>
      </c>
      <c r="K180" s="93">
        <v>46092</v>
      </c>
      <c r="L180" s="90">
        <v>2026400854</v>
      </c>
      <c r="M180" s="138" t="s">
        <v>197</v>
      </c>
      <c r="N180" s="90">
        <v>2026</v>
      </c>
    </row>
    <row r="181" spans="1:14">
      <c r="A181" s="90">
        <v>180</v>
      </c>
      <c r="B181" s="90" t="s">
        <v>40</v>
      </c>
      <c r="C181" s="90" t="s">
        <v>48</v>
      </c>
      <c r="D181" s="90" t="s">
        <v>58</v>
      </c>
      <c r="E181" s="108" t="s">
        <v>68</v>
      </c>
      <c r="G181" s="90" t="s">
        <v>115</v>
      </c>
      <c r="H181" s="90" t="s">
        <v>111</v>
      </c>
      <c r="I181" s="121">
        <v>320</v>
      </c>
      <c r="J181" s="90" t="s">
        <v>552</v>
      </c>
      <c r="K181" s="93">
        <v>46092</v>
      </c>
      <c r="L181" s="90">
        <v>2026400841</v>
      </c>
      <c r="M181" s="138" t="s">
        <v>197</v>
      </c>
      <c r="N181" s="90">
        <v>2026</v>
      </c>
    </row>
    <row r="182" spans="1:14">
      <c r="A182" s="90">
        <v>181</v>
      </c>
      <c r="B182" s="90" t="s">
        <v>40</v>
      </c>
      <c r="C182" s="90" t="s">
        <v>48</v>
      </c>
      <c r="D182" s="90" t="s">
        <v>58</v>
      </c>
      <c r="E182" s="108" t="s">
        <v>68</v>
      </c>
      <c r="G182" s="90" t="s">
        <v>115</v>
      </c>
      <c r="H182" s="90" t="s">
        <v>111</v>
      </c>
      <c r="I182" s="121">
        <v>135</v>
      </c>
      <c r="J182" s="90" t="s">
        <v>553</v>
      </c>
      <c r="K182" s="93">
        <v>46092</v>
      </c>
      <c r="L182" s="90">
        <v>2026400838</v>
      </c>
      <c r="M182" s="138" t="s">
        <v>197</v>
      </c>
      <c r="N182" s="90">
        <v>2026</v>
      </c>
    </row>
    <row r="183" spans="1:14">
      <c r="A183" s="90">
        <v>182</v>
      </c>
      <c r="B183" s="90" t="s">
        <v>40</v>
      </c>
      <c r="C183" s="90" t="s">
        <v>48</v>
      </c>
      <c r="D183" s="90" t="s">
        <v>58</v>
      </c>
      <c r="E183" s="108" t="s">
        <v>68</v>
      </c>
      <c r="G183" s="90" t="s">
        <v>115</v>
      </c>
      <c r="H183" s="90" t="s">
        <v>111</v>
      </c>
      <c r="I183" s="121">
        <v>2355</v>
      </c>
      <c r="J183" s="90" t="s">
        <v>554</v>
      </c>
      <c r="K183" s="93">
        <v>46092</v>
      </c>
      <c r="L183" s="90">
        <v>2026400856</v>
      </c>
      <c r="M183" s="138" t="s">
        <v>197</v>
      </c>
      <c r="N183" s="90">
        <v>2026</v>
      </c>
    </row>
    <row r="184" spans="1:14">
      <c r="A184" s="90">
        <v>183</v>
      </c>
      <c r="B184" s="90" t="s">
        <v>40</v>
      </c>
      <c r="C184" s="90" t="s">
        <v>48</v>
      </c>
      <c r="D184" s="90" t="s">
        <v>58</v>
      </c>
      <c r="E184" s="108" t="s">
        <v>68</v>
      </c>
      <c r="G184" s="90" t="s">
        <v>115</v>
      </c>
      <c r="H184" s="90" t="s">
        <v>111</v>
      </c>
      <c r="I184" s="121">
        <v>840</v>
      </c>
      <c r="J184" s="90" t="s">
        <v>555</v>
      </c>
      <c r="K184" s="93">
        <v>46092</v>
      </c>
      <c r="L184" s="90">
        <v>2026400843</v>
      </c>
      <c r="M184" s="138" t="s">
        <v>197</v>
      </c>
      <c r="N184" s="90">
        <v>2026</v>
      </c>
    </row>
    <row r="185" spans="1:14">
      <c r="A185" s="90">
        <v>184</v>
      </c>
      <c r="B185" s="90" t="s">
        <v>17</v>
      </c>
      <c r="C185" s="90" t="s">
        <v>287</v>
      </c>
      <c r="D185" s="90" t="s">
        <v>58</v>
      </c>
      <c r="E185" s="108" t="s">
        <v>68</v>
      </c>
      <c r="G185" s="90" t="s">
        <v>115</v>
      </c>
      <c r="H185" s="90" t="s">
        <v>111</v>
      </c>
      <c r="I185" s="121">
        <v>72</v>
      </c>
      <c r="J185" s="90" t="s">
        <v>556</v>
      </c>
      <c r="K185" s="93">
        <v>46092</v>
      </c>
      <c r="L185" s="90">
        <v>2026400927</v>
      </c>
      <c r="M185" s="138" t="s">
        <v>197</v>
      </c>
      <c r="N185" s="90">
        <v>2026</v>
      </c>
    </row>
    <row r="186" spans="1:14">
      <c r="A186" s="90">
        <v>185</v>
      </c>
      <c r="B186" s="108" t="s">
        <v>17</v>
      </c>
      <c r="C186" s="108" t="s">
        <v>287</v>
      </c>
      <c r="D186" s="90" t="s">
        <v>58</v>
      </c>
      <c r="E186" s="90" t="s">
        <v>68</v>
      </c>
      <c r="G186" s="90" t="s">
        <v>115</v>
      </c>
      <c r="H186" s="90" t="s">
        <v>111</v>
      </c>
      <c r="I186" s="121">
        <v>70</v>
      </c>
      <c r="J186" s="90" t="s">
        <v>557</v>
      </c>
      <c r="K186" s="93">
        <v>46092</v>
      </c>
      <c r="L186" s="90">
        <v>2026400939</v>
      </c>
      <c r="M186" s="138" t="s">
        <v>197</v>
      </c>
      <c r="N186" s="90">
        <v>2026</v>
      </c>
    </row>
    <row r="187" spans="1:14">
      <c r="A187" s="90">
        <v>186</v>
      </c>
      <c r="B187" s="90" t="s">
        <v>50</v>
      </c>
      <c r="C187" s="90" t="s">
        <v>60</v>
      </c>
      <c r="D187" s="90" t="s">
        <v>58</v>
      </c>
      <c r="E187" s="108" t="s">
        <v>68</v>
      </c>
      <c r="G187" s="90" t="s">
        <v>115</v>
      </c>
      <c r="H187" s="90" t="s">
        <v>111</v>
      </c>
      <c r="I187" s="121">
        <v>128</v>
      </c>
      <c r="J187" s="90" t="s">
        <v>558</v>
      </c>
      <c r="K187" s="93">
        <v>46092</v>
      </c>
      <c r="L187" s="90">
        <v>2026400887</v>
      </c>
      <c r="M187" s="138" t="s">
        <v>197</v>
      </c>
      <c r="N187" s="90">
        <v>2026</v>
      </c>
    </row>
    <row r="188" spans="1:14">
      <c r="A188" s="90">
        <v>187</v>
      </c>
      <c r="B188" s="90" t="s">
        <v>50</v>
      </c>
      <c r="C188" s="90" t="s">
        <v>60</v>
      </c>
      <c r="D188" s="90" t="s">
        <v>58</v>
      </c>
      <c r="E188" s="108" t="s">
        <v>68</v>
      </c>
      <c r="G188" s="90" t="s">
        <v>115</v>
      </c>
      <c r="H188" s="90" t="s">
        <v>111</v>
      </c>
      <c r="I188" s="121">
        <v>646</v>
      </c>
      <c r="J188" s="90" t="s">
        <v>559</v>
      </c>
      <c r="K188" s="93">
        <v>46092</v>
      </c>
      <c r="L188" s="90">
        <v>2026400949</v>
      </c>
      <c r="M188" s="138" t="s">
        <v>197</v>
      </c>
      <c r="N188" s="90">
        <v>2026</v>
      </c>
    </row>
    <row r="189" spans="1:14">
      <c r="A189" s="90">
        <v>188</v>
      </c>
      <c r="B189" s="90" t="s">
        <v>52</v>
      </c>
      <c r="C189" s="90" t="s">
        <v>90</v>
      </c>
      <c r="D189" s="90" t="s">
        <v>58</v>
      </c>
      <c r="E189" s="90" t="s">
        <v>68</v>
      </c>
      <c r="G189" s="90" t="s">
        <v>115</v>
      </c>
      <c r="H189" s="90" t="s">
        <v>111</v>
      </c>
      <c r="I189" s="121">
        <v>1190</v>
      </c>
      <c r="J189" s="90" t="s">
        <v>560</v>
      </c>
      <c r="K189" s="93">
        <v>46092</v>
      </c>
      <c r="L189" s="90">
        <v>2026400902</v>
      </c>
      <c r="M189" s="138" t="s">
        <v>197</v>
      </c>
      <c r="N189" s="90">
        <v>2026</v>
      </c>
    </row>
    <row r="190" spans="1:14">
      <c r="A190" s="90">
        <v>189</v>
      </c>
      <c r="B190" s="90" t="s">
        <v>17</v>
      </c>
      <c r="C190" s="90" t="s">
        <v>287</v>
      </c>
      <c r="D190" s="90" t="s">
        <v>58</v>
      </c>
      <c r="E190" s="90" t="s">
        <v>68</v>
      </c>
      <c r="G190" s="90" t="s">
        <v>115</v>
      </c>
      <c r="H190" s="90" t="s">
        <v>111</v>
      </c>
      <c r="I190" s="121">
        <v>78</v>
      </c>
      <c r="J190" s="90" t="s">
        <v>561</v>
      </c>
      <c r="K190" s="93">
        <v>46092</v>
      </c>
      <c r="L190" s="90">
        <v>2026400942</v>
      </c>
      <c r="M190" s="138" t="s">
        <v>197</v>
      </c>
      <c r="N190" s="90">
        <v>2026</v>
      </c>
    </row>
    <row r="191" spans="1:14">
      <c r="A191" s="90">
        <v>190</v>
      </c>
      <c r="B191" s="90" t="s">
        <v>17</v>
      </c>
      <c r="C191" s="90" t="s">
        <v>287</v>
      </c>
      <c r="D191" s="90" t="s">
        <v>58</v>
      </c>
      <c r="E191" s="108" t="s">
        <v>68</v>
      </c>
      <c r="G191" s="90" t="s">
        <v>115</v>
      </c>
      <c r="H191" s="90" t="s">
        <v>111</v>
      </c>
      <c r="I191" s="121">
        <v>575</v>
      </c>
      <c r="J191" s="90" t="s">
        <v>562</v>
      </c>
      <c r="K191" s="93">
        <v>46092</v>
      </c>
      <c r="L191" s="90">
        <v>2026400929</v>
      </c>
      <c r="M191" s="138" t="s">
        <v>197</v>
      </c>
      <c r="N191" s="90">
        <v>2026</v>
      </c>
    </row>
    <row r="192" spans="1:14">
      <c r="A192" s="90">
        <v>191</v>
      </c>
      <c r="B192" s="108" t="s">
        <v>52</v>
      </c>
      <c r="C192" s="108" t="s">
        <v>53</v>
      </c>
      <c r="D192" s="90" t="s">
        <v>58</v>
      </c>
      <c r="E192" s="108" t="s">
        <v>68</v>
      </c>
      <c r="G192" s="108" t="s">
        <v>115</v>
      </c>
      <c r="H192" s="90" t="s">
        <v>111</v>
      </c>
      <c r="I192" s="121">
        <v>90</v>
      </c>
      <c r="J192" s="90" t="s">
        <v>563</v>
      </c>
      <c r="K192" s="93">
        <v>46092</v>
      </c>
      <c r="L192" s="90">
        <v>2026400869</v>
      </c>
      <c r="M192" s="138" t="s">
        <v>197</v>
      </c>
      <c r="N192" s="90">
        <v>2026</v>
      </c>
    </row>
    <row r="193" spans="1:14">
      <c r="A193" s="90">
        <v>192</v>
      </c>
      <c r="B193" s="90" t="s">
        <v>50</v>
      </c>
      <c r="C193" s="90" t="s">
        <v>60</v>
      </c>
      <c r="D193" s="90" t="s">
        <v>58</v>
      </c>
      <c r="E193" s="108" t="s">
        <v>68</v>
      </c>
      <c r="G193" s="110" t="s">
        <v>115</v>
      </c>
      <c r="H193" s="90" t="s">
        <v>111</v>
      </c>
      <c r="I193" s="121">
        <v>399</v>
      </c>
      <c r="J193" s="110" t="s">
        <v>564</v>
      </c>
      <c r="K193" s="93">
        <v>46091</v>
      </c>
      <c r="L193" s="110">
        <v>2026400861</v>
      </c>
      <c r="M193" s="138" t="s">
        <v>197</v>
      </c>
      <c r="N193" s="90">
        <v>2026</v>
      </c>
    </row>
    <row r="194" spans="1:14">
      <c r="A194" s="90">
        <v>193</v>
      </c>
      <c r="B194" s="90" t="s">
        <v>40</v>
      </c>
      <c r="C194" s="90" t="s">
        <v>48</v>
      </c>
      <c r="D194" s="90" t="s">
        <v>58</v>
      </c>
      <c r="E194" s="90" t="s">
        <v>68</v>
      </c>
      <c r="G194" s="90" t="s">
        <v>115</v>
      </c>
      <c r="H194" s="90" t="s">
        <v>111</v>
      </c>
      <c r="I194" s="121">
        <v>700</v>
      </c>
      <c r="J194" s="90" t="s">
        <v>565</v>
      </c>
      <c r="K194" s="93">
        <v>46091</v>
      </c>
      <c r="L194" s="90">
        <v>2026400860</v>
      </c>
      <c r="M194" s="138" t="s">
        <v>197</v>
      </c>
      <c r="N194" s="90">
        <v>2026</v>
      </c>
    </row>
    <row r="195" spans="1:14">
      <c r="A195" s="90">
        <v>194</v>
      </c>
      <c r="B195" s="90" t="s">
        <v>52</v>
      </c>
      <c r="C195" s="90" t="s">
        <v>53</v>
      </c>
      <c r="D195" s="90" t="s">
        <v>58</v>
      </c>
      <c r="E195" s="108" t="s">
        <v>68</v>
      </c>
      <c r="G195" s="90" t="s">
        <v>115</v>
      </c>
      <c r="H195" s="90" t="s">
        <v>111</v>
      </c>
      <c r="I195" s="121">
        <v>350</v>
      </c>
      <c r="J195" s="90" t="s">
        <v>566</v>
      </c>
      <c r="K195" s="93">
        <v>46092</v>
      </c>
      <c r="L195" s="90">
        <v>2026400837</v>
      </c>
      <c r="M195" s="138" t="s">
        <v>197</v>
      </c>
      <c r="N195" s="90">
        <v>2026</v>
      </c>
    </row>
    <row r="196" spans="1:14">
      <c r="A196" s="90">
        <v>195</v>
      </c>
      <c r="B196" s="90" t="s">
        <v>31</v>
      </c>
      <c r="C196" s="90" t="s">
        <v>32</v>
      </c>
      <c r="D196" s="90" t="s">
        <v>58</v>
      </c>
      <c r="E196" s="108" t="s">
        <v>68</v>
      </c>
      <c r="G196" s="90" t="s">
        <v>115</v>
      </c>
      <c r="H196" s="90" t="s">
        <v>111</v>
      </c>
      <c r="I196" s="121">
        <v>338.6</v>
      </c>
      <c r="J196" s="90" t="s">
        <v>567</v>
      </c>
      <c r="K196" s="93">
        <v>46091</v>
      </c>
      <c r="L196" s="90">
        <v>2026400858</v>
      </c>
      <c r="M196" s="138" t="s">
        <v>197</v>
      </c>
      <c r="N196" s="90">
        <v>2026</v>
      </c>
    </row>
    <row r="197" spans="1:14">
      <c r="A197" s="90">
        <v>196</v>
      </c>
      <c r="B197" s="90" t="s">
        <v>40</v>
      </c>
      <c r="C197" s="90" t="s">
        <v>41</v>
      </c>
      <c r="D197" s="90" t="s">
        <v>58</v>
      </c>
      <c r="E197" s="108" t="s">
        <v>68</v>
      </c>
      <c r="G197" s="90" t="s">
        <v>115</v>
      </c>
      <c r="H197" s="90" t="s">
        <v>111</v>
      </c>
      <c r="I197" s="121">
        <v>2737.4</v>
      </c>
      <c r="J197" s="90" t="s">
        <v>568</v>
      </c>
      <c r="K197" s="93">
        <v>46091</v>
      </c>
      <c r="L197" s="90">
        <v>2026400862</v>
      </c>
      <c r="M197" s="138" t="s">
        <v>197</v>
      </c>
      <c r="N197" s="90">
        <v>2026</v>
      </c>
    </row>
    <row r="198" spans="1:14">
      <c r="A198" s="90">
        <v>197</v>
      </c>
      <c r="B198" s="90" t="s">
        <v>40</v>
      </c>
      <c r="C198" s="90" t="s">
        <v>45</v>
      </c>
      <c r="D198" s="90" t="s">
        <v>58</v>
      </c>
      <c r="E198" s="108" t="s">
        <v>68</v>
      </c>
      <c r="G198" s="90" t="s">
        <v>115</v>
      </c>
      <c r="H198" s="90" t="s">
        <v>111</v>
      </c>
      <c r="I198" s="121">
        <v>150</v>
      </c>
      <c r="J198" s="90" t="s">
        <v>569</v>
      </c>
      <c r="K198" s="93">
        <v>46091</v>
      </c>
      <c r="L198" s="90">
        <v>2026400859</v>
      </c>
      <c r="M198" s="138" t="s">
        <v>197</v>
      </c>
      <c r="N198" s="90">
        <v>2026</v>
      </c>
    </row>
    <row r="199" spans="1:14">
      <c r="A199" s="90">
        <v>198</v>
      </c>
      <c r="B199" s="90" t="s">
        <v>17</v>
      </c>
      <c r="C199" s="90" t="s">
        <v>287</v>
      </c>
      <c r="D199" s="90" t="s">
        <v>58</v>
      </c>
      <c r="E199" s="108" t="s">
        <v>68</v>
      </c>
      <c r="G199" s="90" t="s">
        <v>115</v>
      </c>
      <c r="H199" s="90" t="s">
        <v>111</v>
      </c>
      <c r="I199" s="121">
        <v>1175</v>
      </c>
      <c r="J199" s="90" t="s">
        <v>570</v>
      </c>
      <c r="K199" s="109">
        <v>46091</v>
      </c>
      <c r="L199" s="90">
        <v>2026400871</v>
      </c>
      <c r="M199" s="138" t="s">
        <v>197</v>
      </c>
      <c r="N199" s="90">
        <v>2026</v>
      </c>
    </row>
    <row r="200" spans="1:14">
      <c r="A200" s="90">
        <v>199</v>
      </c>
      <c r="B200" s="108" t="s">
        <v>40</v>
      </c>
      <c r="C200" s="108" t="s">
        <v>48</v>
      </c>
      <c r="D200" s="90" t="s">
        <v>58</v>
      </c>
      <c r="E200" s="108" t="s">
        <v>68</v>
      </c>
      <c r="G200" s="108" t="s">
        <v>115</v>
      </c>
      <c r="H200" s="90" t="s">
        <v>111</v>
      </c>
      <c r="I200" s="121">
        <v>400</v>
      </c>
      <c r="J200" s="90" t="s">
        <v>571</v>
      </c>
      <c r="K200" s="93">
        <v>46091</v>
      </c>
      <c r="L200" s="90">
        <v>2026400825</v>
      </c>
      <c r="M200" s="138" t="s">
        <v>197</v>
      </c>
      <c r="N200" s="90">
        <v>2026</v>
      </c>
    </row>
    <row r="201" spans="1:14">
      <c r="A201" s="90">
        <v>200</v>
      </c>
      <c r="B201" s="90" t="s">
        <v>40</v>
      </c>
      <c r="C201" s="90" t="s">
        <v>48</v>
      </c>
      <c r="D201" s="90" t="s">
        <v>58</v>
      </c>
      <c r="E201" s="90" t="s">
        <v>68</v>
      </c>
      <c r="G201" s="90" t="s">
        <v>115</v>
      </c>
      <c r="H201" s="90" t="s">
        <v>111</v>
      </c>
      <c r="I201" s="121">
        <v>3088.6</v>
      </c>
      <c r="J201" s="90" t="s">
        <v>572</v>
      </c>
      <c r="K201" s="93">
        <v>46091</v>
      </c>
      <c r="L201" s="90">
        <v>2026400795</v>
      </c>
      <c r="M201" s="138" t="s">
        <v>197</v>
      </c>
      <c r="N201" s="90">
        <v>2026</v>
      </c>
    </row>
    <row r="202" spans="1:14">
      <c r="A202" s="90">
        <v>201</v>
      </c>
      <c r="B202" s="90" t="s">
        <v>17</v>
      </c>
      <c r="C202" s="90" t="s">
        <v>22</v>
      </c>
      <c r="D202" s="90" t="s">
        <v>58</v>
      </c>
      <c r="E202" s="108" t="s">
        <v>68</v>
      </c>
      <c r="G202" s="90" t="s">
        <v>115</v>
      </c>
      <c r="H202" s="90" t="s">
        <v>111</v>
      </c>
      <c r="I202" s="121">
        <v>544</v>
      </c>
      <c r="J202" s="90" t="s">
        <v>573</v>
      </c>
      <c r="K202" s="93">
        <v>46091</v>
      </c>
      <c r="L202" s="90">
        <v>2026400818</v>
      </c>
      <c r="M202" s="138" t="s">
        <v>197</v>
      </c>
      <c r="N202" s="90">
        <v>2026</v>
      </c>
    </row>
    <row r="203" spans="1:14">
      <c r="A203" s="90">
        <v>202</v>
      </c>
      <c r="B203" s="90" t="s">
        <v>40</v>
      </c>
      <c r="C203" s="90" t="s">
        <v>41</v>
      </c>
      <c r="D203" s="90" t="s">
        <v>58</v>
      </c>
      <c r="E203" s="108" t="s">
        <v>68</v>
      </c>
      <c r="G203" s="90" t="s">
        <v>115</v>
      </c>
      <c r="H203" s="90" t="s">
        <v>111</v>
      </c>
      <c r="I203" s="121">
        <v>1175.5</v>
      </c>
      <c r="J203" s="90" t="s">
        <v>574</v>
      </c>
      <c r="K203" s="93">
        <v>46091</v>
      </c>
      <c r="L203" s="90">
        <v>2026400826</v>
      </c>
      <c r="M203" s="138" t="s">
        <v>197</v>
      </c>
      <c r="N203" s="90">
        <v>2026</v>
      </c>
    </row>
    <row r="204" spans="1:14">
      <c r="A204" s="90">
        <v>203</v>
      </c>
      <c r="B204" s="108" t="s">
        <v>17</v>
      </c>
      <c r="C204" s="108" t="s">
        <v>287</v>
      </c>
      <c r="D204" s="90" t="s">
        <v>58</v>
      </c>
      <c r="E204" s="108" t="s">
        <v>68</v>
      </c>
      <c r="G204" s="108" t="s">
        <v>115</v>
      </c>
      <c r="H204" s="90" t="s">
        <v>111</v>
      </c>
      <c r="I204" s="121">
        <v>1035</v>
      </c>
      <c r="J204" s="90" t="s">
        <v>575</v>
      </c>
      <c r="K204" s="93">
        <v>46091</v>
      </c>
      <c r="L204" s="90">
        <v>2026400817</v>
      </c>
      <c r="M204" s="138" t="s">
        <v>197</v>
      </c>
      <c r="N204" s="90">
        <v>2026</v>
      </c>
    </row>
    <row r="205" spans="1:14">
      <c r="A205" s="90">
        <v>204</v>
      </c>
      <c r="B205" s="90" t="s">
        <v>33</v>
      </c>
      <c r="C205" s="90" t="s">
        <v>34</v>
      </c>
      <c r="D205" s="90" t="s">
        <v>58</v>
      </c>
      <c r="E205" s="108" t="s">
        <v>68</v>
      </c>
      <c r="G205" s="90" t="s">
        <v>115</v>
      </c>
      <c r="H205" s="90" t="s">
        <v>111</v>
      </c>
      <c r="I205" s="121">
        <v>1620</v>
      </c>
      <c r="J205" s="90" t="s">
        <v>576</v>
      </c>
      <c r="K205" s="93">
        <v>46091</v>
      </c>
      <c r="L205" s="90">
        <v>2026400816</v>
      </c>
      <c r="M205" s="138" t="s">
        <v>197</v>
      </c>
      <c r="N205" s="90">
        <v>2026</v>
      </c>
    </row>
    <row r="206" spans="1:14">
      <c r="A206" s="90">
        <v>205</v>
      </c>
      <c r="B206" s="90" t="s">
        <v>33</v>
      </c>
      <c r="C206" s="90" t="s">
        <v>35</v>
      </c>
      <c r="D206" s="90" t="s">
        <v>58</v>
      </c>
      <c r="E206" s="108" t="s">
        <v>68</v>
      </c>
      <c r="G206" s="90" t="s">
        <v>115</v>
      </c>
      <c r="H206" s="90" t="s">
        <v>111</v>
      </c>
      <c r="I206" s="121">
        <v>62</v>
      </c>
      <c r="J206" s="90" t="s">
        <v>577</v>
      </c>
      <c r="K206" s="93">
        <v>46091</v>
      </c>
      <c r="L206" s="90">
        <v>2026400739</v>
      </c>
      <c r="M206" s="138" t="s">
        <v>197</v>
      </c>
      <c r="N206" s="90">
        <v>2026</v>
      </c>
    </row>
    <row r="207" spans="1:14">
      <c r="A207" s="90">
        <v>206</v>
      </c>
      <c r="B207" s="90" t="s">
        <v>17</v>
      </c>
      <c r="C207" s="90" t="s">
        <v>22</v>
      </c>
      <c r="D207" s="90" t="s">
        <v>58</v>
      </c>
      <c r="E207" s="90" t="s">
        <v>68</v>
      </c>
      <c r="G207" s="90" t="s">
        <v>115</v>
      </c>
      <c r="H207" s="90" t="s">
        <v>111</v>
      </c>
      <c r="I207" s="121">
        <v>70</v>
      </c>
      <c r="J207" s="90" t="s">
        <v>589</v>
      </c>
      <c r="K207" s="93">
        <v>46092</v>
      </c>
      <c r="L207" s="90">
        <v>2026400703</v>
      </c>
      <c r="M207" s="138" t="s">
        <v>197</v>
      </c>
      <c r="N207" s="90">
        <v>2026</v>
      </c>
    </row>
    <row r="208" spans="1:14">
      <c r="A208" s="90">
        <v>207</v>
      </c>
      <c r="B208" s="90" t="s">
        <v>40</v>
      </c>
      <c r="C208" s="90" t="s">
        <v>45</v>
      </c>
      <c r="D208" s="90" t="s">
        <v>58</v>
      </c>
      <c r="E208" s="108" t="s">
        <v>68</v>
      </c>
      <c r="G208" s="90" t="s">
        <v>115</v>
      </c>
      <c r="H208" s="90" t="s">
        <v>111</v>
      </c>
      <c r="I208" s="121">
        <v>1253.5999999999999</v>
      </c>
      <c r="J208" s="90" t="s">
        <v>590</v>
      </c>
      <c r="K208" s="93">
        <v>46092</v>
      </c>
      <c r="L208" s="90">
        <v>2026400906</v>
      </c>
      <c r="M208" s="138" t="s">
        <v>197</v>
      </c>
      <c r="N208" s="90">
        <v>2026</v>
      </c>
    </row>
    <row r="209" spans="1:14">
      <c r="A209" s="90">
        <v>208</v>
      </c>
      <c r="B209" s="90" t="s">
        <v>50</v>
      </c>
      <c r="C209" s="90" t="s">
        <v>60</v>
      </c>
      <c r="D209" s="90" t="s">
        <v>58</v>
      </c>
      <c r="E209" s="108" t="s">
        <v>68</v>
      </c>
      <c r="G209" s="90" t="s">
        <v>115</v>
      </c>
      <c r="H209" s="90" t="s">
        <v>111</v>
      </c>
      <c r="I209" s="121">
        <v>1123</v>
      </c>
      <c r="J209" s="90" t="s">
        <v>591</v>
      </c>
      <c r="K209" s="93">
        <v>46092</v>
      </c>
      <c r="L209" s="90">
        <v>2026400853</v>
      </c>
      <c r="M209" s="138" t="s">
        <v>197</v>
      </c>
      <c r="N209" s="90">
        <v>2026</v>
      </c>
    </row>
    <row r="210" spans="1:14">
      <c r="A210" s="90">
        <v>209</v>
      </c>
      <c r="B210" s="90" t="s">
        <v>50</v>
      </c>
      <c r="C210" s="90" t="s">
        <v>60</v>
      </c>
      <c r="D210" s="90" t="s">
        <v>58</v>
      </c>
      <c r="E210" s="90" t="s">
        <v>68</v>
      </c>
      <c r="G210" s="90" t="s">
        <v>115</v>
      </c>
      <c r="H210" s="90" t="s">
        <v>111</v>
      </c>
      <c r="I210" s="121">
        <v>2194</v>
      </c>
      <c r="J210" s="90" t="s">
        <v>593</v>
      </c>
      <c r="K210" s="93">
        <v>46092</v>
      </c>
      <c r="L210" s="90">
        <v>2026400842</v>
      </c>
      <c r="M210" s="138" t="s">
        <v>197</v>
      </c>
      <c r="N210" s="90">
        <v>2026</v>
      </c>
    </row>
    <row r="211" spans="1:14">
      <c r="A211" s="90">
        <v>210</v>
      </c>
      <c r="B211" s="90" t="s">
        <v>50</v>
      </c>
      <c r="C211" s="90" t="s">
        <v>60</v>
      </c>
      <c r="D211" s="90" t="s">
        <v>58</v>
      </c>
      <c r="E211" s="108" t="s">
        <v>68</v>
      </c>
      <c r="G211" s="90" t="s">
        <v>115</v>
      </c>
      <c r="H211" s="90" t="s">
        <v>111</v>
      </c>
      <c r="I211" s="121">
        <v>280</v>
      </c>
      <c r="J211" s="90" t="s">
        <v>594</v>
      </c>
      <c r="K211" s="93">
        <v>46092</v>
      </c>
      <c r="L211" s="90">
        <v>2026400874</v>
      </c>
      <c r="M211" s="138" t="s">
        <v>197</v>
      </c>
      <c r="N211" s="90">
        <v>2026</v>
      </c>
    </row>
    <row r="212" spans="1:14">
      <c r="A212" s="90">
        <v>211</v>
      </c>
      <c r="B212" s="90" t="s">
        <v>50</v>
      </c>
      <c r="C212" s="90" t="s">
        <v>60</v>
      </c>
      <c r="D212" s="90" t="s">
        <v>58</v>
      </c>
      <c r="E212" s="108" t="s">
        <v>68</v>
      </c>
      <c r="G212" s="90" t="s">
        <v>115</v>
      </c>
      <c r="H212" s="90" t="s">
        <v>111</v>
      </c>
      <c r="I212" s="121">
        <v>710</v>
      </c>
      <c r="J212" s="90" t="s">
        <v>595</v>
      </c>
      <c r="K212" s="93">
        <v>46092</v>
      </c>
      <c r="L212" s="90">
        <v>2026400855</v>
      </c>
      <c r="M212" s="138" t="s">
        <v>197</v>
      </c>
      <c r="N212" s="90">
        <v>2026</v>
      </c>
    </row>
    <row r="213" spans="1:14">
      <c r="A213" s="90">
        <v>212</v>
      </c>
      <c r="B213" s="90" t="s">
        <v>40</v>
      </c>
      <c r="C213" s="90" t="s">
        <v>48</v>
      </c>
      <c r="D213" s="90" t="s">
        <v>58</v>
      </c>
      <c r="E213" s="108" t="s">
        <v>68</v>
      </c>
      <c r="G213" s="90" t="s">
        <v>115</v>
      </c>
      <c r="H213" s="90" t="s">
        <v>111</v>
      </c>
      <c r="I213" s="121">
        <v>134</v>
      </c>
      <c r="J213" s="90" t="s">
        <v>599</v>
      </c>
      <c r="K213" s="93">
        <v>46092</v>
      </c>
      <c r="L213" s="90">
        <v>2026400948</v>
      </c>
      <c r="M213" s="138" t="s">
        <v>197</v>
      </c>
      <c r="N213" s="90">
        <v>2026</v>
      </c>
    </row>
    <row r="214" spans="1:14">
      <c r="A214" s="90">
        <v>213</v>
      </c>
      <c r="B214" s="90" t="s">
        <v>17</v>
      </c>
      <c r="C214" s="90" t="s">
        <v>287</v>
      </c>
      <c r="D214" s="90" t="s">
        <v>58</v>
      </c>
      <c r="E214" s="108" t="s">
        <v>68</v>
      </c>
      <c r="G214" s="90" t="s">
        <v>115</v>
      </c>
      <c r="H214" s="90" t="s">
        <v>111</v>
      </c>
      <c r="I214" s="121">
        <v>375</v>
      </c>
      <c r="J214" s="90" t="s">
        <v>601</v>
      </c>
      <c r="K214" s="93">
        <v>46097</v>
      </c>
      <c r="L214" s="90">
        <v>2026401036</v>
      </c>
      <c r="M214" s="138" t="s">
        <v>197</v>
      </c>
      <c r="N214" s="90">
        <v>2026</v>
      </c>
    </row>
    <row r="215" spans="1:14">
      <c r="A215" s="90">
        <v>214</v>
      </c>
      <c r="B215" s="90" t="s">
        <v>17</v>
      </c>
      <c r="C215" s="90" t="s">
        <v>25</v>
      </c>
      <c r="D215" s="90" t="s">
        <v>58</v>
      </c>
      <c r="E215" s="108" t="s">
        <v>68</v>
      </c>
      <c r="G215" s="90" t="s">
        <v>115</v>
      </c>
      <c r="H215" s="90" t="s">
        <v>111</v>
      </c>
      <c r="I215" s="121">
        <v>235</v>
      </c>
      <c r="J215" s="90" t="s">
        <v>602</v>
      </c>
      <c r="K215" s="93">
        <v>46097</v>
      </c>
      <c r="L215" s="90">
        <v>2026401063</v>
      </c>
      <c r="M215" s="138" t="s">
        <v>197</v>
      </c>
      <c r="N215" s="90">
        <v>2026</v>
      </c>
    </row>
    <row r="216" spans="1:14">
      <c r="A216" s="90">
        <v>215</v>
      </c>
      <c r="B216" s="90" t="s">
        <v>40</v>
      </c>
      <c r="C216" s="90" t="s">
        <v>48</v>
      </c>
      <c r="D216" s="90" t="s">
        <v>58</v>
      </c>
      <c r="E216" s="108" t="s">
        <v>68</v>
      </c>
      <c r="G216" s="90" t="s">
        <v>115</v>
      </c>
      <c r="H216" s="90" t="s">
        <v>111</v>
      </c>
      <c r="I216" s="121">
        <v>473</v>
      </c>
      <c r="J216" s="90" t="s">
        <v>603</v>
      </c>
      <c r="K216" s="93">
        <v>46097</v>
      </c>
      <c r="L216" s="90">
        <v>2026401044</v>
      </c>
      <c r="M216" s="138" t="s">
        <v>197</v>
      </c>
      <c r="N216" s="90">
        <v>2026</v>
      </c>
    </row>
    <row r="217" spans="1:14">
      <c r="A217" s="90">
        <v>216</v>
      </c>
      <c r="B217" s="90" t="s">
        <v>40</v>
      </c>
      <c r="C217" s="90" t="s">
        <v>48</v>
      </c>
      <c r="D217" s="90" t="s">
        <v>58</v>
      </c>
      <c r="E217" s="108" t="s">
        <v>68</v>
      </c>
      <c r="G217" s="90" t="s">
        <v>115</v>
      </c>
      <c r="H217" s="90" t="s">
        <v>111</v>
      </c>
      <c r="I217" s="121">
        <v>921.6</v>
      </c>
      <c r="J217" s="90" t="s">
        <v>605</v>
      </c>
      <c r="K217" s="93">
        <v>46097</v>
      </c>
      <c r="L217" s="90">
        <v>2026401057</v>
      </c>
      <c r="M217" s="138" t="s">
        <v>197</v>
      </c>
      <c r="N217" s="90">
        <v>2026</v>
      </c>
    </row>
    <row r="218" spans="1:14">
      <c r="A218" s="90">
        <v>217</v>
      </c>
      <c r="B218" s="90" t="s">
        <v>40</v>
      </c>
      <c r="C218" s="90" t="s">
        <v>48</v>
      </c>
      <c r="D218" s="90" t="s">
        <v>58</v>
      </c>
      <c r="E218" s="108" t="s">
        <v>68</v>
      </c>
      <c r="G218" s="90" t="s">
        <v>115</v>
      </c>
      <c r="H218" s="90" t="s">
        <v>111</v>
      </c>
      <c r="I218" s="121">
        <v>100</v>
      </c>
      <c r="J218" s="90" t="s">
        <v>606</v>
      </c>
      <c r="K218" s="93">
        <v>46097</v>
      </c>
      <c r="L218" s="90">
        <v>2026400976</v>
      </c>
      <c r="M218" s="138" t="s">
        <v>197</v>
      </c>
      <c r="N218" s="90">
        <v>2026</v>
      </c>
    </row>
    <row r="219" spans="1:14">
      <c r="A219" s="90">
        <v>218</v>
      </c>
      <c r="B219" s="90" t="s">
        <v>17</v>
      </c>
      <c r="C219" s="90" t="s">
        <v>22</v>
      </c>
      <c r="D219" s="90" t="s">
        <v>58</v>
      </c>
      <c r="E219" s="108" t="s">
        <v>68</v>
      </c>
      <c r="G219" s="90" t="s">
        <v>115</v>
      </c>
      <c r="H219" s="90" t="s">
        <v>111</v>
      </c>
      <c r="I219" s="121">
        <v>90</v>
      </c>
      <c r="J219" s="90" t="s">
        <v>607</v>
      </c>
      <c r="K219" s="93">
        <v>46097</v>
      </c>
      <c r="L219" s="90">
        <v>2026401062</v>
      </c>
      <c r="M219" s="138" t="s">
        <v>197</v>
      </c>
      <c r="N219" s="90">
        <v>2026</v>
      </c>
    </row>
    <row r="220" spans="1:14">
      <c r="A220" s="90">
        <v>219</v>
      </c>
      <c r="B220" s="90" t="s">
        <v>40</v>
      </c>
      <c r="C220" s="90" t="s">
        <v>48</v>
      </c>
      <c r="D220" s="90" t="s">
        <v>58</v>
      </c>
      <c r="E220" s="108" t="s">
        <v>68</v>
      </c>
      <c r="G220" s="90" t="s">
        <v>115</v>
      </c>
      <c r="H220" s="90" t="s">
        <v>111</v>
      </c>
      <c r="I220" s="121">
        <v>1257.5999999999999</v>
      </c>
      <c r="J220" s="90" t="s">
        <v>623</v>
      </c>
      <c r="K220" s="93">
        <v>46097</v>
      </c>
      <c r="L220" s="90">
        <v>2026400974</v>
      </c>
      <c r="M220" s="138" t="s">
        <v>197</v>
      </c>
      <c r="N220" s="90">
        <v>2026</v>
      </c>
    </row>
    <row r="221" spans="1:14">
      <c r="A221" s="90">
        <v>220</v>
      </c>
      <c r="B221" s="90" t="s">
        <v>52</v>
      </c>
      <c r="C221" s="90" t="s">
        <v>90</v>
      </c>
      <c r="D221" s="90" t="s">
        <v>58</v>
      </c>
      <c r="E221" s="90" t="s">
        <v>68</v>
      </c>
      <c r="G221" s="90" t="s">
        <v>115</v>
      </c>
      <c r="H221" s="90" t="s">
        <v>111</v>
      </c>
      <c r="I221" s="121">
        <v>3703.6</v>
      </c>
      <c r="J221" s="90" t="s">
        <v>624</v>
      </c>
      <c r="K221" s="93">
        <v>46097</v>
      </c>
      <c r="L221" s="90">
        <v>2026400956</v>
      </c>
      <c r="M221" s="138" t="s">
        <v>197</v>
      </c>
      <c r="N221" s="90">
        <v>2026</v>
      </c>
    </row>
    <row r="222" spans="1:14">
      <c r="A222" s="90">
        <v>221</v>
      </c>
      <c r="B222" s="90" t="s">
        <v>17</v>
      </c>
      <c r="C222" s="90" t="s">
        <v>287</v>
      </c>
      <c r="D222" s="90" t="s">
        <v>58</v>
      </c>
      <c r="E222" s="90" t="s">
        <v>68</v>
      </c>
      <c r="G222" s="90" t="s">
        <v>115</v>
      </c>
      <c r="H222" s="90" t="s">
        <v>111</v>
      </c>
      <c r="I222" s="121">
        <v>265.2</v>
      </c>
      <c r="J222" s="90" t="s">
        <v>625</v>
      </c>
      <c r="K222" s="93">
        <v>46097</v>
      </c>
      <c r="L222" s="90">
        <v>2026401041</v>
      </c>
      <c r="M222" s="138" t="s">
        <v>197</v>
      </c>
      <c r="N222" s="90">
        <v>2026</v>
      </c>
    </row>
    <row r="223" spans="1:14">
      <c r="A223" s="90">
        <v>222</v>
      </c>
      <c r="B223" s="90" t="s">
        <v>17</v>
      </c>
      <c r="C223" s="90" t="s">
        <v>287</v>
      </c>
      <c r="D223" s="90" t="s">
        <v>58</v>
      </c>
      <c r="E223" s="108" t="s">
        <v>68</v>
      </c>
      <c r="G223" s="90" t="s">
        <v>115</v>
      </c>
      <c r="H223" s="90" t="s">
        <v>111</v>
      </c>
      <c r="I223" s="121">
        <v>85</v>
      </c>
      <c r="J223" s="90" t="s">
        <v>626</v>
      </c>
      <c r="K223" s="93">
        <v>46097</v>
      </c>
      <c r="L223" s="90">
        <v>2026401060</v>
      </c>
      <c r="M223" s="138" t="s">
        <v>197</v>
      </c>
      <c r="N223" s="90">
        <v>2026</v>
      </c>
    </row>
    <row r="224" spans="1:14">
      <c r="A224" s="90">
        <v>223</v>
      </c>
      <c r="B224" s="90" t="s">
        <v>52</v>
      </c>
      <c r="C224" s="90" t="s">
        <v>90</v>
      </c>
      <c r="D224" s="90" t="s">
        <v>58</v>
      </c>
      <c r="E224" s="90" t="s">
        <v>68</v>
      </c>
      <c r="G224" s="90" t="s">
        <v>115</v>
      </c>
      <c r="H224" s="90" t="s">
        <v>111</v>
      </c>
      <c r="I224" s="121">
        <v>360</v>
      </c>
      <c r="J224" s="90" t="s">
        <v>627</v>
      </c>
      <c r="K224" s="93">
        <v>46097</v>
      </c>
      <c r="L224" s="90">
        <v>2026401020</v>
      </c>
      <c r="M224" s="138" t="s">
        <v>197</v>
      </c>
      <c r="N224" s="90">
        <v>2026</v>
      </c>
    </row>
    <row r="225" spans="1:14">
      <c r="A225" s="90">
        <v>224</v>
      </c>
      <c r="B225" s="90" t="s">
        <v>50</v>
      </c>
      <c r="C225" s="90" t="s">
        <v>60</v>
      </c>
      <c r="D225" s="90" t="s">
        <v>58</v>
      </c>
      <c r="E225" s="90" t="s">
        <v>68</v>
      </c>
      <c r="G225" s="90" t="s">
        <v>115</v>
      </c>
      <c r="H225" s="90" t="s">
        <v>111</v>
      </c>
      <c r="I225" s="121">
        <v>1298.5</v>
      </c>
      <c r="J225" s="90" t="s">
        <v>628</v>
      </c>
      <c r="K225" s="93">
        <v>46098</v>
      </c>
      <c r="L225" s="90">
        <v>2026401045</v>
      </c>
      <c r="M225" s="138" t="s">
        <v>197</v>
      </c>
      <c r="N225" s="90">
        <v>2026</v>
      </c>
    </row>
    <row r="226" spans="1:14">
      <c r="A226" s="90">
        <v>225</v>
      </c>
      <c r="B226" s="108" t="s">
        <v>50</v>
      </c>
      <c r="C226" s="108" t="s">
        <v>60</v>
      </c>
      <c r="D226" s="90" t="s">
        <v>58</v>
      </c>
      <c r="E226" s="90" t="s">
        <v>68</v>
      </c>
      <c r="G226" s="90" t="s">
        <v>115</v>
      </c>
      <c r="H226" s="90" t="s">
        <v>111</v>
      </c>
      <c r="I226" s="121">
        <v>600</v>
      </c>
      <c r="J226" s="90" t="s">
        <v>629</v>
      </c>
      <c r="K226" s="93">
        <v>46097</v>
      </c>
      <c r="L226" s="90">
        <v>2026401005</v>
      </c>
      <c r="M226" s="138" t="s">
        <v>197</v>
      </c>
      <c r="N226" s="90">
        <v>2026</v>
      </c>
    </row>
    <row r="227" spans="1:14">
      <c r="A227" s="90">
        <v>226</v>
      </c>
      <c r="B227" s="90" t="s">
        <v>17</v>
      </c>
      <c r="C227" s="90" t="s">
        <v>25</v>
      </c>
      <c r="D227" s="90" t="s">
        <v>58</v>
      </c>
      <c r="E227" s="108" t="s">
        <v>68</v>
      </c>
      <c r="G227" s="90" t="s">
        <v>115</v>
      </c>
      <c r="H227" s="90" t="s">
        <v>111</v>
      </c>
      <c r="I227" s="121">
        <v>165</v>
      </c>
      <c r="J227" s="90" t="s">
        <v>630</v>
      </c>
      <c r="K227" s="93">
        <v>46097</v>
      </c>
      <c r="L227" s="90">
        <v>2026401039</v>
      </c>
      <c r="M227" s="138" t="s">
        <v>197</v>
      </c>
      <c r="N227" s="90">
        <v>2026</v>
      </c>
    </row>
    <row r="228" spans="1:14">
      <c r="A228" s="90">
        <v>227</v>
      </c>
      <c r="B228" s="90" t="s">
        <v>17</v>
      </c>
      <c r="C228" s="90" t="s">
        <v>22</v>
      </c>
      <c r="D228" s="90" t="s">
        <v>58</v>
      </c>
      <c r="E228" s="108" t="s">
        <v>68</v>
      </c>
      <c r="G228" s="90" t="s">
        <v>115</v>
      </c>
      <c r="H228" s="90" t="s">
        <v>111</v>
      </c>
      <c r="I228" s="121">
        <v>75</v>
      </c>
      <c r="J228" s="90" t="s">
        <v>631</v>
      </c>
      <c r="K228" s="93">
        <v>46097</v>
      </c>
      <c r="L228" s="90">
        <v>2026401046</v>
      </c>
      <c r="M228" s="138" t="s">
        <v>197</v>
      </c>
      <c r="N228" s="90">
        <v>2026</v>
      </c>
    </row>
    <row r="229" spans="1:14">
      <c r="A229" s="90">
        <v>228</v>
      </c>
      <c r="B229" s="90" t="s">
        <v>17</v>
      </c>
      <c r="C229" s="90" t="s">
        <v>287</v>
      </c>
      <c r="D229" s="90" t="s">
        <v>58</v>
      </c>
      <c r="E229" s="108" t="s">
        <v>68</v>
      </c>
      <c r="G229" s="90" t="s">
        <v>115</v>
      </c>
      <c r="H229" s="90" t="s">
        <v>111</v>
      </c>
      <c r="I229" s="121">
        <v>771</v>
      </c>
      <c r="J229" s="90" t="s">
        <v>632</v>
      </c>
      <c r="K229" s="93">
        <v>46097</v>
      </c>
      <c r="L229" s="90">
        <v>2026401038</v>
      </c>
      <c r="M229" s="138" t="s">
        <v>197</v>
      </c>
      <c r="N229" s="90">
        <v>2026</v>
      </c>
    </row>
    <row r="230" spans="1:14">
      <c r="A230" s="90">
        <v>229</v>
      </c>
      <c r="B230" s="90" t="s">
        <v>52</v>
      </c>
      <c r="C230" s="90" t="s">
        <v>90</v>
      </c>
      <c r="D230" s="90" t="s">
        <v>58</v>
      </c>
      <c r="E230" s="108" t="s">
        <v>68</v>
      </c>
      <c r="G230" s="90" t="s">
        <v>115</v>
      </c>
      <c r="H230" s="90" t="s">
        <v>111</v>
      </c>
      <c r="I230" s="121">
        <v>650</v>
      </c>
      <c r="J230" s="90" t="s">
        <v>633</v>
      </c>
      <c r="K230" s="93">
        <v>46097</v>
      </c>
      <c r="L230" s="90">
        <v>2026401042</v>
      </c>
      <c r="M230" s="138" t="s">
        <v>197</v>
      </c>
      <c r="N230" s="90">
        <v>2026</v>
      </c>
    </row>
    <row r="231" spans="1:14">
      <c r="A231" s="90">
        <v>230</v>
      </c>
      <c r="B231" s="90" t="s">
        <v>17</v>
      </c>
      <c r="C231" s="90" t="s">
        <v>287</v>
      </c>
      <c r="D231" s="90" t="s">
        <v>58</v>
      </c>
      <c r="E231" s="108" t="s">
        <v>68</v>
      </c>
      <c r="G231" s="90" t="s">
        <v>115</v>
      </c>
      <c r="H231" s="90" t="s">
        <v>111</v>
      </c>
      <c r="I231" s="121">
        <v>185.1</v>
      </c>
      <c r="J231" s="90" t="s">
        <v>634</v>
      </c>
      <c r="K231" s="93">
        <v>46097</v>
      </c>
      <c r="L231" s="90">
        <v>2026401035</v>
      </c>
      <c r="M231" s="138" t="s">
        <v>197</v>
      </c>
      <c r="N231" s="90">
        <v>2026</v>
      </c>
    </row>
    <row r="232" spans="1:14">
      <c r="A232" s="90">
        <v>231</v>
      </c>
      <c r="B232" s="90" t="s">
        <v>17</v>
      </c>
      <c r="C232" s="90" t="s">
        <v>25</v>
      </c>
      <c r="D232" s="90" t="s">
        <v>58</v>
      </c>
      <c r="E232" s="108" t="s">
        <v>68</v>
      </c>
      <c r="G232" s="90" t="s">
        <v>115</v>
      </c>
      <c r="H232" s="90" t="s">
        <v>111</v>
      </c>
      <c r="I232" s="121">
        <v>1452.6</v>
      </c>
      <c r="J232" s="90" t="s">
        <v>635</v>
      </c>
      <c r="K232" s="93">
        <v>46097</v>
      </c>
      <c r="L232" s="90">
        <v>2026401037</v>
      </c>
      <c r="M232" s="138" t="s">
        <v>197</v>
      </c>
      <c r="N232" s="90">
        <v>2026</v>
      </c>
    </row>
    <row r="233" spans="1:14">
      <c r="A233" s="90">
        <v>232</v>
      </c>
      <c r="B233" s="90" t="s">
        <v>17</v>
      </c>
      <c r="C233" s="90" t="s">
        <v>25</v>
      </c>
      <c r="D233" s="90" t="s">
        <v>58</v>
      </c>
      <c r="E233" s="90" t="s">
        <v>68</v>
      </c>
      <c r="G233" s="90" t="s">
        <v>115</v>
      </c>
      <c r="H233" s="90" t="s">
        <v>111</v>
      </c>
      <c r="I233" s="121">
        <v>225.5</v>
      </c>
      <c r="J233" s="90" t="s">
        <v>636</v>
      </c>
      <c r="K233" s="93">
        <v>46097</v>
      </c>
      <c r="L233" s="90">
        <v>2026401034</v>
      </c>
      <c r="M233" s="138" t="s">
        <v>197</v>
      </c>
      <c r="N233" s="90">
        <v>2026</v>
      </c>
    </row>
    <row r="234" spans="1:14">
      <c r="A234" s="90">
        <v>233</v>
      </c>
      <c r="B234" s="90" t="s">
        <v>17</v>
      </c>
      <c r="C234" s="90" t="s">
        <v>287</v>
      </c>
      <c r="D234" s="90" t="s">
        <v>58</v>
      </c>
      <c r="E234" s="108" t="s">
        <v>68</v>
      </c>
      <c r="G234" s="90" t="s">
        <v>115</v>
      </c>
      <c r="H234" s="90" t="s">
        <v>111</v>
      </c>
      <c r="I234" s="121">
        <v>187.9</v>
      </c>
      <c r="J234" s="90" t="s">
        <v>637</v>
      </c>
      <c r="K234" s="93">
        <v>46097</v>
      </c>
      <c r="L234" s="90">
        <v>2026401047</v>
      </c>
      <c r="M234" s="138" t="s">
        <v>197</v>
      </c>
      <c r="N234" s="90">
        <v>2026</v>
      </c>
    </row>
    <row r="235" spans="1:14">
      <c r="A235" s="90">
        <v>234</v>
      </c>
      <c r="B235" s="90" t="s">
        <v>33</v>
      </c>
      <c r="C235" s="90" t="s">
        <v>35</v>
      </c>
      <c r="D235" s="90" t="s">
        <v>58</v>
      </c>
      <c r="E235" s="108" t="s">
        <v>68</v>
      </c>
      <c r="G235" s="90" t="s">
        <v>115</v>
      </c>
      <c r="H235" s="90" t="s">
        <v>111</v>
      </c>
      <c r="I235" s="121">
        <v>2283.5</v>
      </c>
      <c r="J235" s="90" t="s">
        <v>638</v>
      </c>
      <c r="K235" s="93">
        <v>46097</v>
      </c>
      <c r="L235" s="90">
        <v>2026400973</v>
      </c>
      <c r="M235" s="138" t="s">
        <v>197</v>
      </c>
      <c r="N235" s="90">
        <v>2026</v>
      </c>
    </row>
    <row r="236" spans="1:14">
      <c r="A236" s="90">
        <v>235</v>
      </c>
      <c r="B236" s="108" t="s">
        <v>40</v>
      </c>
      <c r="C236" s="108" t="s">
        <v>247</v>
      </c>
      <c r="D236" s="90" t="s">
        <v>58</v>
      </c>
      <c r="E236" s="108" t="s">
        <v>68</v>
      </c>
      <c r="G236" s="108" t="s">
        <v>115</v>
      </c>
      <c r="H236" s="90" t="s">
        <v>111</v>
      </c>
      <c r="I236" s="121">
        <v>1280</v>
      </c>
      <c r="J236" s="90" t="s">
        <v>639</v>
      </c>
      <c r="K236" s="93">
        <v>46097</v>
      </c>
      <c r="L236" s="90">
        <v>2026400970</v>
      </c>
      <c r="M236" s="138" t="s">
        <v>197</v>
      </c>
      <c r="N236" s="90">
        <v>2026</v>
      </c>
    </row>
    <row r="237" spans="1:14">
      <c r="A237" s="90">
        <v>236</v>
      </c>
      <c r="B237" s="90" t="s">
        <v>40</v>
      </c>
      <c r="C237" s="90" t="s">
        <v>47</v>
      </c>
      <c r="D237" s="90" t="s">
        <v>58</v>
      </c>
      <c r="E237" s="108" t="s">
        <v>68</v>
      </c>
      <c r="G237" s="90" t="s">
        <v>115</v>
      </c>
      <c r="H237" s="90" t="s">
        <v>111</v>
      </c>
      <c r="I237" s="121">
        <v>72</v>
      </c>
      <c r="J237" s="90" t="s">
        <v>640</v>
      </c>
      <c r="K237" s="93">
        <v>46097</v>
      </c>
      <c r="L237" s="90">
        <v>2026401017</v>
      </c>
      <c r="M237" s="138" t="s">
        <v>197</v>
      </c>
      <c r="N237" s="90">
        <v>2026</v>
      </c>
    </row>
    <row r="238" spans="1:14">
      <c r="A238" s="90">
        <v>237</v>
      </c>
      <c r="B238" s="90" t="s">
        <v>50</v>
      </c>
      <c r="C238" s="90" t="s">
        <v>60</v>
      </c>
      <c r="D238" s="90" t="s">
        <v>58</v>
      </c>
      <c r="E238" s="108" t="s">
        <v>68</v>
      </c>
      <c r="G238" s="90" t="s">
        <v>115</v>
      </c>
      <c r="H238" s="90" t="s">
        <v>111</v>
      </c>
      <c r="I238" s="121">
        <v>1595</v>
      </c>
      <c r="J238" s="90" t="s">
        <v>641</v>
      </c>
      <c r="K238" s="93">
        <v>46097</v>
      </c>
      <c r="L238" s="90">
        <v>2026400975</v>
      </c>
      <c r="M238" s="138" t="s">
        <v>197</v>
      </c>
      <c r="N238" s="90">
        <v>2026</v>
      </c>
    </row>
    <row r="239" spans="1:14">
      <c r="A239" s="90">
        <v>238</v>
      </c>
      <c r="B239" s="108" t="s">
        <v>40</v>
      </c>
      <c r="C239" s="108" t="s">
        <v>69</v>
      </c>
      <c r="D239" s="90" t="s">
        <v>58</v>
      </c>
      <c r="E239" s="108" t="s">
        <v>68</v>
      </c>
      <c r="G239" s="108" t="s">
        <v>115</v>
      </c>
      <c r="H239" s="90" t="s">
        <v>111</v>
      </c>
      <c r="I239" s="121">
        <v>329.5</v>
      </c>
      <c r="J239" s="90" t="s">
        <v>629</v>
      </c>
      <c r="K239" s="93">
        <v>46097</v>
      </c>
      <c r="L239" s="90">
        <v>2026401006</v>
      </c>
      <c r="M239" s="138" t="s">
        <v>197</v>
      </c>
      <c r="N239" s="90">
        <v>2026</v>
      </c>
    </row>
    <row r="240" spans="1:14">
      <c r="A240" s="90">
        <v>239</v>
      </c>
      <c r="B240" s="90" t="s">
        <v>33</v>
      </c>
      <c r="C240" s="90" t="s">
        <v>35</v>
      </c>
      <c r="D240" s="90" t="s">
        <v>58</v>
      </c>
      <c r="E240" s="108" t="s">
        <v>68</v>
      </c>
      <c r="G240" s="90" t="s">
        <v>115</v>
      </c>
      <c r="H240" s="90" t="s">
        <v>111</v>
      </c>
      <c r="I240" s="121">
        <v>305</v>
      </c>
      <c r="J240" s="90" t="s">
        <v>642</v>
      </c>
      <c r="K240" s="93">
        <v>46097</v>
      </c>
      <c r="L240" s="90">
        <v>2026400978</v>
      </c>
      <c r="M240" s="138" t="s">
        <v>197</v>
      </c>
      <c r="N240" s="90">
        <v>2026</v>
      </c>
    </row>
    <row r="241" spans="1:14">
      <c r="A241" s="90">
        <v>240</v>
      </c>
      <c r="B241" s="108" t="s">
        <v>17</v>
      </c>
      <c r="C241" s="108" t="s">
        <v>287</v>
      </c>
      <c r="D241" s="90" t="s">
        <v>58</v>
      </c>
      <c r="E241" s="90" t="s">
        <v>68</v>
      </c>
      <c r="G241" s="90" t="s">
        <v>115</v>
      </c>
      <c r="H241" s="90" t="s">
        <v>111</v>
      </c>
      <c r="I241" s="121">
        <v>115</v>
      </c>
      <c r="J241" s="90" t="s">
        <v>643</v>
      </c>
      <c r="K241" s="93">
        <v>46097</v>
      </c>
      <c r="L241" s="90">
        <v>2026400995</v>
      </c>
      <c r="M241" s="138" t="s">
        <v>197</v>
      </c>
      <c r="N241" s="90">
        <v>2026</v>
      </c>
    </row>
    <row r="242" spans="1:14">
      <c r="A242" s="90">
        <v>241</v>
      </c>
      <c r="B242" s="90" t="s">
        <v>52</v>
      </c>
      <c r="C242" s="90" t="s">
        <v>90</v>
      </c>
      <c r="D242" s="90" t="s">
        <v>58</v>
      </c>
      <c r="E242" s="90" t="s">
        <v>68</v>
      </c>
      <c r="G242" s="90" t="s">
        <v>115</v>
      </c>
      <c r="H242" s="90" t="s">
        <v>111</v>
      </c>
      <c r="I242" s="121">
        <v>510</v>
      </c>
      <c r="J242" s="90" t="s">
        <v>644</v>
      </c>
      <c r="K242" s="93">
        <v>46097</v>
      </c>
      <c r="L242" s="90">
        <v>2026400994</v>
      </c>
      <c r="M242" s="138" t="s">
        <v>197</v>
      </c>
      <c r="N242" s="90">
        <v>2026</v>
      </c>
    </row>
    <row r="243" spans="1:14">
      <c r="A243" s="90">
        <v>242</v>
      </c>
      <c r="B243" s="90" t="s">
        <v>56</v>
      </c>
      <c r="C243" s="90" t="s">
        <v>57</v>
      </c>
      <c r="D243" s="90" t="s">
        <v>58</v>
      </c>
      <c r="E243" s="108" t="s">
        <v>68</v>
      </c>
      <c r="G243" s="90" t="s">
        <v>115</v>
      </c>
      <c r="H243" s="90" t="s">
        <v>111</v>
      </c>
      <c r="I243" s="121">
        <v>150</v>
      </c>
      <c r="J243" s="90" t="s">
        <v>645</v>
      </c>
      <c r="K243" s="93">
        <v>46097</v>
      </c>
      <c r="L243" s="90">
        <v>2026400966</v>
      </c>
      <c r="M243" s="138" t="s">
        <v>197</v>
      </c>
      <c r="N243" s="90">
        <v>2026</v>
      </c>
    </row>
    <row r="244" spans="1:14">
      <c r="A244" s="90">
        <v>243</v>
      </c>
      <c r="B244" s="90" t="s">
        <v>52</v>
      </c>
      <c r="C244" s="90" t="s">
        <v>90</v>
      </c>
      <c r="D244" s="90" t="s">
        <v>58</v>
      </c>
      <c r="E244" s="108" t="s">
        <v>68</v>
      </c>
      <c r="G244" s="90" t="s">
        <v>115</v>
      </c>
      <c r="H244" s="90" t="s">
        <v>111</v>
      </c>
      <c r="I244" s="121">
        <v>600</v>
      </c>
      <c r="J244" s="90" t="s">
        <v>646</v>
      </c>
      <c r="K244" s="93">
        <v>46097</v>
      </c>
      <c r="L244" s="90">
        <v>2026400977</v>
      </c>
      <c r="M244" s="138" t="s">
        <v>197</v>
      </c>
      <c r="N244" s="90">
        <v>2026</v>
      </c>
    </row>
    <row r="245" spans="1:14">
      <c r="A245" s="90">
        <v>244</v>
      </c>
      <c r="B245" s="90" t="s">
        <v>52</v>
      </c>
      <c r="C245" s="90" t="s">
        <v>90</v>
      </c>
      <c r="D245" s="90" t="s">
        <v>58</v>
      </c>
      <c r="E245" s="108" t="s">
        <v>68</v>
      </c>
      <c r="G245" s="110" t="s">
        <v>115</v>
      </c>
      <c r="H245" s="90" t="s">
        <v>111</v>
      </c>
      <c r="I245" s="121">
        <v>120</v>
      </c>
      <c r="J245" s="110" t="s">
        <v>647</v>
      </c>
      <c r="K245" s="93">
        <v>46097</v>
      </c>
      <c r="L245" s="110">
        <v>2026400971</v>
      </c>
      <c r="M245" s="138" t="s">
        <v>197</v>
      </c>
      <c r="N245" s="90">
        <v>2026</v>
      </c>
    </row>
    <row r="246" spans="1:14">
      <c r="A246" s="90">
        <v>245</v>
      </c>
      <c r="B246" s="90" t="s">
        <v>17</v>
      </c>
      <c r="C246" s="90" t="s">
        <v>25</v>
      </c>
      <c r="D246" s="90" t="s">
        <v>58</v>
      </c>
      <c r="E246" s="108" t="s">
        <v>68</v>
      </c>
      <c r="G246" s="90" t="s">
        <v>115</v>
      </c>
      <c r="H246" s="90" t="s">
        <v>111</v>
      </c>
      <c r="I246" s="121">
        <v>110</v>
      </c>
      <c r="J246" s="90" t="s">
        <v>648</v>
      </c>
      <c r="K246" s="93">
        <v>46097</v>
      </c>
      <c r="L246" s="90">
        <v>2026400921</v>
      </c>
      <c r="M246" s="138" t="s">
        <v>197</v>
      </c>
      <c r="N246" s="90">
        <v>2026</v>
      </c>
    </row>
    <row r="247" spans="1:14">
      <c r="A247" s="90">
        <v>246</v>
      </c>
      <c r="B247" s="90" t="s">
        <v>17</v>
      </c>
      <c r="C247" s="90" t="s">
        <v>22</v>
      </c>
      <c r="D247" s="90" t="s">
        <v>58</v>
      </c>
      <c r="E247" s="108" t="s">
        <v>68</v>
      </c>
      <c r="G247" s="90" t="s">
        <v>115</v>
      </c>
      <c r="H247" s="90" t="s">
        <v>111</v>
      </c>
      <c r="I247" s="121">
        <v>356.4</v>
      </c>
      <c r="J247" s="90" t="s">
        <v>649</v>
      </c>
      <c r="K247" s="93">
        <v>46097</v>
      </c>
      <c r="L247" s="90">
        <v>2026400850</v>
      </c>
      <c r="M247" s="138" t="s">
        <v>197</v>
      </c>
      <c r="N247" s="90">
        <v>2026</v>
      </c>
    </row>
    <row r="248" spans="1:14">
      <c r="A248" s="90">
        <v>247</v>
      </c>
      <c r="B248" s="90" t="s">
        <v>17</v>
      </c>
      <c r="C248" s="90" t="s">
        <v>22</v>
      </c>
      <c r="D248" s="90" t="s">
        <v>58</v>
      </c>
      <c r="E248" s="108" t="s">
        <v>68</v>
      </c>
      <c r="G248" s="90" t="s">
        <v>115</v>
      </c>
      <c r="H248" s="90" t="s">
        <v>111</v>
      </c>
      <c r="I248" s="121">
        <v>3229.9</v>
      </c>
      <c r="J248" s="90" t="s">
        <v>650</v>
      </c>
      <c r="K248" s="93">
        <v>46097</v>
      </c>
      <c r="L248" s="90">
        <v>2026400925</v>
      </c>
      <c r="M248" s="138" t="s">
        <v>197</v>
      </c>
      <c r="N248" s="90">
        <v>2026</v>
      </c>
    </row>
    <row r="249" spans="1:14">
      <c r="A249" s="90">
        <v>248</v>
      </c>
      <c r="B249" s="90" t="s">
        <v>40</v>
      </c>
      <c r="C249" s="90" t="s">
        <v>247</v>
      </c>
      <c r="D249" s="90" t="s">
        <v>58</v>
      </c>
      <c r="E249" s="108" t="s">
        <v>68</v>
      </c>
      <c r="G249" s="90" t="s">
        <v>115</v>
      </c>
      <c r="H249" s="90" t="s">
        <v>111</v>
      </c>
      <c r="I249" s="121">
        <v>2577</v>
      </c>
      <c r="J249" s="90" t="s">
        <v>651</v>
      </c>
      <c r="K249" s="93">
        <v>46096</v>
      </c>
      <c r="L249" s="90">
        <v>2026400792</v>
      </c>
      <c r="M249" s="138" t="s">
        <v>197</v>
      </c>
      <c r="N249" s="90">
        <v>2026</v>
      </c>
    </row>
    <row r="250" spans="1:14">
      <c r="A250" s="90">
        <v>249</v>
      </c>
      <c r="B250" s="90" t="s">
        <v>40</v>
      </c>
      <c r="C250" s="90" t="s">
        <v>41</v>
      </c>
      <c r="D250" s="90" t="s">
        <v>58</v>
      </c>
      <c r="E250" s="108" t="s">
        <v>68</v>
      </c>
      <c r="G250" s="90" t="s">
        <v>115</v>
      </c>
      <c r="H250" s="90" t="s">
        <v>111</v>
      </c>
      <c r="I250" s="121">
        <v>254.4</v>
      </c>
      <c r="J250" s="90" t="s">
        <v>652</v>
      </c>
      <c r="K250" s="93">
        <v>46096</v>
      </c>
      <c r="L250" s="110">
        <v>2026400632</v>
      </c>
      <c r="M250" s="138" t="s">
        <v>197</v>
      </c>
      <c r="N250" s="90">
        <v>2026</v>
      </c>
    </row>
    <row r="251" spans="1:14">
      <c r="A251" s="90">
        <v>250</v>
      </c>
      <c r="B251" s="90" t="s">
        <v>33</v>
      </c>
      <c r="C251" s="90" t="s">
        <v>35</v>
      </c>
      <c r="D251" s="90" t="s">
        <v>58</v>
      </c>
      <c r="E251" s="108" t="s">
        <v>68</v>
      </c>
      <c r="G251" s="90" t="s">
        <v>115</v>
      </c>
      <c r="H251" s="90" t="s">
        <v>111</v>
      </c>
      <c r="I251" s="121">
        <v>240</v>
      </c>
      <c r="J251" s="90" t="s">
        <v>654</v>
      </c>
      <c r="K251" s="93">
        <v>46098</v>
      </c>
      <c r="L251" s="90">
        <v>2026401056</v>
      </c>
      <c r="M251" s="138" t="s">
        <v>197</v>
      </c>
      <c r="N251" s="90">
        <v>2026</v>
      </c>
    </row>
    <row r="252" spans="1:14">
      <c r="A252" s="90">
        <v>251</v>
      </c>
      <c r="B252" s="90" t="s">
        <v>40</v>
      </c>
      <c r="C252" s="90" t="s">
        <v>48</v>
      </c>
      <c r="D252" s="90" t="s">
        <v>58</v>
      </c>
      <c r="E252" s="108" t="s">
        <v>68</v>
      </c>
      <c r="G252" s="90" t="s">
        <v>115</v>
      </c>
      <c r="H252" s="90" t="s">
        <v>111</v>
      </c>
      <c r="I252" s="121">
        <v>1398</v>
      </c>
      <c r="J252" s="90" t="s">
        <v>657</v>
      </c>
      <c r="K252" s="93">
        <v>46097</v>
      </c>
      <c r="L252" s="90">
        <v>2026400718</v>
      </c>
      <c r="M252" s="138" t="s">
        <v>197</v>
      </c>
      <c r="N252" s="90">
        <v>2026</v>
      </c>
    </row>
    <row r="253" spans="1:14">
      <c r="A253" s="90">
        <v>252</v>
      </c>
      <c r="B253" s="90" t="s">
        <v>31</v>
      </c>
      <c r="C253" s="90" t="s">
        <v>32</v>
      </c>
      <c r="D253" s="90" t="s">
        <v>58</v>
      </c>
      <c r="E253" s="108" t="s">
        <v>68</v>
      </c>
      <c r="G253" s="90" t="s">
        <v>115</v>
      </c>
      <c r="H253" s="90" t="s">
        <v>111</v>
      </c>
      <c r="I253" s="121">
        <v>60</v>
      </c>
      <c r="J253" s="90" t="s">
        <v>658</v>
      </c>
      <c r="K253" s="93">
        <v>46098</v>
      </c>
      <c r="L253" s="90">
        <v>2026401008</v>
      </c>
      <c r="M253" s="138" t="s">
        <v>197</v>
      </c>
      <c r="N253" s="90">
        <v>2026</v>
      </c>
    </row>
    <row r="254" spans="1:14">
      <c r="A254" s="90">
        <v>253</v>
      </c>
      <c r="B254" s="90" t="s">
        <v>17</v>
      </c>
      <c r="C254" s="90" t="s">
        <v>25</v>
      </c>
      <c r="D254" s="90" t="s">
        <v>58</v>
      </c>
      <c r="E254" s="108" t="s">
        <v>68</v>
      </c>
      <c r="G254" s="90" t="s">
        <v>115</v>
      </c>
      <c r="H254" s="90" t="s">
        <v>111</v>
      </c>
      <c r="I254" s="121">
        <v>180</v>
      </c>
      <c r="J254" s="90" t="s">
        <v>664</v>
      </c>
      <c r="K254" s="109">
        <v>46097</v>
      </c>
      <c r="L254" s="90">
        <v>2026401021</v>
      </c>
      <c r="M254" s="138" t="s">
        <v>197</v>
      </c>
      <c r="N254" s="90">
        <v>2026</v>
      </c>
    </row>
    <row r="255" spans="1:14">
      <c r="A255" s="90">
        <v>254</v>
      </c>
      <c r="B255" s="90" t="s">
        <v>40</v>
      </c>
      <c r="C255" s="90" t="s">
        <v>48</v>
      </c>
      <c r="D255" s="90" t="s">
        <v>58</v>
      </c>
      <c r="E255" s="108" t="s">
        <v>68</v>
      </c>
      <c r="G255" s="110" t="s">
        <v>115</v>
      </c>
      <c r="H255" s="90" t="s">
        <v>111</v>
      </c>
      <c r="I255" s="121">
        <v>979.5</v>
      </c>
      <c r="J255" s="110" t="s">
        <v>665</v>
      </c>
      <c r="K255" s="93">
        <v>46097</v>
      </c>
      <c r="L255" s="110">
        <v>2026400979</v>
      </c>
      <c r="M255" s="138" t="s">
        <v>197</v>
      </c>
      <c r="N255" s="90">
        <v>2026</v>
      </c>
    </row>
    <row r="256" spans="1:14">
      <c r="A256" s="90">
        <v>255</v>
      </c>
      <c r="B256" s="90" t="s">
        <v>52</v>
      </c>
      <c r="C256" s="90" t="s">
        <v>90</v>
      </c>
      <c r="D256" s="90" t="s">
        <v>58</v>
      </c>
      <c r="E256" s="108" t="s">
        <v>68</v>
      </c>
      <c r="G256" s="90" t="s">
        <v>115</v>
      </c>
      <c r="H256" s="90" t="s">
        <v>111</v>
      </c>
      <c r="I256" s="121">
        <v>165</v>
      </c>
      <c r="J256" s="90" t="s">
        <v>667</v>
      </c>
      <c r="K256" s="93">
        <v>46097</v>
      </c>
      <c r="L256" s="90">
        <v>2026401059</v>
      </c>
      <c r="M256" s="138" t="s">
        <v>197</v>
      </c>
      <c r="N256" s="90">
        <v>2026</v>
      </c>
    </row>
    <row r="257" spans="1:14">
      <c r="A257" s="90">
        <v>256</v>
      </c>
      <c r="B257" s="90" t="s">
        <v>52</v>
      </c>
      <c r="C257" s="90" t="s">
        <v>90</v>
      </c>
      <c r="D257" s="90" t="s">
        <v>58</v>
      </c>
      <c r="E257" s="90" t="s">
        <v>68</v>
      </c>
      <c r="G257" s="90" t="s">
        <v>115</v>
      </c>
      <c r="H257" s="90" t="s">
        <v>111</v>
      </c>
      <c r="I257" s="121">
        <v>390</v>
      </c>
      <c r="J257" s="90" t="s">
        <v>668</v>
      </c>
      <c r="K257" s="93">
        <v>46097</v>
      </c>
      <c r="L257" s="90">
        <v>2026401043</v>
      </c>
      <c r="M257" s="138" t="s">
        <v>197</v>
      </c>
      <c r="N257" s="90">
        <v>2026</v>
      </c>
    </row>
    <row r="258" spans="1:14">
      <c r="A258" s="90">
        <v>257</v>
      </c>
      <c r="B258" s="90" t="s">
        <v>40</v>
      </c>
      <c r="C258" s="90" t="s">
        <v>41</v>
      </c>
      <c r="D258" s="90" t="s">
        <v>58</v>
      </c>
      <c r="E258" s="108" t="s">
        <v>68</v>
      </c>
      <c r="G258" s="90" t="s">
        <v>115</v>
      </c>
      <c r="H258" s="90" t="s">
        <v>111</v>
      </c>
      <c r="I258" s="121">
        <v>115.7</v>
      </c>
      <c r="J258" s="90" t="s">
        <v>675</v>
      </c>
      <c r="K258" s="93">
        <v>46106</v>
      </c>
      <c r="L258" s="90">
        <v>2026401105</v>
      </c>
      <c r="M258" s="138" t="s">
        <v>197</v>
      </c>
      <c r="N258" s="90">
        <v>2026</v>
      </c>
    </row>
    <row r="259" spans="1:14">
      <c r="A259" s="90">
        <v>258</v>
      </c>
      <c r="B259" s="90" t="s">
        <v>52</v>
      </c>
      <c r="C259" s="90" t="s">
        <v>90</v>
      </c>
      <c r="D259" s="90" t="s">
        <v>58</v>
      </c>
      <c r="E259" s="108" t="s">
        <v>68</v>
      </c>
      <c r="G259" s="90" t="s">
        <v>115</v>
      </c>
      <c r="H259" s="90" t="s">
        <v>111</v>
      </c>
      <c r="I259" s="121">
        <v>250</v>
      </c>
      <c r="J259" s="90" t="s">
        <v>676</v>
      </c>
      <c r="K259" s="93">
        <v>46088</v>
      </c>
      <c r="L259" s="90">
        <v>2026400733</v>
      </c>
      <c r="M259" s="138" t="s">
        <v>197</v>
      </c>
      <c r="N259" s="90">
        <v>2026</v>
      </c>
    </row>
    <row r="260" spans="1:14">
      <c r="A260" s="90">
        <v>259</v>
      </c>
      <c r="B260" s="90" t="s">
        <v>50</v>
      </c>
      <c r="C260" s="90" t="s">
        <v>60</v>
      </c>
      <c r="D260" s="90" t="s">
        <v>58</v>
      </c>
      <c r="E260" s="108" t="s">
        <v>68</v>
      </c>
      <c r="G260" s="90" t="s">
        <v>115</v>
      </c>
      <c r="H260" s="90" t="s">
        <v>111</v>
      </c>
      <c r="I260" s="121">
        <v>337</v>
      </c>
      <c r="J260" s="90" t="s">
        <v>680</v>
      </c>
      <c r="K260" s="93">
        <v>46106</v>
      </c>
      <c r="L260" s="90">
        <v>2026401101</v>
      </c>
      <c r="M260" s="138" t="s">
        <v>197</v>
      </c>
      <c r="N260" s="90">
        <v>2026</v>
      </c>
    </row>
    <row r="261" spans="1:14">
      <c r="A261" s="90">
        <v>260</v>
      </c>
      <c r="B261" s="90" t="s">
        <v>50</v>
      </c>
      <c r="C261" s="90" t="s">
        <v>60</v>
      </c>
      <c r="D261" s="90" t="s">
        <v>58</v>
      </c>
      <c r="E261" s="108" t="s">
        <v>68</v>
      </c>
      <c r="G261" s="90" t="s">
        <v>115</v>
      </c>
      <c r="H261" s="90" t="s">
        <v>111</v>
      </c>
      <c r="I261" s="121">
        <v>955</v>
      </c>
      <c r="J261" s="90" t="s">
        <v>681</v>
      </c>
      <c r="K261" s="93">
        <v>46092</v>
      </c>
      <c r="L261" s="90">
        <v>2026400866</v>
      </c>
      <c r="M261" s="138" t="s">
        <v>197</v>
      </c>
      <c r="N261" s="90">
        <v>2026</v>
      </c>
    </row>
    <row r="262" spans="1:14">
      <c r="A262" s="90">
        <v>261</v>
      </c>
      <c r="B262" s="90" t="s">
        <v>17</v>
      </c>
      <c r="C262" s="90" t="s">
        <v>25</v>
      </c>
      <c r="D262" s="90" t="s">
        <v>58</v>
      </c>
      <c r="E262" s="108" t="s">
        <v>68</v>
      </c>
      <c r="G262" s="90" t="s">
        <v>115</v>
      </c>
      <c r="H262" s="90" t="s">
        <v>111</v>
      </c>
      <c r="I262" s="121">
        <v>2384</v>
      </c>
      <c r="J262" s="90" t="s">
        <v>682</v>
      </c>
      <c r="K262" s="93">
        <v>46098</v>
      </c>
      <c r="L262" s="90">
        <v>2026401070</v>
      </c>
      <c r="M262" s="138" t="s">
        <v>197</v>
      </c>
      <c r="N262" s="90">
        <v>2026</v>
      </c>
    </row>
    <row r="263" spans="1:14">
      <c r="A263" s="90">
        <v>262</v>
      </c>
      <c r="B263" s="90" t="s">
        <v>17</v>
      </c>
      <c r="C263" s="90" t="s">
        <v>287</v>
      </c>
      <c r="D263" s="90" t="s">
        <v>58</v>
      </c>
      <c r="E263" s="108" t="s">
        <v>68</v>
      </c>
      <c r="G263" s="90" t="s">
        <v>115</v>
      </c>
      <c r="H263" s="90" t="s">
        <v>111</v>
      </c>
      <c r="I263" s="121">
        <v>650</v>
      </c>
      <c r="J263" s="90" t="s">
        <v>683</v>
      </c>
      <c r="K263" s="93">
        <v>46106</v>
      </c>
      <c r="L263" s="90">
        <v>2026401092</v>
      </c>
      <c r="M263" s="138" t="s">
        <v>197</v>
      </c>
      <c r="N263" s="90">
        <v>2026</v>
      </c>
    </row>
    <row r="264" spans="1:14">
      <c r="A264" s="90">
        <v>263</v>
      </c>
      <c r="B264" s="90" t="s">
        <v>33</v>
      </c>
      <c r="C264" s="90" t="s">
        <v>35</v>
      </c>
      <c r="D264" s="90" t="s">
        <v>58</v>
      </c>
      <c r="E264" s="108" t="s">
        <v>68</v>
      </c>
      <c r="G264" s="90" t="s">
        <v>115</v>
      </c>
      <c r="H264" s="90" t="s">
        <v>111</v>
      </c>
      <c r="I264" s="121">
        <v>846</v>
      </c>
      <c r="J264" s="90" t="s">
        <v>684</v>
      </c>
      <c r="K264" s="93">
        <v>46106</v>
      </c>
      <c r="L264" s="90">
        <v>2026400972</v>
      </c>
      <c r="M264" s="138" t="s">
        <v>197</v>
      </c>
      <c r="N264" s="90">
        <v>2026</v>
      </c>
    </row>
    <row r="265" spans="1:14">
      <c r="A265" s="90">
        <v>264</v>
      </c>
      <c r="B265" s="90" t="s">
        <v>52</v>
      </c>
      <c r="C265" s="90" t="s">
        <v>53</v>
      </c>
      <c r="D265" s="90" t="s">
        <v>58</v>
      </c>
      <c r="E265" s="108" t="s">
        <v>68</v>
      </c>
      <c r="G265" s="90" t="s">
        <v>115</v>
      </c>
      <c r="H265" s="90" t="s">
        <v>111</v>
      </c>
      <c r="I265" s="121">
        <v>300</v>
      </c>
      <c r="J265" s="90" t="s">
        <v>685</v>
      </c>
      <c r="K265" s="93">
        <v>46106</v>
      </c>
      <c r="L265" s="90">
        <v>2026401076</v>
      </c>
      <c r="M265" s="138" t="s">
        <v>197</v>
      </c>
      <c r="N265" s="90">
        <v>2026</v>
      </c>
    </row>
    <row r="266" spans="1:14">
      <c r="A266" s="90">
        <v>265</v>
      </c>
      <c r="B266" s="90" t="s">
        <v>17</v>
      </c>
      <c r="C266" s="90" t="s">
        <v>287</v>
      </c>
      <c r="D266" s="90" t="s">
        <v>58</v>
      </c>
      <c r="E266" s="108" t="s">
        <v>68</v>
      </c>
      <c r="G266" s="90" t="s">
        <v>115</v>
      </c>
      <c r="H266" s="90" t="s">
        <v>111</v>
      </c>
      <c r="I266" s="121">
        <v>75</v>
      </c>
      <c r="J266" s="90" t="s">
        <v>686</v>
      </c>
      <c r="K266" s="93">
        <v>46106</v>
      </c>
      <c r="L266" s="90">
        <v>2026401087</v>
      </c>
      <c r="M266" s="138" t="s">
        <v>197</v>
      </c>
      <c r="N266" s="90">
        <v>2026</v>
      </c>
    </row>
    <row r="267" spans="1:14">
      <c r="A267" s="90">
        <v>266</v>
      </c>
      <c r="B267" s="90" t="s">
        <v>40</v>
      </c>
      <c r="C267" s="90" t="s">
        <v>247</v>
      </c>
      <c r="D267" s="90" t="s">
        <v>58</v>
      </c>
      <c r="E267" s="108" t="s">
        <v>68</v>
      </c>
      <c r="G267" s="90" t="s">
        <v>115</v>
      </c>
      <c r="H267" s="90" t="s">
        <v>111</v>
      </c>
      <c r="I267" s="121">
        <v>96</v>
      </c>
      <c r="J267" s="90" t="s">
        <v>688</v>
      </c>
      <c r="K267" s="93">
        <v>46106</v>
      </c>
      <c r="L267" s="90">
        <v>2026401094</v>
      </c>
      <c r="M267" s="138" t="s">
        <v>197</v>
      </c>
      <c r="N267" s="90">
        <v>2026</v>
      </c>
    </row>
    <row r="268" spans="1:14">
      <c r="A268" s="90">
        <v>267</v>
      </c>
      <c r="B268" s="90" t="s">
        <v>40</v>
      </c>
      <c r="C268" s="90" t="s">
        <v>48</v>
      </c>
      <c r="D268" s="90" t="s">
        <v>58</v>
      </c>
      <c r="E268" s="108" t="s">
        <v>68</v>
      </c>
      <c r="G268" s="90" t="s">
        <v>115</v>
      </c>
      <c r="H268" s="90" t="s">
        <v>111</v>
      </c>
      <c r="I268" s="121">
        <v>210</v>
      </c>
      <c r="J268" s="90" t="s">
        <v>690</v>
      </c>
      <c r="K268" s="93">
        <v>46109</v>
      </c>
      <c r="L268" s="90">
        <v>2026401074</v>
      </c>
      <c r="M268" s="138" t="s">
        <v>197</v>
      </c>
      <c r="N268" s="90">
        <v>2026</v>
      </c>
    </row>
    <row r="269" spans="1:14">
      <c r="A269" s="90">
        <v>268</v>
      </c>
      <c r="B269" s="90" t="s">
        <v>17</v>
      </c>
      <c r="C269" s="90" t="s">
        <v>22</v>
      </c>
      <c r="D269" s="90" t="s">
        <v>58</v>
      </c>
      <c r="E269" s="108" t="s">
        <v>68</v>
      </c>
      <c r="G269" s="90" t="s">
        <v>115</v>
      </c>
      <c r="H269" s="90" t="s">
        <v>111</v>
      </c>
      <c r="I269" s="121">
        <v>480</v>
      </c>
      <c r="J269" s="90" t="s">
        <v>694</v>
      </c>
      <c r="K269" s="93">
        <v>46109</v>
      </c>
      <c r="L269" s="90">
        <v>2026401086</v>
      </c>
      <c r="M269" s="138" t="s">
        <v>197</v>
      </c>
      <c r="N269" s="90">
        <v>2026</v>
      </c>
    </row>
    <row r="270" spans="1:14">
      <c r="A270" s="90">
        <v>269</v>
      </c>
      <c r="B270" s="90" t="s">
        <v>40</v>
      </c>
      <c r="C270" s="90" t="s">
        <v>45</v>
      </c>
      <c r="D270" s="90" t="s">
        <v>58</v>
      </c>
      <c r="E270" s="108" t="s">
        <v>68</v>
      </c>
      <c r="G270" s="90" t="s">
        <v>115</v>
      </c>
      <c r="H270" s="90" t="s">
        <v>111</v>
      </c>
      <c r="I270" s="121">
        <v>220</v>
      </c>
      <c r="J270" s="90" t="s">
        <v>695</v>
      </c>
      <c r="K270" s="93">
        <v>46109</v>
      </c>
      <c r="L270" s="90">
        <v>2026401095</v>
      </c>
      <c r="M270" s="138" t="s">
        <v>197</v>
      </c>
      <c r="N270" s="90">
        <v>2026</v>
      </c>
    </row>
    <row r="271" spans="1:14">
      <c r="A271" s="90">
        <v>270</v>
      </c>
      <c r="B271" s="90" t="s">
        <v>50</v>
      </c>
      <c r="C271" s="90" t="s">
        <v>60</v>
      </c>
      <c r="D271" s="90" t="s">
        <v>58</v>
      </c>
      <c r="E271" s="108" t="s">
        <v>68</v>
      </c>
      <c r="G271" s="90" t="s">
        <v>115</v>
      </c>
      <c r="H271" s="90" t="s">
        <v>111</v>
      </c>
      <c r="I271" s="121">
        <v>375</v>
      </c>
      <c r="J271" s="90" t="s">
        <v>696</v>
      </c>
      <c r="K271" s="93">
        <v>46109</v>
      </c>
      <c r="L271" s="90">
        <v>2026401113</v>
      </c>
      <c r="M271" s="138" t="s">
        <v>197</v>
      </c>
      <c r="N271" s="90">
        <v>2026</v>
      </c>
    </row>
    <row r="272" spans="1:14">
      <c r="A272" s="90">
        <v>271</v>
      </c>
      <c r="B272" s="90" t="s">
        <v>33</v>
      </c>
      <c r="C272" s="90" t="s">
        <v>34</v>
      </c>
      <c r="D272" s="90" t="s">
        <v>58</v>
      </c>
      <c r="E272" s="108" t="s">
        <v>68</v>
      </c>
      <c r="G272" s="90" t="s">
        <v>115</v>
      </c>
      <c r="H272" s="90" t="s">
        <v>111</v>
      </c>
      <c r="I272" s="121">
        <v>401.5</v>
      </c>
      <c r="J272" s="90" t="s">
        <v>697</v>
      </c>
      <c r="K272" s="93">
        <v>46109</v>
      </c>
      <c r="L272" s="90">
        <v>2026401096</v>
      </c>
      <c r="M272" s="138" t="s">
        <v>197</v>
      </c>
      <c r="N272" s="90">
        <v>2026</v>
      </c>
    </row>
    <row r="273" spans="1:14">
      <c r="A273" s="90">
        <v>272</v>
      </c>
      <c r="B273" s="90" t="s">
        <v>33</v>
      </c>
      <c r="C273" s="90" t="s">
        <v>35</v>
      </c>
      <c r="D273" s="90" t="s">
        <v>58</v>
      </c>
      <c r="E273" s="108" t="s">
        <v>68</v>
      </c>
      <c r="G273" s="90" t="s">
        <v>115</v>
      </c>
      <c r="H273" s="90" t="s">
        <v>111</v>
      </c>
      <c r="I273" s="121">
        <v>80</v>
      </c>
      <c r="J273" s="90" t="s">
        <v>698</v>
      </c>
      <c r="K273" s="93">
        <v>46109</v>
      </c>
      <c r="L273" s="90">
        <v>2026401110</v>
      </c>
      <c r="M273" s="138" t="s">
        <v>197</v>
      </c>
      <c r="N273" s="90">
        <v>2026</v>
      </c>
    </row>
    <row r="274" spans="1:14">
      <c r="A274" s="90">
        <v>273</v>
      </c>
      <c r="B274" s="90" t="s">
        <v>17</v>
      </c>
      <c r="C274" s="90" t="s">
        <v>25</v>
      </c>
      <c r="D274" s="90" t="s">
        <v>58</v>
      </c>
      <c r="E274" s="108" t="s">
        <v>68</v>
      </c>
      <c r="G274" s="90" t="s">
        <v>115</v>
      </c>
      <c r="H274" s="90" t="s">
        <v>111</v>
      </c>
      <c r="I274" s="121">
        <v>209</v>
      </c>
      <c r="J274" s="90" t="s">
        <v>699</v>
      </c>
      <c r="K274" s="93">
        <v>46109</v>
      </c>
      <c r="L274" s="90">
        <v>2026401102</v>
      </c>
      <c r="M274" s="138" t="s">
        <v>197</v>
      </c>
      <c r="N274" s="90">
        <v>2026</v>
      </c>
    </row>
    <row r="275" spans="1:14">
      <c r="A275" s="90">
        <v>274</v>
      </c>
      <c r="B275" s="90" t="s">
        <v>17</v>
      </c>
      <c r="C275" s="90" t="s">
        <v>25</v>
      </c>
      <c r="D275" s="90" t="s">
        <v>58</v>
      </c>
      <c r="E275" s="108" t="s">
        <v>68</v>
      </c>
      <c r="G275" s="90" t="s">
        <v>115</v>
      </c>
      <c r="H275" s="90" t="s">
        <v>111</v>
      </c>
      <c r="I275" s="121">
        <v>300</v>
      </c>
      <c r="J275" s="90" t="s">
        <v>700</v>
      </c>
      <c r="K275" s="93">
        <v>46109</v>
      </c>
      <c r="L275" s="90">
        <v>2025404925</v>
      </c>
      <c r="M275" s="138" t="s">
        <v>197</v>
      </c>
      <c r="N275" s="90">
        <v>2026</v>
      </c>
    </row>
    <row r="276" spans="1:14">
      <c r="A276" s="90">
        <v>275</v>
      </c>
      <c r="B276" s="90" t="s">
        <v>17</v>
      </c>
      <c r="C276" s="90" t="s">
        <v>287</v>
      </c>
      <c r="D276" s="90" t="s">
        <v>58</v>
      </c>
      <c r="E276" s="108" t="s">
        <v>68</v>
      </c>
      <c r="G276" s="90" t="s">
        <v>115</v>
      </c>
      <c r="H276" s="90" t="s">
        <v>111</v>
      </c>
      <c r="I276" s="121">
        <v>300</v>
      </c>
      <c r="J276" s="90" t="s">
        <v>707</v>
      </c>
      <c r="K276" s="93">
        <v>46097</v>
      </c>
      <c r="L276" s="90">
        <v>2026400996</v>
      </c>
      <c r="M276" s="138" t="s">
        <v>197</v>
      </c>
      <c r="N276" s="90">
        <v>2026</v>
      </c>
    </row>
    <row r="277" spans="1:14">
      <c r="A277" s="90">
        <v>276</v>
      </c>
      <c r="B277" s="90" t="s">
        <v>17</v>
      </c>
      <c r="C277" s="90" t="s">
        <v>254</v>
      </c>
      <c r="D277" s="90" t="s">
        <v>58</v>
      </c>
      <c r="E277" s="108" t="s">
        <v>68</v>
      </c>
      <c r="G277" s="90" t="s">
        <v>115</v>
      </c>
      <c r="H277" s="90" t="s">
        <v>111</v>
      </c>
      <c r="I277" s="121">
        <v>148</v>
      </c>
      <c r="J277" s="90" t="s">
        <v>708</v>
      </c>
      <c r="K277" s="93">
        <v>46109</v>
      </c>
      <c r="L277" s="90">
        <v>2026401088</v>
      </c>
      <c r="M277" s="138" t="s">
        <v>197</v>
      </c>
      <c r="N277" s="90">
        <v>2026</v>
      </c>
    </row>
    <row r="278" spans="1:14">
      <c r="A278" s="90">
        <v>277</v>
      </c>
      <c r="B278" s="90" t="s">
        <v>40</v>
      </c>
      <c r="C278" s="90" t="s">
        <v>48</v>
      </c>
      <c r="D278" s="90" t="s">
        <v>58</v>
      </c>
      <c r="E278" s="108" t="s">
        <v>68</v>
      </c>
      <c r="G278" s="90" t="s">
        <v>115</v>
      </c>
      <c r="H278" s="90" t="s">
        <v>111</v>
      </c>
      <c r="I278" s="121">
        <v>1121.8</v>
      </c>
      <c r="J278" s="90" t="s">
        <v>720</v>
      </c>
      <c r="K278" s="93">
        <v>46111</v>
      </c>
      <c r="L278" s="90">
        <v>2026400992</v>
      </c>
      <c r="M278" s="138" t="s">
        <v>197</v>
      </c>
      <c r="N278" s="90">
        <v>2026</v>
      </c>
    </row>
    <row r="279" spans="1:14">
      <c r="A279" s="90">
        <v>279</v>
      </c>
      <c r="B279" s="90" t="s">
        <v>52</v>
      </c>
      <c r="C279" s="90" t="s">
        <v>90</v>
      </c>
      <c r="D279" s="90" t="s">
        <v>19</v>
      </c>
      <c r="E279" s="108" t="s">
        <v>68</v>
      </c>
      <c r="G279" s="90" t="s">
        <v>257</v>
      </c>
      <c r="H279" s="90" t="s">
        <v>111</v>
      </c>
      <c r="I279" s="121">
        <v>3528.5531335149867</v>
      </c>
      <c r="J279" s="90" t="s">
        <v>777</v>
      </c>
      <c r="K279" s="93" t="s">
        <v>775</v>
      </c>
      <c r="L279" s="90">
        <v>2025403317</v>
      </c>
      <c r="M279" s="138" t="s">
        <v>197</v>
      </c>
      <c r="N279" s="90">
        <v>2026</v>
      </c>
    </row>
    <row r="280" spans="1:14">
      <c r="A280" s="90">
        <v>280</v>
      </c>
      <c r="B280" s="90" t="s">
        <v>52</v>
      </c>
      <c r="C280" s="90" t="s">
        <v>90</v>
      </c>
      <c r="D280" s="90" t="s">
        <v>19</v>
      </c>
      <c r="E280" s="108" t="s">
        <v>68</v>
      </c>
      <c r="G280" s="90" t="s">
        <v>257</v>
      </c>
      <c r="H280" s="90" t="s">
        <v>111</v>
      </c>
      <c r="I280" s="121">
        <v>59291.553133514986</v>
      </c>
      <c r="J280" s="90" t="s">
        <v>778</v>
      </c>
      <c r="K280" s="93" t="s">
        <v>775</v>
      </c>
      <c r="L280" s="90">
        <v>2025403316</v>
      </c>
      <c r="M280" s="138" t="s">
        <v>197</v>
      </c>
      <c r="N280" s="90">
        <v>2026</v>
      </c>
    </row>
    <row r="281" spans="1:14">
      <c r="A281" s="90">
        <v>281</v>
      </c>
      <c r="B281" s="90" t="s">
        <v>52</v>
      </c>
      <c r="C281" s="90" t="s">
        <v>90</v>
      </c>
      <c r="D281" s="90" t="s">
        <v>19</v>
      </c>
      <c r="E281" s="108" t="s">
        <v>68</v>
      </c>
      <c r="G281" s="90" t="s">
        <v>257</v>
      </c>
      <c r="H281" s="90" t="s">
        <v>111</v>
      </c>
      <c r="I281" s="121">
        <v>2070.8446866485015</v>
      </c>
      <c r="J281" s="90" t="s">
        <v>779</v>
      </c>
      <c r="K281" s="93" t="s">
        <v>775</v>
      </c>
      <c r="L281" s="90" t="s">
        <v>14</v>
      </c>
      <c r="M281" s="138" t="s">
        <v>197</v>
      </c>
      <c r="N281" s="90">
        <v>2026</v>
      </c>
    </row>
    <row r="282" spans="1:14">
      <c r="A282" s="90">
        <v>282</v>
      </c>
      <c r="B282" s="90" t="s">
        <v>50</v>
      </c>
      <c r="C282" s="90" t="s">
        <v>774</v>
      </c>
      <c r="D282" s="90" t="s">
        <v>19</v>
      </c>
      <c r="E282" s="108" t="s">
        <v>68</v>
      </c>
      <c r="G282" s="90" t="s">
        <v>257</v>
      </c>
      <c r="H282" s="90" t="s">
        <v>111</v>
      </c>
      <c r="I282" s="121">
        <v>269.75476839237058</v>
      </c>
      <c r="J282" s="90" t="s">
        <v>780</v>
      </c>
      <c r="K282" s="93" t="s">
        <v>776</v>
      </c>
      <c r="L282" s="90">
        <v>2025404329</v>
      </c>
      <c r="M282" s="138" t="s">
        <v>197</v>
      </c>
      <c r="N282" s="90">
        <v>2026</v>
      </c>
    </row>
    <row r="283" spans="1:14">
      <c r="A283" s="90">
        <v>283</v>
      </c>
      <c r="B283" s="90" t="s">
        <v>40</v>
      </c>
      <c r="C283" s="90" t="s">
        <v>47</v>
      </c>
      <c r="D283" s="90" t="s">
        <v>19</v>
      </c>
      <c r="E283" s="108" t="s">
        <v>68</v>
      </c>
      <c r="G283" s="90" t="s">
        <v>257</v>
      </c>
      <c r="H283" s="90" t="s">
        <v>111</v>
      </c>
      <c r="I283" s="121">
        <v>33142.016348773839</v>
      </c>
      <c r="J283" s="90" t="s">
        <v>781</v>
      </c>
      <c r="K283" s="93" t="s">
        <v>776</v>
      </c>
      <c r="L283" s="90">
        <v>2024403196</v>
      </c>
      <c r="M283" s="138" t="s">
        <v>197</v>
      </c>
      <c r="N283" s="90">
        <v>2026</v>
      </c>
    </row>
    <row r="284" spans="1:14">
      <c r="A284" s="90">
        <v>285</v>
      </c>
      <c r="B284" s="90" t="s">
        <v>50</v>
      </c>
      <c r="C284" s="90" t="s">
        <v>774</v>
      </c>
      <c r="D284" s="90" t="s">
        <v>19</v>
      </c>
      <c r="E284" s="108" t="s">
        <v>68</v>
      </c>
      <c r="G284" s="90" t="s">
        <v>257</v>
      </c>
      <c r="H284" s="90" t="s">
        <v>111</v>
      </c>
      <c r="I284" s="121">
        <v>9195.6512261580392</v>
      </c>
      <c r="J284" s="90" t="s">
        <v>782</v>
      </c>
      <c r="K284" s="93" t="s">
        <v>776</v>
      </c>
      <c r="L284" s="90">
        <v>2025404729</v>
      </c>
      <c r="M284" s="138" t="s">
        <v>197</v>
      </c>
      <c r="N284" s="90">
        <v>2026</v>
      </c>
    </row>
    <row r="285" spans="1:14">
      <c r="A285" s="90">
        <v>286</v>
      </c>
      <c r="B285" s="90" t="s">
        <v>50</v>
      </c>
      <c r="C285" s="90" t="s">
        <v>774</v>
      </c>
      <c r="D285" s="90" t="s">
        <v>19</v>
      </c>
      <c r="E285" s="108" t="s">
        <v>68</v>
      </c>
      <c r="G285" s="90" t="s">
        <v>257</v>
      </c>
      <c r="H285" s="90" t="s">
        <v>111</v>
      </c>
      <c r="I285" s="121">
        <v>1609.0463215258856</v>
      </c>
      <c r="J285" s="90" t="s">
        <v>783</v>
      </c>
      <c r="K285" s="93" t="s">
        <v>776</v>
      </c>
      <c r="L285" s="90" t="s">
        <v>14</v>
      </c>
      <c r="M285" s="138" t="s">
        <v>197</v>
      </c>
      <c r="N285" s="90">
        <v>2026</v>
      </c>
    </row>
    <row r="286" spans="1:14">
      <c r="A286" s="90">
        <v>287</v>
      </c>
      <c r="B286" s="90" t="s">
        <v>50</v>
      </c>
      <c r="C286" s="90" t="s">
        <v>774</v>
      </c>
      <c r="D286" s="90" t="s">
        <v>19</v>
      </c>
      <c r="E286" s="108" t="s">
        <v>68</v>
      </c>
      <c r="G286" s="90" t="s">
        <v>257</v>
      </c>
      <c r="H286" s="90" t="s">
        <v>111</v>
      </c>
      <c r="I286" s="121">
        <v>8141.6893732970029</v>
      </c>
      <c r="J286" s="90" t="s">
        <v>784</v>
      </c>
      <c r="K286" s="93" t="s">
        <v>776</v>
      </c>
      <c r="L286" s="90" t="s">
        <v>14</v>
      </c>
      <c r="M286" s="138" t="s">
        <v>197</v>
      </c>
      <c r="N286" s="90">
        <v>2026</v>
      </c>
    </row>
    <row r="287" spans="1:14">
      <c r="K287" s="91"/>
    </row>
    <row r="288" spans="1:14">
      <c r="K288" s="91"/>
    </row>
    <row r="289" spans="11:11">
      <c r="K289" s="91"/>
    </row>
    <row r="290" spans="11:11">
      <c r="K290" s="91"/>
    </row>
    <row r="291" spans="11:11">
      <c r="K291" s="91"/>
    </row>
    <row r="292" spans="11:11">
      <c r="K292" s="91"/>
    </row>
    <row r="293" spans="11:11">
      <c r="K293" s="91"/>
    </row>
    <row r="294" spans="11:11">
      <c r="K294" s="91"/>
    </row>
    <row r="295" spans="11:11">
      <c r="K295" s="91"/>
    </row>
    <row r="296" spans="11:11">
      <c r="K296" s="91"/>
    </row>
    <row r="297" spans="11:11">
      <c r="K297" s="91"/>
    </row>
    <row r="298" spans="11:11">
      <c r="K298" s="91"/>
    </row>
    <row r="299" spans="11:11">
      <c r="K299" s="91"/>
    </row>
    <row r="300" spans="11:11">
      <c r="K300" s="91"/>
    </row>
    <row r="301" spans="11:11">
      <c r="K301" s="91"/>
    </row>
    <row r="302" spans="11:11">
      <c r="K302" s="91"/>
    </row>
    <row r="303" spans="11:11">
      <c r="K303" s="91"/>
    </row>
    <row r="304" spans="11:11">
      <c r="K304" s="91"/>
    </row>
    <row r="305" spans="11:11">
      <c r="K305" s="91"/>
    </row>
    <row r="306" spans="11:11">
      <c r="K306" s="91"/>
    </row>
    <row r="307" spans="11:11">
      <c r="K307" s="91"/>
    </row>
    <row r="308" spans="11:11">
      <c r="K308" s="91"/>
    </row>
  </sheetData>
  <autoFilter ref="A1:N286" xr:uid="{00000000-0009-0000-0000-000011000000}">
    <sortState xmlns:xlrd2="http://schemas.microsoft.com/office/spreadsheetml/2017/richdata2" ref="A2:N278">
      <sortCondition ref="G1:G278"/>
    </sortState>
  </autoFilter>
  <conditionalFormatting sqref="L1:L1048576">
    <cfRule type="duplicateValues" dxfId="0" priority="1"/>
  </conditionalFormatting>
  <dataValidations count="1">
    <dataValidation type="list" allowBlank="1" showInputMessage="1" showErrorMessage="1" sqref="C2:C67 I65:I186" xr:uid="{00000000-0002-0000-11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100-000000000000}">
          <x14:formula1>
            <xm:f>List!$P$2:$P$11</xm:f>
          </x14:formula1>
          <xm:sqref>B2:B67</xm:sqref>
        </x14:dataValidation>
        <x14:dataValidation type="list" allowBlank="1" showInputMessage="1" showErrorMessage="1" xr:uid="{00000000-0002-0000-1100-000002000000}">
          <x14:formula1>
            <xm:f>List!$C$2:$C$3</xm:f>
          </x14:formula1>
          <xm:sqref>D2:D278</xm:sqref>
        </x14:dataValidation>
        <x14:dataValidation type="list" allowBlank="1" showInputMessage="1" showErrorMessage="1" xr:uid="{00000000-0002-0000-1100-000003000000}">
          <x14:formula1>
            <xm:f>List!$E$2:$E$32</xm:f>
          </x14:formula1>
          <xm:sqref>E2:E286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O50"/>
  <sheetViews>
    <sheetView topLeftCell="F13" workbookViewId="0">
      <selection activeCell="A29" sqref="A29:N29"/>
    </sheetView>
  </sheetViews>
  <sheetFormatPr defaultColWidth="9" defaultRowHeight="14.5"/>
  <cols>
    <col min="1" max="1" width="5.36328125" style="90" customWidth="1"/>
    <col min="2" max="2" width="9.36328125" style="90" customWidth="1"/>
    <col min="3" max="3" width="15.08984375" style="90" customWidth="1"/>
    <col min="4" max="4" width="9" style="90" customWidth="1"/>
    <col min="5" max="5" width="25.453125" style="90" customWidth="1"/>
    <col min="6" max="6" width="10.1796875" style="90" customWidth="1"/>
    <col min="7" max="7" width="51.81640625" style="90" customWidth="1"/>
    <col min="8" max="8" width="26.81640625" style="90" customWidth="1"/>
    <col min="9" max="9" width="18.08984375" style="94" customWidth="1"/>
    <col min="10" max="10" width="20.1796875" style="90" bestFit="1" customWidth="1"/>
    <col min="11" max="11" width="11.1796875" style="90" customWidth="1"/>
    <col min="12" max="12" width="10.81640625" style="90" customWidth="1"/>
    <col min="13" max="13" width="6.54296875" style="90" customWidth="1"/>
    <col min="14" max="14" width="4.81640625" style="90" customWidth="1"/>
    <col min="15" max="16384" width="9" style="90"/>
  </cols>
  <sheetData>
    <row r="1" spans="1:15">
      <c r="A1" s="89" t="s">
        <v>0</v>
      </c>
      <c r="B1" s="89" t="s">
        <v>1</v>
      </c>
      <c r="C1" s="89" t="s">
        <v>2</v>
      </c>
      <c r="D1" s="89" t="s">
        <v>3</v>
      </c>
      <c r="E1" s="89" t="s">
        <v>4</v>
      </c>
      <c r="F1" s="89" t="s">
        <v>5</v>
      </c>
      <c r="G1" s="89" t="s">
        <v>6</v>
      </c>
      <c r="H1" s="89" t="s">
        <v>7</v>
      </c>
      <c r="I1" s="89" t="s">
        <v>8</v>
      </c>
      <c r="J1" s="89" t="s">
        <v>9</v>
      </c>
      <c r="K1" s="89" t="s">
        <v>10</v>
      </c>
      <c r="L1" s="89" t="s">
        <v>11</v>
      </c>
      <c r="M1" s="89" t="s">
        <v>12</v>
      </c>
      <c r="N1" s="89" t="s">
        <v>13</v>
      </c>
    </row>
    <row r="2" spans="1:15">
      <c r="A2" s="90">
        <v>1</v>
      </c>
      <c r="B2" s="90" t="s">
        <v>259</v>
      </c>
      <c r="C2" s="90" t="s">
        <v>260</v>
      </c>
      <c r="D2" s="90" t="s">
        <v>58</v>
      </c>
      <c r="E2" s="90" t="s">
        <v>106</v>
      </c>
      <c r="G2" s="90" t="s">
        <v>748</v>
      </c>
      <c r="H2" s="90" t="s">
        <v>266</v>
      </c>
      <c r="I2" s="94">
        <v>422.0779220779221</v>
      </c>
      <c r="J2" s="94" t="s">
        <v>756</v>
      </c>
      <c r="K2" s="93">
        <v>46082</v>
      </c>
      <c r="L2" s="90">
        <v>2026400791</v>
      </c>
      <c r="M2" s="138" t="s">
        <v>197</v>
      </c>
      <c r="N2" s="90">
        <v>2026</v>
      </c>
      <c r="O2" s="92"/>
    </row>
    <row r="3" spans="1:15">
      <c r="A3" s="90">
        <v>2</v>
      </c>
      <c r="B3" s="90" t="s">
        <v>40</v>
      </c>
      <c r="C3" s="90" t="s">
        <v>43</v>
      </c>
      <c r="D3" s="90" t="s">
        <v>58</v>
      </c>
      <c r="E3" s="90" t="s">
        <v>106</v>
      </c>
      <c r="G3" s="90" t="s">
        <v>107</v>
      </c>
      <c r="H3" s="90" t="s">
        <v>266</v>
      </c>
      <c r="I3" s="94">
        <v>4172.727272727273</v>
      </c>
      <c r="J3" s="94" t="s">
        <v>757</v>
      </c>
      <c r="K3" s="93">
        <v>46084</v>
      </c>
      <c r="L3" s="90">
        <v>2026400876</v>
      </c>
      <c r="M3" s="138" t="s">
        <v>197</v>
      </c>
      <c r="N3" s="90">
        <v>2026</v>
      </c>
    </row>
    <row r="4" spans="1:15">
      <c r="A4" s="90">
        <v>3</v>
      </c>
      <c r="B4" s="90" t="s">
        <v>275</v>
      </c>
      <c r="C4" s="90" t="s">
        <v>289</v>
      </c>
      <c r="D4" s="90" t="s">
        <v>58</v>
      </c>
      <c r="E4" s="90" t="s">
        <v>106</v>
      </c>
      <c r="G4" s="90" t="s">
        <v>749</v>
      </c>
      <c r="H4" s="90" t="s">
        <v>266</v>
      </c>
      <c r="I4" s="94">
        <v>380</v>
      </c>
      <c r="J4" s="94" t="s">
        <v>758</v>
      </c>
      <c r="K4" s="93">
        <v>46093</v>
      </c>
      <c r="L4" s="90">
        <v>2026400881</v>
      </c>
      <c r="M4" s="138" t="s">
        <v>197</v>
      </c>
      <c r="N4" s="90">
        <v>2026</v>
      </c>
    </row>
    <row r="5" spans="1:15">
      <c r="A5" s="90">
        <v>4</v>
      </c>
      <c r="B5" s="90" t="s">
        <v>259</v>
      </c>
      <c r="C5" s="90" t="s">
        <v>260</v>
      </c>
      <c r="D5" s="90" t="s">
        <v>58</v>
      </c>
      <c r="E5" s="90" t="s">
        <v>106</v>
      </c>
      <c r="G5" s="90" t="s">
        <v>750</v>
      </c>
      <c r="H5" s="90" t="s">
        <v>266</v>
      </c>
      <c r="I5" s="94">
        <v>1883.1168831168832</v>
      </c>
      <c r="J5" s="94" t="s">
        <v>759</v>
      </c>
      <c r="K5" s="93">
        <v>46078</v>
      </c>
      <c r="L5" s="90" t="s">
        <v>14</v>
      </c>
      <c r="M5" s="138" t="s">
        <v>197</v>
      </c>
      <c r="N5" s="90">
        <v>2026</v>
      </c>
    </row>
    <row r="6" spans="1:15">
      <c r="A6" s="90">
        <v>5</v>
      </c>
      <c r="B6" s="105" t="s">
        <v>17</v>
      </c>
      <c r="C6" s="90" t="s">
        <v>25</v>
      </c>
      <c r="D6" s="90" t="s">
        <v>58</v>
      </c>
      <c r="E6" s="90" t="s">
        <v>106</v>
      </c>
      <c r="G6" s="90" t="s">
        <v>751</v>
      </c>
      <c r="H6" s="90" t="s">
        <v>266</v>
      </c>
      <c r="I6" s="94">
        <v>600</v>
      </c>
      <c r="J6" s="94" t="s">
        <v>760</v>
      </c>
      <c r="K6" s="93">
        <v>46095</v>
      </c>
      <c r="L6" s="90">
        <v>2026400895</v>
      </c>
      <c r="M6" s="138" t="s">
        <v>197</v>
      </c>
      <c r="N6" s="90">
        <v>2026</v>
      </c>
    </row>
    <row r="7" spans="1:15">
      <c r="A7" s="90">
        <v>6</v>
      </c>
      <c r="B7" s="90" t="s">
        <v>50</v>
      </c>
      <c r="C7" s="90" t="s">
        <v>60</v>
      </c>
      <c r="D7" s="90" t="s">
        <v>58</v>
      </c>
      <c r="E7" s="90" t="s">
        <v>106</v>
      </c>
      <c r="G7" s="90" t="s">
        <v>751</v>
      </c>
      <c r="H7" s="90" t="s">
        <v>266</v>
      </c>
      <c r="I7" s="94">
        <v>120</v>
      </c>
      <c r="J7" s="94" t="s">
        <v>761</v>
      </c>
      <c r="K7" s="93">
        <v>46095</v>
      </c>
      <c r="L7" s="90">
        <v>2026400878</v>
      </c>
      <c r="M7" s="138" t="s">
        <v>197</v>
      </c>
      <c r="N7" s="90">
        <v>2026</v>
      </c>
    </row>
    <row r="8" spans="1:15">
      <c r="A8" s="90">
        <v>7</v>
      </c>
      <c r="B8" s="90" t="s">
        <v>50</v>
      </c>
      <c r="C8" s="90" t="s">
        <v>60</v>
      </c>
      <c r="D8" s="90" t="s">
        <v>58</v>
      </c>
      <c r="E8" s="90" t="s">
        <v>106</v>
      </c>
      <c r="G8" s="90" t="s">
        <v>249</v>
      </c>
      <c r="H8" s="90" t="s">
        <v>266</v>
      </c>
      <c r="I8" s="94">
        <v>256.49350649350652</v>
      </c>
      <c r="J8" s="90" t="s">
        <v>762</v>
      </c>
      <c r="K8" s="93">
        <v>46082</v>
      </c>
      <c r="L8" s="90">
        <v>2026400737</v>
      </c>
      <c r="M8" s="138" t="s">
        <v>197</v>
      </c>
      <c r="N8" s="90">
        <v>2026</v>
      </c>
    </row>
    <row r="9" spans="1:15">
      <c r="A9" s="90">
        <v>8</v>
      </c>
      <c r="B9" s="90" t="s">
        <v>17</v>
      </c>
      <c r="C9" s="90" t="s">
        <v>25</v>
      </c>
      <c r="D9" s="90" t="s">
        <v>58</v>
      </c>
      <c r="E9" s="90" t="s">
        <v>106</v>
      </c>
      <c r="G9" s="90" t="s">
        <v>752</v>
      </c>
      <c r="H9" s="90" t="s">
        <v>266</v>
      </c>
      <c r="I9" s="94">
        <v>292.20779220779218</v>
      </c>
      <c r="J9" s="90" t="s">
        <v>763</v>
      </c>
      <c r="K9" s="93">
        <v>46081</v>
      </c>
      <c r="L9" s="90">
        <v>2026401023</v>
      </c>
      <c r="M9" s="138" t="s">
        <v>197</v>
      </c>
      <c r="N9" s="90">
        <v>2026</v>
      </c>
    </row>
    <row r="10" spans="1:15">
      <c r="A10" s="90">
        <v>9</v>
      </c>
      <c r="B10" s="90" t="s">
        <v>52</v>
      </c>
      <c r="C10" s="90" t="s">
        <v>90</v>
      </c>
      <c r="D10" s="90" t="s">
        <v>58</v>
      </c>
      <c r="E10" s="90" t="s">
        <v>106</v>
      </c>
      <c r="G10" s="90" t="s">
        <v>753</v>
      </c>
      <c r="H10" s="90" t="s">
        <v>266</v>
      </c>
      <c r="I10" s="94">
        <v>107.14285714285714</v>
      </c>
      <c r="J10" s="90" t="s">
        <v>764</v>
      </c>
      <c r="K10" s="93">
        <v>46098</v>
      </c>
      <c r="L10" s="90">
        <v>2026401055</v>
      </c>
      <c r="M10" s="138" t="s">
        <v>197</v>
      </c>
      <c r="N10" s="90">
        <v>2026</v>
      </c>
    </row>
    <row r="11" spans="1:15">
      <c r="A11" s="90">
        <v>10</v>
      </c>
      <c r="B11" s="90" t="s">
        <v>17</v>
      </c>
      <c r="C11" s="90" t="s">
        <v>25</v>
      </c>
      <c r="D11" s="90" t="s">
        <v>58</v>
      </c>
      <c r="E11" s="90" t="s">
        <v>106</v>
      </c>
      <c r="G11" s="90" t="s">
        <v>751</v>
      </c>
      <c r="H11" s="90" t="s">
        <v>266</v>
      </c>
      <c r="I11" s="94">
        <v>900</v>
      </c>
      <c r="J11" s="90" t="s">
        <v>765</v>
      </c>
      <c r="K11" s="93">
        <v>46098</v>
      </c>
      <c r="L11" s="90">
        <v>2026401029</v>
      </c>
      <c r="M11" s="138" t="s">
        <v>197</v>
      </c>
      <c r="N11" s="90">
        <v>2026</v>
      </c>
    </row>
    <row r="12" spans="1:15">
      <c r="A12" s="90">
        <v>11</v>
      </c>
      <c r="B12" s="90" t="s">
        <v>50</v>
      </c>
      <c r="C12" s="90" t="s">
        <v>60</v>
      </c>
      <c r="D12" s="90" t="s">
        <v>58</v>
      </c>
      <c r="E12" s="90" t="s">
        <v>106</v>
      </c>
      <c r="G12" s="90" t="s">
        <v>754</v>
      </c>
      <c r="H12" s="90" t="s">
        <v>266</v>
      </c>
      <c r="I12" s="94">
        <v>16052.57</v>
      </c>
      <c r="J12" s="90" t="s">
        <v>766</v>
      </c>
      <c r="K12" s="93">
        <v>46071</v>
      </c>
      <c r="L12" s="90">
        <v>2026400582</v>
      </c>
      <c r="M12" s="138" t="s">
        <v>197</v>
      </c>
      <c r="N12" s="90">
        <v>2026</v>
      </c>
    </row>
    <row r="13" spans="1:15">
      <c r="A13" s="90">
        <v>12</v>
      </c>
      <c r="B13" s="90" t="s">
        <v>40</v>
      </c>
      <c r="C13" s="90" t="s">
        <v>247</v>
      </c>
      <c r="D13" s="90" t="s">
        <v>58</v>
      </c>
      <c r="E13" s="90" t="s">
        <v>106</v>
      </c>
      <c r="G13" s="90" t="s">
        <v>298</v>
      </c>
      <c r="H13" s="90" t="s">
        <v>266</v>
      </c>
      <c r="I13" s="94">
        <v>884.09090909090912</v>
      </c>
      <c r="J13" s="90" t="s">
        <v>767</v>
      </c>
      <c r="K13" s="93">
        <v>46109</v>
      </c>
      <c r="L13" s="90">
        <v>2026401133</v>
      </c>
      <c r="M13" s="138" t="s">
        <v>197</v>
      </c>
      <c r="N13" s="90">
        <v>2026</v>
      </c>
    </row>
    <row r="14" spans="1:15">
      <c r="A14" s="90">
        <v>13</v>
      </c>
      <c r="B14" s="90" t="s">
        <v>17</v>
      </c>
      <c r="C14" s="90" t="s">
        <v>25</v>
      </c>
      <c r="D14" s="90" t="s">
        <v>58</v>
      </c>
      <c r="E14" s="90" t="s">
        <v>106</v>
      </c>
      <c r="G14" s="90" t="s">
        <v>244</v>
      </c>
      <c r="H14" s="90" t="s">
        <v>266</v>
      </c>
      <c r="I14" s="94">
        <v>974.02597402597405</v>
      </c>
      <c r="J14" s="90" t="s">
        <v>768</v>
      </c>
      <c r="K14" s="93">
        <v>46093</v>
      </c>
      <c r="L14" s="90">
        <v>2026401162</v>
      </c>
      <c r="M14" s="138" t="s">
        <v>197</v>
      </c>
      <c r="N14" s="90">
        <v>2026</v>
      </c>
    </row>
    <row r="15" spans="1:15">
      <c r="A15" s="90">
        <v>14</v>
      </c>
      <c r="B15" s="90" t="s">
        <v>40</v>
      </c>
      <c r="C15" s="90" t="s">
        <v>48</v>
      </c>
      <c r="D15" s="90" t="s">
        <v>58</v>
      </c>
      <c r="E15" s="90" t="s">
        <v>106</v>
      </c>
      <c r="G15" s="90" t="s">
        <v>248</v>
      </c>
      <c r="H15" s="90" t="s">
        <v>266</v>
      </c>
      <c r="I15" s="94">
        <v>389.61038961038963</v>
      </c>
      <c r="J15" s="90" t="s">
        <v>769</v>
      </c>
      <c r="K15" s="93">
        <v>46096</v>
      </c>
      <c r="L15" s="90">
        <v>2026401219</v>
      </c>
      <c r="M15" s="138" t="s">
        <v>197</v>
      </c>
      <c r="N15" s="90">
        <v>2026</v>
      </c>
    </row>
    <row r="16" spans="1:15">
      <c r="A16" s="90">
        <v>15</v>
      </c>
      <c r="B16" s="90" t="s">
        <v>17</v>
      </c>
      <c r="C16" s="90" t="s">
        <v>287</v>
      </c>
      <c r="D16" s="90" t="s">
        <v>58</v>
      </c>
      <c r="E16" s="90" t="s">
        <v>106</v>
      </c>
      <c r="G16" s="90" t="s">
        <v>752</v>
      </c>
      <c r="H16" s="90" t="s">
        <v>266</v>
      </c>
      <c r="I16" s="94">
        <v>7685.7142857142853</v>
      </c>
      <c r="J16" s="90" t="s">
        <v>225</v>
      </c>
      <c r="K16" s="93">
        <v>46114</v>
      </c>
      <c r="L16" s="90">
        <v>2026401169</v>
      </c>
      <c r="M16" s="138" t="s">
        <v>197</v>
      </c>
      <c r="N16" s="90">
        <v>2026</v>
      </c>
    </row>
    <row r="17" spans="1:14">
      <c r="A17" s="90">
        <v>16</v>
      </c>
      <c r="B17" s="90" t="s">
        <v>50</v>
      </c>
      <c r="C17" s="90" t="s">
        <v>60</v>
      </c>
      <c r="D17" s="90" t="s">
        <v>58</v>
      </c>
      <c r="E17" s="90" t="s">
        <v>106</v>
      </c>
      <c r="G17" s="90" t="s">
        <v>755</v>
      </c>
      <c r="H17" s="90" t="s">
        <v>266</v>
      </c>
      <c r="I17" s="94">
        <v>3000</v>
      </c>
      <c r="J17" s="90" t="s">
        <v>770</v>
      </c>
      <c r="K17" s="93">
        <v>46093</v>
      </c>
      <c r="L17" s="90">
        <v>2026400596</v>
      </c>
      <c r="M17" s="138" t="s">
        <v>197</v>
      </c>
      <c r="N17" s="90">
        <v>2026</v>
      </c>
    </row>
    <row r="18" spans="1:14">
      <c r="A18" s="90">
        <v>17</v>
      </c>
      <c r="B18" s="90" t="s">
        <v>17</v>
      </c>
      <c r="C18" s="90" t="s">
        <v>18</v>
      </c>
      <c r="D18" s="90" t="s">
        <v>19</v>
      </c>
      <c r="E18" s="90" t="s">
        <v>106</v>
      </c>
      <c r="G18" s="90" t="s">
        <v>85</v>
      </c>
      <c r="H18" s="90" t="s">
        <v>265</v>
      </c>
      <c r="I18" s="94">
        <v>946.7532467532468</v>
      </c>
      <c r="J18" s="90" t="s">
        <v>14</v>
      </c>
      <c r="K18" s="93" t="s">
        <v>14</v>
      </c>
      <c r="L18" s="90" t="s">
        <v>14</v>
      </c>
      <c r="M18" s="138" t="s">
        <v>197</v>
      </c>
      <c r="N18" s="90">
        <v>2026</v>
      </c>
    </row>
    <row r="19" spans="1:14">
      <c r="A19" s="90">
        <v>18</v>
      </c>
      <c r="B19" s="90" t="s">
        <v>17</v>
      </c>
      <c r="C19" s="90" t="s">
        <v>25</v>
      </c>
      <c r="D19" s="90" t="s">
        <v>19</v>
      </c>
      <c r="E19" s="90" t="s">
        <v>106</v>
      </c>
      <c r="G19" s="90" t="s">
        <v>85</v>
      </c>
      <c r="H19" s="90" t="s">
        <v>265</v>
      </c>
      <c r="I19" s="94">
        <v>4812.6623376623374</v>
      </c>
      <c r="J19" s="90" t="s">
        <v>14</v>
      </c>
      <c r="K19" s="93" t="s">
        <v>14</v>
      </c>
      <c r="L19" s="90" t="s">
        <v>14</v>
      </c>
      <c r="M19" s="138" t="s">
        <v>197</v>
      </c>
      <c r="N19" s="90">
        <v>2026</v>
      </c>
    </row>
    <row r="20" spans="1:14">
      <c r="A20" s="90">
        <v>19</v>
      </c>
      <c r="B20" s="90" t="s">
        <v>729</v>
      </c>
      <c r="C20" s="90" t="s">
        <v>22</v>
      </c>
      <c r="D20" s="90" t="s">
        <v>19</v>
      </c>
      <c r="E20" s="90" t="s">
        <v>106</v>
      </c>
      <c r="G20" s="90" t="s">
        <v>85</v>
      </c>
      <c r="H20" s="90" t="s">
        <v>265</v>
      </c>
      <c r="I20" s="94">
        <v>22258.344155844155</v>
      </c>
      <c r="J20" s="90" t="s">
        <v>14</v>
      </c>
      <c r="K20" s="93" t="s">
        <v>14</v>
      </c>
      <c r="L20" s="90" t="s">
        <v>14</v>
      </c>
      <c r="M20" s="138" t="s">
        <v>197</v>
      </c>
      <c r="N20" s="90">
        <v>2026</v>
      </c>
    </row>
    <row r="21" spans="1:14">
      <c r="A21" s="90">
        <v>20</v>
      </c>
      <c r="B21" s="90" t="s">
        <v>33</v>
      </c>
      <c r="C21" s="90" t="s">
        <v>35</v>
      </c>
      <c r="D21" s="90" t="s">
        <v>19</v>
      </c>
      <c r="E21" s="90" t="s">
        <v>106</v>
      </c>
      <c r="G21" s="90" t="s">
        <v>85</v>
      </c>
      <c r="H21" s="90" t="s">
        <v>265</v>
      </c>
      <c r="I21" s="94">
        <v>2051.2987012987014</v>
      </c>
      <c r="J21" s="90" t="s">
        <v>14</v>
      </c>
      <c r="K21" s="93" t="s">
        <v>14</v>
      </c>
      <c r="L21" s="90" t="s">
        <v>14</v>
      </c>
      <c r="M21" s="138" t="s">
        <v>197</v>
      </c>
      <c r="N21" s="90">
        <v>2026</v>
      </c>
    </row>
    <row r="22" spans="1:14">
      <c r="A22" s="90">
        <v>21</v>
      </c>
      <c r="B22" s="90" t="s">
        <v>40</v>
      </c>
      <c r="C22" s="90" t="s">
        <v>45</v>
      </c>
      <c r="D22" s="90" t="s">
        <v>19</v>
      </c>
      <c r="E22" s="90" t="s">
        <v>106</v>
      </c>
      <c r="G22" s="90" t="s">
        <v>85</v>
      </c>
      <c r="H22" s="90" t="s">
        <v>265</v>
      </c>
      <c r="I22" s="94">
        <v>22012.012987012986</v>
      </c>
      <c r="J22" s="90" t="s">
        <v>14</v>
      </c>
      <c r="K22" s="93" t="s">
        <v>14</v>
      </c>
      <c r="L22" s="90" t="s">
        <v>14</v>
      </c>
      <c r="M22" s="138" t="s">
        <v>197</v>
      </c>
      <c r="N22" s="90">
        <v>2026</v>
      </c>
    </row>
    <row r="23" spans="1:14">
      <c r="A23" s="90">
        <v>22</v>
      </c>
      <c r="B23" s="90" t="s">
        <v>40</v>
      </c>
      <c r="C23" s="90" t="s">
        <v>247</v>
      </c>
      <c r="D23" s="90" t="s">
        <v>19</v>
      </c>
      <c r="E23" s="90" t="s">
        <v>106</v>
      </c>
      <c r="G23" s="90" t="s">
        <v>85</v>
      </c>
      <c r="H23" s="90" t="s">
        <v>265</v>
      </c>
      <c r="I23" s="94">
        <v>2366.8831168831171</v>
      </c>
      <c r="J23" s="90" t="s">
        <v>14</v>
      </c>
      <c r="K23" s="93" t="s">
        <v>14</v>
      </c>
      <c r="L23" s="90" t="s">
        <v>14</v>
      </c>
      <c r="M23" s="138" t="s">
        <v>197</v>
      </c>
      <c r="N23" s="90">
        <v>2026</v>
      </c>
    </row>
    <row r="24" spans="1:14">
      <c r="A24" s="90">
        <v>23</v>
      </c>
      <c r="B24" s="90" t="s">
        <v>50</v>
      </c>
      <c r="C24" s="90" t="s">
        <v>60</v>
      </c>
      <c r="D24" s="90" t="s">
        <v>19</v>
      </c>
      <c r="E24" s="90" t="s">
        <v>106</v>
      </c>
      <c r="G24" s="90" t="s">
        <v>85</v>
      </c>
      <c r="H24" s="90" t="s">
        <v>730</v>
      </c>
      <c r="I24" s="94">
        <v>55605.974025974028</v>
      </c>
      <c r="J24" s="90" t="s">
        <v>14</v>
      </c>
      <c r="K24" s="93" t="s">
        <v>14</v>
      </c>
      <c r="L24" s="90" t="s">
        <v>14</v>
      </c>
      <c r="M24" s="138" t="s">
        <v>197</v>
      </c>
      <c r="N24" s="90">
        <v>2026</v>
      </c>
    </row>
    <row r="25" spans="1:14">
      <c r="A25" s="90">
        <v>24</v>
      </c>
      <c r="B25" s="90" t="s">
        <v>50</v>
      </c>
      <c r="C25" s="90" t="s">
        <v>60</v>
      </c>
      <c r="D25" s="90" t="s">
        <v>19</v>
      </c>
      <c r="E25" s="90" t="s">
        <v>106</v>
      </c>
      <c r="G25" s="90" t="s">
        <v>85</v>
      </c>
      <c r="H25" s="90" t="s">
        <v>731</v>
      </c>
      <c r="I25" s="94">
        <v>11818.636363636364</v>
      </c>
      <c r="J25" s="90" t="s">
        <v>14</v>
      </c>
      <c r="K25" s="93" t="s">
        <v>14</v>
      </c>
      <c r="L25" s="90" t="s">
        <v>14</v>
      </c>
      <c r="M25" s="138" t="s">
        <v>197</v>
      </c>
      <c r="N25" s="90">
        <v>2026</v>
      </c>
    </row>
    <row r="26" spans="1:14">
      <c r="A26" s="90">
        <v>25</v>
      </c>
      <c r="B26" s="90" t="s">
        <v>50</v>
      </c>
      <c r="C26" s="90" t="s">
        <v>60</v>
      </c>
      <c r="D26" s="90" t="s">
        <v>19</v>
      </c>
      <c r="E26" s="90" t="s">
        <v>106</v>
      </c>
      <c r="G26" s="90" t="s">
        <v>85</v>
      </c>
      <c r="H26" s="90" t="s">
        <v>732</v>
      </c>
      <c r="I26" s="94">
        <v>7858.0519480519479</v>
      </c>
      <c r="J26" s="90" t="s">
        <v>14</v>
      </c>
      <c r="K26" s="93" t="s">
        <v>14</v>
      </c>
      <c r="L26" s="90" t="s">
        <v>14</v>
      </c>
      <c r="M26" s="138" t="s">
        <v>197</v>
      </c>
      <c r="N26" s="90">
        <v>2026</v>
      </c>
    </row>
    <row r="27" spans="1:14">
      <c r="A27" s="90">
        <v>26</v>
      </c>
      <c r="B27" s="90" t="s">
        <v>50</v>
      </c>
      <c r="C27" s="90" t="s">
        <v>60</v>
      </c>
      <c r="D27" s="90" t="s">
        <v>19</v>
      </c>
      <c r="E27" s="90" t="s">
        <v>106</v>
      </c>
      <c r="G27" s="90" t="s">
        <v>85</v>
      </c>
      <c r="H27" s="90" t="s">
        <v>733</v>
      </c>
      <c r="I27" s="94">
        <v>2792.9220779220777</v>
      </c>
      <c r="J27" s="90" t="s">
        <v>14</v>
      </c>
      <c r="K27" s="93" t="s">
        <v>14</v>
      </c>
      <c r="L27" s="90" t="s">
        <v>14</v>
      </c>
      <c r="M27" s="138" t="s">
        <v>197</v>
      </c>
      <c r="N27" s="90">
        <v>2026</v>
      </c>
    </row>
    <row r="28" spans="1:14">
      <c r="A28" s="90">
        <v>27</v>
      </c>
      <c r="B28" s="90" t="s">
        <v>50</v>
      </c>
      <c r="C28" s="90" t="s">
        <v>60</v>
      </c>
      <c r="D28" s="90" t="s">
        <v>19</v>
      </c>
      <c r="E28" s="90" t="s">
        <v>106</v>
      </c>
      <c r="G28" s="90" t="s">
        <v>85</v>
      </c>
      <c r="H28" s="90" t="s">
        <v>734</v>
      </c>
      <c r="I28" s="94">
        <v>3550.3246753246754</v>
      </c>
      <c r="J28" s="90" t="s">
        <v>14</v>
      </c>
      <c r="K28" s="93" t="s">
        <v>14</v>
      </c>
      <c r="L28" s="90" t="s">
        <v>14</v>
      </c>
      <c r="M28" s="138" t="s">
        <v>197</v>
      </c>
      <c r="N28" s="90">
        <v>2026</v>
      </c>
    </row>
    <row r="29" spans="1:14">
      <c r="A29" s="90">
        <v>128</v>
      </c>
      <c r="B29" s="90" t="s">
        <v>31</v>
      </c>
      <c r="C29" s="90" t="s">
        <v>32</v>
      </c>
      <c r="D29" s="90" t="s">
        <v>19</v>
      </c>
      <c r="E29" s="90" t="s">
        <v>106</v>
      </c>
      <c r="G29" s="90" t="s">
        <v>257</v>
      </c>
      <c r="I29" s="94">
        <v>11665.122615803815</v>
      </c>
      <c r="J29" s="90" t="s">
        <v>785</v>
      </c>
      <c r="K29" s="93" t="s">
        <v>786</v>
      </c>
      <c r="L29" s="90" t="s">
        <v>14</v>
      </c>
      <c r="M29" s="138" t="s">
        <v>197</v>
      </c>
      <c r="N29" s="90">
        <v>2026</v>
      </c>
    </row>
    <row r="30" spans="1:14">
      <c r="K30" s="93"/>
      <c r="M30" s="92"/>
    </row>
    <row r="31" spans="1:14">
      <c r="K31" s="93"/>
      <c r="M31" s="92"/>
    </row>
    <row r="32" spans="1:14">
      <c r="K32" s="93"/>
      <c r="M32" s="92"/>
    </row>
    <row r="33" spans="11:13">
      <c r="K33" s="93"/>
      <c r="M33" s="92"/>
    </row>
    <row r="34" spans="11:13">
      <c r="K34" s="93"/>
      <c r="M34" s="92"/>
    </row>
    <row r="35" spans="11:13">
      <c r="K35" s="93"/>
      <c r="M35" s="92"/>
    </row>
    <row r="36" spans="11:13">
      <c r="K36" s="93"/>
      <c r="M36" s="92"/>
    </row>
    <row r="37" spans="11:13">
      <c r="K37" s="93"/>
      <c r="M37" s="92"/>
    </row>
    <row r="38" spans="11:13">
      <c r="K38" s="93"/>
      <c r="M38" s="92"/>
    </row>
    <row r="39" spans="11:13">
      <c r="K39" s="93"/>
      <c r="M39" s="92"/>
    </row>
    <row r="40" spans="11:13">
      <c r="K40" s="93"/>
      <c r="M40" s="92"/>
    </row>
    <row r="41" spans="11:13">
      <c r="K41" s="93"/>
      <c r="M41" s="92"/>
    </row>
    <row r="42" spans="11:13">
      <c r="K42" s="93"/>
      <c r="M42" s="92"/>
    </row>
    <row r="43" spans="11:13">
      <c r="K43" s="93"/>
      <c r="M43" s="92"/>
    </row>
    <row r="44" spans="11:13">
      <c r="K44" s="93"/>
      <c r="M44" s="92"/>
    </row>
    <row r="45" spans="11:13">
      <c r="K45" s="93"/>
      <c r="M45" s="92"/>
    </row>
    <row r="46" spans="11:13">
      <c r="K46" s="93"/>
      <c r="M46" s="92"/>
    </row>
    <row r="47" spans="11:13">
      <c r="K47" s="93"/>
      <c r="M47" s="92"/>
    </row>
    <row r="48" spans="11:13">
      <c r="K48" s="93"/>
      <c r="M48" s="92"/>
    </row>
    <row r="49" spans="11:13">
      <c r="K49" s="93"/>
      <c r="M49" s="92"/>
    </row>
    <row r="50" spans="11:13">
      <c r="K50" s="93"/>
      <c r="M50" s="92"/>
    </row>
  </sheetData>
  <autoFilter ref="A1:N1" xr:uid="{00000000-0009-0000-0000-00000F000000}"/>
  <dataValidations count="1">
    <dataValidation type="list" allowBlank="1" showInputMessage="1" showErrorMessage="1" sqref="C25 C27:C509 C2:C23" xr:uid="{00000000-0002-0000-0F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F00-000000000000}">
          <x14:formula1>
            <xm:f>List!$P$2:$P$11</xm:f>
          </x14:formula1>
          <xm:sqref>B2:B509</xm:sqref>
        </x14:dataValidation>
        <x14:dataValidation type="list" allowBlank="1" showInputMessage="1" showErrorMessage="1" xr:uid="{00000000-0002-0000-0F00-000003000000}">
          <x14:formula1>
            <xm:f>List!$E$2:$E$32</xm:f>
          </x14:formula1>
          <xm:sqref>E51:E509</xm:sqref>
        </x14:dataValidation>
        <x14:dataValidation type="list" allowBlank="1" showInputMessage="1" showErrorMessage="1" xr:uid="{00000000-0002-0000-0F00-000004000000}">
          <x14:formula1>
            <xm:f>List!$H$2:$H$13</xm:f>
          </x14:formula1>
          <xm:sqref>M51:M509</xm:sqref>
        </x14:dataValidation>
        <x14:dataValidation type="list" allowBlank="1" showInputMessage="1" showErrorMessage="1" xr:uid="{00000000-0002-0000-0F00-000005000000}">
          <x14:formula1>
            <xm:f>List!$J$2:$J$4</xm:f>
          </x14:formula1>
          <xm:sqref>N51:N509</xm:sqref>
        </x14:dataValidation>
        <x14:dataValidation type="list" allowBlank="1" showInputMessage="1" showErrorMessage="1" xr:uid="{00000000-0002-0000-0F00-000002000000}">
          <x14:formula1>
            <xm:f>List!$C$2:$C$3</xm:f>
          </x14:formula1>
          <xm:sqref>D2:D509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N1048476"/>
  <sheetViews>
    <sheetView workbookViewId="0">
      <selection activeCell="A2" sqref="A2:N9"/>
    </sheetView>
  </sheetViews>
  <sheetFormatPr defaultColWidth="9" defaultRowHeight="14.5"/>
  <cols>
    <col min="1" max="1" width="5.36328125" style="90" customWidth="1"/>
    <col min="2" max="2" width="9.36328125" style="90" customWidth="1"/>
    <col min="3" max="3" width="10.6328125" style="90" bestFit="1" customWidth="1"/>
    <col min="4" max="4" width="9" style="90" customWidth="1"/>
    <col min="5" max="5" width="19.81640625" style="90" customWidth="1"/>
    <col min="6" max="6" width="10.1796875" style="90" customWidth="1"/>
    <col min="7" max="7" width="19.90625" style="90" bestFit="1" customWidth="1"/>
    <col min="8" max="8" width="19.81640625" style="90" bestFit="1" customWidth="1"/>
    <col min="9" max="9" width="18.08984375" style="90" customWidth="1"/>
    <col min="10" max="10" width="10.08984375" style="90" customWidth="1"/>
    <col min="11" max="11" width="11.1796875" style="90" customWidth="1"/>
    <col min="12" max="12" width="10.54296875" style="90" customWidth="1"/>
    <col min="13" max="13" width="6.54296875" style="90" customWidth="1"/>
    <col min="14" max="14" width="4.81640625" style="90" customWidth="1"/>
    <col min="15" max="16384" width="9" style="90"/>
  </cols>
  <sheetData>
    <row r="1" spans="1:14">
      <c r="A1" s="102" t="s">
        <v>0</v>
      </c>
      <c r="B1" s="102" t="s">
        <v>1</v>
      </c>
      <c r="C1" s="102" t="s">
        <v>2</v>
      </c>
      <c r="D1" s="102" t="s">
        <v>3</v>
      </c>
      <c r="E1" s="102" t="s">
        <v>4</v>
      </c>
      <c r="F1" s="102" t="s">
        <v>5</v>
      </c>
      <c r="G1" s="102" t="s">
        <v>6</v>
      </c>
      <c r="H1" s="102" t="s">
        <v>7</v>
      </c>
      <c r="I1" s="102" t="s">
        <v>8</v>
      </c>
      <c r="J1" s="102" t="s">
        <v>9</v>
      </c>
      <c r="K1" s="102" t="s">
        <v>10</v>
      </c>
      <c r="L1" s="102" t="s">
        <v>11</v>
      </c>
      <c r="M1" s="102" t="s">
        <v>12</v>
      </c>
      <c r="N1" s="102" t="s">
        <v>13</v>
      </c>
    </row>
    <row r="2" spans="1:14">
      <c r="A2" s="99">
        <v>1</v>
      </c>
      <c r="B2" s="98" t="s">
        <v>17</v>
      </c>
      <c r="C2" s="99" t="s">
        <v>22</v>
      </c>
      <c r="D2" s="99" t="s">
        <v>19</v>
      </c>
      <c r="E2" s="99" t="s">
        <v>104</v>
      </c>
      <c r="F2" s="99"/>
      <c r="G2" s="99" t="s">
        <v>83</v>
      </c>
      <c r="H2" s="99" t="s">
        <v>105</v>
      </c>
      <c r="I2" s="100">
        <v>3612.9870129870133</v>
      </c>
      <c r="J2" s="99" t="s">
        <v>14</v>
      </c>
      <c r="K2" s="99" t="s">
        <v>14</v>
      </c>
      <c r="L2" s="99" t="s">
        <v>14</v>
      </c>
      <c r="M2" s="139" t="s">
        <v>197</v>
      </c>
      <c r="N2" s="99">
        <v>2026</v>
      </c>
    </row>
    <row r="3" spans="1:14">
      <c r="A3" s="99">
        <v>2</v>
      </c>
      <c r="B3" s="98" t="s">
        <v>17</v>
      </c>
      <c r="C3" s="99" t="s">
        <v>24</v>
      </c>
      <c r="D3" s="99" t="s">
        <v>19</v>
      </c>
      <c r="E3" s="99" t="s">
        <v>104</v>
      </c>
      <c r="F3" s="99"/>
      <c r="G3" s="99" t="s">
        <v>83</v>
      </c>
      <c r="H3" s="99" t="s">
        <v>105</v>
      </c>
      <c r="I3" s="100">
        <v>607.79220779220782</v>
      </c>
      <c r="J3" s="99" t="s">
        <v>14</v>
      </c>
      <c r="K3" s="99" t="s">
        <v>14</v>
      </c>
      <c r="L3" s="99" t="s">
        <v>14</v>
      </c>
      <c r="M3" s="139" t="s">
        <v>197</v>
      </c>
      <c r="N3" s="99">
        <v>2026</v>
      </c>
    </row>
    <row r="4" spans="1:14">
      <c r="A4" s="99">
        <v>3</v>
      </c>
      <c r="B4" s="98" t="s">
        <v>17</v>
      </c>
      <c r="C4" s="99" t="s">
        <v>25</v>
      </c>
      <c r="D4" s="99" t="s">
        <v>19</v>
      </c>
      <c r="E4" s="99" t="s">
        <v>104</v>
      </c>
      <c r="F4" s="99"/>
      <c r="G4" s="99" t="s">
        <v>83</v>
      </c>
      <c r="H4" s="99" t="s">
        <v>105</v>
      </c>
      <c r="I4" s="100">
        <v>11514.285714285716</v>
      </c>
      <c r="J4" s="99" t="s">
        <v>14</v>
      </c>
      <c r="K4" s="99" t="s">
        <v>14</v>
      </c>
      <c r="L4" s="99" t="s">
        <v>14</v>
      </c>
      <c r="M4" s="139" t="s">
        <v>197</v>
      </c>
      <c r="N4" s="99">
        <v>2026</v>
      </c>
    </row>
    <row r="5" spans="1:14">
      <c r="A5" s="99">
        <v>4</v>
      </c>
      <c r="B5" s="99" t="s">
        <v>31</v>
      </c>
      <c r="C5" s="99" t="s">
        <v>32</v>
      </c>
      <c r="D5" s="99" t="s">
        <v>19</v>
      </c>
      <c r="E5" s="99" t="s">
        <v>104</v>
      </c>
      <c r="F5" s="99"/>
      <c r="G5" s="99" t="s">
        <v>83</v>
      </c>
      <c r="H5" s="99" t="s">
        <v>105</v>
      </c>
      <c r="I5" s="100">
        <v>675.32467532467535</v>
      </c>
      <c r="J5" s="99" t="s">
        <v>14</v>
      </c>
      <c r="K5" s="99" t="s">
        <v>14</v>
      </c>
      <c r="L5" s="99" t="s">
        <v>14</v>
      </c>
      <c r="M5" s="139" t="s">
        <v>197</v>
      </c>
      <c r="N5" s="99">
        <v>2026</v>
      </c>
    </row>
    <row r="6" spans="1:14">
      <c r="A6" s="99">
        <v>5</v>
      </c>
      <c r="B6" s="99" t="s">
        <v>31</v>
      </c>
      <c r="C6" s="99" t="s">
        <v>32</v>
      </c>
      <c r="D6" s="99" t="s">
        <v>19</v>
      </c>
      <c r="E6" s="99" t="s">
        <v>104</v>
      </c>
      <c r="F6" s="99"/>
      <c r="G6" s="99" t="s">
        <v>83</v>
      </c>
      <c r="H6" s="99" t="s">
        <v>105</v>
      </c>
      <c r="I6" s="100">
        <v>1316.8831168831171</v>
      </c>
      <c r="J6" s="99" t="s">
        <v>14</v>
      </c>
      <c r="K6" s="99" t="s">
        <v>14</v>
      </c>
      <c r="L6" s="99" t="s">
        <v>14</v>
      </c>
      <c r="M6" s="139" t="s">
        <v>197</v>
      </c>
      <c r="N6" s="99">
        <v>2026</v>
      </c>
    </row>
    <row r="7" spans="1:14">
      <c r="A7" s="99">
        <v>6</v>
      </c>
      <c r="B7" s="99" t="s">
        <v>40</v>
      </c>
      <c r="C7" s="99" t="s">
        <v>247</v>
      </c>
      <c r="D7" s="99" t="s">
        <v>19</v>
      </c>
      <c r="E7" s="99" t="s">
        <v>104</v>
      </c>
      <c r="F7" s="99"/>
      <c r="G7" s="99" t="s">
        <v>83</v>
      </c>
      <c r="H7" s="99" t="s">
        <v>105</v>
      </c>
      <c r="I7" s="100">
        <v>641.55844155844159</v>
      </c>
      <c r="J7" s="99" t="s">
        <v>14</v>
      </c>
      <c r="K7" s="99" t="s">
        <v>14</v>
      </c>
      <c r="L7" s="99" t="s">
        <v>14</v>
      </c>
      <c r="M7" s="139" t="s">
        <v>197</v>
      </c>
      <c r="N7" s="99">
        <v>2026</v>
      </c>
    </row>
    <row r="8" spans="1:14">
      <c r="A8" s="99">
        <v>7</v>
      </c>
      <c r="B8" s="99" t="s">
        <v>33</v>
      </c>
      <c r="C8" s="99" t="s">
        <v>34</v>
      </c>
      <c r="D8" s="99" t="s">
        <v>19</v>
      </c>
      <c r="E8" s="99" t="s">
        <v>104</v>
      </c>
      <c r="F8" s="99"/>
      <c r="G8" s="99" t="s">
        <v>83</v>
      </c>
      <c r="H8" s="99" t="s">
        <v>105</v>
      </c>
      <c r="I8" s="100">
        <v>675.32467532467535</v>
      </c>
      <c r="J8" s="99" t="s">
        <v>14</v>
      </c>
      <c r="K8" s="99" t="s">
        <v>14</v>
      </c>
      <c r="L8" s="99" t="s">
        <v>14</v>
      </c>
      <c r="M8" s="139" t="s">
        <v>197</v>
      </c>
      <c r="N8" s="99">
        <v>2026</v>
      </c>
    </row>
    <row r="9" spans="1:14">
      <c r="A9" s="99">
        <v>8</v>
      </c>
      <c r="B9" s="99" t="s">
        <v>40</v>
      </c>
      <c r="C9" s="99" t="s">
        <v>49</v>
      </c>
      <c r="D9" s="99" t="s">
        <v>58</v>
      </c>
      <c r="E9" s="99" t="s">
        <v>104</v>
      </c>
      <c r="F9" s="99"/>
      <c r="G9" s="99" t="s">
        <v>88</v>
      </c>
      <c r="H9" s="99" t="s">
        <v>105</v>
      </c>
      <c r="I9" s="101">
        <f>1950000/1540</f>
        <v>1266.2337662337663</v>
      </c>
      <c r="J9" s="103">
        <v>2540</v>
      </c>
      <c r="K9" s="104">
        <v>46112</v>
      </c>
      <c r="L9" s="99" t="s">
        <v>14</v>
      </c>
      <c r="M9" s="139" t="s">
        <v>197</v>
      </c>
      <c r="N9" s="99">
        <v>2026</v>
      </c>
    </row>
    <row r="1048476" spans="8:8">
      <c r="H1048476" s="99"/>
    </row>
  </sheetData>
  <autoFilter ref="A1:N5" xr:uid="{00000000-0001-0000-0D00-000000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N13"/>
  <sheetViews>
    <sheetView topLeftCell="E1" workbookViewId="0">
      <selection activeCell="A13" sqref="A13:N13"/>
    </sheetView>
  </sheetViews>
  <sheetFormatPr defaultColWidth="9" defaultRowHeight="14.5"/>
  <cols>
    <col min="1" max="1" width="5.36328125" style="41" customWidth="1"/>
    <col min="2" max="2" width="9.36328125" style="41" customWidth="1"/>
    <col min="3" max="3" width="9.453125" style="41" customWidth="1"/>
    <col min="4" max="4" width="8.90625" style="41" customWidth="1"/>
    <col min="5" max="5" width="29" style="41" customWidth="1"/>
    <col min="6" max="6" width="10.08984375" style="41" customWidth="1"/>
    <col min="7" max="7" width="28.6328125" style="41" customWidth="1"/>
    <col min="8" max="8" width="23.54296875" style="41" bestFit="1" customWidth="1"/>
    <col min="9" max="9" width="15.453125" style="96" customWidth="1"/>
    <col min="10" max="10" width="10.08984375" style="41" customWidth="1"/>
    <col min="11" max="11" width="11.08984375" style="41" customWidth="1"/>
    <col min="12" max="12" width="10.81640625" style="41" customWidth="1"/>
    <col min="13" max="13" width="6.453125" style="41" customWidth="1"/>
    <col min="14" max="14" width="4.81640625" style="41" customWidth="1"/>
    <col min="15" max="16384" width="9" style="41"/>
  </cols>
  <sheetData>
    <row r="1" spans="1:14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16</v>
      </c>
      <c r="J1" s="66" t="s">
        <v>9</v>
      </c>
      <c r="K1" s="66" t="s">
        <v>10</v>
      </c>
      <c r="L1" s="66" t="s">
        <v>11</v>
      </c>
      <c r="M1" s="66" t="s">
        <v>12</v>
      </c>
      <c r="N1" s="66" t="s">
        <v>13</v>
      </c>
    </row>
    <row r="2" spans="1:14">
      <c r="A2" s="41">
        <v>1</v>
      </c>
      <c r="B2" s="41" t="s">
        <v>50</v>
      </c>
      <c r="C2" s="41" t="s">
        <v>60</v>
      </c>
      <c r="D2" s="41" t="s">
        <v>58</v>
      </c>
      <c r="E2" s="41" t="s">
        <v>108</v>
      </c>
      <c r="G2" s="41" t="s">
        <v>737</v>
      </c>
      <c r="I2" s="96">
        <v>20578</v>
      </c>
      <c r="J2" s="41" t="s">
        <v>741</v>
      </c>
      <c r="K2" s="57">
        <v>46083</v>
      </c>
      <c r="L2" s="41">
        <v>2026400693</v>
      </c>
      <c r="M2" s="145" t="s">
        <v>197</v>
      </c>
      <c r="N2" s="41">
        <v>2026</v>
      </c>
    </row>
    <row r="3" spans="1:14">
      <c r="A3" s="41">
        <v>2</v>
      </c>
      <c r="B3" s="41" t="s">
        <v>40</v>
      </c>
      <c r="C3" s="115" t="s">
        <v>48</v>
      </c>
      <c r="D3" s="41" t="s">
        <v>58</v>
      </c>
      <c r="E3" s="41" t="s">
        <v>108</v>
      </c>
      <c r="G3" s="41" t="s">
        <v>738</v>
      </c>
      <c r="I3" s="96">
        <v>13184</v>
      </c>
      <c r="J3" s="67" t="s">
        <v>742</v>
      </c>
      <c r="K3" s="95">
        <v>46088</v>
      </c>
      <c r="L3" s="67">
        <v>2026400597</v>
      </c>
      <c r="M3" s="145" t="s">
        <v>197</v>
      </c>
      <c r="N3" s="41">
        <v>2026</v>
      </c>
    </row>
    <row r="4" spans="1:14">
      <c r="A4" s="41">
        <v>3</v>
      </c>
      <c r="B4" s="115" t="s">
        <v>52</v>
      </c>
      <c r="C4" s="115" t="s">
        <v>90</v>
      </c>
      <c r="D4" s="41" t="s">
        <v>58</v>
      </c>
      <c r="E4" s="41" t="s">
        <v>108</v>
      </c>
      <c r="G4" s="41" t="s">
        <v>739</v>
      </c>
      <c r="I4" s="96">
        <v>37012.987012987011</v>
      </c>
      <c r="J4" s="122" t="s">
        <v>743</v>
      </c>
      <c r="K4" s="123">
        <v>46093</v>
      </c>
      <c r="L4" s="67">
        <v>2026400893</v>
      </c>
      <c r="M4" s="145" t="s">
        <v>197</v>
      </c>
      <c r="N4" s="41">
        <v>2026</v>
      </c>
    </row>
    <row r="5" spans="1:14">
      <c r="A5" s="41">
        <v>4</v>
      </c>
      <c r="B5" s="41" t="s">
        <v>52</v>
      </c>
      <c r="C5" s="41" t="s">
        <v>90</v>
      </c>
      <c r="D5" s="41" t="s">
        <v>58</v>
      </c>
      <c r="E5" s="41" t="s">
        <v>108</v>
      </c>
      <c r="G5" s="41" t="s">
        <v>739</v>
      </c>
      <c r="I5" s="96">
        <v>18181.81818181818</v>
      </c>
      <c r="J5" s="41" t="s">
        <v>744</v>
      </c>
      <c r="K5" s="57">
        <v>46093</v>
      </c>
      <c r="L5" s="41">
        <v>2026400891</v>
      </c>
      <c r="M5" s="145" t="s">
        <v>197</v>
      </c>
      <c r="N5" s="41">
        <v>2026</v>
      </c>
    </row>
    <row r="6" spans="1:14">
      <c r="A6" s="41">
        <v>5</v>
      </c>
      <c r="B6" s="115" t="s">
        <v>52</v>
      </c>
      <c r="C6" s="115" t="s">
        <v>90</v>
      </c>
      <c r="D6" s="41" t="s">
        <v>58</v>
      </c>
      <c r="E6" s="41" t="s">
        <v>108</v>
      </c>
      <c r="G6" s="115" t="s">
        <v>739</v>
      </c>
      <c r="H6" s="88"/>
      <c r="I6" s="97">
        <v>20779.220779220781</v>
      </c>
      <c r="J6" s="88" t="s">
        <v>745</v>
      </c>
      <c r="K6" s="144">
        <v>46093</v>
      </c>
      <c r="L6" s="88">
        <v>2026400892</v>
      </c>
      <c r="M6" s="145" t="s">
        <v>197</v>
      </c>
      <c r="N6" s="41">
        <v>2026</v>
      </c>
    </row>
    <row r="7" spans="1:14">
      <c r="A7" s="41">
        <v>6</v>
      </c>
      <c r="B7" s="115" t="s">
        <v>17</v>
      </c>
      <c r="C7" s="115" t="s">
        <v>24</v>
      </c>
      <c r="D7" s="41" t="s">
        <v>58</v>
      </c>
      <c r="E7" s="41" t="s">
        <v>108</v>
      </c>
      <c r="G7" s="115" t="s">
        <v>740</v>
      </c>
      <c r="H7" s="88"/>
      <c r="I7" s="97">
        <v>73090.909090909088</v>
      </c>
      <c r="J7" s="88" t="s">
        <v>746</v>
      </c>
      <c r="K7" s="144">
        <v>46092</v>
      </c>
      <c r="L7" s="88">
        <v>2026400031</v>
      </c>
      <c r="M7" s="145" t="s">
        <v>197</v>
      </c>
      <c r="N7" s="41">
        <v>2026</v>
      </c>
    </row>
    <row r="8" spans="1:14">
      <c r="A8" s="41">
        <v>7</v>
      </c>
      <c r="B8" s="145" t="s">
        <v>40</v>
      </c>
      <c r="C8" s="145" t="s">
        <v>48</v>
      </c>
      <c r="D8" s="41" t="s">
        <v>58</v>
      </c>
      <c r="E8" s="41" t="s">
        <v>108</v>
      </c>
      <c r="G8" s="115" t="s">
        <v>747</v>
      </c>
      <c r="H8" s="88"/>
      <c r="I8" s="56">
        <v>5681.818181818182</v>
      </c>
      <c r="J8" s="88" t="s">
        <v>14</v>
      </c>
      <c r="K8" s="144">
        <v>46091</v>
      </c>
      <c r="L8" s="88">
        <v>2026401204</v>
      </c>
      <c r="M8" s="145" t="s">
        <v>197</v>
      </c>
      <c r="N8" s="41">
        <v>2026</v>
      </c>
    </row>
    <row r="9" spans="1:14">
      <c r="A9" s="41">
        <v>8</v>
      </c>
      <c r="B9" s="41" t="s">
        <v>52</v>
      </c>
      <c r="C9" s="41" t="s">
        <v>53</v>
      </c>
      <c r="D9" s="41" t="s">
        <v>19</v>
      </c>
      <c r="E9" s="41" t="s">
        <v>108</v>
      </c>
      <c r="G9" s="41" t="s">
        <v>272</v>
      </c>
      <c r="I9" s="96">
        <v>127524</v>
      </c>
      <c r="J9" s="41" t="s">
        <v>14</v>
      </c>
      <c r="K9" s="41" t="s">
        <v>14</v>
      </c>
      <c r="L9" s="41" t="s">
        <v>14</v>
      </c>
      <c r="M9" s="145" t="s">
        <v>197</v>
      </c>
      <c r="N9" s="41">
        <v>2026</v>
      </c>
    </row>
    <row r="10" spans="1:14">
      <c r="A10" s="41">
        <v>9</v>
      </c>
      <c r="B10" s="41" t="s">
        <v>50</v>
      </c>
      <c r="C10" s="41" t="s">
        <v>60</v>
      </c>
      <c r="D10" s="41" t="s">
        <v>19</v>
      </c>
      <c r="E10" s="41" t="s">
        <v>108</v>
      </c>
      <c r="G10" s="41" t="s">
        <v>229</v>
      </c>
      <c r="I10" s="96">
        <v>160000</v>
      </c>
      <c r="J10" s="41" t="s">
        <v>14</v>
      </c>
      <c r="K10" s="41" t="s">
        <v>14</v>
      </c>
      <c r="L10" s="41" t="s">
        <v>14</v>
      </c>
      <c r="M10" s="145" t="s">
        <v>197</v>
      </c>
      <c r="N10" s="41">
        <v>2026</v>
      </c>
    </row>
    <row r="11" spans="1:14">
      <c r="A11" s="41">
        <v>10</v>
      </c>
      <c r="B11" s="41" t="s">
        <v>40</v>
      </c>
      <c r="C11" s="41" t="s">
        <v>43</v>
      </c>
      <c r="D11" s="41" t="s">
        <v>19</v>
      </c>
      <c r="E11" s="41" t="s">
        <v>108</v>
      </c>
      <c r="G11" s="41" t="s">
        <v>229</v>
      </c>
      <c r="I11" s="96">
        <v>65000</v>
      </c>
      <c r="J11" s="41" t="s">
        <v>14</v>
      </c>
      <c r="K11" s="41" t="s">
        <v>14</v>
      </c>
      <c r="L11" s="41" t="s">
        <v>14</v>
      </c>
      <c r="M11" s="145" t="s">
        <v>197</v>
      </c>
      <c r="N11" s="41">
        <v>2026</v>
      </c>
    </row>
    <row r="12" spans="1:14">
      <c r="A12" s="41">
        <v>11</v>
      </c>
      <c r="B12" s="41" t="s">
        <v>17</v>
      </c>
      <c r="C12" s="41" t="s">
        <v>25</v>
      </c>
      <c r="D12" s="41" t="s">
        <v>19</v>
      </c>
      <c r="E12" s="41" t="s">
        <v>108</v>
      </c>
      <c r="G12" s="41" t="s">
        <v>771</v>
      </c>
      <c r="I12" s="96">
        <v>68255</v>
      </c>
      <c r="J12" s="41" t="s">
        <v>14</v>
      </c>
      <c r="K12" s="41" t="s">
        <v>14</v>
      </c>
      <c r="L12" s="41" t="s">
        <v>14</v>
      </c>
      <c r="M12" s="145" t="s">
        <v>197</v>
      </c>
      <c r="N12" s="41">
        <v>2026</v>
      </c>
    </row>
    <row r="13" spans="1:14">
      <c r="A13" s="41">
        <v>12</v>
      </c>
      <c r="B13" s="41" t="s">
        <v>17</v>
      </c>
      <c r="C13" s="41" t="s">
        <v>25</v>
      </c>
      <c r="D13" s="41" t="s">
        <v>58</v>
      </c>
      <c r="E13" s="41" t="s">
        <v>108</v>
      </c>
      <c r="G13" s="41" t="s">
        <v>772</v>
      </c>
      <c r="I13" s="96">
        <v>4063.3116883116882</v>
      </c>
      <c r="J13" s="41" t="s">
        <v>773</v>
      </c>
      <c r="K13" s="144">
        <v>46074</v>
      </c>
      <c r="L13" s="41">
        <v>2026401168</v>
      </c>
      <c r="M13" s="145" t="s">
        <v>197</v>
      </c>
      <c r="N13" s="41">
        <v>2026</v>
      </c>
    </row>
  </sheetData>
  <phoneticPr fontId="20" type="noConversion"/>
  <dataValidations count="1">
    <dataValidation type="list" allowBlank="1" showInputMessage="1" showErrorMessage="1" sqref="C2:C3 C9 C12:C659" xr:uid="{00000000-0002-0000-10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1000-000000000000}">
          <x14:formula1>
            <xm:f>List!$P$2:$P$11</xm:f>
          </x14:formula1>
          <xm:sqref>B2:B3 B9 B12:B659</xm:sqref>
        </x14:dataValidation>
        <x14:dataValidation type="list" allowBlank="1" showInputMessage="1" showErrorMessage="1" xr:uid="{00000000-0002-0000-1000-000004000000}">
          <x14:formula1>
            <xm:f>List!$H$2:$H$13</xm:f>
          </x14:formula1>
          <xm:sqref>M14:M659</xm:sqref>
        </x14:dataValidation>
        <x14:dataValidation type="list" allowBlank="1" showInputMessage="1" showErrorMessage="1" xr:uid="{00000000-0002-0000-1000-000005000000}">
          <x14:formula1>
            <xm:f>List!$J$2:$J$4</xm:f>
          </x14:formula1>
          <xm:sqref>N14:N659</xm:sqref>
        </x14:dataValidation>
        <x14:dataValidation type="list" allowBlank="1" showInputMessage="1" showErrorMessage="1" xr:uid="{00000000-0002-0000-1000-000002000000}">
          <x14:formula1>
            <xm:f>List!$C$2:$C$3</xm:f>
          </x14:formula1>
          <xm:sqref>D2:D659</xm:sqref>
        </x14:dataValidation>
        <x14:dataValidation type="list" allowBlank="1" showInputMessage="1" showErrorMessage="1" xr:uid="{00000000-0002-0000-1000-000003000000}">
          <x14:formula1>
            <xm:f>List!$E$2:$E$32</xm:f>
          </x14:formula1>
          <xm:sqref>E2:E659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539"/>
  <sheetViews>
    <sheetView workbookViewId="0">
      <selection activeCell="F1" sqref="F1"/>
    </sheetView>
  </sheetViews>
  <sheetFormatPr defaultColWidth="9" defaultRowHeight="14.5"/>
  <cols>
    <col min="1" max="1" width="5.36328125" customWidth="1"/>
    <col min="2" max="2" width="6.90625" customWidth="1"/>
    <col min="3" max="3" width="6.453125" customWidth="1"/>
    <col min="4" max="4" width="11.453125" customWidth="1"/>
    <col min="5" max="5" width="8.90625" customWidth="1"/>
    <col min="6" max="6" width="8.1796875" customWidth="1"/>
    <col min="7" max="7" width="10.08984375" customWidth="1"/>
    <col min="8" max="8" width="6.90625" customWidth="1"/>
    <col min="9" max="9" width="10.1796875" customWidth="1"/>
    <col min="10" max="10" width="10.08984375" customWidth="1"/>
    <col min="11" max="11" width="11.08984375" customWidth="1"/>
    <col min="12" max="12" width="10.453125" customWidth="1"/>
    <col min="13" max="13" width="6.453125" customWidth="1"/>
    <col min="14" max="14" width="4.54296875" customWidth="1"/>
  </cols>
  <sheetData>
    <row r="1" spans="1:14">
      <c r="A1" t="s">
        <v>0</v>
      </c>
      <c r="B1" t="s">
        <v>1</v>
      </c>
      <c r="C1" t="s">
        <v>2</v>
      </c>
      <c r="D1" t="s">
        <v>16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"/>
      <c r="B2" s="4"/>
      <c r="C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4"/>
      <c r="B3" s="4"/>
      <c r="C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4"/>
      <c r="B4" s="4"/>
      <c r="C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4"/>
      <c r="B5" s="4"/>
      <c r="C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4"/>
      <c r="B6" s="4"/>
      <c r="C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4"/>
      <c r="B7" s="4"/>
      <c r="C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4"/>
      <c r="B8" s="4"/>
      <c r="C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4"/>
      <c r="B9" s="4"/>
      <c r="C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4"/>
      <c r="B10" s="4"/>
      <c r="C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4"/>
      <c r="B11" s="4"/>
      <c r="C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4"/>
      <c r="B12" s="4"/>
      <c r="C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4"/>
      <c r="B13" s="4"/>
      <c r="C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4"/>
      <c r="B14" s="4"/>
      <c r="C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4"/>
      <c r="B15" s="4"/>
      <c r="C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A16" s="4"/>
      <c r="B16" s="4"/>
      <c r="C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4"/>
      <c r="B17" s="4"/>
      <c r="C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>
      <c r="A18" s="4"/>
      <c r="B18" s="4"/>
      <c r="C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 s="4"/>
      <c r="B19" s="4"/>
      <c r="C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4"/>
      <c r="B20" s="4"/>
      <c r="C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4"/>
      <c r="B21" s="4"/>
      <c r="C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4"/>
      <c r="B22" s="4"/>
      <c r="C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4"/>
      <c r="B23" s="4"/>
      <c r="C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4"/>
      <c r="B24" s="4"/>
      <c r="C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4"/>
      <c r="B25" s="4"/>
      <c r="C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4"/>
      <c r="B26" s="4"/>
      <c r="C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4"/>
      <c r="B27" s="4"/>
      <c r="C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4"/>
      <c r="B28" s="4"/>
      <c r="C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>
      <c r="A29" s="4"/>
      <c r="B29" s="4"/>
      <c r="C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>
      <c r="A30" s="4"/>
      <c r="B30" s="4"/>
      <c r="C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>
      <c r="A31" s="4"/>
      <c r="B31" s="4"/>
      <c r="C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>
      <c r="A32" s="4"/>
      <c r="B32" s="4"/>
      <c r="C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>
      <c r="A33" s="4"/>
      <c r="B33" s="4"/>
      <c r="C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4"/>
      <c r="B34" s="4"/>
      <c r="C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 s="4"/>
      <c r="B35" s="4"/>
      <c r="C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 s="4"/>
      <c r="B36" s="4"/>
      <c r="C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4"/>
      <c r="B37" s="4"/>
      <c r="C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 s="4"/>
      <c r="B38" s="4"/>
      <c r="C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 s="4"/>
      <c r="B39" s="4"/>
      <c r="C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 s="4"/>
      <c r="B40" s="4"/>
      <c r="C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 s="4"/>
      <c r="B41" s="4"/>
      <c r="C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 s="4"/>
      <c r="B42" s="4"/>
      <c r="C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 s="4"/>
      <c r="B43" s="4"/>
      <c r="C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 s="4"/>
      <c r="B44" s="4"/>
      <c r="C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 s="4"/>
      <c r="B45" s="4"/>
      <c r="C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 s="4"/>
      <c r="B46" s="4"/>
      <c r="C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>
      <c r="A47" s="4"/>
      <c r="B47" s="4"/>
      <c r="C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>
      <c r="A48" s="4"/>
      <c r="B48" s="4"/>
      <c r="C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>
      <c r="A49" s="4"/>
      <c r="B49" s="4"/>
      <c r="C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>
      <c r="A50" s="4"/>
      <c r="B50" s="4"/>
      <c r="C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>
      <c r="A51" s="4"/>
      <c r="B51" s="4"/>
      <c r="C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>
      <c r="A52" s="4"/>
      <c r="B52" s="4"/>
      <c r="C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>
      <c r="A53" s="4"/>
      <c r="B53" s="4"/>
      <c r="C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>
      <c r="A54" s="4"/>
      <c r="B54" s="4"/>
      <c r="C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>
      <c r="A55" s="4"/>
      <c r="B55" s="4"/>
      <c r="C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>
      <c r="A56" s="4"/>
      <c r="B56" s="4"/>
      <c r="C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>
      <c r="A57" s="4"/>
      <c r="B57" s="4"/>
      <c r="C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>
      <c r="A58" s="4"/>
      <c r="B58" s="4"/>
      <c r="C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>
      <c r="A59" s="4"/>
      <c r="B59" s="4"/>
      <c r="C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4"/>
      <c r="B60" s="4"/>
      <c r="C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>
      <c r="A61" s="4"/>
      <c r="B61" s="4"/>
      <c r="C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>
      <c r="A62" s="4"/>
      <c r="B62" s="4"/>
      <c r="C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>
      <c r="A63" s="4"/>
      <c r="B63" s="4"/>
      <c r="C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>
      <c r="A64" s="4"/>
      <c r="B64" s="4"/>
      <c r="C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>
      <c r="A65" s="4"/>
      <c r="B65" s="4"/>
      <c r="C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>
      <c r="A66" s="4"/>
      <c r="B66" s="4"/>
      <c r="C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>
      <c r="A76" s="4"/>
      <c r="B76" s="4"/>
      <c r="C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>
      <c r="A77" s="4"/>
      <c r="B77" s="4"/>
      <c r="C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>
      <c r="A78" s="4"/>
      <c r="B78" s="4"/>
      <c r="C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>
      <c r="A79" s="4"/>
      <c r="B79" s="4"/>
      <c r="C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>
      <c r="A80" s="4"/>
      <c r="B80" s="4"/>
      <c r="C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>
      <c r="A81" s="4"/>
      <c r="B81" s="4"/>
      <c r="C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>
      <c r="A82" s="4"/>
      <c r="B82" s="4"/>
      <c r="C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>
      <c r="A83" s="4"/>
      <c r="B83" s="4"/>
      <c r="C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>
      <c r="A84" s="4"/>
      <c r="B84" s="4"/>
      <c r="C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>
      <c r="A85" s="4"/>
      <c r="B85" s="4"/>
      <c r="C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>
      <c r="A86" s="4"/>
      <c r="B86" s="4"/>
      <c r="C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>
      <c r="A87" s="4"/>
      <c r="B87" s="4"/>
      <c r="C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>
      <c r="A88" s="4"/>
      <c r="B88" s="4"/>
      <c r="C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>
      <c r="A89" s="4"/>
      <c r="B89" s="4"/>
      <c r="C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>
      <c r="A90" s="4"/>
      <c r="B90" s="4"/>
      <c r="C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>
      <c r="A91" s="4"/>
      <c r="B91" s="4"/>
      <c r="C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>
      <c r="A92" s="4"/>
      <c r="B92" s="4"/>
      <c r="C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>
      <c r="A93" s="4"/>
      <c r="B93" s="4"/>
      <c r="C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>
      <c r="A94" s="4"/>
      <c r="B94" s="4"/>
      <c r="C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>
      <c r="A95" s="4"/>
      <c r="B95" s="4"/>
      <c r="C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>
      <c r="A96" s="4"/>
      <c r="B96" s="4"/>
      <c r="C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>
      <c r="A97" s="4"/>
      <c r="B97" s="4"/>
      <c r="C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>
      <c r="A98" s="4"/>
      <c r="B98" s="4"/>
      <c r="C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>
      <c r="A99" s="4"/>
      <c r="B99" s="4"/>
      <c r="C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>
      <c r="A100" s="4"/>
      <c r="B100" s="4"/>
      <c r="C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>
      <c r="A101" s="4"/>
      <c r="B101" s="4"/>
      <c r="C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>
      <c r="A102" s="4"/>
      <c r="B102" s="4"/>
      <c r="C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4">
      <c r="A103" s="4"/>
      <c r="B103" s="4"/>
      <c r="C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>
      <c r="A104" s="4"/>
      <c r="B104" s="4"/>
      <c r="C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>
      <c r="A105" s="4"/>
      <c r="B105" s="4"/>
      <c r="C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>
      <c r="A106" s="4"/>
      <c r="B106" s="4"/>
      <c r="C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>
      <c r="A107" s="4"/>
      <c r="B107" s="4"/>
      <c r="C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>
      <c r="A108" s="4"/>
      <c r="B108" s="4"/>
      <c r="C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>
      <c r="A109" s="4"/>
      <c r="B109" s="4"/>
      <c r="C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>
      <c r="A110" s="4"/>
      <c r="B110" s="4"/>
      <c r="C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>
      <c r="A111" s="4"/>
      <c r="B111" s="4"/>
      <c r="C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>
      <c r="A112" s="4"/>
      <c r="B112" s="4"/>
      <c r="C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>
      <c r="A113" s="4"/>
      <c r="B113" s="4"/>
      <c r="C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>
      <c r="A114" s="4"/>
      <c r="B114" s="4"/>
      <c r="C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>
      <c r="A115" s="4"/>
      <c r="B115" s="4"/>
      <c r="C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>
      <c r="A116" s="4"/>
      <c r="B116" s="4"/>
      <c r="C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>
      <c r="A117" s="4"/>
      <c r="B117" s="4"/>
      <c r="C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>
      <c r="A118" s="4"/>
      <c r="B118" s="4"/>
      <c r="C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>
      <c r="A119" s="4"/>
      <c r="B119" s="4"/>
      <c r="C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>
      <c r="A120" s="4"/>
      <c r="B120" s="4"/>
      <c r="C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4">
      <c r="A121" s="4"/>
      <c r="B121" s="4"/>
      <c r="C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>
      <c r="A122" s="4"/>
      <c r="B122" s="4"/>
      <c r="C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>
      <c r="A123" s="4"/>
      <c r="B123" s="4"/>
      <c r="C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>
      <c r="A124" s="4"/>
      <c r="B124" s="4"/>
      <c r="C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>
      <c r="A125" s="4"/>
      <c r="B125" s="4"/>
      <c r="C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>
      <c r="A126" s="4"/>
      <c r="B126" s="4"/>
      <c r="C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>
      <c r="A127" s="4"/>
      <c r="B127" s="4"/>
      <c r="C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>
      <c r="A128" s="4"/>
      <c r="B128" s="4"/>
      <c r="C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>
      <c r="A129" s="4"/>
      <c r="B129" s="4"/>
      <c r="C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>
      <c r="A130" s="4"/>
      <c r="B130" s="4"/>
      <c r="C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>
      <c r="A131" s="4"/>
      <c r="B131" s="4"/>
      <c r="C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>
      <c r="A132" s="4"/>
      <c r="B132" s="4"/>
      <c r="C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>
      <c r="A133" s="4"/>
      <c r="B133" s="4"/>
      <c r="C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>
      <c r="A134" s="4"/>
      <c r="B134" s="4"/>
      <c r="C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>
      <c r="A135" s="4"/>
      <c r="B135" s="4"/>
      <c r="C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>
      <c r="A136" s="4"/>
      <c r="B136" s="4"/>
      <c r="C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>
      <c r="A137" s="4"/>
      <c r="B137" s="4"/>
      <c r="C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>
      <c r="A138" s="4"/>
      <c r="B138" s="4"/>
      <c r="C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>
      <c r="A139" s="4"/>
      <c r="B139" s="4"/>
      <c r="C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>
      <c r="A140" s="4"/>
      <c r="B140" s="4"/>
      <c r="C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>
      <c r="A141" s="4"/>
      <c r="B141" s="4"/>
      <c r="C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>
      <c r="A142" s="4"/>
      <c r="B142" s="4"/>
      <c r="C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>
      <c r="A143" s="4"/>
      <c r="B143" s="4"/>
      <c r="C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>
      <c r="A144" s="4"/>
      <c r="B144" s="4"/>
      <c r="C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>
      <c r="A145" s="4"/>
      <c r="B145" s="4"/>
      <c r="C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>
      <c r="A146" s="4"/>
      <c r="B146" s="4"/>
      <c r="C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>
      <c r="A147" s="4"/>
      <c r="B147" s="4"/>
      <c r="C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>
      <c r="A148" s="4"/>
      <c r="B148" s="4"/>
      <c r="C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>
      <c r="A149" s="4"/>
      <c r="B149" s="4"/>
      <c r="C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>
      <c r="A150" s="4"/>
      <c r="B150" s="4"/>
      <c r="C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>
      <c r="A151" s="4"/>
      <c r="B151" s="4"/>
      <c r="C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>
      <c r="A152" s="4"/>
      <c r="B152" s="4"/>
      <c r="C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>
      <c r="A153" s="4"/>
      <c r="B153" s="4"/>
      <c r="C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>
      <c r="A154" s="4"/>
      <c r="B154" s="4"/>
      <c r="C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>
      <c r="A155" s="4"/>
      <c r="B155" s="4"/>
      <c r="C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>
      <c r="A156" s="4"/>
      <c r="B156" s="4"/>
      <c r="C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>
      <c r="A157" s="4"/>
      <c r="B157" s="4"/>
      <c r="C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>
      <c r="A158" s="4"/>
      <c r="B158" s="4"/>
      <c r="C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>
      <c r="A159" s="4"/>
      <c r="B159" s="4"/>
      <c r="C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>
      <c r="A160" s="4"/>
      <c r="B160" s="4"/>
      <c r="C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>
      <c r="A161" s="4"/>
      <c r="B161" s="4"/>
      <c r="C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>
      <c r="A162" s="4"/>
      <c r="B162" s="4"/>
      <c r="C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>
      <c r="A163" s="4"/>
      <c r="B163" s="4"/>
      <c r="C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>
      <c r="A164" s="4"/>
      <c r="B164" s="4"/>
      <c r="C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>
      <c r="A165" s="4"/>
      <c r="B165" s="4"/>
      <c r="C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>
      <c r="A166" s="4"/>
      <c r="B166" s="4"/>
      <c r="C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>
      <c r="A167" s="4"/>
      <c r="B167" s="4"/>
      <c r="C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>
      <c r="A168" s="4"/>
      <c r="B168" s="4"/>
      <c r="C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>
      <c r="A169" s="4"/>
      <c r="B169" s="4"/>
      <c r="C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>
      <c r="A170" s="4"/>
      <c r="B170" s="4"/>
      <c r="C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>
      <c r="A171" s="4"/>
      <c r="B171" s="4"/>
      <c r="C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>
      <c r="A172" s="4"/>
      <c r="B172" s="4"/>
      <c r="C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>
      <c r="A173" s="4"/>
      <c r="B173" s="4"/>
      <c r="C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>
      <c r="A174" s="4"/>
      <c r="B174" s="4"/>
      <c r="C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>
      <c r="A175" s="4"/>
      <c r="B175" s="4"/>
      <c r="C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>
      <c r="A176" s="4"/>
      <c r="B176" s="4"/>
      <c r="C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>
      <c r="A177" s="4"/>
      <c r="B177" s="4"/>
      <c r="C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>
      <c r="A178" s="4"/>
      <c r="B178" s="4"/>
      <c r="C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>
      <c r="A179" s="4"/>
      <c r="B179" s="4"/>
      <c r="C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>
      <c r="A180" s="4"/>
      <c r="B180" s="4"/>
      <c r="C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>
      <c r="A181" s="4"/>
      <c r="B181" s="4"/>
      <c r="C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>
      <c r="A182" s="4"/>
      <c r="B182" s="4"/>
      <c r="C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>
      <c r="A183" s="4"/>
      <c r="B183" s="4"/>
      <c r="C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>
      <c r="A184" s="4"/>
      <c r="B184" s="4"/>
      <c r="C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>
      <c r="A185" s="4"/>
      <c r="B185" s="4"/>
      <c r="C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>
      <c r="A186" s="4"/>
      <c r="B186" s="4"/>
      <c r="C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>
      <c r="A187" s="4"/>
      <c r="B187" s="4"/>
      <c r="C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>
      <c r="A188" s="4"/>
      <c r="B188" s="4"/>
      <c r="C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>
      <c r="A189" s="4"/>
      <c r="B189" s="4"/>
      <c r="C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>
      <c r="A190" s="4"/>
      <c r="B190" s="4"/>
      <c r="C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>
      <c r="A191" s="4"/>
      <c r="B191" s="4"/>
      <c r="C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>
      <c r="A192" s="4"/>
      <c r="B192" s="4"/>
      <c r="C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>
      <c r="A193" s="4"/>
      <c r="B193" s="4"/>
      <c r="C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>
      <c r="A194" s="4"/>
      <c r="B194" s="4"/>
      <c r="C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>
      <c r="A195" s="4"/>
      <c r="B195" s="4"/>
      <c r="C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>
      <c r="A196" s="4"/>
      <c r="B196" s="4"/>
      <c r="C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>
      <c r="A197" s="4"/>
      <c r="B197" s="4"/>
      <c r="C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>
      <c r="A198" s="4"/>
      <c r="B198" s="4"/>
      <c r="C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>
      <c r="A199" s="4"/>
      <c r="B199" s="4"/>
      <c r="C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>
      <c r="A200" s="4"/>
      <c r="B200" s="4"/>
      <c r="C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>
      <c r="A201" s="4"/>
      <c r="B201" s="4"/>
      <c r="C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>
      <c r="A202" s="4"/>
      <c r="B202" s="4"/>
      <c r="C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>
      <c r="A203" s="4"/>
      <c r="B203" s="4"/>
      <c r="C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>
      <c r="A204" s="4"/>
      <c r="B204" s="4"/>
      <c r="C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>
      <c r="A205" s="4"/>
      <c r="B205" s="4"/>
      <c r="C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>
      <c r="A206" s="4"/>
      <c r="B206" s="4"/>
      <c r="C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>
      <c r="A207" s="4"/>
      <c r="B207" s="4"/>
      <c r="C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>
      <c r="A208" s="4"/>
      <c r="B208" s="4"/>
      <c r="C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>
      <c r="A209" s="4"/>
      <c r="B209" s="4"/>
      <c r="C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>
      <c r="A210" s="4"/>
      <c r="B210" s="4"/>
      <c r="C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>
      <c r="A211" s="4"/>
      <c r="B211" s="4"/>
      <c r="C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>
      <c r="A212" s="4"/>
      <c r="B212" s="4"/>
      <c r="C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>
      <c r="A213" s="4"/>
      <c r="B213" s="4"/>
      <c r="C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>
      <c r="A214" s="4"/>
      <c r="B214" s="4"/>
      <c r="C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>
      <c r="A215" s="4"/>
      <c r="B215" s="4"/>
      <c r="C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>
      <c r="A216" s="4"/>
      <c r="B216" s="4"/>
      <c r="C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>
      <c r="A217" s="4"/>
      <c r="B217" s="4"/>
      <c r="C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>
      <c r="A218" s="4"/>
      <c r="B218" s="4"/>
      <c r="C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>
      <c r="A219" s="4"/>
      <c r="B219" s="4"/>
      <c r="C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>
      <c r="A220" s="4"/>
      <c r="B220" s="4"/>
      <c r="C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>
      <c r="A221" s="4"/>
      <c r="B221" s="4"/>
      <c r="C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>
      <c r="A222" s="4"/>
      <c r="B222" s="4"/>
      <c r="C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>
      <c r="A223" s="4"/>
      <c r="B223" s="4"/>
      <c r="C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>
      <c r="A224" s="4"/>
      <c r="B224" s="4"/>
      <c r="C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>
      <c r="A225" s="4"/>
      <c r="B225" s="4"/>
      <c r="C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>
      <c r="A226" s="4"/>
      <c r="B226" s="4"/>
      <c r="C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>
      <c r="A227" s="4"/>
      <c r="B227" s="4"/>
      <c r="C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>
      <c r="A228" s="4"/>
      <c r="B228" s="4"/>
      <c r="C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4">
      <c r="A229" s="4"/>
      <c r="B229" s="4"/>
      <c r="C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4">
      <c r="A230" s="4"/>
      <c r="B230" s="4"/>
      <c r="C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4">
      <c r="A231" s="4"/>
      <c r="B231" s="4"/>
      <c r="C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4">
      <c r="A232" s="4"/>
      <c r="B232" s="4"/>
      <c r="C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1:14">
      <c r="A233" s="4"/>
      <c r="B233" s="4"/>
      <c r="C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4">
      <c r="A234" s="4"/>
      <c r="B234" s="4"/>
      <c r="C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>
      <c r="A235" s="4"/>
      <c r="B235" s="4"/>
      <c r="C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>
      <c r="A236" s="4"/>
      <c r="B236" s="4"/>
      <c r="C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4">
      <c r="A237" s="4"/>
      <c r="B237" s="4"/>
      <c r="C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>
      <c r="A238" s="4"/>
      <c r="B238" s="4"/>
      <c r="C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>
      <c r="A239" s="4"/>
      <c r="B239" s="4"/>
      <c r="C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>
      <c r="A240" s="4"/>
      <c r="B240" s="4"/>
      <c r="C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>
      <c r="A241" s="4"/>
      <c r="B241" s="4"/>
      <c r="C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>
      <c r="A242" s="4"/>
      <c r="B242" s="4"/>
      <c r="C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>
      <c r="A243" s="4"/>
      <c r="B243" s="4"/>
      <c r="C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>
      <c r="A244" s="4"/>
      <c r="B244" s="4"/>
      <c r="C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4">
      <c r="A245" s="4"/>
      <c r="B245" s="4"/>
      <c r="C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>
      <c r="A246" s="4"/>
      <c r="B246" s="4"/>
      <c r="C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>
      <c r="A247" s="4"/>
      <c r="B247" s="4"/>
      <c r="C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>
      <c r="A248" s="4"/>
      <c r="B248" s="4"/>
      <c r="C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4">
      <c r="A249" s="4"/>
      <c r="B249" s="4"/>
      <c r="C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4">
      <c r="A250" s="4"/>
      <c r="B250" s="4"/>
      <c r="C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1:14">
      <c r="A251" s="4"/>
      <c r="B251" s="4"/>
      <c r="C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1:14">
      <c r="A252" s="4"/>
      <c r="B252" s="4"/>
      <c r="C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1:14">
      <c r="A253" s="4"/>
      <c r="B253" s="4"/>
      <c r="C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4">
      <c r="A254" s="4"/>
      <c r="B254" s="4"/>
      <c r="C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1:14">
      <c r="A255" s="4"/>
      <c r="B255" s="4"/>
      <c r="C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4">
      <c r="A256" s="4"/>
      <c r="B256" s="4"/>
      <c r="C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1:14">
      <c r="A257" s="4"/>
      <c r="B257" s="4"/>
      <c r="C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4">
      <c r="A258" s="4"/>
      <c r="B258" s="4"/>
      <c r="C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4">
      <c r="A259" s="4"/>
      <c r="B259" s="4"/>
      <c r="C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1:14">
      <c r="A260" s="4"/>
      <c r="B260" s="4"/>
      <c r="C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1:14">
      <c r="A261" s="4"/>
      <c r="B261" s="4"/>
      <c r="C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1:14">
      <c r="A262" s="4"/>
      <c r="B262" s="4"/>
      <c r="C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1:14">
      <c r="A263" s="4"/>
      <c r="B263" s="4"/>
      <c r="C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4">
      <c r="A264" s="4"/>
      <c r="B264" s="4"/>
      <c r="C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4">
      <c r="A265" s="4"/>
      <c r="B265" s="4"/>
      <c r="C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1:14">
      <c r="A266" s="4"/>
      <c r="B266" s="4"/>
      <c r="C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1:14">
      <c r="A267" s="4"/>
      <c r="B267" s="4"/>
      <c r="C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1:14">
      <c r="A268" s="4"/>
      <c r="B268" s="4"/>
      <c r="C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4">
      <c r="A269" s="4"/>
      <c r="B269" s="4"/>
      <c r="C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4">
      <c r="A270" s="4"/>
      <c r="B270" s="4"/>
      <c r="C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4">
      <c r="A271" s="4"/>
      <c r="B271" s="4"/>
      <c r="C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4">
      <c r="A272" s="4"/>
      <c r="B272" s="4"/>
      <c r="C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1:14">
      <c r="A273" s="4"/>
      <c r="B273" s="4"/>
      <c r="C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1:14">
      <c r="A274" s="4"/>
      <c r="B274" s="4"/>
      <c r="C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1:14">
      <c r="A275" s="4"/>
      <c r="B275" s="4"/>
      <c r="C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1:14">
      <c r="A276" s="4"/>
      <c r="B276" s="4"/>
      <c r="C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1:14">
      <c r="A277" s="4"/>
      <c r="B277" s="4"/>
      <c r="C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1:14">
      <c r="A278" s="4"/>
      <c r="B278" s="4"/>
      <c r="C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1:14">
      <c r="A279" s="4"/>
      <c r="B279" s="4"/>
      <c r="C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1:14">
      <c r="A280" s="4"/>
      <c r="B280" s="4"/>
      <c r="C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1:14">
      <c r="A281" s="4"/>
      <c r="B281" s="4"/>
      <c r="C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1:14">
      <c r="A282" s="4"/>
      <c r="B282" s="4"/>
      <c r="C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1:14">
      <c r="A283" s="4"/>
      <c r="B283" s="4"/>
      <c r="C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1:14">
      <c r="A284" s="4"/>
      <c r="B284" s="4"/>
      <c r="C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1:14">
      <c r="A285" s="4"/>
      <c r="B285" s="4"/>
      <c r="C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4">
      <c r="A286" s="4"/>
      <c r="B286" s="4"/>
      <c r="C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1:14">
      <c r="A287" s="4"/>
      <c r="B287" s="4"/>
      <c r="C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4">
      <c r="A288" s="4"/>
      <c r="B288" s="4"/>
      <c r="C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1:14">
      <c r="A289" s="4"/>
      <c r="B289" s="4"/>
      <c r="C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1:14">
      <c r="A290" s="4"/>
      <c r="B290" s="4"/>
      <c r="C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1:14">
      <c r="A291" s="4"/>
      <c r="B291" s="4"/>
      <c r="C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1:14">
      <c r="A292" s="4"/>
      <c r="B292" s="4"/>
      <c r="C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1:14">
      <c r="A293" s="4"/>
      <c r="B293" s="4"/>
      <c r="C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4">
      <c r="A294" s="4"/>
      <c r="B294" s="4"/>
      <c r="C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1:14">
      <c r="A295" s="4"/>
      <c r="B295" s="4"/>
      <c r="C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1:14">
      <c r="A296" s="4"/>
      <c r="B296" s="4"/>
      <c r="C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1:14">
      <c r="A297" s="4"/>
      <c r="B297" s="4"/>
      <c r="C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1:14">
      <c r="A298" s="4"/>
      <c r="B298" s="4"/>
      <c r="C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4">
      <c r="A299" s="4"/>
      <c r="B299" s="4"/>
      <c r="C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>
      <c r="A300" s="4"/>
      <c r="B300" s="4"/>
      <c r="C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1:14">
      <c r="A301" s="4"/>
      <c r="B301" s="4"/>
      <c r="C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1:14">
      <c r="A302" s="4"/>
      <c r="B302" s="4"/>
      <c r="C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1:14">
      <c r="A303" s="4"/>
      <c r="B303" s="4"/>
      <c r="C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1:14">
      <c r="A304" s="4"/>
      <c r="B304" s="4"/>
      <c r="C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1:14">
      <c r="A305" s="4"/>
      <c r="B305" s="4"/>
      <c r="C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4">
      <c r="A306" s="4"/>
      <c r="B306" s="4"/>
      <c r="C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4">
      <c r="A307" s="4"/>
      <c r="B307" s="4"/>
      <c r="C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4">
      <c r="A308" s="4"/>
      <c r="B308" s="4"/>
      <c r="C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4">
      <c r="A309" s="4"/>
      <c r="B309" s="4"/>
      <c r="C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4">
      <c r="A310" s="4"/>
      <c r="B310" s="4"/>
      <c r="C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1:14">
      <c r="A311" s="4"/>
      <c r="B311" s="4"/>
      <c r="C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4">
      <c r="A312" s="4"/>
      <c r="B312" s="4"/>
      <c r="C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1:14">
      <c r="A313" s="4"/>
      <c r="B313" s="4"/>
      <c r="C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4">
      <c r="A314" s="4"/>
      <c r="B314" s="4"/>
      <c r="C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1:14">
      <c r="A315" s="4"/>
      <c r="B315" s="4"/>
      <c r="C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1:14">
      <c r="A316" s="4"/>
      <c r="B316" s="4"/>
      <c r="C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1:14">
      <c r="A317" s="4"/>
      <c r="B317" s="4"/>
      <c r="C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4">
      <c r="A318" s="4"/>
      <c r="B318" s="4"/>
      <c r="C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4">
      <c r="A319" s="4"/>
      <c r="B319" s="4"/>
      <c r="C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4">
      <c r="A320" s="4"/>
      <c r="B320" s="4"/>
      <c r="C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4">
      <c r="A321" s="4"/>
      <c r="B321" s="4"/>
      <c r="C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4">
      <c r="A322" s="4"/>
      <c r="B322" s="4"/>
      <c r="C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1:14">
      <c r="A323" s="4"/>
      <c r="B323" s="4"/>
      <c r="C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1:14">
      <c r="A324" s="4"/>
      <c r="B324" s="4"/>
      <c r="C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1:14">
      <c r="A325" s="4"/>
      <c r="B325" s="4"/>
      <c r="C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4">
      <c r="A326" s="4"/>
      <c r="B326" s="4"/>
      <c r="C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spans="1:14">
      <c r="A327" s="4"/>
      <c r="B327" s="4"/>
      <c r="C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spans="1:14">
      <c r="A328" s="4"/>
      <c r="B328" s="4"/>
      <c r="C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spans="1:14">
      <c r="A329" s="4"/>
      <c r="B329" s="4"/>
      <c r="C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4">
      <c r="A330" s="4"/>
      <c r="B330" s="4"/>
      <c r="C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spans="1:14">
      <c r="A331" s="4"/>
      <c r="B331" s="4"/>
      <c r="C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4">
      <c r="A332" s="4"/>
      <c r="B332" s="4"/>
      <c r="C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4">
      <c r="A333" s="4"/>
      <c r="B333" s="4"/>
      <c r="C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>
      <c r="A334" s="4"/>
      <c r="B334" s="4"/>
      <c r="C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4">
      <c r="A335" s="4"/>
      <c r="B335" s="4"/>
      <c r="C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4">
      <c r="A336" s="4"/>
      <c r="B336" s="4"/>
      <c r="C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spans="1:14">
      <c r="A337" s="4"/>
      <c r="B337" s="4"/>
      <c r="C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4">
      <c r="A338" s="4"/>
      <c r="B338" s="4"/>
      <c r="C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1:14">
      <c r="A339" s="4"/>
      <c r="B339" s="4"/>
      <c r="C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1:14">
      <c r="A340" s="4"/>
      <c r="B340" s="4"/>
      <c r="C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1:14">
      <c r="A341" s="4"/>
      <c r="B341" s="4"/>
      <c r="C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1:14">
      <c r="A342" s="4"/>
      <c r="B342" s="4"/>
      <c r="C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spans="1:14">
      <c r="A343" s="4"/>
      <c r="B343" s="4"/>
      <c r="C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spans="1:14">
      <c r="A344" s="4"/>
      <c r="B344" s="4"/>
      <c r="C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spans="1:14">
      <c r="A345" s="4"/>
      <c r="B345" s="4"/>
      <c r="C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1:14">
      <c r="A346" s="4"/>
      <c r="B346" s="4"/>
      <c r="C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spans="1:14">
      <c r="A347" s="4"/>
      <c r="B347" s="4"/>
      <c r="C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spans="1:14">
      <c r="A348" s="4"/>
      <c r="B348" s="4"/>
      <c r="C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spans="1:14">
      <c r="A349" s="4"/>
      <c r="B349" s="4"/>
      <c r="C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4">
      <c r="A350" s="4"/>
      <c r="B350" s="4"/>
      <c r="C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spans="1:14">
      <c r="A351" s="4"/>
      <c r="B351" s="4"/>
      <c r="C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spans="1:14">
      <c r="A352" s="4"/>
      <c r="B352" s="4"/>
      <c r="C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spans="1:14">
      <c r="A353" s="4"/>
      <c r="B353" s="4"/>
      <c r="C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spans="1:14">
      <c r="A354" s="4"/>
      <c r="B354" s="4"/>
      <c r="C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spans="1:14">
      <c r="A355" s="4"/>
      <c r="B355" s="4"/>
      <c r="C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4">
      <c r="A356" s="4"/>
      <c r="B356" s="4"/>
      <c r="C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4">
      <c r="A357" s="4"/>
      <c r="B357" s="4"/>
      <c r="C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4">
      <c r="A358" s="4"/>
      <c r="B358" s="4"/>
      <c r="C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spans="1:14">
      <c r="A359" s="4"/>
      <c r="B359" s="4"/>
      <c r="C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spans="1:14">
      <c r="A360" s="4"/>
      <c r="B360" s="4"/>
      <c r="C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spans="1:14">
      <c r="A361" s="4"/>
      <c r="B361" s="4"/>
      <c r="C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spans="1:14">
      <c r="A362" s="4"/>
      <c r="B362" s="4"/>
      <c r="C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4">
      <c r="A363" s="4"/>
      <c r="B363" s="4"/>
      <c r="C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>
      <c r="A364" s="4"/>
      <c r="B364" s="4"/>
      <c r="C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spans="1:14">
      <c r="A365" s="4"/>
      <c r="B365" s="4"/>
      <c r="C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spans="1:14">
      <c r="A366" s="4"/>
      <c r="B366" s="4"/>
      <c r="C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spans="1:14">
      <c r="A367" s="4"/>
      <c r="B367" s="4"/>
      <c r="C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spans="1:14">
      <c r="A368" s="4"/>
      <c r="B368" s="4"/>
      <c r="C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spans="1:14">
      <c r="A369" s="4"/>
      <c r="B369" s="4"/>
      <c r="C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4">
      <c r="A370" s="4"/>
      <c r="B370" s="4"/>
      <c r="C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spans="1:14">
      <c r="A371" s="4"/>
      <c r="B371" s="4"/>
      <c r="C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4">
      <c r="A372" s="4"/>
      <c r="B372" s="4"/>
      <c r="C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spans="1:14">
      <c r="A373" s="4"/>
      <c r="B373" s="4"/>
      <c r="C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spans="1:14">
      <c r="A374" s="4"/>
      <c r="B374" s="4"/>
      <c r="C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spans="1:14">
      <c r="A375" s="4"/>
      <c r="B375" s="4"/>
      <c r="C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4">
      <c r="A376" s="4"/>
      <c r="B376" s="4"/>
      <c r="C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spans="1:14">
      <c r="A377" s="4"/>
      <c r="B377" s="4"/>
      <c r="C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4">
      <c r="A378" s="4"/>
      <c r="B378" s="4"/>
      <c r="C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spans="1:14">
      <c r="A379" s="4"/>
      <c r="B379" s="4"/>
      <c r="C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4">
      <c r="A380" s="4"/>
      <c r="B380" s="4"/>
      <c r="C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4">
      <c r="A381" s="4"/>
      <c r="B381" s="4"/>
      <c r="C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4">
      <c r="A382" s="4"/>
      <c r="B382" s="4"/>
      <c r="C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spans="1:14">
      <c r="A383" s="4"/>
      <c r="B383" s="4"/>
      <c r="C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4">
      <c r="A384" s="4"/>
      <c r="B384" s="4"/>
      <c r="C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spans="1:14">
      <c r="A385" s="4"/>
      <c r="B385" s="4"/>
      <c r="C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spans="1:14">
      <c r="A386" s="4"/>
      <c r="B386" s="4"/>
      <c r="C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spans="1:14">
      <c r="A387" s="4"/>
      <c r="B387" s="4"/>
      <c r="C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4">
      <c r="A388" s="4"/>
      <c r="B388" s="4"/>
      <c r="C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spans="1:14">
      <c r="A389" s="4"/>
      <c r="B389" s="4"/>
      <c r="C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spans="1:14">
      <c r="A390" s="4"/>
      <c r="B390" s="4"/>
      <c r="C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spans="1:14">
      <c r="A391" s="4"/>
      <c r="B391" s="4"/>
      <c r="C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spans="1:14">
      <c r="A392" s="4"/>
      <c r="B392" s="4"/>
      <c r="C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spans="1:14">
      <c r="A393" s="4"/>
      <c r="B393" s="4"/>
      <c r="C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4">
      <c r="A394" s="4"/>
      <c r="B394" s="4"/>
      <c r="C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spans="1:14">
      <c r="A395" s="4"/>
      <c r="B395" s="4"/>
      <c r="C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4">
      <c r="A396" s="4"/>
      <c r="B396" s="4"/>
      <c r="C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4">
      <c r="A397" s="4"/>
      <c r="B397" s="4"/>
      <c r="C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4">
      <c r="A398" s="4"/>
      <c r="B398" s="4"/>
      <c r="C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spans="1:14">
      <c r="A399" s="4"/>
      <c r="B399" s="4"/>
      <c r="C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spans="1:14">
      <c r="A400" s="4"/>
      <c r="B400" s="4"/>
      <c r="C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spans="1:14">
      <c r="A401" s="4"/>
      <c r="B401" s="4"/>
      <c r="C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4">
      <c r="A402" s="4"/>
      <c r="B402" s="4"/>
      <c r="C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spans="1:14">
      <c r="A403" s="4"/>
      <c r="B403" s="4"/>
      <c r="C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4">
      <c r="A404" s="4"/>
      <c r="B404" s="4"/>
      <c r="C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spans="1:14">
      <c r="A405" s="4"/>
      <c r="B405" s="4"/>
      <c r="C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4">
      <c r="A406" s="4"/>
      <c r="B406" s="4"/>
      <c r="C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spans="1:14">
      <c r="A407" s="4"/>
      <c r="B407" s="4"/>
      <c r="C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spans="1:14">
      <c r="A408" s="4"/>
      <c r="B408" s="4"/>
      <c r="C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spans="1:14">
      <c r="A409" s="4"/>
      <c r="B409" s="4"/>
      <c r="C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spans="1:14">
      <c r="A410" s="4"/>
      <c r="B410" s="4"/>
      <c r="C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spans="1:14">
      <c r="A411" s="4"/>
      <c r="B411" s="4"/>
      <c r="C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spans="1:14">
      <c r="A412" s="4"/>
      <c r="B412" s="4"/>
      <c r="C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4">
      <c r="A413" s="4"/>
      <c r="B413" s="4"/>
      <c r="C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4">
      <c r="A414" s="4"/>
      <c r="B414" s="4"/>
      <c r="C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spans="1:14">
      <c r="A415" s="4"/>
      <c r="B415" s="4"/>
      <c r="C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spans="1:14">
      <c r="A416" s="4"/>
      <c r="B416" s="4"/>
      <c r="C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spans="1:14">
      <c r="A417" s="4"/>
      <c r="B417" s="4"/>
      <c r="C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4">
      <c r="A418" s="4"/>
      <c r="B418" s="4"/>
      <c r="C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4">
      <c r="A419" s="4"/>
      <c r="B419" s="4"/>
      <c r="C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4">
      <c r="A420" s="4"/>
      <c r="B420" s="4"/>
      <c r="C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spans="1:14">
      <c r="A421" s="4"/>
      <c r="B421" s="4"/>
      <c r="C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spans="1:14">
      <c r="A422" s="4"/>
      <c r="B422" s="4"/>
      <c r="C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spans="1:14">
      <c r="A423" s="4"/>
      <c r="B423" s="4"/>
      <c r="C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4">
      <c r="A424" s="4"/>
      <c r="B424" s="4"/>
      <c r="C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4">
      <c r="A425" s="4"/>
      <c r="B425" s="4"/>
      <c r="C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4">
      <c r="A426" s="4"/>
      <c r="B426" s="4"/>
      <c r="C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spans="1:14">
      <c r="A427" s="4"/>
      <c r="B427" s="4"/>
      <c r="C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spans="1:14">
      <c r="A428" s="4"/>
      <c r="B428" s="4"/>
      <c r="C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spans="1:14">
      <c r="A429" s="4"/>
      <c r="B429" s="4"/>
      <c r="C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spans="1:14">
      <c r="A430" s="4"/>
      <c r="B430" s="4"/>
      <c r="C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spans="1:14">
      <c r="A431" s="4"/>
      <c r="B431" s="4"/>
      <c r="C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spans="1:14">
      <c r="A432" s="4"/>
      <c r="B432" s="4"/>
      <c r="C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spans="1:14">
      <c r="A433" s="4"/>
      <c r="B433" s="4"/>
      <c r="C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spans="1:14">
      <c r="A434" s="4"/>
      <c r="B434" s="4"/>
      <c r="C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spans="1:14">
      <c r="A435" s="4"/>
      <c r="B435" s="4"/>
      <c r="C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spans="1:14">
      <c r="A436" s="4"/>
      <c r="B436" s="4"/>
      <c r="C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spans="1:14">
      <c r="A437" s="4"/>
      <c r="B437" s="4"/>
      <c r="C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spans="1:14">
      <c r="A438" s="4"/>
      <c r="B438" s="4"/>
      <c r="C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spans="1:14">
      <c r="A439" s="4"/>
      <c r="B439" s="4"/>
      <c r="C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spans="1:14">
      <c r="A440" s="4"/>
      <c r="B440" s="4"/>
      <c r="C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spans="1:14">
      <c r="A441" s="4"/>
      <c r="B441" s="4"/>
      <c r="C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spans="1:14">
      <c r="A442" s="4"/>
      <c r="B442" s="4"/>
      <c r="C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spans="1:14">
      <c r="A443" s="4"/>
      <c r="B443" s="4"/>
      <c r="C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spans="1:14">
      <c r="A444" s="4"/>
      <c r="B444" s="4"/>
      <c r="C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spans="1:14">
      <c r="A445" s="4"/>
      <c r="B445" s="4"/>
      <c r="C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spans="1:14">
      <c r="A446" s="4"/>
      <c r="B446" s="4"/>
      <c r="C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spans="1:14">
      <c r="A447" s="4"/>
      <c r="B447" s="4"/>
      <c r="C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spans="1:14">
      <c r="A448" s="4"/>
      <c r="B448" s="4"/>
      <c r="C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spans="1:14">
      <c r="A449" s="4"/>
      <c r="B449" s="4"/>
      <c r="C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spans="1:14">
      <c r="A450" s="4"/>
      <c r="B450" s="4"/>
      <c r="C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spans="1:14">
      <c r="A451" s="4"/>
      <c r="B451" s="4"/>
      <c r="C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spans="1:14">
      <c r="A452" s="4"/>
      <c r="B452" s="4"/>
      <c r="C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spans="1:14">
      <c r="A453" s="4"/>
      <c r="B453" s="4"/>
      <c r="C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spans="1:14">
      <c r="A454" s="4"/>
      <c r="B454" s="4"/>
      <c r="C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spans="1:14">
      <c r="A455" s="4"/>
      <c r="B455" s="4"/>
      <c r="C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spans="1:14">
      <c r="A456" s="4"/>
      <c r="B456" s="4"/>
      <c r="C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spans="1:14">
      <c r="A457" s="4"/>
      <c r="B457" s="4"/>
      <c r="C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spans="1:14">
      <c r="A458" s="4"/>
      <c r="B458" s="4"/>
      <c r="C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spans="1:14">
      <c r="A459" s="4"/>
      <c r="B459" s="4"/>
      <c r="C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spans="1:14">
      <c r="A460" s="4"/>
      <c r="B460" s="4"/>
      <c r="C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spans="1:14">
      <c r="A461" s="4"/>
      <c r="B461" s="4"/>
      <c r="C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spans="1:14">
      <c r="A462" s="4"/>
      <c r="B462" s="4"/>
      <c r="C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spans="1:14">
      <c r="A463" s="4"/>
      <c r="B463" s="4"/>
      <c r="C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spans="1:14">
      <c r="A464" s="4"/>
      <c r="B464" s="4"/>
      <c r="C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spans="1:14">
      <c r="A465" s="4"/>
      <c r="B465" s="4"/>
      <c r="C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spans="1:14">
      <c r="A466" s="4"/>
      <c r="B466" s="4"/>
      <c r="C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spans="1:14">
      <c r="A467" s="4"/>
      <c r="B467" s="4"/>
      <c r="C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spans="1:14">
      <c r="A468" s="4"/>
      <c r="B468" s="4"/>
      <c r="C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spans="1:14">
      <c r="A469" s="4"/>
      <c r="B469" s="4"/>
      <c r="C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spans="1:14">
      <c r="A470" s="4"/>
      <c r="B470" s="4"/>
      <c r="C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spans="1:14">
      <c r="A471" s="4"/>
      <c r="B471" s="4"/>
      <c r="C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spans="1:14">
      <c r="A472" s="4"/>
      <c r="B472" s="4"/>
      <c r="C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spans="1:14">
      <c r="A473" s="4"/>
      <c r="B473" s="4"/>
      <c r="C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spans="1:14">
      <c r="A474" s="4"/>
      <c r="B474" s="4"/>
      <c r="C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spans="1:14">
      <c r="A475" s="4"/>
      <c r="B475" s="4"/>
      <c r="C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spans="1:14">
      <c r="A476" s="4"/>
      <c r="B476" s="4"/>
      <c r="C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spans="1:14">
      <c r="A477" s="4"/>
      <c r="B477" s="4"/>
      <c r="C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spans="1:14">
      <c r="A478" s="4"/>
      <c r="B478" s="4"/>
      <c r="C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spans="1:14">
      <c r="A479" s="4"/>
      <c r="B479" s="4"/>
      <c r="C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spans="1:14">
      <c r="A480" s="4"/>
      <c r="B480" s="4"/>
      <c r="C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spans="1:14">
      <c r="A481" s="4"/>
      <c r="B481" s="4"/>
      <c r="C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spans="1:14">
      <c r="A482" s="4"/>
      <c r="B482" s="4"/>
      <c r="C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spans="1:14">
      <c r="A483" s="4"/>
      <c r="B483" s="4"/>
      <c r="C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spans="1:14">
      <c r="A484" s="4"/>
      <c r="B484" s="4"/>
      <c r="C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spans="1:14">
      <c r="A485" s="4"/>
      <c r="B485" s="4"/>
      <c r="C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spans="1:14">
      <c r="A486" s="4"/>
      <c r="B486" s="4"/>
      <c r="C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spans="1:14">
      <c r="A487" s="4"/>
      <c r="B487" s="4"/>
      <c r="C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spans="1:14">
      <c r="A488" s="4"/>
      <c r="B488" s="4"/>
      <c r="C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spans="1:14">
      <c r="A489" s="4"/>
      <c r="B489" s="4"/>
      <c r="C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spans="1:14">
      <c r="A490" s="4"/>
      <c r="B490" s="4"/>
      <c r="C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spans="1:14">
      <c r="A491" s="4"/>
      <c r="B491" s="4"/>
      <c r="C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spans="1:14">
      <c r="A492" s="4"/>
      <c r="B492" s="4"/>
      <c r="C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spans="1:14">
      <c r="A493" s="4"/>
      <c r="B493" s="4"/>
      <c r="C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spans="1:14">
      <c r="A494" s="4"/>
      <c r="B494" s="4"/>
      <c r="C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spans="1:14">
      <c r="A495" s="4"/>
      <c r="B495" s="4"/>
      <c r="C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spans="1:14">
      <c r="A496" s="4"/>
      <c r="B496" s="4"/>
      <c r="C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spans="1:14">
      <c r="A497" s="4"/>
      <c r="B497" s="4"/>
      <c r="C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spans="1:14">
      <c r="A498" s="4"/>
      <c r="B498" s="4"/>
      <c r="C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spans="1:14">
      <c r="A499" s="4"/>
      <c r="B499" s="4"/>
      <c r="C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spans="1:14">
      <c r="A500" s="4"/>
      <c r="B500" s="4"/>
      <c r="C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spans="1:14">
      <c r="A501" s="4"/>
      <c r="B501" s="4"/>
      <c r="C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spans="1:14">
      <c r="A502" s="4"/>
      <c r="B502" s="4"/>
      <c r="C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spans="1:14">
      <c r="A503" s="4"/>
      <c r="B503" s="4"/>
      <c r="C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spans="1:14">
      <c r="A504" s="4"/>
      <c r="B504" s="4"/>
      <c r="C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spans="1:14">
      <c r="A505" s="4"/>
      <c r="B505" s="4"/>
      <c r="C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spans="1:14">
      <c r="A506" s="4"/>
      <c r="B506" s="4"/>
      <c r="C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spans="1:14">
      <c r="A507" s="4"/>
      <c r="B507" s="4"/>
      <c r="C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spans="1:14">
      <c r="A508" s="4"/>
      <c r="B508" s="4"/>
      <c r="C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spans="1:14">
      <c r="A509" s="4"/>
      <c r="B509" s="4"/>
      <c r="C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spans="1:14">
      <c r="A510" s="4"/>
      <c r="B510" s="4"/>
      <c r="C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spans="1:14">
      <c r="A511" s="4"/>
      <c r="B511" s="4"/>
      <c r="C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spans="1:14">
      <c r="A512" s="4"/>
      <c r="B512" s="4"/>
      <c r="C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spans="1:14">
      <c r="A513" s="4"/>
      <c r="B513" s="4"/>
      <c r="C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spans="1:14">
      <c r="A514" s="4"/>
      <c r="B514" s="4"/>
      <c r="C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spans="1:14">
      <c r="A515" s="4"/>
      <c r="B515" s="4"/>
      <c r="C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spans="1:14">
      <c r="A516" s="4"/>
      <c r="B516" s="4"/>
      <c r="C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spans="1:14">
      <c r="A517" s="4"/>
      <c r="B517" s="4"/>
      <c r="C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spans="1:14">
      <c r="A518" s="4"/>
      <c r="B518" s="4"/>
      <c r="C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spans="1:14">
      <c r="A519" s="4"/>
      <c r="B519" s="4"/>
      <c r="C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4">
      <c r="A520" s="4"/>
      <c r="B520" s="4"/>
      <c r="C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spans="1:14">
      <c r="A521" s="4"/>
      <c r="B521" s="4"/>
      <c r="C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spans="1:14">
      <c r="A522" s="4"/>
      <c r="B522" s="4"/>
      <c r="C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spans="1:14">
      <c r="A523" s="4"/>
      <c r="B523" s="4"/>
      <c r="C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spans="1:14">
      <c r="A524" s="4"/>
      <c r="B524" s="4"/>
      <c r="C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spans="1:14">
      <c r="A525" s="4"/>
      <c r="B525" s="4"/>
      <c r="C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spans="1:14">
      <c r="A526" s="4"/>
      <c r="B526" s="4"/>
      <c r="C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spans="1:14">
      <c r="A527" s="4"/>
      <c r="B527" s="4"/>
      <c r="C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spans="1:14">
      <c r="A528" s="4"/>
      <c r="B528" s="4"/>
      <c r="C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spans="1:14">
      <c r="A529" s="4"/>
      <c r="B529" s="4"/>
      <c r="C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spans="1:14">
      <c r="A530" s="4"/>
      <c r="B530" s="4"/>
      <c r="C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spans="1:14">
      <c r="A531" s="4"/>
      <c r="B531" s="4"/>
      <c r="C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spans="1:14">
      <c r="A532" s="4"/>
      <c r="B532" s="4"/>
      <c r="C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spans="1:14">
      <c r="A533" s="4"/>
      <c r="B533" s="4"/>
      <c r="C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spans="1:14">
      <c r="A534" s="4"/>
      <c r="B534" s="4"/>
      <c r="C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spans="1:14">
      <c r="A535" s="4"/>
      <c r="B535" s="4"/>
      <c r="C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spans="1:14">
      <c r="A536" s="4"/>
      <c r="B536" s="4"/>
      <c r="C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spans="1:14">
      <c r="A537" s="4"/>
      <c r="B537" s="4"/>
      <c r="C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spans="1:14">
      <c r="A538" s="4"/>
      <c r="B538" s="4"/>
      <c r="C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spans="1:14">
      <c r="A539" s="4"/>
      <c r="B539" s="4"/>
      <c r="C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</sheetData>
  <dataValidations count="1">
    <dataValidation type="list" allowBlank="1" showInputMessage="1" showErrorMessage="1" sqref="C2:C539" xr:uid="{00000000-0002-0000-12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1200-000000000000}">
          <x14:formula1>
            <xm:f>List!$P$2:$P$11</xm:f>
          </x14:formula1>
          <xm:sqref>B2:B539</xm:sqref>
        </x14:dataValidation>
        <x14:dataValidation type="list" allowBlank="1" showInputMessage="1" showErrorMessage="1" xr:uid="{00000000-0002-0000-1200-000002000000}">
          <x14:formula1>
            <xm:f>List!$C$2:$C$3</xm:f>
          </x14:formula1>
          <xm:sqref>E2:E539</xm:sqref>
        </x14:dataValidation>
        <x14:dataValidation type="list" allowBlank="1" showInputMessage="1" showErrorMessage="1" xr:uid="{00000000-0002-0000-1200-000003000000}">
          <x14:formula1>
            <xm:f>List!$E$2:$E$32</xm:f>
          </x14:formula1>
          <xm:sqref>F2:F539</xm:sqref>
        </x14:dataValidation>
        <x14:dataValidation type="list" allowBlank="1" showInputMessage="1" showErrorMessage="1" xr:uid="{00000000-0002-0000-1200-000004000000}">
          <x14:formula1>
            <xm:f>List!$H$2:$H$13</xm:f>
          </x14:formula1>
          <xm:sqref>M2:M539</xm:sqref>
        </x14:dataValidation>
        <x14:dataValidation type="list" allowBlank="1" showInputMessage="1" showErrorMessage="1" xr:uid="{00000000-0002-0000-1200-000005000000}">
          <x14:formula1>
            <xm:f>List!$J$2:$J$4</xm:f>
          </x14:formula1>
          <xm:sqref>N2:N539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CD97-F4B2-4ECC-B366-4EE797476A02}">
  <sheetPr>
    <tabColor rgb="FFFFFF00"/>
  </sheetPr>
  <dimension ref="A1:N12"/>
  <sheetViews>
    <sheetView workbookViewId="0">
      <selection activeCell="A2" sqref="A2:N12"/>
    </sheetView>
  </sheetViews>
  <sheetFormatPr defaultRowHeight="14.5"/>
  <cols>
    <col min="1" max="1" width="5.36328125" style="41" bestFit="1" customWidth="1"/>
    <col min="2" max="2" width="8.6328125" style="41" bestFit="1" customWidth="1"/>
    <col min="3" max="3" width="9.6328125" style="41" bestFit="1" customWidth="1"/>
    <col min="4" max="4" width="9" style="41" bestFit="1" customWidth="1"/>
    <col min="5" max="5" width="10.90625" style="41" bestFit="1" customWidth="1"/>
    <col min="6" max="6" width="10.1796875" style="41" bestFit="1" customWidth="1"/>
    <col min="7" max="7" width="35" style="41" bestFit="1" customWidth="1"/>
    <col min="8" max="8" width="15.1796875" style="41" bestFit="1" customWidth="1"/>
    <col min="9" max="9" width="11.54296875" style="41" bestFit="1" customWidth="1"/>
    <col min="10" max="10" width="14.453125" style="41" bestFit="1" customWidth="1"/>
    <col min="11" max="11" width="11.1796875" style="41" bestFit="1" customWidth="1"/>
    <col min="12" max="12" width="10.81640625" style="41" bestFit="1" customWidth="1"/>
    <col min="13" max="13" width="6.54296875" style="41" bestFit="1" customWidth="1"/>
    <col min="14" max="14" width="4.81640625" style="41" bestFit="1" customWidth="1"/>
    <col min="15" max="16384" width="8.7265625" style="41"/>
  </cols>
  <sheetData>
    <row r="1" spans="1:14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16</v>
      </c>
      <c r="J1" s="66" t="s">
        <v>9</v>
      </c>
      <c r="K1" s="66" t="s">
        <v>10</v>
      </c>
      <c r="L1" s="66" t="s">
        <v>11</v>
      </c>
      <c r="M1" s="66" t="s">
        <v>12</v>
      </c>
      <c r="N1" s="66" t="s">
        <v>13</v>
      </c>
    </row>
    <row r="2" spans="1:14">
      <c r="A2" s="41">
        <v>1</v>
      </c>
      <c r="B2" s="41" t="s">
        <v>52</v>
      </c>
      <c r="C2" s="41" t="s">
        <v>53</v>
      </c>
      <c r="D2" s="41" t="s">
        <v>58</v>
      </c>
      <c r="E2" s="41" t="s">
        <v>250</v>
      </c>
      <c r="G2" s="67" t="s">
        <v>410</v>
      </c>
      <c r="H2" s="41" t="s">
        <v>250</v>
      </c>
      <c r="I2" s="137">
        <v>2000</v>
      </c>
      <c r="J2" s="67" t="s">
        <v>415</v>
      </c>
      <c r="K2" s="95">
        <v>46083</v>
      </c>
      <c r="L2" s="67">
        <v>2026400748</v>
      </c>
      <c r="M2" s="133" t="s">
        <v>197</v>
      </c>
      <c r="N2" s="41">
        <v>2026</v>
      </c>
    </row>
    <row r="3" spans="1:14">
      <c r="A3" s="41">
        <v>2</v>
      </c>
      <c r="B3" s="41" t="s">
        <v>52</v>
      </c>
      <c r="C3" s="41" t="s">
        <v>53</v>
      </c>
      <c r="D3" s="41" t="s">
        <v>58</v>
      </c>
      <c r="E3" s="41" t="s">
        <v>250</v>
      </c>
      <c r="G3" s="67" t="s">
        <v>411</v>
      </c>
      <c r="H3" s="41" t="s">
        <v>250</v>
      </c>
      <c r="I3" s="137">
        <v>2260</v>
      </c>
      <c r="J3" s="67" t="s">
        <v>416</v>
      </c>
      <c r="K3" s="95">
        <v>46084</v>
      </c>
      <c r="L3" s="67">
        <v>2026400747</v>
      </c>
      <c r="M3" s="133" t="s">
        <v>197</v>
      </c>
      <c r="N3" s="41">
        <v>2026</v>
      </c>
    </row>
    <row r="4" spans="1:14">
      <c r="A4" s="41">
        <v>3</v>
      </c>
      <c r="B4" s="41" t="s">
        <v>52</v>
      </c>
      <c r="C4" s="41" t="s">
        <v>53</v>
      </c>
      <c r="D4" s="41" t="s">
        <v>58</v>
      </c>
      <c r="E4" s="41" t="s">
        <v>250</v>
      </c>
      <c r="G4" s="41" t="s">
        <v>412</v>
      </c>
      <c r="H4" s="41" t="s">
        <v>250</v>
      </c>
      <c r="I4" s="137">
        <v>3616.8831168831171</v>
      </c>
      <c r="J4" s="41" t="s">
        <v>417</v>
      </c>
      <c r="K4" s="57">
        <v>46085</v>
      </c>
      <c r="L4" s="41">
        <v>2026400785</v>
      </c>
      <c r="M4" s="133" t="s">
        <v>197</v>
      </c>
      <c r="N4" s="41">
        <v>2026</v>
      </c>
    </row>
    <row r="5" spans="1:14">
      <c r="A5" s="41">
        <v>4</v>
      </c>
      <c r="B5" s="41" t="s">
        <v>52</v>
      </c>
      <c r="C5" s="41" t="s">
        <v>53</v>
      </c>
      <c r="D5" s="41" t="s">
        <v>58</v>
      </c>
      <c r="E5" s="41" t="s">
        <v>250</v>
      </c>
      <c r="G5" s="41" t="s">
        <v>413</v>
      </c>
      <c r="H5" s="41" t="s">
        <v>250</v>
      </c>
      <c r="I5" s="137">
        <v>6500</v>
      </c>
      <c r="J5" s="41" t="s">
        <v>418</v>
      </c>
      <c r="K5" s="57">
        <v>46083</v>
      </c>
      <c r="L5" s="41">
        <v>2026400721</v>
      </c>
      <c r="M5" s="133" t="s">
        <v>197</v>
      </c>
      <c r="N5" s="41">
        <v>2026</v>
      </c>
    </row>
    <row r="6" spans="1:14">
      <c r="A6" s="41">
        <v>5</v>
      </c>
      <c r="B6" s="41" t="s">
        <v>52</v>
      </c>
      <c r="C6" s="41" t="s">
        <v>53</v>
      </c>
      <c r="D6" s="41" t="s">
        <v>58</v>
      </c>
      <c r="E6" s="41" t="s">
        <v>250</v>
      </c>
      <c r="G6" s="41" t="s">
        <v>271</v>
      </c>
      <c r="H6" s="41" t="s">
        <v>250</v>
      </c>
      <c r="I6" s="137">
        <v>795.4545454545455</v>
      </c>
      <c r="J6" s="41" t="s">
        <v>419</v>
      </c>
      <c r="K6" s="57">
        <v>46085</v>
      </c>
      <c r="L6" s="41">
        <v>2026400752</v>
      </c>
      <c r="M6" s="133" t="s">
        <v>197</v>
      </c>
      <c r="N6" s="41">
        <v>2026</v>
      </c>
    </row>
    <row r="7" spans="1:14">
      <c r="A7" s="41">
        <v>6</v>
      </c>
      <c r="B7" s="41" t="s">
        <v>52</v>
      </c>
      <c r="C7" s="41" t="s">
        <v>53</v>
      </c>
      <c r="D7" s="41" t="s">
        <v>58</v>
      </c>
      <c r="E7" s="41" t="s">
        <v>250</v>
      </c>
      <c r="G7" s="41" t="s">
        <v>182</v>
      </c>
      <c r="H7" s="41" t="s">
        <v>250</v>
      </c>
      <c r="I7" s="137">
        <v>8754</v>
      </c>
      <c r="J7" s="41" t="s">
        <v>420</v>
      </c>
      <c r="K7" s="57">
        <v>46090</v>
      </c>
      <c r="L7" s="41">
        <v>2026400749</v>
      </c>
      <c r="M7" s="133" t="s">
        <v>197</v>
      </c>
      <c r="N7" s="41">
        <v>2026</v>
      </c>
    </row>
    <row r="8" spans="1:14">
      <c r="A8" s="41">
        <v>7</v>
      </c>
      <c r="B8" s="41" t="s">
        <v>52</v>
      </c>
      <c r="C8" s="41" t="s">
        <v>53</v>
      </c>
      <c r="D8" s="41" t="s">
        <v>58</v>
      </c>
      <c r="E8" s="41" t="s">
        <v>250</v>
      </c>
      <c r="G8" s="41" t="s">
        <v>413</v>
      </c>
      <c r="H8" s="41" t="s">
        <v>250</v>
      </c>
      <c r="I8" s="137">
        <v>21080</v>
      </c>
      <c r="J8" s="41" t="s">
        <v>421</v>
      </c>
      <c r="K8" s="57">
        <v>46094</v>
      </c>
      <c r="L8" s="41">
        <v>2026400758</v>
      </c>
      <c r="M8" s="133" t="s">
        <v>197</v>
      </c>
      <c r="N8" s="41">
        <v>2026</v>
      </c>
    </row>
    <row r="9" spans="1:14">
      <c r="A9" s="41">
        <v>8</v>
      </c>
      <c r="B9" s="41" t="s">
        <v>52</v>
      </c>
      <c r="C9" s="41" t="s">
        <v>53</v>
      </c>
      <c r="D9" s="41" t="s">
        <v>58</v>
      </c>
      <c r="E9" s="41" t="s">
        <v>250</v>
      </c>
      <c r="G9" s="41" t="s">
        <v>115</v>
      </c>
      <c r="H9" s="41" t="s">
        <v>250</v>
      </c>
      <c r="I9" s="137">
        <v>550</v>
      </c>
      <c r="J9" s="41" t="s">
        <v>422</v>
      </c>
      <c r="K9" s="57">
        <v>46097</v>
      </c>
      <c r="L9" s="41">
        <v>2026401061</v>
      </c>
      <c r="M9" s="133" t="s">
        <v>197</v>
      </c>
      <c r="N9" s="41">
        <v>2026</v>
      </c>
    </row>
    <row r="10" spans="1:14">
      <c r="A10" s="41">
        <v>8</v>
      </c>
      <c r="B10" s="41" t="s">
        <v>52</v>
      </c>
      <c r="C10" s="41" t="s">
        <v>53</v>
      </c>
      <c r="D10" s="41" t="s">
        <v>58</v>
      </c>
      <c r="E10" s="41" t="s">
        <v>250</v>
      </c>
      <c r="G10" s="41" t="s">
        <v>290</v>
      </c>
      <c r="H10" s="41" t="s">
        <v>250</v>
      </c>
      <c r="I10" s="137">
        <v>928.57142857142856</v>
      </c>
      <c r="J10" s="41" t="s">
        <v>423</v>
      </c>
      <c r="K10" s="57">
        <v>46095</v>
      </c>
      <c r="L10" s="41">
        <v>2026401125</v>
      </c>
      <c r="M10" s="133" t="s">
        <v>197</v>
      </c>
      <c r="N10" s="41">
        <v>2026</v>
      </c>
    </row>
    <row r="11" spans="1:14">
      <c r="A11" s="41">
        <v>8</v>
      </c>
      <c r="B11" s="41" t="s">
        <v>52</v>
      </c>
      <c r="C11" s="41" t="s">
        <v>53</v>
      </c>
      <c r="D11" s="41" t="s">
        <v>58</v>
      </c>
      <c r="E11" s="41" t="s">
        <v>250</v>
      </c>
      <c r="G11" s="41" t="s">
        <v>296</v>
      </c>
      <c r="H11" s="41" t="s">
        <v>250</v>
      </c>
      <c r="I11" s="137">
        <v>9800</v>
      </c>
      <c r="J11" s="41" t="s">
        <v>424</v>
      </c>
      <c r="K11" s="57">
        <v>46106</v>
      </c>
      <c r="L11" s="41">
        <v>2026401128</v>
      </c>
      <c r="M11" s="133" t="s">
        <v>197</v>
      </c>
      <c r="N11" s="41">
        <v>2026</v>
      </c>
    </row>
    <row r="12" spans="1:14">
      <c r="A12" s="41">
        <v>8</v>
      </c>
      <c r="B12" s="41" t="s">
        <v>52</v>
      </c>
      <c r="C12" s="41" t="s">
        <v>53</v>
      </c>
      <c r="D12" s="41" t="s">
        <v>58</v>
      </c>
      <c r="E12" s="41" t="s">
        <v>250</v>
      </c>
      <c r="G12" s="41" t="s">
        <v>414</v>
      </c>
      <c r="H12" s="41" t="s">
        <v>250</v>
      </c>
      <c r="I12" s="137">
        <v>1120.1298701298701</v>
      </c>
      <c r="J12" s="41" t="s">
        <v>425</v>
      </c>
      <c r="K12" s="57">
        <v>46096</v>
      </c>
      <c r="L12" s="41">
        <v>2026401183</v>
      </c>
      <c r="M12" s="133" t="s">
        <v>197</v>
      </c>
      <c r="N12" s="41">
        <v>2026</v>
      </c>
    </row>
  </sheetData>
  <dataValidations count="1">
    <dataValidation type="list" allowBlank="1" showInputMessage="1" showErrorMessage="1" sqref="C2:C12" xr:uid="{85B588A3-0488-422B-B533-F36D78599AC1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C052925-5688-406A-8AE6-43B5D56FEB99}">
          <x14:formula1>
            <xm:f>List!$P$2:$P$11</xm:f>
          </x14:formula1>
          <xm:sqref>B2:B12</xm:sqref>
        </x14:dataValidation>
        <x14:dataValidation type="list" allowBlank="1" showInputMessage="1" showErrorMessage="1" xr:uid="{CC450906-F721-4152-9D7B-3079E74ECB6E}">
          <x14:formula1>
            <xm:f>List!$C$2:$C$3</xm:f>
          </x14:formula1>
          <xm:sqref>D2:D12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0"/>
  <sheetViews>
    <sheetView workbookViewId="0">
      <selection activeCell="C3" sqref="C3"/>
    </sheetView>
  </sheetViews>
  <sheetFormatPr defaultColWidth="9" defaultRowHeight="14.5"/>
  <cols>
    <col min="1" max="1" width="19.453125" customWidth="1"/>
    <col min="2" max="9" width="16.90625" customWidth="1"/>
    <col min="10" max="11" width="13.90625" customWidth="1"/>
    <col min="12" max="12" width="12.81640625" customWidth="1"/>
    <col min="13" max="13" width="20.54296875" customWidth="1"/>
    <col min="14" max="14" width="18.1796875" customWidth="1"/>
    <col min="15" max="15" width="15.08984375" customWidth="1"/>
  </cols>
  <sheetData>
    <row r="1" spans="1:16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73</v>
      </c>
      <c r="G1" s="1" t="s">
        <v>77</v>
      </c>
      <c r="H1" s="1" t="s">
        <v>103</v>
      </c>
      <c r="I1" s="1" t="s">
        <v>121</v>
      </c>
      <c r="J1" s="1" t="s">
        <v>91</v>
      </c>
      <c r="K1" s="1" t="s">
        <v>55</v>
      </c>
      <c r="L1" s="1" t="s">
        <v>122</v>
      </c>
      <c r="M1" s="1" t="s">
        <v>80</v>
      </c>
      <c r="N1" s="1" t="s">
        <v>123</v>
      </c>
      <c r="O1" s="1" t="s">
        <v>124</v>
      </c>
      <c r="P1" s="1" t="s">
        <v>125</v>
      </c>
    </row>
    <row r="2" spans="1:16">
      <c r="A2" s="2" t="s">
        <v>126</v>
      </c>
      <c r="B2" s="33" t="s">
        <v>127</v>
      </c>
      <c r="C2" s="2" t="s">
        <v>128</v>
      </c>
      <c r="D2" s="33" t="s">
        <v>129</v>
      </c>
      <c r="E2" s="2" t="s">
        <v>130</v>
      </c>
      <c r="F2" s="2" t="s">
        <v>131</v>
      </c>
      <c r="G2" s="2" t="s">
        <v>132</v>
      </c>
      <c r="H2" s="3" t="s">
        <v>133</v>
      </c>
      <c r="I2" s="2"/>
      <c r="J2" s="2" t="s">
        <v>134</v>
      </c>
      <c r="K2" s="2" t="s">
        <v>135</v>
      </c>
      <c r="L2" s="2" t="s">
        <v>136</v>
      </c>
      <c r="M2" s="2" t="s">
        <v>137</v>
      </c>
      <c r="N2" s="2" t="s">
        <v>138</v>
      </c>
      <c r="O2" s="2" t="s">
        <v>139</v>
      </c>
      <c r="P2" s="2" t="s">
        <v>140</v>
      </c>
    </row>
    <row r="3" spans="1:16">
      <c r="A3" s="2" t="s">
        <v>141</v>
      </c>
      <c r="B3" s="33" t="s">
        <v>142</v>
      </c>
      <c r="C3" s="2" t="s">
        <v>143</v>
      </c>
      <c r="D3" s="33" t="s">
        <v>144</v>
      </c>
      <c r="E3" s="2" t="s">
        <v>145</v>
      </c>
      <c r="F3" s="2" t="s">
        <v>146</v>
      </c>
      <c r="G3" s="2" t="s">
        <v>147</v>
      </c>
      <c r="I3" s="2" t="s">
        <v>148</v>
      </c>
      <c r="J3" s="2" t="s">
        <v>149</v>
      </c>
      <c r="K3" s="2" t="s">
        <v>150</v>
      </c>
      <c r="L3" s="2" t="s">
        <v>151</v>
      </c>
      <c r="M3" s="5" t="s">
        <v>81</v>
      </c>
      <c r="N3" s="2"/>
    </row>
    <row r="4" spans="1:16">
      <c r="A4" s="2" t="s">
        <v>152</v>
      </c>
      <c r="B4" s="2" t="s">
        <v>153</v>
      </c>
      <c r="C4" s="2" t="s">
        <v>154</v>
      </c>
      <c r="D4" s="33" t="s">
        <v>155</v>
      </c>
      <c r="F4" s="2" t="s">
        <v>156</v>
      </c>
      <c r="G4" s="2" t="s">
        <v>157</v>
      </c>
      <c r="I4" s="2" t="s">
        <v>158</v>
      </c>
      <c r="J4" s="2" t="s">
        <v>159</v>
      </c>
      <c r="K4" s="2" t="s">
        <v>160</v>
      </c>
      <c r="L4" s="2" t="s">
        <v>161</v>
      </c>
    </row>
    <row r="5" spans="1:16">
      <c r="A5" s="2" t="s">
        <v>162</v>
      </c>
      <c r="B5" s="2" t="s">
        <v>163</v>
      </c>
      <c r="C5" s="2"/>
      <c r="D5" s="2" t="s">
        <v>164</v>
      </c>
      <c r="J5" s="2" t="s">
        <v>156</v>
      </c>
      <c r="K5" s="2" t="s">
        <v>165</v>
      </c>
      <c r="L5" s="2" t="s">
        <v>166</v>
      </c>
    </row>
    <row r="6" spans="1:16">
      <c r="A6" s="2" t="s">
        <v>167</v>
      </c>
      <c r="B6" s="2" t="s">
        <v>168</v>
      </c>
      <c r="D6" s="2" t="s">
        <v>169</v>
      </c>
      <c r="K6" s="2" t="s">
        <v>165</v>
      </c>
      <c r="L6" s="2" t="s">
        <v>170</v>
      </c>
    </row>
    <row r="7" spans="1:16">
      <c r="A7" s="2" t="s">
        <v>171</v>
      </c>
      <c r="B7" s="2" t="s">
        <v>172</v>
      </c>
      <c r="D7" s="2" t="s">
        <v>173</v>
      </c>
    </row>
    <row r="8" spans="1:16">
      <c r="A8" s="2" t="s">
        <v>174</v>
      </c>
      <c r="B8" s="2" t="s">
        <v>175</v>
      </c>
      <c r="D8" s="2" t="s">
        <v>176</v>
      </c>
    </row>
    <row r="9" spans="1:16">
      <c r="A9" s="2" t="s">
        <v>177</v>
      </c>
      <c r="B9" s="5" t="s">
        <v>107</v>
      </c>
      <c r="C9" s="4"/>
      <c r="D9" s="2" t="s">
        <v>178</v>
      </c>
      <c r="E9" s="4"/>
    </row>
    <row r="10" spans="1:16">
      <c r="A10" s="2" t="s">
        <v>179</v>
      </c>
      <c r="B10" s="5" t="s">
        <v>180</v>
      </c>
      <c r="C10" s="4"/>
      <c r="D10" s="2" t="s">
        <v>181</v>
      </c>
      <c r="E10" s="4"/>
    </row>
    <row r="11" spans="1:16">
      <c r="B11" s="40" t="s">
        <v>182</v>
      </c>
      <c r="C11" s="4"/>
      <c r="D11" s="2" t="s">
        <v>183</v>
      </c>
      <c r="E11" s="4"/>
      <c r="I11" s="4"/>
      <c r="J11" s="4"/>
      <c r="K11" s="4"/>
    </row>
    <row r="12" spans="1:16">
      <c r="B12" s="5" t="s">
        <v>184</v>
      </c>
      <c r="C12" s="4"/>
      <c r="D12" s="2" t="s">
        <v>185</v>
      </c>
      <c r="E12" s="4"/>
      <c r="I12" s="4"/>
      <c r="J12" s="4"/>
      <c r="K12" s="4"/>
    </row>
    <row r="13" spans="1:16">
      <c r="B13" s="5" t="s">
        <v>186</v>
      </c>
      <c r="C13" s="4"/>
      <c r="D13" s="4"/>
      <c r="E13" s="4"/>
      <c r="F13" s="4"/>
      <c r="G13" s="4"/>
      <c r="H13" s="4"/>
      <c r="I13" s="4"/>
      <c r="J13" s="4"/>
      <c r="K13" s="4"/>
    </row>
    <row r="14" spans="1:16">
      <c r="B14" s="2" t="s">
        <v>187</v>
      </c>
      <c r="I14" s="4"/>
      <c r="J14" s="4"/>
      <c r="K14" s="4"/>
    </row>
    <row r="15" spans="1:16">
      <c r="B15" s="5" t="s">
        <v>188</v>
      </c>
      <c r="C15" s="4"/>
      <c r="D15" s="4"/>
      <c r="E15" s="4"/>
      <c r="F15" s="4"/>
      <c r="G15" s="4"/>
      <c r="H15" s="4"/>
      <c r="I15" s="4"/>
      <c r="J15" s="4"/>
      <c r="K15" s="4"/>
    </row>
    <row r="16" spans="1:16">
      <c r="B16" s="39" t="s">
        <v>252</v>
      </c>
      <c r="C16" s="4"/>
      <c r="D16" s="4"/>
      <c r="E16" s="4"/>
      <c r="F16" s="4"/>
      <c r="G16" s="4"/>
      <c r="H16" s="4"/>
      <c r="I16" s="4"/>
      <c r="J16" s="4"/>
      <c r="K16" s="4"/>
    </row>
    <row r="17" spans="2:11"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2:11"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2:11"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2:11">
      <c r="B20" s="4"/>
      <c r="C20" s="4"/>
      <c r="D20" s="4"/>
      <c r="E20" s="4"/>
      <c r="F20" s="4"/>
      <c r="G20" s="4"/>
      <c r="H20" s="4"/>
      <c r="I20" s="4"/>
      <c r="J20" s="4"/>
      <c r="K20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H19"/>
  <sheetViews>
    <sheetView workbookViewId="0">
      <selection activeCell="E9" sqref="E9"/>
    </sheetView>
  </sheetViews>
  <sheetFormatPr defaultColWidth="9" defaultRowHeight="14.5"/>
  <cols>
    <col min="1" max="1" width="11.08984375" customWidth="1"/>
    <col min="2" max="2" width="18.08984375" customWidth="1"/>
    <col min="3" max="3" width="12.36328125" customWidth="1"/>
    <col min="4" max="4" width="3.54296875" customWidth="1"/>
    <col min="5" max="5" width="31.453125" customWidth="1"/>
    <col min="6" max="7" width="3.54296875" customWidth="1"/>
    <col min="8" max="8" width="9.08984375" customWidth="1"/>
    <col min="9" max="9" width="3.54296875" customWidth="1"/>
    <col min="10" max="10" width="7.08984375" customWidth="1"/>
    <col min="16" max="16" width="11.08984375" customWidth="1"/>
    <col min="18" max="18" width="12.36328125" customWidth="1"/>
    <col min="19" max="19" width="3.54296875" customWidth="1"/>
    <col min="20" max="20" width="12.36328125" customWidth="1"/>
    <col min="21" max="21" width="3.54296875" customWidth="1"/>
    <col min="22" max="22" width="12.36328125" customWidth="1"/>
    <col min="23" max="23" width="3.54296875" customWidth="1"/>
    <col min="24" max="24" width="12.36328125" customWidth="1"/>
    <col min="25" max="25" width="3.54296875" customWidth="1"/>
    <col min="26" max="26" width="12.36328125" customWidth="1"/>
    <col min="27" max="27" width="3.54296875" customWidth="1"/>
    <col min="28" max="28" width="12.36328125" customWidth="1"/>
    <col min="29" max="29" width="3.54296875" customWidth="1"/>
    <col min="30" max="30" width="12.36328125" customWidth="1"/>
    <col min="31" max="31" width="3.54296875" customWidth="1"/>
    <col min="32" max="32" width="12.36328125" customWidth="1"/>
    <col min="33" max="33" width="3.54296875" customWidth="1"/>
    <col min="34" max="34" width="12.36328125" customWidth="1"/>
  </cols>
  <sheetData>
    <row r="1" spans="1:34">
      <c r="A1" t="s">
        <v>189</v>
      </c>
      <c r="B1" t="s">
        <v>190</v>
      </c>
      <c r="C1" t="s">
        <v>191</v>
      </c>
      <c r="E1" t="s">
        <v>192</v>
      </c>
      <c r="H1" t="s">
        <v>12</v>
      </c>
      <c r="J1" t="s">
        <v>13</v>
      </c>
      <c r="P1" t="s">
        <v>193</v>
      </c>
      <c r="R1" t="s">
        <v>27</v>
      </c>
      <c r="T1" t="s">
        <v>17</v>
      </c>
      <c r="V1" t="s">
        <v>31</v>
      </c>
      <c r="X1" t="s">
        <v>33</v>
      </c>
      <c r="Z1" t="s">
        <v>29</v>
      </c>
      <c r="AB1" t="s">
        <v>40</v>
      </c>
      <c r="AD1" t="s">
        <v>52</v>
      </c>
      <c r="AF1" t="s">
        <v>56</v>
      </c>
      <c r="AH1" t="s">
        <v>74</v>
      </c>
    </row>
    <row r="2" spans="1:34">
      <c r="A2" t="s">
        <v>27</v>
      </c>
      <c r="C2" t="s">
        <v>58</v>
      </c>
      <c r="E2" t="s">
        <v>20</v>
      </c>
      <c r="H2" t="s">
        <v>194</v>
      </c>
      <c r="J2">
        <v>2023</v>
      </c>
      <c r="P2" t="s">
        <v>27</v>
      </c>
      <c r="R2" t="s">
        <v>28</v>
      </c>
      <c r="T2" t="s">
        <v>26</v>
      </c>
      <c r="V2" t="s">
        <v>32</v>
      </c>
      <c r="X2" t="s">
        <v>36</v>
      </c>
      <c r="Z2" t="s">
        <v>30</v>
      </c>
      <c r="AB2" t="s">
        <v>47</v>
      </c>
      <c r="AD2" t="s">
        <v>53</v>
      </c>
      <c r="AF2" t="s">
        <v>57</v>
      </c>
      <c r="AH2" t="s">
        <v>75</v>
      </c>
    </row>
    <row r="3" spans="1:34">
      <c r="A3" t="s">
        <v>17</v>
      </c>
      <c r="C3" t="s">
        <v>19</v>
      </c>
      <c r="E3" t="s">
        <v>195</v>
      </c>
      <c r="H3" t="s">
        <v>196</v>
      </c>
      <c r="J3">
        <v>2024</v>
      </c>
      <c r="P3" t="s">
        <v>17</v>
      </c>
      <c r="T3" t="s">
        <v>22</v>
      </c>
      <c r="X3" t="s">
        <v>39</v>
      </c>
      <c r="AB3" t="s">
        <v>48</v>
      </c>
      <c r="AD3" t="s">
        <v>90</v>
      </c>
    </row>
    <row r="4" spans="1:34">
      <c r="A4" t="s">
        <v>31</v>
      </c>
      <c r="E4" t="s">
        <v>82</v>
      </c>
      <c r="H4" t="s">
        <v>197</v>
      </c>
      <c r="J4">
        <v>2025</v>
      </c>
      <c r="P4" t="s">
        <v>31</v>
      </c>
      <c r="T4" t="s">
        <v>25</v>
      </c>
      <c r="X4" t="s">
        <v>35</v>
      </c>
      <c r="AB4" t="s">
        <v>198</v>
      </c>
    </row>
    <row r="5" spans="1:34">
      <c r="A5" t="s">
        <v>33</v>
      </c>
      <c r="E5" t="s">
        <v>108</v>
      </c>
      <c r="H5" t="s">
        <v>199</v>
      </c>
      <c r="P5" t="s">
        <v>33</v>
      </c>
      <c r="T5" t="s">
        <v>87</v>
      </c>
      <c r="X5" t="s">
        <v>38</v>
      </c>
      <c r="AB5" t="s">
        <v>49</v>
      </c>
    </row>
    <row r="6" spans="1:34">
      <c r="A6" t="s">
        <v>29</v>
      </c>
      <c r="E6" t="s">
        <v>79</v>
      </c>
      <c r="H6" t="s">
        <v>200</v>
      </c>
      <c r="P6" t="s">
        <v>29</v>
      </c>
      <c r="T6" t="s">
        <v>24</v>
      </c>
      <c r="X6" t="s">
        <v>37</v>
      </c>
      <c r="AB6" t="s">
        <v>45</v>
      </c>
    </row>
    <row r="7" spans="1:34">
      <c r="A7" t="s">
        <v>40</v>
      </c>
      <c r="E7" t="s">
        <v>201</v>
      </c>
      <c r="H7" t="s">
        <v>202</v>
      </c>
      <c r="P7" t="s">
        <v>40</v>
      </c>
      <c r="T7" t="s">
        <v>70</v>
      </c>
      <c r="X7" t="s">
        <v>203</v>
      </c>
      <c r="AB7" t="s">
        <v>42</v>
      </c>
    </row>
    <row r="8" spans="1:34">
      <c r="A8" t="s">
        <v>52</v>
      </c>
      <c r="E8" t="s">
        <v>204</v>
      </c>
      <c r="H8" t="s">
        <v>205</v>
      </c>
      <c r="P8" t="s">
        <v>52</v>
      </c>
      <c r="T8" t="s">
        <v>23</v>
      </c>
      <c r="X8" t="s">
        <v>34</v>
      </c>
      <c r="AB8" t="s">
        <v>67</v>
      </c>
    </row>
    <row r="9" spans="1:34">
      <c r="A9" t="s">
        <v>52</v>
      </c>
      <c r="E9" t="s">
        <v>95</v>
      </c>
      <c r="H9" t="s">
        <v>206</v>
      </c>
      <c r="P9" t="s">
        <v>52</v>
      </c>
      <c r="AB9" t="s">
        <v>43</v>
      </c>
    </row>
    <row r="10" spans="1:34">
      <c r="A10" t="s">
        <v>56</v>
      </c>
      <c r="E10" t="s">
        <v>68</v>
      </c>
      <c r="H10" t="s">
        <v>15</v>
      </c>
      <c r="P10" t="s">
        <v>56</v>
      </c>
      <c r="AB10" t="s">
        <v>72</v>
      </c>
    </row>
    <row r="11" spans="1:34">
      <c r="A11" t="s">
        <v>74</v>
      </c>
      <c r="E11" t="s">
        <v>207</v>
      </c>
      <c r="H11" t="s">
        <v>208</v>
      </c>
      <c r="P11" t="s">
        <v>74</v>
      </c>
      <c r="AB11" t="s">
        <v>209</v>
      </c>
    </row>
    <row r="12" spans="1:34">
      <c r="E12" t="s">
        <v>54</v>
      </c>
      <c r="H12" t="s">
        <v>210</v>
      </c>
      <c r="AB12" t="s">
        <v>44</v>
      </c>
    </row>
    <row r="13" spans="1:34">
      <c r="E13" t="s">
        <v>77</v>
      </c>
      <c r="H13" t="s">
        <v>211</v>
      </c>
      <c r="AB13" t="s">
        <v>69</v>
      </c>
    </row>
    <row r="14" spans="1:34">
      <c r="E14" t="s">
        <v>212</v>
      </c>
      <c r="AB14" t="s">
        <v>213</v>
      </c>
    </row>
    <row r="15" spans="1:34">
      <c r="E15" t="s">
        <v>214</v>
      </c>
    </row>
    <row r="16" spans="1:34">
      <c r="E16" t="s">
        <v>91</v>
      </c>
    </row>
    <row r="17" spans="5:5">
      <c r="E17" t="s">
        <v>103</v>
      </c>
    </row>
    <row r="18" spans="5:5">
      <c r="E18" t="s">
        <v>215</v>
      </c>
    </row>
    <row r="19" spans="5:5">
      <c r="E19" t="s">
        <v>216</v>
      </c>
    </row>
  </sheetData>
  <pageMargins left="0.7" right="0.7" top="0.75" bottom="0.75" header="0.3" footer="0.3"/>
  <pageSetup paperSize="9" orientation="portrait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46AA56-B517-4622-B270-F0E8AD718E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Master</vt:lpstr>
      <vt:lpstr>Payroll</vt:lpstr>
      <vt:lpstr>Shipping</vt:lpstr>
      <vt:lpstr>Petty Cash</vt:lpstr>
      <vt:lpstr>Fuel &amp; Lubricant</vt:lpstr>
      <vt:lpstr>Charitable Contributions</vt:lpstr>
      <vt:lpstr>Accommodation</vt:lpstr>
      <vt:lpstr>Logistic</vt:lpstr>
      <vt:lpstr>Security</vt:lpstr>
      <vt:lpstr>Lease &amp; Rent</vt:lpstr>
      <vt:lpstr>Communication &amp; internet</vt:lpstr>
      <vt:lpstr>Social security</vt:lpstr>
      <vt:lpstr>Amman Expenses</vt:lpstr>
      <vt:lpstr>Air ticket &amp; travel</vt:lpstr>
      <vt:lpstr>Materials</vt:lpstr>
      <vt:lpstr>Third party Services</vt:lpstr>
      <vt:lpstr>Third party manpower</vt:lpstr>
      <vt:lpstr>Subcontractors</vt:lpstr>
      <vt:lpstr>Tax</vt:lpstr>
      <vt:lpstr>FA</vt:lpstr>
      <vt:lpstr>Sheet1</vt:lpstr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HP</cp:lastModifiedBy>
  <cp:lastPrinted>2024-10-13T07:54:00Z</cp:lastPrinted>
  <dcterms:created xsi:type="dcterms:W3CDTF">2024-10-13T06:49:00Z</dcterms:created>
  <dcterms:modified xsi:type="dcterms:W3CDTF">2026-04-12T08:53:10Z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92CAEB93B0DB422FB444CFE2DFBC07A4_13</vt:lpwstr>
  </property>
  <property fmtid="{D5CDD505-2E9C-101B-9397-08002B2CF9AE}" pid="3" name="KSOProductBuildVer">
    <vt:lpwstr>1033-12.2.0.23131</vt:lpwstr>
  </property>
</Properties>
</file>