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My Work\Saif\P&amp;A Procurment\2026\"/>
    </mc:Choice>
  </mc:AlternateContent>
  <xr:revisionPtr revIDLastSave="0" documentId="13_ncr:1_{4331792C-321C-4FFA-945F-9862892BF019}" xr6:coauthVersionLast="47" xr6:coauthVersionMax="47" xr10:uidLastSave="{00000000-0000-0000-0000-000000000000}"/>
  <bookViews>
    <workbookView xWindow="-110" yWindow="-110" windowWidth="19420" windowHeight="10300" tabRatio="766" xr2:uid="{00000000-000D-0000-FFFF-FFFF00000000}"/>
  </bookViews>
  <sheets>
    <sheet name="Summary" sheetId="35" r:id="rId1"/>
    <sheet name="Master" sheetId="9" r:id="rId2"/>
    <sheet name="Payroll" sheetId="2" r:id="rId3"/>
    <sheet name="Shipping" sheetId="14" r:id="rId4"/>
    <sheet name="Petty Cash" sheetId="5" r:id="rId5"/>
    <sheet name="Fuel &amp; Lubricant" sheetId="18" r:id="rId6"/>
    <sheet name="Charitable Contributions" sheetId="17" r:id="rId7"/>
    <sheet name="Accommodation" sheetId="19" r:id="rId8"/>
    <sheet name="Logistic" sheetId="4" r:id="rId9"/>
    <sheet name="Security" sheetId="21" r:id="rId10"/>
    <sheet name="Lease &amp; Rent" sheetId="20" r:id="rId11"/>
    <sheet name="Communication &amp; internet" sheetId="22" r:id="rId12"/>
    <sheet name="Social security" sheetId="25" r:id="rId13"/>
    <sheet name="Amman Expenses" sheetId="23" r:id="rId14"/>
    <sheet name="Air ticket &amp; travel" sheetId="26" r:id="rId15"/>
    <sheet name="Materials" sheetId="1" r:id="rId16"/>
    <sheet name="Third party Services" sheetId="6" r:id="rId17"/>
    <sheet name="Third party manpower" sheetId="15" r:id="rId18"/>
    <sheet name="Subcontractors" sheetId="3" r:id="rId19"/>
    <sheet name="Tax" sheetId="7" state="hidden" r:id="rId20"/>
    <sheet name="FA" sheetId="31" r:id="rId21"/>
    <sheet name="Sheet1" sheetId="11" state="hidden" r:id="rId22"/>
    <sheet name="List" sheetId="10" state="hidden" r:id="rId23"/>
  </sheets>
  <externalReferences>
    <externalReference r:id="rId24"/>
  </externalReferences>
  <definedNames>
    <definedName name="_xlnm._FilterDatabase" localSheetId="8" hidden="1">Logistic!$A$1:$N$83</definedName>
    <definedName name="_xlnm._FilterDatabase" localSheetId="1" hidden="1">Master!$A$1:$N$598</definedName>
    <definedName name="_xlnm._FilterDatabase" localSheetId="15" hidden="1">Materials!$A$1:$N$187</definedName>
    <definedName name="_xlnm._FilterDatabase" localSheetId="2" hidden="1">Payroll!$A$1:$N$1</definedName>
    <definedName name="_xlnm._FilterDatabase" localSheetId="4" hidden="1">'Petty Cash'!$A$1:$N$86</definedName>
    <definedName name="_xlnm._FilterDatabase" localSheetId="17" hidden="1">'Third party manpower'!$A$1:$N$9</definedName>
    <definedName name="_xlnm._FilterDatabase" localSheetId="16" hidden="1">'Third party Services'!$A$1:$N$1</definedName>
    <definedName name="Level_2">[1]List!$G$2:$G$37</definedName>
  </definedNames>
  <calcPr calcId="191029"/>
  <pivotCaches>
    <pivotCache cacheId="36" r:id="rId2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3" l="1"/>
  <c r="I6" i="3"/>
  <c r="I11" i="31" l="1"/>
  <c r="I10" i="31"/>
  <c r="I9" i="31"/>
  <c r="I8" i="31"/>
  <c r="I2" i="21" l="1"/>
  <c r="I4" i="26" l="1"/>
  <c r="I3" i="26"/>
  <c r="I2" i="26"/>
  <c r="I2" i="22" l="1"/>
  <c r="I2" i="18"/>
  <c r="I3" i="17"/>
  <c r="I2" i="17"/>
  <c r="I34" i="2"/>
  <c r="I4" i="14" l="1"/>
  <c r="I4" i="18" l="1"/>
  <c r="I5" i="18"/>
  <c r="I9" i="15" l="1"/>
  <c r="I2" i="4" l="1"/>
  <c r="I7" i="18"/>
  <c r="I6" i="18"/>
  <c r="I3" i="18"/>
  <c r="I5" i="19" l="1"/>
  <c r="I3" i="19"/>
  <c r="I2" i="19"/>
</calcChain>
</file>

<file path=xl/sharedStrings.xml><?xml version="1.0" encoding="utf-8"?>
<sst xmlns="http://schemas.openxmlformats.org/spreadsheetml/2006/main" count="11169" uniqueCount="733">
  <si>
    <t>Serial</t>
  </si>
  <si>
    <t xml:space="preserve">Level 1 </t>
  </si>
  <si>
    <t>Level 2</t>
  </si>
  <si>
    <t>Cost Type</t>
  </si>
  <si>
    <t>GL Name</t>
  </si>
  <si>
    <t>GL Account</t>
  </si>
  <si>
    <t>Vendor</t>
  </si>
  <si>
    <t>Description</t>
  </si>
  <si>
    <t>Invoice Amount USD</t>
  </si>
  <si>
    <t>Invoice No.</t>
  </si>
  <si>
    <t>Invoice Date</t>
  </si>
  <si>
    <t>PO Number</t>
  </si>
  <si>
    <t>Month</t>
  </si>
  <si>
    <t>Year</t>
  </si>
  <si>
    <t>N/A</t>
  </si>
  <si>
    <t>Sep</t>
  </si>
  <si>
    <t>Amount USD</t>
  </si>
  <si>
    <t>BGC_23</t>
  </si>
  <si>
    <t>BNGL-25</t>
  </si>
  <si>
    <t>Accrual</t>
  </si>
  <si>
    <t>Staff Salary &amp; Compensation</t>
  </si>
  <si>
    <t>IGCC</t>
  </si>
  <si>
    <t>KAZ_23</t>
  </si>
  <si>
    <t>QUR_23</t>
  </si>
  <si>
    <t>SPAS_23</t>
  </si>
  <si>
    <t>UQ_23</t>
  </si>
  <si>
    <t>ZBR_23</t>
  </si>
  <si>
    <t>BGCG_23</t>
  </si>
  <si>
    <t>GRLBG_23</t>
  </si>
  <si>
    <t>1 MITAS</t>
  </si>
  <si>
    <t>MITASOHTL</t>
  </si>
  <si>
    <t>ROOESP_23</t>
  </si>
  <si>
    <t>EIESP_23</t>
  </si>
  <si>
    <t>ROOG_23</t>
  </si>
  <si>
    <t>GRLRO_23</t>
  </si>
  <si>
    <t>ROOM_23</t>
  </si>
  <si>
    <t>EIMNT_23</t>
  </si>
  <si>
    <t>EISP_23</t>
  </si>
  <si>
    <t>EITAR_23</t>
  </si>
  <si>
    <t>MPMNT_23</t>
  </si>
  <si>
    <t>MPSP_23</t>
  </si>
  <si>
    <t>MPTAR_23</t>
  </si>
  <si>
    <t>ROOP_23</t>
  </si>
  <si>
    <t>E&amp;I-MAJ</t>
  </si>
  <si>
    <t>FFF_23</t>
  </si>
  <si>
    <t>FLWLN_23</t>
  </si>
  <si>
    <t>KBR_23</t>
  </si>
  <si>
    <t>MWP_23</t>
  </si>
  <si>
    <t>OHTL_25</t>
  </si>
  <si>
    <t>PWRI_23</t>
  </si>
  <si>
    <t>PWRI2_23</t>
  </si>
  <si>
    <t>QAWPT_23</t>
  </si>
  <si>
    <t>TOTAL_25</t>
  </si>
  <si>
    <t>GRLTOT_25</t>
  </si>
  <si>
    <t>Camp_23</t>
  </si>
  <si>
    <t>CmpSB_23</t>
  </si>
  <si>
    <t>DHL / Courier Fees / Shipping</t>
  </si>
  <si>
    <t>Shipping</t>
  </si>
  <si>
    <t>HO_23</t>
  </si>
  <si>
    <t>HO_SB_23</t>
  </si>
  <si>
    <t>Actual</t>
  </si>
  <si>
    <t>Total_25</t>
  </si>
  <si>
    <t>GRLTOT</t>
  </si>
  <si>
    <t>Charitable Contributions</t>
  </si>
  <si>
    <t>Petty Cash</t>
  </si>
  <si>
    <t>اكراميات وعشائر</t>
  </si>
  <si>
    <t xml:space="preserve">KAZ-Check point salary </t>
  </si>
  <si>
    <t>ROOG-check point salary</t>
  </si>
  <si>
    <t>##</t>
  </si>
  <si>
    <t xml:space="preserve">Total-Check point salary </t>
  </si>
  <si>
    <t>CPSs_23</t>
  </si>
  <si>
    <t>Material &amp; Supplies</t>
  </si>
  <si>
    <t>Petty Cash for KAZ</t>
  </si>
  <si>
    <t>WOD_23</t>
  </si>
  <si>
    <t>EX_23</t>
  </si>
  <si>
    <t>Petty Cash for CAMP</t>
  </si>
  <si>
    <t>RTPFL_23</t>
  </si>
  <si>
    <t>Third party manpower</t>
  </si>
  <si>
    <t>WQ1_23</t>
  </si>
  <si>
    <t>WQ1SB_23</t>
  </si>
  <si>
    <t>Third party services</t>
  </si>
  <si>
    <t>Fuel &amp; Lubricant</t>
  </si>
  <si>
    <t>Cleaner Materials</t>
  </si>
  <si>
    <t>Air Ticket / Travel</t>
  </si>
  <si>
    <t>Accommodation</t>
  </si>
  <si>
    <t>Al Majal Business Park (AMBP)</t>
  </si>
  <si>
    <t>Light &amp; Heavy Equipment’s Rental</t>
  </si>
  <si>
    <t>Taqadm Albasrah</t>
  </si>
  <si>
    <t>NAC Logistic</t>
  </si>
  <si>
    <t>Border Transportaion / Al Hodod</t>
  </si>
  <si>
    <t>Light equipment rental</t>
  </si>
  <si>
    <t>MANPR_23</t>
  </si>
  <si>
    <t>Al-Zubair Gate</t>
  </si>
  <si>
    <t>Neema Abdul Hassan</t>
  </si>
  <si>
    <t>MWS_23</t>
  </si>
  <si>
    <t>Security</t>
  </si>
  <si>
    <t>LARSA Security</t>
  </si>
  <si>
    <t>Guards</t>
  </si>
  <si>
    <t>Derraa Al Rumaila Security</t>
  </si>
  <si>
    <t>Lease &amp; Rent</t>
  </si>
  <si>
    <t>Diesel tanker rental</t>
  </si>
  <si>
    <t>Communication &amp; internet</t>
  </si>
  <si>
    <t>Hulum Telecom</t>
  </si>
  <si>
    <t>Internet</t>
  </si>
  <si>
    <t>Zain Telecom</t>
  </si>
  <si>
    <t>Zain Telecom Services</t>
  </si>
  <si>
    <t>HO_SP_23</t>
  </si>
  <si>
    <t>Social security</t>
  </si>
  <si>
    <t>Third party Manpower</t>
  </si>
  <si>
    <t>labourers</t>
  </si>
  <si>
    <t>Third party Servcies</t>
  </si>
  <si>
    <t>Basra Galvanizing Co.</t>
  </si>
  <si>
    <t>Subcontractors</t>
  </si>
  <si>
    <t>Welding</t>
  </si>
  <si>
    <t>Burj Al Rafidain Hamza</t>
  </si>
  <si>
    <t>Abdullah Gallery</t>
  </si>
  <si>
    <t>Materials/Safety</t>
  </si>
  <si>
    <t>Materials</t>
  </si>
  <si>
    <t>AL MUSTAFA INDUSTRIAL IRON TRADING</t>
  </si>
  <si>
    <t>Al-Ghadeer Print</t>
  </si>
  <si>
    <t>AL-Wajeeh Company</t>
  </si>
  <si>
    <t>BLUE LINE</t>
  </si>
  <si>
    <t>Mohammed Abdulraheem Office</t>
  </si>
  <si>
    <t>ZUMZUM ALFAYHAA INSAAT</t>
  </si>
  <si>
    <t>Subcontracters</t>
  </si>
  <si>
    <t>Third party Services</t>
  </si>
  <si>
    <t>Lease &amp; rent</t>
  </si>
  <si>
    <t>Materiales</t>
  </si>
  <si>
    <t>Air ticket &amp; travel</t>
  </si>
  <si>
    <t>Comunication</t>
  </si>
  <si>
    <t>Logistics</t>
  </si>
  <si>
    <t>Charitable</t>
  </si>
  <si>
    <t>Petty Cash Sadeq</t>
  </si>
  <si>
    <t>Payroll</t>
  </si>
  <si>
    <t>Al Ajdar</t>
  </si>
  <si>
    <t>Tohama</t>
  </si>
  <si>
    <t>Machine Al Ajdar</t>
  </si>
  <si>
    <t>Al Taher</t>
  </si>
  <si>
    <t>Jabal Qandeel</t>
  </si>
  <si>
    <t>Burj/ Hamza</t>
  </si>
  <si>
    <t>Desial/ Farooq,Mustafa</t>
  </si>
  <si>
    <t>Haider Khazar</t>
  </si>
  <si>
    <t>Derra Al Rumila</t>
  </si>
  <si>
    <t>Logistic express</t>
  </si>
  <si>
    <t>TB</t>
  </si>
  <si>
    <t>RENT Offices</t>
  </si>
  <si>
    <t>Ashair</t>
  </si>
  <si>
    <t>Sadeq</t>
  </si>
  <si>
    <t>HR</t>
  </si>
  <si>
    <t>Marabaa</t>
  </si>
  <si>
    <t>NAYCO</t>
  </si>
  <si>
    <t>Rent Generators</t>
  </si>
  <si>
    <t>Al jaber</t>
  </si>
  <si>
    <t>Visa fees</t>
  </si>
  <si>
    <t>TB/ MANPOWER</t>
  </si>
  <si>
    <t>Desial/ IGCC</t>
  </si>
  <si>
    <t>HULUM</t>
  </si>
  <si>
    <t>Larsa</t>
  </si>
  <si>
    <t>Qaswa</t>
  </si>
  <si>
    <t>NAC</t>
  </si>
  <si>
    <t>Al Ebdaa</t>
  </si>
  <si>
    <t>Arajeez</t>
  </si>
  <si>
    <t>Civll devices</t>
  </si>
  <si>
    <t>Al Bashair</t>
  </si>
  <si>
    <t>ZQ/قرينات</t>
  </si>
  <si>
    <t>Desial/ Nemma</t>
  </si>
  <si>
    <t>ZAIN</t>
  </si>
  <si>
    <t>Al Huria</t>
  </si>
  <si>
    <t>Al Nahrain</t>
  </si>
  <si>
    <t>Border Heavy</t>
  </si>
  <si>
    <t>Jafar</t>
  </si>
  <si>
    <t>Enjaz</t>
  </si>
  <si>
    <t>Mustafa iron</t>
  </si>
  <si>
    <t>Nypton</t>
  </si>
  <si>
    <t>ZQ</t>
  </si>
  <si>
    <t>Haider</t>
  </si>
  <si>
    <t>Southren servcies</t>
  </si>
  <si>
    <t>KHAN</t>
  </si>
  <si>
    <t>Nemma</t>
  </si>
  <si>
    <t>AlShiraq/ STX</t>
  </si>
  <si>
    <t>SAP Fees</t>
  </si>
  <si>
    <t>JANAAN</t>
  </si>
  <si>
    <t>Ibrahim Abdul QAHAR</t>
  </si>
  <si>
    <t>Yassen</t>
  </si>
  <si>
    <t>ZumZum</t>
  </si>
  <si>
    <t>Al Aqeeda</t>
  </si>
  <si>
    <t>Blue line</t>
  </si>
  <si>
    <t>Al-Ameer</t>
  </si>
  <si>
    <t>Al Mammas Company for Engineering Test</t>
  </si>
  <si>
    <t>Al-Wajeeh</t>
  </si>
  <si>
    <t>Miqias Inspection instrumentation Calibration</t>
  </si>
  <si>
    <t>TB/ SAND</t>
  </si>
  <si>
    <t>NAYA Co</t>
  </si>
  <si>
    <t>Ammar sharif</t>
  </si>
  <si>
    <t>Al-Haram</t>
  </si>
  <si>
    <t>Border HYDROVAC</t>
  </si>
  <si>
    <t>WECO</t>
  </si>
  <si>
    <t xml:space="preserve">Level_1 </t>
  </si>
  <si>
    <t>Level_2</t>
  </si>
  <si>
    <t>Cost_Type</t>
  </si>
  <si>
    <t>GL_Name</t>
  </si>
  <si>
    <t>Level_1</t>
  </si>
  <si>
    <t xml:space="preserve">Jan </t>
  </si>
  <si>
    <t>Third Party Services</t>
  </si>
  <si>
    <t>Feb</t>
  </si>
  <si>
    <t>Mar</t>
  </si>
  <si>
    <t>DG02_PWD</t>
  </si>
  <si>
    <t>Apr</t>
  </si>
  <si>
    <t>May</t>
  </si>
  <si>
    <t>Insurance Fees</t>
  </si>
  <si>
    <t>Jun</t>
  </si>
  <si>
    <t>CMNT_23 </t>
  </si>
  <si>
    <t>Accommodation rental</t>
  </si>
  <si>
    <t>Jul</t>
  </si>
  <si>
    <t>Aug</t>
  </si>
  <si>
    <t>Medical Fees</t>
  </si>
  <si>
    <t>Oct</t>
  </si>
  <si>
    <t>CMSN_23</t>
  </si>
  <si>
    <t>Nov</t>
  </si>
  <si>
    <t>Dec</t>
  </si>
  <si>
    <t>Personal Expense</t>
  </si>
  <si>
    <t>E&amp;I-MAJ_24</t>
  </si>
  <si>
    <t>Training &amp; Development</t>
  </si>
  <si>
    <t>fixed assets</t>
  </si>
  <si>
    <t>Third Party Manpower</t>
  </si>
  <si>
    <t>Amman Expenses</t>
  </si>
  <si>
    <t>Jabal Qendil BRS</t>
  </si>
  <si>
    <t>Ras Al Khaimah Advanced Businees Solutions</t>
  </si>
  <si>
    <t>Tohama Company</t>
  </si>
  <si>
    <t>GULF PEARL GROUP</t>
  </si>
  <si>
    <t>Khan Alhadded Company</t>
  </si>
  <si>
    <t>Rawat Emaar AL-Iraq Co. (JOTUN)</t>
  </si>
  <si>
    <t>Al-Karar Gallery for Wood &amp; MDF</t>
  </si>
  <si>
    <t>Advance Welding Solutions Co</t>
  </si>
  <si>
    <t>Al-Janaeen Al-Mualaka for Water</t>
  </si>
  <si>
    <t>#</t>
  </si>
  <si>
    <t>Materials/Paint</t>
  </si>
  <si>
    <t>Materials/Water</t>
  </si>
  <si>
    <t>Materials/Wood</t>
  </si>
  <si>
    <t>Al Ajdar For General Trading and General Purchasing Ltd</t>
  </si>
  <si>
    <t>Row Labels</t>
  </si>
  <si>
    <t>Grand Total</t>
  </si>
  <si>
    <t>Sum of Invoice Amount USD</t>
  </si>
  <si>
    <t>Column Labels</t>
  </si>
  <si>
    <t>GRLBG</t>
  </si>
  <si>
    <t>GRLRO</t>
  </si>
  <si>
    <t>Materials/wire</t>
  </si>
  <si>
    <t>PSD</t>
  </si>
  <si>
    <t>Al Hurea Security Services</t>
  </si>
  <si>
    <t xml:space="preserve">Visa &amp; Traveling Expense  </t>
  </si>
  <si>
    <t>تصاريح امنية</t>
  </si>
  <si>
    <t>Petty Cash for ROOG</t>
  </si>
  <si>
    <t>Petty Cash for EISP</t>
  </si>
  <si>
    <t>Petty Cash for FFF</t>
  </si>
  <si>
    <t>Petty Cash for TOTAL</t>
  </si>
  <si>
    <t>Petty Cash for OHTL</t>
  </si>
  <si>
    <t>Petty Cash for PWRI2</t>
  </si>
  <si>
    <t>Petty Cash for UQ</t>
  </si>
  <si>
    <t>Petty Cash for WOD</t>
  </si>
  <si>
    <t>Maintenance for basra office &amp; Staff residence</t>
  </si>
  <si>
    <t>AL JUTHOOR WORKSHOP</t>
  </si>
  <si>
    <t>Heavy  equipment rental</t>
  </si>
  <si>
    <t>camp_23</t>
  </si>
  <si>
    <t>OHTL _25</t>
  </si>
  <si>
    <t>DMC FOR PETROLEUM SERVICES &amp; CONTRACTING</t>
  </si>
  <si>
    <t>Tiqaneyat Al-Taqaddum Co. (ATC)</t>
  </si>
  <si>
    <t>Al-Usool Genral Trading LTD</t>
  </si>
  <si>
    <t>Fixed Assets</t>
  </si>
  <si>
    <t>Al-Ghader Gallary</t>
  </si>
  <si>
    <t>Asia</t>
  </si>
  <si>
    <t>CMNT_23</t>
  </si>
  <si>
    <t>Radix General Trading Co</t>
  </si>
  <si>
    <t>NR-NGL_25</t>
  </si>
  <si>
    <t>2535</t>
  </si>
  <si>
    <t>Zamzam Land Construction Trading</t>
  </si>
  <si>
    <t>Al Narges Company for Pipes</t>
  </si>
  <si>
    <t>EPT LLC (SIKA)</t>
  </si>
  <si>
    <t>MOHAMMED HADAD OFFICE</t>
  </si>
  <si>
    <t>Fasco LLC FZ</t>
  </si>
  <si>
    <t>Anwar Al Zubear Factory</t>
  </si>
  <si>
    <t>12794</t>
  </si>
  <si>
    <t>Materials/Iron</t>
  </si>
  <si>
    <t>Materials/PIPES</t>
  </si>
  <si>
    <t>Materials/Caravan</t>
  </si>
  <si>
    <t>Al Faw Company For Engineering Testing</t>
  </si>
  <si>
    <t>KRK-BP-25</t>
  </si>
  <si>
    <t>GRL-KR-BP-25</t>
  </si>
  <si>
    <t>Acy_23</t>
  </si>
  <si>
    <t>29/12/2025</t>
  </si>
  <si>
    <t>31/12/2025</t>
  </si>
  <si>
    <t>27/12/2025</t>
  </si>
  <si>
    <t>18/12/2025</t>
  </si>
  <si>
    <t>25/12/2025</t>
  </si>
  <si>
    <t>30/12/2025</t>
  </si>
  <si>
    <t>20/12/2025</t>
  </si>
  <si>
    <t>21/12/2025</t>
  </si>
  <si>
    <t>14/12/2025</t>
  </si>
  <si>
    <t>15/12/2025</t>
  </si>
  <si>
    <t>Food &amp; Meal for Total-FL</t>
  </si>
  <si>
    <t>Training &amp; Hotel 3 days &amp; Pocket mouny for Procurement team ( Abbas Watan, Husseim Nazar, Ammar Tariq, Nawaf Tahseen, Abdulla Readh)</t>
  </si>
  <si>
    <t>Maintenance Printer</t>
  </si>
  <si>
    <t>Internet &amp; Consumable</t>
  </si>
  <si>
    <t>ديون مجمدة على مكتب الاستقلال</t>
  </si>
  <si>
    <t>Internet &amp; SIM &amp; Consumable</t>
  </si>
  <si>
    <t>اشتراك مولد بناية  الاكاديمية للفترة 1/11/2025 - 31/12/2025</t>
  </si>
  <si>
    <t>Hotel for Siraj &amp; Saman for Erbil</t>
  </si>
  <si>
    <t>Expens Claim</t>
  </si>
  <si>
    <t>TKT for Douglas GLASGOW-DUBAI-BASRA</t>
  </si>
  <si>
    <t>1Room / 2 Nights for Douglas</t>
  </si>
  <si>
    <t>Expens Claim - Baghdad</t>
  </si>
  <si>
    <t>Expes Claim</t>
  </si>
  <si>
    <t>Jan</t>
  </si>
  <si>
    <t>Payroll Jan</t>
  </si>
  <si>
    <t>Off Payroll Jan</t>
  </si>
  <si>
    <t xml:space="preserve">Jan 25 Camp Civil &amp; Mechanical team </t>
  </si>
  <si>
    <t>ALFURAT LOGISTICS COMPANY</t>
  </si>
  <si>
    <t>25/3395</t>
  </si>
  <si>
    <t>F25/3395</t>
  </si>
  <si>
    <t>183</t>
  </si>
  <si>
    <t>25/3561</t>
  </si>
  <si>
    <t>UQ-CHECK POINT SALARY - Jan.26 &amp; Road Safety</t>
  </si>
  <si>
    <t>تبرعات للفقراء ولدار النرجس للايتام</t>
  </si>
  <si>
    <t>اكراميات وعشائر - الامل AS</t>
  </si>
  <si>
    <t>اكرميات وعشائر - لابتوب</t>
  </si>
  <si>
    <t>Petty cash for BNGL</t>
  </si>
  <si>
    <t>HSE Celebration For BNGL</t>
  </si>
  <si>
    <t>Petty Cash for BNGL</t>
  </si>
  <si>
    <t>Petty cash for NGL</t>
  </si>
  <si>
    <t>ثلاجة 27 قدم عدد1</t>
  </si>
  <si>
    <t>Petty cash for Lifting team</t>
  </si>
  <si>
    <t xml:space="preserve"> عدد-2  /نفاضة ستيل حجم وسط</t>
  </si>
  <si>
    <t>Petty Cash for KRK office</t>
  </si>
  <si>
    <t>تجهيز مكتب وسكن مشروع كركوك (اثاث مع مصاريف أخرى)</t>
  </si>
  <si>
    <t>ATEEN KVM EXTENDER USB CE700A X 2EA</t>
  </si>
  <si>
    <t>Petty cash for CPS05</t>
  </si>
  <si>
    <t>The maintenance of the scaffolding gate</t>
  </si>
  <si>
    <t>Petty  Cash for QA</t>
  </si>
  <si>
    <t>Petty Cash for TOTal</t>
  </si>
  <si>
    <t>Certificate of Recognition for HSE team ( Ali Munther, Mohammed Diaa, Saif Sarhan, Ahmed Abdulkareem Mardan)</t>
  </si>
  <si>
    <t>Transportation service from Tehran - basra</t>
  </si>
  <si>
    <t>Custom clearance , Material transport from UK-Basra</t>
  </si>
  <si>
    <t>Shipping basra - dubai - basra ( Govinda )</t>
  </si>
  <si>
    <t>Food &amp; Meals</t>
  </si>
  <si>
    <t>Food &amp; Meal For TAR</t>
  </si>
  <si>
    <t>Food &amp; Meal for OHTL</t>
  </si>
  <si>
    <t>Food &amp; Meal For WOD</t>
  </si>
  <si>
    <t>Hotel x 9 days</t>
  </si>
  <si>
    <t>أجور فندق لكل من (عباس وطن + احمد علوان + نوار رعد) لمدة 3 ليالي من 24/1/2026 الى 27/1/2026</t>
  </si>
  <si>
    <t>HSE celebration for PWRI02</t>
  </si>
  <si>
    <t>HSE Celebration For Total</t>
  </si>
  <si>
    <t>Fees for testing iron samples and specimens x 8ea</t>
  </si>
  <si>
    <t>HDMI Cable * 2</t>
  </si>
  <si>
    <t>بدل اجار لمدة 10 يوم</t>
  </si>
  <si>
    <t>Medical Fees for ( Ali Hussein ) - Mechanical</t>
  </si>
  <si>
    <t>قاصة 68سم * 50 *50 سم كوري / عدد/1</t>
  </si>
  <si>
    <t>Pocket money for KRK ( Sadiq, Amer Mohammed, Hani Shaker, Ali Habash ) * 6days</t>
  </si>
  <si>
    <t>صيانة صهير الوقود التابع للشركة</t>
  </si>
  <si>
    <t>Petty Cash for EIMNT</t>
  </si>
  <si>
    <t>Petty Cash for EITAR</t>
  </si>
  <si>
    <t>Expens Calim</t>
  </si>
  <si>
    <t>TKR Basra-Erbil for Shaiban &amp; Fadi</t>
  </si>
  <si>
    <t>TKT - HE</t>
  </si>
  <si>
    <t>Expens Calim &amp; Loan</t>
  </si>
  <si>
    <t>Expen Claim</t>
  </si>
  <si>
    <t>Pocket money for Baghdad</t>
  </si>
  <si>
    <t>Expense Claim for Ahmed Alwan</t>
  </si>
  <si>
    <t>Pocket money for 2 Person - Istanbul</t>
  </si>
  <si>
    <t>27/1/2026</t>
  </si>
  <si>
    <t>17/1/2026</t>
  </si>
  <si>
    <t>15/1/2026</t>
  </si>
  <si>
    <t>18/1/2026</t>
  </si>
  <si>
    <t>20/1/2026</t>
  </si>
  <si>
    <t>19/1/2026</t>
  </si>
  <si>
    <t>21/1/2026</t>
  </si>
  <si>
    <t>29/1/2026</t>
  </si>
  <si>
    <t>14/1/2026</t>
  </si>
  <si>
    <t>13/1/2026</t>
  </si>
  <si>
    <t>28/1/2026</t>
  </si>
  <si>
    <t>28/11/2025</t>
  </si>
  <si>
    <t>24/1/2026</t>
  </si>
  <si>
    <t>26/1/2026</t>
  </si>
  <si>
    <t>22/1/2026</t>
  </si>
  <si>
    <t>20/1/2025</t>
  </si>
  <si>
    <t>25/1/2026</t>
  </si>
  <si>
    <t>15/1/2025</t>
  </si>
  <si>
    <t>5/1/20256</t>
  </si>
  <si>
    <t>1617-28</t>
  </si>
  <si>
    <t>Diesel Official Jan 25</t>
  </si>
  <si>
    <t>Diesel Sites Jan 25</t>
  </si>
  <si>
    <t>Diesel Sites Jan 25/Mustafa Taha</t>
  </si>
  <si>
    <t>Jan 26 transport allowance</t>
  </si>
  <si>
    <t>Hitachi excavator</t>
  </si>
  <si>
    <t>2026000129</t>
  </si>
  <si>
    <t xml:space="preserve">Rent Amal Jan 25 </t>
  </si>
  <si>
    <t xml:space="preserve">Rent Academy Jan 25 </t>
  </si>
  <si>
    <t xml:space="preserve">Rent Al Jazair office Jan 25 </t>
  </si>
  <si>
    <t xml:space="preserve">Rent Southren Services Jan 25 </t>
  </si>
  <si>
    <t>Rent Jazair Accommodation Jan 25</t>
  </si>
  <si>
    <t xml:space="preserve">Rent Junaina Jan 25 </t>
  </si>
  <si>
    <t>Al Majal Business Park (AMBP) Jan 25</t>
  </si>
  <si>
    <t>IN000300385</t>
  </si>
  <si>
    <t>Management</t>
  </si>
  <si>
    <t>Management Payroll</t>
  </si>
  <si>
    <t>Managemnt</t>
  </si>
  <si>
    <t>IGCC-BSR-260101</t>
  </si>
  <si>
    <t>INV-IGCC-NORTH RUMILA -26-01-001</t>
  </si>
  <si>
    <t>INV-IGCC-IGCC QARINAT -26-01-005</t>
  </si>
  <si>
    <t>INV-IGCC-SOUTH RUMILA -26-01-006</t>
  </si>
  <si>
    <t>INV-IGCC-UM QASIR -26-01-003</t>
  </si>
  <si>
    <t>INV-IGCC-UM QASIR ADHOC -26-01-004</t>
  </si>
  <si>
    <t>3010260126</t>
  </si>
  <si>
    <t>INV-IGCC-NORTH RUMILA -26-01-002</t>
  </si>
  <si>
    <t xml:space="preserve"> Heavy equipment rental</t>
  </si>
  <si>
    <t>Alaq Al Abraj Co.</t>
  </si>
  <si>
    <t>IGCC-012026-1</t>
  </si>
  <si>
    <t>IGCC-012026-2</t>
  </si>
  <si>
    <t>AL TAQNIYAT AL HANDASIYA OFFICE</t>
  </si>
  <si>
    <t>MALIK ENGINEERING OFFICE</t>
  </si>
  <si>
    <t>Al Eman Computers Networks &amp; Communication</t>
  </si>
  <si>
    <t>Al Miayar Inspection service and rtaining</t>
  </si>
  <si>
    <t>12788</t>
  </si>
  <si>
    <t>000103</t>
  </si>
  <si>
    <t>12828</t>
  </si>
  <si>
    <t>5176-26</t>
  </si>
  <si>
    <t>2635</t>
  </si>
  <si>
    <t>INV/2026/00267</t>
  </si>
  <si>
    <t>INV/2026/00190</t>
  </si>
  <si>
    <t>IGCC-012026-4</t>
  </si>
  <si>
    <t>ACC-SINV-2025-02765</t>
  </si>
  <si>
    <t>TR26-11549</t>
  </si>
  <si>
    <t>2026000017</t>
  </si>
  <si>
    <t>2026000160</t>
  </si>
  <si>
    <t>RAYAT AL-SHARQ COMPANY For Inspection Services</t>
  </si>
  <si>
    <t>AL MUJTABA FOR GALVANIZING</t>
  </si>
  <si>
    <t>Cihan Insurance Company</t>
  </si>
  <si>
    <t>000679</t>
  </si>
  <si>
    <t>DMC-INV-25-0058</t>
  </si>
  <si>
    <t>TIC-INV-26-0012</t>
  </si>
  <si>
    <t>157/25</t>
  </si>
  <si>
    <t>ACC-SINV-2026-00213</t>
  </si>
  <si>
    <t>2811</t>
  </si>
  <si>
    <t>B.G.B.I.095</t>
  </si>
  <si>
    <t>000105</t>
  </si>
  <si>
    <t>B.G.B.I.096</t>
  </si>
  <si>
    <t>011-26</t>
  </si>
  <si>
    <t>016-26</t>
  </si>
  <si>
    <t>INV.26-01</t>
  </si>
  <si>
    <t>000676</t>
  </si>
  <si>
    <t>OHTL _23</t>
  </si>
  <si>
    <t>Hydrovac</t>
  </si>
  <si>
    <t>Testing/Calibration</t>
  </si>
  <si>
    <t>SAP</t>
  </si>
  <si>
    <t>Insurance</t>
  </si>
  <si>
    <t>Hydrovac/TT-DC-FL-UR</t>
  </si>
  <si>
    <t>Hydrovac/TT-DC-QSTR-CV-UR</t>
  </si>
  <si>
    <t>HLV Group</t>
  </si>
  <si>
    <t>Malak Alfarh</t>
  </si>
  <si>
    <t>SOUTH DEEP JEWEL</t>
  </si>
  <si>
    <t>Al-Jorani Factory</t>
  </si>
  <si>
    <t>Al Seraj printing &amp; adversting Co</t>
  </si>
  <si>
    <t>12804</t>
  </si>
  <si>
    <t>12796</t>
  </si>
  <si>
    <t>12792</t>
  </si>
  <si>
    <t>12784</t>
  </si>
  <si>
    <t>12782</t>
  </si>
  <si>
    <t>446</t>
  </si>
  <si>
    <t>464</t>
  </si>
  <si>
    <t>12786</t>
  </si>
  <si>
    <t>28132026</t>
  </si>
  <si>
    <t>454</t>
  </si>
  <si>
    <t>OS-1726</t>
  </si>
  <si>
    <t>456</t>
  </si>
  <si>
    <t>458</t>
  </si>
  <si>
    <t>460</t>
  </si>
  <si>
    <t>28112026</t>
  </si>
  <si>
    <t>2705</t>
  </si>
  <si>
    <t>2706</t>
  </si>
  <si>
    <t>434</t>
  </si>
  <si>
    <t>0979</t>
  </si>
  <si>
    <t>470</t>
  </si>
  <si>
    <t>28202026</t>
  </si>
  <si>
    <t>INV-IGCC-26-018</t>
  </si>
  <si>
    <t>12836</t>
  </si>
  <si>
    <t>IGCC01</t>
  </si>
  <si>
    <t>12846</t>
  </si>
  <si>
    <t>12848</t>
  </si>
  <si>
    <t>12892</t>
  </si>
  <si>
    <t>12900</t>
  </si>
  <si>
    <t>12878</t>
  </si>
  <si>
    <t>12870</t>
  </si>
  <si>
    <t>12886</t>
  </si>
  <si>
    <t>12866</t>
  </si>
  <si>
    <t>12864</t>
  </si>
  <si>
    <t>12838</t>
  </si>
  <si>
    <t>976</t>
  </si>
  <si>
    <t>430</t>
  </si>
  <si>
    <t>981</t>
  </si>
  <si>
    <t>12858</t>
  </si>
  <si>
    <t>12862</t>
  </si>
  <si>
    <t>12850</t>
  </si>
  <si>
    <t>12902</t>
  </si>
  <si>
    <t>12776</t>
  </si>
  <si>
    <t>12720</t>
  </si>
  <si>
    <t>12834</t>
  </si>
  <si>
    <t>472</t>
  </si>
  <si>
    <t>0986</t>
  </si>
  <si>
    <t>28242026</t>
  </si>
  <si>
    <t>28232026</t>
  </si>
  <si>
    <t>12912</t>
  </si>
  <si>
    <t>12960</t>
  </si>
  <si>
    <t>28342026</t>
  </si>
  <si>
    <t>12994</t>
  </si>
  <si>
    <t>28352026</t>
  </si>
  <si>
    <t>13016</t>
  </si>
  <si>
    <t>13006</t>
  </si>
  <si>
    <t>0983</t>
  </si>
  <si>
    <t>28222026</t>
  </si>
  <si>
    <t>0977</t>
  </si>
  <si>
    <t>12970</t>
  </si>
  <si>
    <t>12936</t>
  </si>
  <si>
    <t>12946</t>
  </si>
  <si>
    <t>12826</t>
  </si>
  <si>
    <t>12956</t>
  </si>
  <si>
    <t>12954</t>
  </si>
  <si>
    <t>12992</t>
  </si>
  <si>
    <t>12996</t>
  </si>
  <si>
    <t>12990</t>
  </si>
  <si>
    <t>12928</t>
  </si>
  <si>
    <t>12972</t>
  </si>
  <si>
    <t>12982</t>
  </si>
  <si>
    <t>12908</t>
  </si>
  <si>
    <t>12930</t>
  </si>
  <si>
    <t>12952</t>
  </si>
  <si>
    <t>12918</t>
  </si>
  <si>
    <t>12948</t>
  </si>
  <si>
    <t>12932</t>
  </si>
  <si>
    <t>12950</t>
  </si>
  <si>
    <t>12958</t>
  </si>
  <si>
    <t>0994</t>
  </si>
  <si>
    <t>13026</t>
  </si>
  <si>
    <t>13024</t>
  </si>
  <si>
    <t>13020</t>
  </si>
  <si>
    <t>13018</t>
  </si>
  <si>
    <t>12938</t>
  </si>
  <si>
    <t>12906</t>
  </si>
  <si>
    <t>1002</t>
  </si>
  <si>
    <t>12752</t>
  </si>
  <si>
    <t>13054</t>
  </si>
  <si>
    <t>13046</t>
  </si>
  <si>
    <t>13044</t>
  </si>
  <si>
    <t>13042</t>
  </si>
  <si>
    <t>13040</t>
  </si>
  <si>
    <t>28252026</t>
  </si>
  <si>
    <t>13066</t>
  </si>
  <si>
    <t>12904</t>
  </si>
  <si>
    <t>13062</t>
  </si>
  <si>
    <t>13014</t>
  </si>
  <si>
    <t>13082</t>
  </si>
  <si>
    <t>13070</t>
  </si>
  <si>
    <t>13060</t>
  </si>
  <si>
    <t>13058</t>
  </si>
  <si>
    <t>13094</t>
  </si>
  <si>
    <t>13092</t>
  </si>
  <si>
    <t>13090</t>
  </si>
  <si>
    <t>13088</t>
  </si>
  <si>
    <t>13086</t>
  </si>
  <si>
    <t>13096</t>
  </si>
  <si>
    <t>13100</t>
  </si>
  <si>
    <t>13102</t>
  </si>
  <si>
    <t>13104</t>
  </si>
  <si>
    <t>IGCC003</t>
  </si>
  <si>
    <t>2026000003</t>
  </si>
  <si>
    <t>486</t>
  </si>
  <si>
    <t>13122</t>
  </si>
  <si>
    <t>17510</t>
  </si>
  <si>
    <t>13140</t>
  </si>
  <si>
    <t>6722</t>
  </si>
  <si>
    <t>6720</t>
  </si>
  <si>
    <t>12978</t>
  </si>
  <si>
    <t>13074</t>
  </si>
  <si>
    <t>13012</t>
  </si>
  <si>
    <t>13144</t>
  </si>
  <si>
    <t>13120</t>
  </si>
  <si>
    <t>13126</t>
  </si>
  <si>
    <t>13128</t>
  </si>
  <si>
    <t>13130</t>
  </si>
  <si>
    <t>13132</t>
  </si>
  <si>
    <t>13134</t>
  </si>
  <si>
    <t>13136</t>
  </si>
  <si>
    <t>13138</t>
  </si>
  <si>
    <t>13124</t>
  </si>
  <si>
    <t>13068</t>
  </si>
  <si>
    <t>13056</t>
  </si>
  <si>
    <t>13084</t>
  </si>
  <si>
    <t>13038</t>
  </si>
  <si>
    <t>13106</t>
  </si>
  <si>
    <t>13028</t>
  </si>
  <si>
    <t>13008</t>
  </si>
  <si>
    <t>13010</t>
  </si>
  <si>
    <t>13030</t>
  </si>
  <si>
    <t>12940</t>
  </si>
  <si>
    <t>12942</t>
  </si>
  <si>
    <t>12944</t>
  </si>
  <si>
    <t>12844</t>
  </si>
  <si>
    <t>13064</t>
  </si>
  <si>
    <t>6705</t>
  </si>
  <si>
    <t>6739</t>
  </si>
  <si>
    <t>17488</t>
  </si>
  <si>
    <t>13022</t>
  </si>
  <si>
    <t>6721</t>
  </si>
  <si>
    <t>1001</t>
  </si>
  <si>
    <t>12852</t>
  </si>
  <si>
    <t>13156</t>
  </si>
  <si>
    <t>13198</t>
  </si>
  <si>
    <t>1000</t>
  </si>
  <si>
    <t>13142</t>
  </si>
  <si>
    <t>13180</t>
  </si>
  <si>
    <t>13184</t>
  </si>
  <si>
    <t>13188</t>
  </si>
  <si>
    <t>13192</t>
  </si>
  <si>
    <t>13162</t>
  </si>
  <si>
    <t>13194</t>
  </si>
  <si>
    <t>13196</t>
  </si>
  <si>
    <t>13178</t>
  </si>
  <si>
    <t>13182</t>
  </si>
  <si>
    <t>13176</t>
  </si>
  <si>
    <t>13172</t>
  </si>
  <si>
    <t>13160</t>
  </si>
  <si>
    <t>13170</t>
  </si>
  <si>
    <t>13174</t>
  </si>
  <si>
    <t>13166</t>
  </si>
  <si>
    <t>13164</t>
  </si>
  <si>
    <t>1005</t>
  </si>
  <si>
    <t>28372026</t>
  </si>
  <si>
    <t>00053</t>
  </si>
  <si>
    <t>6748</t>
  </si>
  <si>
    <t>6745</t>
  </si>
  <si>
    <t>6740</t>
  </si>
  <si>
    <t>6738</t>
  </si>
  <si>
    <t>6737</t>
  </si>
  <si>
    <t>6744</t>
  </si>
  <si>
    <t>6725</t>
  </si>
  <si>
    <t>6728</t>
  </si>
  <si>
    <t>6732</t>
  </si>
  <si>
    <t>6734</t>
  </si>
  <si>
    <t>6736</t>
  </si>
  <si>
    <t>6735</t>
  </si>
  <si>
    <t>6742</t>
  </si>
  <si>
    <t>6698</t>
  </si>
  <si>
    <t>6708</t>
  </si>
  <si>
    <t>6751</t>
  </si>
  <si>
    <t>6753</t>
  </si>
  <si>
    <t>6752</t>
  </si>
  <si>
    <t>12984</t>
  </si>
  <si>
    <t>480</t>
  </si>
  <si>
    <t>13158</t>
  </si>
  <si>
    <t>2026400204</t>
  </si>
  <si>
    <t>NR-NGL25</t>
  </si>
  <si>
    <t>AL AZIL AL EMIRATI</t>
  </si>
  <si>
    <t>DCP IRAQ</t>
  </si>
  <si>
    <t>Rwad Alenjaz Co.</t>
  </si>
  <si>
    <t>AlMinnen Co. Trading &amp; General Contracting LTD.</t>
  </si>
  <si>
    <t>Exibitition Engineering Control</t>
  </si>
  <si>
    <t>Al Ghasak Office</t>
  </si>
  <si>
    <t>ALSAFWA</t>
  </si>
  <si>
    <t>SAFE TOUCH CO.</t>
  </si>
  <si>
    <t>AIHATH AL MUSTAQBAL COMPANY</t>
  </si>
  <si>
    <t>ABU SERMAD GALLERY</t>
  </si>
  <si>
    <t>AL BADR OFFICE</t>
  </si>
  <si>
    <t>Habib Hassan Shop</t>
  </si>
  <si>
    <t>Mayadeen Factory for kitchens &amp; furniture</t>
  </si>
  <si>
    <t>AL FATEEM CO</t>
  </si>
  <si>
    <t>3264</t>
  </si>
  <si>
    <t>0392</t>
  </si>
  <si>
    <t>346</t>
  </si>
  <si>
    <t>3278</t>
  </si>
  <si>
    <t>123</t>
  </si>
  <si>
    <t>0988</t>
  </si>
  <si>
    <t>000675</t>
  </si>
  <si>
    <t>124</t>
  </si>
  <si>
    <t>S23137</t>
  </si>
  <si>
    <t>8724</t>
  </si>
  <si>
    <t>000669</t>
  </si>
  <si>
    <t>H02158</t>
  </si>
  <si>
    <t>3269</t>
  </si>
  <si>
    <t>10</t>
  </si>
  <si>
    <t>0203</t>
  </si>
  <si>
    <t>155</t>
  </si>
  <si>
    <t>Invoice INV/2026/00140</t>
  </si>
  <si>
    <t>3348</t>
  </si>
  <si>
    <t>9793</t>
  </si>
  <si>
    <t>22874</t>
  </si>
  <si>
    <t>invo5-387</t>
  </si>
  <si>
    <t>3377</t>
  </si>
  <si>
    <t>0978</t>
  </si>
  <si>
    <t>0202</t>
  </si>
  <si>
    <t>0395</t>
  </si>
  <si>
    <t>01141</t>
  </si>
  <si>
    <t>03170</t>
  </si>
  <si>
    <t>000247</t>
  </si>
  <si>
    <t>0848</t>
  </si>
  <si>
    <t>0205</t>
  </si>
  <si>
    <t>0400</t>
  </si>
  <si>
    <t>7044</t>
  </si>
  <si>
    <t>GH-2026-088622</t>
  </si>
  <si>
    <t>2670</t>
  </si>
  <si>
    <t>3414</t>
  </si>
  <si>
    <t>3394</t>
  </si>
  <si>
    <t>1970</t>
  </si>
  <si>
    <t>1971</t>
  </si>
  <si>
    <t>1967</t>
  </si>
  <si>
    <t>00227</t>
  </si>
  <si>
    <t>1063</t>
  </si>
  <si>
    <t>0201</t>
  </si>
  <si>
    <t>0849</t>
  </si>
  <si>
    <t>0470</t>
  </si>
  <si>
    <t>1468</t>
  </si>
  <si>
    <t>0066</t>
  </si>
  <si>
    <t>94-5567</t>
  </si>
  <si>
    <t>0216</t>
  </si>
  <si>
    <t>000442</t>
  </si>
  <si>
    <t>00506</t>
  </si>
  <si>
    <t>00104</t>
  </si>
  <si>
    <t>00121</t>
  </si>
  <si>
    <t>002273</t>
  </si>
  <si>
    <t>002274</t>
  </si>
  <si>
    <t>Maraba Al Rafidain</t>
  </si>
  <si>
    <t>Jafar Mohammed shawa</t>
  </si>
  <si>
    <t>Civil works</t>
  </si>
  <si>
    <t>Asia Company For Inspection</t>
  </si>
  <si>
    <t>Civil works/Qassim</t>
  </si>
  <si>
    <t>MITSOHTL</t>
  </si>
  <si>
    <t>Materials/wires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</si>
</sst>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[$$-409]* #,##0.00_ ;_-[$$-409]* \-#,##0.00\ ;_-[$$-409]* &quot;-&quot;??_ ;_-@_ "/>
    <numFmt numFmtId="167" formatCode="_([$$-409]* #,##0.00_);_([$$-409]* \(#,##0.00\);_([$$-409]* &quot;-&quot;??_);_(@_)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20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58">
    <xf numFmtId="0" fontId="0" fillId="0" borderId="0" xfId="0"/>
    <xf numFmtId="0" fontId="0" fillId="2" borderId="0" xfId="0" applyFill="1"/>
    <xf numFmtId="0" fontId="0" fillId="3" borderId="0" xfId="0" applyFill="1"/>
    <xf numFmtId="165" fontId="0" fillId="3" borderId="0" xfId="1" applyFont="1" applyFill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166" fontId="0" fillId="0" borderId="0" xfId="0" applyNumberFormat="1" applyAlignment="1">
      <alignment horizontal="left"/>
    </xf>
    <xf numFmtId="166" fontId="0" fillId="0" borderId="0" xfId="0" applyNumberFormat="1"/>
    <xf numFmtId="0" fontId="16" fillId="2" borderId="0" xfId="0" applyFont="1" applyFill="1"/>
    <xf numFmtId="0" fontId="16" fillId="2" borderId="1" xfId="0" applyFon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166" fontId="0" fillId="0" borderId="1" xfId="1" applyNumberFormat="1" applyFont="1" applyBorder="1"/>
    <xf numFmtId="166" fontId="0" fillId="0" borderId="1" xfId="0" applyNumberFormat="1" applyBorder="1"/>
    <xf numFmtId="14" fontId="0" fillId="0" borderId="0" xfId="0" applyNumberFormat="1" applyAlignment="1">
      <alignment horizontal="left"/>
    </xf>
    <xf numFmtId="0" fontId="16" fillId="4" borderId="1" xfId="0" applyFont="1" applyFill="1" applyBorder="1"/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166" fontId="0" fillId="0" borderId="1" xfId="2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66" fontId="0" fillId="0" borderId="1" xfId="2" applyNumberFormat="1" applyFont="1" applyBorder="1"/>
    <xf numFmtId="166" fontId="0" fillId="0" borderId="1" xfId="2" applyNumberFormat="1" applyFont="1" applyFill="1" applyBorder="1"/>
    <xf numFmtId="0" fontId="16" fillId="4" borderId="0" xfId="0" applyFont="1" applyFill="1"/>
    <xf numFmtId="167" fontId="0" fillId="0" borderId="1" xfId="1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166" fontId="0" fillId="0" borderId="1" xfId="1" applyNumberFormat="1" applyFont="1" applyBorder="1" applyAlignment="1">
      <alignment horizontal="left" vertical="center"/>
    </xf>
    <xf numFmtId="166" fontId="0" fillId="0" borderId="0" xfId="2" applyNumberFormat="1" applyFont="1"/>
    <xf numFmtId="0" fontId="14" fillId="0" borderId="1" xfId="0" applyFont="1" applyBorder="1"/>
    <xf numFmtId="0" fontId="0" fillId="0" borderId="1" xfId="0" applyBorder="1" applyAlignment="1">
      <alignment horizontal="left" vertical="top"/>
    </xf>
    <xf numFmtId="0" fontId="12" fillId="0" borderId="0" xfId="0" applyFont="1" applyAlignment="1">
      <alignment horizontal="left"/>
    </xf>
    <xf numFmtId="167" fontId="0" fillId="0" borderId="0" xfId="0" applyNumberFormat="1"/>
    <xf numFmtId="167" fontId="0" fillId="0" borderId="1" xfId="2" applyNumberFormat="1" applyFont="1" applyBorder="1"/>
    <xf numFmtId="0" fontId="11" fillId="0" borderId="0" xfId="0" applyFont="1" applyAlignment="1">
      <alignment horizontal="left"/>
    </xf>
    <xf numFmtId="167" fontId="0" fillId="0" borderId="0" xfId="1" applyNumberFormat="1" applyFont="1"/>
    <xf numFmtId="14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6" borderId="0" xfId="0" applyFill="1"/>
    <xf numFmtId="0" fontId="10" fillId="0" borderId="0" xfId="0" applyFont="1"/>
    <xf numFmtId="0" fontId="10" fillId="0" borderId="0" xfId="0" applyFont="1" applyAlignment="1">
      <alignment horizontal="left"/>
    </xf>
    <xf numFmtId="14" fontId="0" fillId="0" borderId="0" xfId="0" applyNumberFormat="1"/>
    <xf numFmtId="10" fontId="16" fillId="0" borderId="0" xfId="0" applyNumberFormat="1" applyFont="1"/>
    <xf numFmtId="9" fontId="0" fillId="0" borderId="0" xfId="3" applyFont="1"/>
    <xf numFmtId="167" fontId="0" fillId="0" borderId="0" xfId="2" applyNumberFormat="1" applyFont="1"/>
    <xf numFmtId="0" fontId="9" fillId="0" borderId="1" xfId="0" applyFont="1" applyBorder="1"/>
    <xf numFmtId="0" fontId="9" fillId="6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0" fontId="0" fillId="0" borderId="0" xfId="0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167" fontId="0" fillId="0" borderId="1" xfId="2" applyNumberFormat="1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17" fillId="0" borderId="1" xfId="0" applyFont="1" applyBorder="1" applyAlignment="1">
      <alignment horizontal="left" vertical="top"/>
    </xf>
    <xf numFmtId="167" fontId="0" fillId="0" borderId="1" xfId="1" applyNumberFormat="1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7" fillId="5" borderId="1" xfId="0" applyFont="1" applyFill="1" applyBorder="1" applyAlignment="1">
      <alignment horizontal="left" vertical="top"/>
    </xf>
    <xf numFmtId="167" fontId="0" fillId="0" borderId="1" xfId="0" applyNumberForma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49" fontId="0" fillId="0" borderId="1" xfId="0" applyNumberFormat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15" fillId="0" borderId="1" xfId="0" applyFont="1" applyBorder="1" applyAlignment="1">
      <alignment horizontal="left" vertical="top"/>
    </xf>
    <xf numFmtId="14" fontId="14" fillId="0" borderId="1" xfId="0" applyNumberFormat="1" applyFon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167" fontId="0" fillId="0" borderId="1" xfId="2" applyNumberFormat="1" applyFont="1" applyFill="1" applyBorder="1" applyAlignment="1">
      <alignment horizontal="left" vertical="top"/>
    </xf>
    <xf numFmtId="167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1" xfId="0" applyFont="1" applyBorder="1" applyAlignment="1">
      <alignment horizontal="left" vertical="center"/>
    </xf>
    <xf numFmtId="14" fontId="6" fillId="0" borderId="1" xfId="0" applyNumberFormat="1" applyFont="1" applyBorder="1" applyAlignment="1">
      <alignment horizontal="left" vertical="center"/>
    </xf>
    <xf numFmtId="0" fontId="6" fillId="0" borderId="1" xfId="0" applyFont="1" applyBorder="1"/>
    <xf numFmtId="0" fontId="6" fillId="0" borderId="1" xfId="0" applyFont="1" applyBorder="1" applyAlignment="1">
      <alignment horizontal="left" vertical="top"/>
    </xf>
    <xf numFmtId="14" fontId="6" fillId="0" borderId="1" xfId="0" applyNumberFormat="1" applyFont="1" applyBorder="1"/>
    <xf numFmtId="0" fontId="0" fillId="7" borderId="1" xfId="0" applyFill="1" applyBorder="1" applyAlignment="1">
      <alignment horizontal="left" vertical="center"/>
    </xf>
    <xf numFmtId="0" fontId="5" fillId="7" borderId="1" xfId="0" applyFont="1" applyFill="1" applyBorder="1"/>
    <xf numFmtId="0" fontId="0" fillId="7" borderId="1" xfId="0" applyFill="1" applyBorder="1"/>
    <xf numFmtId="0" fontId="17" fillId="7" borderId="1" xfId="0" applyFont="1" applyFill="1" applyBorder="1" applyAlignment="1">
      <alignment horizontal="left" vertical="center"/>
    </xf>
    <xf numFmtId="166" fontId="0" fillId="7" borderId="1" xfId="0" applyNumberFormat="1" applyFill="1" applyBorder="1"/>
    <xf numFmtId="14" fontId="0" fillId="7" borderId="1" xfId="0" applyNumberFormat="1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16" fillId="2" borderId="1" xfId="0" applyFont="1" applyFill="1" applyBorder="1" applyAlignment="1">
      <alignment horizontal="left" vertical="top"/>
    </xf>
    <xf numFmtId="167" fontId="16" fillId="2" borderId="1" xfId="0" applyNumberFormat="1" applyFont="1" applyFill="1" applyBorder="1" applyAlignment="1">
      <alignment horizontal="left" vertical="top"/>
    </xf>
    <xf numFmtId="14" fontId="16" fillId="2" borderId="1" xfId="0" applyNumberFormat="1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7" borderId="1" xfId="0" applyFont="1" applyFill="1" applyBorder="1" applyAlignment="1">
      <alignment horizontal="left" vertical="top"/>
    </xf>
    <xf numFmtId="0" fontId="0" fillId="7" borderId="1" xfId="0" applyFill="1" applyBorder="1" applyAlignment="1">
      <alignment horizontal="left" vertical="top"/>
    </xf>
    <xf numFmtId="14" fontId="0" fillId="7" borderId="1" xfId="0" applyNumberFormat="1" applyFill="1" applyBorder="1" applyAlignment="1">
      <alignment horizontal="left" vertical="top"/>
    </xf>
    <xf numFmtId="0" fontId="0" fillId="7" borderId="1" xfId="0" applyFill="1" applyBorder="1" applyAlignment="1">
      <alignment horizontal="left" vertical="top" wrapText="1"/>
    </xf>
    <xf numFmtId="167" fontId="0" fillId="7" borderId="1" xfId="0" applyNumberForma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0" xfId="0" applyFont="1"/>
    <xf numFmtId="14" fontId="4" fillId="0" borderId="1" xfId="0" applyNumberFormat="1" applyFont="1" applyBorder="1" applyAlignment="1">
      <alignment horizontal="left" vertical="top"/>
    </xf>
    <xf numFmtId="0" fontId="4" fillId="7" borderId="1" xfId="0" applyFont="1" applyFill="1" applyBorder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horizontal="left"/>
    </xf>
    <xf numFmtId="0" fontId="16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166" fontId="0" fillId="0" borderId="0" xfId="2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165" fontId="0" fillId="0" borderId="0" xfId="1" applyFont="1"/>
    <xf numFmtId="167" fontId="16" fillId="0" borderId="0" xfId="0" applyNumberFormat="1" applyFont="1"/>
    <xf numFmtId="43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/>
    <xf numFmtId="167" fontId="0" fillId="0" borderId="0" xfId="2" applyNumberFormat="1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14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0" fontId="0" fillId="0" borderId="0" xfId="0" pivotButton="1"/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indent="1"/>
    </xf>
    <xf numFmtId="0" fontId="1" fillId="0" borderId="1" xfId="0" applyFont="1" applyBorder="1" applyAlignment="1">
      <alignment horizontal="left" vertical="top"/>
    </xf>
    <xf numFmtId="166" fontId="0" fillId="0" borderId="1" xfId="0" applyNumberFormat="1" applyBorder="1" applyAlignment="1">
      <alignment horizontal="left" vertical="top"/>
    </xf>
    <xf numFmtId="167" fontId="1" fillId="0" borderId="1" xfId="0" applyNumberFormat="1" applyFont="1" applyBorder="1" applyAlignment="1">
      <alignment horizontal="left" vertical="top"/>
    </xf>
    <xf numFmtId="14" fontId="1" fillId="0" borderId="1" xfId="0" applyNumberFormat="1" applyFont="1" applyBorder="1" applyAlignment="1">
      <alignment horizontal="left" vertical="top"/>
    </xf>
    <xf numFmtId="14" fontId="4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16" fillId="2" borderId="0" xfId="0" applyFont="1" applyFill="1" applyAlignment="1">
      <alignment vertical="top"/>
    </xf>
    <xf numFmtId="0" fontId="0" fillId="0" borderId="0" xfId="0" applyAlignment="1">
      <alignment vertical="top"/>
    </xf>
    <xf numFmtId="167" fontId="0" fillId="0" borderId="0" xfId="0" applyNumberFormat="1" applyAlignment="1">
      <alignment vertical="top"/>
    </xf>
    <xf numFmtId="0" fontId="2" fillId="0" borderId="0" xfId="0" applyFont="1" applyAlignment="1">
      <alignment vertical="top"/>
    </xf>
    <xf numFmtId="14" fontId="0" fillId="0" borderId="0" xfId="0" applyNumberFormat="1" applyAlignment="1">
      <alignment vertical="top"/>
    </xf>
    <xf numFmtId="0" fontId="13" fillId="0" borderId="0" xfId="0" applyFont="1" applyAlignment="1">
      <alignment horizontal="left" vertical="top"/>
    </xf>
    <xf numFmtId="166" fontId="0" fillId="0" borderId="0" xfId="0" applyNumberFormat="1" applyAlignment="1">
      <alignment vertical="top"/>
    </xf>
    <xf numFmtId="14" fontId="2" fillId="0" borderId="0" xfId="0" applyNumberFormat="1" applyFont="1" applyAlignment="1">
      <alignment horizontal="left" vertical="top"/>
    </xf>
    <xf numFmtId="0" fontId="1" fillId="0" borderId="0" xfId="0" applyFont="1" applyAlignment="1">
      <alignment vertical="top"/>
    </xf>
    <xf numFmtId="166" fontId="0" fillId="0" borderId="0" xfId="0" applyNumberFormat="1" applyAlignment="1">
      <alignment horizontal="left" vertical="top"/>
    </xf>
    <xf numFmtId="167" fontId="1" fillId="0" borderId="0" xfId="0" applyNumberFormat="1" applyFont="1" applyAlignment="1">
      <alignment horizontal="left" vertical="top"/>
    </xf>
    <xf numFmtId="49" fontId="0" fillId="0" borderId="0" xfId="0" applyNumberFormat="1" applyFill="1" applyBorder="1" applyAlignment="1">
      <alignment horizontal="left" vertical="top"/>
    </xf>
    <xf numFmtId="14" fontId="0" fillId="0" borderId="0" xfId="0" applyNumberFormat="1" applyFill="1" applyBorder="1" applyAlignment="1">
      <alignment horizontal="left"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167" fontId="0" fillId="0" borderId="1" xfId="2" applyNumberFormat="1" applyFont="1" applyBorder="1" applyAlignment="1">
      <alignment vertical="top"/>
    </xf>
    <xf numFmtId="167" fontId="0" fillId="0" borderId="1" xfId="0" applyNumberFormat="1" applyBorder="1" applyAlignment="1">
      <alignment vertical="top"/>
    </xf>
    <xf numFmtId="0" fontId="16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14" fontId="2" fillId="0" borderId="1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16" fillId="2" borderId="0" xfId="1" applyFont="1" applyFill="1" applyAlignment="1">
      <alignment vertical="top"/>
    </xf>
    <xf numFmtId="165" fontId="0" fillId="0" borderId="0" xfId="1" applyFont="1" applyAlignment="1">
      <alignment vertical="top"/>
    </xf>
    <xf numFmtId="0" fontId="15" fillId="0" borderId="0" xfId="0" applyFont="1" applyAlignment="1">
      <alignment vertical="top"/>
    </xf>
    <xf numFmtId="14" fontId="14" fillId="0" borderId="0" xfId="0" applyNumberFormat="1" applyFont="1" applyAlignment="1">
      <alignment vertical="top"/>
    </xf>
    <xf numFmtId="0" fontId="14" fillId="0" borderId="0" xfId="0" applyFont="1" applyAlignment="1">
      <alignment vertical="top"/>
    </xf>
    <xf numFmtId="0" fontId="16" fillId="4" borderId="1" xfId="0" applyFont="1" applyFill="1" applyBorder="1" applyAlignment="1">
      <alignment horizontal="left" vertical="top"/>
    </xf>
  </cellXfs>
  <cellStyles count="11">
    <cellStyle name="Comma" xfId="1" builtinId="3"/>
    <cellStyle name="Comma 2" xfId="4" xr:uid="{464C4397-2485-4457-8F46-FE59BBF41F79}"/>
    <cellStyle name="Comma 3" xfId="7" xr:uid="{B21D510C-DCCE-4453-A8A4-00A427BDB343}"/>
    <cellStyle name="Comma 4" xfId="9" xr:uid="{081CE2A3-DB24-4DBF-A671-427D44B85948}"/>
    <cellStyle name="Currency" xfId="2" builtinId="4"/>
    <cellStyle name="Currency 2" xfId="5" xr:uid="{D371D1B3-F073-4168-990C-FADB29ABD862}"/>
    <cellStyle name="Currency 3" xfId="8" xr:uid="{89E87401-D048-46B6-8D5F-D755C0958EAF}"/>
    <cellStyle name="Currency 4" xfId="10" xr:uid="{2B2D9D01-A2E7-4496-96D0-1BAEF05A3E3C}"/>
    <cellStyle name="Normal" xfId="0" builtinId="0"/>
    <cellStyle name="Normal 2" xfId="6" xr:uid="{AB200364-B986-4E08-9B8E-35106E581AD5}"/>
    <cellStyle name="Percent" xfId="3" builtinId="5"/>
  </cellStyles>
  <dxfs count="14">
    <dxf>
      <fill>
        <patternFill>
          <bgColor rgb="FFFFFF00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losing/Petty%20Cash%20Tracker/2024/Oct.24/Petty%20Cash%20Tracker%20For%20Oct.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Master data"/>
      <sheetName val="List"/>
      <sheetName val="JAN 24"/>
      <sheetName val="FEB 24"/>
      <sheetName val="MAR 24"/>
      <sheetName val="APR 24"/>
      <sheetName val="MAY 24"/>
      <sheetName val="JUN 24"/>
      <sheetName val="PC"/>
      <sheetName val="AUG 24"/>
      <sheetName val="SEP 24"/>
      <sheetName val="Oct.24"/>
      <sheetName val="Nov.24"/>
      <sheetName val="JUL 24"/>
      <sheetName val="Balan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1.50146712963" createdVersion="8" refreshedVersion="8" minRefreshableVersion="3" recordCount="597" xr:uid="{F213924D-40C9-4F99-9C5B-603756569490}">
  <cacheSource type="worksheet">
    <worksheetSource ref="A1:N598" sheet="Master"/>
  </cacheSource>
  <cacheFields count="14">
    <cacheField name="Serial" numFmtId="0">
      <sharedItems containsSemiMixedTypes="0" containsString="0" containsNumber="1" containsInteger="1" minValue="1" maxValue="597"/>
    </cacheField>
    <cacheField name="Level 1 " numFmtId="0">
      <sharedItems count="12">
        <s v="HO_23"/>
        <s v="KRK-BP-25"/>
        <s v="Management"/>
        <s v="ROOG_23"/>
        <s v="TOTAL_25"/>
        <s v="BGCG_23"/>
        <s v="BGC_23"/>
        <s v="ROOP_23"/>
        <s v="1 MITAS"/>
        <s v="ROOM_23"/>
        <s v="Camp_23"/>
        <s v="MWS_23"/>
      </sharedItems>
    </cacheField>
    <cacheField name="Level 2" numFmtId="0">
      <sharedItems count="39">
        <s v="HO_SB_23"/>
        <s v="GRL-KR-BP-25"/>
        <s v="Management"/>
        <s v="GRLRO_23"/>
        <s v="GRLTOT"/>
        <s v="GRLBG_23"/>
        <s v="KAZ_23"/>
        <s v="UQ_23"/>
        <s v="QAWPT_23"/>
        <s v="WOD_23"/>
        <s v="MITSOHTL"/>
        <s v="ROOM_23"/>
        <s v="ROOP_23"/>
        <s v="BNGL-25"/>
        <s v="QUR_23"/>
        <s v="CmpSB_23"/>
        <s v="CPSs_23"/>
        <s v="PWRI2_23"/>
        <s v="EIMNT_23"/>
        <s v="FLWLN_23"/>
        <s v="MPSP_23"/>
        <s v="MWP_23"/>
        <s v="OHTL _25"/>
        <s v="E&amp;I-MAJ"/>
        <s v="EISP_23"/>
        <s v="NR-NGL_25"/>
        <s v="PWRI_23"/>
        <s v="ZBR_23"/>
        <s v="FFF_23"/>
        <s v="MPTAR_23"/>
        <s v="MANPR_23"/>
        <s v="KBR_23"/>
        <s v="MPMNT_23"/>
        <s v="SPAS_23"/>
        <s v="EITAR_23"/>
        <s v="MWS_23"/>
        <s v="EX_23"/>
        <s v="CMNT_23"/>
        <s v="RTPFL_23"/>
      </sharedItems>
    </cacheField>
    <cacheField name="Cost Type" numFmtId="0">
      <sharedItems/>
    </cacheField>
    <cacheField name="GL Name" numFmtId="0">
      <sharedItems count="19">
        <s v="Accommodation"/>
        <s v="Air ticket &amp; travel"/>
        <s v="Amman Expenses"/>
        <s v="Charitable Contributions"/>
        <s v="Communication &amp; internet"/>
        <s v="DHL / Courier Fees / Shipping"/>
        <s v="Fixed Assets"/>
        <s v="Fuel &amp; Lubricant"/>
        <s v="Lease &amp; Rent"/>
        <s v="Light &amp; Heavy Equipment’s Rental"/>
        <s v="Material &amp; Supplies"/>
        <s v="Security"/>
        <s v="Social security"/>
        <s v="Staff Salary &amp; Compensation"/>
        <s v="Subcontractors"/>
        <s v="Third party Manpower"/>
        <s v="Third party Servcies"/>
        <s v="Third party services"/>
        <s v="Visa &amp; Traveling Expense  "/>
      </sharedItems>
    </cacheField>
    <cacheField name="GL Account" numFmtId="0">
      <sharedItems containsNonDate="0" containsString="0" containsBlank="1" count="1">
        <m/>
      </sharedItems>
    </cacheField>
    <cacheField name="Vendor" numFmtId="0">
      <sharedItems/>
    </cacheField>
    <cacheField name="Description" numFmtId="0">
      <sharedItems/>
    </cacheField>
    <cacheField name="Invoice Amount USD" numFmtId="167">
      <sharedItems containsSemiMixedTypes="0" containsString="0" containsNumber="1" minValue="1.4722505533320887" maxValue="496674" count="533">
        <n v="2097.9020979020979"/>
        <n v="3496.5034965034965"/>
        <n v="2000"/>
        <n v="874.12587412587413"/>
        <n v="4500"/>
        <n v="6000"/>
        <n v="270"/>
        <n v="468.91891891891891"/>
        <n v="405.40540540540542"/>
        <n v="2345.2702702702704"/>
        <n v="733.10810810810813"/>
        <n v="1690"/>
        <n v="2500"/>
        <n v="496674"/>
        <n v="3378.3783783783783"/>
        <n v="3945.9459459459458"/>
        <n v="878.37837837837833"/>
        <n v="135.13513513513513"/>
        <n v="1351.3513513513512"/>
        <n v="3608.1081081081079"/>
        <n v="675.67567567567562"/>
        <n v="7148.6486486486483"/>
        <n v="344.59459459459458"/>
        <n v="506.75675675675677"/>
        <n v="1013.5135135135135"/>
        <n v="337.83783783783781"/>
        <n v="1227.7027027027027"/>
        <n v="1689.1891891891892"/>
        <n v="912.16216216216219"/>
        <n v="1824.3243243243244"/>
        <n v="1137.1621621621621"/>
        <n v="1.4722505533320887"/>
        <n v="1684.4673664634231"/>
        <n v="32.078853799667073"/>
        <n v="194.55655993425449"/>
        <n v="595.7313288314383"/>
        <n v="1893.7599388168089"/>
        <n v="1222.9337016010761"/>
        <n v="179.05405405405406"/>
        <n v="250.67567567567568"/>
        <n v="519.59459459459458"/>
        <n v="268.91891891891891"/>
        <n v="78.040540540540547"/>
        <n v="734.45945945945948"/>
        <n v="388.51351351351349"/>
        <n v="233.1081081081081"/>
        <n v="107.43243243243244"/>
        <n v="621.37931034482756"/>
        <n v="377.93103448275861"/>
        <n v="1024.1379310344828"/>
        <n v="109.65517241379311"/>
        <n v="255.86206896551724"/>
        <n v="365.51724137931035"/>
        <n v="837.24137931034488"/>
        <n v="741.37931034482756"/>
        <n v="877.24137931034488"/>
        <n v="1324.1379310344828"/>
        <n v="102.93103448275862"/>
        <n v="36.551724137931032"/>
        <n v="585.51724137931035"/>
        <n v="237.93103448275863"/>
        <n v="292.41379310344826"/>
        <n v="2354.4827586206898"/>
        <n v="4275.6756756756758"/>
        <n v="1409.4594594594594"/>
        <n v="1706.081081081081"/>
        <n v="15000"/>
        <n v="22500"/>
        <n v="122972.97297297297"/>
        <n v="23300"/>
        <n v="82000"/>
        <n v="642.9"/>
        <n v="7000"/>
        <n v="2056"/>
        <n v="459.45945945945948"/>
        <n v="4864.864864864865"/>
        <n v="2702.7027027027025"/>
        <n v="43918.91891891892"/>
        <n v="559.44055944055947"/>
        <n v="5793.1034482758623"/>
        <n v="2827.5862068965516"/>
        <n v="2552.4475524475524"/>
        <n v="3230.7692307692309"/>
        <n v="4000"/>
        <n v="858.10810810810813"/>
        <n v="2080"/>
        <n v="1620"/>
        <n v="18091.216175675676"/>
        <n v="6237.0062500000004"/>
        <n v="498.96050000000002"/>
        <n v="6239.0527567567569"/>
        <n v="6626.5593445945942"/>
        <n v="26534.855858108109"/>
        <n v="1266.8918918918919"/>
        <n v="25889.585614864867"/>
        <n v="17583.627824324325"/>
        <n v="481.41891891891891"/>
        <n v="1659.3035135135137"/>
        <n v="12672.920925675675"/>
        <n v="453.74220270270268"/>
        <n v="95886.593939189188"/>
        <n v="17682.292081081083"/>
        <n v="7479.9895810810813"/>
        <n v="14193.866918918919"/>
        <n v="2377.4688040540541"/>
        <n v="80355.150628378382"/>
        <n v="1135.6548851351351"/>
        <n v="121335.12950675674"/>
        <n v="468.55508783783785"/>
        <n v="13138.191135135134"/>
        <n v="12859.241081081082"/>
        <n v="13529.755574324325"/>
        <n v="3070.8086756756757"/>
        <n v="28467.983236486485"/>
        <n v="25208.809729729728"/>
        <n v="44115.817689189193"/>
        <n v="19822.629912162163"/>
        <n v="164708.73104054053"/>
        <n v="2983.3679256756759"/>
        <n v="1330.5612972972972"/>
        <n v="12288.170445945947"/>
        <n v="6891.496837837838"/>
        <n v="23516.63202027027"/>
        <n v="72389.347540540533"/>
        <n v="4171.2474189189188"/>
        <n v="12073.430263513514"/>
        <n v="22247.141250000001"/>
        <n v="19901.577770270273"/>
        <n v="7297.2972972972975"/>
        <n v="5202.7027027027025"/>
        <n v="6891.8918918918916"/>
        <n v="5463.0977770270274"/>
        <n v="9566.0083918918917"/>
        <n v="34668.338986486488"/>
        <n v="1075.8835945945946"/>
        <n v="11728.222466216217"/>
        <n v="9391.8918918918916"/>
        <n v="4189.1891891891892"/>
        <n v="6011.970918918918"/>
        <n v="7101.3513513513517"/>
        <n v="27292.249567567567"/>
        <n v="3513.5135135135133"/>
        <n v="18674.168412162162"/>
        <n v="15181.454905405406"/>
        <n v="24947.097783783782"/>
        <n v="13724.012500000001"/>
        <n v="3445.9459459459458"/>
        <n v="16668.918945945945"/>
        <n v="12132.016587837838"/>
        <n v="21791.320216216216"/>
        <n v="23937.162358108108"/>
        <n v="91213.77898648649"/>
        <n v="4662.1622432432423"/>
        <n v="4716.7359864864866"/>
        <n v="15007.796310810811"/>
        <n v="1756.7567567567567"/>
        <n v="8264.0332972972974"/>
        <n v="11464.137243243244"/>
        <n v="22871.157918918918"/>
        <n v="20392.463655405405"/>
        <n v="12755.249527027028"/>
        <n v="532.74428378378377"/>
        <n v="4800"/>
        <n v="5100"/>
        <n v="1898.6486486486488"/>
        <n v="287.16216216216219"/>
        <n v="320.94594594594594"/>
        <n v="1418.918918918919"/>
        <n v="367.56756756756755"/>
        <n v="1385.1351351351352"/>
        <n v="94.594594594594597"/>
        <n v="6486.4864864864867"/>
        <n v="3648.6486486486488"/>
        <n v="2280.4054054054054"/>
        <n v="1474.5"/>
        <n v="620.79999999999995"/>
        <n v="44950"/>
        <n v="3402"/>
        <n v="2430"/>
        <n v="5020.3"/>
        <n v="33820"/>
        <n v="501.8"/>
        <n v="20150"/>
        <n v="3100"/>
        <n v="13550"/>
        <n v="687.82"/>
        <n v="9081.0810810810817"/>
        <n v="101.35135135135135"/>
        <n v="58.783783783783782"/>
        <n v="168.91891891891891"/>
        <n v="1162.1621621621621"/>
        <n v="1222.9729729729729"/>
        <n v="205.40540540540542"/>
        <n v="68.918918918918919"/>
        <n v="10135.135135135135"/>
        <n v="5481.0810810810808"/>
        <n v="3952.7027027027025"/>
        <n v="3040.5405405405404"/>
        <n v="6666.8918918918916"/>
        <n v="727.5"/>
        <n v="2793.6"/>
        <n v="1358.1081081081081"/>
        <n v="2533.7837837837837"/>
        <n v="3175.6756756756758"/>
        <n v="3581.0810810810813"/>
        <n v="2810.8108108108108"/>
        <n v="578.78"/>
        <n v="1100"/>
        <n v="6216.2162162162158"/>
        <n v="1290.56"/>
        <n v="1262.8"/>
        <n v="473"/>
        <n v="1661"/>
        <n v="165.26"/>
        <n v="996.9"/>
        <n v="105.21"/>
        <n v="2100"/>
        <n v="238"/>
        <n v="921.2"/>
        <n v="55.4"/>
        <n v="276.92"/>
        <n v="507.9"/>
        <n v="180.94"/>
        <n v="1152.99"/>
        <n v="1495.26"/>
        <n v="262.33"/>
        <n v="230.75"/>
        <n v="89.34"/>
        <n v="253.85"/>
        <n v="462"/>
        <n v="558.46"/>
        <n v="157"/>
        <n v="1081.081081081081"/>
        <n v="202.70270270270271"/>
        <n v="1270.2702702702702"/>
        <n v="1114.8648648648648"/>
        <n v="7432.4324324324325"/>
        <n v="8736.5122615803812"/>
        <n v="6338"/>
        <n v="29224"/>
        <n v="1260"/>
        <n v="3944"/>
        <n v="890"/>
        <n v="1538.4"/>
        <n v="3560"/>
        <n v="3366"/>
        <n v="4924"/>
        <n v="2027.0270270270271"/>
        <n v="2849.25"/>
        <n v="9407.9599999999991"/>
        <n v="7600"/>
        <n v="640"/>
        <n v="315"/>
        <n v="968"/>
        <n v="4560"/>
        <n v="480"/>
        <n v="1425"/>
        <n v="5940"/>
        <n v="460"/>
        <n v="5067.5675675675675"/>
        <n v="13513.513513513513"/>
        <n v="3665.5405405405404"/>
        <n v="1991.5540540540539"/>
        <n v="1022.8040540540541"/>
        <n v="481.75675675675677"/>
        <n v="1021.2837837837837"/>
        <n v="756.75675675675677"/>
        <n v="2685.135135135135"/>
        <n v="1620.2702702702702"/>
        <n v="1550.6756756756756"/>
        <n v="1717.9054054054054"/>
        <n v="2072.2972972972975"/>
        <n v="270.27027027027026"/>
        <n v="33.783783783783782"/>
        <n v="869.59459459459458"/>
        <n v="14274.324324324325"/>
        <n v="289.18918918918916"/>
        <n v="1182.4324324324325"/>
        <n v="513.51351351351354"/>
        <n v="848.64864864864865"/>
        <n v="646.28378378378375"/>
        <n v="329.05405405405406"/>
        <n v="362.33108108108109"/>
        <n v="698.31081081081084"/>
        <n v="1179.0540540540539"/>
        <n v="1354.7297297297298"/>
        <n v="304.05405405405406"/>
        <n v="1134.4594594594594"/>
        <n v="2454.0540540540542"/>
        <n v="1402.7027027027027"/>
        <n v="1712.1621621621621"/>
        <n v="109.45945945945945"/>
        <n v="4304.72972972973"/>
        <n v="1110.1351351351352"/>
        <n v="2462.8378378378379"/>
        <n v="1098.3108108108108"/>
        <n v="1070.9459459459461"/>
        <n v="1185.3040540540539"/>
        <n v="400"/>
        <n v="323.64864864864865"/>
        <n v="649.32432432432438"/>
        <n v="10.135135135135135"/>
        <n v="253.37837837837839"/>
        <n v="563.51351351351354"/>
        <n v="2452.7027027027025"/>
        <n v="1770.2702702702702"/>
        <n v="1500"/>
        <n v="3000"/>
        <n v="9222.9729729729734"/>
        <n v="5591.2162162162158"/>
        <n v="4544"/>
        <n v="510"/>
        <n v="641.89189189189187"/>
        <n v="6722.9729729729734"/>
        <n v="168"/>
        <n v="3245"/>
        <n v="3154.9"/>
        <n v="1760"/>
        <n v="255"/>
        <n v="235"/>
        <n v="900"/>
        <n v="260"/>
        <n v="70"/>
        <n v="1200"/>
        <n v="775.4"/>
        <n v="1380"/>
        <n v="432"/>
        <n v="633.5"/>
        <n v="890.5"/>
        <n v="800"/>
        <n v="256"/>
        <n v="124"/>
        <n v="440"/>
        <n v="620"/>
        <n v="1000.4"/>
        <n v="1151.5"/>
        <n v="760"/>
        <n v="850"/>
        <n v="1850"/>
        <n v="2161.5"/>
        <n v="1093.4000000000001"/>
        <n v="30"/>
        <n v="661.5"/>
        <n v="390"/>
        <n v="45"/>
        <n v="36"/>
        <n v="1185"/>
        <n v="208.6"/>
        <n v="1199"/>
        <n v="66"/>
        <n v="1058.8"/>
        <n v="300"/>
        <n v="1279.7"/>
        <n v="650"/>
        <n v="150"/>
        <n v="583.4"/>
        <n v="232"/>
        <n v="1090"/>
        <n v="247.4"/>
        <n v="180"/>
        <n v="449"/>
        <n v="442.2"/>
        <n v="1087"/>
        <n v="90"/>
        <n v="750"/>
        <n v="299.60000000000002"/>
        <n v="56"/>
        <n v="1142.9000000000001"/>
        <n v="95.2"/>
        <n v="244"/>
        <n v="80"/>
        <n v="200"/>
        <n v="141.30000000000001"/>
        <n v="38"/>
        <n v="1040"/>
        <n v="1156"/>
        <n v="280"/>
        <n v="410.2"/>
        <n v="1080"/>
        <n v="738"/>
        <n v="320"/>
        <n v="160"/>
        <n v="1190"/>
        <n v="980"/>
        <n v="550"/>
        <n v="2177.8000000000002"/>
        <n v="560"/>
        <n v="206"/>
        <n v="2808.8"/>
        <n v="386.5"/>
        <n v="751.4"/>
        <n v="250"/>
        <n v="940"/>
        <n v="625"/>
        <n v="2744"/>
        <n v="656.4"/>
        <n v="825"/>
        <n v="1020"/>
        <n v="546"/>
        <n v="2376.6"/>
        <n v="2891.6"/>
        <n v="2267.6999999999998"/>
        <n v="2061.6"/>
        <n v="2378"/>
        <n v="651"/>
        <n v="1565.1"/>
        <n v="876"/>
        <n v="920"/>
        <n v="2246"/>
        <n v="449.5"/>
        <n v="2031.2"/>
        <n v="1110"/>
        <n v="262"/>
        <n v="592"/>
        <n v="1063.5999999999999"/>
        <n v="652.29999999999995"/>
        <n v="987"/>
        <n v="350"/>
        <n v="123.4"/>
        <n v="325"/>
        <n v="240"/>
        <n v="1252"/>
        <n v="638.79999999999995"/>
        <n v="1058.3"/>
        <n v="220"/>
        <n v="185"/>
        <n v="445"/>
        <n v="1034.7"/>
        <n v="786.1"/>
        <n v="135"/>
        <n v="21168.04"/>
        <n v="4740"/>
        <n v="12500"/>
        <n v="13020"/>
        <n v="3720"/>
        <n v="15500"/>
        <n v="11520"/>
        <n v="1000"/>
        <n v="25000"/>
        <n v="84483"/>
        <n v="18776"/>
        <n v="76795"/>
        <n v="37774"/>
        <n v="13343"/>
        <n v="37640"/>
        <n v="188075"/>
        <n v="19102"/>
        <n v="22929"/>
        <n v="96219"/>
        <n v="140683"/>
        <n v="52751"/>
        <n v="68892"/>
        <n v="67042"/>
        <n v="3181"/>
        <n v="36529"/>
        <n v="95429"/>
        <n v="3155"/>
        <n v="8074"/>
        <n v="78499"/>
        <n v="31096"/>
        <n v="80779"/>
        <n v="33801"/>
        <n v="50169"/>
        <n v="26109"/>
        <n v="30976"/>
        <n v="267776"/>
        <n v="29842"/>
        <n v="998"/>
        <n v="357938"/>
        <n v="9500"/>
        <n v="30000"/>
        <n v="17702.702702702703"/>
        <n v="83000"/>
        <n v="480957"/>
        <n v="153000"/>
        <n v="45000"/>
        <n v="90000"/>
        <n v="29946.652297297296"/>
        <n v="53729.729729729726"/>
        <n v="88087"/>
        <n v="24925.599999999999"/>
        <n v="20506.84"/>
        <n v="808.10810810810813"/>
        <n v="1581.081081081081"/>
        <n v="772.97297297297303"/>
        <n v="3970.2702702702704"/>
        <n v="2108.1081081081079"/>
        <n v="10505.405405405405"/>
        <n v="2620.6896551724139"/>
        <n v="13666.62"/>
        <n v="1306"/>
        <n v="1554.0540540540539"/>
        <n v="1097.9729729729729"/>
        <n v="6283.7837837837842"/>
        <n v="925.67567567567562"/>
        <n v="236.48648648648648"/>
        <n v="3492.9054054054054"/>
        <n v="929.72972972972968"/>
        <n v="2415.7094594594596"/>
        <n v="15608.108108108108"/>
        <n v="1189.1891891891892"/>
        <n v="186721.41891891891"/>
        <n v="17180.93918918919"/>
        <n v="29118.952702702703"/>
        <n v="14777.027027027027"/>
        <n v="3998.0067567567567"/>
        <n v="4433.1081081081084"/>
        <n v="4613.7162162162158"/>
        <n v="2791.2162162162163"/>
        <n v="41156"/>
        <n v="391.89189189189187"/>
        <n v="2567.5675675675675"/>
        <n v="1216.2162162162163"/>
        <n v="213.51351351351352"/>
        <n v="1131.7567567567567"/>
        <n v="1017.5675675675676"/>
        <n v="1548.2758620689656"/>
        <n v="4055.1724137931033"/>
        <n v="689.18918918918916"/>
        <n v="177.70270270270271"/>
        <n v="1479.7297297297298"/>
        <n v="449.32432432432432"/>
        <n v="1273.6486486486488"/>
        <n v="412.41379310344826"/>
        <n v="2437.9310344827586"/>
        <n v="162.06896551724137"/>
        <n v="742.24137931034488"/>
        <n v="789.65517241379314"/>
        <n v="706.20689655172418"/>
        <n v="276.55172413793105"/>
        <n v="689.65517241379314"/>
        <n v="207.58620689655172"/>
        <n v="124.13793103448276"/>
      </sharedItems>
    </cacheField>
    <cacheField name="Invoice No." numFmtId="0">
      <sharedItems containsMixedTypes="1" containsNumber="1" containsInteger="1" minValue="63" maxValue="250460"/>
    </cacheField>
    <cacheField name="Invoice Date" numFmtId="14">
      <sharedItems containsDate="1" containsMixedTypes="1" minDate="2025-02-12T00:00:00" maxDate="2026-12-29T00:00:00"/>
    </cacheField>
    <cacheField name="PO Number" numFmtId="0">
      <sharedItems containsMixedTypes="1" containsNumber="1" containsInteger="1" minValue="2025402963" maxValue="2026400415"/>
    </cacheField>
    <cacheField name="Month" numFmtId="0">
      <sharedItems/>
    </cacheField>
    <cacheField name="Year" numFmtId="0">
      <sharedItems containsSemiMixedTypes="0" containsString="0" containsNumber="1" containsInteger="1" minValue="2026" maxValue="20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7">
  <r>
    <n v="1"/>
    <x v="0"/>
    <x v="0"/>
    <s v="Actual"/>
    <x v="0"/>
    <x v="0"/>
    <s v="IGCC"/>
    <s v="Rent Amal Jan 25 "/>
    <x v="0"/>
    <s v="N/A"/>
    <s v="N/A"/>
    <s v="N/A"/>
    <s v="Jan"/>
    <n v="2026"/>
  </r>
  <r>
    <n v="2"/>
    <x v="0"/>
    <x v="0"/>
    <s v="Actual"/>
    <x v="0"/>
    <x v="0"/>
    <s v="IGCC"/>
    <s v="Rent Academy Jan 25 "/>
    <x v="1"/>
    <s v="N/A"/>
    <s v="N/A"/>
    <s v="N/A"/>
    <s v="Jan"/>
    <n v="2026"/>
  </r>
  <r>
    <n v="3"/>
    <x v="0"/>
    <x v="0"/>
    <s v="Actual"/>
    <x v="0"/>
    <x v="0"/>
    <s v="IGCC"/>
    <s v="Rent Al Jazair office Jan 25 "/>
    <x v="2"/>
    <s v="N/A"/>
    <s v="N/A"/>
    <s v="N/A"/>
    <s v="Jan"/>
    <n v="2026"/>
  </r>
  <r>
    <n v="4"/>
    <x v="0"/>
    <x v="0"/>
    <s v="Actual"/>
    <x v="0"/>
    <x v="0"/>
    <s v="IGCC"/>
    <s v="Rent Southren Services Jan 25 "/>
    <x v="3"/>
    <s v="N/A"/>
    <s v="N/A"/>
    <s v="N/A"/>
    <s v="Jan"/>
    <n v="2026"/>
  </r>
  <r>
    <n v="5"/>
    <x v="0"/>
    <x v="0"/>
    <s v="Actual"/>
    <x v="0"/>
    <x v="0"/>
    <s v="IGCC"/>
    <s v="Rent Jazair Accommodation Jan 25"/>
    <x v="4"/>
    <s v="N/A"/>
    <s v="N/A"/>
    <s v="N/A"/>
    <s v="Jan"/>
    <n v="2026"/>
  </r>
  <r>
    <n v="6"/>
    <x v="0"/>
    <x v="0"/>
    <s v="Actual"/>
    <x v="0"/>
    <x v="0"/>
    <s v="IGCC"/>
    <s v="Rent Junaina Jan 25 "/>
    <x v="5"/>
    <s v="N/A"/>
    <s v="N/A"/>
    <s v="N/A"/>
    <s v="Jan"/>
    <n v="2026"/>
  </r>
  <r>
    <n v="7"/>
    <x v="0"/>
    <x v="0"/>
    <s v="Actual"/>
    <x v="0"/>
    <x v="0"/>
    <s v="Al Majal Business Park (AMBP)"/>
    <s v="Al Majal Business Park (AMBP) Jan 25"/>
    <x v="6"/>
    <s v="2026000129"/>
    <d v="2026-01-31T00:00:00"/>
    <s v="N/A"/>
    <s v="Jan"/>
    <n v="2026"/>
  </r>
  <r>
    <n v="8"/>
    <x v="1"/>
    <x v="1"/>
    <s v="Actual"/>
    <x v="0"/>
    <x v="0"/>
    <s v="Petty Cash"/>
    <s v="Hotel x 9 days"/>
    <x v="7"/>
    <s v="##"/>
    <s v="26/1/2026"/>
    <s v="N/A"/>
    <s v="Jan"/>
    <n v="2026"/>
  </r>
  <r>
    <n v="9"/>
    <x v="1"/>
    <x v="1"/>
    <s v="Actual"/>
    <x v="0"/>
    <x v="0"/>
    <s v="Petty Cash"/>
    <s v="أجور فندق لكل من (عباس وطن + احمد علوان + نوار رعد) لمدة 3 ليالي من 24/1/2026 الى 27/1/2026"/>
    <x v="8"/>
    <n v="365"/>
    <s v="27/1/2026"/>
    <s v="N/A"/>
    <s v="Jan"/>
    <n v="2026"/>
  </r>
  <r>
    <n v="10"/>
    <x v="1"/>
    <x v="1"/>
    <s v="Actual"/>
    <x v="1"/>
    <x v="0"/>
    <s v="Jabal Qendil BRS"/>
    <s v="Air ticket &amp; travel"/>
    <x v="9"/>
    <s v="N/A"/>
    <s v="N/A"/>
    <s v="N/A"/>
    <s v="Jan"/>
    <n v="2026"/>
  </r>
  <r>
    <n v="11"/>
    <x v="2"/>
    <x v="2"/>
    <s v="Actual"/>
    <x v="1"/>
    <x v="0"/>
    <s v="Jabal Qendil BRS"/>
    <s v="Air ticket &amp; travel"/>
    <x v="10"/>
    <s v="N/A"/>
    <s v="N/A"/>
    <s v="N/A"/>
    <s v="Jan"/>
    <n v="2026"/>
  </r>
  <r>
    <n v="12"/>
    <x v="2"/>
    <x v="2"/>
    <s v="Actual"/>
    <x v="1"/>
    <x v="0"/>
    <s v="Jabal Qendil BRS"/>
    <s v="Air ticket &amp; travel"/>
    <x v="11"/>
    <s v="N/A"/>
    <s v="N/A"/>
    <s v="N/A"/>
    <s v="Jan"/>
    <n v="2026"/>
  </r>
  <r>
    <n v="13"/>
    <x v="3"/>
    <x v="3"/>
    <s v="Actual"/>
    <x v="1"/>
    <x v="0"/>
    <s v="Jabal Qendil BRS"/>
    <s v="Air ticket &amp; travel"/>
    <x v="12"/>
    <s v="N/A"/>
    <s v="N/A"/>
    <s v="N/A"/>
    <s v="Jan"/>
    <n v="2026"/>
  </r>
  <r>
    <n v="14"/>
    <x v="0"/>
    <x v="0"/>
    <s v="Actual"/>
    <x v="2"/>
    <x v="0"/>
    <s v="IGCC"/>
    <s v="Amman Expenses"/>
    <x v="13"/>
    <s v="N/A"/>
    <s v="N/A"/>
    <s v="N/A"/>
    <s v="Jan"/>
    <n v="2026"/>
  </r>
  <r>
    <n v="15"/>
    <x v="4"/>
    <x v="4"/>
    <s v="Actual"/>
    <x v="3"/>
    <x v="0"/>
    <s v="IGCC"/>
    <s v="Charitable Contributions"/>
    <x v="14"/>
    <s v="N/A"/>
    <s v="N/A"/>
    <s v="N/A"/>
    <s v="Jan"/>
    <n v="2026"/>
  </r>
  <r>
    <n v="16"/>
    <x v="5"/>
    <x v="5"/>
    <s v="Actual"/>
    <x v="3"/>
    <x v="0"/>
    <s v="IGCC"/>
    <s v="Charitable Contributions"/>
    <x v="15"/>
    <s v="N/A"/>
    <s v="N/A"/>
    <s v="N/A"/>
    <s v="Jan"/>
    <n v="2026"/>
  </r>
  <r>
    <n v="17"/>
    <x v="6"/>
    <x v="6"/>
    <s v="Actual"/>
    <x v="3"/>
    <x v="0"/>
    <s v="Petty Cash"/>
    <s v="KAZ-Check point salary "/>
    <x v="16"/>
    <s v="##"/>
    <d v="2026-12-01T00:00:00"/>
    <s v="N/A"/>
    <s v="Jan"/>
    <n v="2026"/>
  </r>
  <r>
    <n v="18"/>
    <x v="6"/>
    <x v="7"/>
    <s v="Actual"/>
    <x v="3"/>
    <x v="0"/>
    <s v="Petty Cash"/>
    <s v="اكراميات وعشائر"/>
    <x v="17"/>
    <s v="##"/>
    <d v="2026-12-01T00:00:00"/>
    <s v="N/A"/>
    <s v="Jan"/>
    <n v="2026"/>
  </r>
  <r>
    <n v="19"/>
    <x v="6"/>
    <x v="7"/>
    <s v="Actual"/>
    <x v="3"/>
    <x v="0"/>
    <s v="Petty Cash"/>
    <s v="UQ-CHECK POINT SALARY - Jan.26 &amp; Road Safety"/>
    <x v="18"/>
    <s v="##"/>
    <s v="27/1/2026"/>
    <s v="N/A"/>
    <s v="Jan"/>
    <n v="2026"/>
  </r>
  <r>
    <n v="20"/>
    <x v="0"/>
    <x v="0"/>
    <s v="Actual"/>
    <x v="3"/>
    <x v="0"/>
    <s v="Petty Cash"/>
    <s v="اكراميات وعشائر"/>
    <x v="19"/>
    <s v="##"/>
    <s v="17/1/2026"/>
    <s v="N/A"/>
    <s v="Jan"/>
    <n v="2026"/>
  </r>
  <r>
    <n v="21"/>
    <x v="0"/>
    <x v="0"/>
    <s v="Actual"/>
    <x v="3"/>
    <x v="0"/>
    <s v="Petty Cash"/>
    <s v="تبرعات للفقراء ولدار النرجس للايتام"/>
    <x v="20"/>
    <s v="##"/>
    <d v="2026-03-01T00:00:00"/>
    <s v="N/A"/>
    <s v="Jan"/>
    <n v="2026"/>
  </r>
  <r>
    <n v="22"/>
    <x v="0"/>
    <x v="0"/>
    <s v="Actual"/>
    <x v="3"/>
    <x v="0"/>
    <s v="Petty Cash"/>
    <s v="تصاريح امنية"/>
    <x v="21"/>
    <s v="##"/>
    <s v="15/1/2026"/>
    <s v="N/A"/>
    <s v="Jan"/>
    <n v="2026"/>
  </r>
  <r>
    <n v="23"/>
    <x v="3"/>
    <x v="3"/>
    <s v="Actual"/>
    <x v="3"/>
    <x v="0"/>
    <s v="Petty Cash"/>
    <s v="اكراميات وعشائر"/>
    <x v="22"/>
    <s v="##"/>
    <d v="2026-03-01T00:00:00"/>
    <s v="N/A"/>
    <s v="Jan"/>
    <n v="2026"/>
  </r>
  <r>
    <n v="24"/>
    <x v="3"/>
    <x v="3"/>
    <s v="Actual"/>
    <x v="3"/>
    <x v="0"/>
    <s v="Petty Cash"/>
    <s v="ROOG-check point salary"/>
    <x v="23"/>
    <s v="##"/>
    <d v="2026-12-01T00:00:00"/>
    <s v="N/A"/>
    <s v="Jan"/>
    <n v="2026"/>
  </r>
  <r>
    <n v="25"/>
    <x v="3"/>
    <x v="3"/>
    <s v="Actual"/>
    <x v="3"/>
    <x v="0"/>
    <s v="Petty Cash"/>
    <s v="ROOG-check point salary"/>
    <x v="24"/>
    <s v="##"/>
    <d v="2026-12-01T00:00:00"/>
    <s v="N/A"/>
    <s v="Jan"/>
    <n v="2026"/>
  </r>
  <r>
    <n v="26"/>
    <x v="3"/>
    <x v="3"/>
    <s v="Actual"/>
    <x v="3"/>
    <x v="0"/>
    <s v="Petty Cash"/>
    <s v="ROOG-check point salary"/>
    <x v="25"/>
    <s v="##"/>
    <d v="2026-03-01T00:00:00"/>
    <s v="N/A"/>
    <s v="Jan"/>
    <n v="2026"/>
  </r>
  <r>
    <n v="27"/>
    <x v="3"/>
    <x v="3"/>
    <s v="Actual"/>
    <x v="3"/>
    <x v="0"/>
    <s v="Petty Cash"/>
    <s v="اكراميات وعشائر"/>
    <x v="23"/>
    <s v="##"/>
    <d v="2026-03-01T00:00:00"/>
    <s v="N/A"/>
    <s v="Jan"/>
    <n v="2026"/>
  </r>
  <r>
    <n v="28"/>
    <x v="3"/>
    <x v="3"/>
    <s v="Actual"/>
    <x v="3"/>
    <x v="0"/>
    <s v="Petty Cash"/>
    <s v="اكراميات وعشائر - الامل AS"/>
    <x v="26"/>
    <s v="##"/>
    <d v="2026-07-01T00:00:00"/>
    <s v="N/A"/>
    <s v="Jan"/>
    <n v="2026"/>
  </r>
  <r>
    <n v="29"/>
    <x v="7"/>
    <x v="8"/>
    <s v="Actual"/>
    <x v="3"/>
    <x v="0"/>
    <s v="Petty Cash"/>
    <s v="اكراميات وعشائر"/>
    <x v="27"/>
    <s v="##"/>
    <s v="18/1/2026"/>
    <s v="N/A"/>
    <s v="Jan"/>
    <n v="2026"/>
  </r>
  <r>
    <n v="30"/>
    <x v="7"/>
    <x v="9"/>
    <s v="Actual"/>
    <x v="3"/>
    <x v="0"/>
    <s v="Petty Cash"/>
    <s v="اكرميات وعشائر - لابتوب"/>
    <x v="28"/>
    <s v="1617-28"/>
    <s v="20/1/2026"/>
    <s v="N/A"/>
    <s v="Jan"/>
    <n v="2026"/>
  </r>
  <r>
    <n v="31"/>
    <x v="4"/>
    <x v="4"/>
    <s v="Actual"/>
    <x v="3"/>
    <x v="0"/>
    <s v="Petty Cash"/>
    <s v="Total-Check point salary "/>
    <x v="25"/>
    <s v="##"/>
    <d v="2026-12-01T00:00:00"/>
    <s v="N/A"/>
    <s v="Jan"/>
    <n v="2026"/>
  </r>
  <r>
    <n v="32"/>
    <x v="4"/>
    <x v="4"/>
    <s v="Actual"/>
    <x v="3"/>
    <x v="0"/>
    <s v="Petty Cash"/>
    <s v="اكراميات وعشائر"/>
    <x v="29"/>
    <s v="##"/>
    <d v="2026-03-01T00:00:00"/>
    <s v="N/A"/>
    <s v="Jan"/>
    <n v="2026"/>
  </r>
  <r>
    <n v="33"/>
    <x v="6"/>
    <x v="6"/>
    <s v="Actual"/>
    <x v="4"/>
    <x v="0"/>
    <s v="Hulum Telecom"/>
    <s v="Internet"/>
    <x v="30"/>
    <s v="IN000300385"/>
    <d v="2026-01-01T00:00:00"/>
    <s v="N/A"/>
    <s v="Jan"/>
    <n v="2026"/>
  </r>
  <r>
    <n v="34"/>
    <x v="8"/>
    <x v="10"/>
    <s v="Actual"/>
    <x v="4"/>
    <x v="0"/>
    <s v="Zain Telecom"/>
    <s v="Zain Telecom Services"/>
    <x v="31"/>
    <n v="63"/>
    <d v="2026-01-03T00:00:00"/>
    <s v="N/A"/>
    <s v="Jan"/>
    <n v="2026"/>
  </r>
  <r>
    <n v="35"/>
    <x v="5"/>
    <x v="5"/>
    <s v="Actual"/>
    <x v="4"/>
    <x v="0"/>
    <s v="Zain Telecom"/>
    <s v="Zain Telecom Services"/>
    <x v="32"/>
    <n v="63"/>
    <d v="2026-01-03T00:00:00"/>
    <s v="N/A"/>
    <s v="Jan"/>
    <n v="2026"/>
  </r>
  <r>
    <n v="36"/>
    <x v="0"/>
    <x v="0"/>
    <s v="Actual"/>
    <x v="4"/>
    <x v="0"/>
    <s v="Zain Telecom"/>
    <s v="Zain Telecom Services"/>
    <x v="33"/>
    <n v="63"/>
    <d v="2026-01-03T00:00:00"/>
    <s v="N/A"/>
    <s v="Jan"/>
    <n v="2026"/>
  </r>
  <r>
    <n v="37"/>
    <x v="3"/>
    <x v="3"/>
    <s v="Actual"/>
    <x v="4"/>
    <x v="0"/>
    <s v="Zain Telecom"/>
    <s v="Zain Telecom Services"/>
    <x v="34"/>
    <n v="63"/>
    <d v="2026-01-03T00:00:00"/>
    <s v="N/A"/>
    <s v="Jan"/>
    <n v="2026"/>
  </r>
  <r>
    <n v="38"/>
    <x v="9"/>
    <x v="11"/>
    <s v="Actual"/>
    <x v="4"/>
    <x v="0"/>
    <s v="Zain Telecom"/>
    <s v="Zain Telecom Services"/>
    <x v="35"/>
    <n v="63"/>
    <d v="2026-01-03T00:00:00"/>
    <s v="N/A"/>
    <s v="Jan"/>
    <n v="2026"/>
  </r>
  <r>
    <n v="39"/>
    <x v="7"/>
    <x v="12"/>
    <s v="Actual"/>
    <x v="4"/>
    <x v="0"/>
    <s v="Zain Telecom"/>
    <s v="Zain Telecom Services"/>
    <x v="36"/>
    <n v="63"/>
    <d v="2026-01-03T00:00:00"/>
    <s v="N/A"/>
    <s v="Jan"/>
    <n v="2026"/>
  </r>
  <r>
    <n v="40"/>
    <x v="4"/>
    <x v="4"/>
    <s v="Actual"/>
    <x v="4"/>
    <x v="0"/>
    <s v="Zain Telecom"/>
    <s v="Zain Telecom Services"/>
    <x v="37"/>
    <n v="63"/>
    <d v="2026-01-03T00:00:00"/>
    <s v="N/A"/>
    <s v="Jan"/>
    <n v="2026"/>
  </r>
  <r>
    <n v="41"/>
    <x v="6"/>
    <x v="13"/>
    <s v="Actual"/>
    <x v="4"/>
    <x v="0"/>
    <s v="Petty Cash"/>
    <s v="Internet"/>
    <x v="38"/>
    <s v="##"/>
    <s v="25/1/2026"/>
    <s v="N/A"/>
    <s v="Jan"/>
    <n v="2026"/>
  </r>
  <r>
    <n v="42"/>
    <x v="6"/>
    <x v="14"/>
    <s v="Actual"/>
    <x v="4"/>
    <x v="0"/>
    <s v="Petty Cash"/>
    <s v="Internet"/>
    <x v="39"/>
    <s v="##"/>
    <s v="25/1/2026"/>
    <s v="N/A"/>
    <s v="Jan"/>
    <n v="2026"/>
  </r>
  <r>
    <n v="43"/>
    <x v="6"/>
    <x v="7"/>
    <s v="Actual"/>
    <x v="4"/>
    <x v="0"/>
    <s v="Petty Cash"/>
    <s v="Internet"/>
    <x v="40"/>
    <s v="##"/>
    <s v="25/1/2026"/>
    <s v="N/A"/>
    <s v="Jan"/>
    <n v="2026"/>
  </r>
  <r>
    <n v="44"/>
    <x v="10"/>
    <x v="15"/>
    <s v="Actual"/>
    <x v="4"/>
    <x v="0"/>
    <s v="Petty Cash"/>
    <s v="Internet"/>
    <x v="41"/>
    <s v="##"/>
    <s v="25/1/2026"/>
    <s v="N/A"/>
    <s v="Jan"/>
    <n v="2026"/>
  </r>
  <r>
    <n v="45"/>
    <x v="0"/>
    <x v="0"/>
    <s v="Actual"/>
    <x v="4"/>
    <x v="0"/>
    <s v="Petty Cash"/>
    <s v="Cleaner Materials"/>
    <x v="42"/>
    <s v="##"/>
    <s v="22/1/2026"/>
    <s v="N/A"/>
    <s v="Jan"/>
    <n v="2026"/>
  </r>
  <r>
    <n v="46"/>
    <x v="0"/>
    <x v="0"/>
    <s v="Actual"/>
    <x v="4"/>
    <x v="0"/>
    <s v="Petty Cash"/>
    <s v="Internet &amp; Consumable"/>
    <x v="43"/>
    <s v="##"/>
    <s v="25/1/2026"/>
    <s v="N/A"/>
    <s v="Jan"/>
    <n v="2026"/>
  </r>
  <r>
    <n v="47"/>
    <x v="7"/>
    <x v="16"/>
    <s v="Actual"/>
    <x v="4"/>
    <x v="0"/>
    <s v="Petty Cash"/>
    <s v="Internet"/>
    <x v="44"/>
    <s v="##"/>
    <s v="25/1/2026"/>
    <s v="N/A"/>
    <s v="Jan"/>
    <n v="2026"/>
  </r>
  <r>
    <n v="48"/>
    <x v="7"/>
    <x v="17"/>
    <s v="Actual"/>
    <x v="4"/>
    <x v="0"/>
    <s v="Petty Cash"/>
    <s v="Internet"/>
    <x v="45"/>
    <s v="##"/>
    <s v="25/1/2026"/>
    <s v="N/A"/>
    <s v="Jan"/>
    <n v="2026"/>
  </r>
  <r>
    <n v="49"/>
    <x v="4"/>
    <x v="4"/>
    <s v="Actual"/>
    <x v="4"/>
    <x v="0"/>
    <s v="Petty Cash"/>
    <s v="Internet &amp; Consumable"/>
    <x v="46"/>
    <s v="##"/>
    <s v="25/1/2026"/>
    <s v="N/A"/>
    <s v="Jan"/>
    <n v="2026"/>
  </r>
  <r>
    <n v="50"/>
    <x v="6"/>
    <x v="13"/>
    <s v="Actual"/>
    <x v="4"/>
    <x v="0"/>
    <s v="Petty Cash"/>
    <s v="Internet"/>
    <x v="47"/>
    <s v="##"/>
    <s v="18/12/2025"/>
    <s v="N/A"/>
    <s v="Jan"/>
    <n v="2026"/>
  </r>
  <r>
    <n v="51"/>
    <x v="10"/>
    <x v="15"/>
    <s v="Actual"/>
    <x v="4"/>
    <x v="0"/>
    <s v="Petty Cash"/>
    <s v="Internet &amp; Consumable"/>
    <x v="48"/>
    <s v="##"/>
    <s v="18/12/2025"/>
    <s v="N/A"/>
    <s v="Jan"/>
    <n v="2026"/>
  </r>
  <r>
    <n v="52"/>
    <x v="7"/>
    <x v="16"/>
    <s v="Actual"/>
    <x v="4"/>
    <x v="0"/>
    <s v="Petty Cash"/>
    <s v="Internet"/>
    <x v="49"/>
    <s v="##"/>
    <s v="18/12/2025"/>
    <s v="N/A"/>
    <s v="Jan"/>
    <n v="2026"/>
  </r>
  <r>
    <n v="53"/>
    <x v="9"/>
    <x v="18"/>
    <s v="Actual"/>
    <x v="4"/>
    <x v="0"/>
    <s v="Petty Cash"/>
    <s v="Internet &amp; Consumable"/>
    <x v="50"/>
    <s v="##"/>
    <s v="18/12/2025"/>
    <s v="N/A"/>
    <s v="Jan"/>
    <n v="2026"/>
  </r>
  <r>
    <n v="54"/>
    <x v="7"/>
    <x v="19"/>
    <s v="Actual"/>
    <x v="4"/>
    <x v="0"/>
    <s v="Petty Cash"/>
    <s v="Internet"/>
    <x v="51"/>
    <s v="##"/>
    <s v="18/12/2025"/>
    <s v="N/A"/>
    <s v="Jan"/>
    <n v="2026"/>
  </r>
  <r>
    <n v="55"/>
    <x v="3"/>
    <x v="3"/>
    <s v="Actual"/>
    <x v="4"/>
    <x v="0"/>
    <s v="Petty Cash"/>
    <s v="Internet &amp; Consumable"/>
    <x v="52"/>
    <s v="##"/>
    <s v="18/12/2025"/>
    <s v="N/A"/>
    <s v="Jan"/>
    <n v="2026"/>
  </r>
  <r>
    <n v="56"/>
    <x v="4"/>
    <x v="4"/>
    <s v="Actual"/>
    <x v="4"/>
    <x v="0"/>
    <s v="Petty Cash"/>
    <s v="Internet &amp; Consumable"/>
    <x v="53"/>
    <s v="##"/>
    <s v="18/12/2025"/>
    <s v="N/A"/>
    <s v="Jan"/>
    <n v="2026"/>
  </r>
  <r>
    <n v="57"/>
    <x v="0"/>
    <x v="0"/>
    <s v="Actual"/>
    <x v="4"/>
    <x v="0"/>
    <s v="Petty Cash"/>
    <s v="ديون مجمدة على مكتب الاستقلال"/>
    <x v="54"/>
    <n v="8320"/>
    <d v="2025-10-12T00:00:00"/>
    <s v="N/A"/>
    <s v="Jan"/>
    <n v="2026"/>
  </r>
  <r>
    <n v="58"/>
    <x v="0"/>
    <x v="0"/>
    <s v="Actual"/>
    <x v="4"/>
    <x v="0"/>
    <s v="Petty Cash"/>
    <s v="Internet &amp; SIM &amp; Consumable"/>
    <x v="55"/>
    <s v="##"/>
    <s v="18/12/2025"/>
    <s v="N/A"/>
    <s v="Jan"/>
    <n v="2026"/>
  </r>
  <r>
    <n v="59"/>
    <x v="0"/>
    <x v="0"/>
    <s v="Actual"/>
    <x v="4"/>
    <x v="0"/>
    <s v="Petty Cash"/>
    <s v="اشتراك مولد بناية  الاكاديمية للفترة 1/11/2025 - 31/12/2025"/>
    <x v="56"/>
    <s v="##"/>
    <s v="25/12/2025"/>
    <s v="N/A"/>
    <s v="Jan"/>
    <n v="2026"/>
  </r>
  <r>
    <n v="60"/>
    <x v="0"/>
    <x v="0"/>
    <s v="Actual"/>
    <x v="4"/>
    <x v="0"/>
    <s v="Petty Cash"/>
    <s v="Cleaner Materials"/>
    <x v="57"/>
    <s v="##"/>
    <s v="30/12/2025"/>
    <s v="N/A"/>
    <s v="Jan"/>
    <n v="2026"/>
  </r>
  <r>
    <n v="61"/>
    <x v="9"/>
    <x v="20"/>
    <s v="Actual"/>
    <x v="4"/>
    <x v="0"/>
    <s v="Petty Cash"/>
    <s v="Internet"/>
    <x v="58"/>
    <s v="##"/>
    <s v="18/12/2025"/>
    <s v="N/A"/>
    <s v="Jan"/>
    <n v="2026"/>
  </r>
  <r>
    <n v="62"/>
    <x v="7"/>
    <x v="21"/>
    <s v="Actual"/>
    <x v="4"/>
    <x v="0"/>
    <s v="Petty Cash"/>
    <s v="Internet"/>
    <x v="58"/>
    <s v="##"/>
    <s v="20/12/2025"/>
    <s v="N/A"/>
    <s v="Jan"/>
    <n v="2026"/>
  </r>
  <r>
    <n v="63"/>
    <x v="7"/>
    <x v="22"/>
    <s v="Actual"/>
    <x v="4"/>
    <x v="0"/>
    <s v="Petty Cash"/>
    <s v="Internet"/>
    <x v="59"/>
    <s v="##"/>
    <s v="18/12/2025"/>
    <s v="N/A"/>
    <s v="Jan"/>
    <n v="2026"/>
  </r>
  <r>
    <n v="64"/>
    <x v="7"/>
    <x v="17"/>
    <s v="Actual"/>
    <x v="4"/>
    <x v="0"/>
    <s v="Petty Cash"/>
    <s v="Internet &amp; Consumable"/>
    <x v="60"/>
    <s v="##"/>
    <s v="18/12/2025"/>
    <s v="N/A"/>
    <s v="Jan"/>
    <n v="2026"/>
  </r>
  <r>
    <n v="65"/>
    <x v="7"/>
    <x v="8"/>
    <s v="Actual"/>
    <x v="4"/>
    <x v="0"/>
    <s v="Petty Cash"/>
    <s v="Internet"/>
    <x v="51"/>
    <s v="##"/>
    <s v="18/12/2025"/>
    <s v="N/A"/>
    <s v="Jan"/>
    <n v="2026"/>
  </r>
  <r>
    <n v="66"/>
    <x v="6"/>
    <x v="14"/>
    <s v="Actual"/>
    <x v="4"/>
    <x v="0"/>
    <s v="Petty Cash"/>
    <s v="Internet &amp; Consumable"/>
    <x v="61"/>
    <s v="##"/>
    <s v="18/12/2025"/>
    <s v="N/A"/>
    <s v="Jan"/>
    <n v="2026"/>
  </r>
  <r>
    <n v="67"/>
    <x v="6"/>
    <x v="7"/>
    <s v="Actual"/>
    <x v="4"/>
    <x v="0"/>
    <s v="Petty Cash"/>
    <s v="Internet &amp; Consumable"/>
    <x v="62"/>
    <s v="##"/>
    <s v="18/12/2025"/>
    <s v="N/A"/>
    <s v="Jan"/>
    <n v="2026"/>
  </r>
  <r>
    <n v="68"/>
    <x v="0"/>
    <x v="0"/>
    <s v="Actual"/>
    <x v="5"/>
    <x v="0"/>
    <s v="Petty Cash"/>
    <s v="Transportation service from Tehran - basra"/>
    <x v="63"/>
    <n v="250460"/>
    <s v="28/11/2025"/>
    <s v="N/A"/>
    <s v="Jan"/>
    <n v="2026"/>
  </r>
  <r>
    <n v="69"/>
    <x v="0"/>
    <x v="0"/>
    <s v="Actual"/>
    <x v="5"/>
    <x v="0"/>
    <s v="Petty Cash"/>
    <s v="Custom clearance , Material transport from UK-Basra"/>
    <x v="64"/>
    <s v="##"/>
    <s v="GRLTOT_25"/>
    <s v="N/A"/>
    <s v="Jan"/>
    <n v="2026"/>
  </r>
  <r>
    <n v="70"/>
    <x v="4"/>
    <x v="4"/>
    <s v="Actual"/>
    <x v="5"/>
    <x v="0"/>
    <s v="Petty Cash"/>
    <s v="Shipping basra - dubai - basra ( Govinda )"/>
    <x v="65"/>
    <s v="##"/>
    <s v="24/1/2026"/>
    <s v="N/A"/>
    <s v="Jan"/>
    <n v="2026"/>
  </r>
  <r>
    <n v="71"/>
    <x v="7"/>
    <x v="22"/>
    <s v="Actual"/>
    <x v="5"/>
    <x v="0"/>
    <s v="ALFURAT LOGISTICS COMPANY"/>
    <s v="DHL / Courier Fees / Shipping"/>
    <x v="66"/>
    <s v="25/3395"/>
    <d v="2025-12-30T00:00:00"/>
    <s v="N/A"/>
    <s v="Jan"/>
    <n v="2026"/>
  </r>
  <r>
    <n v="72"/>
    <x v="7"/>
    <x v="22"/>
    <s v="Actual"/>
    <x v="5"/>
    <x v="0"/>
    <s v="ALFURAT LOGISTICS COMPANY"/>
    <s v="DHL / Courier Fees / Shipping"/>
    <x v="67"/>
    <s v="F25/3395"/>
    <d v="2025-12-28T00:00:00"/>
    <s v="N/A"/>
    <s v="Jan"/>
    <n v="2026"/>
  </r>
  <r>
    <n v="73"/>
    <x v="7"/>
    <x v="22"/>
    <s v="Actual"/>
    <x v="5"/>
    <x v="0"/>
    <s v="Radix General Trading Co"/>
    <s v="DHL / Courier Fees / Shipping"/>
    <x v="68"/>
    <s v="183"/>
    <d v="2026-01-01T00:00:00"/>
    <n v="2026400260"/>
    <s v="Jan"/>
    <n v="2026"/>
  </r>
  <r>
    <n v="74"/>
    <x v="7"/>
    <x v="22"/>
    <s v="Actual"/>
    <x v="5"/>
    <x v="0"/>
    <s v="ALFURAT LOGISTICS COMPANY"/>
    <s v="DHL / Courier Fees / Shipping"/>
    <x v="69"/>
    <s v="25/3561"/>
    <d v="2026-01-14T00:00:00"/>
    <s v="N/A"/>
    <s v="Jan"/>
    <n v="2026"/>
  </r>
  <r>
    <n v="75"/>
    <x v="10"/>
    <x v="15"/>
    <s v="Actual"/>
    <x v="6"/>
    <x v="0"/>
    <s v="IGCC"/>
    <s v="Hitachi excavator"/>
    <x v="70"/>
    <s v="N/A"/>
    <s v="N/A"/>
    <s v="N/A"/>
    <s v="Jan"/>
    <n v="2026"/>
  </r>
  <r>
    <n v="76"/>
    <x v="10"/>
    <x v="15"/>
    <s v="Actual"/>
    <x v="6"/>
    <x v="0"/>
    <s v="IGCC"/>
    <s v="Hitachi excavator"/>
    <x v="70"/>
    <s v="N/A"/>
    <s v="N/A"/>
    <s v="N/A"/>
    <s v="Jan"/>
    <n v="2026"/>
  </r>
  <r>
    <n v="77"/>
    <x v="10"/>
    <x v="15"/>
    <s v="Actual"/>
    <x v="6"/>
    <x v="0"/>
    <s v="ZUMZUM ALFAYHAA INSAAT"/>
    <s v="Fixed Assets"/>
    <x v="71"/>
    <s v="12788"/>
    <d v="2026-01-04T00:00:00"/>
    <n v="2025404667"/>
    <s v="Jan"/>
    <n v="2026"/>
  </r>
  <r>
    <n v="78"/>
    <x v="10"/>
    <x v="15"/>
    <s v="Actual"/>
    <x v="6"/>
    <x v="0"/>
    <s v="AL TAQNIYAT AL HANDASIYA OFFICE"/>
    <s v="Fixed Assets"/>
    <x v="72"/>
    <s v="000103"/>
    <d v="2025-12-31T00:00:00"/>
    <n v="2026400006"/>
    <s v="Jan"/>
    <n v="2026"/>
  </r>
  <r>
    <n v="79"/>
    <x v="10"/>
    <x v="15"/>
    <s v="Actual"/>
    <x v="6"/>
    <x v="0"/>
    <s v="MALIK ENGINEERING OFFICE"/>
    <s v="Fixed Assets"/>
    <x v="72"/>
    <s v="#"/>
    <d v="2026-01-13T00:00:00"/>
    <n v="2025404798"/>
    <s v="Jan"/>
    <n v="2026"/>
  </r>
  <r>
    <n v="80"/>
    <x v="10"/>
    <x v="15"/>
    <s v="Actual"/>
    <x v="6"/>
    <x v="0"/>
    <s v="ZUMZUM ALFAYHAA INSAAT"/>
    <s v="Fixed Assets"/>
    <x v="73"/>
    <s v="12828"/>
    <d v="2026-01-08T00:00:00"/>
    <n v="2025404859"/>
    <s v="Jan"/>
    <n v="2026"/>
  </r>
  <r>
    <n v="81"/>
    <x v="10"/>
    <x v="15"/>
    <s v="Actual"/>
    <x v="6"/>
    <x v="0"/>
    <s v="Al Eman Computers Networks &amp; Communication"/>
    <s v="Fixed Assets"/>
    <x v="74"/>
    <s v="5176-26"/>
    <d v="2026-01-07T00:00:00"/>
    <n v="2026400221"/>
    <s v="Jan"/>
    <n v="2026"/>
  </r>
  <r>
    <n v="82"/>
    <x v="10"/>
    <x v="15"/>
    <s v="Actual"/>
    <x v="6"/>
    <x v="0"/>
    <s v="Al Miayar Inspection service and rtaining"/>
    <s v="Fixed Assets"/>
    <x v="28"/>
    <s v="2635"/>
    <d v="2026-01-15T00:00:00"/>
    <n v="2025402963"/>
    <s v="Jan"/>
    <n v="2026"/>
  </r>
  <r>
    <n v="83"/>
    <x v="10"/>
    <x v="15"/>
    <s v="Actual"/>
    <x v="6"/>
    <x v="0"/>
    <s v="Al-Usool Genral Trading LTD"/>
    <s v="Fixed Assets"/>
    <x v="75"/>
    <s v="INV/2026/00267"/>
    <d v="2026-01-20T00:00:00"/>
    <n v="2026400172"/>
    <s v="Jan"/>
    <n v="2026"/>
  </r>
  <r>
    <n v="84"/>
    <x v="10"/>
    <x v="15"/>
    <s v="Actual"/>
    <x v="6"/>
    <x v="0"/>
    <s v="Al-Usool Genral Trading LTD"/>
    <s v="Fixed Assets"/>
    <x v="76"/>
    <s v="INV/2026/00190"/>
    <d v="2026-01-15T00:00:00"/>
    <n v="2026400172"/>
    <s v="Jan"/>
    <n v="2026"/>
  </r>
  <r>
    <n v="85"/>
    <x v="10"/>
    <x v="15"/>
    <s v="Actual"/>
    <x v="7"/>
    <x v="0"/>
    <s v="IGCC"/>
    <s v="Diesel Official Jan 25"/>
    <x v="77"/>
    <s v="N/A"/>
    <s v="N/A"/>
    <s v="N/A"/>
    <s v="Jan"/>
    <n v="2026"/>
  </r>
  <r>
    <n v="86"/>
    <x v="7"/>
    <x v="23"/>
    <s v="Accrual"/>
    <x v="7"/>
    <x v="0"/>
    <s v="IGCC"/>
    <s v="Diesel Sites Jan 25"/>
    <x v="78"/>
    <s v="N/A"/>
    <s v="N/A"/>
    <s v="N/A"/>
    <s v="Jan"/>
    <n v="2026"/>
  </r>
  <r>
    <n v="87"/>
    <x v="3"/>
    <x v="3"/>
    <s v="Accrual"/>
    <x v="7"/>
    <x v="0"/>
    <s v="IGCC"/>
    <s v="Diesel Sites Jan 25/Mustafa Taha"/>
    <x v="79"/>
    <s v="N/A"/>
    <s v="N/A"/>
    <s v="N/A"/>
    <s v="Jan"/>
    <n v="2026"/>
  </r>
  <r>
    <n v="88"/>
    <x v="4"/>
    <x v="4"/>
    <s v="Accrual"/>
    <x v="7"/>
    <x v="0"/>
    <s v="IGCC"/>
    <s v="Diesel Sites Jan 25/Mustafa Taha"/>
    <x v="80"/>
    <s v="N/A"/>
    <s v="N/A"/>
    <s v="N/A"/>
    <s v="Jan"/>
    <n v="2026"/>
  </r>
  <r>
    <n v="89"/>
    <x v="6"/>
    <x v="7"/>
    <s v="Accrual"/>
    <x v="7"/>
    <x v="0"/>
    <s v="IGCC"/>
    <s v="Diesel Sites Jan 25"/>
    <x v="81"/>
    <s v="N/A"/>
    <s v="N/A"/>
    <s v="N/A"/>
    <s v="Jan"/>
    <n v="2026"/>
  </r>
  <r>
    <n v="90"/>
    <x v="6"/>
    <x v="6"/>
    <s v="Accrual"/>
    <x v="7"/>
    <x v="0"/>
    <s v="IGCC"/>
    <s v="Diesel Sites Jan 25"/>
    <x v="82"/>
    <s v="N/A"/>
    <s v="N/A"/>
    <s v="N/A"/>
    <s v="Jan"/>
    <n v="2026"/>
  </r>
  <r>
    <n v="91"/>
    <x v="4"/>
    <x v="4"/>
    <s v="Accrual"/>
    <x v="8"/>
    <x v="0"/>
    <s v="IGCC"/>
    <s v="Lease &amp; Rent"/>
    <x v="83"/>
    <s v="N/A"/>
    <s v="N/A"/>
    <s v="N/A"/>
    <s v="Jan"/>
    <n v="2026"/>
  </r>
  <r>
    <n v="92"/>
    <x v="7"/>
    <x v="19"/>
    <s v="Accrual"/>
    <x v="8"/>
    <x v="0"/>
    <s v="Al Ajdar For General Trading and General Purchasing Ltd"/>
    <s v="Lease &amp; Rent"/>
    <x v="83"/>
    <s v="N/A"/>
    <s v="N/A"/>
    <s v="N/A"/>
    <s v="Jan"/>
    <n v="2026"/>
  </r>
  <r>
    <n v="93"/>
    <x v="6"/>
    <x v="7"/>
    <s v="Accrual"/>
    <x v="8"/>
    <x v="0"/>
    <s v="Al Ajdar For General Trading and General Purchasing Ltd"/>
    <s v="Lease &amp; Rent"/>
    <x v="4"/>
    <s v="N/A"/>
    <s v="N/A"/>
    <s v="N/A"/>
    <s v="Jan"/>
    <n v="2026"/>
  </r>
  <r>
    <n v="94"/>
    <x v="10"/>
    <x v="15"/>
    <s v="Actual"/>
    <x v="8"/>
    <x v="0"/>
    <s v="IGCC"/>
    <s v="Diesel tanker rental"/>
    <x v="83"/>
    <s v="N/A"/>
    <s v="N/A"/>
    <s v="N/A"/>
    <s v="Jan"/>
    <n v="2026"/>
  </r>
  <r>
    <n v="95"/>
    <x v="0"/>
    <x v="0"/>
    <s v="Actual"/>
    <x v="8"/>
    <x v="0"/>
    <s v="Petty Cash"/>
    <s v="بدل اجار لمدة 10 يوم"/>
    <x v="84"/>
    <s v="##"/>
    <s v="20/1/2025"/>
    <s v="N/A"/>
    <s v="Jan"/>
    <n v="2026"/>
  </r>
  <r>
    <n v="96"/>
    <x v="7"/>
    <x v="8"/>
    <s v="Actual"/>
    <x v="9"/>
    <x v="0"/>
    <s v="Al-Zubair Gate"/>
    <s v="Light equipment rental"/>
    <x v="56"/>
    <s v="N/A"/>
    <s v="N/A"/>
    <s v="N/A"/>
    <s v="Jan"/>
    <n v="2026"/>
  </r>
  <r>
    <n v="97"/>
    <x v="4"/>
    <x v="4"/>
    <s v="Accrual"/>
    <x v="9"/>
    <x v="0"/>
    <s v="Neema Abdul Hassan"/>
    <s v="Light equipment rental"/>
    <x v="85"/>
    <s v="N/A"/>
    <s v="N/A"/>
    <s v="N/A"/>
    <s v="Jan"/>
    <n v="2026"/>
  </r>
  <r>
    <n v="98"/>
    <x v="6"/>
    <x v="14"/>
    <s v="Accrual"/>
    <x v="9"/>
    <x v="0"/>
    <s v="Neema Abdul Hassan"/>
    <s v="Light equipment rental"/>
    <x v="86"/>
    <s v="N/A"/>
    <s v="N/A"/>
    <s v="N/A"/>
    <s v="Jan"/>
    <n v="2026"/>
  </r>
  <r>
    <n v="99"/>
    <x v="10"/>
    <x v="15"/>
    <s v="Accrual"/>
    <x v="9"/>
    <x v="0"/>
    <s v="Border Transportaion / Al Hodod"/>
    <s v=" Heavy equipment rental"/>
    <x v="87"/>
    <s v="N/A"/>
    <s v="N/A"/>
    <s v="N/A"/>
    <s v="Jan"/>
    <n v="2026"/>
  </r>
  <r>
    <n v="100"/>
    <x v="7"/>
    <x v="23"/>
    <s v="Accrual"/>
    <x v="9"/>
    <x v="0"/>
    <s v="Border Transportaion / Al Hodod"/>
    <s v=" Heavy equipment rental"/>
    <x v="88"/>
    <s v="N/A"/>
    <s v="N/A"/>
    <s v="N/A"/>
    <s v="Jan"/>
    <n v="2026"/>
  </r>
  <r>
    <n v="101"/>
    <x v="9"/>
    <x v="18"/>
    <s v="Accrual"/>
    <x v="9"/>
    <x v="0"/>
    <s v="Border Transportaion / Al Hodod"/>
    <s v=" Heavy equipment rental"/>
    <x v="89"/>
    <s v="N/A"/>
    <s v="N/A"/>
    <s v="N/A"/>
    <s v="Jan"/>
    <n v="2026"/>
  </r>
  <r>
    <n v="102"/>
    <x v="7"/>
    <x v="19"/>
    <s v="Accrual"/>
    <x v="9"/>
    <x v="0"/>
    <s v="Border Transportaion / Al Hodod"/>
    <s v=" Heavy equipment rental"/>
    <x v="90"/>
    <s v="N/A"/>
    <s v="N/A"/>
    <s v="N/A"/>
    <s v="Jan"/>
    <n v="2026"/>
  </r>
  <r>
    <n v="103"/>
    <x v="3"/>
    <x v="3"/>
    <s v="Accrual"/>
    <x v="9"/>
    <x v="0"/>
    <s v="Border Transportaion / Al Hodod"/>
    <s v=" Heavy equipment rental"/>
    <x v="91"/>
    <s v="N/A"/>
    <s v="N/A"/>
    <s v="N/A"/>
    <s v="Jan"/>
    <n v="2026"/>
  </r>
  <r>
    <n v="104"/>
    <x v="4"/>
    <x v="4"/>
    <s v="Accrual"/>
    <x v="9"/>
    <x v="0"/>
    <s v="Border Transportaion / Al Hodod"/>
    <s v=" Heavy equipment rental"/>
    <x v="92"/>
    <s v="N/A"/>
    <s v="N/A"/>
    <s v="N/A"/>
    <s v="Jan"/>
    <n v="2026"/>
  </r>
  <r>
    <n v="105"/>
    <x v="0"/>
    <x v="0"/>
    <s v="Accrual"/>
    <x v="9"/>
    <x v="0"/>
    <s v="Border Transportaion / Al Hodod"/>
    <s v=" Heavy equipment rental"/>
    <x v="93"/>
    <s v="N/A"/>
    <s v="N/A"/>
    <s v="N/A"/>
    <s v="Jan"/>
    <n v="2026"/>
  </r>
  <r>
    <n v="106"/>
    <x v="7"/>
    <x v="17"/>
    <s v="Accrual"/>
    <x v="9"/>
    <x v="0"/>
    <s v="Border Transportaion / Al Hodod"/>
    <s v=" Heavy equipment rental"/>
    <x v="94"/>
    <s v="N/A"/>
    <s v="N/A"/>
    <s v="N/A"/>
    <s v="Jan"/>
    <n v="2026"/>
  </r>
  <r>
    <n v="107"/>
    <x v="6"/>
    <x v="13"/>
    <s v="Accrual"/>
    <x v="9"/>
    <x v="0"/>
    <s v="NAC Logistic"/>
    <s v=" Heavy equipment rental"/>
    <x v="95"/>
    <s v="N/A"/>
    <s v="N/A"/>
    <s v="N/A"/>
    <s v="Jan"/>
    <n v="2026"/>
  </r>
  <r>
    <n v="108"/>
    <x v="9"/>
    <x v="18"/>
    <s v="Accrual"/>
    <x v="9"/>
    <x v="0"/>
    <s v="NAC Logistic"/>
    <s v=" Heavy equipment rental"/>
    <x v="96"/>
    <s v="N/A"/>
    <s v="N/A"/>
    <s v="N/A"/>
    <s v="Jan"/>
    <n v="2026"/>
  </r>
  <r>
    <n v="109"/>
    <x v="9"/>
    <x v="24"/>
    <s v="Accrual"/>
    <x v="9"/>
    <x v="0"/>
    <s v="NAC Logistic"/>
    <s v=" Heavy equipment rental"/>
    <x v="97"/>
    <s v="N/A"/>
    <s v="N/A"/>
    <s v="N/A"/>
    <s v="Jan"/>
    <n v="2026"/>
  </r>
  <r>
    <n v="110"/>
    <x v="7"/>
    <x v="19"/>
    <s v="Accrual"/>
    <x v="9"/>
    <x v="0"/>
    <s v="NAC Logistic"/>
    <s v=" Heavy equipment rental"/>
    <x v="98"/>
    <s v="N/A"/>
    <s v="N/A"/>
    <s v="N/A"/>
    <s v="Jan"/>
    <n v="2026"/>
  </r>
  <r>
    <n v="111"/>
    <x v="3"/>
    <x v="3"/>
    <s v="Accrual"/>
    <x v="9"/>
    <x v="0"/>
    <s v="NAC Logistic"/>
    <s v=" Heavy equipment rental"/>
    <x v="99"/>
    <s v="N/A"/>
    <s v="N/A"/>
    <s v="N/A"/>
    <s v="Jan"/>
    <n v="2026"/>
  </r>
  <r>
    <n v="112"/>
    <x v="4"/>
    <x v="4"/>
    <s v="Accrual"/>
    <x v="9"/>
    <x v="0"/>
    <s v="NAC Logistic"/>
    <s v=" Heavy equipment rental"/>
    <x v="100"/>
    <s v="N/A"/>
    <s v="N/A"/>
    <s v="N/A"/>
    <s v="Jan"/>
    <n v="2026"/>
  </r>
  <r>
    <n v="113"/>
    <x v="6"/>
    <x v="6"/>
    <s v="Accrual"/>
    <x v="9"/>
    <x v="0"/>
    <s v="NAC Logistic"/>
    <s v=" Heavy equipment rental"/>
    <x v="101"/>
    <s v="N/A"/>
    <s v="N/A"/>
    <s v="N/A"/>
    <s v="Jan"/>
    <n v="2026"/>
  </r>
  <r>
    <n v="114"/>
    <x v="7"/>
    <x v="21"/>
    <s v="Accrual"/>
    <x v="9"/>
    <x v="0"/>
    <s v="NAC Logistic"/>
    <s v=" Heavy equipment rental"/>
    <x v="102"/>
    <s v="N/A"/>
    <s v="N/A"/>
    <s v="N/A"/>
    <s v="Jan"/>
    <n v="2026"/>
  </r>
  <r>
    <n v="115"/>
    <x v="6"/>
    <x v="25"/>
    <s v="Accrual"/>
    <x v="9"/>
    <x v="0"/>
    <s v="NAC Logistic"/>
    <s v=" Heavy equipment rental"/>
    <x v="103"/>
    <s v="N/A"/>
    <s v="N/A"/>
    <s v="N/A"/>
    <s v="Jan"/>
    <n v="2026"/>
  </r>
  <r>
    <n v="116"/>
    <x v="7"/>
    <x v="22"/>
    <s v="Accrual"/>
    <x v="9"/>
    <x v="0"/>
    <s v="NAC Logistic"/>
    <s v=" Heavy equipment rental"/>
    <x v="104"/>
    <s v="N/A"/>
    <s v="N/A"/>
    <s v="N/A"/>
    <s v="Jan"/>
    <n v="2026"/>
  </r>
  <r>
    <n v="117"/>
    <x v="7"/>
    <x v="17"/>
    <s v="Accrual"/>
    <x v="9"/>
    <x v="0"/>
    <s v="NAC Logistic"/>
    <s v=" Heavy equipment rental"/>
    <x v="105"/>
    <s v="N/A"/>
    <s v="N/A"/>
    <s v="N/A"/>
    <s v="Jan"/>
    <n v="2026"/>
  </r>
  <r>
    <n v="118"/>
    <x v="7"/>
    <x v="26"/>
    <s v="Accrual"/>
    <x v="9"/>
    <x v="0"/>
    <s v="NAC Logistic"/>
    <s v="Heavy  equipment rental"/>
    <x v="106"/>
    <s v="N/A"/>
    <s v="N/A"/>
    <s v="N/A"/>
    <s v="Jan"/>
    <n v="2026"/>
  </r>
  <r>
    <n v="119"/>
    <x v="6"/>
    <x v="7"/>
    <s v="Accrual"/>
    <x v="9"/>
    <x v="0"/>
    <s v="NAC Logistic"/>
    <s v="Heavy  equipment rental"/>
    <x v="107"/>
    <s v="N/A"/>
    <s v="N/A"/>
    <s v="N/A"/>
    <s v="Jan"/>
    <n v="2026"/>
  </r>
  <r>
    <n v="120"/>
    <x v="6"/>
    <x v="27"/>
    <s v="Accrual"/>
    <x v="9"/>
    <x v="0"/>
    <s v="NAC Logistic"/>
    <s v="Heavy  equipment rental"/>
    <x v="108"/>
    <s v="N/A"/>
    <s v="N/A"/>
    <s v="N/A"/>
    <s v="Jan"/>
    <n v="2026"/>
  </r>
  <r>
    <n v="121"/>
    <x v="6"/>
    <x v="13"/>
    <s v="Accrual"/>
    <x v="9"/>
    <x v="0"/>
    <s v="Taqadm Albasrah"/>
    <s v="Heavy  equipment rental"/>
    <x v="109"/>
    <s v="N/A"/>
    <s v="N/A"/>
    <s v="N/A"/>
    <s v="Jan"/>
    <n v="2026"/>
  </r>
  <r>
    <n v="122"/>
    <x v="10"/>
    <x v="15"/>
    <s v="Accrual"/>
    <x v="9"/>
    <x v="0"/>
    <s v="Taqadm Albasrah"/>
    <s v="Heavy  equipment rental"/>
    <x v="110"/>
    <s v="N/A"/>
    <s v="N/A"/>
    <s v="N/A"/>
    <s v="Jan"/>
    <n v="2026"/>
  </r>
  <r>
    <n v="123"/>
    <x v="7"/>
    <x v="23"/>
    <s v="Accrual"/>
    <x v="9"/>
    <x v="0"/>
    <s v="Taqadm Albasrah"/>
    <s v="Heavy  equipment rental"/>
    <x v="111"/>
    <s v="N/A"/>
    <s v="N/A"/>
    <s v="N/A"/>
    <s v="Jan"/>
    <n v="2026"/>
  </r>
  <r>
    <n v="124"/>
    <x v="9"/>
    <x v="18"/>
    <s v="Accrual"/>
    <x v="9"/>
    <x v="0"/>
    <s v="Taqadm Albasrah"/>
    <s v="Heavy  equipment rental"/>
    <x v="112"/>
    <s v="N/A"/>
    <s v="N/A"/>
    <s v="N/A"/>
    <s v="Jan"/>
    <n v="2026"/>
  </r>
  <r>
    <n v="125"/>
    <x v="9"/>
    <x v="24"/>
    <s v="Accrual"/>
    <x v="9"/>
    <x v="0"/>
    <s v="Taqadm Albasrah"/>
    <s v="Heavy  equipment rental"/>
    <x v="113"/>
    <s v="N/A"/>
    <s v="N/A"/>
    <s v="N/A"/>
    <s v="Jan"/>
    <n v="2026"/>
  </r>
  <r>
    <n v="126"/>
    <x v="7"/>
    <x v="28"/>
    <s v="Accrual"/>
    <x v="9"/>
    <x v="0"/>
    <s v="Taqadm Albasrah"/>
    <s v="Heavy  equipment rental"/>
    <x v="114"/>
    <s v="N/A"/>
    <s v="N/A"/>
    <s v="N/A"/>
    <s v="Jan"/>
    <n v="2026"/>
  </r>
  <r>
    <n v="127"/>
    <x v="7"/>
    <x v="19"/>
    <s v="Accrual"/>
    <x v="9"/>
    <x v="0"/>
    <s v="Taqadm Albasrah"/>
    <s v="Heavy  equipment rental"/>
    <x v="115"/>
    <s v="N/A"/>
    <s v="N/A"/>
    <s v="N/A"/>
    <s v="Jan"/>
    <n v="2026"/>
  </r>
  <r>
    <n v="128"/>
    <x v="3"/>
    <x v="3"/>
    <s v="Accrual"/>
    <x v="9"/>
    <x v="0"/>
    <s v="Taqadm Albasrah"/>
    <s v="Heavy  equipment rental"/>
    <x v="116"/>
    <s v="N/A"/>
    <s v="N/A"/>
    <s v="N/A"/>
    <s v="Jan"/>
    <n v="2026"/>
  </r>
  <r>
    <n v="129"/>
    <x v="4"/>
    <x v="4"/>
    <s v="Accrual"/>
    <x v="9"/>
    <x v="0"/>
    <s v="Taqadm Albasrah"/>
    <s v="Heavy  equipment rental"/>
    <x v="117"/>
    <s v="N/A"/>
    <s v="N/A"/>
    <s v="N/A"/>
    <s v="Jan"/>
    <n v="2026"/>
  </r>
  <r>
    <n v="130"/>
    <x v="6"/>
    <x v="6"/>
    <s v="Accrual"/>
    <x v="9"/>
    <x v="0"/>
    <s v="Taqadm Albasrah"/>
    <s v="Heavy  equipment rental"/>
    <x v="118"/>
    <s v="N/A"/>
    <s v="N/A"/>
    <s v="N/A"/>
    <s v="Jan"/>
    <n v="2026"/>
  </r>
  <r>
    <n v="131"/>
    <x v="9"/>
    <x v="29"/>
    <s v="Accrual"/>
    <x v="9"/>
    <x v="0"/>
    <s v="Taqadm Albasrah"/>
    <s v="Heavy  equipment rental"/>
    <x v="119"/>
    <s v="N/A"/>
    <s v="N/A"/>
    <s v="N/A"/>
    <s v="Jan"/>
    <n v="2026"/>
  </r>
  <r>
    <n v="132"/>
    <x v="7"/>
    <x v="21"/>
    <s v="Accrual"/>
    <x v="9"/>
    <x v="0"/>
    <s v="Taqadm Albasrah"/>
    <s v="Heavy  equipment rental"/>
    <x v="120"/>
    <s v="N/A"/>
    <s v="N/A"/>
    <s v="N/A"/>
    <s v="Jan"/>
    <n v="2026"/>
  </r>
  <r>
    <n v="133"/>
    <x v="6"/>
    <x v="25"/>
    <s v="Accrual"/>
    <x v="9"/>
    <x v="0"/>
    <s v="Taqadm Albasrah"/>
    <s v="Heavy  equipment rental"/>
    <x v="121"/>
    <s v="N/A"/>
    <s v="N/A"/>
    <s v="N/A"/>
    <s v="Jan"/>
    <n v="2026"/>
  </r>
  <r>
    <n v="134"/>
    <x v="7"/>
    <x v="22"/>
    <s v="Accrual"/>
    <x v="9"/>
    <x v="0"/>
    <s v="Taqadm Albasrah"/>
    <s v="Heavy  equipment rental"/>
    <x v="122"/>
    <s v="N/A"/>
    <s v="N/A"/>
    <s v="N/A"/>
    <s v="Jan"/>
    <n v="2026"/>
  </r>
  <r>
    <n v="135"/>
    <x v="7"/>
    <x v="17"/>
    <s v="Accrual"/>
    <x v="9"/>
    <x v="0"/>
    <s v="Taqadm Albasrah"/>
    <s v="Heavy  equipment rental"/>
    <x v="123"/>
    <s v="N/A"/>
    <s v="N/A"/>
    <s v="N/A"/>
    <s v="Jan"/>
    <n v="2026"/>
  </r>
  <r>
    <n v="136"/>
    <x v="7"/>
    <x v="26"/>
    <s v="Accrual"/>
    <x v="9"/>
    <x v="0"/>
    <s v="Taqadm Albasrah"/>
    <s v="Heavy  equipment rental"/>
    <x v="124"/>
    <s v="N/A"/>
    <s v="N/A"/>
    <s v="N/A"/>
    <s v="Jan"/>
    <n v="2026"/>
  </r>
  <r>
    <n v="137"/>
    <x v="7"/>
    <x v="8"/>
    <s v="Accrual"/>
    <x v="9"/>
    <x v="0"/>
    <s v="Taqadm Albasrah"/>
    <s v="Heavy  equipment rental"/>
    <x v="125"/>
    <s v="N/A"/>
    <s v="N/A"/>
    <s v="N/A"/>
    <s v="Jan"/>
    <n v="2026"/>
  </r>
  <r>
    <n v="138"/>
    <x v="6"/>
    <x v="7"/>
    <s v="Accrual"/>
    <x v="9"/>
    <x v="0"/>
    <s v="Taqadm Albasrah"/>
    <s v="Heavy  equipment rental"/>
    <x v="126"/>
    <s v="N/A"/>
    <s v="N/A"/>
    <s v="N/A"/>
    <s v="Jan"/>
    <n v="2026"/>
  </r>
  <r>
    <n v="139"/>
    <x v="6"/>
    <x v="13"/>
    <s v="Accrual"/>
    <x v="9"/>
    <x v="0"/>
    <s v="NAC Logistic"/>
    <s v="Light equipment rental"/>
    <x v="127"/>
    <s v="N/A"/>
    <s v="N/A"/>
    <s v="N/A"/>
    <s v="Jan"/>
    <n v="2026"/>
  </r>
  <r>
    <n v="140"/>
    <x v="10"/>
    <x v="15"/>
    <s v="Accrual"/>
    <x v="9"/>
    <x v="0"/>
    <s v="NAC Logistic"/>
    <s v="Light equipment rental"/>
    <x v="128"/>
    <s v="N/A"/>
    <s v="N/A"/>
    <s v="N/A"/>
    <s v="Jan"/>
    <n v="2026"/>
  </r>
  <r>
    <n v="141"/>
    <x v="7"/>
    <x v="23"/>
    <s v="Accrual"/>
    <x v="9"/>
    <x v="0"/>
    <s v="NAC Logistic"/>
    <s v="Light equipment rental"/>
    <x v="14"/>
    <s v="N/A"/>
    <s v="N/A"/>
    <s v="N/A"/>
    <s v="Jan"/>
    <n v="2026"/>
  </r>
  <r>
    <n v="142"/>
    <x v="9"/>
    <x v="18"/>
    <s v="Accrual"/>
    <x v="9"/>
    <x v="0"/>
    <s v="NAC Logistic"/>
    <s v="Light equipment rental"/>
    <x v="129"/>
    <s v="N/A"/>
    <s v="N/A"/>
    <s v="N/A"/>
    <s v="Jan"/>
    <n v="2026"/>
  </r>
  <r>
    <n v="143"/>
    <x v="9"/>
    <x v="24"/>
    <s v="Accrual"/>
    <x v="9"/>
    <x v="0"/>
    <s v="NAC Logistic"/>
    <s v="Light equipment rental"/>
    <x v="130"/>
    <s v="N/A"/>
    <s v="N/A"/>
    <s v="N/A"/>
    <s v="Jan"/>
    <n v="2026"/>
  </r>
  <r>
    <n v="144"/>
    <x v="7"/>
    <x v="19"/>
    <s v="Accrual"/>
    <x v="9"/>
    <x v="0"/>
    <s v="NAC Logistic"/>
    <s v="Light equipment rental"/>
    <x v="131"/>
    <s v="N/A"/>
    <s v="N/A"/>
    <s v="N/A"/>
    <s v="Jan"/>
    <n v="2026"/>
  </r>
  <r>
    <n v="145"/>
    <x v="3"/>
    <x v="3"/>
    <s v="Accrual"/>
    <x v="9"/>
    <x v="0"/>
    <s v="NAC Logistic"/>
    <s v="Light equipment rental"/>
    <x v="132"/>
    <s v="N/A"/>
    <s v="N/A"/>
    <s v="N/A"/>
    <s v="Jan"/>
    <n v="2026"/>
  </r>
  <r>
    <n v="146"/>
    <x v="4"/>
    <x v="4"/>
    <s v="Accrual"/>
    <x v="9"/>
    <x v="0"/>
    <s v="NAC Logistic"/>
    <s v="Light equipment rental"/>
    <x v="133"/>
    <s v="N/A"/>
    <s v="N/A"/>
    <s v="N/A"/>
    <s v="Jan"/>
    <n v="2026"/>
  </r>
  <r>
    <n v="147"/>
    <x v="0"/>
    <x v="0"/>
    <s v="Accrual"/>
    <x v="9"/>
    <x v="0"/>
    <s v="NAC Logistic"/>
    <s v="Light equipment rental"/>
    <x v="134"/>
    <s v="N/A"/>
    <s v="N/A"/>
    <s v="N/A"/>
    <s v="Jan"/>
    <n v="2026"/>
  </r>
  <r>
    <n v="148"/>
    <x v="6"/>
    <x v="6"/>
    <s v="Accrual"/>
    <x v="9"/>
    <x v="0"/>
    <s v="NAC Logistic"/>
    <s v="Light equipment rental"/>
    <x v="135"/>
    <s v="N/A"/>
    <s v="N/A"/>
    <s v="N/A"/>
    <s v="Jan"/>
    <n v="2026"/>
  </r>
  <r>
    <n v="149"/>
    <x v="6"/>
    <x v="30"/>
    <s v="Accrual"/>
    <x v="9"/>
    <x v="0"/>
    <s v="NAC Logistic"/>
    <s v="Light equipment rental"/>
    <x v="136"/>
    <s v="N/A"/>
    <s v="N/A"/>
    <s v="N/A"/>
    <s v="Jan"/>
    <n v="2026"/>
  </r>
  <r>
    <n v="150"/>
    <x v="7"/>
    <x v="21"/>
    <s v="Accrual"/>
    <x v="9"/>
    <x v="0"/>
    <s v="NAC Logistic"/>
    <s v="Light equipment rental"/>
    <x v="137"/>
    <s v="N/A"/>
    <s v="N/A"/>
    <s v="N/A"/>
    <s v="Jan"/>
    <n v="2026"/>
  </r>
  <r>
    <n v="151"/>
    <x v="6"/>
    <x v="25"/>
    <s v="Accrual"/>
    <x v="9"/>
    <x v="0"/>
    <s v="NAC Logistic"/>
    <s v="Light equipment rental"/>
    <x v="138"/>
    <s v="N/A"/>
    <s v="N/A"/>
    <s v="N/A"/>
    <s v="Jan"/>
    <n v="2026"/>
  </r>
  <r>
    <n v="152"/>
    <x v="7"/>
    <x v="22"/>
    <s v="Accrual"/>
    <x v="9"/>
    <x v="0"/>
    <s v="NAC Logistic"/>
    <s v="Light equipment rental"/>
    <x v="139"/>
    <s v="N/A"/>
    <s v="N/A"/>
    <s v="N/A"/>
    <s v="Jan"/>
    <n v="2026"/>
  </r>
  <r>
    <n v="153"/>
    <x v="7"/>
    <x v="17"/>
    <s v="Accrual"/>
    <x v="9"/>
    <x v="0"/>
    <s v="NAC Logistic"/>
    <s v="Light equipment rental"/>
    <x v="140"/>
    <s v="N/A"/>
    <s v="N/A"/>
    <s v="N/A"/>
    <s v="Jan"/>
    <n v="2026"/>
  </r>
  <r>
    <n v="154"/>
    <x v="7"/>
    <x v="26"/>
    <s v="Accrual"/>
    <x v="9"/>
    <x v="0"/>
    <s v="NAC Logistic"/>
    <s v="Light equipment rental"/>
    <x v="141"/>
    <s v="N/A"/>
    <s v="N/A"/>
    <s v="N/A"/>
    <s v="Jan"/>
    <n v="2026"/>
  </r>
  <r>
    <n v="155"/>
    <x v="6"/>
    <x v="7"/>
    <s v="Accrual"/>
    <x v="9"/>
    <x v="0"/>
    <s v="NAC Logistic"/>
    <s v="Light equipment rental"/>
    <x v="142"/>
    <s v="N/A"/>
    <s v="N/A"/>
    <s v="N/A"/>
    <s v="Jan"/>
    <n v="2026"/>
  </r>
  <r>
    <n v="156"/>
    <x v="6"/>
    <x v="13"/>
    <s v="Accrual"/>
    <x v="9"/>
    <x v="0"/>
    <s v="Taqadm Albasrah"/>
    <s v="Light equipment rental"/>
    <x v="143"/>
    <s v="N/A"/>
    <s v="N/A"/>
    <s v="N/A"/>
    <s v="Jan"/>
    <n v="2026"/>
  </r>
  <r>
    <n v="157"/>
    <x v="10"/>
    <x v="15"/>
    <s v="Accrual"/>
    <x v="9"/>
    <x v="0"/>
    <s v="Taqadm Albasrah"/>
    <s v="Light equipment rental"/>
    <x v="144"/>
    <s v="N/A"/>
    <s v="N/A"/>
    <s v="N/A"/>
    <s v="Jan"/>
    <n v="2026"/>
  </r>
  <r>
    <n v="158"/>
    <x v="7"/>
    <x v="23"/>
    <s v="Accrual"/>
    <x v="9"/>
    <x v="0"/>
    <s v="Taqadm Albasrah"/>
    <s v="Light equipment rental"/>
    <x v="145"/>
    <s v="N/A"/>
    <s v="N/A"/>
    <s v="N/A"/>
    <s v="Jan"/>
    <n v="2026"/>
  </r>
  <r>
    <n v="159"/>
    <x v="9"/>
    <x v="18"/>
    <s v="Accrual"/>
    <x v="9"/>
    <x v="0"/>
    <s v="Taqadm Albasrah"/>
    <s v="Light equipment rental"/>
    <x v="146"/>
    <s v="N/A"/>
    <s v="N/A"/>
    <s v="N/A"/>
    <s v="Jan"/>
    <n v="2026"/>
  </r>
  <r>
    <n v="160"/>
    <x v="9"/>
    <x v="24"/>
    <s v="Accrual"/>
    <x v="9"/>
    <x v="0"/>
    <s v="Taqadm Albasrah"/>
    <s v="Light equipment rental"/>
    <x v="147"/>
    <s v="N/A"/>
    <s v="N/A"/>
    <s v="N/A"/>
    <s v="Jan"/>
    <n v="2026"/>
  </r>
  <r>
    <n v="161"/>
    <x v="7"/>
    <x v="28"/>
    <s v="Accrual"/>
    <x v="9"/>
    <x v="0"/>
    <s v="Taqadm Albasrah"/>
    <s v="Light equipment rental"/>
    <x v="148"/>
    <s v="N/A"/>
    <s v="N/A"/>
    <s v="N/A"/>
    <s v="Jan"/>
    <n v="2026"/>
  </r>
  <r>
    <n v="162"/>
    <x v="7"/>
    <x v="19"/>
    <s v="Accrual"/>
    <x v="9"/>
    <x v="0"/>
    <s v="Taqadm Albasrah"/>
    <s v="Light equipment rental"/>
    <x v="149"/>
    <s v="N/A"/>
    <s v="N/A"/>
    <s v="N/A"/>
    <s v="Jan"/>
    <n v="2026"/>
  </r>
  <r>
    <n v="163"/>
    <x v="3"/>
    <x v="3"/>
    <s v="Accrual"/>
    <x v="9"/>
    <x v="0"/>
    <s v="Taqadm Albasrah"/>
    <s v="Light equipment rental"/>
    <x v="150"/>
    <s v="N/A"/>
    <s v="N/A"/>
    <s v="N/A"/>
    <s v="Jan"/>
    <n v="2026"/>
  </r>
  <r>
    <n v="164"/>
    <x v="4"/>
    <x v="4"/>
    <s v="Accrual"/>
    <x v="9"/>
    <x v="0"/>
    <s v="Taqadm Albasrah"/>
    <s v="Light equipment rental"/>
    <x v="151"/>
    <s v="N/A"/>
    <s v="N/A"/>
    <s v="N/A"/>
    <s v="Jan"/>
    <n v="2026"/>
  </r>
  <r>
    <n v="165"/>
    <x v="0"/>
    <x v="0"/>
    <s v="Accrual"/>
    <x v="9"/>
    <x v="0"/>
    <s v="Taqadm Albasrah"/>
    <s v="Light equipment rental"/>
    <x v="152"/>
    <s v="N/A"/>
    <s v="N/A"/>
    <s v="N/A"/>
    <s v="Jan"/>
    <n v="2026"/>
  </r>
  <r>
    <n v="166"/>
    <x v="6"/>
    <x v="6"/>
    <s v="Accrual"/>
    <x v="9"/>
    <x v="0"/>
    <s v="Taqadm Albasrah"/>
    <s v="Light equipment rental"/>
    <x v="153"/>
    <s v="N/A"/>
    <s v="N/A"/>
    <s v="N/A"/>
    <s v="Jan"/>
    <n v="2026"/>
  </r>
  <r>
    <n v="167"/>
    <x v="7"/>
    <x v="31"/>
    <s v="Accrual"/>
    <x v="9"/>
    <x v="0"/>
    <s v="Taqadm Albasrah"/>
    <s v="Light equipment rental"/>
    <x v="154"/>
    <s v="N/A"/>
    <s v="N/A"/>
    <s v="N/A"/>
    <s v="Jan"/>
    <n v="2026"/>
  </r>
  <r>
    <n v="168"/>
    <x v="9"/>
    <x v="32"/>
    <s v="Accrual"/>
    <x v="9"/>
    <x v="0"/>
    <s v="Taqadm Albasrah"/>
    <s v="Light equipment rental"/>
    <x v="27"/>
    <s v="N/A"/>
    <s v="N/A"/>
    <s v="N/A"/>
    <s v="Jan"/>
    <n v="2026"/>
  </r>
  <r>
    <n v="169"/>
    <x v="9"/>
    <x v="29"/>
    <s v="Accrual"/>
    <x v="9"/>
    <x v="0"/>
    <s v="Taqadm Albasrah"/>
    <s v="Light equipment rental"/>
    <x v="155"/>
    <s v="N/A"/>
    <s v="N/A"/>
    <s v="N/A"/>
    <s v="Jan"/>
    <n v="2026"/>
  </r>
  <r>
    <n v="170"/>
    <x v="7"/>
    <x v="21"/>
    <s v="Accrual"/>
    <x v="9"/>
    <x v="0"/>
    <s v="Taqadm Albasrah"/>
    <s v="Light equipment rental"/>
    <x v="156"/>
    <s v="N/A"/>
    <s v="N/A"/>
    <s v="N/A"/>
    <s v="Jan"/>
    <n v="2026"/>
  </r>
  <r>
    <n v="171"/>
    <x v="6"/>
    <x v="25"/>
    <s v="Accrual"/>
    <x v="9"/>
    <x v="0"/>
    <s v="Taqadm Albasrah"/>
    <s v="Light equipment rental"/>
    <x v="157"/>
    <s v="N/A"/>
    <s v="N/A"/>
    <s v="N/A"/>
    <s v="Jan"/>
    <n v="2026"/>
  </r>
  <r>
    <n v="172"/>
    <x v="7"/>
    <x v="22"/>
    <s v="Accrual"/>
    <x v="9"/>
    <x v="0"/>
    <s v="Taqadm Albasrah"/>
    <s v="Light equipment rental"/>
    <x v="158"/>
    <s v="N/A"/>
    <s v="N/A"/>
    <s v="N/A"/>
    <s v="Jan"/>
    <n v="2026"/>
  </r>
  <r>
    <n v="173"/>
    <x v="7"/>
    <x v="17"/>
    <s v="Accrual"/>
    <x v="9"/>
    <x v="0"/>
    <s v="Taqadm Albasrah"/>
    <s v="Light equipment rental"/>
    <x v="159"/>
    <s v="N/A"/>
    <s v="N/A"/>
    <s v="N/A"/>
    <s v="Jan"/>
    <n v="2026"/>
  </r>
  <r>
    <n v="174"/>
    <x v="7"/>
    <x v="26"/>
    <s v="Accrual"/>
    <x v="9"/>
    <x v="0"/>
    <s v="Taqadm Albasrah"/>
    <s v="Light equipment rental"/>
    <x v="155"/>
    <s v="N/A"/>
    <s v="N/A"/>
    <s v="N/A"/>
    <s v="Jan"/>
    <n v="2026"/>
  </r>
  <r>
    <n v="175"/>
    <x v="7"/>
    <x v="8"/>
    <s v="Accrual"/>
    <x v="9"/>
    <x v="0"/>
    <s v="Taqadm Albasrah"/>
    <s v="Light equipment rental"/>
    <x v="27"/>
    <s v="N/A"/>
    <s v="N/A"/>
    <s v="N/A"/>
    <s v="Jan"/>
    <n v="2026"/>
  </r>
  <r>
    <n v="176"/>
    <x v="6"/>
    <x v="7"/>
    <s v="Accrual"/>
    <x v="9"/>
    <x v="0"/>
    <s v="Taqadm Albasrah"/>
    <s v="Light equipment rental"/>
    <x v="160"/>
    <s v="N/A"/>
    <s v="N/A"/>
    <s v="N/A"/>
    <s v="Jan"/>
    <n v="2026"/>
  </r>
  <r>
    <n v="177"/>
    <x v="6"/>
    <x v="27"/>
    <s v="Accrual"/>
    <x v="9"/>
    <x v="0"/>
    <s v="Taqadm Albasrah"/>
    <s v="Light equipment rental"/>
    <x v="161"/>
    <s v="N/A"/>
    <s v="N/A"/>
    <s v="N/A"/>
    <s v="Jan"/>
    <n v="2026"/>
  </r>
  <r>
    <n v="178"/>
    <x v="4"/>
    <x v="4"/>
    <s v="Actual"/>
    <x v="9"/>
    <x v="0"/>
    <s v="Alaq Al Abraj Co."/>
    <s v="Heavy  equipment rental"/>
    <x v="162"/>
    <s v="IGCC-012026-1"/>
    <d v="2026-01-18T00:00:00"/>
    <s v="N/A"/>
    <s v="Jan"/>
    <n v="2026"/>
  </r>
  <r>
    <n v="179"/>
    <x v="4"/>
    <x v="4"/>
    <s v="Actual"/>
    <x v="9"/>
    <x v="0"/>
    <s v="Alaq Al Abraj Co."/>
    <s v="Heavy  equipment rental"/>
    <x v="163"/>
    <s v="IGCC-012026-2"/>
    <d v="2026-01-18T00:00:00"/>
    <s v="N/A"/>
    <s v="Jan"/>
    <n v="2026"/>
  </r>
  <r>
    <n v="180"/>
    <x v="6"/>
    <x v="6"/>
    <s v="Actual"/>
    <x v="10"/>
    <x v="0"/>
    <s v="Abdullah Gallery"/>
    <s v="Materials/Safety"/>
    <x v="164"/>
    <s v="0988"/>
    <d v="2025-12-30T00:00:00"/>
    <n v="2026400028"/>
    <s v="Jan"/>
    <n v="2026"/>
  </r>
  <r>
    <n v="181"/>
    <x v="7"/>
    <x v="17"/>
    <s v="Actual"/>
    <x v="10"/>
    <x v="0"/>
    <s v="Abdullah Gallery"/>
    <s v="Materials/Safety"/>
    <x v="8"/>
    <s v="0978"/>
    <d v="2025-12-29T00:00:00"/>
    <n v="2026400217"/>
    <s v="Jan"/>
    <n v="2026"/>
  </r>
  <r>
    <n v="182"/>
    <x v="1"/>
    <x v="1"/>
    <s v="Actual"/>
    <x v="10"/>
    <x v="0"/>
    <s v="ABU SERMAD GALLERY"/>
    <s v="Materials"/>
    <x v="165"/>
    <s v="0066"/>
    <d v="2026-01-25T00:00:00"/>
    <n v="2026400366"/>
    <s v="Jan"/>
    <n v="2026"/>
  </r>
  <r>
    <n v="183"/>
    <x v="10"/>
    <x v="15"/>
    <s v="Actual"/>
    <x v="10"/>
    <x v="0"/>
    <s v="Advance Welding Solutions Co"/>
    <s v="Materials/wires"/>
    <x v="166"/>
    <s v="03170"/>
    <d v="2026-01-20T00:00:00"/>
    <n v="2026400263"/>
    <s v="Jan"/>
    <n v="2026"/>
  </r>
  <r>
    <n v="184"/>
    <x v="1"/>
    <x v="1"/>
    <s v="Actual"/>
    <x v="10"/>
    <x v="0"/>
    <s v="AIHATH AL MUSTAQBAL COMPANY"/>
    <s v="Materials"/>
    <x v="16"/>
    <s v="1468"/>
    <d v="2026-01-25T00:00:00"/>
    <n v="2026400365"/>
    <s v="Jan"/>
    <n v="2026"/>
  </r>
  <r>
    <n v="185"/>
    <x v="7"/>
    <x v="22"/>
    <s v="Actual"/>
    <x v="10"/>
    <x v="0"/>
    <s v="AL AZIL AL EMIRATI"/>
    <s v="Materials"/>
    <x v="167"/>
    <s v="8724"/>
    <d v="2026-01-12T00:00:00"/>
    <n v="2026400016"/>
    <s v="Jan"/>
    <n v="2026"/>
  </r>
  <r>
    <n v="186"/>
    <x v="1"/>
    <x v="1"/>
    <s v="Actual"/>
    <x v="10"/>
    <x v="0"/>
    <s v="AL BADR OFFICE"/>
    <s v="Materials"/>
    <x v="168"/>
    <s v="94-5567"/>
    <d v="2026-01-25T00:00:00"/>
    <n v="2026400367"/>
    <s v="Jan"/>
    <n v="2026"/>
  </r>
  <r>
    <n v="187"/>
    <x v="10"/>
    <x v="15"/>
    <s v="Actual"/>
    <x v="10"/>
    <x v="0"/>
    <s v="AL FATEEM CO"/>
    <s v="Materials"/>
    <x v="169"/>
    <s v="002273"/>
    <d v="2026-01-10T00:00:00"/>
    <n v="2026400243"/>
    <s v="Jan"/>
    <n v="2026"/>
  </r>
  <r>
    <n v="188"/>
    <x v="10"/>
    <x v="15"/>
    <s v="Actual"/>
    <x v="10"/>
    <x v="0"/>
    <s v="AL FATEEM CO"/>
    <s v="Materials"/>
    <x v="170"/>
    <s v="002274"/>
    <d v="2026-01-10T00:00:00"/>
    <n v="2026400243"/>
    <s v="Jan"/>
    <n v="2026"/>
  </r>
  <r>
    <n v="189"/>
    <x v="9"/>
    <x v="24"/>
    <s v="Actual"/>
    <x v="10"/>
    <x v="0"/>
    <s v="Al Ghasak Office"/>
    <s v="Materials"/>
    <x v="171"/>
    <s v="GH-2026-088622"/>
    <d v="2026-01-20T00:00:00"/>
    <n v="2026400291"/>
    <s v="Jan"/>
    <n v="2026"/>
  </r>
  <r>
    <n v="190"/>
    <x v="6"/>
    <x v="6"/>
    <s v="Actual"/>
    <x v="10"/>
    <x v="0"/>
    <s v="AL JUTHOOR WORKSHOP"/>
    <s v="Materials"/>
    <x v="172"/>
    <s v="000675"/>
    <d v="2026-01-07T00:00:00"/>
    <n v="2026400084"/>
    <s v="Jan"/>
    <n v="2026"/>
  </r>
  <r>
    <n v="191"/>
    <x v="6"/>
    <x v="6"/>
    <s v="Actual"/>
    <x v="10"/>
    <x v="0"/>
    <s v="AL JUTHOOR WORKSHOP"/>
    <s v="Materials"/>
    <x v="23"/>
    <s v="000669"/>
    <d v="2026-01-07T00:00:00"/>
    <n v="2026400113"/>
    <s v="Jan"/>
    <n v="2026"/>
  </r>
  <r>
    <n v="192"/>
    <x v="6"/>
    <x v="33"/>
    <s v="Actual"/>
    <x v="10"/>
    <x v="0"/>
    <s v="Al Miayar Inspection service and rtaining"/>
    <s v="Materials"/>
    <x v="173"/>
    <s v="2670"/>
    <d v="2026-01-31T00:00:00"/>
    <n v="2026400110"/>
    <s v="Jan"/>
    <n v="2026"/>
  </r>
  <r>
    <n v="193"/>
    <x v="6"/>
    <x v="7"/>
    <s v="Actual"/>
    <x v="10"/>
    <x v="0"/>
    <s v="AL MUSTAFA INDUSTRIAL IRON TRADING"/>
    <s v="Materials/Iron"/>
    <x v="174"/>
    <s v="446"/>
    <d v="2026-12-28T00:00:00"/>
    <n v="2025404777"/>
    <s v="Jan"/>
    <n v="2026"/>
  </r>
  <r>
    <n v="194"/>
    <x v="6"/>
    <x v="7"/>
    <s v="Actual"/>
    <x v="10"/>
    <x v="0"/>
    <s v="AL MUSTAFA INDUSTRIAL IRON TRADING"/>
    <s v="Materials/Iron"/>
    <x v="175"/>
    <s v="464"/>
    <d v="2026-01-04T00:00:00"/>
    <n v="2025404861"/>
    <s v="Jan"/>
    <n v="2026"/>
  </r>
  <r>
    <n v="195"/>
    <x v="7"/>
    <x v="22"/>
    <s v="Actual"/>
    <x v="10"/>
    <x v="0"/>
    <s v="AL MUSTAFA INDUSTRIAL IRON TRADING"/>
    <s v="Materials/Iron"/>
    <x v="176"/>
    <s v="454"/>
    <d v="2026-01-05T00:00:00"/>
    <n v="2025404800"/>
    <s v="Jan"/>
    <n v="2026"/>
  </r>
  <r>
    <n v="196"/>
    <x v="4"/>
    <x v="4"/>
    <s v="Actual"/>
    <x v="10"/>
    <x v="0"/>
    <s v="AL MUSTAFA INDUSTRIAL IRON TRADING"/>
    <s v="Materials/Iron"/>
    <x v="177"/>
    <s v="456"/>
    <d v="2026-01-05T00:00:00"/>
    <n v="2025404836"/>
    <s v="Jan"/>
    <n v="2026"/>
  </r>
  <r>
    <n v="197"/>
    <x v="4"/>
    <x v="4"/>
    <s v="Actual"/>
    <x v="10"/>
    <x v="0"/>
    <s v="AL MUSTAFA INDUSTRIAL IRON TRADING"/>
    <s v="Materials/Iron"/>
    <x v="178"/>
    <s v="458"/>
    <d v="2026-01-05T00:00:00"/>
    <n v="2025404833"/>
    <s v="Jan"/>
    <n v="2026"/>
  </r>
  <r>
    <n v="198"/>
    <x v="4"/>
    <x v="4"/>
    <s v="Actual"/>
    <x v="10"/>
    <x v="0"/>
    <s v="AL MUSTAFA INDUSTRIAL IRON TRADING"/>
    <s v="Materials/Iron"/>
    <x v="179"/>
    <s v="460"/>
    <d v="2026-01-05T00:00:00"/>
    <n v="2025404831"/>
    <s v="Jan"/>
    <n v="2026"/>
  </r>
  <r>
    <n v="199"/>
    <x v="4"/>
    <x v="4"/>
    <s v="Actual"/>
    <x v="10"/>
    <x v="0"/>
    <s v="AL MUSTAFA INDUSTRIAL IRON TRADING"/>
    <s v="Materials/Iron"/>
    <x v="180"/>
    <s v="434"/>
    <d v="2026-01-07T00:00:00"/>
    <n v="2025404294"/>
    <s v="Jan"/>
    <n v="2026"/>
  </r>
  <r>
    <n v="200"/>
    <x v="4"/>
    <x v="4"/>
    <s v="Actual"/>
    <x v="10"/>
    <x v="0"/>
    <s v="AL MUSTAFA INDUSTRIAL IRON TRADING"/>
    <s v="Materials/Iron"/>
    <x v="181"/>
    <s v="470"/>
    <d v="2026-01-08T00:00:00"/>
    <n v="2025404936"/>
    <s v="Jan"/>
    <n v="2026"/>
  </r>
  <r>
    <n v="201"/>
    <x v="7"/>
    <x v="28"/>
    <s v="Actual"/>
    <x v="10"/>
    <x v="0"/>
    <s v="AL MUSTAFA INDUSTRIAL IRON TRADING"/>
    <s v="Materials/Iron"/>
    <x v="182"/>
    <s v="430"/>
    <d v="2026-01-11T00:00:00"/>
    <n v="2025404552"/>
    <s v="Jan"/>
    <n v="2026"/>
  </r>
  <r>
    <n v="202"/>
    <x v="6"/>
    <x v="7"/>
    <s v="Actual"/>
    <x v="10"/>
    <x v="0"/>
    <s v="AL MUSTAFA INDUSTRIAL IRON TRADING"/>
    <s v="Materials/Iron"/>
    <x v="183"/>
    <s v="472"/>
    <d v="2026-01-08T00:00:00"/>
    <n v="2025404934"/>
    <s v="Jan"/>
    <n v="2026"/>
  </r>
  <r>
    <n v="203"/>
    <x v="7"/>
    <x v="19"/>
    <s v="Actual"/>
    <x v="10"/>
    <x v="0"/>
    <s v="AL MUSTAFA INDUSTRIAL IRON TRADING"/>
    <s v="Materials/Iron"/>
    <x v="184"/>
    <s v="486"/>
    <d v="2026-01-24T00:00:00"/>
    <n v="2026400262"/>
    <s v="Jan"/>
    <n v="2026"/>
  </r>
  <r>
    <n v="204"/>
    <x v="7"/>
    <x v="21"/>
    <s v="Actual"/>
    <x v="10"/>
    <x v="0"/>
    <s v="AL MUSTAFA INDUSTRIAL IRON TRADING"/>
    <s v="Materials/Iron"/>
    <x v="185"/>
    <s v="480"/>
    <d v="2026-01-19T00:00:00"/>
    <n v="2026400205"/>
    <s v="Jan"/>
    <n v="2026"/>
  </r>
  <r>
    <n v="205"/>
    <x v="6"/>
    <x v="6"/>
    <s v="Actual"/>
    <x v="10"/>
    <x v="0"/>
    <s v="Al Narges Company for Pipes"/>
    <s v="Materials/PIPES"/>
    <x v="186"/>
    <s v="9793"/>
    <d v="2026-01-20T00:00:00"/>
    <n v="2025404913"/>
    <s v="Jan"/>
    <n v="2026"/>
  </r>
  <r>
    <n v="206"/>
    <x v="0"/>
    <x v="0"/>
    <s v="Actual"/>
    <x v="10"/>
    <x v="0"/>
    <s v="Al Seraj printing &amp; adversting Co"/>
    <s v="Materials"/>
    <x v="183"/>
    <s v="00053"/>
    <d v="2026-01-04T00:00:00"/>
    <n v="2026400322"/>
    <s v="Jan"/>
    <n v="2026"/>
  </r>
  <r>
    <n v="207"/>
    <x v="6"/>
    <x v="6"/>
    <s v="Actual"/>
    <x v="10"/>
    <x v="0"/>
    <s v="Al-Ghadeer Print"/>
    <s v="Materials"/>
    <x v="187"/>
    <s v="0392"/>
    <d v="2025-12-27T00:00:00"/>
    <n v="2026400011"/>
    <s v="Jan"/>
    <n v="2026"/>
  </r>
  <r>
    <n v="208"/>
    <x v="9"/>
    <x v="18"/>
    <s v="Actual"/>
    <x v="10"/>
    <x v="0"/>
    <s v="Al-Ghadeer Print"/>
    <s v="Materials"/>
    <x v="188"/>
    <s v="0203"/>
    <d v="2026-01-13T00:00:00"/>
    <n v="2026400130"/>
    <s v="Jan"/>
    <n v="2026"/>
  </r>
  <r>
    <n v="209"/>
    <x v="7"/>
    <x v="19"/>
    <s v="Actual"/>
    <x v="10"/>
    <x v="0"/>
    <s v="Al-Ghadeer Print"/>
    <s v="Materials"/>
    <x v="189"/>
    <s v="0202"/>
    <d v="2026-01-13T00:00:00"/>
    <n v="2026400129"/>
    <s v="Jan"/>
    <n v="2026"/>
  </r>
  <r>
    <n v="210"/>
    <x v="7"/>
    <x v="17"/>
    <s v="Actual"/>
    <x v="10"/>
    <x v="0"/>
    <s v="Al-Ghadeer Print"/>
    <s v="Materials"/>
    <x v="169"/>
    <s v="0395"/>
    <d v="2025-12-29T00:00:00"/>
    <n v="2025404837"/>
    <s v="Jan"/>
    <n v="2026"/>
  </r>
  <r>
    <n v="211"/>
    <x v="7"/>
    <x v="22"/>
    <s v="Actual"/>
    <x v="10"/>
    <x v="0"/>
    <s v="Al-Ghadeer Print"/>
    <s v="Materials"/>
    <x v="190"/>
    <s v="0205"/>
    <d v="2026-01-13T00:00:00"/>
    <n v="2026400132"/>
    <s v="Jan"/>
    <n v="2026"/>
  </r>
  <r>
    <n v="212"/>
    <x v="7"/>
    <x v="22"/>
    <s v="Actual"/>
    <x v="10"/>
    <x v="0"/>
    <s v="Al-Ghadeer Print"/>
    <s v="Materials"/>
    <x v="191"/>
    <s v="0400"/>
    <d v="2026-01-11T00:00:00"/>
    <n v="2026400100"/>
    <s v="Jan"/>
    <n v="2026"/>
  </r>
  <r>
    <n v="213"/>
    <x v="7"/>
    <x v="28"/>
    <s v="Actual"/>
    <x v="10"/>
    <x v="0"/>
    <s v="Al-Ghadeer Print"/>
    <s v="Materials"/>
    <x v="192"/>
    <s v="0201"/>
    <d v="2026-01-13T00:00:00"/>
    <n v="2026400128"/>
    <s v="Jan"/>
    <n v="2026"/>
  </r>
  <r>
    <n v="214"/>
    <x v="9"/>
    <x v="34"/>
    <s v="Actual"/>
    <x v="10"/>
    <x v="0"/>
    <s v="Al-Ghadeer Print"/>
    <s v="Materials"/>
    <x v="193"/>
    <s v="0216"/>
    <d v="2026-01-11T00:00:00"/>
    <n v="2026400387"/>
    <s v="Jan"/>
    <n v="2026"/>
  </r>
  <r>
    <n v="215"/>
    <x v="6"/>
    <x v="6"/>
    <s v="Actual"/>
    <x v="10"/>
    <x v="0"/>
    <s v="Al-Ghader Gallary"/>
    <s v="Materials"/>
    <x v="194"/>
    <s v="7044"/>
    <d v="2026-01-12T00:00:00"/>
    <n v="2026400293"/>
    <s v="Jan"/>
    <n v="2026"/>
  </r>
  <r>
    <n v="216"/>
    <x v="10"/>
    <x v="15"/>
    <s v="Actual"/>
    <x v="10"/>
    <x v="0"/>
    <s v="Al-Janaeen Al-Mualaka for Water"/>
    <s v="Materials/Water"/>
    <x v="195"/>
    <s v="3264"/>
    <d v="2025-12-30T00:00:00"/>
    <n v="2025404847"/>
    <s v="Jan"/>
    <n v="2026"/>
  </r>
  <r>
    <n v="217"/>
    <x v="4"/>
    <x v="4"/>
    <s v="Actual"/>
    <x v="10"/>
    <x v="0"/>
    <s v="Al-Janaeen Al-Mualaka for Water"/>
    <s v="Materials/Water"/>
    <x v="195"/>
    <s v="3278"/>
    <d v="2026-01-03T00:00:00"/>
    <n v="2025404796"/>
    <s v="Jan"/>
    <n v="2026"/>
  </r>
  <r>
    <n v="218"/>
    <x v="6"/>
    <x v="7"/>
    <s v="Actual"/>
    <x v="10"/>
    <x v="0"/>
    <s v="Al-Janaeen Al-Mualaka for Water"/>
    <s v="Materials/Water"/>
    <x v="196"/>
    <s v="3269"/>
    <d v="2025-12-31T00:00:00"/>
    <n v="2025404918"/>
    <s v="Jan"/>
    <n v="2026"/>
  </r>
  <r>
    <n v="219"/>
    <x v="10"/>
    <x v="15"/>
    <s v="Actual"/>
    <x v="10"/>
    <x v="0"/>
    <s v="Al-Janaeen Al-Mualaka for Water"/>
    <s v="Materials/Water"/>
    <x v="195"/>
    <s v="3348"/>
    <d v="2026-01-12T00:00:00"/>
    <n v="2026400135"/>
    <s v="Jan"/>
    <n v="2026"/>
  </r>
  <r>
    <n v="220"/>
    <x v="6"/>
    <x v="13"/>
    <s v="Actual"/>
    <x v="10"/>
    <x v="0"/>
    <s v="Al-Janaeen Al-Mualaka for Water"/>
    <s v="Materials/Water"/>
    <x v="197"/>
    <s v="22874"/>
    <d v="2026-01-10T00:00:00"/>
    <n v="2026400184"/>
    <s v="Jan"/>
    <n v="2026"/>
  </r>
  <r>
    <n v="221"/>
    <x v="7"/>
    <x v="17"/>
    <s v="Actual"/>
    <x v="10"/>
    <x v="0"/>
    <s v="Al-Janaeen Al-Mualaka for Water"/>
    <s v="Materials/Water"/>
    <x v="196"/>
    <s v="3377"/>
    <d v="2026-01-18T00:00:00"/>
    <n v="2026400222"/>
    <s v="Jan"/>
    <n v="2026"/>
  </r>
  <r>
    <n v="222"/>
    <x v="4"/>
    <x v="4"/>
    <s v="Actual"/>
    <x v="10"/>
    <x v="0"/>
    <s v="Al-Janaeen Al-Mualaka for Water"/>
    <s v="Materials/Water"/>
    <x v="195"/>
    <s v="3414"/>
    <d v="2026-01-24T00:00:00"/>
    <n v="2026400273"/>
    <s v="Jan"/>
    <n v="2026"/>
  </r>
  <r>
    <n v="223"/>
    <x v="10"/>
    <x v="15"/>
    <s v="Actual"/>
    <x v="10"/>
    <x v="0"/>
    <s v="Al-Janaeen Al-Mualaka for Water"/>
    <s v="Materials/Water"/>
    <x v="198"/>
    <s v="3394"/>
    <d v="2026-01-20T00:00:00"/>
    <n v="2026400299"/>
    <s v="Jan"/>
    <n v="2026"/>
  </r>
  <r>
    <n v="224"/>
    <x v="7"/>
    <x v="17"/>
    <s v="Actual"/>
    <x v="10"/>
    <x v="0"/>
    <s v="Al-Jorani Factory"/>
    <s v="Materials/Water"/>
    <x v="199"/>
    <s v="976"/>
    <d v="2025-12-30T00:00:00"/>
    <n v="2026400063"/>
    <s v="Jan"/>
    <n v="2026"/>
  </r>
  <r>
    <n v="225"/>
    <x v="9"/>
    <x v="18"/>
    <s v="Actual"/>
    <x v="10"/>
    <x v="0"/>
    <s v="Al-Jorani Factory"/>
    <s v="Materials"/>
    <x v="175"/>
    <s v="981"/>
    <d v="2025-12-30T00:00:00"/>
    <n v="2026400066"/>
    <s v="Jan"/>
    <n v="2026"/>
  </r>
  <r>
    <n v="226"/>
    <x v="7"/>
    <x v="17"/>
    <s v="Actual"/>
    <x v="10"/>
    <x v="0"/>
    <s v="Al-Jorani Factory"/>
    <s v="Materials"/>
    <x v="200"/>
    <s v="#"/>
    <d v="2026-01-11T00:00:00"/>
    <n v="2026400101"/>
    <s v="Jan"/>
    <n v="2026"/>
  </r>
  <r>
    <n v="227"/>
    <x v="6"/>
    <x v="6"/>
    <s v="Actual"/>
    <x v="10"/>
    <x v="0"/>
    <s v="Al-Karar Gallery for Wood &amp; MDF"/>
    <s v="Materials/Wood"/>
    <x v="201"/>
    <s v="0848"/>
    <d v="2026-01-15T00:00:00"/>
    <n v="2026400193"/>
    <s v="Jan"/>
    <n v="2026"/>
  </r>
  <r>
    <n v="228"/>
    <x v="7"/>
    <x v="22"/>
    <s v="Actual"/>
    <x v="10"/>
    <x v="0"/>
    <s v="Al-Karar Gallery for Wood &amp; MDF"/>
    <s v="Materials/Wood"/>
    <x v="202"/>
    <s v="0849"/>
    <d v="2026-01-15T00:00:00"/>
    <n v="2026400195"/>
    <s v="Jan"/>
    <n v="2026"/>
  </r>
  <r>
    <n v="229"/>
    <x v="7"/>
    <x v="22"/>
    <s v="Actual"/>
    <x v="10"/>
    <x v="0"/>
    <s v="Al-Karar Gallery for Wood &amp; MDF"/>
    <s v="Materials/Wood"/>
    <x v="203"/>
    <s v="0470"/>
    <d v="2026-01-17T00:00:00"/>
    <n v="2026400200"/>
    <s v="Jan"/>
    <n v="2026"/>
  </r>
  <r>
    <n v="230"/>
    <x v="7"/>
    <x v="19"/>
    <s v="Actual"/>
    <x v="10"/>
    <x v="0"/>
    <s v="AlMinnen Co. Trading &amp; General Contracting LTD."/>
    <s v="Materials"/>
    <x v="204"/>
    <s v="10"/>
    <d v="2026-01-14T00:00:00"/>
    <n v="2026400085"/>
    <s v="Jan"/>
    <n v="2026"/>
  </r>
  <r>
    <n v="231"/>
    <x v="4"/>
    <x v="4"/>
    <s v="Actual"/>
    <x v="10"/>
    <x v="0"/>
    <s v="ALSAFWA"/>
    <s v="Materials"/>
    <x v="205"/>
    <s v="00227"/>
    <d v="2026-01-17T00:00:00"/>
    <n v="2026400335"/>
    <s v="Jan"/>
    <n v="2026"/>
  </r>
  <r>
    <n v="232"/>
    <x v="7"/>
    <x v="22"/>
    <s v="Actual"/>
    <x v="10"/>
    <x v="0"/>
    <s v="AL-Wajeeh Company"/>
    <s v="Materials/Iron"/>
    <x v="206"/>
    <s v="17510"/>
    <d v="2026-01-24T00:00:00"/>
    <n v="2026400259"/>
    <s v="Jan"/>
    <n v="2026"/>
  </r>
  <r>
    <n v="233"/>
    <x v="10"/>
    <x v="35"/>
    <s v="Actual"/>
    <x v="10"/>
    <x v="0"/>
    <s v="AL-Wajeeh Company"/>
    <s v="Materials"/>
    <x v="207"/>
    <s v="17488"/>
    <d v="2026-01-17T00:00:00"/>
    <n v="2026400086"/>
    <s v="Jan"/>
    <n v="2026"/>
  </r>
  <r>
    <n v="234"/>
    <x v="6"/>
    <x v="7"/>
    <s v="Actual"/>
    <x v="10"/>
    <x v="0"/>
    <s v="Anwar Al Zubear Factory"/>
    <s v="Materials/Caravan"/>
    <x v="208"/>
    <s v="invo5-387"/>
    <d v="2026-01-19T00:00:00"/>
    <n v="2026400164"/>
    <s v="Jan"/>
    <n v="2026"/>
  </r>
  <r>
    <n v="235"/>
    <x v="7"/>
    <x v="17"/>
    <s v="Actual"/>
    <x v="10"/>
    <x v="0"/>
    <s v="BLUE LINE"/>
    <s v="Materials"/>
    <x v="209"/>
    <s v="6722"/>
    <d v="2026-01-10T00:00:00"/>
    <n v="2026400232"/>
    <s v="Jan"/>
    <n v="2026"/>
  </r>
  <r>
    <n v="236"/>
    <x v="6"/>
    <x v="25"/>
    <s v="Actual"/>
    <x v="10"/>
    <x v="0"/>
    <s v="BLUE LINE"/>
    <s v="Materials"/>
    <x v="210"/>
    <s v="6720"/>
    <d v="2026-01-07T00:00:00"/>
    <n v="2026400234"/>
    <s v="Jan"/>
    <n v="2026"/>
  </r>
  <r>
    <n v="237"/>
    <x v="7"/>
    <x v="22"/>
    <s v="Actual"/>
    <x v="10"/>
    <x v="0"/>
    <s v="BLUE LINE"/>
    <s v="Materials"/>
    <x v="211"/>
    <s v="6705"/>
    <d v="2026-01-27T00:00:00"/>
    <n v="2026400034"/>
    <s v="Jan"/>
    <n v="2026"/>
  </r>
  <r>
    <n v="238"/>
    <x v="4"/>
    <x v="4"/>
    <s v="Actual"/>
    <x v="10"/>
    <x v="0"/>
    <s v="BLUE LINE"/>
    <s v="Materials"/>
    <x v="212"/>
    <s v="6739"/>
    <d v="2026-01-27T00:00:00"/>
    <n v="2026400233"/>
    <s v="Jan"/>
    <n v="2026"/>
  </r>
  <r>
    <n v="239"/>
    <x v="6"/>
    <x v="25"/>
    <s v="Actual"/>
    <x v="10"/>
    <x v="0"/>
    <s v="BLUE LINE"/>
    <s v="Materials"/>
    <x v="213"/>
    <s v="6721"/>
    <d v="2026-01-07T00:00:00"/>
    <n v="2026400237"/>
    <s v="Jan"/>
    <n v="2026"/>
  </r>
  <r>
    <n v="240"/>
    <x v="7"/>
    <x v="17"/>
    <s v="Actual"/>
    <x v="10"/>
    <x v="0"/>
    <s v="BLUE LINE"/>
    <s v="Materials"/>
    <x v="214"/>
    <s v="6748"/>
    <d v="2026-01-09T00:00:00"/>
    <n v="2026400283"/>
    <s v="Jan"/>
    <n v="2026"/>
  </r>
  <r>
    <n v="241"/>
    <x v="7"/>
    <x v="21"/>
    <s v="Actual"/>
    <x v="10"/>
    <x v="0"/>
    <s v="BLUE LINE"/>
    <s v="Materials"/>
    <x v="215"/>
    <s v="6745"/>
    <d v="2026-01-07T00:00:00"/>
    <n v="2026400284"/>
    <s v="Jan"/>
    <n v="2026"/>
  </r>
  <r>
    <n v="242"/>
    <x v="7"/>
    <x v="19"/>
    <s v="Actual"/>
    <x v="10"/>
    <x v="0"/>
    <s v="BLUE LINE"/>
    <s v="Materials"/>
    <x v="216"/>
    <s v="6740"/>
    <d v="2026-01-01T00:00:00"/>
    <n v="2026400285"/>
    <s v="Jan"/>
    <n v="2026"/>
  </r>
  <r>
    <n v="243"/>
    <x v="6"/>
    <x v="7"/>
    <s v="Actual"/>
    <x v="10"/>
    <x v="0"/>
    <s v="BLUE LINE"/>
    <s v="Materials"/>
    <x v="217"/>
    <s v="6738"/>
    <d v="2026-01-09T00:00:00"/>
    <n v="2026400286"/>
    <s v="Jan"/>
    <n v="2026"/>
  </r>
  <r>
    <n v="244"/>
    <x v="4"/>
    <x v="4"/>
    <s v="Actual"/>
    <x v="10"/>
    <x v="0"/>
    <s v="BLUE LINE"/>
    <s v="Materials"/>
    <x v="218"/>
    <s v="6737"/>
    <d v="2026-01-01T00:00:00"/>
    <n v="2026400287"/>
    <s v="Jan"/>
    <n v="2026"/>
  </r>
  <r>
    <n v="245"/>
    <x v="9"/>
    <x v="24"/>
    <s v="Actual"/>
    <x v="10"/>
    <x v="0"/>
    <s v="BLUE LINE"/>
    <s v="Materials"/>
    <x v="219"/>
    <s v="6744"/>
    <d v="2026-01-09T00:00:00"/>
    <n v="2026400311"/>
    <s v="Jan"/>
    <n v="2026"/>
  </r>
  <r>
    <n v="246"/>
    <x v="10"/>
    <x v="35"/>
    <s v="Actual"/>
    <x v="10"/>
    <x v="0"/>
    <s v="BLUE LINE"/>
    <s v="Materials"/>
    <x v="220"/>
    <s v="6725"/>
    <d v="2026-01-07T00:00:00"/>
    <n v="2026400323"/>
    <s v="Jan"/>
    <n v="2026"/>
  </r>
  <r>
    <n v="247"/>
    <x v="4"/>
    <x v="4"/>
    <s v="Actual"/>
    <x v="10"/>
    <x v="0"/>
    <s v="BLUE LINE"/>
    <s v="Materials"/>
    <x v="221"/>
    <s v="6728"/>
    <d v="2026-01-07T00:00:00"/>
    <n v="2026400325"/>
    <s v="Jan"/>
    <n v="2026"/>
  </r>
  <r>
    <n v="248"/>
    <x v="7"/>
    <x v="21"/>
    <s v="Actual"/>
    <x v="10"/>
    <x v="0"/>
    <s v="BLUE LINE"/>
    <s v="Materials"/>
    <x v="222"/>
    <s v="6732"/>
    <d v="2026-01-01T00:00:00"/>
    <n v="2026400330"/>
    <s v="Jan"/>
    <n v="2026"/>
  </r>
  <r>
    <n v="249"/>
    <x v="4"/>
    <x v="4"/>
    <s v="Actual"/>
    <x v="10"/>
    <x v="0"/>
    <s v="BLUE LINE"/>
    <s v="Materials"/>
    <x v="223"/>
    <s v="6734"/>
    <d v="2026-01-07T00:00:00"/>
    <n v="2026400332"/>
    <s v="Jan"/>
    <n v="2026"/>
  </r>
  <r>
    <n v="250"/>
    <x v="4"/>
    <x v="4"/>
    <s v="Actual"/>
    <x v="10"/>
    <x v="0"/>
    <s v="BLUE LINE"/>
    <s v="Materials"/>
    <x v="224"/>
    <s v="6736"/>
    <d v="2026-01-07T00:00:00"/>
    <n v="2026400333"/>
    <s v="Jan"/>
    <n v="2026"/>
  </r>
  <r>
    <n v="251"/>
    <x v="4"/>
    <x v="4"/>
    <s v="Actual"/>
    <x v="10"/>
    <x v="0"/>
    <s v="BLUE LINE"/>
    <s v="Materials"/>
    <x v="225"/>
    <s v="6735"/>
    <d v="2026-01-07T00:00:00"/>
    <n v="2026400334"/>
    <s v="Jan"/>
    <n v="2026"/>
  </r>
  <r>
    <n v="252"/>
    <x v="6"/>
    <x v="6"/>
    <s v="Actual"/>
    <x v="10"/>
    <x v="0"/>
    <s v="BLUE LINE"/>
    <s v="Materials"/>
    <x v="226"/>
    <s v="6742"/>
    <d v="2026-01-09T00:00:00"/>
    <n v="2026400356"/>
    <s v="Jan"/>
    <n v="2026"/>
  </r>
  <r>
    <n v="253"/>
    <x v="6"/>
    <x v="25"/>
    <s v="Actual"/>
    <x v="10"/>
    <x v="0"/>
    <s v="BLUE LINE"/>
    <s v="Materials"/>
    <x v="227"/>
    <s v="6698"/>
    <d v="2026-01-09T00:00:00"/>
    <n v="2026400357"/>
    <s v="Jan"/>
    <n v="2026"/>
  </r>
  <r>
    <n v="254"/>
    <x v="7"/>
    <x v="17"/>
    <s v="Actual"/>
    <x v="10"/>
    <x v="0"/>
    <s v="BLUE LINE"/>
    <s v="Materials"/>
    <x v="228"/>
    <s v="6708"/>
    <d v="2026-01-09T00:00:00"/>
    <n v="2026400294"/>
    <s v="Jan"/>
    <n v="2026"/>
  </r>
  <r>
    <n v="255"/>
    <x v="7"/>
    <x v="17"/>
    <s v="Actual"/>
    <x v="10"/>
    <x v="0"/>
    <s v="BLUE LINE"/>
    <s v="Materials"/>
    <x v="229"/>
    <s v="6751"/>
    <d v="2026-01-09T00:00:00"/>
    <n v="2026400326"/>
    <s v="Jan"/>
    <n v="2026"/>
  </r>
  <r>
    <n v="256"/>
    <x v="7"/>
    <x v="17"/>
    <s v="Actual"/>
    <x v="10"/>
    <x v="0"/>
    <s v="BLUE LINE"/>
    <s v="Materials"/>
    <x v="230"/>
    <s v="6753"/>
    <d v="2026-01-09T00:00:00"/>
    <n v="2026400327"/>
    <s v="Jan"/>
    <n v="2026"/>
  </r>
  <r>
    <n v="257"/>
    <x v="7"/>
    <x v="17"/>
    <s v="Actual"/>
    <x v="10"/>
    <x v="0"/>
    <s v="BLUE LINE"/>
    <s v="Materials"/>
    <x v="231"/>
    <s v="6752"/>
    <d v="2026-01-09T00:00:00"/>
    <n v="2026400328"/>
    <s v="Jan"/>
    <n v="2026"/>
  </r>
  <r>
    <n v="258"/>
    <x v="7"/>
    <x v="22"/>
    <s v="Actual"/>
    <x v="10"/>
    <x v="0"/>
    <s v="DCP IRAQ"/>
    <s v="Materials"/>
    <x v="232"/>
    <s v="#"/>
    <d v="2026-01-13T00:00:00"/>
    <n v="2026400020"/>
    <s v="Jan"/>
    <n v="2026"/>
  </r>
  <r>
    <n v="259"/>
    <x v="6"/>
    <x v="6"/>
    <s v="Actual"/>
    <x v="10"/>
    <x v="0"/>
    <s v="EPT LLC (SIKA)"/>
    <s v="Materials"/>
    <x v="233"/>
    <s v="155"/>
    <d v="2025-12-30T00:00:00"/>
    <n v="2026400029"/>
    <s v="Jan"/>
    <n v="2026"/>
  </r>
  <r>
    <n v="260"/>
    <x v="4"/>
    <x v="4"/>
    <s v="Actual"/>
    <x v="10"/>
    <x v="0"/>
    <s v="EPT LLC (SIKA)"/>
    <s v="Materials"/>
    <x v="234"/>
    <s v="Invoice INV/2026/00140"/>
    <d v="2026-01-15T00:00:00"/>
    <n v="2026400018"/>
    <s v="Jan"/>
    <n v="2026"/>
  </r>
  <r>
    <n v="261"/>
    <x v="7"/>
    <x v="17"/>
    <s v="Actual"/>
    <x v="10"/>
    <x v="0"/>
    <s v="EPT LLC (SIKA)"/>
    <s v="Materials"/>
    <x v="235"/>
    <s v="#"/>
    <d v="2026-01-11T00:00:00"/>
    <n v="2026400111"/>
    <s v="Jan"/>
    <n v="2026"/>
  </r>
  <r>
    <n v="262"/>
    <x v="6"/>
    <x v="6"/>
    <s v="Actual"/>
    <x v="10"/>
    <x v="0"/>
    <s v="Exibitition Engineering Control"/>
    <s v="Materials"/>
    <x v="236"/>
    <s v="01141"/>
    <d v="2026-01-12T00:00:00"/>
    <n v="2026400144"/>
    <s v="Jan"/>
    <n v="2026"/>
  </r>
  <r>
    <n v="263"/>
    <x v="4"/>
    <x v="4"/>
    <s v="Actual"/>
    <x v="10"/>
    <x v="0"/>
    <s v="Fasco LLC FZ"/>
    <s v="Materials"/>
    <x v="237"/>
    <s v="2026000003"/>
    <d v="2026-01-13T00:00:00"/>
    <n v="2026400213"/>
    <s v="Jan"/>
    <n v="2026"/>
  </r>
  <r>
    <n v="264"/>
    <x v="7"/>
    <x v="17"/>
    <s v="Actual"/>
    <x v="10"/>
    <x v="0"/>
    <s v="GULF PEARL GROUP"/>
    <s v="Materials/Paint"/>
    <x v="238"/>
    <s v="28132026"/>
    <d v="2026-01-04T00:00:00"/>
    <n v="2025404088"/>
    <s v="Jan"/>
    <n v="2026"/>
  </r>
  <r>
    <n v="265"/>
    <x v="7"/>
    <x v="17"/>
    <s v="Actual"/>
    <x v="10"/>
    <x v="0"/>
    <s v="GULF PEARL GROUP"/>
    <s v="Materials/Paint"/>
    <x v="239"/>
    <s v="28112026"/>
    <d v="2026-01-04T00:00:00"/>
    <n v="2025404181"/>
    <s v="Jan"/>
    <n v="2026"/>
  </r>
  <r>
    <n v="266"/>
    <x v="10"/>
    <x v="15"/>
    <s v="Actual"/>
    <x v="10"/>
    <x v="0"/>
    <s v="GULF PEARL GROUP"/>
    <s v="Materials/Paint"/>
    <x v="240"/>
    <s v="28202026"/>
    <d v="2026-01-08T00:00:00"/>
    <n v="2025404856"/>
    <s v="Jan"/>
    <n v="2026"/>
  </r>
  <r>
    <n v="267"/>
    <x v="6"/>
    <x v="7"/>
    <s v="Actual"/>
    <x v="10"/>
    <x v="0"/>
    <s v="GULF PEARL GROUP"/>
    <s v="Materials/Paint"/>
    <x v="241"/>
    <s v="28242026"/>
    <d v="2026-01-14T00:00:00"/>
    <n v="2025404917"/>
    <s v="Jan"/>
    <n v="2026"/>
  </r>
  <r>
    <n v="268"/>
    <x v="7"/>
    <x v="26"/>
    <s v="Actual"/>
    <x v="10"/>
    <x v="0"/>
    <s v="GULF PEARL GROUP"/>
    <s v="Materials/Paint"/>
    <x v="242"/>
    <s v="28232026"/>
    <d v="2026-01-14T00:00:00"/>
    <n v="2025404162"/>
    <s v="Jan"/>
    <n v="2026"/>
  </r>
  <r>
    <n v="269"/>
    <x v="6"/>
    <x v="33"/>
    <s v="Actual"/>
    <x v="10"/>
    <x v="0"/>
    <s v="GULF PEARL GROUP"/>
    <s v="Materials/Paint"/>
    <x v="243"/>
    <s v="28342026"/>
    <d v="2026-01-15T00:00:00"/>
    <n v="2026400165"/>
    <s v="Jan"/>
    <n v="2026"/>
  </r>
  <r>
    <n v="270"/>
    <x v="4"/>
    <x v="4"/>
    <s v="Actual"/>
    <x v="10"/>
    <x v="0"/>
    <s v="GULF PEARL GROUP"/>
    <s v="Materials/Paint"/>
    <x v="66"/>
    <s v="28352026"/>
    <d v="2026-01-17T00:00:00"/>
    <n v="2025404941"/>
    <s v="Jan"/>
    <n v="2026"/>
  </r>
  <r>
    <n v="271"/>
    <x v="6"/>
    <x v="33"/>
    <s v="Actual"/>
    <x v="10"/>
    <x v="0"/>
    <s v="GULF PEARL GROUP"/>
    <s v="Materials/Paint"/>
    <x v="244"/>
    <s v="28222026"/>
    <d v="2026-01-10T00:00:00"/>
    <n v="2026400062"/>
    <s v="Jan"/>
    <n v="2026"/>
  </r>
  <r>
    <n v="272"/>
    <x v="7"/>
    <x v="21"/>
    <s v="Actual"/>
    <x v="10"/>
    <x v="0"/>
    <s v="GULF PEARL GROUP"/>
    <s v="Materials/Paint"/>
    <x v="245"/>
    <s v="28252026"/>
    <d v="2026-01-14T00:00:00"/>
    <n v="2026400005"/>
    <s v="Jan"/>
    <n v="2026"/>
  </r>
  <r>
    <n v="273"/>
    <x v="7"/>
    <x v="17"/>
    <s v="Actual"/>
    <x v="10"/>
    <x v="0"/>
    <s v="GULF PEARL GROUP"/>
    <s v="Materials/Paint"/>
    <x v="246"/>
    <s v="28372026"/>
    <d v="2026-01-20T00:00:00"/>
    <n v="2026400223"/>
    <s v="Jan"/>
    <n v="2026"/>
  </r>
  <r>
    <n v="274"/>
    <x v="4"/>
    <x v="4"/>
    <s v="Actual"/>
    <x v="10"/>
    <x v="0"/>
    <s v="Habib Hassan Shop"/>
    <s v="Materials"/>
    <x v="247"/>
    <s v="00104"/>
    <d v="2026-01-17T00:00:00"/>
    <n v="2026400379"/>
    <s v="Jan"/>
    <n v="2026"/>
  </r>
  <r>
    <n v="275"/>
    <x v="5"/>
    <x v="5"/>
    <s v="Actual"/>
    <x v="10"/>
    <x v="0"/>
    <s v="HLV Group"/>
    <s v="Materials"/>
    <x v="248"/>
    <s v="OS-1726"/>
    <d v="2026-01-05T00:00:00"/>
    <n v="2025404843"/>
    <s v="Jan"/>
    <n v="2026"/>
  </r>
  <r>
    <n v="276"/>
    <x v="10"/>
    <x v="35"/>
    <s v="Actual"/>
    <x v="10"/>
    <x v="0"/>
    <s v="Khan Alhadded Company"/>
    <s v="Materials/Iron"/>
    <x v="249"/>
    <s v="0979"/>
    <d v="2025-12-29T00:00:00"/>
    <n v="2025404842"/>
    <s v="Jan"/>
    <n v="2026"/>
  </r>
  <r>
    <n v="277"/>
    <x v="6"/>
    <x v="7"/>
    <s v="Actual"/>
    <x v="10"/>
    <x v="0"/>
    <s v="Khan Alhadded Company"/>
    <s v="Materials/Iron"/>
    <x v="250"/>
    <s v="0986"/>
    <d v="2026-01-06T00:00:00"/>
    <n v="2026400056"/>
    <s v="Jan"/>
    <n v="2026"/>
  </r>
  <r>
    <n v="278"/>
    <x v="6"/>
    <x v="7"/>
    <s v="Actual"/>
    <x v="10"/>
    <x v="0"/>
    <s v="Khan Alhadded Company"/>
    <s v="Materials/Iron"/>
    <x v="251"/>
    <s v="0983"/>
    <d v="2026-01-05T00:00:00"/>
    <n v="2026400054"/>
    <s v="Jan"/>
    <n v="2026"/>
  </r>
  <r>
    <n v="279"/>
    <x v="6"/>
    <x v="33"/>
    <s v="Actual"/>
    <x v="10"/>
    <x v="0"/>
    <s v="Khan Alhadded Company"/>
    <s v="Materials/Iron"/>
    <x v="252"/>
    <s v="0977"/>
    <d v="2025-12-29T00:00:00"/>
    <n v="2026400175"/>
    <s v="Jan"/>
    <n v="2026"/>
  </r>
  <r>
    <n v="280"/>
    <x v="7"/>
    <x v="22"/>
    <s v="Actual"/>
    <x v="10"/>
    <x v="0"/>
    <s v="Khan Alhadded Company"/>
    <s v="Materials/Iron"/>
    <x v="253"/>
    <s v="0994"/>
    <d v="2026-01-15T00:00:00"/>
    <n v="2026400203"/>
    <s v="Jan"/>
    <n v="2026"/>
  </r>
  <r>
    <n v="281"/>
    <x v="6"/>
    <x v="33"/>
    <s v="Actual"/>
    <x v="10"/>
    <x v="0"/>
    <s v="Khan Alhadded Company"/>
    <s v="Materials/Iron"/>
    <x v="254"/>
    <s v="1002"/>
    <d v="2026-01-17T00:00:00"/>
    <n v="2026400197"/>
    <s v="Jan"/>
    <n v="2026"/>
  </r>
  <r>
    <n v="282"/>
    <x v="7"/>
    <x v="28"/>
    <s v="Actual"/>
    <x v="10"/>
    <x v="0"/>
    <s v="Khan Alhadded Company"/>
    <s v="Materials/Iron"/>
    <x v="254"/>
    <s v="1002"/>
    <d v="2026-01-17T00:00:00"/>
    <s v="2026400204"/>
    <s v="Jan"/>
    <n v="2026"/>
  </r>
  <r>
    <n v="283"/>
    <x v="7"/>
    <x v="22"/>
    <s v="Actual"/>
    <x v="10"/>
    <x v="0"/>
    <s v="Khan Alhadded Company"/>
    <s v="Materials/Iron"/>
    <x v="255"/>
    <s v="1001"/>
    <d v="2026-01-17T00:00:00"/>
    <n v="2026400202"/>
    <s v="Jan"/>
    <n v="2026"/>
  </r>
  <r>
    <n v="284"/>
    <x v="9"/>
    <x v="18"/>
    <s v="Actual"/>
    <x v="10"/>
    <x v="0"/>
    <s v="Khan Alhadded Company"/>
    <s v="Materials/Iron"/>
    <x v="256"/>
    <s v="1000"/>
    <d v="2026-01-17T00:00:00"/>
    <n v="2026400196"/>
    <s v="Jan"/>
    <n v="2026"/>
  </r>
  <r>
    <n v="285"/>
    <x v="6"/>
    <x v="7"/>
    <s v="Actual"/>
    <x v="10"/>
    <x v="0"/>
    <s v="Khan Alhadded Company"/>
    <s v="Materials/Iron"/>
    <x v="257"/>
    <s v="1005"/>
    <d v="2026-01-20T00:00:00"/>
    <n v="2026400348"/>
    <s v="Jan"/>
    <n v="2026"/>
  </r>
  <r>
    <n v="286"/>
    <x v="7"/>
    <x v="21"/>
    <s v="Actual"/>
    <x v="10"/>
    <x v="0"/>
    <s v="Malak Alfarh"/>
    <s v="Materials"/>
    <x v="258"/>
    <s v="INV-IGCC-26-018"/>
    <d v="2026-01-11T00:00:00"/>
    <n v="2026400008"/>
    <s v="Jan"/>
    <n v="2026"/>
  </r>
  <r>
    <n v="287"/>
    <x v="7"/>
    <x v="26"/>
    <s v="Actual"/>
    <x v="10"/>
    <x v="0"/>
    <s v="Mayadeen Factory for kitchens &amp; furniture"/>
    <s v="Materials"/>
    <x v="259"/>
    <s v="00121"/>
    <d v="2026-01-22T00:00:00"/>
    <n v="2026400377"/>
    <s v="Jan"/>
    <n v="2026"/>
  </r>
  <r>
    <n v="288"/>
    <x v="10"/>
    <x v="35"/>
    <s v="Actual"/>
    <x v="10"/>
    <x v="0"/>
    <s v="Mohammed Abdulraheem Office"/>
    <s v="Materials"/>
    <x v="260"/>
    <s v="000247"/>
    <d v="2026-01-06T00:00:00"/>
    <n v="2025404322"/>
    <s v="Jan"/>
    <n v="2026"/>
  </r>
  <r>
    <n v="289"/>
    <x v="6"/>
    <x v="7"/>
    <s v="Actual"/>
    <x v="10"/>
    <x v="0"/>
    <s v="Mohammed Abdulraheem Office"/>
    <s v="Materials"/>
    <x v="261"/>
    <s v="000442"/>
    <d v="2026-01-22T00:00:00"/>
    <n v="2026400383"/>
    <s v="Jan"/>
    <n v="2026"/>
  </r>
  <r>
    <n v="290"/>
    <x v="6"/>
    <x v="7"/>
    <s v="Actual"/>
    <x v="10"/>
    <x v="0"/>
    <s v="MOHAMMED HADAD OFFICE"/>
    <s v="Materials"/>
    <x v="262"/>
    <s v="00506"/>
    <d v="2026-01-22T00:00:00"/>
    <n v="2026400393"/>
    <s v="Jan"/>
    <n v="2026"/>
  </r>
  <r>
    <n v="291"/>
    <x v="6"/>
    <x v="13"/>
    <s v="Actual"/>
    <x v="10"/>
    <x v="0"/>
    <s v="Petty Cash"/>
    <s v="Petty cash for BNGL"/>
    <x v="263"/>
    <s v="##"/>
    <s v="15/12/2025"/>
    <s v="N/A"/>
    <s v="Jan"/>
    <n v="2026"/>
  </r>
  <r>
    <n v="292"/>
    <x v="6"/>
    <x v="13"/>
    <s v="Actual"/>
    <x v="10"/>
    <x v="0"/>
    <s v="Petty Cash"/>
    <s v="HSE Celebration For BNGL"/>
    <x v="264"/>
    <s v="##"/>
    <d v="2026-05-01T00:00:00"/>
    <s v="N/A"/>
    <s v="Jan"/>
    <n v="2026"/>
  </r>
  <r>
    <n v="293"/>
    <x v="6"/>
    <x v="13"/>
    <s v="Actual"/>
    <x v="10"/>
    <x v="0"/>
    <s v="Petty Cash"/>
    <s v="Petty Cash for BNGL"/>
    <x v="265"/>
    <s v="##"/>
    <s v="20/1/2026"/>
    <s v="N/A"/>
    <s v="Jan"/>
    <n v="2026"/>
  </r>
  <r>
    <n v="294"/>
    <x v="6"/>
    <x v="6"/>
    <s v="Actual"/>
    <x v="10"/>
    <x v="0"/>
    <s v="Petty Cash"/>
    <s v="Petty Cash for KAZ"/>
    <x v="266"/>
    <s v="##"/>
    <s v="14/12/2025"/>
    <s v="N/A"/>
    <s v="Jan"/>
    <n v="2026"/>
  </r>
  <r>
    <n v="295"/>
    <x v="6"/>
    <x v="33"/>
    <s v="Actual"/>
    <x v="10"/>
    <x v="0"/>
    <s v="Petty Cash"/>
    <s v="Petty cash for NGL"/>
    <x v="267"/>
    <s v="##"/>
    <s v="31/12/2025"/>
    <s v="N/A"/>
    <s v="Jan"/>
    <n v="2026"/>
  </r>
  <r>
    <n v="296"/>
    <x v="6"/>
    <x v="7"/>
    <s v="Actual"/>
    <x v="10"/>
    <x v="0"/>
    <s v="Petty Cash"/>
    <s v="Petty Cash for UQ"/>
    <x v="268"/>
    <s v="##"/>
    <d v="2026-05-01T00:00:00"/>
    <s v="N/A"/>
    <s v="Jan"/>
    <n v="2026"/>
  </r>
  <r>
    <n v="297"/>
    <x v="6"/>
    <x v="7"/>
    <s v="Actual"/>
    <x v="10"/>
    <x v="0"/>
    <s v="Petty Cash"/>
    <s v="Petty Cash for UQ"/>
    <x v="269"/>
    <s v="##"/>
    <s v="19/1/2026"/>
    <s v="N/A"/>
    <s v="Jan"/>
    <n v="2026"/>
  </r>
  <r>
    <n v="298"/>
    <x v="10"/>
    <x v="15"/>
    <s v="Actual"/>
    <x v="10"/>
    <x v="0"/>
    <s v="Petty Cash"/>
    <s v="Petty Cash for CAMP"/>
    <x v="270"/>
    <s v="##"/>
    <d v="2026-04-01T00:00:00"/>
    <s v="N/A"/>
    <s v="Jan"/>
    <n v="2026"/>
  </r>
  <r>
    <n v="299"/>
    <x v="10"/>
    <x v="15"/>
    <s v="Actual"/>
    <x v="10"/>
    <x v="0"/>
    <s v="Petty Cash"/>
    <s v="Petty Cash for CAMP"/>
    <x v="271"/>
    <s v="##"/>
    <s v="20/1/2026"/>
    <s v="N/A"/>
    <s v="Jan"/>
    <n v="2026"/>
  </r>
  <r>
    <n v="300"/>
    <x v="0"/>
    <x v="0"/>
    <s v="Actual"/>
    <x v="10"/>
    <x v="0"/>
    <s v="Petty Cash"/>
    <s v="ثلاجة 27 قدم عدد1"/>
    <x v="272"/>
    <s v="##"/>
    <s v="21/1/2026"/>
    <s v="N/A"/>
    <s v="Jan"/>
    <n v="2026"/>
  </r>
  <r>
    <n v="301"/>
    <x v="0"/>
    <x v="0"/>
    <s v="Actual"/>
    <x v="10"/>
    <x v="0"/>
    <s v="Petty Cash"/>
    <s v="Petty cash for Lifting team"/>
    <x v="23"/>
    <s v="##"/>
    <s v="27/1/2026"/>
    <s v="N/A"/>
    <s v="Jan"/>
    <n v="2026"/>
  </r>
  <r>
    <n v="302"/>
    <x v="1"/>
    <x v="1"/>
    <s v="Actual"/>
    <x v="10"/>
    <x v="0"/>
    <s v="Petty Cash"/>
    <s v=" عدد-2  /نفاضة ستيل حجم وسط"/>
    <x v="273"/>
    <n v="1652"/>
    <d v="2026-01-25T00:00:00"/>
    <s v="N/A"/>
    <s v="Jan"/>
    <n v="2026"/>
  </r>
  <r>
    <n v="303"/>
    <x v="1"/>
    <x v="1"/>
    <s v="Actual"/>
    <x v="10"/>
    <x v="0"/>
    <s v="Petty Cash"/>
    <s v="Petty Cash for KRK office"/>
    <x v="274"/>
    <s v="##"/>
    <s v="27/1/2026"/>
    <s v="N/A"/>
    <s v="Jan"/>
    <n v="2026"/>
  </r>
  <r>
    <n v="304"/>
    <x v="1"/>
    <x v="1"/>
    <s v="Actual"/>
    <x v="10"/>
    <x v="0"/>
    <s v="Petty Cash"/>
    <s v="تجهيز مكتب وسكن مشروع كركوك (اثاث مع مصاريف أخرى)"/>
    <x v="275"/>
    <s v="##"/>
    <s v="29/1/2026"/>
    <s v="N/A"/>
    <s v="Jan"/>
    <n v="2026"/>
  </r>
  <r>
    <n v="305"/>
    <x v="3"/>
    <x v="3"/>
    <s v="Actual"/>
    <x v="10"/>
    <x v="0"/>
    <s v="Petty Cash"/>
    <s v="Petty Cash for ROOG"/>
    <x v="276"/>
    <s v="##"/>
    <d v="2026-05-01T00:00:00"/>
    <s v="N/A"/>
    <s v="Jan"/>
    <n v="2026"/>
  </r>
  <r>
    <n v="306"/>
    <x v="3"/>
    <x v="3"/>
    <s v="Actual"/>
    <x v="10"/>
    <x v="0"/>
    <s v="Petty Cash"/>
    <s v="Petty Cash for ROOG"/>
    <x v="277"/>
    <s v="##"/>
    <s v="25/12/2025"/>
    <s v="N/A"/>
    <s v="Jan"/>
    <n v="2026"/>
  </r>
  <r>
    <n v="307"/>
    <x v="9"/>
    <x v="18"/>
    <s v="Actual"/>
    <x v="10"/>
    <x v="0"/>
    <s v="Petty Cash"/>
    <s v="ATEEN KVM EXTENDER USB CE700A X 2EA"/>
    <x v="278"/>
    <n v="245"/>
    <d v="2026-10-01T00:00:00"/>
    <s v="N/A"/>
    <s v="Jan"/>
    <n v="2026"/>
  </r>
  <r>
    <n v="308"/>
    <x v="7"/>
    <x v="16"/>
    <s v="Actual"/>
    <x v="10"/>
    <x v="0"/>
    <s v="Petty Cash"/>
    <s v="Petty cash for CPS05"/>
    <x v="279"/>
    <s v="##"/>
    <s v="31/12/2025"/>
    <s v="N/A"/>
    <s v="Jan"/>
    <n v="2026"/>
  </r>
  <r>
    <n v="309"/>
    <x v="9"/>
    <x v="24"/>
    <s v="Actual"/>
    <x v="10"/>
    <x v="0"/>
    <s v="Petty Cash"/>
    <s v="Petty Cash for EISP"/>
    <x v="280"/>
    <s v="##"/>
    <d v="2026-03-01T00:00:00"/>
    <s v="N/A"/>
    <s v="Jan"/>
    <n v="2026"/>
  </r>
  <r>
    <n v="310"/>
    <x v="7"/>
    <x v="28"/>
    <s v="Actual"/>
    <x v="10"/>
    <x v="0"/>
    <s v="Petty Cash"/>
    <s v="Petty Cash for FFF"/>
    <x v="281"/>
    <s v="##"/>
    <d v="2026-12-01T00:00:00"/>
    <s v="N/A"/>
    <s v="Jan"/>
    <n v="2026"/>
  </r>
  <r>
    <n v="311"/>
    <x v="7"/>
    <x v="22"/>
    <s v="Actual"/>
    <x v="10"/>
    <x v="0"/>
    <s v="Petty Cash"/>
    <s v="Petty Cash for OHTL"/>
    <x v="282"/>
    <s v="##"/>
    <d v="2026-12-01T00:00:00"/>
    <s v="N/A"/>
    <s v="Jan"/>
    <n v="2026"/>
  </r>
  <r>
    <n v="312"/>
    <x v="7"/>
    <x v="17"/>
    <s v="Actual"/>
    <x v="10"/>
    <x v="0"/>
    <s v="Petty Cash"/>
    <s v="Petty Cash for PWRI2"/>
    <x v="283"/>
    <s v="##"/>
    <s v="29/12/2025"/>
    <s v="N/A"/>
    <s v="Jan"/>
    <n v="2026"/>
  </r>
  <r>
    <n v="313"/>
    <x v="7"/>
    <x v="17"/>
    <s v="Actual"/>
    <x v="10"/>
    <x v="0"/>
    <s v="Petty Cash"/>
    <s v="Petty Cash for PWRI2"/>
    <x v="284"/>
    <s v="##"/>
    <d v="2026-06-01T00:00:00"/>
    <s v="N/A"/>
    <s v="Jan"/>
    <n v="2026"/>
  </r>
  <r>
    <n v="314"/>
    <x v="7"/>
    <x v="17"/>
    <s v="Actual"/>
    <x v="10"/>
    <x v="0"/>
    <s v="Petty Cash"/>
    <s v="Petty Cash for PWRI2"/>
    <x v="285"/>
    <s v="##"/>
    <s v="14/1/2026"/>
    <s v="N/A"/>
    <s v="Jan"/>
    <n v="2026"/>
  </r>
  <r>
    <n v="315"/>
    <x v="7"/>
    <x v="17"/>
    <s v="Actual"/>
    <x v="10"/>
    <x v="0"/>
    <s v="Petty Cash"/>
    <s v="Petty Cash for PWRI2"/>
    <x v="24"/>
    <s v="##"/>
    <s v="27/12/2025"/>
    <s v="N/A"/>
    <s v="Jan"/>
    <n v="2026"/>
  </r>
  <r>
    <n v="316"/>
    <x v="7"/>
    <x v="17"/>
    <s v="Actual"/>
    <x v="10"/>
    <x v="0"/>
    <s v="Petty Cash"/>
    <s v="The maintenance of the scaffolding gate"/>
    <x v="286"/>
    <s v="##"/>
    <d v="2026-04-01T00:00:00"/>
    <s v="N/A"/>
    <s v="Jan"/>
    <n v="2026"/>
  </r>
  <r>
    <n v="317"/>
    <x v="7"/>
    <x v="8"/>
    <s v="Actual"/>
    <x v="10"/>
    <x v="0"/>
    <s v="Petty Cash"/>
    <s v="Petty  Cash for QA"/>
    <x v="287"/>
    <s v="##"/>
    <d v="2026-06-01T00:00:00"/>
    <s v="N/A"/>
    <s v="Jan"/>
    <n v="2026"/>
  </r>
  <r>
    <n v="318"/>
    <x v="7"/>
    <x v="9"/>
    <s v="Actual"/>
    <x v="10"/>
    <x v="0"/>
    <s v="Petty Cash"/>
    <s v="Petty Cash for WOD"/>
    <x v="288"/>
    <s v="##"/>
    <s v="14/12/2025"/>
    <s v="N/A"/>
    <s v="Jan"/>
    <n v="2026"/>
  </r>
  <r>
    <n v="319"/>
    <x v="4"/>
    <x v="4"/>
    <s v="Actual"/>
    <x v="10"/>
    <x v="0"/>
    <s v="Petty Cash"/>
    <s v="Petty Cash for TOTal"/>
    <x v="289"/>
    <s v="##"/>
    <s v="13/1/2026"/>
    <s v="N/A"/>
    <s v="Jan"/>
    <n v="2026"/>
  </r>
  <r>
    <n v="320"/>
    <x v="4"/>
    <x v="4"/>
    <s v="Actual"/>
    <x v="10"/>
    <x v="0"/>
    <s v="Petty Cash"/>
    <s v="Petty Cash for TOTAL"/>
    <x v="290"/>
    <s v="##"/>
    <s v="28/1/2026"/>
    <s v="N/A"/>
    <s v="Jan"/>
    <n v="2026"/>
  </r>
  <r>
    <n v="321"/>
    <x v="1"/>
    <x v="1"/>
    <s v="Actual"/>
    <x v="10"/>
    <x v="0"/>
    <s v="Petty Cash"/>
    <s v="Food &amp; Meals"/>
    <x v="291"/>
    <n v="72"/>
    <s v="26/1/2026"/>
    <s v="N/A"/>
    <s v="Jan"/>
    <n v="2026"/>
  </r>
  <r>
    <n v="322"/>
    <x v="9"/>
    <x v="34"/>
    <s v="Actual"/>
    <x v="10"/>
    <x v="0"/>
    <s v="Petty Cash"/>
    <s v="Food &amp; Meal For TAR"/>
    <x v="292"/>
    <s v="##"/>
    <s v="28/1/2026"/>
    <s v="N/A"/>
    <s v="Jan"/>
    <n v="2026"/>
  </r>
  <r>
    <n v="323"/>
    <x v="7"/>
    <x v="22"/>
    <s v="Actual"/>
    <x v="10"/>
    <x v="0"/>
    <s v="Petty Cash"/>
    <s v="Food &amp; Meal for OHTL"/>
    <x v="293"/>
    <s v="##"/>
    <s v="22/1/2026"/>
    <s v="N/A"/>
    <s v="Jan"/>
    <n v="2026"/>
  </r>
  <r>
    <n v="324"/>
    <x v="7"/>
    <x v="9"/>
    <s v="Actual"/>
    <x v="10"/>
    <x v="0"/>
    <s v="Petty Cash"/>
    <s v="Food &amp; Meal For WOD"/>
    <x v="294"/>
    <s v="##"/>
    <s v="28/1/2026"/>
    <s v="N/A"/>
    <s v="Jan"/>
    <n v="2026"/>
  </r>
  <r>
    <n v="325"/>
    <x v="4"/>
    <x v="4"/>
    <s v="Actual"/>
    <x v="10"/>
    <x v="0"/>
    <s v="Petty Cash"/>
    <s v="Food &amp; Meal for Total-FL"/>
    <x v="295"/>
    <s v="##"/>
    <d v="2026-07-01T00:00:00"/>
    <s v="N/A"/>
    <s v="Jan"/>
    <n v="2026"/>
  </r>
  <r>
    <n v="326"/>
    <x v="4"/>
    <x v="4"/>
    <s v="Actual"/>
    <x v="10"/>
    <x v="0"/>
    <s v="Petty Cash"/>
    <s v="Food &amp; Meal for Total-FL"/>
    <x v="296"/>
    <s v="##"/>
    <s v="13/1/2026"/>
    <s v="N/A"/>
    <s v="Jan"/>
    <n v="2026"/>
  </r>
  <r>
    <n v="327"/>
    <x v="4"/>
    <x v="4"/>
    <s v="Actual"/>
    <x v="10"/>
    <x v="0"/>
    <s v="Petty Cash"/>
    <s v="Food &amp; Meal for Total-FL"/>
    <x v="297"/>
    <s v="##"/>
    <s v="18/1/2026"/>
    <s v="N/A"/>
    <s v="Jan"/>
    <n v="2026"/>
  </r>
  <r>
    <n v="328"/>
    <x v="4"/>
    <x v="4"/>
    <s v="Actual"/>
    <x v="10"/>
    <x v="0"/>
    <s v="Petty Cash"/>
    <s v="Food &amp; Meal for Total-FL"/>
    <x v="298"/>
    <s v="##"/>
    <s v="14/1/2026"/>
    <s v="N/A"/>
    <s v="Jan"/>
    <n v="2026"/>
  </r>
  <r>
    <n v="329"/>
    <x v="4"/>
    <x v="4"/>
    <s v="Actual"/>
    <x v="10"/>
    <x v="0"/>
    <s v="Petty Cash"/>
    <s v="Food &amp; Meal for Total-FL"/>
    <x v="299"/>
    <s v="##"/>
    <s v="21/1/2026"/>
    <s v="N/A"/>
    <s v="Jan"/>
    <n v="2026"/>
  </r>
  <r>
    <n v="330"/>
    <x v="4"/>
    <x v="4"/>
    <s v="Actual"/>
    <x v="10"/>
    <x v="0"/>
    <s v="Petty Cash"/>
    <s v="Food &amp; Meal for Total-FL"/>
    <x v="235"/>
    <s v="##"/>
    <s v="27/1/2026"/>
    <s v="N/A"/>
    <s v="Jan"/>
    <n v="2026"/>
  </r>
  <r>
    <n v="331"/>
    <x v="7"/>
    <x v="17"/>
    <s v="Actual"/>
    <x v="10"/>
    <x v="0"/>
    <s v="Petty Cash"/>
    <s v="HSE celebration for PWRI02"/>
    <x v="25"/>
    <s v="##"/>
    <d v="2026-04-01T00:00:00"/>
    <s v="N/A"/>
    <s v="Jan"/>
    <n v="2026"/>
  </r>
  <r>
    <n v="332"/>
    <x v="4"/>
    <x v="4"/>
    <s v="Actual"/>
    <x v="10"/>
    <x v="0"/>
    <s v="Petty Cash"/>
    <s v="HSE Celebration For Total"/>
    <x v="300"/>
    <s v="##"/>
    <s v="28/1/2026"/>
    <s v="N/A"/>
    <s v="Jan"/>
    <n v="2026"/>
  </r>
  <r>
    <n v="333"/>
    <x v="1"/>
    <x v="1"/>
    <s v="Actual"/>
    <x v="10"/>
    <x v="0"/>
    <s v="Petty Cash"/>
    <s v="HDMI Cable * 2"/>
    <x v="301"/>
    <s v="##"/>
    <s v="26/1/2026"/>
    <s v="N/A"/>
    <s v="Jan"/>
    <n v="2026"/>
  </r>
  <r>
    <n v="334"/>
    <x v="1"/>
    <x v="1"/>
    <s v="Actual"/>
    <x v="10"/>
    <x v="0"/>
    <s v="Petty Cash"/>
    <s v="قاصة 68سم * 50 *50 سم كوري / عدد/1"/>
    <x v="302"/>
    <n v="1651"/>
    <d v="2026-01-25T00:00:00"/>
    <s v="N/A"/>
    <s v="Jan"/>
    <n v="2026"/>
  </r>
  <r>
    <n v="335"/>
    <x v="7"/>
    <x v="17"/>
    <s v="Actual"/>
    <x v="10"/>
    <x v="0"/>
    <s v="Rawat Emaar AL-Iraq Co. (JOTUN)"/>
    <s v="Materials/Paint"/>
    <x v="303"/>
    <s v="346"/>
    <d v="2026-01-05T00:00:00"/>
    <n v="2025404850"/>
    <s v="Jan"/>
    <n v="2026"/>
  </r>
  <r>
    <n v="336"/>
    <x v="6"/>
    <x v="13"/>
    <s v="Actual"/>
    <x v="10"/>
    <x v="0"/>
    <s v="Rawat Emaar AL-Iraq Co. (JOTUN)"/>
    <s v="Materials/Paint"/>
    <x v="24"/>
    <s v="1970"/>
    <d v="2026-01-24T00:00:00"/>
    <n v="2026400253"/>
    <s v="Jan"/>
    <n v="2026"/>
  </r>
  <r>
    <n v="337"/>
    <x v="10"/>
    <x v="15"/>
    <s v="Actual"/>
    <x v="10"/>
    <x v="0"/>
    <s v="Rawat Emaar AL-Iraq Co. (JOTUN)"/>
    <s v="Materials/Paint"/>
    <x v="304"/>
    <s v="1971"/>
    <d v="2026-01-24T00:00:00"/>
    <n v="2026400136"/>
    <s v="Jan"/>
    <n v="2026"/>
  </r>
  <r>
    <n v="338"/>
    <x v="7"/>
    <x v="17"/>
    <s v="Actual"/>
    <x v="10"/>
    <x v="0"/>
    <s v="Rawat Emaar AL-Iraq Co. (JOTUN)"/>
    <s v="Materials/Paint"/>
    <x v="305"/>
    <s v="1967"/>
    <d v="2026-01-24T00:00:00"/>
    <n v="2026400170"/>
    <s v="Jan"/>
    <n v="2026"/>
  </r>
  <r>
    <n v="339"/>
    <x v="7"/>
    <x v="17"/>
    <s v="Actual"/>
    <x v="10"/>
    <x v="0"/>
    <s v="RAYAT AL-SHARQ COMPANY For Inspection Services"/>
    <s v="Materials/Paint"/>
    <x v="306"/>
    <s v="2705"/>
    <d v="2026-01-06T00:00:00"/>
    <n v="2025404884"/>
    <s v="Jan"/>
    <n v="2026"/>
  </r>
  <r>
    <n v="340"/>
    <x v="9"/>
    <x v="24"/>
    <s v="Actual"/>
    <x v="10"/>
    <x v="0"/>
    <s v="RAYAT AL-SHARQ COMPANY For Inspection Services"/>
    <s v="Materials/Paint"/>
    <x v="307"/>
    <s v="2706"/>
    <d v="2026-01-06T00:00:00"/>
    <n v="2025404885"/>
    <s v="Jan"/>
    <n v="2026"/>
  </r>
  <r>
    <n v="341"/>
    <x v="6"/>
    <x v="6"/>
    <s v="Actual"/>
    <x v="10"/>
    <x v="0"/>
    <s v="Rwad Alenjaz Co."/>
    <s v="Materials"/>
    <x v="308"/>
    <s v="H02158"/>
    <d v="2026-01-06T00:00:00"/>
    <n v="2026400095"/>
    <s v="Jan"/>
    <n v="2026"/>
  </r>
  <r>
    <n v="342"/>
    <x v="6"/>
    <x v="7"/>
    <s v="Actual"/>
    <x v="10"/>
    <x v="0"/>
    <s v="SAFE TOUCH CO."/>
    <s v="Materials"/>
    <x v="309"/>
    <s v="1063"/>
    <d v="2026-01-02T00:00:00"/>
    <n v="2025404919"/>
    <s v="Jan"/>
    <n v="2026"/>
  </r>
  <r>
    <n v="343"/>
    <x v="6"/>
    <x v="33"/>
    <s v="Actual"/>
    <x v="10"/>
    <x v="0"/>
    <s v="SOUTH DEEP JEWEL"/>
    <s v="Materials"/>
    <x v="310"/>
    <s v="IGCC01"/>
    <d v="2026-01-10T00:00:00"/>
    <n v="2026400027"/>
    <s v="Jan"/>
    <n v="2026"/>
  </r>
  <r>
    <n v="344"/>
    <x v="10"/>
    <x v="15"/>
    <s v="Actual"/>
    <x v="10"/>
    <x v="0"/>
    <s v="SOUTH DEEP JEWEL"/>
    <s v="Materials"/>
    <x v="311"/>
    <s v="IGCC003"/>
    <d v="2026-01-22T00:00:00"/>
    <n v="2026400134"/>
    <s v="Jan"/>
    <n v="2026"/>
  </r>
  <r>
    <n v="345"/>
    <x v="4"/>
    <x v="4"/>
    <s v="Actual"/>
    <x v="10"/>
    <x v="0"/>
    <s v="Zamzam Land Construction Trading"/>
    <s v="Materials"/>
    <x v="312"/>
    <s v="123"/>
    <d v="2026-01-05T00:00:00"/>
    <n v="2025404852"/>
    <s v="Jan"/>
    <n v="2026"/>
  </r>
  <r>
    <n v="346"/>
    <x v="7"/>
    <x v="22"/>
    <s v="Actual"/>
    <x v="10"/>
    <x v="0"/>
    <s v="Zamzam Land Construction Trading"/>
    <s v="Materials"/>
    <x v="203"/>
    <s v="124"/>
    <d v="2026-01-05T00:00:00"/>
    <n v="2025404854"/>
    <s v="Jan"/>
    <n v="2026"/>
  </r>
  <r>
    <n v="347"/>
    <x v="4"/>
    <x v="4"/>
    <s v="Actual"/>
    <x v="10"/>
    <x v="0"/>
    <s v="Zamzam Land Construction Trading"/>
    <s v="Materials"/>
    <x v="313"/>
    <s v="S23137"/>
    <d v="2026-01-12T00:00:00"/>
    <n v="2025404926"/>
    <s v="Jan"/>
    <n v="2026"/>
  </r>
  <r>
    <n v="348"/>
    <x v="10"/>
    <x v="35"/>
    <s v="Actual"/>
    <x v="10"/>
    <x v="0"/>
    <s v="ZUMZUM ALFAYHAA INSAAT"/>
    <s v="Materials"/>
    <x v="314"/>
    <s v="12804"/>
    <d v="2026-01-04T00:00:00"/>
    <n v="2025404825"/>
    <s v="Jan"/>
    <n v="2026"/>
  </r>
  <r>
    <n v="349"/>
    <x v="6"/>
    <x v="7"/>
    <s v="Actual"/>
    <x v="10"/>
    <x v="0"/>
    <s v="ZUMZUM ALFAYHAA INSAAT"/>
    <s v="Materials"/>
    <x v="315"/>
    <s v="12796"/>
    <d v="2026-01-04T00:00:00"/>
    <n v="2025404767"/>
    <s v="Jan"/>
    <n v="2026"/>
  </r>
  <r>
    <n v="350"/>
    <x v="4"/>
    <x v="4"/>
    <s v="Actual"/>
    <x v="10"/>
    <x v="0"/>
    <s v="ZUMZUM ALFAYHAA INSAAT"/>
    <s v="Materials"/>
    <x v="316"/>
    <s v="12792"/>
    <d v="2026-01-04T00:00:00"/>
    <n v="2025404785"/>
    <s v="Jan"/>
    <n v="2026"/>
  </r>
  <r>
    <n v="351"/>
    <x v="7"/>
    <x v="22"/>
    <s v="Actual"/>
    <x v="10"/>
    <x v="0"/>
    <s v="ZUMZUM ALFAYHAA INSAAT"/>
    <s v="Materials"/>
    <x v="317"/>
    <s v="12784"/>
    <d v="2026-01-04T00:00:00"/>
    <n v="2025404794"/>
    <s v="Jan"/>
    <n v="2026"/>
  </r>
  <r>
    <n v="352"/>
    <x v="7"/>
    <x v="21"/>
    <s v="Actual"/>
    <x v="10"/>
    <x v="0"/>
    <s v="ZUMZUM ALFAYHAA INSAAT"/>
    <s v="Materials"/>
    <x v="318"/>
    <s v="12782"/>
    <d v="2026-01-04T00:00:00"/>
    <n v="2025404793"/>
    <s v="Jan"/>
    <n v="2026"/>
  </r>
  <r>
    <n v="353"/>
    <x v="9"/>
    <x v="29"/>
    <s v="Actual"/>
    <x v="10"/>
    <x v="0"/>
    <s v="ZUMZUM ALFAYHAA INSAAT"/>
    <s v="Materials"/>
    <x v="319"/>
    <s v="12786"/>
    <d v="2026-01-04T00:00:00"/>
    <n v="2025404795"/>
    <s v="Jan"/>
    <n v="2026"/>
  </r>
  <r>
    <n v="354"/>
    <x v="10"/>
    <x v="15"/>
    <s v="Actual"/>
    <x v="10"/>
    <x v="0"/>
    <s v="ZUMZUM ALFAYHAA INSAAT"/>
    <s v="Materials"/>
    <x v="320"/>
    <s v="12836"/>
    <d v="2026-01-08T00:00:00"/>
    <n v="2025404849"/>
    <s v="Jan"/>
    <n v="2026"/>
  </r>
  <r>
    <n v="355"/>
    <x v="7"/>
    <x v="28"/>
    <s v="Actual"/>
    <x v="10"/>
    <x v="0"/>
    <s v="ZUMZUM ALFAYHAA INSAAT"/>
    <s v="Materials"/>
    <x v="321"/>
    <s v="12846"/>
    <d v="2026-01-10T00:00:00"/>
    <n v="2025404880"/>
    <s v="Jan"/>
    <n v="2026"/>
  </r>
  <r>
    <n v="356"/>
    <x v="10"/>
    <x v="35"/>
    <s v="Actual"/>
    <x v="10"/>
    <x v="0"/>
    <s v="ZUMZUM ALFAYHAA INSAAT"/>
    <s v="Materials"/>
    <x v="322"/>
    <s v="12848"/>
    <d v="2026-01-10T00:00:00"/>
    <n v="2025404874"/>
    <s v="Jan"/>
    <n v="2026"/>
  </r>
  <r>
    <n v="357"/>
    <x v="7"/>
    <x v="17"/>
    <s v="Actual"/>
    <x v="10"/>
    <x v="0"/>
    <s v="ZUMZUM ALFAYHAA INSAAT"/>
    <s v="Materials"/>
    <x v="323"/>
    <s v="12892"/>
    <d v="2026-01-10T00:00:00"/>
    <n v="2025404846"/>
    <s v="Jan"/>
    <n v="2026"/>
  </r>
  <r>
    <n v="358"/>
    <x v="7"/>
    <x v="28"/>
    <s v="Actual"/>
    <x v="10"/>
    <x v="0"/>
    <s v="ZUMZUM ALFAYHAA INSAAT"/>
    <s v="Materials"/>
    <x v="324"/>
    <s v="12900"/>
    <d v="2026-01-10T00:00:00"/>
    <n v="2026400007"/>
    <s v="Jan"/>
    <n v="2026"/>
  </r>
  <r>
    <n v="359"/>
    <x v="7"/>
    <x v="17"/>
    <s v="Actual"/>
    <x v="10"/>
    <x v="0"/>
    <s v="ZUMZUM ALFAYHAA INSAAT"/>
    <s v="Materials"/>
    <x v="325"/>
    <s v="12878"/>
    <d v="2026-01-10T00:00:00"/>
    <n v="2025404882"/>
    <s v="Jan"/>
    <n v="2026"/>
  </r>
  <r>
    <n v="360"/>
    <x v="7"/>
    <x v="17"/>
    <s v="Actual"/>
    <x v="10"/>
    <x v="0"/>
    <s v="ZUMZUM ALFAYHAA INSAAT"/>
    <s v="Materials"/>
    <x v="326"/>
    <s v="12870"/>
    <d v="2026-01-10T00:00:00"/>
    <n v="2025404881"/>
    <s v="Jan"/>
    <n v="2026"/>
  </r>
  <r>
    <n v="361"/>
    <x v="7"/>
    <x v="22"/>
    <s v="Actual"/>
    <x v="10"/>
    <x v="0"/>
    <s v="ZUMZUM ALFAYHAA INSAAT"/>
    <s v="Materials"/>
    <x v="327"/>
    <s v="12886"/>
    <d v="2026-01-10T00:00:00"/>
    <n v="2026400014"/>
    <s v="Jan"/>
    <n v="2026"/>
  </r>
  <r>
    <n v="362"/>
    <x v="7"/>
    <x v="17"/>
    <s v="Actual"/>
    <x v="10"/>
    <x v="0"/>
    <s v="ZUMZUM ALFAYHAA INSAAT"/>
    <s v="Materials"/>
    <x v="328"/>
    <s v="12866"/>
    <d v="2026-01-10T00:00:00"/>
    <n v="2025404879"/>
    <s v="Jan"/>
    <n v="2026"/>
  </r>
  <r>
    <n v="363"/>
    <x v="7"/>
    <x v="22"/>
    <s v="Actual"/>
    <x v="10"/>
    <x v="0"/>
    <s v="ZUMZUM ALFAYHAA INSAAT"/>
    <s v="Materials"/>
    <x v="329"/>
    <s v="12864"/>
    <d v="2026-01-11T00:00:00"/>
    <n v="2025404883"/>
    <s v="Jan"/>
    <n v="2026"/>
  </r>
  <r>
    <n v="364"/>
    <x v="7"/>
    <x v="26"/>
    <s v="Actual"/>
    <x v="10"/>
    <x v="0"/>
    <s v="ZUMZUM ALFAYHAA INSAAT"/>
    <s v="Materials"/>
    <x v="330"/>
    <s v="12838"/>
    <d v="2026-01-10T00:00:00"/>
    <n v="2025404862"/>
    <s v="Jan"/>
    <n v="2026"/>
  </r>
  <r>
    <n v="365"/>
    <x v="4"/>
    <x v="4"/>
    <s v="Actual"/>
    <x v="10"/>
    <x v="0"/>
    <s v="ZUMZUM ALFAYHAA INSAAT"/>
    <s v="Materials"/>
    <x v="331"/>
    <s v="12858"/>
    <d v="2026-01-11T00:00:00"/>
    <n v="2025404877"/>
    <s v="Jan"/>
    <n v="2026"/>
  </r>
  <r>
    <n v="366"/>
    <x v="7"/>
    <x v="28"/>
    <s v="Actual"/>
    <x v="10"/>
    <x v="0"/>
    <s v="ZUMZUM ALFAYHAA INSAAT"/>
    <s v="Materials"/>
    <x v="332"/>
    <s v="12862"/>
    <d v="2026-01-11T00:00:00"/>
    <n v="2025404865"/>
    <s v="Jan"/>
    <n v="2026"/>
  </r>
  <r>
    <n v="367"/>
    <x v="10"/>
    <x v="35"/>
    <s v="Actual"/>
    <x v="10"/>
    <x v="0"/>
    <s v="ZUMZUM ALFAYHAA INSAAT"/>
    <s v="Materials"/>
    <x v="333"/>
    <s v="12850"/>
    <d v="2026-01-11T00:00:00"/>
    <n v="2025404873"/>
    <s v="Jan"/>
    <n v="2026"/>
  </r>
  <r>
    <n v="368"/>
    <x v="9"/>
    <x v="29"/>
    <s v="Actual"/>
    <x v="10"/>
    <x v="0"/>
    <s v="ZUMZUM ALFAYHAA INSAAT"/>
    <s v="Materials"/>
    <x v="334"/>
    <s v="12902"/>
    <d v="2026-01-11T00:00:00"/>
    <n v="2026400003"/>
    <s v="Jan"/>
    <n v="2026"/>
  </r>
  <r>
    <n v="369"/>
    <x v="6"/>
    <x v="7"/>
    <s v="Actual"/>
    <x v="10"/>
    <x v="0"/>
    <s v="ZUMZUM ALFAYHAA INSAAT"/>
    <s v="Materials"/>
    <x v="335"/>
    <s v="12776"/>
    <d v="2026-01-11T00:00:00"/>
    <n v="2025404774"/>
    <s v="Jan"/>
    <n v="2026"/>
  </r>
  <r>
    <n v="370"/>
    <x v="10"/>
    <x v="35"/>
    <s v="Actual"/>
    <x v="10"/>
    <x v="0"/>
    <s v="ZUMZUM ALFAYHAA INSAAT"/>
    <s v="Materials"/>
    <x v="336"/>
    <s v="12720"/>
    <d v="2025-12-31T00:00:00"/>
    <n v="2025404701"/>
    <s v="Jan"/>
    <n v="2026"/>
  </r>
  <r>
    <n v="371"/>
    <x v="6"/>
    <x v="33"/>
    <s v="Actual"/>
    <x v="10"/>
    <x v="0"/>
    <s v="ZUMZUM ALFAYHAA INSAAT"/>
    <s v="Materials"/>
    <x v="337"/>
    <s v="12834"/>
    <d v="2026-01-08T00:00:00"/>
    <n v="2025404848"/>
    <s v="Jan"/>
    <n v="2026"/>
  </r>
  <r>
    <n v="372"/>
    <x v="4"/>
    <x v="4"/>
    <s v="Actual"/>
    <x v="10"/>
    <x v="0"/>
    <s v="ZUMZUM ALFAYHAA INSAAT"/>
    <s v="Materials"/>
    <x v="338"/>
    <s v="12912"/>
    <d v="2026-01-14T00:00:00"/>
    <n v="2025404935"/>
    <s v="Jan"/>
    <n v="2026"/>
  </r>
  <r>
    <n v="373"/>
    <x v="6"/>
    <x v="6"/>
    <s v="Actual"/>
    <x v="10"/>
    <x v="0"/>
    <s v="ZUMZUM ALFAYHAA INSAAT"/>
    <s v="Materials"/>
    <x v="339"/>
    <s v="12960"/>
    <d v="2026-01-14T00:00:00"/>
    <n v="2025404914"/>
    <s v="Jan"/>
    <n v="2026"/>
  </r>
  <r>
    <n v="374"/>
    <x v="7"/>
    <x v="17"/>
    <s v="Actual"/>
    <x v="10"/>
    <x v="0"/>
    <s v="ZUMZUM ALFAYHAA INSAAT"/>
    <s v="Materials"/>
    <x v="340"/>
    <s v="12994"/>
    <d v="2026-01-15T00:00:00"/>
    <n v="2026400071"/>
    <s v="Jan"/>
    <n v="2026"/>
  </r>
  <r>
    <n v="375"/>
    <x v="7"/>
    <x v="21"/>
    <s v="Actual"/>
    <x v="10"/>
    <x v="0"/>
    <s v="ZUMZUM ALFAYHAA INSAAT"/>
    <s v="Materials"/>
    <x v="341"/>
    <s v="13016"/>
    <d v="2026-01-18T00:00:00"/>
    <n v="2026400105"/>
    <s v="Jan"/>
    <n v="2026"/>
  </r>
  <r>
    <n v="376"/>
    <x v="7"/>
    <x v="28"/>
    <s v="Actual"/>
    <x v="10"/>
    <x v="0"/>
    <s v="ZUMZUM ALFAYHAA INSAAT"/>
    <s v="Materials"/>
    <x v="342"/>
    <s v="13006"/>
    <d v="2026-01-18T00:00:00"/>
    <n v="2026400109"/>
    <s v="Jan"/>
    <n v="2026"/>
  </r>
  <r>
    <n v="377"/>
    <x v="7"/>
    <x v="22"/>
    <s v="Actual"/>
    <x v="10"/>
    <x v="0"/>
    <s v="ZUMZUM ALFAYHAA INSAAT"/>
    <s v="Materials"/>
    <x v="343"/>
    <s v="12970"/>
    <d v="2026-01-15T00:00:00"/>
    <n v="2026400064"/>
    <s v="Jan"/>
    <n v="2026"/>
  </r>
  <r>
    <n v="378"/>
    <x v="10"/>
    <x v="35"/>
    <s v="Actual"/>
    <x v="10"/>
    <x v="0"/>
    <s v="ZUMZUM ALFAYHAA INSAAT"/>
    <s v="Materials"/>
    <x v="344"/>
    <s v="12936"/>
    <d v="2026-01-15T00:00:00"/>
    <n v="2026400057"/>
    <s v="Jan"/>
    <n v="2026"/>
  </r>
  <r>
    <n v="379"/>
    <x v="6"/>
    <x v="33"/>
    <s v="Actual"/>
    <x v="10"/>
    <x v="0"/>
    <s v="ZUMZUM ALFAYHAA INSAAT"/>
    <s v="Materials"/>
    <x v="345"/>
    <s v="12946"/>
    <d v="2026-01-15T00:00:00"/>
    <n v="2025404928"/>
    <s v="Jan"/>
    <n v="2026"/>
  </r>
  <r>
    <n v="380"/>
    <x v="4"/>
    <x v="4"/>
    <s v="Actual"/>
    <x v="10"/>
    <x v="0"/>
    <s v="ZUMZUM ALFAYHAA INSAAT"/>
    <s v="Materials"/>
    <x v="346"/>
    <s v="12826"/>
    <d v="2026-01-15T00:00:00"/>
    <n v="2025404858"/>
    <s v="Jan"/>
    <n v="2026"/>
  </r>
  <r>
    <n v="381"/>
    <x v="6"/>
    <x v="13"/>
    <s v="Actual"/>
    <x v="10"/>
    <x v="0"/>
    <s v="ZUMZUM ALFAYHAA INSAAT"/>
    <s v="Materials"/>
    <x v="347"/>
    <s v="12956"/>
    <d v="2026-01-14T00:00:00"/>
    <n v="2026400060"/>
    <s v="Jan"/>
    <n v="2026"/>
  </r>
  <r>
    <n v="382"/>
    <x v="6"/>
    <x v="7"/>
    <s v="Actual"/>
    <x v="10"/>
    <x v="0"/>
    <s v="ZUMZUM ALFAYHAA INSAAT"/>
    <s v="Materials"/>
    <x v="348"/>
    <s v="12954"/>
    <d v="2026-01-15T00:00:00"/>
    <n v="2025404929"/>
    <s v="Jan"/>
    <n v="2026"/>
  </r>
  <r>
    <n v="383"/>
    <x v="7"/>
    <x v="21"/>
    <s v="Actual"/>
    <x v="10"/>
    <x v="0"/>
    <s v="ZUMZUM ALFAYHAA INSAAT"/>
    <s v="Materials"/>
    <x v="349"/>
    <s v="12992"/>
    <d v="2026-01-15T00:00:00"/>
    <n v="2026400073"/>
    <s v="Jan"/>
    <n v="2026"/>
  </r>
  <r>
    <n v="384"/>
    <x v="6"/>
    <x v="7"/>
    <s v="Actual"/>
    <x v="10"/>
    <x v="0"/>
    <s v="ZUMZUM ALFAYHAA INSAAT"/>
    <s v="Materials"/>
    <x v="350"/>
    <s v="12996"/>
    <d v="2026-01-14T00:00:00"/>
    <n v="2026400070"/>
    <s v="Jan"/>
    <n v="2026"/>
  </r>
  <r>
    <n v="385"/>
    <x v="7"/>
    <x v="22"/>
    <s v="Actual"/>
    <x v="10"/>
    <x v="0"/>
    <s v="ZUMZUM ALFAYHAA INSAAT"/>
    <s v="Materials"/>
    <x v="351"/>
    <s v="12990"/>
    <d v="2026-01-15T00:00:00"/>
    <n v="2026400074"/>
    <s v="Jan"/>
    <n v="2026"/>
  </r>
  <r>
    <n v="386"/>
    <x v="7"/>
    <x v="17"/>
    <s v="Actual"/>
    <x v="10"/>
    <x v="0"/>
    <s v="ZUMZUM ALFAYHAA INSAAT"/>
    <s v="Materials"/>
    <x v="352"/>
    <s v="12928"/>
    <d v="2026-01-14T00:00:00"/>
    <n v="2025404869"/>
    <s v="Jan"/>
    <n v="2026"/>
  </r>
  <r>
    <n v="387"/>
    <x v="7"/>
    <x v="22"/>
    <s v="Actual"/>
    <x v="10"/>
    <x v="0"/>
    <s v="ZUMZUM ALFAYHAA INSAAT"/>
    <s v="Materials"/>
    <x v="353"/>
    <s v="12972"/>
    <d v="2026-01-15T00:00:00"/>
    <n v="2026400065"/>
    <s v="Jan"/>
    <n v="2026"/>
  </r>
  <r>
    <n v="388"/>
    <x v="7"/>
    <x v="26"/>
    <s v="Actual"/>
    <x v="10"/>
    <x v="0"/>
    <s v="ZUMZUM ALFAYHAA INSAAT"/>
    <s v="Materials"/>
    <x v="354"/>
    <s v="12982"/>
    <d v="2026-01-15T00:00:00"/>
    <n v="2025404870"/>
    <s v="Jan"/>
    <n v="2026"/>
  </r>
  <r>
    <n v="389"/>
    <x v="9"/>
    <x v="24"/>
    <s v="Actual"/>
    <x v="10"/>
    <x v="0"/>
    <s v="ZUMZUM ALFAYHAA INSAAT"/>
    <s v="Materials"/>
    <x v="355"/>
    <s v="12908"/>
    <d v="2026-01-14T00:00:00"/>
    <n v="2026400019"/>
    <s v="Jan"/>
    <n v="2026"/>
  </r>
  <r>
    <n v="390"/>
    <x v="6"/>
    <x v="14"/>
    <s v="Actual"/>
    <x v="10"/>
    <x v="0"/>
    <s v="ZUMZUM ALFAYHAA INSAAT"/>
    <s v="Materials"/>
    <x v="351"/>
    <s v="12930"/>
    <d v="2026-01-15T00:00:00"/>
    <n v="2026400043"/>
    <s v="Jan"/>
    <n v="2026"/>
  </r>
  <r>
    <n v="391"/>
    <x v="4"/>
    <x v="4"/>
    <s v="Actual"/>
    <x v="10"/>
    <x v="0"/>
    <s v="ZUMZUM ALFAYHAA INSAAT"/>
    <s v="Materials"/>
    <x v="356"/>
    <s v="12952"/>
    <d v="2026-01-14T00:00:00"/>
    <n v="2025404930"/>
    <s v="Jan"/>
    <n v="2026"/>
  </r>
  <r>
    <n v="392"/>
    <x v="7"/>
    <x v="22"/>
    <s v="Actual"/>
    <x v="10"/>
    <x v="0"/>
    <s v="ZUMZUM ALFAYHAA INSAAT"/>
    <s v="Materials"/>
    <x v="357"/>
    <s v="12918"/>
    <d v="2026-01-14T00:00:00"/>
    <n v="2025404924"/>
    <s v="Jan"/>
    <n v="2026"/>
  </r>
  <r>
    <n v="393"/>
    <x v="4"/>
    <x v="4"/>
    <s v="Actual"/>
    <x v="10"/>
    <x v="0"/>
    <s v="ZUMZUM ALFAYHAA INSAAT"/>
    <s v="Materials"/>
    <x v="298"/>
    <s v="12948"/>
    <d v="2026-01-15T00:00:00"/>
    <n v="2025404932"/>
    <s v="Jan"/>
    <n v="2026"/>
  </r>
  <r>
    <n v="394"/>
    <x v="7"/>
    <x v="9"/>
    <s v="Actual"/>
    <x v="10"/>
    <x v="0"/>
    <s v="ZUMZUM ALFAYHAA INSAAT"/>
    <s v="Materials"/>
    <x v="358"/>
    <s v="12932"/>
    <d v="2026-01-14T00:00:00"/>
    <n v="2025404878"/>
    <s v="Jan"/>
    <n v="2026"/>
  </r>
  <r>
    <n v="395"/>
    <x v="4"/>
    <x v="4"/>
    <s v="Actual"/>
    <x v="10"/>
    <x v="0"/>
    <s v="ZUMZUM ALFAYHAA INSAAT"/>
    <s v="Materials"/>
    <x v="359"/>
    <s v="12950"/>
    <d v="2026-01-15T00:00:00"/>
    <n v="2025404931"/>
    <s v="Jan"/>
    <n v="2026"/>
  </r>
  <r>
    <n v="396"/>
    <x v="7"/>
    <x v="22"/>
    <s v="Actual"/>
    <x v="10"/>
    <x v="0"/>
    <s v="ZUMZUM ALFAYHAA INSAAT"/>
    <s v="Materials"/>
    <x v="360"/>
    <s v="12958"/>
    <d v="2026-01-15T00:00:00"/>
    <n v="2026400061"/>
    <s v="Jan"/>
    <n v="2026"/>
  </r>
  <r>
    <n v="397"/>
    <x v="7"/>
    <x v="17"/>
    <s v="Actual"/>
    <x v="10"/>
    <x v="0"/>
    <s v="ZUMZUM ALFAYHAA INSAAT"/>
    <s v="Materials"/>
    <x v="361"/>
    <s v="13026"/>
    <d v="2026-01-18T00:00:00"/>
    <n v="2026400093"/>
    <s v="Jan"/>
    <n v="2026"/>
  </r>
  <r>
    <n v="398"/>
    <x v="7"/>
    <x v="22"/>
    <s v="Actual"/>
    <x v="10"/>
    <x v="0"/>
    <s v="ZUMZUM ALFAYHAA INSAAT"/>
    <s v="Materials"/>
    <x v="362"/>
    <s v="13024"/>
    <d v="2026-01-18T00:00:00"/>
    <n v="2026400092"/>
    <s v="Jan"/>
    <n v="2026"/>
  </r>
  <r>
    <n v="399"/>
    <x v="6"/>
    <x v="13"/>
    <s v="Actual"/>
    <x v="10"/>
    <x v="0"/>
    <s v="ZUMZUM ALFAYHAA INSAAT"/>
    <s v="Materials"/>
    <x v="363"/>
    <s v="13020"/>
    <d v="2026-01-18T00:00:00"/>
    <n v="2026400097"/>
    <s v="Jan"/>
    <n v="2026"/>
  </r>
  <r>
    <n v="400"/>
    <x v="7"/>
    <x v="17"/>
    <s v="Actual"/>
    <x v="10"/>
    <x v="0"/>
    <s v="ZUMZUM ALFAYHAA INSAAT"/>
    <s v="Materials"/>
    <x v="364"/>
    <s v="13018"/>
    <d v="2026-01-18T00:00:00"/>
    <n v="2026400090"/>
    <s v="Jan"/>
    <n v="2026"/>
  </r>
  <r>
    <n v="401"/>
    <x v="6"/>
    <x v="7"/>
    <s v="Actual"/>
    <x v="10"/>
    <x v="0"/>
    <s v="ZUMZUM ALFAYHAA INSAAT"/>
    <s v="Materials"/>
    <x v="6"/>
    <s v="12938"/>
    <d v="2026-01-18T00:00:00"/>
    <n v="2026400058"/>
    <s v="Jan"/>
    <n v="2026"/>
  </r>
  <r>
    <n v="402"/>
    <x v="4"/>
    <x v="4"/>
    <s v="Actual"/>
    <x v="10"/>
    <x v="0"/>
    <s v="ZUMZUM ALFAYHAA INSAAT"/>
    <s v="Materials"/>
    <x v="365"/>
    <s v="12906"/>
    <d v="2026-01-18T00:00:00"/>
    <n v="2026400017"/>
    <s v="Jan"/>
    <n v="2026"/>
  </r>
  <r>
    <n v="403"/>
    <x v="9"/>
    <x v="29"/>
    <s v="Actual"/>
    <x v="10"/>
    <x v="0"/>
    <s v="ZUMZUM ALFAYHAA INSAAT"/>
    <s v="Materials"/>
    <x v="366"/>
    <s v="12752"/>
    <d v="2025-12-31T00:00:00"/>
    <n v="2025404779"/>
    <s v="Jan"/>
    <n v="2026"/>
  </r>
  <r>
    <n v="404"/>
    <x v="4"/>
    <x v="4"/>
    <s v="Actual"/>
    <x v="10"/>
    <x v="0"/>
    <s v="ZUMZUM ALFAYHAA INSAAT"/>
    <s v="Materials"/>
    <x v="367"/>
    <s v="13054"/>
    <d v="2026-01-19T00:00:00"/>
    <n v="2026400117"/>
    <s v="Jan"/>
    <n v="2026"/>
  </r>
  <r>
    <n v="405"/>
    <x v="9"/>
    <x v="18"/>
    <s v="Actual"/>
    <x v="10"/>
    <x v="0"/>
    <s v="ZUMZUM ALFAYHAA INSAAT"/>
    <s v="Materials"/>
    <x v="368"/>
    <s v="13046"/>
    <d v="2026-01-19T00:00:00"/>
    <n v="2026400125"/>
    <s v="Jan"/>
    <n v="2026"/>
  </r>
  <r>
    <n v="406"/>
    <x v="7"/>
    <x v="22"/>
    <s v="Actual"/>
    <x v="10"/>
    <x v="0"/>
    <s v="ZUMZUM ALFAYHAA INSAAT"/>
    <s v="Materials"/>
    <x v="369"/>
    <s v="13044"/>
    <d v="2026-01-19T00:00:00"/>
    <n v="2026400124"/>
    <s v="Jan"/>
    <n v="2026"/>
  </r>
  <r>
    <n v="407"/>
    <x v="7"/>
    <x v="22"/>
    <s v="Actual"/>
    <x v="10"/>
    <x v="0"/>
    <s v="ZUMZUM ALFAYHAA INSAAT"/>
    <s v="Materials"/>
    <x v="370"/>
    <s v="13042"/>
    <d v="2026-01-19T00:00:00"/>
    <n v="2026400123"/>
    <s v="Jan"/>
    <n v="2026"/>
  </r>
  <r>
    <n v="408"/>
    <x v="7"/>
    <x v="22"/>
    <s v="Actual"/>
    <x v="10"/>
    <x v="0"/>
    <s v="ZUMZUM ALFAYHAA INSAAT"/>
    <s v="Materials"/>
    <x v="371"/>
    <s v="13040"/>
    <d v="2026-01-19T00:00:00"/>
    <n v="2026400122"/>
    <s v="Jan"/>
    <n v="2026"/>
  </r>
  <r>
    <n v="409"/>
    <x v="7"/>
    <x v="19"/>
    <s v="Actual"/>
    <x v="10"/>
    <x v="0"/>
    <s v="ZUMZUM ALFAYHAA INSAAT"/>
    <s v="Materials"/>
    <x v="372"/>
    <s v="13066"/>
    <d v="2026-01-19T00:00:00"/>
    <n v="2026400166"/>
    <s v="Jan"/>
    <n v="2026"/>
  </r>
  <r>
    <n v="410"/>
    <x v="7"/>
    <x v="28"/>
    <s v="Actual"/>
    <x v="10"/>
    <x v="0"/>
    <s v="ZUMZUM ALFAYHAA INSAAT"/>
    <s v="Materials"/>
    <x v="373"/>
    <s v="12904"/>
    <d v="2026-01-10T00:00:00"/>
    <n v="2026400015"/>
    <s v="Jan"/>
    <n v="2026"/>
  </r>
  <r>
    <n v="411"/>
    <x v="7"/>
    <x v="22"/>
    <s v="Actual"/>
    <x v="10"/>
    <x v="0"/>
    <s v="ZUMZUM ALFAYHAA INSAAT"/>
    <s v="Materials"/>
    <x v="374"/>
    <s v="13062"/>
    <d v="2026-01-21T00:00:00"/>
    <n v="2026400169"/>
    <s v="Jan"/>
    <n v="2026"/>
  </r>
  <r>
    <n v="412"/>
    <x v="7"/>
    <x v="22"/>
    <s v="Actual"/>
    <x v="10"/>
    <x v="0"/>
    <s v="ZUMZUM ALFAYHAA INSAAT"/>
    <s v="Materials"/>
    <x v="375"/>
    <s v="13014"/>
    <d v="2026-01-21T00:00:00"/>
    <n v="2026400112"/>
    <s v="Jan"/>
    <n v="2026"/>
  </r>
  <r>
    <n v="413"/>
    <x v="10"/>
    <x v="35"/>
    <s v="Actual"/>
    <x v="10"/>
    <x v="0"/>
    <s v="ZUMZUM ALFAYHAA INSAAT"/>
    <s v="Materials"/>
    <x v="376"/>
    <s v="13082"/>
    <d v="2026-01-21T00:00:00"/>
    <n v="2026400151"/>
    <s v="Jan"/>
    <n v="2026"/>
  </r>
  <r>
    <n v="414"/>
    <x v="6"/>
    <x v="6"/>
    <s v="Actual"/>
    <x v="10"/>
    <x v="0"/>
    <s v="ZUMZUM ALFAYHAA INSAAT"/>
    <s v="Materials"/>
    <x v="377"/>
    <s v="13070"/>
    <d v="2026-01-21T00:00:00"/>
    <n v="2026400158"/>
    <s v="Jan"/>
    <n v="2026"/>
  </r>
  <r>
    <n v="415"/>
    <x v="6"/>
    <x v="7"/>
    <s v="Actual"/>
    <x v="10"/>
    <x v="0"/>
    <s v="ZUMZUM ALFAYHAA INSAAT"/>
    <s v="Materials"/>
    <x v="378"/>
    <s v="13060"/>
    <d v="2026-01-21T00:00:00"/>
    <n v="2026400171"/>
    <s v="Jan"/>
    <n v="2026"/>
  </r>
  <r>
    <n v="416"/>
    <x v="7"/>
    <x v="19"/>
    <s v="Actual"/>
    <x v="10"/>
    <x v="0"/>
    <s v="ZUMZUM ALFAYHAA INSAAT"/>
    <s v="Materials"/>
    <x v="379"/>
    <s v="13058"/>
    <d v="2026-01-21T00:00:00"/>
    <n v="2026400167"/>
    <s v="Jan"/>
    <n v="2026"/>
  </r>
  <r>
    <n v="417"/>
    <x v="7"/>
    <x v="17"/>
    <s v="Actual"/>
    <x v="10"/>
    <x v="0"/>
    <s v="ZUMZUM ALFAYHAA INSAAT"/>
    <s v="Materials"/>
    <x v="321"/>
    <s v="13094"/>
    <d v="2026-01-21T00:00:00"/>
    <n v="2026400147"/>
    <s v="Jan"/>
    <n v="2026"/>
  </r>
  <r>
    <n v="418"/>
    <x v="4"/>
    <x v="4"/>
    <s v="Actual"/>
    <x v="10"/>
    <x v="0"/>
    <s v="ZUMZUM ALFAYHAA INSAAT"/>
    <s v="Materials"/>
    <x v="380"/>
    <s v="13092"/>
    <d v="2026-01-21T00:00:00"/>
    <n v="2026400141"/>
    <s v="Jan"/>
    <n v="2026"/>
  </r>
  <r>
    <n v="419"/>
    <x v="4"/>
    <x v="4"/>
    <s v="Actual"/>
    <x v="10"/>
    <x v="0"/>
    <s v="ZUMZUM ALFAYHAA INSAAT"/>
    <s v="Materials"/>
    <x v="381"/>
    <s v="13090"/>
    <d v="2026-01-21T00:00:00"/>
    <n v="2026400140"/>
    <s v="Jan"/>
    <n v="2026"/>
  </r>
  <r>
    <n v="420"/>
    <x v="4"/>
    <x v="4"/>
    <s v="Actual"/>
    <x v="10"/>
    <x v="0"/>
    <s v="ZUMZUM ALFAYHAA INSAAT"/>
    <s v="Materials"/>
    <x v="382"/>
    <s v="13088"/>
    <d v="2026-01-21T00:00:00"/>
    <n v="2026400139"/>
    <s v="Jan"/>
    <n v="2026"/>
  </r>
  <r>
    <n v="421"/>
    <x v="4"/>
    <x v="4"/>
    <s v="Actual"/>
    <x v="10"/>
    <x v="0"/>
    <s v="ZUMZUM ALFAYHAA INSAAT"/>
    <s v="Materials"/>
    <x v="332"/>
    <s v="13086"/>
    <d v="2026-01-21T00:00:00"/>
    <n v="2026400138"/>
    <s v="Jan"/>
    <n v="2026"/>
  </r>
  <r>
    <n v="422"/>
    <x v="7"/>
    <x v="21"/>
    <s v="Actual"/>
    <x v="10"/>
    <x v="0"/>
    <s v="ZUMZUM ALFAYHAA INSAAT"/>
    <s v="Materials"/>
    <x v="383"/>
    <s v="13096"/>
    <d v="2026-01-21T00:00:00"/>
    <n v="2026400148"/>
    <s v="Jan"/>
    <n v="2026"/>
  </r>
  <r>
    <n v="423"/>
    <x v="10"/>
    <x v="35"/>
    <s v="Actual"/>
    <x v="10"/>
    <x v="0"/>
    <s v="ZUMZUM ALFAYHAA INSAAT"/>
    <s v="Materials"/>
    <x v="384"/>
    <s v="13100"/>
    <d v="2026-01-21T00:00:00"/>
    <n v="2026400150"/>
    <s v="Jan"/>
    <n v="2026"/>
  </r>
  <r>
    <n v="424"/>
    <x v="10"/>
    <x v="35"/>
    <s v="Actual"/>
    <x v="10"/>
    <x v="0"/>
    <s v="ZUMZUM ALFAYHAA INSAAT"/>
    <s v="Materials"/>
    <x v="385"/>
    <s v="13102"/>
    <d v="2026-01-21T00:00:00"/>
    <n v="2026400153"/>
    <s v="Jan"/>
    <n v="2026"/>
  </r>
  <r>
    <n v="425"/>
    <x v="10"/>
    <x v="35"/>
    <s v="Actual"/>
    <x v="10"/>
    <x v="0"/>
    <s v="ZUMZUM ALFAYHAA INSAAT"/>
    <s v="Materials"/>
    <x v="376"/>
    <s v="13104"/>
    <d v="2026-01-21T00:00:00"/>
    <n v="2026400152"/>
    <s v="Jan"/>
    <n v="2026"/>
  </r>
  <r>
    <n v="426"/>
    <x v="7"/>
    <x v="22"/>
    <s v="Actual"/>
    <x v="10"/>
    <x v="0"/>
    <s v="ZUMZUM ALFAYHAA INSAAT"/>
    <s v="Materials"/>
    <x v="386"/>
    <s v="13122"/>
    <d v="2026-01-24T00:00:00"/>
    <n v="2026400190"/>
    <s v="Jan"/>
    <n v="2026"/>
  </r>
  <r>
    <n v="427"/>
    <x v="7"/>
    <x v="22"/>
    <s v="Actual"/>
    <x v="10"/>
    <x v="0"/>
    <s v="ZUMZUM ALFAYHAA INSAAT"/>
    <s v="Materials"/>
    <x v="387"/>
    <s v="13140"/>
    <d v="2026-01-25T00:00:00"/>
    <n v="2026400198"/>
    <s v="Jan"/>
    <n v="2026"/>
  </r>
  <r>
    <n v="428"/>
    <x v="7"/>
    <x v="9"/>
    <s v="Actual"/>
    <x v="10"/>
    <x v="0"/>
    <s v="ZUMZUM ALFAYHAA INSAAT"/>
    <s v="Materials"/>
    <x v="388"/>
    <s v="12978"/>
    <d v="2026-01-24T00:00:00"/>
    <n v="2025403509"/>
    <s v="Jan"/>
    <n v="2026"/>
  </r>
  <r>
    <n v="429"/>
    <x v="6"/>
    <x v="7"/>
    <s v="Actual"/>
    <x v="10"/>
    <x v="0"/>
    <s v="ZUMZUM ALFAYHAA INSAAT"/>
    <s v="Materials"/>
    <x v="389"/>
    <s v="13074"/>
    <d v="2026-01-21T00:00:00"/>
    <n v="2026400160"/>
    <s v="Jan"/>
    <n v="2026"/>
  </r>
  <r>
    <n v="430"/>
    <x v="6"/>
    <x v="33"/>
    <s v="Actual"/>
    <x v="10"/>
    <x v="0"/>
    <s v="ZUMZUM ALFAYHAA INSAAT"/>
    <s v="Materials"/>
    <x v="365"/>
    <s v="13012"/>
    <d v="2026-01-18T00:00:00"/>
    <n v="2026400104"/>
    <s v="Jan"/>
    <n v="2026"/>
  </r>
  <r>
    <n v="431"/>
    <x v="7"/>
    <x v="22"/>
    <s v="Actual"/>
    <x v="10"/>
    <x v="0"/>
    <s v="ZUMZUM ALFAYHAA INSAAT"/>
    <s v="Materials"/>
    <x v="390"/>
    <s v="13144"/>
    <d v="2026-01-24T00:00:00"/>
    <n v="2026400201"/>
    <s v="Jan"/>
    <n v="2026"/>
  </r>
  <r>
    <n v="432"/>
    <x v="10"/>
    <x v="35"/>
    <s v="Actual"/>
    <x v="10"/>
    <x v="0"/>
    <s v="ZUMZUM ALFAYHAA INSAAT"/>
    <s v="Materials"/>
    <x v="391"/>
    <s v="13120"/>
    <d v="2026-01-24T00:00:00"/>
    <n v="2026400191"/>
    <s v="Jan"/>
    <n v="2026"/>
  </r>
  <r>
    <n v="433"/>
    <x v="7"/>
    <x v="17"/>
    <s v="Actual"/>
    <x v="10"/>
    <x v="0"/>
    <s v="ZUMZUM ALFAYHAA INSAAT"/>
    <s v="Materials"/>
    <x v="392"/>
    <s v="13126"/>
    <d v="2026-01-24T00:00:00"/>
    <n v="2026400189"/>
    <s v="Jan"/>
    <n v="2026"/>
  </r>
  <r>
    <n v="434"/>
    <x v="7"/>
    <x v="17"/>
    <s v="Actual"/>
    <x v="10"/>
    <x v="0"/>
    <s v="ZUMZUM ALFAYHAA INSAAT"/>
    <s v="Materials"/>
    <x v="378"/>
    <s v="13128"/>
    <d v="2026-01-25T00:00:00"/>
    <n v="2026400188"/>
    <s v="Jan"/>
    <n v="2026"/>
  </r>
  <r>
    <n v="435"/>
    <x v="7"/>
    <x v="17"/>
    <s v="Actual"/>
    <x v="10"/>
    <x v="0"/>
    <s v="ZUMZUM ALFAYHAA INSAAT"/>
    <s v="Materials"/>
    <x v="384"/>
    <s v="13130"/>
    <d v="2026-01-24T00:00:00"/>
    <n v="2026400187"/>
    <s v="Jan"/>
    <n v="2026"/>
  </r>
  <r>
    <n v="436"/>
    <x v="7"/>
    <x v="17"/>
    <s v="Actual"/>
    <x v="10"/>
    <x v="0"/>
    <s v="ZUMZUM ALFAYHAA INSAAT"/>
    <s v="Materials"/>
    <x v="393"/>
    <s v="13132"/>
    <d v="2026-01-24T00:00:00"/>
    <n v="2026400186"/>
    <s v="Jan"/>
    <n v="2026"/>
  </r>
  <r>
    <n v="437"/>
    <x v="9"/>
    <x v="18"/>
    <s v="Actual"/>
    <x v="10"/>
    <x v="0"/>
    <s v="ZUMZUM ALFAYHAA INSAAT"/>
    <s v="Materials"/>
    <x v="394"/>
    <s v="13134"/>
    <d v="2026-01-24T00:00:00"/>
    <n v="2026400185"/>
    <s v="Jan"/>
    <n v="2026"/>
  </r>
  <r>
    <n v="438"/>
    <x v="4"/>
    <x v="4"/>
    <s v="Actual"/>
    <x v="10"/>
    <x v="0"/>
    <s v="ZUMZUM ALFAYHAA INSAAT"/>
    <s v="Materials"/>
    <x v="395"/>
    <s v="13136"/>
    <d v="2026-01-25T00:00:00"/>
    <n v="2026400182"/>
    <s v="Jan"/>
    <n v="2026"/>
  </r>
  <r>
    <n v="439"/>
    <x v="4"/>
    <x v="4"/>
    <s v="Actual"/>
    <x v="10"/>
    <x v="0"/>
    <s v="ZUMZUM ALFAYHAA INSAAT"/>
    <s v="Materials"/>
    <x v="396"/>
    <s v="13138"/>
    <d v="2026-01-24T00:00:00"/>
    <n v="2026400181"/>
    <s v="Jan"/>
    <n v="2026"/>
  </r>
  <r>
    <n v="440"/>
    <x v="0"/>
    <x v="0"/>
    <s v="Actual"/>
    <x v="10"/>
    <x v="0"/>
    <s v="ZUMZUM ALFAYHAA INSAAT"/>
    <s v="Materials"/>
    <x v="397"/>
    <s v="13124"/>
    <d v="2026-01-25T00:00:00"/>
    <n v="2026400180"/>
    <s v="Jan"/>
    <n v="2026"/>
  </r>
  <r>
    <n v="441"/>
    <x v="6"/>
    <x v="6"/>
    <s v="Actual"/>
    <x v="10"/>
    <x v="0"/>
    <s v="ZUMZUM ALFAYHAA INSAAT"/>
    <s v="Materials"/>
    <x v="398"/>
    <s v="13068"/>
    <d v="2026-01-22T00:00:00"/>
    <n v="2026400157"/>
    <s v="Jan"/>
    <n v="2026"/>
  </r>
  <r>
    <n v="442"/>
    <x v="6"/>
    <x v="7"/>
    <s v="Actual"/>
    <x v="10"/>
    <x v="0"/>
    <s v="ZUMZUM ALFAYHAA INSAAT"/>
    <s v="Materials"/>
    <x v="399"/>
    <s v="13056"/>
    <d v="2026-01-24T00:00:00"/>
    <n v="2026400156"/>
    <s v="Jan"/>
    <n v="2026"/>
  </r>
  <r>
    <n v="443"/>
    <x v="10"/>
    <x v="35"/>
    <s v="Actual"/>
    <x v="10"/>
    <x v="0"/>
    <s v="ZUMZUM ALFAYHAA INSAAT"/>
    <s v="Materials"/>
    <x v="400"/>
    <s v="13084"/>
    <d v="2026-01-22T00:00:00"/>
    <n v="2026400154"/>
    <s v="Jan"/>
    <n v="2026"/>
  </r>
  <r>
    <n v="444"/>
    <x v="4"/>
    <x v="4"/>
    <s v="Actual"/>
    <x v="10"/>
    <x v="0"/>
    <s v="ZUMZUM ALFAYHAA INSAAT"/>
    <s v="Materials"/>
    <x v="401"/>
    <s v="13038"/>
    <d v="2026-01-19T00:00:00"/>
    <n v="2026400137"/>
    <s v="Jan"/>
    <n v="2026"/>
  </r>
  <r>
    <n v="445"/>
    <x v="4"/>
    <x v="4"/>
    <s v="Actual"/>
    <x v="10"/>
    <x v="0"/>
    <s v="ZUMZUM ALFAYHAA INSAAT"/>
    <s v="Materials"/>
    <x v="397"/>
    <s v="13106"/>
    <d v="2026-01-24T00:00:00"/>
    <n v="2026400116"/>
    <s v="Jan"/>
    <n v="2026"/>
  </r>
  <r>
    <n v="446"/>
    <x v="9"/>
    <x v="34"/>
    <s v="Actual"/>
    <x v="10"/>
    <x v="0"/>
    <s v="ZUMZUM ALFAYHAA INSAAT"/>
    <s v="Materials"/>
    <x v="402"/>
    <s v="13028"/>
    <d v="2026-01-24T00:00:00"/>
    <n v="2026400114"/>
    <s v="Jan"/>
    <n v="2026"/>
  </r>
  <r>
    <n v="447"/>
    <x v="7"/>
    <x v="17"/>
    <s v="Actual"/>
    <x v="10"/>
    <x v="0"/>
    <s v="ZUMZUM ALFAYHAA INSAAT"/>
    <s v="Materials"/>
    <x v="403"/>
    <s v="13008"/>
    <d v="2026-01-21T00:00:00"/>
    <n v="2026400107"/>
    <s v="Jan"/>
    <n v="2026"/>
  </r>
  <r>
    <n v="448"/>
    <x v="4"/>
    <x v="4"/>
    <s v="Actual"/>
    <x v="10"/>
    <x v="0"/>
    <s v="ZUMZUM ALFAYHAA INSAAT"/>
    <s v="Materials"/>
    <x v="404"/>
    <s v="13010"/>
    <d v="2026-01-21T00:00:00"/>
    <n v="2026400106"/>
    <s v="Jan"/>
    <n v="2026"/>
  </r>
  <r>
    <n v="449"/>
    <x v="7"/>
    <x v="19"/>
    <s v="Actual"/>
    <x v="10"/>
    <x v="0"/>
    <s v="ZUMZUM ALFAYHAA INSAAT"/>
    <s v="Materials"/>
    <x v="405"/>
    <s v="13030"/>
    <d v="2026-01-24T00:00:00"/>
    <n v="2026400098"/>
    <s v="Jan"/>
    <n v="2026"/>
  </r>
  <r>
    <n v="450"/>
    <x v="0"/>
    <x v="0"/>
    <s v="Actual"/>
    <x v="10"/>
    <x v="0"/>
    <s v="ZUMZUM ALFAYHAA INSAAT"/>
    <s v="Materials"/>
    <x v="406"/>
    <s v="12940"/>
    <d v="2026-01-24T00:00:00"/>
    <n v="2026400052"/>
    <s v="Jan"/>
    <n v="2026"/>
  </r>
  <r>
    <n v="451"/>
    <x v="4"/>
    <x v="4"/>
    <s v="Actual"/>
    <x v="10"/>
    <x v="0"/>
    <s v="ZUMZUM ALFAYHAA INSAAT"/>
    <s v="Materials"/>
    <x v="307"/>
    <s v="12942"/>
    <d v="2026-01-24T00:00:00"/>
    <n v="2026400035"/>
    <s v="Jan"/>
    <n v="2026"/>
  </r>
  <r>
    <n v="452"/>
    <x v="4"/>
    <x v="4"/>
    <s v="Actual"/>
    <x v="10"/>
    <x v="0"/>
    <s v="ZUMZUM ALFAYHAA INSAAT"/>
    <s v="Materials"/>
    <x v="407"/>
    <s v="12944"/>
    <d v="2026-01-24T00:00:00"/>
    <n v="2026400032"/>
    <s v="Jan"/>
    <n v="2026"/>
  </r>
  <r>
    <n v="453"/>
    <x v="4"/>
    <x v="4"/>
    <s v="Actual"/>
    <x v="10"/>
    <x v="0"/>
    <s v="ZUMZUM ALFAYHAA INSAAT"/>
    <s v="Materials"/>
    <x v="408"/>
    <s v="12844"/>
    <d v="2026-01-24T00:00:00"/>
    <n v="2025404832"/>
    <s v="Jan"/>
    <n v="2026"/>
  </r>
  <r>
    <n v="454"/>
    <x v="7"/>
    <x v="22"/>
    <s v="Actual"/>
    <x v="10"/>
    <x v="0"/>
    <s v="ZUMZUM ALFAYHAA INSAAT"/>
    <s v="Materials"/>
    <x v="409"/>
    <s v="13064"/>
    <d v="2026-01-21T00:00:00"/>
    <n v="2026400168"/>
    <s v="Jan"/>
    <n v="2026"/>
  </r>
  <r>
    <n v="455"/>
    <x v="10"/>
    <x v="35"/>
    <s v="Actual"/>
    <x v="10"/>
    <x v="0"/>
    <s v="ZUMZUM ALFAYHAA INSAAT"/>
    <s v="Materials"/>
    <x v="410"/>
    <s v="13022"/>
    <d v="2026-01-18T00:00:00"/>
    <n v="2026400094"/>
    <s v="Jan"/>
    <n v="2026"/>
  </r>
  <r>
    <n v="456"/>
    <x v="6"/>
    <x v="6"/>
    <s v="Actual"/>
    <x v="10"/>
    <x v="0"/>
    <s v="ZUMZUM ALFAYHAA INSAAT"/>
    <s v="Materials"/>
    <x v="381"/>
    <s v="12852"/>
    <d v="2026-01-11T00:00:00"/>
    <n v="2025404872"/>
    <s v="Jan"/>
    <n v="2026"/>
  </r>
  <r>
    <n v="457"/>
    <x v="10"/>
    <x v="15"/>
    <s v="Actual"/>
    <x v="10"/>
    <x v="0"/>
    <s v="ZUMZUM ALFAYHAA INSAAT"/>
    <s v="Materials"/>
    <x v="351"/>
    <s v="13156"/>
    <d v="2026-01-28T00:00:00"/>
    <n v="2026400252"/>
    <s v="Jan"/>
    <n v="2026"/>
  </r>
  <r>
    <n v="458"/>
    <x v="6"/>
    <x v="13"/>
    <s v="Actual"/>
    <x v="10"/>
    <x v="0"/>
    <s v="ZUMZUM ALFAYHAA INSAAT"/>
    <s v="Materials"/>
    <x v="411"/>
    <s v="13198"/>
    <d v="2026-01-28T00:00:00"/>
    <n v="2026400250"/>
    <s v="Jan"/>
    <n v="2026"/>
  </r>
  <r>
    <n v="459"/>
    <x v="7"/>
    <x v="22"/>
    <s v="Actual"/>
    <x v="10"/>
    <x v="0"/>
    <s v="ZUMZUM ALFAYHAA INSAAT"/>
    <s v="Materials"/>
    <x v="370"/>
    <s v="13142"/>
    <d v="2026-01-25T00:00:00"/>
    <n v="2026400199"/>
    <s v="Jan"/>
    <n v="2026"/>
  </r>
  <r>
    <n v="460"/>
    <x v="9"/>
    <x v="24"/>
    <s v="Actual"/>
    <x v="10"/>
    <x v="0"/>
    <s v="ZUMZUM ALFAYHAA INSAAT"/>
    <s v="Materials"/>
    <x v="412"/>
    <s v="13180"/>
    <d v="2026-01-28T00:00:00"/>
    <n v="2026400227"/>
    <s v="Jan"/>
    <n v="2026"/>
  </r>
  <r>
    <n v="461"/>
    <x v="6"/>
    <x v="27"/>
    <s v="Actual"/>
    <x v="10"/>
    <x v="0"/>
    <s v="ZUMZUM ALFAYHAA INSAAT"/>
    <s v="Materials"/>
    <x v="413"/>
    <s v="13184"/>
    <d v="2026-01-28T00:00:00"/>
    <n v="2026400226"/>
    <s v="Jan"/>
    <n v="2026"/>
  </r>
  <r>
    <n v="462"/>
    <x v="6"/>
    <x v="6"/>
    <s v="Actual"/>
    <x v="10"/>
    <x v="0"/>
    <s v="ZUMZUM ALFAYHAA INSAAT"/>
    <s v="Materials"/>
    <x v="414"/>
    <s v="13188"/>
    <d v="2026-01-28T00:00:00"/>
    <n v="2026400245"/>
    <s v="Jan"/>
    <n v="2026"/>
  </r>
  <r>
    <n v="463"/>
    <x v="6"/>
    <x v="6"/>
    <s v="Actual"/>
    <x v="10"/>
    <x v="0"/>
    <s v="ZUMZUM ALFAYHAA INSAAT"/>
    <s v="Materials"/>
    <x v="415"/>
    <s v="13192"/>
    <d v="2026-01-28T00:00:00"/>
    <n v="2026400247"/>
    <s v="Jan"/>
    <n v="2026"/>
  </r>
  <r>
    <n v="464"/>
    <x v="6"/>
    <x v="13"/>
    <s v="Actual"/>
    <x v="10"/>
    <x v="0"/>
    <s v="ZUMZUM ALFAYHAA INSAAT"/>
    <s v="Materials"/>
    <x v="416"/>
    <s v="13162"/>
    <d v="2026-01-28T00:00:00"/>
    <n v="2026400251"/>
    <s v="Jan"/>
    <n v="2026"/>
  </r>
  <r>
    <n v="465"/>
    <x v="7"/>
    <x v="17"/>
    <s v="Actual"/>
    <x v="10"/>
    <x v="0"/>
    <s v="ZUMZUM ALFAYHAA INSAAT"/>
    <s v="Materials"/>
    <x v="417"/>
    <s v="13194"/>
    <d v="2026-01-28T00:00:00"/>
    <n v="2026400248"/>
    <s v="Jan"/>
    <n v="2026"/>
  </r>
  <r>
    <n v="466"/>
    <x v="7"/>
    <x v="22"/>
    <s v="Actual"/>
    <x v="10"/>
    <x v="0"/>
    <s v="ZUMZUM ALFAYHAA INSAAT"/>
    <s v="Materials"/>
    <x v="418"/>
    <s v="13196"/>
    <d v="2026-01-28T00:00:00"/>
    <n v="2026400249"/>
    <s v="Jan"/>
    <n v="2026"/>
  </r>
  <r>
    <n v="467"/>
    <x v="6"/>
    <x v="13"/>
    <s v="Actual"/>
    <x v="10"/>
    <x v="0"/>
    <s v="ZUMZUM ALFAYHAA INSAAT"/>
    <s v="Materials"/>
    <x v="419"/>
    <s v="13178"/>
    <d v="2026-01-28T00:00:00"/>
    <n v="2026400231"/>
    <s v="Jan"/>
    <n v="2026"/>
  </r>
  <r>
    <n v="468"/>
    <x v="9"/>
    <x v="24"/>
    <s v="Actual"/>
    <x v="10"/>
    <x v="0"/>
    <s v="ZUMZUM ALFAYHAA INSAAT"/>
    <s v="Materials"/>
    <x v="420"/>
    <s v="13182"/>
    <d v="2026-01-28T00:00:00"/>
    <n v="2026400228"/>
    <s v="Jan"/>
    <n v="2026"/>
  </r>
  <r>
    <n v="469"/>
    <x v="9"/>
    <x v="34"/>
    <s v="Actual"/>
    <x v="10"/>
    <x v="0"/>
    <s v="ZUMZUM ALFAYHAA INSAAT"/>
    <s v="Materials"/>
    <x v="421"/>
    <s v="13176"/>
    <d v="2026-01-28T00:00:00"/>
    <n v="2026400235"/>
    <s v="Jan"/>
    <n v="2026"/>
  </r>
  <r>
    <n v="470"/>
    <x v="6"/>
    <x v="7"/>
    <s v="Actual"/>
    <x v="10"/>
    <x v="0"/>
    <s v="ZUMZUM ALFAYHAA INSAAT"/>
    <s v="Materials"/>
    <x v="422"/>
    <s v="13172"/>
    <d v="2026-01-28T00:00:00"/>
    <n v="2026400257"/>
    <s v="Jan"/>
    <n v="2026"/>
  </r>
  <r>
    <n v="471"/>
    <x v="6"/>
    <x v="13"/>
    <s v="Actual"/>
    <x v="10"/>
    <x v="0"/>
    <s v="ZUMZUM ALFAYHAA INSAAT"/>
    <s v="Materials"/>
    <x v="423"/>
    <s v="13160"/>
    <d v="2026-01-28T00:00:00"/>
    <n v="2026400242"/>
    <s v="Jan"/>
    <n v="2026"/>
  </r>
  <r>
    <n v="472"/>
    <x v="6"/>
    <x v="25"/>
    <s v="Actual"/>
    <x v="10"/>
    <x v="0"/>
    <s v="ZUMZUM ALFAYHAA INSAAT"/>
    <s v="Materials"/>
    <x v="424"/>
    <s v="13170"/>
    <d v="2026-01-28T00:00:00"/>
    <n v="2026400230"/>
    <s v="Jan"/>
    <n v="2026"/>
  </r>
  <r>
    <n v="473"/>
    <x v="6"/>
    <x v="6"/>
    <s v="Actual"/>
    <x v="10"/>
    <x v="0"/>
    <s v="ZUMZUM ALFAYHAA INSAAT"/>
    <s v="Materials"/>
    <x v="363"/>
    <s v="13174"/>
    <d v="2026-01-28T00:00:00"/>
    <n v="2026400236"/>
    <s v="Jan"/>
    <n v="2026"/>
  </r>
  <r>
    <n v="474"/>
    <x v="6"/>
    <x v="13"/>
    <s v="Actual"/>
    <x v="10"/>
    <x v="0"/>
    <s v="ZUMZUM ALFAYHAA INSAAT"/>
    <s v="Materials"/>
    <x v="425"/>
    <s v="13166"/>
    <d v="2026-01-28T00:00:00"/>
    <n v="2026400239"/>
    <s v="Jan"/>
    <n v="2026"/>
  </r>
  <r>
    <n v="475"/>
    <x v="6"/>
    <x v="13"/>
    <s v="Actual"/>
    <x v="10"/>
    <x v="0"/>
    <s v="ZUMZUM ALFAYHAA INSAAT"/>
    <s v="Materials"/>
    <x v="426"/>
    <s v="13164"/>
    <d v="2026-01-28T00:00:00"/>
    <n v="2026400241"/>
    <s v="Jan"/>
    <n v="2026"/>
  </r>
  <r>
    <n v="476"/>
    <x v="7"/>
    <x v="17"/>
    <s v="Actual"/>
    <x v="10"/>
    <x v="0"/>
    <s v="ZUMZUM ALFAYHAA INSAAT"/>
    <s v="Materials"/>
    <x v="427"/>
    <s v="12794"/>
    <d v="2026-01-08T00:00:00"/>
    <n v="2025404786"/>
    <s v="Jan"/>
    <n v="2026"/>
  </r>
  <r>
    <n v="477"/>
    <x v="6"/>
    <x v="6"/>
    <s v="Actual"/>
    <x v="10"/>
    <x v="0"/>
    <s v="ZUMZUM ALFAYHAA INSAAT"/>
    <s v="Materials"/>
    <x v="428"/>
    <s v="12984"/>
    <d v="2026-02-02T00:00:00"/>
    <n v="2026400077"/>
    <s v="Jan"/>
    <n v="2026"/>
  </r>
  <r>
    <n v="478"/>
    <x v="6"/>
    <x v="25"/>
    <s v="Actual"/>
    <x v="10"/>
    <x v="0"/>
    <s v="ZUMZUM ALFAYHAA INSAAT"/>
    <s v="Materials"/>
    <x v="429"/>
    <s v="13158"/>
    <d v="2026-01-29T00:00:00"/>
    <n v="2026400244"/>
    <s v="Jan"/>
    <n v="2026"/>
  </r>
  <r>
    <n v="479"/>
    <x v="7"/>
    <x v="8"/>
    <s v="Actual"/>
    <x v="11"/>
    <x v="0"/>
    <s v="Al-Zubair Gate"/>
    <s v="Guards"/>
    <x v="18"/>
    <s v="2535"/>
    <s v="N/A"/>
    <s v="N/A"/>
    <s v="Jan"/>
    <n v="2026"/>
  </r>
  <r>
    <n v="480"/>
    <x v="4"/>
    <x v="4"/>
    <s v="Actual"/>
    <x v="11"/>
    <x v="0"/>
    <s v="Al Hurea Security Services"/>
    <s v="Guards"/>
    <x v="430"/>
    <s v="IGCC-BSR-260101"/>
    <d v="2026-01-31T00:00:00"/>
    <s v="N/A"/>
    <s v="Jan"/>
    <n v="2026"/>
  </r>
  <r>
    <n v="481"/>
    <x v="3"/>
    <x v="3"/>
    <s v="Actual"/>
    <x v="11"/>
    <x v="0"/>
    <s v="LARSA Security"/>
    <s v="Guards"/>
    <x v="431"/>
    <s v="INV-IGCC-NORTH RUMILA -26-01-001"/>
    <d v="2026-01-31T00:00:00"/>
    <s v="N/A"/>
    <s v="Jan"/>
    <n v="2026"/>
  </r>
  <r>
    <n v="482"/>
    <x v="7"/>
    <x v="8"/>
    <s v="Actual"/>
    <x v="11"/>
    <x v="0"/>
    <s v="LARSA Security"/>
    <s v="Guards"/>
    <x v="432"/>
    <s v="INV-IGCC-IGCC QARINAT -26-01-005"/>
    <d v="2026-01-31T00:00:00"/>
    <s v="N/A"/>
    <s v="Jan"/>
    <n v="2026"/>
  </r>
  <r>
    <n v="483"/>
    <x v="3"/>
    <x v="3"/>
    <s v="Actual"/>
    <x v="11"/>
    <x v="0"/>
    <s v="LARSA Security"/>
    <s v="Guards"/>
    <x v="433"/>
    <s v="INV-IGCC-SOUTH RUMILA -26-01-006"/>
    <d v="2026-01-31T00:00:00"/>
    <s v="N/A"/>
    <s v="Jan"/>
    <n v="2026"/>
  </r>
  <r>
    <n v="484"/>
    <x v="6"/>
    <x v="7"/>
    <s v="Actual"/>
    <x v="11"/>
    <x v="0"/>
    <s v="LARSA Security"/>
    <s v="Guards"/>
    <x v="434"/>
    <s v="INV-IGCC-UM QASIR -26-01-003"/>
    <d v="2026-01-31T00:00:00"/>
    <s v="N/A"/>
    <s v="Jan"/>
    <n v="2026"/>
  </r>
  <r>
    <n v="485"/>
    <x v="6"/>
    <x v="7"/>
    <s v="Actual"/>
    <x v="11"/>
    <x v="0"/>
    <s v="LARSA Security"/>
    <s v="PSD"/>
    <x v="435"/>
    <s v="INV-IGCC-UM QASIR ADHOC -26-01-004"/>
    <d v="2026-01-31T00:00:00"/>
    <s v="N/A"/>
    <s v="Jan"/>
    <n v="2026"/>
  </r>
  <r>
    <n v="486"/>
    <x v="10"/>
    <x v="15"/>
    <s v="Actual"/>
    <x v="11"/>
    <x v="0"/>
    <s v="Derraa Al Rumaila Security"/>
    <s v="Guards"/>
    <x v="436"/>
    <s v="3010260126"/>
    <d v="2026-01-30T00:00:00"/>
    <s v="N/A"/>
    <s v="Jan"/>
    <n v="2026"/>
  </r>
  <r>
    <n v="487"/>
    <x v="6"/>
    <x v="14"/>
    <s v="Actual"/>
    <x v="11"/>
    <x v="0"/>
    <s v="Derraa Al Rumaila Security"/>
    <s v="Guards"/>
    <x v="4"/>
    <s v="3010260126"/>
    <d v="2026-01-30T00:00:00"/>
    <s v="N/A"/>
    <s v="Jan"/>
    <n v="2026"/>
  </r>
  <r>
    <n v="488"/>
    <x v="6"/>
    <x v="14"/>
    <s v="Actual"/>
    <x v="11"/>
    <x v="0"/>
    <s v="Derraa Al Rumaila Security"/>
    <s v="Guards"/>
    <x v="437"/>
    <s v="3010260126"/>
    <d v="2026-01-30T00:00:00"/>
    <s v="N/A"/>
    <s v="Jan"/>
    <n v="2026"/>
  </r>
  <r>
    <n v="489"/>
    <x v="7"/>
    <x v="16"/>
    <s v="Actual"/>
    <x v="11"/>
    <x v="0"/>
    <s v="LARSA Security"/>
    <s v="PSD"/>
    <x v="432"/>
    <s v="INV-IGCC-NORTH RUMILA -26-01-002"/>
    <d v="2026-01-31T00:00:00"/>
    <s v="N/A"/>
    <s v="Jan"/>
    <n v="2026"/>
  </r>
  <r>
    <n v="490"/>
    <x v="0"/>
    <x v="0"/>
    <s v="Accrual"/>
    <x v="12"/>
    <x v="0"/>
    <s v="IGCC"/>
    <s v="Social security"/>
    <x v="438"/>
    <s v="N/A"/>
    <s v="N/A"/>
    <s v="N/A"/>
    <s v="Jan"/>
    <n v="2026"/>
  </r>
  <r>
    <n v="491"/>
    <x v="6"/>
    <x v="13"/>
    <s v="Actual"/>
    <x v="13"/>
    <x v="0"/>
    <s v="IGCC"/>
    <s v="Payroll Jan"/>
    <x v="439"/>
    <s v="N/A"/>
    <s v="N/A"/>
    <s v="N/A"/>
    <s v="Jan"/>
    <n v="2026"/>
  </r>
  <r>
    <n v="492"/>
    <x v="6"/>
    <x v="36"/>
    <s v="Actual"/>
    <x v="13"/>
    <x v="0"/>
    <s v="IGCC"/>
    <s v="Payroll Jan"/>
    <x v="440"/>
    <s v="N/A"/>
    <s v="N/A"/>
    <s v="N/A"/>
    <s v="Jan"/>
    <n v="2026"/>
  </r>
  <r>
    <n v="493"/>
    <x v="6"/>
    <x v="6"/>
    <s v="Actual"/>
    <x v="13"/>
    <x v="0"/>
    <s v="IGCC"/>
    <s v="Payroll Jan"/>
    <x v="441"/>
    <s v="N/A"/>
    <s v="N/A"/>
    <s v="N/A"/>
    <s v="Jan"/>
    <n v="2026"/>
  </r>
  <r>
    <n v="494"/>
    <x v="6"/>
    <x v="30"/>
    <s v="Actual"/>
    <x v="13"/>
    <x v="0"/>
    <s v="IGCC"/>
    <s v="Payroll Jan"/>
    <x v="442"/>
    <s v="N/A"/>
    <s v="N/A"/>
    <s v="N/A"/>
    <s v="Jan"/>
    <n v="2026"/>
  </r>
  <r>
    <n v="495"/>
    <x v="6"/>
    <x v="14"/>
    <s v="Actual"/>
    <x v="13"/>
    <x v="0"/>
    <s v="IGCC"/>
    <s v="Payroll Jan"/>
    <x v="443"/>
    <s v="N/A"/>
    <s v="N/A"/>
    <s v="N/A"/>
    <s v="Jan"/>
    <n v="2026"/>
  </r>
  <r>
    <n v="496"/>
    <x v="6"/>
    <x v="33"/>
    <s v="Actual"/>
    <x v="13"/>
    <x v="0"/>
    <s v="IGCC"/>
    <s v="Payroll Jan"/>
    <x v="444"/>
    <s v="N/A"/>
    <s v="N/A"/>
    <s v="N/A"/>
    <s v="Jan"/>
    <n v="2026"/>
  </r>
  <r>
    <n v="497"/>
    <x v="6"/>
    <x v="7"/>
    <s v="Actual"/>
    <x v="13"/>
    <x v="0"/>
    <s v="IGCC"/>
    <s v="Payroll Jan"/>
    <x v="445"/>
    <s v="N/A"/>
    <s v="N/A"/>
    <s v="N/A"/>
    <s v="Jan"/>
    <n v="2026"/>
  </r>
  <r>
    <n v="498"/>
    <x v="6"/>
    <x v="27"/>
    <s v="Actual"/>
    <x v="13"/>
    <x v="0"/>
    <s v="IGCC"/>
    <s v="Payroll Jan"/>
    <x v="446"/>
    <s v="N/A"/>
    <s v="N/A"/>
    <s v="N/A"/>
    <s v="Jan"/>
    <n v="2026"/>
  </r>
  <r>
    <n v="499"/>
    <x v="5"/>
    <x v="5"/>
    <s v="Actual"/>
    <x v="13"/>
    <x v="0"/>
    <s v="IGCC"/>
    <s v="Payroll Jan"/>
    <x v="447"/>
    <s v="N/A"/>
    <s v="N/A"/>
    <s v="N/A"/>
    <s v="Jan"/>
    <n v="2026"/>
  </r>
  <r>
    <n v="500"/>
    <x v="10"/>
    <x v="15"/>
    <s v="Actual"/>
    <x v="13"/>
    <x v="0"/>
    <s v="IGCC"/>
    <s v="Payroll Jan"/>
    <x v="448"/>
    <s v="N/A"/>
    <s v="N/A"/>
    <s v="N/A"/>
    <s v="Jan"/>
    <n v="2026"/>
  </r>
  <r>
    <n v="501"/>
    <x v="0"/>
    <x v="0"/>
    <s v="Actual"/>
    <x v="13"/>
    <x v="0"/>
    <s v="IGCC"/>
    <s v="Payroll Jan"/>
    <x v="449"/>
    <s v="N/A"/>
    <s v="N/A"/>
    <s v="N/A"/>
    <s v="Jan"/>
    <n v="2026"/>
  </r>
  <r>
    <n v="502"/>
    <x v="8"/>
    <x v="10"/>
    <s v="Actual"/>
    <x v="13"/>
    <x v="0"/>
    <s v="IGCC"/>
    <s v="Payroll Jan"/>
    <x v="450"/>
    <s v="N/A"/>
    <s v="N/A"/>
    <s v="N/A"/>
    <s v="Jan"/>
    <n v="2026"/>
  </r>
  <r>
    <n v="503"/>
    <x v="11"/>
    <x v="35"/>
    <s v="Actual"/>
    <x v="13"/>
    <x v="0"/>
    <s v="IGCC"/>
    <s v="Payroll Jan"/>
    <x v="451"/>
    <s v="N/A"/>
    <s v="N/A"/>
    <s v="N/A"/>
    <s v="Jan"/>
    <n v="2026"/>
  </r>
  <r>
    <n v="504"/>
    <x v="3"/>
    <x v="3"/>
    <s v="Actual"/>
    <x v="13"/>
    <x v="0"/>
    <s v="IGCC"/>
    <s v="Payroll Jan"/>
    <x v="452"/>
    <s v="N/A"/>
    <s v="N/A"/>
    <s v="N/A"/>
    <s v="Jan"/>
    <n v="2026"/>
  </r>
  <r>
    <n v="505"/>
    <x v="9"/>
    <x v="37"/>
    <s v="Actual"/>
    <x v="13"/>
    <x v="0"/>
    <s v="IGCC"/>
    <s v="Payroll Jan"/>
    <x v="453"/>
    <s v="N/A"/>
    <s v="N/A"/>
    <s v="N/A"/>
    <s v="Jan"/>
    <n v="2026"/>
  </r>
  <r>
    <n v="506"/>
    <x v="9"/>
    <x v="18"/>
    <s v="Actual"/>
    <x v="13"/>
    <x v="0"/>
    <s v="IGCC"/>
    <s v="Payroll Jan"/>
    <x v="454"/>
    <s v="N/A"/>
    <s v="N/A"/>
    <s v="N/A"/>
    <s v="Jan"/>
    <n v="2026"/>
  </r>
  <r>
    <n v="507"/>
    <x v="9"/>
    <x v="24"/>
    <s v="Actual"/>
    <x v="13"/>
    <x v="0"/>
    <s v="IGCC"/>
    <s v="Payroll Jan"/>
    <x v="455"/>
    <s v="N/A"/>
    <s v="N/A"/>
    <s v="N/A"/>
    <s v="Jan"/>
    <n v="2026"/>
  </r>
  <r>
    <n v="508"/>
    <x v="9"/>
    <x v="32"/>
    <s v="Actual"/>
    <x v="13"/>
    <x v="0"/>
    <s v="IGCC"/>
    <s v="Payroll Jan"/>
    <x v="456"/>
    <s v="N/A"/>
    <s v="N/A"/>
    <s v="N/A"/>
    <s v="Jan"/>
    <n v="2026"/>
  </r>
  <r>
    <n v="509"/>
    <x v="9"/>
    <x v="29"/>
    <s v="Actual"/>
    <x v="13"/>
    <x v="0"/>
    <s v="IGCC"/>
    <s v="Payroll Jan"/>
    <x v="457"/>
    <s v="N/A"/>
    <s v="N/A"/>
    <s v="N/A"/>
    <s v="Jan"/>
    <n v="2026"/>
  </r>
  <r>
    <n v="510"/>
    <x v="7"/>
    <x v="23"/>
    <s v="Actual"/>
    <x v="13"/>
    <x v="0"/>
    <s v="IGCC"/>
    <s v="Payroll Jan"/>
    <x v="458"/>
    <s v="N/A"/>
    <s v="N/A"/>
    <s v="N/A"/>
    <s v="Jan"/>
    <n v="2026"/>
  </r>
  <r>
    <n v="511"/>
    <x v="7"/>
    <x v="28"/>
    <s v="Actual"/>
    <x v="13"/>
    <x v="0"/>
    <s v="IGCC"/>
    <s v="Payroll Jan"/>
    <x v="459"/>
    <s v="N/A"/>
    <s v="N/A"/>
    <s v="N/A"/>
    <s v="Jan"/>
    <n v="2026"/>
  </r>
  <r>
    <n v="512"/>
    <x v="7"/>
    <x v="19"/>
    <s v="Actual"/>
    <x v="13"/>
    <x v="0"/>
    <s v="IGCC"/>
    <s v="Payroll Jan"/>
    <x v="460"/>
    <s v="N/A"/>
    <s v="N/A"/>
    <s v="N/A"/>
    <s v="Jan"/>
    <n v="2026"/>
  </r>
  <r>
    <n v="513"/>
    <x v="7"/>
    <x v="31"/>
    <s v="Actual"/>
    <x v="13"/>
    <x v="0"/>
    <s v="IGCC"/>
    <s v="Payroll Jan"/>
    <x v="461"/>
    <s v="N/A"/>
    <s v="N/A"/>
    <s v="N/A"/>
    <s v="Jan"/>
    <n v="2026"/>
  </r>
  <r>
    <n v="514"/>
    <x v="7"/>
    <x v="21"/>
    <s v="Actual"/>
    <x v="13"/>
    <x v="0"/>
    <s v="IGCC"/>
    <s v="Payroll Jan"/>
    <x v="462"/>
    <s v="N/A"/>
    <s v="N/A"/>
    <s v="N/A"/>
    <s v="Jan"/>
    <n v="2026"/>
  </r>
  <r>
    <n v="515"/>
    <x v="7"/>
    <x v="22"/>
    <s v="Actual"/>
    <x v="13"/>
    <x v="0"/>
    <s v="IGCC"/>
    <s v="Payroll Jan"/>
    <x v="463"/>
    <s v="N/A"/>
    <s v="N/A"/>
    <s v="N/A"/>
    <s v="Jan"/>
    <n v="2026"/>
  </r>
  <r>
    <n v="516"/>
    <x v="7"/>
    <x v="26"/>
    <s v="Actual"/>
    <x v="13"/>
    <x v="0"/>
    <s v="IGCC"/>
    <s v="Payroll Jan"/>
    <x v="464"/>
    <s v="N/A"/>
    <s v="N/A"/>
    <s v="N/A"/>
    <s v="Jan"/>
    <n v="2026"/>
  </r>
  <r>
    <n v="517"/>
    <x v="7"/>
    <x v="17"/>
    <s v="Actual"/>
    <x v="13"/>
    <x v="0"/>
    <s v="IGCC"/>
    <s v="Payroll Jan"/>
    <x v="465"/>
    <s v="N/A"/>
    <s v="N/A"/>
    <s v="N/A"/>
    <s v="Jan"/>
    <n v="2026"/>
  </r>
  <r>
    <n v="518"/>
    <x v="7"/>
    <x v="8"/>
    <s v="Actual"/>
    <x v="13"/>
    <x v="0"/>
    <s v="IGCC"/>
    <s v="Payroll Jan"/>
    <x v="466"/>
    <s v="N/A"/>
    <s v="N/A"/>
    <s v="N/A"/>
    <s v="Jan"/>
    <n v="2026"/>
  </r>
  <r>
    <n v="519"/>
    <x v="7"/>
    <x v="38"/>
    <s v="Actual"/>
    <x v="13"/>
    <x v="0"/>
    <s v="IGCC"/>
    <s v="Payroll Jan"/>
    <x v="467"/>
    <s v="N/A"/>
    <s v="N/A"/>
    <s v="N/A"/>
    <s v="Jan"/>
    <n v="2026"/>
  </r>
  <r>
    <n v="520"/>
    <x v="4"/>
    <x v="4"/>
    <s v="Actual"/>
    <x v="13"/>
    <x v="0"/>
    <s v="IGCC"/>
    <s v="Payroll Jan"/>
    <x v="468"/>
    <s v="N/A"/>
    <s v="N/A"/>
    <s v="N/A"/>
    <s v="Jan"/>
    <n v="2026"/>
  </r>
  <r>
    <n v="521"/>
    <x v="0"/>
    <x v="0"/>
    <s v="Actual"/>
    <x v="13"/>
    <x v="0"/>
    <s v="IGCC"/>
    <s v="Off Payroll Jan"/>
    <x v="469"/>
    <s v="N/A"/>
    <s v="N/A"/>
    <s v="N/A"/>
    <s v="Jan"/>
    <n v="2026"/>
  </r>
  <r>
    <n v="522"/>
    <x v="10"/>
    <x v="15"/>
    <s v="Accrual"/>
    <x v="13"/>
    <x v="0"/>
    <s v="IGCC"/>
    <s v="Jan 25 Camp Civil &amp; Mechanical team "/>
    <x v="470"/>
    <s v="N/A"/>
    <s v="N/A"/>
    <s v="N/A"/>
    <s v="Jan"/>
    <n v="2026"/>
  </r>
  <r>
    <n v="523"/>
    <x v="0"/>
    <x v="0"/>
    <s v="Actual"/>
    <x v="13"/>
    <x v="0"/>
    <s v="IGCC"/>
    <s v="Jan 26 transport allowance"/>
    <x v="471"/>
    <s v="N/A"/>
    <s v="N/A"/>
    <s v="N/A"/>
    <s v="Jan"/>
    <n v="2026"/>
  </r>
  <r>
    <n v="524"/>
    <x v="2"/>
    <x v="2"/>
    <s v="Actual"/>
    <x v="13"/>
    <x v="0"/>
    <s v="IGCC"/>
    <s v="Management Payroll"/>
    <x v="472"/>
    <s v="N/A"/>
    <s v="N/A"/>
    <s v="N/A"/>
    <s v="Jan"/>
    <n v="2026"/>
  </r>
  <r>
    <n v="525"/>
    <x v="4"/>
    <x v="4"/>
    <s v="Accrual"/>
    <x v="14"/>
    <x v="0"/>
    <s v="Al Ajdar For General Trading and General Purchasing Ltd"/>
    <s v="Welding"/>
    <x v="473"/>
    <s v="N/A"/>
    <s v="N/A"/>
    <s v="N/A"/>
    <s v="Jan"/>
    <n v="2026"/>
  </r>
  <r>
    <n v="526"/>
    <x v="7"/>
    <x v="19"/>
    <s v="Accrual"/>
    <x v="14"/>
    <x v="0"/>
    <s v="Al Ajdar For General Trading and General Purchasing Ltd"/>
    <s v="Welding"/>
    <x v="474"/>
    <s v="N/A"/>
    <s v="N/A"/>
    <s v="N/A"/>
    <s v="Jan"/>
    <n v="2026"/>
  </r>
  <r>
    <n v="527"/>
    <x v="6"/>
    <x v="7"/>
    <s v="Actual"/>
    <x v="14"/>
    <x v="0"/>
    <s v="Alaq Al Abraj Co."/>
    <s v="Welding"/>
    <x v="475"/>
    <s v="IGCC-012026-4"/>
    <d v="2026-01-22T00:00:00"/>
    <s v="N/A"/>
    <s v="Jan"/>
    <n v="2026"/>
  </r>
  <r>
    <n v="528"/>
    <x v="10"/>
    <x v="15"/>
    <s v="Accrual"/>
    <x v="14"/>
    <x v="0"/>
    <s v="Maraba Al Rafidain"/>
    <s v="Welding"/>
    <x v="476"/>
    <s v="N/A"/>
    <s v="N/A"/>
    <s v="N/A"/>
    <s v="Jan"/>
    <n v="2026"/>
  </r>
  <r>
    <n v="529"/>
    <x v="7"/>
    <x v="17"/>
    <s v="Accrual"/>
    <x v="14"/>
    <x v="0"/>
    <s v="Jafar Mohammed shawa"/>
    <s v="Civil works"/>
    <x v="477"/>
    <s v="N/A"/>
    <s v="N/A"/>
    <s v="N/A"/>
    <s v="Jan"/>
    <n v="2026"/>
  </r>
  <r>
    <n v="530"/>
    <x v="7"/>
    <x v="28"/>
    <s v="Accrual"/>
    <x v="14"/>
    <x v="0"/>
    <s v="Jafar Mohammed shawa"/>
    <s v="Civil works"/>
    <x v="478"/>
    <s v="N/A"/>
    <s v="N/A"/>
    <s v="N/A"/>
    <s v="Jan"/>
    <n v="2026"/>
  </r>
  <r>
    <n v="531"/>
    <x v="4"/>
    <x v="4"/>
    <s v="Accrual"/>
    <x v="14"/>
    <x v="0"/>
    <s v="Burj Al Rafidain Hamza"/>
    <s v="Civil works"/>
    <x v="479"/>
    <s v="N/A"/>
    <s v="N/A"/>
    <s v="N/A"/>
    <s v="Jan"/>
    <n v="2026"/>
  </r>
  <r>
    <n v="532"/>
    <x v="4"/>
    <x v="4"/>
    <s v="Accrual"/>
    <x v="14"/>
    <x v="0"/>
    <s v="Taqadm Albasrah"/>
    <s v="Civil works"/>
    <x v="480"/>
    <s v="N/A"/>
    <s v="N/A"/>
    <s v="N/A"/>
    <s v="Jan"/>
    <n v="2026"/>
  </r>
  <r>
    <n v="533"/>
    <x v="4"/>
    <x v="4"/>
    <s v="Accrual"/>
    <x v="14"/>
    <x v="0"/>
    <s v="Burj Al Rafidain Hamza"/>
    <s v="Civil works/Qassim"/>
    <x v="481"/>
    <s v="N/A"/>
    <s v="N/A"/>
    <s v="N/A"/>
    <s v="Jan"/>
    <n v="2026"/>
  </r>
  <r>
    <n v="534"/>
    <x v="3"/>
    <x v="3"/>
    <s v="Accrual"/>
    <x v="15"/>
    <x v="0"/>
    <s v="Taqadm Albasrah"/>
    <s v="labourers"/>
    <x v="482"/>
    <s v="N/A"/>
    <s v="N/A"/>
    <s v="N/A"/>
    <s v="Jan"/>
    <n v="2026"/>
  </r>
  <r>
    <n v="535"/>
    <x v="3"/>
    <x v="3"/>
    <s v="Accrual"/>
    <x v="15"/>
    <x v="0"/>
    <s v="Taqadm Albasrah"/>
    <s v="labourers"/>
    <x v="483"/>
    <s v="N/A"/>
    <s v="N/A"/>
    <s v="N/A"/>
    <s v="Jan"/>
    <n v="2026"/>
  </r>
  <r>
    <n v="536"/>
    <x v="7"/>
    <x v="22"/>
    <s v="Accrual"/>
    <x v="15"/>
    <x v="0"/>
    <s v="Taqadm Albasrah"/>
    <s v="labourers"/>
    <x v="484"/>
    <s v="N/A"/>
    <s v="N/A"/>
    <s v="N/A"/>
    <s v="Jan"/>
    <n v="2026"/>
  </r>
  <r>
    <n v="537"/>
    <x v="9"/>
    <x v="18"/>
    <s v="Accrual"/>
    <x v="15"/>
    <x v="0"/>
    <s v="Taqadm Albasrah"/>
    <s v="labourers"/>
    <x v="482"/>
    <s v="N/A"/>
    <s v="N/A"/>
    <s v="N/A"/>
    <s v="Jan"/>
    <n v="2026"/>
  </r>
  <r>
    <n v="538"/>
    <x v="6"/>
    <x v="6"/>
    <s v="Accrual"/>
    <x v="15"/>
    <x v="0"/>
    <s v="Taqadm Albasrah"/>
    <s v="labourers"/>
    <x v="485"/>
    <s v="N/A"/>
    <s v="N/A"/>
    <s v="N/A"/>
    <s v="Jan"/>
    <n v="2026"/>
  </r>
  <r>
    <n v="539"/>
    <x v="6"/>
    <x v="33"/>
    <s v="Accrual"/>
    <x v="15"/>
    <x v="0"/>
    <s v="Taqadm Albasrah"/>
    <s v="labourers"/>
    <x v="486"/>
    <s v="N/A"/>
    <s v="N/A"/>
    <s v="N/A"/>
    <s v="Jan"/>
    <n v="2026"/>
  </r>
  <r>
    <n v="540"/>
    <x v="6"/>
    <x v="7"/>
    <s v="Accrual"/>
    <x v="15"/>
    <x v="0"/>
    <s v="Taqadm Albasrah"/>
    <s v="labourers"/>
    <x v="487"/>
    <s v="N/A"/>
    <s v="N/A"/>
    <s v="N/A"/>
    <s v="Jan"/>
    <n v="2026"/>
  </r>
  <r>
    <n v="541"/>
    <x v="7"/>
    <x v="19"/>
    <s v="Actual"/>
    <x v="15"/>
    <x v="0"/>
    <s v="Al-Zubair Gate"/>
    <s v="labourers"/>
    <x v="488"/>
    <s v="N/A"/>
    <s v="N/A"/>
    <s v="N/A"/>
    <s v="Jan"/>
    <n v="2026"/>
  </r>
  <r>
    <n v="542"/>
    <x v="4"/>
    <x v="4"/>
    <s v="Actual"/>
    <x v="16"/>
    <x v="0"/>
    <s v="Tiqaneyat Al-Taqaddum Co. (ATC)"/>
    <s v="Testing/Calibration"/>
    <x v="255"/>
    <s v="ACC-SINV-2025-02765"/>
    <d v="2025-12-29T00:00:00"/>
    <n v="2026400179"/>
    <s v="Jan"/>
    <n v="2026"/>
  </r>
  <r>
    <n v="543"/>
    <x v="7"/>
    <x v="22"/>
    <s v="Actual"/>
    <x v="16"/>
    <x v="0"/>
    <s v="NAYA Co"/>
    <s v="Testing/Calibration"/>
    <x v="323"/>
    <s v="TR26-11549"/>
    <d v="2026-01-21T00:00:00"/>
    <n v="2026400176"/>
    <s v="Jan"/>
    <n v="2026"/>
  </r>
  <r>
    <n v="544"/>
    <x v="0"/>
    <x v="0"/>
    <s v="Actual"/>
    <x v="16"/>
    <x v="0"/>
    <s v="Ras Al Khaimah Advanced Businees Solutions"/>
    <s v="SAP"/>
    <x v="489"/>
    <s v="2026000017"/>
    <d v="2026-01-02T00:00:00"/>
    <s v="N/A"/>
    <s v="Jan"/>
    <n v="2026"/>
  </r>
  <r>
    <n v="545"/>
    <x v="0"/>
    <x v="0"/>
    <s v="Actual"/>
    <x v="16"/>
    <x v="0"/>
    <s v="Ras Al Khaimah Advanced Businees Solutions"/>
    <s v="SAP"/>
    <x v="490"/>
    <s v="2026000160"/>
    <d v="2026-01-02T00:00:00"/>
    <s v="N/A"/>
    <s v="Jan"/>
    <n v="2026"/>
  </r>
  <r>
    <n v="546"/>
    <x v="0"/>
    <x v="0"/>
    <s v="Actual"/>
    <x v="16"/>
    <x v="0"/>
    <s v="Ras Al Khaimah Advanced Businees Solutions"/>
    <s v="SAP"/>
    <x v="490"/>
    <s v="2026000160"/>
    <d v="2026-01-02T00:00:00"/>
    <s v="N/A"/>
    <s v="Jan"/>
    <n v="2026"/>
  </r>
  <r>
    <n v="547"/>
    <x v="0"/>
    <x v="0"/>
    <s v="Actual"/>
    <x v="16"/>
    <x v="0"/>
    <s v="Ras Al Khaimah Advanced Businees Solutions"/>
    <s v="SAP"/>
    <x v="490"/>
    <s v="2026000160"/>
    <d v="2026-01-02T00:00:00"/>
    <s v="N/A"/>
    <s v="Jan"/>
    <n v="2026"/>
  </r>
  <r>
    <n v="548"/>
    <x v="7"/>
    <x v="22"/>
    <s v="Actual"/>
    <x v="16"/>
    <x v="0"/>
    <s v="AL JUTHOOR WORKSHOP"/>
    <s v="Testing/Calibration"/>
    <x v="491"/>
    <s v="000679"/>
    <d v="2026-01-03T00:00:00"/>
    <n v="2026400024"/>
    <s v="Jan"/>
    <n v="2026"/>
  </r>
  <r>
    <n v="549"/>
    <x v="7"/>
    <x v="19"/>
    <s v="Actual"/>
    <x v="16"/>
    <x v="0"/>
    <s v="DMC FOR PETROLEUM SERVICES &amp; CONTRACTING"/>
    <s v="Testing/Calibration"/>
    <x v="492"/>
    <s v="DMC-INV-25-0058"/>
    <d v="2025-12-23T00:00:00"/>
    <n v="2026400080"/>
    <s v="Jan"/>
    <n v="2026"/>
  </r>
  <r>
    <n v="550"/>
    <x v="10"/>
    <x v="15"/>
    <s v="Actual"/>
    <x v="16"/>
    <x v="0"/>
    <s v="Tohama Company"/>
    <s v="Testing/Calibration"/>
    <x v="493"/>
    <s v="TIC-INV-26-0012"/>
    <d v="2026-01-02T00:00:00"/>
    <n v="2026400256"/>
    <s v="Jan"/>
    <n v="2026"/>
  </r>
  <r>
    <n v="551"/>
    <x v="6"/>
    <x v="13"/>
    <s v="Actual"/>
    <x v="16"/>
    <x v="0"/>
    <s v="Al Faw Company For Engineering Testing"/>
    <s v="Testing/Calibration"/>
    <x v="494"/>
    <s v="157/25"/>
    <d v="2025-12-20T00:00:00"/>
    <n v="2026400254"/>
    <s v="Jan"/>
    <n v="2026"/>
  </r>
  <r>
    <n v="552"/>
    <x v="7"/>
    <x v="17"/>
    <s v="Actual"/>
    <x v="16"/>
    <x v="0"/>
    <s v="Tiqaneyat Al-Taqaddum Co. (ATC)"/>
    <s v="Testing/Calibration"/>
    <x v="8"/>
    <s v="ACC-SINV-2026-00213"/>
    <d v="2026-01-21T00:00:00"/>
    <n v="2026400178"/>
    <s v="Jan"/>
    <n v="2026"/>
  </r>
  <r>
    <n v="553"/>
    <x v="6"/>
    <x v="13"/>
    <s v="Actual"/>
    <x v="16"/>
    <x v="0"/>
    <s v="RAYAT AL-SHARQ COMPANY For Inspection Services"/>
    <s v="Testing/Calibration"/>
    <x v="495"/>
    <s v="2811"/>
    <d v="2026-01-22T00:00:00"/>
    <n v="2026400255"/>
    <s v="Jan"/>
    <n v="2026"/>
  </r>
  <r>
    <n v="554"/>
    <x v="10"/>
    <x v="15"/>
    <s v="Actual"/>
    <x v="16"/>
    <x v="0"/>
    <s v="Basra Galvanizing Co."/>
    <s v="Testing/Calibration"/>
    <x v="496"/>
    <s v="B.G.B.I.095"/>
    <d v="2026-01-05T00:00:00"/>
    <n v="2026400278"/>
    <s v="Jan"/>
    <n v="2026"/>
  </r>
  <r>
    <n v="555"/>
    <x v="4"/>
    <x v="4"/>
    <s v="Actual"/>
    <x v="16"/>
    <x v="0"/>
    <s v="AL MUJTABA FOR GALVANIZING"/>
    <s v="Testing/Calibration"/>
    <x v="497"/>
    <s v="000105"/>
    <d v="2026-01-13T00:00:00"/>
    <n v="2026400321"/>
    <s v="Jan"/>
    <n v="2026"/>
  </r>
  <r>
    <n v="556"/>
    <x v="10"/>
    <x v="15"/>
    <s v="Actual"/>
    <x v="16"/>
    <x v="0"/>
    <s v="Basra Galvanizing Co."/>
    <s v="Testing/Calibration"/>
    <x v="498"/>
    <s v="B.G.B.I.096"/>
    <d v="2026-01-20T00:00:00"/>
    <n v="2026400320"/>
    <s v="Jan"/>
    <n v="2026"/>
  </r>
  <r>
    <n v="557"/>
    <x v="4"/>
    <x v="4"/>
    <s v="Actual"/>
    <x v="16"/>
    <x v="0"/>
    <s v="Cihan Insurance Company"/>
    <s v="Insurance"/>
    <x v="247"/>
    <s v="011-26"/>
    <d v="2026-01-12T00:00:00"/>
    <s v="N/A"/>
    <s v="Jan"/>
    <n v="2026"/>
  </r>
  <r>
    <n v="558"/>
    <x v="5"/>
    <x v="5"/>
    <s v="Actual"/>
    <x v="16"/>
    <x v="0"/>
    <s v="Cihan Insurance Company"/>
    <s v="Insurance"/>
    <x v="499"/>
    <s v="016-26"/>
    <d v="2026-01-22T00:00:00"/>
    <s v="N/A"/>
    <s v="Jan"/>
    <n v="2026"/>
  </r>
  <r>
    <n v="559"/>
    <x v="6"/>
    <x v="13"/>
    <s v="Actual"/>
    <x v="16"/>
    <x v="0"/>
    <s v="Miqias Inspection instrumentation Calibration"/>
    <s v="Testing/Calibration"/>
    <x v="495"/>
    <s v="INV.26-01"/>
    <d v="2026-01-15T00:00:00"/>
    <n v="2026400317"/>
    <s v="Jan"/>
    <n v="2026"/>
  </r>
  <r>
    <n v="560"/>
    <x v="6"/>
    <x v="6"/>
    <s v="Actual"/>
    <x v="16"/>
    <x v="0"/>
    <s v="AL JUTHOOR WORKSHOP"/>
    <s v="Testing/Calibration"/>
    <x v="500"/>
    <s v="000676"/>
    <d v="2026-01-21T00:00:00"/>
    <n v="2026400415"/>
    <s v="Jan"/>
    <n v="2026"/>
  </r>
  <r>
    <n v="561"/>
    <x v="4"/>
    <x v="4"/>
    <s v="Accrual"/>
    <x v="16"/>
    <x v="0"/>
    <s v="Border Transportaion / Al Hodod"/>
    <s v="Hydrovac/TT-DC-FL-UR"/>
    <x v="501"/>
    <s v="N/A"/>
    <s v="N/A"/>
    <s v="N/A"/>
    <s v="Jan"/>
    <n v="2026"/>
  </r>
  <r>
    <n v="562"/>
    <x v="6"/>
    <x v="6"/>
    <s v="Accrual"/>
    <x v="16"/>
    <x v="0"/>
    <s v="Border Transportaion / Al Hodod"/>
    <s v="Hydrovac"/>
    <x v="502"/>
    <s v="N/A"/>
    <s v="N/A"/>
    <s v="N/A"/>
    <s v="Jan"/>
    <n v="2026"/>
  </r>
  <r>
    <n v="563"/>
    <x v="6"/>
    <x v="13"/>
    <s v="Accrual"/>
    <x v="16"/>
    <x v="0"/>
    <s v="Border Transportaion / Al Hodod"/>
    <s v="Hydrovac"/>
    <x v="503"/>
    <s v="N/A"/>
    <s v="N/A"/>
    <s v="N/A"/>
    <s v="Jan"/>
    <n v="2026"/>
  </r>
  <r>
    <n v="564"/>
    <x v="7"/>
    <x v="22"/>
    <s v="Accrual"/>
    <x v="16"/>
    <x v="0"/>
    <s v="Border Transportaion / Al Hodod"/>
    <s v="Hydrovac"/>
    <x v="504"/>
    <s v="N/A"/>
    <s v="N/A"/>
    <s v="N/A"/>
    <s v="Jan"/>
    <n v="2026"/>
  </r>
  <r>
    <n v="565"/>
    <x v="4"/>
    <x v="4"/>
    <s v="Accrual"/>
    <x v="16"/>
    <x v="0"/>
    <s v="Border Transportaion / Al Hodod"/>
    <s v="Hydrovac/TT-DC-QSTR-CV-UR"/>
    <x v="505"/>
    <s v="N/A"/>
    <s v="N/A"/>
    <s v="N/A"/>
    <s v="Jan"/>
    <n v="2026"/>
  </r>
  <r>
    <n v="566"/>
    <x v="6"/>
    <x v="33"/>
    <s v="Accrual"/>
    <x v="16"/>
    <x v="0"/>
    <s v="Border Transportaion / Al Hodod"/>
    <s v="Hydrovac"/>
    <x v="506"/>
    <s v="N/A"/>
    <s v="N/A"/>
    <s v="N/A"/>
    <s v="Jan"/>
    <n v="2026"/>
  </r>
  <r>
    <n v="567"/>
    <x v="6"/>
    <x v="7"/>
    <s v="Accrual"/>
    <x v="16"/>
    <x v="0"/>
    <s v="Border Transportaion / Al Hodod"/>
    <s v="Hydrovac"/>
    <x v="507"/>
    <s v="N/A"/>
    <s v="N/A"/>
    <s v="N/A"/>
    <s v="Jan"/>
    <n v="2026"/>
  </r>
  <r>
    <n v="568"/>
    <x v="7"/>
    <x v="19"/>
    <s v="Accrual"/>
    <x v="16"/>
    <x v="0"/>
    <s v="Border Transportaion / Al Hodod"/>
    <s v="Hydrovac"/>
    <x v="508"/>
    <s v="N/A"/>
    <s v="N/A"/>
    <s v="N/A"/>
    <s v="Jan"/>
    <n v="2026"/>
  </r>
  <r>
    <n v="569"/>
    <x v="4"/>
    <x v="4"/>
    <s v="Accrual"/>
    <x v="16"/>
    <x v="0"/>
    <s v="Asia Company For Inspection"/>
    <s v="Testing/Calibration"/>
    <x v="509"/>
    <s v="N/A"/>
    <s v="N/A"/>
    <s v="N/A"/>
    <s v="Jan"/>
    <n v="2026"/>
  </r>
  <r>
    <n v="570"/>
    <x v="7"/>
    <x v="28"/>
    <s v="Actual"/>
    <x v="17"/>
    <x v="0"/>
    <s v="Petty Cash"/>
    <s v="Certificate of Recognition for HSE team ( Ali Munther, Mohammed Diaa, Saif Sarhan, Ahmed Abdulkareem Mardan)"/>
    <x v="510"/>
    <s v="##"/>
    <d v="2026-05-01T00:00:00"/>
    <s v="N/A"/>
    <s v="Jan"/>
    <n v="2026"/>
  </r>
  <r>
    <n v="571"/>
    <x v="6"/>
    <x v="33"/>
    <s v="Actual"/>
    <x v="17"/>
    <x v="0"/>
    <s v="Petty Cash"/>
    <s v="Fees for testing iron samples and specimens x 8ea"/>
    <x v="511"/>
    <n v="23300"/>
    <d v="2026-04-01T00:00:00"/>
    <s v="N/A"/>
    <s v="Jan"/>
    <n v="2026"/>
  </r>
  <r>
    <n v="572"/>
    <x v="6"/>
    <x v="33"/>
    <s v="Actual"/>
    <x v="17"/>
    <x v="0"/>
    <s v="Petty Cash"/>
    <s v="Fees for testing iron samples and specimens x 8ea"/>
    <x v="512"/>
    <n v="69"/>
    <d v="2026-03-01T00:00:00"/>
    <s v="N/A"/>
    <s v="Jan"/>
    <n v="2026"/>
  </r>
  <r>
    <n v="573"/>
    <x v="4"/>
    <x v="4"/>
    <s v="Actual"/>
    <x v="17"/>
    <x v="0"/>
    <s v="Petty Cash"/>
    <s v="Medical Fees for ( Ali Hussein ) - Mechanical"/>
    <x v="513"/>
    <s v="##"/>
    <s v="28/1/2026"/>
    <s v="N/A"/>
    <s v="Jan"/>
    <n v="2026"/>
  </r>
  <r>
    <n v="574"/>
    <x v="1"/>
    <x v="1"/>
    <s v="Actual"/>
    <x v="17"/>
    <x v="0"/>
    <s v="Petty Cash"/>
    <s v="Pocket money for KRK ( Sadiq, Amer Mohammed, Hani Shaker, Ali Habash ) * 6days"/>
    <x v="277"/>
    <s v="##"/>
    <s v="29/1/2026"/>
    <s v="N/A"/>
    <s v="Jan"/>
    <n v="2026"/>
  </r>
  <r>
    <n v="575"/>
    <x v="0"/>
    <x v="0"/>
    <s v="Actual"/>
    <x v="17"/>
    <x v="0"/>
    <s v="Petty Cash"/>
    <s v="صيانة صهير الوقود التابع للشركة"/>
    <x v="514"/>
    <s v="##"/>
    <d v="2026-05-01T00:00:00"/>
    <s v="N/A"/>
    <s v="Jan"/>
    <n v="2026"/>
  </r>
  <r>
    <n v="576"/>
    <x v="9"/>
    <x v="18"/>
    <s v="Actual"/>
    <x v="17"/>
    <x v="0"/>
    <s v="Petty Cash"/>
    <s v="Petty Cash for EIMNT"/>
    <x v="515"/>
    <s v="##"/>
    <d v="2026-10-01T00:00:00"/>
    <s v="N/A"/>
    <s v="Jan"/>
    <n v="2026"/>
  </r>
  <r>
    <n v="577"/>
    <x v="9"/>
    <x v="34"/>
    <s v="Actual"/>
    <x v="17"/>
    <x v="0"/>
    <s v="Petty Cash"/>
    <s v="Petty Cash for EITAR"/>
    <x v="24"/>
    <s v="##"/>
    <d v="2026-10-01T00:00:00"/>
    <s v="N/A"/>
    <s v="Jan"/>
    <n v="2026"/>
  </r>
  <r>
    <n v="578"/>
    <x v="0"/>
    <x v="0"/>
    <s v="Actual"/>
    <x v="17"/>
    <x v="0"/>
    <s v="Petty Cash"/>
    <s v="Maintenance for basra office &amp; Staff residence"/>
    <x v="516"/>
    <s v="##"/>
    <s v="30/12/2025"/>
    <s v="N/A"/>
    <s v="Jan"/>
    <n v="2026"/>
  </r>
  <r>
    <n v="579"/>
    <x v="0"/>
    <x v="0"/>
    <s v="Actual"/>
    <x v="17"/>
    <x v="0"/>
    <s v="Petty Cash"/>
    <s v="Training &amp; Hotel 3 days &amp; Pocket mouny for Procurement team ( Abbas Watan, Husseim Nazar, Ammar Tariq, Nawaf Tahseen, Abdulla Readh)"/>
    <x v="517"/>
    <s v="##"/>
    <s v="25/12/2025"/>
    <s v="N/A"/>
    <s v="Jan"/>
    <n v="2026"/>
  </r>
  <r>
    <n v="580"/>
    <x v="0"/>
    <x v="0"/>
    <s v="Actual"/>
    <x v="18"/>
    <x v="0"/>
    <s v="Petty Cash"/>
    <s v="Expens Calim"/>
    <x v="518"/>
    <s v="##"/>
    <s v="15/1/2025"/>
    <s v="N/A"/>
    <s v="Jan"/>
    <n v="2026"/>
  </r>
  <r>
    <n v="581"/>
    <x v="0"/>
    <x v="0"/>
    <s v="Actual"/>
    <x v="18"/>
    <x v="0"/>
    <s v="Petty Cash"/>
    <s v="TKR Basra-Erbil for Shaiban &amp; Fadi"/>
    <x v="519"/>
    <s v="##"/>
    <s v="15/1/2026"/>
    <s v="N/A"/>
    <s v="Jan"/>
    <n v="2026"/>
  </r>
  <r>
    <n v="582"/>
    <x v="0"/>
    <x v="0"/>
    <s v="Actual"/>
    <x v="18"/>
    <x v="0"/>
    <s v="Petty Cash"/>
    <s v="TKT - HE"/>
    <x v="520"/>
    <s v="##"/>
    <s v="20/1/2025"/>
    <s v="N/A"/>
    <s v="Jan"/>
    <n v="2026"/>
  </r>
  <r>
    <n v="583"/>
    <x v="0"/>
    <x v="0"/>
    <s v="Actual"/>
    <x v="18"/>
    <x v="0"/>
    <s v="Petty Cash"/>
    <s v="Expens Calim &amp; Loan"/>
    <x v="518"/>
    <s v="##"/>
    <s v="21/1/2026"/>
    <s v="N/A"/>
    <s v="Jan"/>
    <n v="2026"/>
  </r>
  <r>
    <n v="584"/>
    <x v="0"/>
    <x v="0"/>
    <s v="Actual"/>
    <x v="18"/>
    <x v="0"/>
    <s v="Petty Cash"/>
    <s v="Expen Claim"/>
    <x v="521"/>
    <s v="##"/>
    <d v="2026-08-01T00:00:00"/>
    <s v="N/A"/>
    <s v="Jan"/>
    <n v="2026"/>
  </r>
  <r>
    <n v="585"/>
    <x v="0"/>
    <x v="0"/>
    <s v="Actual"/>
    <x v="18"/>
    <x v="0"/>
    <s v="Petty Cash"/>
    <s v="Pocket money for Baghdad"/>
    <x v="233"/>
    <s v="##"/>
    <d v="2026-03-01T00:00:00"/>
    <s v="N/A"/>
    <s v="Jan"/>
    <n v="2026"/>
  </r>
  <r>
    <n v="586"/>
    <x v="1"/>
    <x v="1"/>
    <s v="Actual"/>
    <x v="18"/>
    <x v="0"/>
    <s v="Petty Cash"/>
    <s v="Expense Claim for Ahmed Alwan"/>
    <x v="25"/>
    <n v="2705"/>
    <s v="27/1/2026"/>
    <s v="N/A"/>
    <s v="Jan"/>
    <n v="2026"/>
  </r>
  <r>
    <n v="587"/>
    <x v="7"/>
    <x v="22"/>
    <s v="Actual"/>
    <x v="18"/>
    <x v="0"/>
    <s v="Petty Cash"/>
    <s v="Pocket money for 2 Person - Istanbul"/>
    <x v="522"/>
    <s v="##"/>
    <s v="5/1/20256"/>
    <s v="N/A"/>
    <s v="Jan"/>
    <n v="2026"/>
  </r>
  <r>
    <n v="588"/>
    <x v="1"/>
    <x v="1"/>
    <s v="Actual"/>
    <x v="18"/>
    <x v="0"/>
    <s v="Petty Cash"/>
    <s v="Hotel for Siraj &amp; Saman for Erbil"/>
    <x v="523"/>
    <s v="##"/>
    <s v="25/12/2025"/>
    <s v="N/A"/>
    <s v="Jan"/>
    <n v="2026"/>
  </r>
  <r>
    <n v="589"/>
    <x v="0"/>
    <x v="0"/>
    <s v="Actual"/>
    <x v="18"/>
    <x v="0"/>
    <s v="Petty Cash"/>
    <s v="Visa fees"/>
    <x v="524"/>
    <s v="##"/>
    <d v="2025-03-12T00:00:00"/>
    <s v="N/A"/>
    <s v="Jan"/>
    <n v="2026"/>
  </r>
  <r>
    <n v="590"/>
    <x v="0"/>
    <x v="0"/>
    <s v="Actual"/>
    <x v="18"/>
    <x v="0"/>
    <s v="Petty Cash"/>
    <s v="Expens Claim"/>
    <x v="525"/>
    <s v="##"/>
    <d v="2025-08-12T00:00:00"/>
    <s v="N/A"/>
    <s v="Jan"/>
    <n v="2026"/>
  </r>
  <r>
    <n v="591"/>
    <x v="0"/>
    <x v="0"/>
    <s v="Actual"/>
    <x v="18"/>
    <x v="0"/>
    <s v="Petty Cash"/>
    <s v="Expens Claim"/>
    <x v="526"/>
    <s v="##"/>
    <d v="2025-10-12T00:00:00"/>
    <s v="N/A"/>
    <s v="Jan"/>
    <n v="2026"/>
  </r>
  <r>
    <n v="592"/>
    <x v="0"/>
    <x v="0"/>
    <s v="Actual"/>
    <x v="18"/>
    <x v="0"/>
    <s v="Petty Cash"/>
    <s v="Expens Claim"/>
    <x v="527"/>
    <s v="##"/>
    <s v="14/12/2025"/>
    <s v="N/A"/>
    <s v="Jan"/>
    <n v="2026"/>
  </r>
  <r>
    <n v="593"/>
    <x v="0"/>
    <x v="0"/>
    <s v="Actual"/>
    <x v="18"/>
    <x v="0"/>
    <s v="Petty Cash"/>
    <s v="TKT for Douglas GLASGOW-DUBAI-BASRA"/>
    <x v="528"/>
    <s v="##"/>
    <d v="2025-07-12T00:00:00"/>
    <s v="N/A"/>
    <s v="Jan"/>
    <n v="2026"/>
  </r>
  <r>
    <n v="594"/>
    <x v="0"/>
    <x v="0"/>
    <s v="Actual"/>
    <x v="18"/>
    <x v="0"/>
    <s v="Petty Cash"/>
    <s v="1Room / 2 Nights for Douglas"/>
    <x v="529"/>
    <s v="##"/>
    <d v="2025-07-12T00:00:00"/>
    <s v="N/A"/>
    <s v="Jan"/>
    <n v="2026"/>
  </r>
  <r>
    <n v="595"/>
    <x v="0"/>
    <x v="0"/>
    <s v="Actual"/>
    <x v="18"/>
    <x v="0"/>
    <s v="Petty Cash"/>
    <s v="Expens Claim - Baghdad"/>
    <x v="530"/>
    <s v="##"/>
    <s v="21/12/2025"/>
    <s v="N/A"/>
    <s v="Jan"/>
    <n v="2026"/>
  </r>
  <r>
    <n v="596"/>
    <x v="0"/>
    <x v="0"/>
    <s v="Actual"/>
    <x v="18"/>
    <x v="0"/>
    <s v="Petty Cash"/>
    <s v="Expes Claim"/>
    <x v="531"/>
    <s v="##"/>
    <s v="25/12/2025"/>
    <s v="N/A"/>
    <s v="Jan"/>
    <n v="2026"/>
  </r>
  <r>
    <n v="597"/>
    <x v="0"/>
    <x v="0"/>
    <s v="Actual"/>
    <x v="18"/>
    <x v="0"/>
    <s v="Petty Cash"/>
    <s v="Expens Claim"/>
    <x v="532"/>
    <n v="2266"/>
    <d v="2025-02-12T00:00:00"/>
    <s v="N/A"/>
    <s v="Jan"/>
    <n v="2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1E248E-D9FC-464F-BC75-10D086B41784}" name="PivotTable1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U57" firstHeaderRow="1" firstDataRow="2" firstDataCol="1"/>
  <pivotFields count="14">
    <pivotField showAll="0"/>
    <pivotField axis="axisRow" showAll="0">
      <items count="13">
        <item x="8"/>
        <item x="6"/>
        <item x="5"/>
        <item x="10"/>
        <item x="0"/>
        <item x="1"/>
        <item x="2"/>
        <item x="11"/>
        <item x="3"/>
        <item x="9"/>
        <item x="7"/>
        <item x="4"/>
        <item t="default"/>
      </items>
    </pivotField>
    <pivotField axis="axisRow" showAll="0">
      <items count="40">
        <item x="13"/>
        <item x="37"/>
        <item x="15"/>
        <item x="16"/>
        <item x="23"/>
        <item x="18"/>
        <item x="24"/>
        <item x="34"/>
        <item x="36"/>
        <item x="28"/>
        <item x="19"/>
        <item x="5"/>
        <item x="1"/>
        <item x="3"/>
        <item x="4"/>
        <item x="0"/>
        <item x="6"/>
        <item x="31"/>
        <item x="2"/>
        <item x="30"/>
        <item x="10"/>
        <item x="32"/>
        <item x="20"/>
        <item x="29"/>
        <item x="21"/>
        <item x="35"/>
        <item x="25"/>
        <item x="22"/>
        <item x="26"/>
        <item x="17"/>
        <item x="8"/>
        <item x="14"/>
        <item x="11"/>
        <item x="12"/>
        <item x="38"/>
        <item x="33"/>
        <item x="7"/>
        <item x="9"/>
        <item x="27"/>
        <item t="default"/>
      </items>
    </pivotField>
    <pivotField showAll="0"/>
    <pivotField axis="axisCol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2">
        <item x="0"/>
        <item t="default"/>
      </items>
    </pivotField>
    <pivotField showAll="0"/>
    <pivotField showAll="0"/>
    <pivotField dataField="1" numFmtId="167" showAll="0">
      <items count="534">
        <item x="31"/>
        <item x="301"/>
        <item x="341"/>
        <item x="33"/>
        <item x="273"/>
        <item x="345"/>
        <item x="58"/>
        <item x="373"/>
        <item x="344"/>
        <item x="219"/>
        <item x="366"/>
        <item x="188"/>
        <item x="349"/>
        <item x="193"/>
        <item x="322"/>
        <item x="42"/>
        <item x="370"/>
        <item x="227"/>
        <item x="363"/>
        <item x="170"/>
        <item x="368"/>
        <item x="187"/>
        <item x="57"/>
        <item x="215"/>
        <item x="46"/>
        <item x="291"/>
        <item x="50"/>
        <item x="418"/>
        <item x="331"/>
        <item x="532"/>
        <item x="429"/>
        <item x="17"/>
        <item x="372"/>
        <item x="354"/>
        <item x="231"/>
        <item x="381"/>
        <item x="525"/>
        <item x="213"/>
        <item x="314"/>
        <item x="189"/>
        <item x="519"/>
        <item x="38"/>
        <item x="359"/>
        <item x="222"/>
        <item x="425"/>
        <item x="34"/>
        <item x="371"/>
        <item x="233"/>
        <item x="192"/>
        <item x="387"/>
        <item x="531"/>
        <item x="347"/>
        <item x="513"/>
        <item x="424"/>
        <item x="226"/>
        <item x="356"/>
        <item x="45"/>
        <item x="319"/>
        <item x="495"/>
        <item x="60"/>
        <item x="217"/>
        <item x="420"/>
        <item x="369"/>
        <item x="358"/>
        <item x="391"/>
        <item x="39"/>
        <item x="302"/>
        <item x="228"/>
        <item x="318"/>
        <item x="51"/>
        <item x="330"/>
        <item x="321"/>
        <item x="412"/>
        <item x="225"/>
        <item x="41"/>
        <item x="6"/>
        <item x="272"/>
        <item x="529"/>
        <item x="220"/>
        <item x="376"/>
        <item x="165"/>
        <item x="276"/>
        <item x="61"/>
        <item x="365"/>
        <item x="351"/>
        <item x="286"/>
        <item x="252"/>
        <item x="380"/>
        <item x="166"/>
        <item x="299"/>
        <item x="419"/>
        <item x="281"/>
        <item x="25"/>
        <item x="22"/>
        <item x="417"/>
        <item x="282"/>
        <item x="52"/>
        <item x="168"/>
        <item x="48"/>
        <item x="389"/>
        <item x="44"/>
        <item x="343"/>
        <item x="510"/>
        <item x="298"/>
        <item x="8"/>
        <item x="377"/>
        <item x="523"/>
        <item x="326"/>
        <item x="332"/>
        <item x="361"/>
        <item x="426"/>
        <item x="360"/>
        <item x="521"/>
        <item x="409"/>
        <item x="99"/>
        <item x="74"/>
        <item x="258"/>
        <item x="229"/>
        <item x="108"/>
        <item x="7"/>
        <item x="211"/>
        <item x="255"/>
        <item x="96"/>
        <item x="264"/>
        <item x="89"/>
        <item x="181"/>
        <item x="23"/>
        <item x="221"/>
        <item x="311"/>
        <item x="278"/>
        <item x="40"/>
        <item x="161"/>
        <item x="398"/>
        <item x="384"/>
        <item x="230"/>
        <item x="78"/>
        <item x="386"/>
        <item x="303"/>
        <item x="206"/>
        <item x="355"/>
        <item x="59"/>
        <item x="413"/>
        <item x="35"/>
        <item x="333"/>
        <item x="175"/>
        <item x="47"/>
        <item x="393"/>
        <item x="327"/>
        <item x="422"/>
        <item x="251"/>
        <item x="312"/>
        <item x="71"/>
        <item x="280"/>
        <item x="300"/>
        <item x="353"/>
        <item x="404"/>
        <item x="415"/>
        <item x="395"/>
        <item x="342"/>
        <item x="20"/>
        <item x="185"/>
        <item x="518"/>
        <item x="530"/>
        <item x="283"/>
        <item x="528"/>
        <item x="199"/>
        <item x="10"/>
        <item x="43"/>
        <item x="379"/>
        <item x="54"/>
        <item x="526"/>
        <item x="364"/>
        <item x="390"/>
        <item x="266"/>
        <item x="336"/>
        <item x="484"/>
        <item x="324"/>
        <item x="428"/>
        <item x="527"/>
        <item x="329"/>
        <item x="482"/>
        <item x="396"/>
        <item x="53"/>
        <item x="279"/>
        <item x="337"/>
        <item x="84"/>
        <item x="274"/>
        <item x="3"/>
        <item x="406"/>
        <item x="55"/>
        <item x="16"/>
        <item x="242"/>
        <item x="328"/>
        <item x="320"/>
        <item x="28"/>
        <item x="407"/>
        <item x="218"/>
        <item x="494"/>
        <item x="497"/>
        <item x="392"/>
        <item x="253"/>
        <item x="383"/>
        <item x="416"/>
        <item x="214"/>
        <item x="467"/>
        <item x="437"/>
        <item x="334"/>
        <item x="24"/>
        <item x="515"/>
        <item x="397"/>
        <item x="265"/>
        <item x="263"/>
        <item x="49"/>
        <item x="427"/>
        <item x="374"/>
        <item x="423"/>
        <item x="350"/>
        <item x="414"/>
        <item x="296"/>
        <item x="134"/>
        <item x="378"/>
        <item x="232"/>
        <item x="362"/>
        <item x="357"/>
        <item x="340"/>
        <item x="492"/>
        <item x="295"/>
        <item x="207"/>
        <item x="411"/>
        <item x="293"/>
        <item x="235"/>
        <item x="514"/>
        <item x="287"/>
        <item x="106"/>
        <item x="30"/>
        <item x="367"/>
        <item x="335"/>
        <item x="223"/>
        <item x="375"/>
        <item x="190"/>
        <item x="284"/>
        <item x="277"/>
        <item x="346"/>
        <item x="297"/>
        <item x="500"/>
        <item x="382"/>
        <item x="348"/>
        <item x="323"/>
        <item x="512"/>
        <item x="37"/>
        <item x="191"/>
        <item x="26"/>
        <item x="421"/>
        <item x="240"/>
        <item x="210"/>
        <item x="93"/>
        <item x="234"/>
        <item x="522"/>
        <item x="352"/>
        <item x="209"/>
        <item x="490"/>
        <item x="56"/>
        <item x="119"/>
        <item x="18"/>
        <item x="285"/>
        <item x="201"/>
        <item x="325"/>
        <item x="169"/>
        <item x="289"/>
        <item x="64"/>
        <item x="167"/>
        <item x="256"/>
        <item x="174"/>
        <item x="520"/>
        <item x="224"/>
        <item x="306"/>
        <item x="243"/>
        <item x="516"/>
        <item x="269"/>
        <item x="491"/>
        <item x="405"/>
        <item x="483"/>
        <item x="86"/>
        <item x="268"/>
        <item x="97"/>
        <item x="212"/>
        <item x="32"/>
        <item x="27"/>
        <item x="11"/>
        <item x="65"/>
        <item x="290"/>
        <item x="270"/>
        <item x="155"/>
        <item x="317"/>
        <item x="305"/>
        <item x="29"/>
        <item x="338"/>
        <item x="36"/>
        <item x="164"/>
        <item x="262"/>
        <item x="2"/>
        <item x="247"/>
        <item x="410"/>
        <item x="73"/>
        <item x="402"/>
        <item x="271"/>
        <item x="85"/>
        <item x="0"/>
        <item x="216"/>
        <item x="486"/>
        <item x="339"/>
        <item x="385"/>
        <item x="408"/>
        <item x="401"/>
        <item x="173"/>
        <item x="9"/>
        <item x="62"/>
        <item x="399"/>
        <item x="104"/>
        <item x="403"/>
        <item x="498"/>
        <item x="178"/>
        <item x="524"/>
        <item x="304"/>
        <item x="288"/>
        <item x="294"/>
        <item x="12"/>
        <item x="202"/>
        <item x="81"/>
        <item x="511"/>
        <item x="488"/>
        <item x="267"/>
        <item x="76"/>
        <item x="394"/>
        <item x="508"/>
        <item x="200"/>
        <item x="388"/>
        <item x="205"/>
        <item x="80"/>
        <item x="248"/>
        <item x="400"/>
        <item x="118"/>
        <item x="307"/>
        <item x="197"/>
        <item x="112"/>
        <item x="183"/>
        <item x="316"/>
        <item x="456"/>
        <item x="203"/>
        <item x="453"/>
        <item x="82"/>
        <item x="315"/>
        <item x="245"/>
        <item x="14"/>
        <item x="177"/>
        <item x="146"/>
        <item x="496"/>
        <item x="1"/>
        <item x="141"/>
        <item x="244"/>
        <item x="204"/>
        <item x="19"/>
        <item x="172"/>
        <item x="261"/>
        <item x="434"/>
        <item x="241"/>
        <item x="15"/>
        <item x="196"/>
        <item x="485"/>
        <item x="505"/>
        <item x="83"/>
        <item x="517"/>
        <item x="124"/>
        <item x="137"/>
        <item x="63"/>
        <item x="292"/>
        <item x="506"/>
        <item x="4"/>
        <item x="310"/>
        <item x="254"/>
        <item x="507"/>
        <item x="152"/>
        <item x="153"/>
        <item x="431"/>
        <item x="162"/>
        <item x="75"/>
        <item x="246"/>
        <item x="179"/>
        <item x="259"/>
        <item x="163"/>
        <item x="129"/>
        <item x="131"/>
        <item x="195"/>
        <item x="309"/>
        <item x="79"/>
        <item x="257"/>
        <item x="5"/>
        <item x="138"/>
        <item x="208"/>
        <item x="88"/>
        <item x="90"/>
        <item x="493"/>
        <item x="238"/>
        <item x="171"/>
        <item x="91"/>
        <item x="198"/>
        <item x="313"/>
        <item x="121"/>
        <item x="130"/>
        <item x="72"/>
        <item x="139"/>
        <item x="21"/>
        <item x="128"/>
        <item x="236"/>
        <item x="102"/>
        <item x="250"/>
        <item x="457"/>
        <item x="156"/>
        <item x="237"/>
        <item x="186"/>
        <item x="308"/>
        <item x="136"/>
        <item x="249"/>
        <item x="469"/>
        <item x="132"/>
        <item x="194"/>
        <item x="487"/>
        <item x="157"/>
        <item x="436"/>
        <item x="135"/>
        <item x="125"/>
        <item x="148"/>
        <item x="120"/>
        <item x="432"/>
        <item x="98"/>
        <item x="160"/>
        <item x="110"/>
        <item x="433"/>
        <item x="109"/>
        <item x="443"/>
        <item x="260"/>
        <item x="111"/>
        <item x="184"/>
        <item x="489"/>
        <item x="145"/>
        <item x="103"/>
        <item x="275"/>
        <item x="504"/>
        <item x="66"/>
        <item x="154"/>
        <item x="143"/>
        <item x="435"/>
        <item x="499"/>
        <item x="147"/>
        <item x="502"/>
        <item x="95"/>
        <item x="101"/>
        <item x="471"/>
        <item x="87"/>
        <item x="142"/>
        <item x="440"/>
        <item x="446"/>
        <item x="116"/>
        <item x="127"/>
        <item x="182"/>
        <item x="159"/>
        <item x="481"/>
        <item x="430"/>
        <item x="149"/>
        <item x="126"/>
        <item x="67"/>
        <item x="158"/>
        <item x="447"/>
        <item x="69"/>
        <item x="122"/>
        <item x="150"/>
        <item x="480"/>
        <item x="144"/>
        <item x="438"/>
        <item x="114"/>
        <item x="94"/>
        <item x="463"/>
        <item x="92"/>
        <item x="140"/>
        <item x="113"/>
        <item x="503"/>
        <item x="239"/>
        <item x="466"/>
        <item x="477"/>
        <item x="470"/>
        <item x="464"/>
        <item x="459"/>
        <item x="461"/>
        <item x="180"/>
        <item x="133"/>
        <item x="454"/>
        <item x="444"/>
        <item x="442"/>
        <item x="509"/>
        <item x="77"/>
        <item x="115"/>
        <item x="176"/>
        <item x="475"/>
        <item x="462"/>
        <item x="450"/>
        <item x="478"/>
        <item x="452"/>
        <item x="451"/>
        <item x="123"/>
        <item x="441"/>
        <item x="458"/>
        <item x="105"/>
        <item x="460"/>
        <item x="70"/>
        <item x="472"/>
        <item x="439"/>
        <item x="479"/>
        <item x="476"/>
        <item x="151"/>
        <item x="455"/>
        <item x="100"/>
        <item x="448"/>
        <item x="107"/>
        <item x="68"/>
        <item x="449"/>
        <item x="474"/>
        <item x="117"/>
        <item x="501"/>
        <item x="445"/>
        <item x="465"/>
        <item x="468"/>
        <item x="473"/>
        <item x="13"/>
        <item t="default"/>
      </items>
    </pivotField>
    <pivotField showAll="0"/>
    <pivotField showAll="0"/>
    <pivotField showAll="0"/>
    <pivotField showAll="0"/>
    <pivotField showAll="0"/>
  </pivotFields>
  <rowFields count="2">
    <field x="1"/>
    <field x="2"/>
  </rowFields>
  <rowItems count="53">
    <i>
      <x/>
    </i>
    <i r="1">
      <x v="20"/>
    </i>
    <i>
      <x v="1"/>
    </i>
    <i r="1">
      <x/>
    </i>
    <i r="1">
      <x v="8"/>
    </i>
    <i r="1">
      <x v="16"/>
    </i>
    <i r="1">
      <x v="19"/>
    </i>
    <i r="1">
      <x v="26"/>
    </i>
    <i r="1">
      <x v="31"/>
    </i>
    <i r="1">
      <x v="35"/>
    </i>
    <i r="1">
      <x v="36"/>
    </i>
    <i r="1">
      <x v="38"/>
    </i>
    <i>
      <x v="2"/>
    </i>
    <i r="1">
      <x v="11"/>
    </i>
    <i>
      <x v="3"/>
    </i>
    <i r="1">
      <x v="2"/>
    </i>
    <i r="1">
      <x v="25"/>
    </i>
    <i>
      <x v="4"/>
    </i>
    <i r="1">
      <x v="15"/>
    </i>
    <i>
      <x v="5"/>
    </i>
    <i r="1">
      <x v="12"/>
    </i>
    <i>
      <x v="6"/>
    </i>
    <i r="1">
      <x v="18"/>
    </i>
    <i>
      <x v="7"/>
    </i>
    <i r="1">
      <x v="25"/>
    </i>
    <i>
      <x v="8"/>
    </i>
    <i r="1">
      <x v="13"/>
    </i>
    <i>
      <x v="9"/>
    </i>
    <i r="1">
      <x v="1"/>
    </i>
    <i r="1">
      <x v="5"/>
    </i>
    <i r="1">
      <x v="6"/>
    </i>
    <i r="1">
      <x v="7"/>
    </i>
    <i r="1">
      <x v="21"/>
    </i>
    <i r="1">
      <x v="22"/>
    </i>
    <i r="1">
      <x v="23"/>
    </i>
    <i r="1">
      <x v="32"/>
    </i>
    <i>
      <x v="10"/>
    </i>
    <i r="1">
      <x v="3"/>
    </i>
    <i r="1">
      <x v="4"/>
    </i>
    <i r="1">
      <x v="9"/>
    </i>
    <i r="1">
      <x v="10"/>
    </i>
    <i r="1">
      <x v="17"/>
    </i>
    <i r="1">
      <x v="24"/>
    </i>
    <i r="1">
      <x v="27"/>
    </i>
    <i r="1">
      <x v="28"/>
    </i>
    <i r="1">
      <x v="29"/>
    </i>
    <i r="1">
      <x v="30"/>
    </i>
    <i r="1">
      <x v="33"/>
    </i>
    <i r="1">
      <x v="34"/>
    </i>
    <i r="1">
      <x v="37"/>
    </i>
    <i>
      <x v="11"/>
    </i>
    <i r="1">
      <x v="14"/>
    </i>
    <i t="grand">
      <x/>
    </i>
  </rowItems>
  <colFields count="1">
    <field x="4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Invoice Amount USD" fld="8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BGCG_23" displayName="BGCG_23" ref="R1:R2" totalsRowShown="0">
  <autoFilter ref="R1:R2" xr:uid="{00000000-0009-0000-0100-000002000000}"/>
  <tableColumns count="1">
    <tableColumn id="1" xr3:uid="{00000000-0010-0000-0000-000001000000}" name="BGCG_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BGC_23" displayName="BGC_23" ref="T1:T8" totalsRowShown="0">
  <autoFilter ref="T1:T8" xr:uid="{00000000-0009-0000-0100-000001000000}"/>
  <tableColumns count="1">
    <tableColumn id="1" xr3:uid="{00000000-0010-0000-0100-000001000000}" name="BGC_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OOG_23" displayName="ROOG_23" ref="V1:V2" totalsRowShown="0">
  <autoFilter ref="V1:V2" xr:uid="{00000000-0009-0000-0100-000003000000}"/>
  <tableColumns count="1">
    <tableColumn id="1" xr3:uid="{00000000-0010-0000-0200-000001000000}" name="ROOG_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OOM_23" displayName="ROOM_23" ref="X1:X8" totalsRowShown="0">
  <autoFilter ref="X1:X8" xr:uid="{00000000-0009-0000-0100-000004000000}"/>
  <tableColumns count="1">
    <tableColumn id="1" xr3:uid="{00000000-0010-0000-0300-000001000000}" name="ROOM_2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OOESP_23" displayName="ROOESP_23" ref="Z1:Z2" totalsRowShown="0">
  <autoFilter ref="Z1:Z2" xr:uid="{00000000-0009-0000-0100-000005000000}"/>
  <tableColumns count="1">
    <tableColumn id="1" xr3:uid="{00000000-0010-0000-0400-000001000000}" name="ROOESP_2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OOP_23" displayName="ROOP_23" ref="AB1:AB14" totalsRowShown="0">
  <autoFilter ref="AB1:AB14" xr:uid="{00000000-0009-0000-0100-000006000000}"/>
  <tableColumns count="1">
    <tableColumn id="1" xr3:uid="{00000000-0010-0000-0500-000001000000}" name="ROOP_2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amp_23" displayName="Camp_23" ref="AD1:AD3" totalsRowShown="0">
  <autoFilter ref="AD1:AD3" xr:uid="{00000000-0009-0000-0100-000007000000}"/>
  <tableColumns count="1">
    <tableColumn id="1" xr3:uid="{00000000-0010-0000-0600-000001000000}" name="Camp_2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HO_23" displayName="HO_23" ref="AF1:AF2" totalsRowShown="0">
  <autoFilter ref="AF1:AF2" xr:uid="{00000000-0009-0000-0100-000008000000}"/>
  <tableColumns count="1">
    <tableColumn id="1" xr3:uid="{00000000-0010-0000-0700-000001000000}" name="HO_2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WQ1_23" displayName="WQ1_23" ref="AH1:AH2" totalsRowShown="0">
  <autoFilter ref="AH1:AH2" xr:uid="{00000000-0009-0000-0100-000009000000}"/>
  <tableColumns count="1">
    <tableColumn id="1" xr3:uid="{00000000-0010-0000-0800-000001000000}" name="WQ1_2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Level_1" displayName="Level_1" ref="P1:P11" totalsRowShown="0">
  <autoFilter ref="P1:P11" xr:uid="{00000000-0009-0000-0100-00000A000000}"/>
  <tableColumns count="1">
    <tableColumn id="1" xr3:uid="{00000000-0010-0000-0900-000001000000}" name="Level_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Cost_Type" displayName="Cost_Type" ref="C1:C3" totalsRowShown="0">
  <autoFilter ref="C1:C3" xr:uid="{00000000-0009-0000-0100-00000B000000}"/>
  <tableColumns count="1">
    <tableColumn id="1" xr3:uid="{00000000-0010-0000-0A00-000001000000}" name="Cost_Typ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GL_Name" displayName="GL_Name" ref="E1:E38" totalsRowShown="0">
  <autoFilter ref="E1:E38" xr:uid="{00000000-0009-0000-0100-00000C000000}"/>
  <tableColumns count="1">
    <tableColumn id="1" xr3:uid="{00000000-0010-0000-0B00-000001000000}" name="GL_Nam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C000000}" name="Month" displayName="Month" ref="H1:H13" totalsRowShown="0">
  <autoFilter ref="H1:H13" xr:uid="{00000000-0009-0000-0100-00000E000000}"/>
  <tableColumns count="1">
    <tableColumn id="1" xr3:uid="{00000000-0010-0000-0C00-000001000000}" name="Month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D000000}" name="Year" displayName="Year" ref="J1:J4" totalsRowShown="0">
  <autoFilter ref="J1:J4" xr:uid="{00000000-0009-0000-0100-00000F000000}"/>
  <tableColumns count="1">
    <tableColumn id="1" xr3:uid="{00000000-0010-0000-0D00-000001000000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17290-DE3E-42BF-93DF-179ABB7CEF2E}">
  <dimension ref="A3:U57"/>
  <sheetViews>
    <sheetView tabSelected="1" topLeftCell="A3" workbookViewId="0">
      <selection activeCell="A7" sqref="A7"/>
    </sheetView>
  </sheetViews>
  <sheetFormatPr defaultRowHeight="14.5"/>
  <cols>
    <col min="1" max="1" width="24.453125" bestFit="1" customWidth="1"/>
    <col min="2" max="2" width="15.26953125" bestFit="1" customWidth="1"/>
    <col min="3" max="4" width="15.6328125" bestFit="1" customWidth="1"/>
    <col min="5" max="5" width="21.7265625" bestFit="1" customWidth="1"/>
    <col min="6" max="6" width="23.54296875" bestFit="1" customWidth="1"/>
    <col min="7" max="7" width="25.453125" bestFit="1" customWidth="1"/>
    <col min="8" max="8" width="12.1796875" bestFit="1" customWidth="1"/>
    <col min="9" max="9" width="14.54296875" bestFit="1" customWidth="1"/>
    <col min="10" max="10" width="11.7265625" bestFit="1" customWidth="1"/>
    <col min="11" max="11" width="29.54296875" bestFit="1" customWidth="1"/>
    <col min="12" max="12" width="17.36328125" bestFit="1" customWidth="1"/>
    <col min="13" max="13" width="12.1796875" bestFit="1" customWidth="1"/>
    <col min="14" max="14" width="12.54296875" bestFit="1" customWidth="1"/>
    <col min="15" max="15" width="25" bestFit="1" customWidth="1"/>
    <col min="16" max="16" width="13.6328125" bestFit="1" customWidth="1"/>
    <col min="17" max="17" width="19.90625" bestFit="1" customWidth="1"/>
    <col min="18" max="18" width="17.36328125" bestFit="1" customWidth="1"/>
    <col min="19" max="19" width="17.26953125" bestFit="1" customWidth="1"/>
    <col min="20" max="20" width="22.7265625" bestFit="1" customWidth="1"/>
    <col min="21" max="21" width="13.81640625" bestFit="1" customWidth="1"/>
    <col min="22" max="22" width="7.6328125" bestFit="1" customWidth="1"/>
    <col min="23" max="206" width="8.6328125" bestFit="1" customWidth="1"/>
    <col min="207" max="426" width="10.1796875" bestFit="1" customWidth="1"/>
    <col min="427" max="523" width="11.1796875" bestFit="1" customWidth="1"/>
    <col min="524" max="534" width="12.1796875" bestFit="1" customWidth="1"/>
    <col min="535" max="535" width="12" bestFit="1" customWidth="1"/>
  </cols>
  <sheetData>
    <row r="3" spans="1:21">
      <c r="A3" s="119" t="s">
        <v>242</v>
      </c>
      <c r="B3" s="119" t="s">
        <v>243</v>
      </c>
    </row>
    <row r="4" spans="1:21">
      <c r="A4" s="119" t="s">
        <v>240</v>
      </c>
      <c r="B4" t="s">
        <v>84</v>
      </c>
      <c r="C4" t="s">
        <v>128</v>
      </c>
      <c r="D4" t="s">
        <v>225</v>
      </c>
      <c r="E4" t="s">
        <v>63</v>
      </c>
      <c r="F4" t="s">
        <v>101</v>
      </c>
      <c r="G4" t="s">
        <v>56</v>
      </c>
      <c r="H4" t="s">
        <v>267</v>
      </c>
      <c r="I4" t="s">
        <v>81</v>
      </c>
      <c r="J4" t="s">
        <v>99</v>
      </c>
      <c r="K4" t="s">
        <v>86</v>
      </c>
      <c r="L4" t="s">
        <v>71</v>
      </c>
      <c r="M4" t="s">
        <v>95</v>
      </c>
      <c r="N4" t="s">
        <v>107</v>
      </c>
      <c r="O4" t="s">
        <v>20</v>
      </c>
      <c r="P4" t="s">
        <v>112</v>
      </c>
      <c r="Q4" t="s">
        <v>108</v>
      </c>
      <c r="R4" t="s">
        <v>110</v>
      </c>
      <c r="S4" t="s">
        <v>80</v>
      </c>
      <c r="T4" t="s">
        <v>249</v>
      </c>
      <c r="U4" t="s">
        <v>241</v>
      </c>
    </row>
    <row r="5" spans="1:21">
      <c r="A5" s="4" t="s">
        <v>29</v>
      </c>
      <c r="B5" s="30"/>
      <c r="C5" s="30"/>
      <c r="D5" s="30"/>
      <c r="E5" s="30"/>
      <c r="F5" s="30">
        <v>1.4722505533320887</v>
      </c>
      <c r="G5" s="30"/>
      <c r="H5" s="30"/>
      <c r="I5" s="30"/>
      <c r="J5" s="30"/>
      <c r="K5" s="30"/>
      <c r="L5" s="30"/>
      <c r="M5" s="30"/>
      <c r="N5" s="30"/>
      <c r="O5" s="30">
        <v>52751</v>
      </c>
      <c r="P5" s="30"/>
      <c r="Q5" s="30"/>
      <c r="R5" s="30"/>
      <c r="S5" s="30"/>
      <c r="T5" s="30"/>
      <c r="U5" s="30">
        <v>52752.472250553335</v>
      </c>
    </row>
    <row r="6" spans="1:21">
      <c r="A6" s="121" t="s">
        <v>731</v>
      </c>
      <c r="B6" s="30"/>
      <c r="C6" s="30"/>
      <c r="D6" s="30"/>
      <c r="E6" s="30"/>
      <c r="F6" s="30">
        <v>1.4722505533320887</v>
      </c>
      <c r="G6" s="30"/>
      <c r="H6" s="30"/>
      <c r="I6" s="30"/>
      <c r="J6" s="30"/>
      <c r="K6" s="30"/>
      <c r="L6" s="30"/>
      <c r="M6" s="30"/>
      <c r="N6" s="30"/>
      <c r="O6" s="30">
        <v>52751</v>
      </c>
      <c r="P6" s="30"/>
      <c r="Q6" s="30"/>
      <c r="R6" s="30"/>
      <c r="S6" s="30"/>
      <c r="T6" s="30"/>
      <c r="U6" s="30">
        <v>52752.472250553335</v>
      </c>
    </row>
    <row r="7" spans="1:21">
      <c r="A7" s="4" t="s">
        <v>17</v>
      </c>
      <c r="B7" s="30"/>
      <c r="C7" s="30"/>
      <c r="D7" s="30"/>
      <c r="E7" s="30">
        <v>2364.864864864865</v>
      </c>
      <c r="F7" s="30">
        <v>5354.7623485554523</v>
      </c>
      <c r="G7" s="30"/>
      <c r="H7" s="30"/>
      <c r="I7" s="30">
        <v>5783.2167832167834</v>
      </c>
      <c r="J7" s="30">
        <v>4500</v>
      </c>
      <c r="K7" s="30">
        <v>328501.821972973</v>
      </c>
      <c r="L7" s="30">
        <v>144418.45945945947</v>
      </c>
      <c r="M7" s="30">
        <v>24720</v>
      </c>
      <c r="N7" s="30"/>
      <c r="O7" s="30">
        <v>475988</v>
      </c>
      <c r="P7" s="30">
        <v>45000</v>
      </c>
      <c r="Q7" s="30">
        <v>16583.783783783783</v>
      </c>
      <c r="R7" s="30">
        <v>57934.554054054053</v>
      </c>
      <c r="S7" s="30">
        <v>3783.7837837837837</v>
      </c>
      <c r="T7" s="30"/>
      <c r="U7" s="30">
        <v>1114933.2470506909</v>
      </c>
    </row>
    <row r="8" spans="1:21">
      <c r="A8" s="121" t="s">
        <v>18</v>
      </c>
      <c r="B8" s="30"/>
      <c r="C8" s="30"/>
      <c r="D8" s="30"/>
      <c r="E8" s="30"/>
      <c r="F8" s="30">
        <v>800.43336439888162</v>
      </c>
      <c r="G8" s="30"/>
      <c r="H8" s="30"/>
      <c r="I8" s="30"/>
      <c r="J8" s="30"/>
      <c r="K8" s="30">
        <v>65804.851635135143</v>
      </c>
      <c r="L8" s="30">
        <v>10988.798648648648</v>
      </c>
      <c r="M8" s="30"/>
      <c r="N8" s="30"/>
      <c r="O8" s="30">
        <v>84483</v>
      </c>
      <c r="P8" s="30"/>
      <c r="Q8" s="30"/>
      <c r="R8" s="30">
        <v>30517.601351351354</v>
      </c>
      <c r="S8" s="30"/>
      <c r="T8" s="30"/>
      <c r="U8" s="30">
        <v>192594.68499953405</v>
      </c>
    </row>
    <row r="9" spans="1:21">
      <c r="A9" s="121" t="s">
        <v>74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>
        <v>18776</v>
      </c>
      <c r="P9" s="30"/>
      <c r="Q9" s="30"/>
      <c r="R9" s="30"/>
      <c r="S9" s="30"/>
      <c r="T9" s="30"/>
      <c r="U9" s="30">
        <v>18776</v>
      </c>
    </row>
    <row r="10" spans="1:21">
      <c r="A10" s="121" t="s">
        <v>22</v>
      </c>
      <c r="B10" s="30"/>
      <c r="C10" s="30"/>
      <c r="D10" s="30"/>
      <c r="E10" s="30">
        <v>878.37837837837833</v>
      </c>
      <c r="F10" s="30">
        <v>1137.1621621621621</v>
      </c>
      <c r="G10" s="30"/>
      <c r="H10" s="30"/>
      <c r="I10" s="30">
        <v>3230.7692307692309</v>
      </c>
      <c r="J10" s="30"/>
      <c r="K10" s="30">
        <v>37110.61845945946</v>
      </c>
      <c r="L10" s="30">
        <v>50445.044594594598</v>
      </c>
      <c r="M10" s="30"/>
      <c r="N10" s="30"/>
      <c r="O10" s="30">
        <v>76795</v>
      </c>
      <c r="P10" s="30"/>
      <c r="Q10" s="30">
        <v>3970.2702702702704</v>
      </c>
      <c r="R10" s="30">
        <v>18370.12837837838</v>
      </c>
      <c r="S10" s="30"/>
      <c r="T10" s="30"/>
      <c r="U10" s="30">
        <v>191937.37147401247</v>
      </c>
    </row>
    <row r="11" spans="1:21">
      <c r="A11" s="121" t="s">
        <v>91</v>
      </c>
      <c r="B11" s="30"/>
      <c r="C11" s="30"/>
      <c r="D11" s="30"/>
      <c r="E11" s="30"/>
      <c r="F11" s="30"/>
      <c r="G11" s="30"/>
      <c r="H11" s="30"/>
      <c r="I11" s="30"/>
      <c r="J11" s="30"/>
      <c r="K11" s="30">
        <v>9391.8918918918916</v>
      </c>
      <c r="L11" s="30"/>
      <c r="M11" s="30"/>
      <c r="N11" s="30"/>
      <c r="O11" s="30">
        <v>37774</v>
      </c>
      <c r="P11" s="30"/>
      <c r="Q11" s="30"/>
      <c r="R11" s="30"/>
      <c r="S11" s="30"/>
      <c r="T11" s="30"/>
      <c r="U11" s="30">
        <v>47165.891891891893</v>
      </c>
    </row>
    <row r="12" spans="1:21">
      <c r="A12" s="121" t="s">
        <v>272</v>
      </c>
      <c r="B12" s="30"/>
      <c r="C12" s="30"/>
      <c r="D12" s="30"/>
      <c r="E12" s="30"/>
      <c r="F12" s="30"/>
      <c r="G12" s="30"/>
      <c r="H12" s="30"/>
      <c r="I12" s="30"/>
      <c r="J12" s="30"/>
      <c r="K12" s="30">
        <v>38561.47191891892</v>
      </c>
      <c r="L12" s="30">
        <v>1872.3999999999999</v>
      </c>
      <c r="M12" s="30"/>
      <c r="N12" s="30"/>
      <c r="O12" s="30"/>
      <c r="P12" s="30"/>
      <c r="Q12" s="30"/>
      <c r="R12" s="30"/>
      <c r="S12" s="30"/>
      <c r="T12" s="30"/>
      <c r="U12" s="30">
        <v>40433.871918918921</v>
      </c>
    </row>
    <row r="13" spans="1:21">
      <c r="A13" s="121" t="s">
        <v>23</v>
      </c>
      <c r="B13" s="30"/>
      <c r="C13" s="30"/>
      <c r="D13" s="30"/>
      <c r="E13" s="30"/>
      <c r="F13" s="30">
        <v>543.08946877912399</v>
      </c>
      <c r="G13" s="30"/>
      <c r="H13" s="30"/>
      <c r="I13" s="30"/>
      <c r="J13" s="30"/>
      <c r="K13" s="30">
        <v>1620</v>
      </c>
      <c r="L13" s="30">
        <v>300</v>
      </c>
      <c r="M13" s="30">
        <v>5500</v>
      </c>
      <c r="N13" s="30"/>
      <c r="O13" s="30">
        <v>13343</v>
      </c>
      <c r="P13" s="30"/>
      <c r="Q13" s="30"/>
      <c r="R13" s="30"/>
      <c r="S13" s="30"/>
      <c r="T13" s="30"/>
      <c r="U13" s="30">
        <v>21306.089468779122</v>
      </c>
    </row>
    <row r="14" spans="1:21">
      <c r="A14" s="121" t="s">
        <v>24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>
        <v>20668.54054054054</v>
      </c>
      <c r="M14" s="30"/>
      <c r="N14" s="30"/>
      <c r="O14" s="30">
        <v>37640</v>
      </c>
      <c r="P14" s="30"/>
      <c r="Q14" s="30">
        <v>2108.1081081081079</v>
      </c>
      <c r="R14" s="30">
        <v>4433.1081081081084</v>
      </c>
      <c r="S14" s="30">
        <v>3783.7837837837837</v>
      </c>
      <c r="T14" s="30"/>
      <c r="U14" s="30">
        <v>68633.540540540533</v>
      </c>
    </row>
    <row r="15" spans="1:21">
      <c r="A15" s="121" t="s">
        <v>25</v>
      </c>
      <c r="B15" s="30"/>
      <c r="C15" s="30"/>
      <c r="D15" s="30"/>
      <c r="E15" s="30">
        <v>1486.4864864864865</v>
      </c>
      <c r="F15" s="30">
        <v>2874.0773532152843</v>
      </c>
      <c r="G15" s="30"/>
      <c r="H15" s="30"/>
      <c r="I15" s="30">
        <v>2552.4475524475524</v>
      </c>
      <c r="J15" s="30">
        <v>4500</v>
      </c>
      <c r="K15" s="30">
        <v>175011.68869594592</v>
      </c>
      <c r="L15" s="30">
        <v>59551.67567567568</v>
      </c>
      <c r="M15" s="30">
        <v>19220</v>
      </c>
      <c r="N15" s="30"/>
      <c r="O15" s="30">
        <v>188075</v>
      </c>
      <c r="P15" s="30">
        <v>45000</v>
      </c>
      <c r="Q15" s="30">
        <v>10505.405405405405</v>
      </c>
      <c r="R15" s="30">
        <v>4613.7162162162158</v>
      </c>
      <c r="S15" s="30"/>
      <c r="T15" s="30"/>
      <c r="U15" s="30">
        <v>513390.49738539249</v>
      </c>
    </row>
    <row r="16" spans="1:21">
      <c r="A16" s="121" t="s">
        <v>26</v>
      </c>
      <c r="B16" s="30"/>
      <c r="C16" s="30"/>
      <c r="D16" s="30"/>
      <c r="E16" s="30"/>
      <c r="F16" s="30"/>
      <c r="G16" s="30"/>
      <c r="H16" s="30"/>
      <c r="I16" s="30"/>
      <c r="J16" s="30"/>
      <c r="K16" s="30">
        <v>1001.2993716216216</v>
      </c>
      <c r="L16" s="30">
        <v>592</v>
      </c>
      <c r="M16" s="30"/>
      <c r="N16" s="30"/>
      <c r="O16" s="30">
        <v>19102</v>
      </c>
      <c r="P16" s="30"/>
      <c r="Q16" s="30"/>
      <c r="R16" s="30"/>
      <c r="S16" s="30"/>
      <c r="T16" s="30"/>
      <c r="U16" s="30">
        <v>20695.299371621622</v>
      </c>
    </row>
    <row r="17" spans="1:21">
      <c r="A17" s="4" t="s">
        <v>27</v>
      </c>
      <c r="B17" s="30"/>
      <c r="C17" s="30"/>
      <c r="D17" s="30"/>
      <c r="E17" s="30">
        <v>3945.9459459459458</v>
      </c>
      <c r="F17" s="30">
        <v>1684.4673664634231</v>
      </c>
      <c r="G17" s="30"/>
      <c r="H17" s="30"/>
      <c r="I17" s="30"/>
      <c r="J17" s="30"/>
      <c r="K17" s="30"/>
      <c r="L17" s="30">
        <v>2849.25</v>
      </c>
      <c r="M17" s="30"/>
      <c r="N17" s="30"/>
      <c r="O17" s="30">
        <v>22929</v>
      </c>
      <c r="P17" s="30"/>
      <c r="Q17" s="30"/>
      <c r="R17" s="30">
        <v>15608.108108108108</v>
      </c>
      <c r="S17" s="30"/>
      <c r="T17" s="30"/>
      <c r="U17" s="30">
        <v>47016.771420517478</v>
      </c>
    </row>
    <row r="18" spans="1:21">
      <c r="A18" s="121" t="s">
        <v>28</v>
      </c>
      <c r="B18" s="30"/>
      <c r="C18" s="30"/>
      <c r="D18" s="30"/>
      <c r="E18" s="30">
        <v>3945.9459459459458</v>
      </c>
      <c r="F18" s="30">
        <v>1684.4673664634231</v>
      </c>
      <c r="G18" s="30"/>
      <c r="H18" s="30"/>
      <c r="I18" s="30"/>
      <c r="J18" s="30"/>
      <c r="K18" s="30"/>
      <c r="L18" s="30">
        <v>2849.25</v>
      </c>
      <c r="M18" s="30"/>
      <c r="N18" s="30"/>
      <c r="O18" s="30">
        <v>22929</v>
      </c>
      <c r="P18" s="30"/>
      <c r="Q18" s="30"/>
      <c r="R18" s="30">
        <v>15608.108108108108</v>
      </c>
      <c r="S18" s="30"/>
      <c r="T18" s="30"/>
      <c r="U18" s="30">
        <v>47016.771420517478</v>
      </c>
    </row>
    <row r="19" spans="1:21">
      <c r="A19" s="4" t="s">
        <v>54</v>
      </c>
      <c r="B19" s="30"/>
      <c r="C19" s="30"/>
      <c r="D19" s="30"/>
      <c r="E19" s="30"/>
      <c r="F19" s="30">
        <v>646.84995340167757</v>
      </c>
      <c r="G19" s="30"/>
      <c r="H19" s="30">
        <v>189638.08918918917</v>
      </c>
      <c r="I19" s="30">
        <v>43918.91891891892</v>
      </c>
      <c r="J19" s="30">
        <v>4000</v>
      </c>
      <c r="K19" s="30">
        <v>63194.852337837845</v>
      </c>
      <c r="L19" s="30">
        <v>63064.628648648642</v>
      </c>
      <c r="M19" s="30">
        <v>11520</v>
      </c>
      <c r="N19" s="30"/>
      <c r="O19" s="30">
        <v>126219</v>
      </c>
      <c r="P19" s="30">
        <v>90000</v>
      </c>
      <c r="Q19" s="30"/>
      <c r="R19" s="30">
        <v>12192.39864864865</v>
      </c>
      <c r="S19" s="30"/>
      <c r="T19" s="30"/>
      <c r="U19" s="30">
        <v>604394.73769664485</v>
      </c>
    </row>
    <row r="20" spans="1:21">
      <c r="A20" s="121" t="s">
        <v>55</v>
      </c>
      <c r="B20" s="30"/>
      <c r="C20" s="30"/>
      <c r="D20" s="30"/>
      <c r="E20" s="30"/>
      <c r="F20" s="30">
        <v>646.84995340167757</v>
      </c>
      <c r="G20" s="30"/>
      <c r="H20" s="30">
        <v>189638.08918918917</v>
      </c>
      <c r="I20" s="30">
        <v>43918.91891891892</v>
      </c>
      <c r="J20" s="30">
        <v>4000</v>
      </c>
      <c r="K20" s="30">
        <v>63194.852337837845</v>
      </c>
      <c r="L20" s="30">
        <v>28642.635135135133</v>
      </c>
      <c r="M20" s="30">
        <v>11520</v>
      </c>
      <c r="N20" s="30"/>
      <c r="O20" s="30">
        <v>126219</v>
      </c>
      <c r="P20" s="30">
        <v>90000</v>
      </c>
      <c r="Q20" s="30"/>
      <c r="R20" s="30">
        <v>12192.39864864865</v>
      </c>
      <c r="S20" s="30"/>
      <c r="T20" s="30"/>
      <c r="U20" s="30">
        <v>569972.74418313138</v>
      </c>
    </row>
    <row r="21" spans="1:21">
      <c r="A21" s="121" t="s">
        <v>94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>
        <v>34421.993513513509</v>
      </c>
      <c r="M21" s="30"/>
      <c r="N21" s="30"/>
      <c r="O21" s="30"/>
      <c r="P21" s="30"/>
      <c r="Q21" s="30"/>
      <c r="R21" s="30"/>
      <c r="S21" s="30"/>
      <c r="T21" s="30"/>
      <c r="U21" s="30">
        <v>34421.993513513509</v>
      </c>
    </row>
    <row r="22" spans="1:21">
      <c r="A22" s="4" t="s">
        <v>58</v>
      </c>
      <c r="B22" s="30">
        <v>19238.531468531466</v>
      </c>
      <c r="C22" s="30"/>
      <c r="D22" s="30">
        <v>496674</v>
      </c>
      <c r="E22" s="30">
        <v>11432.432432432432</v>
      </c>
      <c r="F22" s="30">
        <v>3890.2685089720812</v>
      </c>
      <c r="G22" s="30">
        <v>5685.135135135135</v>
      </c>
      <c r="H22" s="30"/>
      <c r="I22" s="30"/>
      <c r="J22" s="30">
        <v>858.10810810810813</v>
      </c>
      <c r="K22" s="30">
        <v>7004.9377297297287</v>
      </c>
      <c r="L22" s="30">
        <v>5773.0270270270266</v>
      </c>
      <c r="M22" s="30"/>
      <c r="N22" s="30">
        <v>25000</v>
      </c>
      <c r="O22" s="30">
        <v>167885.70270270269</v>
      </c>
      <c r="P22" s="30"/>
      <c r="Q22" s="30"/>
      <c r="R22" s="30">
        <v>17584.620000000003</v>
      </c>
      <c r="S22" s="30">
        <v>6735.2050326188255</v>
      </c>
      <c r="T22" s="30">
        <v>9823.8723205964579</v>
      </c>
      <c r="U22" s="30">
        <v>777585.84046585404</v>
      </c>
    </row>
    <row r="23" spans="1:21">
      <c r="A23" s="121" t="s">
        <v>59</v>
      </c>
      <c r="B23" s="30">
        <v>19238.531468531466</v>
      </c>
      <c r="C23" s="30"/>
      <c r="D23" s="30">
        <v>496674</v>
      </c>
      <c r="E23" s="30">
        <v>11432.432432432432</v>
      </c>
      <c r="F23" s="30">
        <v>3890.2685089720812</v>
      </c>
      <c r="G23" s="30">
        <v>5685.135135135135</v>
      </c>
      <c r="H23" s="30"/>
      <c r="I23" s="30"/>
      <c r="J23" s="30">
        <v>858.10810810810813</v>
      </c>
      <c r="K23" s="30">
        <v>7004.9377297297287</v>
      </c>
      <c r="L23" s="30">
        <v>5773.0270270270266</v>
      </c>
      <c r="M23" s="30"/>
      <c r="N23" s="30">
        <v>25000</v>
      </c>
      <c r="O23" s="30">
        <v>167885.70270270269</v>
      </c>
      <c r="P23" s="30"/>
      <c r="Q23" s="30"/>
      <c r="R23" s="30">
        <v>17584.620000000003</v>
      </c>
      <c r="S23" s="30">
        <v>6735.2050326188255</v>
      </c>
      <c r="T23" s="30">
        <v>9823.8723205964579</v>
      </c>
      <c r="U23" s="30">
        <v>777585.84046585404</v>
      </c>
    </row>
    <row r="24" spans="1:21">
      <c r="A24" s="4" t="s">
        <v>285</v>
      </c>
      <c r="B24" s="30">
        <v>874.32432432432438</v>
      </c>
      <c r="C24" s="30">
        <v>2345.2702702702704</v>
      </c>
      <c r="D24" s="30"/>
      <c r="E24" s="30"/>
      <c r="F24" s="30"/>
      <c r="G24" s="30"/>
      <c r="H24" s="30"/>
      <c r="I24" s="30"/>
      <c r="J24" s="30"/>
      <c r="K24" s="30"/>
      <c r="L24" s="30">
        <v>17083.783783783787</v>
      </c>
      <c r="M24" s="30"/>
      <c r="N24" s="30"/>
      <c r="O24" s="30"/>
      <c r="P24" s="30"/>
      <c r="Q24" s="30"/>
      <c r="R24" s="30"/>
      <c r="S24" s="30">
        <v>1182.4324324324325</v>
      </c>
      <c r="T24" s="30">
        <v>750.25163094128607</v>
      </c>
      <c r="U24" s="30">
        <v>22236.062441752099</v>
      </c>
    </row>
    <row r="25" spans="1:21">
      <c r="A25" s="121" t="s">
        <v>286</v>
      </c>
      <c r="B25" s="30">
        <v>874.32432432432438</v>
      </c>
      <c r="C25" s="30">
        <v>2345.2702702702704</v>
      </c>
      <c r="D25" s="30"/>
      <c r="E25" s="30"/>
      <c r="F25" s="30"/>
      <c r="G25" s="30"/>
      <c r="H25" s="30"/>
      <c r="I25" s="30"/>
      <c r="J25" s="30"/>
      <c r="K25" s="30"/>
      <c r="L25" s="30">
        <v>17083.783783783787</v>
      </c>
      <c r="M25" s="30"/>
      <c r="N25" s="30"/>
      <c r="O25" s="30"/>
      <c r="P25" s="30"/>
      <c r="Q25" s="30"/>
      <c r="R25" s="30"/>
      <c r="S25" s="30">
        <v>1182.4324324324325</v>
      </c>
      <c r="T25" s="30">
        <v>750.25163094128607</v>
      </c>
      <c r="U25" s="30">
        <v>22236.062441752099</v>
      </c>
    </row>
    <row r="26" spans="1:21">
      <c r="A26" s="4" t="s">
        <v>401</v>
      </c>
      <c r="B26" s="30"/>
      <c r="C26" s="30">
        <v>2423.1081081081084</v>
      </c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>
        <v>83000</v>
      </c>
      <c r="P26" s="30"/>
      <c r="Q26" s="30"/>
      <c r="R26" s="30"/>
      <c r="S26" s="30"/>
      <c r="T26" s="30"/>
      <c r="U26" s="30">
        <v>85423.108108108107</v>
      </c>
    </row>
    <row r="27" spans="1:21">
      <c r="A27" s="121" t="s">
        <v>401</v>
      </c>
      <c r="B27" s="30"/>
      <c r="C27" s="30">
        <v>2423.1081081081084</v>
      </c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>
        <v>83000</v>
      </c>
      <c r="P27" s="30"/>
      <c r="Q27" s="30"/>
      <c r="R27" s="30"/>
      <c r="S27" s="30"/>
      <c r="T27" s="30"/>
      <c r="U27" s="30">
        <v>85423.108108108107</v>
      </c>
    </row>
    <row r="28" spans="1:21">
      <c r="A28" s="4" t="s">
        <v>94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>
        <v>68892</v>
      </c>
      <c r="P28" s="30"/>
      <c r="Q28" s="30"/>
      <c r="R28" s="30"/>
      <c r="S28" s="30"/>
      <c r="T28" s="30"/>
      <c r="U28" s="30">
        <v>68892</v>
      </c>
    </row>
    <row r="29" spans="1:21">
      <c r="A29" s="121" t="s">
        <v>94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>
        <v>68892</v>
      </c>
      <c r="P29" s="30"/>
      <c r="Q29" s="30"/>
      <c r="R29" s="30"/>
      <c r="S29" s="30"/>
      <c r="T29" s="30"/>
      <c r="U29" s="30">
        <v>68892</v>
      </c>
    </row>
    <row r="30" spans="1:21">
      <c r="A30" s="4" t="s">
        <v>33</v>
      </c>
      <c r="B30" s="30"/>
      <c r="C30" s="30">
        <v>2500</v>
      </c>
      <c r="D30" s="30"/>
      <c r="E30" s="30">
        <v>3937.1621621621625</v>
      </c>
      <c r="F30" s="30">
        <v>560.0738013135649</v>
      </c>
      <c r="G30" s="30"/>
      <c r="H30" s="30"/>
      <c r="I30" s="30">
        <v>5793.1034482758623</v>
      </c>
      <c r="J30" s="30"/>
      <c r="K30" s="30">
        <v>60406.102209459459</v>
      </c>
      <c r="L30" s="30">
        <v>1471.6216216216217</v>
      </c>
      <c r="M30" s="30">
        <v>17760</v>
      </c>
      <c r="N30" s="30"/>
      <c r="O30" s="30">
        <v>67042</v>
      </c>
      <c r="P30" s="30"/>
      <c r="Q30" s="30">
        <v>2389.1891891891892</v>
      </c>
      <c r="R30" s="30"/>
      <c r="S30" s="30"/>
      <c r="T30" s="30"/>
      <c r="U30" s="30">
        <v>161859.25243202187</v>
      </c>
    </row>
    <row r="31" spans="1:21">
      <c r="A31" s="121" t="s">
        <v>34</v>
      </c>
      <c r="B31" s="30"/>
      <c r="C31" s="30">
        <v>2500</v>
      </c>
      <c r="D31" s="30"/>
      <c r="E31" s="30">
        <v>3937.1621621621625</v>
      </c>
      <c r="F31" s="30">
        <v>560.0738013135649</v>
      </c>
      <c r="G31" s="30"/>
      <c r="H31" s="30"/>
      <c r="I31" s="30">
        <v>5793.1034482758623</v>
      </c>
      <c r="J31" s="30"/>
      <c r="K31" s="30">
        <v>60406.102209459459</v>
      </c>
      <c r="L31" s="30">
        <v>1471.6216216216217</v>
      </c>
      <c r="M31" s="30">
        <v>17760</v>
      </c>
      <c r="N31" s="30"/>
      <c r="O31" s="30">
        <v>67042</v>
      </c>
      <c r="P31" s="30"/>
      <c r="Q31" s="30">
        <v>2389.1891891891892</v>
      </c>
      <c r="R31" s="30"/>
      <c r="S31" s="30"/>
      <c r="T31" s="30"/>
      <c r="U31" s="30">
        <v>161859.25243202187</v>
      </c>
    </row>
    <row r="32" spans="1:21">
      <c r="A32" s="4" t="s">
        <v>35</v>
      </c>
      <c r="B32" s="30"/>
      <c r="C32" s="30"/>
      <c r="D32" s="30"/>
      <c r="E32" s="30"/>
      <c r="F32" s="30">
        <v>741.93822538316249</v>
      </c>
      <c r="G32" s="30"/>
      <c r="H32" s="30"/>
      <c r="I32" s="30"/>
      <c r="J32" s="30"/>
      <c r="K32" s="30">
        <v>71164.441574324315</v>
      </c>
      <c r="L32" s="30">
        <v>25709.516216216216</v>
      </c>
      <c r="M32" s="30"/>
      <c r="N32" s="30"/>
      <c r="O32" s="30">
        <v>146368</v>
      </c>
      <c r="P32" s="30"/>
      <c r="Q32" s="30">
        <v>808.10810810810813</v>
      </c>
      <c r="R32" s="30"/>
      <c r="S32" s="30">
        <v>2031.0810810810813</v>
      </c>
      <c r="T32" s="30"/>
      <c r="U32" s="30">
        <v>246823.0852051129</v>
      </c>
    </row>
    <row r="33" spans="1:21">
      <c r="A33" s="121" t="s">
        <v>270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>
        <v>3181</v>
      </c>
      <c r="P33" s="30"/>
      <c r="Q33" s="30"/>
      <c r="R33" s="30"/>
      <c r="S33" s="30"/>
      <c r="T33" s="30"/>
      <c r="U33" s="30">
        <v>3181</v>
      </c>
    </row>
    <row r="34" spans="1:21">
      <c r="A34" s="121" t="s">
        <v>36</v>
      </c>
      <c r="B34" s="30"/>
      <c r="C34" s="30"/>
      <c r="D34" s="30"/>
      <c r="E34" s="30"/>
      <c r="F34" s="30">
        <v>109.65517241379311</v>
      </c>
      <c r="G34" s="30"/>
      <c r="H34" s="30"/>
      <c r="I34" s="30"/>
      <c r="J34" s="30"/>
      <c r="K34" s="30">
        <v>12699.836743243242</v>
      </c>
      <c r="L34" s="30">
        <v>5457.2972972972966</v>
      </c>
      <c r="M34" s="30"/>
      <c r="N34" s="30"/>
      <c r="O34" s="30">
        <v>36529</v>
      </c>
      <c r="P34" s="30"/>
      <c r="Q34" s="30">
        <v>808.10810810810813</v>
      </c>
      <c r="R34" s="30"/>
      <c r="S34" s="30">
        <v>1017.5675675675676</v>
      </c>
      <c r="T34" s="30"/>
      <c r="U34" s="30">
        <v>56621.464888630006</v>
      </c>
    </row>
    <row r="35" spans="1:21">
      <c r="A35" s="121" t="s">
        <v>37</v>
      </c>
      <c r="B35" s="30"/>
      <c r="C35" s="30"/>
      <c r="D35" s="30"/>
      <c r="E35" s="30"/>
      <c r="F35" s="30"/>
      <c r="G35" s="30"/>
      <c r="H35" s="30"/>
      <c r="I35" s="30"/>
      <c r="J35" s="30"/>
      <c r="K35" s="30">
        <v>53688.097587837838</v>
      </c>
      <c r="L35" s="30">
        <v>11273.570270270269</v>
      </c>
      <c r="M35" s="30"/>
      <c r="N35" s="30"/>
      <c r="O35" s="30">
        <v>95429</v>
      </c>
      <c r="P35" s="30"/>
      <c r="Q35" s="30"/>
      <c r="R35" s="30"/>
      <c r="S35" s="30"/>
      <c r="T35" s="30"/>
      <c r="U35" s="30">
        <v>160390.66785810812</v>
      </c>
    </row>
    <row r="36" spans="1:21">
      <c r="A36" s="121" t="s">
        <v>38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>
        <v>7687.2486486486487</v>
      </c>
      <c r="M36" s="30"/>
      <c r="N36" s="30"/>
      <c r="O36" s="30"/>
      <c r="P36" s="30"/>
      <c r="Q36" s="30"/>
      <c r="R36" s="30"/>
      <c r="S36" s="30">
        <v>1013.5135135135135</v>
      </c>
      <c r="T36" s="30"/>
      <c r="U36" s="30">
        <v>8700.762162162162</v>
      </c>
    </row>
    <row r="37" spans="1:21">
      <c r="A37" s="121" t="s">
        <v>39</v>
      </c>
      <c r="B37" s="30"/>
      <c r="C37" s="30"/>
      <c r="D37" s="30"/>
      <c r="E37" s="30"/>
      <c r="F37" s="30"/>
      <c r="G37" s="30"/>
      <c r="H37" s="30"/>
      <c r="I37" s="30"/>
      <c r="J37" s="30"/>
      <c r="K37" s="30">
        <v>1689.1891891891892</v>
      </c>
      <c r="L37" s="30"/>
      <c r="M37" s="30"/>
      <c r="N37" s="30"/>
      <c r="O37" s="30">
        <v>3155</v>
      </c>
      <c r="P37" s="30"/>
      <c r="Q37" s="30"/>
      <c r="R37" s="30"/>
      <c r="S37" s="30"/>
      <c r="T37" s="30"/>
      <c r="U37" s="30">
        <v>4844.1891891891892</v>
      </c>
    </row>
    <row r="38" spans="1:21">
      <c r="A38" s="121" t="s">
        <v>40</v>
      </c>
      <c r="B38" s="30"/>
      <c r="C38" s="30"/>
      <c r="D38" s="30"/>
      <c r="E38" s="30"/>
      <c r="F38" s="30">
        <v>36.551724137931032</v>
      </c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>
        <v>36.551724137931032</v>
      </c>
    </row>
    <row r="39" spans="1:21">
      <c r="A39" s="121" t="s">
        <v>41</v>
      </c>
      <c r="B39" s="30"/>
      <c r="C39" s="30"/>
      <c r="D39" s="30"/>
      <c r="E39" s="30"/>
      <c r="F39" s="30"/>
      <c r="G39" s="30"/>
      <c r="H39" s="30"/>
      <c r="I39" s="30"/>
      <c r="J39" s="30"/>
      <c r="K39" s="30">
        <v>3087.3180540540538</v>
      </c>
      <c r="L39" s="30">
        <v>1291.4000000000001</v>
      </c>
      <c r="M39" s="30"/>
      <c r="N39" s="30"/>
      <c r="O39" s="30">
        <v>8074</v>
      </c>
      <c r="P39" s="30"/>
      <c r="Q39" s="30"/>
      <c r="R39" s="30"/>
      <c r="S39" s="30"/>
      <c r="T39" s="30"/>
      <c r="U39" s="30">
        <v>12452.718054054054</v>
      </c>
    </row>
    <row r="40" spans="1:21">
      <c r="A40" s="121" t="s">
        <v>35</v>
      </c>
      <c r="B40" s="30"/>
      <c r="C40" s="30"/>
      <c r="D40" s="30"/>
      <c r="E40" s="30"/>
      <c r="F40" s="30">
        <v>595.7313288314383</v>
      </c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>
        <v>595.7313288314383</v>
      </c>
    </row>
    <row r="41" spans="1:21">
      <c r="A41" s="4" t="s">
        <v>42</v>
      </c>
      <c r="B41" s="30"/>
      <c r="C41" s="30"/>
      <c r="D41" s="30"/>
      <c r="E41" s="30">
        <v>2601.3513513513512</v>
      </c>
      <c r="F41" s="30">
        <v>4911.243629403948</v>
      </c>
      <c r="G41" s="30">
        <v>183772.97297297296</v>
      </c>
      <c r="H41" s="30"/>
      <c r="I41" s="30">
        <v>559.44055944055947</v>
      </c>
      <c r="J41" s="30">
        <v>4000</v>
      </c>
      <c r="K41" s="30">
        <v>519570.70426887233</v>
      </c>
      <c r="L41" s="30">
        <v>224447.57540540537</v>
      </c>
      <c r="M41" s="30">
        <v>26351.351351351354</v>
      </c>
      <c r="N41" s="30"/>
      <c r="O41" s="30">
        <v>630045</v>
      </c>
      <c r="P41" s="30">
        <v>236676.38202702702</v>
      </c>
      <c r="Q41" s="30">
        <v>3393.6626281453869</v>
      </c>
      <c r="R41" s="30">
        <v>21825.675675675677</v>
      </c>
      <c r="S41" s="30">
        <v>391.89189189189187</v>
      </c>
      <c r="T41" s="30">
        <v>1273.6486486486488</v>
      </c>
      <c r="U41" s="30">
        <v>1859820.9004101865</v>
      </c>
    </row>
    <row r="42" spans="1:21">
      <c r="A42" s="121" t="s">
        <v>70</v>
      </c>
      <c r="B42" s="30"/>
      <c r="C42" s="30"/>
      <c r="D42" s="30"/>
      <c r="E42" s="30"/>
      <c r="F42" s="30">
        <v>1412.6514445479963</v>
      </c>
      <c r="G42" s="30"/>
      <c r="H42" s="30"/>
      <c r="I42" s="30"/>
      <c r="J42" s="30"/>
      <c r="K42" s="30"/>
      <c r="L42" s="30">
        <v>848.64864864864865</v>
      </c>
      <c r="M42" s="30">
        <v>12500</v>
      </c>
      <c r="N42" s="30"/>
      <c r="O42" s="30"/>
      <c r="P42" s="30"/>
      <c r="Q42" s="30"/>
      <c r="R42" s="30"/>
      <c r="S42" s="30"/>
      <c r="T42" s="30"/>
      <c r="U42" s="30">
        <v>14761.300093196645</v>
      </c>
    </row>
    <row r="43" spans="1:21">
      <c r="A43" s="121" t="s">
        <v>43</v>
      </c>
      <c r="B43" s="30"/>
      <c r="C43" s="30"/>
      <c r="D43" s="30"/>
      <c r="E43" s="30"/>
      <c r="F43" s="30"/>
      <c r="G43" s="30"/>
      <c r="H43" s="30"/>
      <c r="I43" s="30">
        <v>559.44055944055947</v>
      </c>
      <c r="J43" s="30"/>
      <c r="K43" s="30">
        <v>36869.152702702704</v>
      </c>
      <c r="L43" s="30"/>
      <c r="M43" s="30"/>
      <c r="N43" s="30"/>
      <c r="O43" s="30">
        <v>78499</v>
      </c>
      <c r="P43" s="30"/>
      <c r="Q43" s="30"/>
      <c r="R43" s="30"/>
      <c r="S43" s="30"/>
      <c r="T43" s="30"/>
      <c r="U43" s="30">
        <v>115927.59326214326</v>
      </c>
    </row>
    <row r="44" spans="1:21">
      <c r="A44" s="121" t="s">
        <v>44</v>
      </c>
      <c r="B44" s="30"/>
      <c r="C44" s="30"/>
      <c r="D44" s="30"/>
      <c r="E44" s="30"/>
      <c r="F44" s="30"/>
      <c r="G44" s="30"/>
      <c r="H44" s="30"/>
      <c r="I44" s="30"/>
      <c r="J44" s="30"/>
      <c r="K44" s="30">
        <v>37340.826317567567</v>
      </c>
      <c r="L44" s="30">
        <v>27419.359459459462</v>
      </c>
      <c r="M44" s="30"/>
      <c r="N44" s="30"/>
      <c r="O44" s="30">
        <v>31096</v>
      </c>
      <c r="P44" s="30">
        <v>53729.729729729726</v>
      </c>
      <c r="Q44" s="30"/>
      <c r="R44" s="30"/>
      <c r="S44" s="30">
        <v>391.89189189189187</v>
      </c>
      <c r="T44" s="30"/>
      <c r="U44" s="30">
        <v>149977.80739864864</v>
      </c>
    </row>
    <row r="45" spans="1:21">
      <c r="A45" s="121" t="s">
        <v>45</v>
      </c>
      <c r="B45" s="30"/>
      <c r="C45" s="30"/>
      <c r="D45" s="30"/>
      <c r="E45" s="30"/>
      <c r="F45" s="30">
        <v>255.86206896551724</v>
      </c>
      <c r="G45" s="30"/>
      <c r="H45" s="30"/>
      <c r="I45" s="30"/>
      <c r="J45" s="30">
        <v>4000</v>
      </c>
      <c r="K45" s="30">
        <v>90282.209364864873</v>
      </c>
      <c r="L45" s="30">
        <v>21844.399999999998</v>
      </c>
      <c r="M45" s="30"/>
      <c r="N45" s="30"/>
      <c r="O45" s="30">
        <v>80779</v>
      </c>
      <c r="P45" s="30">
        <v>153000</v>
      </c>
      <c r="Q45" s="30">
        <v>2620.6896551724139</v>
      </c>
      <c r="R45" s="30">
        <v>3889.1891891891892</v>
      </c>
      <c r="S45" s="30"/>
      <c r="T45" s="30"/>
      <c r="U45" s="30">
        <v>356671.35027819197</v>
      </c>
    </row>
    <row r="46" spans="1:21">
      <c r="A46" s="121" t="s">
        <v>46</v>
      </c>
      <c r="B46" s="30"/>
      <c r="C46" s="30"/>
      <c r="D46" s="30"/>
      <c r="E46" s="30"/>
      <c r="F46" s="30"/>
      <c r="G46" s="30"/>
      <c r="H46" s="30"/>
      <c r="I46" s="30"/>
      <c r="J46" s="30"/>
      <c r="K46" s="30">
        <v>15007.796310810811</v>
      </c>
      <c r="L46" s="30"/>
      <c r="M46" s="30"/>
      <c r="N46" s="30"/>
      <c r="O46" s="30">
        <v>33801</v>
      </c>
      <c r="P46" s="30"/>
      <c r="Q46" s="30"/>
      <c r="R46" s="30"/>
      <c r="S46" s="30"/>
      <c r="T46" s="30"/>
      <c r="U46" s="30">
        <v>48808.796310810809</v>
      </c>
    </row>
    <row r="47" spans="1:21">
      <c r="A47" s="121" t="s">
        <v>47</v>
      </c>
      <c r="B47" s="30"/>
      <c r="C47" s="30"/>
      <c r="D47" s="30"/>
      <c r="E47" s="30"/>
      <c r="F47" s="30">
        <v>36.551724137931032</v>
      </c>
      <c r="G47" s="30"/>
      <c r="H47" s="30"/>
      <c r="I47" s="30"/>
      <c r="J47" s="30"/>
      <c r="K47" s="30">
        <v>32221.382513513516</v>
      </c>
      <c r="L47" s="30">
        <v>6130.97</v>
      </c>
      <c r="M47" s="30"/>
      <c r="N47" s="30"/>
      <c r="O47" s="30">
        <v>50169</v>
      </c>
      <c r="P47" s="30"/>
      <c r="Q47" s="30"/>
      <c r="R47" s="30"/>
      <c r="S47" s="30"/>
      <c r="T47" s="30"/>
      <c r="U47" s="30">
        <v>88557.904237651441</v>
      </c>
    </row>
    <row r="48" spans="1:21">
      <c r="A48" s="121" t="s">
        <v>263</v>
      </c>
      <c r="B48" s="30"/>
      <c r="C48" s="30"/>
      <c r="D48" s="30"/>
      <c r="E48" s="30"/>
      <c r="F48" s="30">
        <v>585.51724137931035</v>
      </c>
      <c r="G48" s="30">
        <v>183772.97297297296</v>
      </c>
      <c r="H48" s="30"/>
      <c r="I48" s="30"/>
      <c r="J48" s="30"/>
      <c r="K48" s="30">
        <v>55866.610094594595</v>
      </c>
      <c r="L48" s="30">
        <v>74742.316486486467</v>
      </c>
      <c r="M48" s="30"/>
      <c r="N48" s="30"/>
      <c r="O48" s="30">
        <v>26109</v>
      </c>
      <c r="P48" s="30"/>
      <c r="Q48" s="30">
        <v>772.97297297297303</v>
      </c>
      <c r="R48" s="30">
        <v>17531.08108108108</v>
      </c>
      <c r="S48" s="30"/>
      <c r="T48" s="30">
        <v>1273.6486486486488</v>
      </c>
      <c r="U48" s="30">
        <v>360654.11949813599</v>
      </c>
    </row>
    <row r="49" spans="1:21">
      <c r="A49" s="121" t="s">
        <v>49</v>
      </c>
      <c r="B49" s="30"/>
      <c r="C49" s="30"/>
      <c r="D49" s="30"/>
      <c r="E49" s="30"/>
      <c r="F49" s="30"/>
      <c r="G49" s="30"/>
      <c r="H49" s="30"/>
      <c r="I49" s="30"/>
      <c r="J49" s="30"/>
      <c r="K49" s="30">
        <v>10577.172574324324</v>
      </c>
      <c r="L49" s="30">
        <v>6363.5675675675675</v>
      </c>
      <c r="M49" s="30"/>
      <c r="N49" s="30"/>
      <c r="O49" s="30">
        <v>30976</v>
      </c>
      <c r="P49" s="30"/>
      <c r="Q49" s="30"/>
      <c r="R49" s="30"/>
      <c r="S49" s="30"/>
      <c r="T49" s="30"/>
      <c r="U49" s="30">
        <v>47916.740141891889</v>
      </c>
    </row>
    <row r="50" spans="1:21">
      <c r="A50" s="121" t="s">
        <v>50</v>
      </c>
      <c r="B50" s="30"/>
      <c r="C50" s="30"/>
      <c r="D50" s="30"/>
      <c r="E50" s="30"/>
      <c r="F50" s="30">
        <v>471.03914259086673</v>
      </c>
      <c r="G50" s="30"/>
      <c r="H50" s="30"/>
      <c r="I50" s="30"/>
      <c r="J50" s="30"/>
      <c r="K50" s="30">
        <v>226318.79700675677</v>
      </c>
      <c r="L50" s="30">
        <v>77990.761891891874</v>
      </c>
      <c r="M50" s="30"/>
      <c r="N50" s="30"/>
      <c r="O50" s="30">
        <v>267776</v>
      </c>
      <c r="P50" s="30">
        <v>29946.652297297296</v>
      </c>
      <c r="Q50" s="30"/>
      <c r="R50" s="30">
        <v>405.40540540540542</v>
      </c>
      <c r="S50" s="30"/>
      <c r="T50" s="30"/>
      <c r="U50" s="30">
        <v>602908.65574394213</v>
      </c>
    </row>
    <row r="51" spans="1:21">
      <c r="A51" s="121" t="s">
        <v>51</v>
      </c>
      <c r="B51" s="30"/>
      <c r="C51" s="30"/>
      <c r="D51" s="30"/>
      <c r="E51" s="30">
        <v>1689.1891891891892</v>
      </c>
      <c r="F51" s="30">
        <v>255.86206896551724</v>
      </c>
      <c r="G51" s="30"/>
      <c r="H51" s="30"/>
      <c r="I51" s="30"/>
      <c r="J51" s="30"/>
      <c r="K51" s="30">
        <v>15086.757383737186</v>
      </c>
      <c r="L51" s="30">
        <v>1134.4594594594594</v>
      </c>
      <c r="M51" s="30">
        <v>13851.351351351352</v>
      </c>
      <c r="N51" s="30"/>
      <c r="O51" s="30">
        <v>29842</v>
      </c>
      <c r="P51" s="30"/>
      <c r="Q51" s="30"/>
      <c r="R51" s="30"/>
      <c r="S51" s="30"/>
      <c r="T51" s="30"/>
      <c r="U51" s="30">
        <v>61859.619452702704</v>
      </c>
    </row>
    <row r="52" spans="1:21">
      <c r="A52" s="121" t="s">
        <v>42</v>
      </c>
      <c r="B52" s="30"/>
      <c r="C52" s="30"/>
      <c r="D52" s="30"/>
      <c r="E52" s="30"/>
      <c r="F52" s="30">
        <v>1893.7599388168089</v>
      </c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>
        <v>1893.7599388168089</v>
      </c>
    </row>
    <row r="53" spans="1:21">
      <c r="A53" s="121" t="s">
        <v>76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>
        <v>998</v>
      </c>
      <c r="P53" s="30"/>
      <c r="Q53" s="30"/>
      <c r="R53" s="30"/>
      <c r="S53" s="30"/>
      <c r="T53" s="30"/>
      <c r="U53" s="30">
        <v>998</v>
      </c>
    </row>
    <row r="54" spans="1:21">
      <c r="A54" s="121" t="s">
        <v>73</v>
      </c>
      <c r="B54" s="30"/>
      <c r="C54" s="30"/>
      <c r="D54" s="30"/>
      <c r="E54" s="30">
        <v>912.16216216216219</v>
      </c>
      <c r="F54" s="30"/>
      <c r="G54" s="30"/>
      <c r="H54" s="30"/>
      <c r="I54" s="30"/>
      <c r="J54" s="30"/>
      <c r="K54" s="30"/>
      <c r="L54" s="30">
        <v>7973.0918918918915</v>
      </c>
      <c r="M54" s="30"/>
      <c r="N54" s="30"/>
      <c r="O54" s="30"/>
      <c r="P54" s="30"/>
      <c r="Q54" s="30"/>
      <c r="R54" s="30"/>
      <c r="S54" s="30"/>
      <c r="T54" s="30"/>
      <c r="U54" s="30">
        <v>8885.254054054054</v>
      </c>
    </row>
    <row r="55" spans="1:21">
      <c r="A55" s="4" t="s">
        <v>52</v>
      </c>
      <c r="B55" s="30"/>
      <c r="C55" s="30"/>
      <c r="D55" s="30"/>
      <c r="E55" s="30">
        <v>5540.5405405405409</v>
      </c>
      <c r="F55" s="30">
        <v>2167.6075133438535</v>
      </c>
      <c r="G55" s="30">
        <v>1706.081081081081</v>
      </c>
      <c r="H55" s="30"/>
      <c r="I55" s="30">
        <v>2827.5862068965516</v>
      </c>
      <c r="J55" s="30">
        <v>4000</v>
      </c>
      <c r="K55" s="30">
        <v>424992.29881081084</v>
      </c>
      <c r="L55" s="30">
        <v>130568.19091022904</v>
      </c>
      <c r="M55" s="30">
        <v>21168.04</v>
      </c>
      <c r="N55" s="30"/>
      <c r="O55" s="30">
        <v>357938</v>
      </c>
      <c r="P55" s="30">
        <v>614476.43999999994</v>
      </c>
      <c r="Q55" s="30"/>
      <c r="R55" s="30">
        <v>235312.1824324324</v>
      </c>
      <c r="S55" s="30">
        <v>213.51351351351352</v>
      </c>
      <c r="T55" s="30"/>
      <c r="U55" s="30">
        <v>1800910.4810088479</v>
      </c>
    </row>
    <row r="56" spans="1:21">
      <c r="A56" s="121" t="s">
        <v>62</v>
      </c>
      <c r="B56" s="30"/>
      <c r="C56" s="30"/>
      <c r="D56" s="30"/>
      <c r="E56" s="30">
        <v>5540.5405405405409</v>
      </c>
      <c r="F56" s="30">
        <v>2167.6075133438535</v>
      </c>
      <c r="G56" s="30">
        <v>1706.081081081081</v>
      </c>
      <c r="H56" s="30"/>
      <c r="I56" s="30">
        <v>2827.5862068965516</v>
      </c>
      <c r="J56" s="30">
        <v>4000</v>
      </c>
      <c r="K56" s="30">
        <v>424992.29881081084</v>
      </c>
      <c r="L56" s="30">
        <v>130568.19091022904</v>
      </c>
      <c r="M56" s="30">
        <v>21168.04</v>
      </c>
      <c r="N56" s="30"/>
      <c r="O56" s="30">
        <v>357938</v>
      </c>
      <c r="P56" s="30">
        <v>614476.43999999994</v>
      </c>
      <c r="Q56" s="30"/>
      <c r="R56" s="30">
        <v>235312.1824324324</v>
      </c>
      <c r="S56" s="30">
        <v>213.51351351351352</v>
      </c>
      <c r="T56" s="30"/>
      <c r="U56" s="30">
        <v>1800910.4810088479</v>
      </c>
    </row>
    <row r="57" spans="1:21">
      <c r="A57" s="4" t="s">
        <v>241</v>
      </c>
      <c r="B57" s="30">
        <v>20112.855792855789</v>
      </c>
      <c r="C57" s="30">
        <v>7268.3783783783783</v>
      </c>
      <c r="D57" s="30">
        <v>496674</v>
      </c>
      <c r="E57" s="30">
        <v>29822.2972972973</v>
      </c>
      <c r="F57" s="30">
        <v>19958.683597390496</v>
      </c>
      <c r="G57" s="30">
        <v>191164.1891891892</v>
      </c>
      <c r="H57" s="30">
        <v>189638.08918918917</v>
      </c>
      <c r="I57" s="30">
        <v>58882.265916748678</v>
      </c>
      <c r="J57" s="30">
        <v>17358.108108108107</v>
      </c>
      <c r="K57" s="30">
        <v>1474835.1589040076</v>
      </c>
      <c r="L57" s="30">
        <v>615386.05307239119</v>
      </c>
      <c r="M57" s="30">
        <v>101519.39135135134</v>
      </c>
      <c r="N57" s="30">
        <v>25000</v>
      </c>
      <c r="O57" s="30">
        <v>2199057.702702703</v>
      </c>
      <c r="P57" s="30">
        <v>986152.82202702691</v>
      </c>
      <c r="Q57" s="30">
        <v>23174.743709226466</v>
      </c>
      <c r="R57" s="30">
        <v>360457.53891891887</v>
      </c>
      <c r="S57" s="30">
        <v>14337.907735321529</v>
      </c>
      <c r="T57" s="30">
        <v>11847.772600186392</v>
      </c>
      <c r="U57" s="30">
        <v>6842647.9584902888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98"/>
  <sheetViews>
    <sheetView workbookViewId="0">
      <selection activeCell="A2" sqref="A2"/>
    </sheetView>
  </sheetViews>
  <sheetFormatPr defaultColWidth="9" defaultRowHeight="14.5"/>
  <cols>
    <col min="1" max="1" width="7.6328125" style="46" bestFit="1" customWidth="1"/>
    <col min="2" max="2" width="11.90625" style="46" bestFit="1" customWidth="1"/>
    <col min="3" max="3" width="12.08984375" style="46" bestFit="1" customWidth="1"/>
    <col min="4" max="4" width="11.26953125" style="46" bestFit="1" customWidth="1"/>
    <col min="5" max="5" width="29" style="46" bestFit="1" customWidth="1"/>
    <col min="6" max="6" width="12.453125" style="46" bestFit="1" customWidth="1"/>
    <col min="7" max="7" width="48.1796875" style="46" bestFit="1" customWidth="1"/>
    <col min="8" max="8" width="72.08984375" style="46" customWidth="1"/>
    <col min="9" max="9" width="21.6328125" style="64" bestFit="1" customWidth="1"/>
    <col min="10" max="10" width="34.08984375" style="46" bestFit="1" customWidth="1"/>
    <col min="11" max="11" width="13.453125" style="65" bestFit="1" customWidth="1"/>
    <col min="12" max="12" width="12.81640625" style="46" bestFit="1" customWidth="1"/>
    <col min="13" max="13" width="8.81640625" style="46" bestFit="1" customWidth="1"/>
    <col min="14" max="14" width="6.81640625" style="46" bestFit="1" customWidth="1"/>
    <col min="15" max="16384" width="9" style="46"/>
  </cols>
  <sheetData>
    <row r="1" spans="1:14">
      <c r="A1" s="82" t="s">
        <v>0</v>
      </c>
      <c r="B1" s="82" t="s">
        <v>1</v>
      </c>
      <c r="C1" s="82" t="s">
        <v>2</v>
      </c>
      <c r="D1" s="82" t="s">
        <v>3</v>
      </c>
      <c r="E1" s="82" t="s">
        <v>4</v>
      </c>
      <c r="F1" s="82" t="s">
        <v>5</v>
      </c>
      <c r="G1" s="82" t="s">
        <v>6</v>
      </c>
      <c r="H1" s="82" t="s">
        <v>7</v>
      </c>
      <c r="I1" s="83" t="s">
        <v>8</v>
      </c>
      <c r="J1" s="82" t="s">
        <v>9</v>
      </c>
      <c r="K1" s="84" t="s">
        <v>10</v>
      </c>
      <c r="L1" s="82" t="s">
        <v>11</v>
      </c>
      <c r="M1" s="82" t="s">
        <v>12</v>
      </c>
      <c r="N1" s="82" t="s">
        <v>13</v>
      </c>
    </row>
    <row r="2" spans="1:14">
      <c r="A2" s="28">
        <v>1</v>
      </c>
      <c r="B2" s="28" t="s">
        <v>58</v>
      </c>
      <c r="C2" s="28" t="s">
        <v>59</v>
      </c>
      <c r="D2" s="28" t="s">
        <v>60</v>
      </c>
      <c r="E2" s="28" t="s">
        <v>84</v>
      </c>
      <c r="F2" s="28"/>
      <c r="G2" s="28" t="s">
        <v>21</v>
      </c>
      <c r="H2" s="28" t="s">
        <v>393</v>
      </c>
      <c r="I2" s="56">
        <v>2097.9020979020979</v>
      </c>
      <c r="J2" s="28" t="s">
        <v>14</v>
      </c>
      <c r="K2" s="51" t="s">
        <v>14</v>
      </c>
      <c r="L2" s="28" t="s">
        <v>14</v>
      </c>
      <c r="M2" s="28" t="s">
        <v>311</v>
      </c>
      <c r="N2" s="28">
        <v>2026</v>
      </c>
    </row>
    <row r="3" spans="1:14">
      <c r="A3" s="28">
        <v>2</v>
      </c>
      <c r="B3" s="28" t="s">
        <v>58</v>
      </c>
      <c r="C3" s="28" t="s">
        <v>59</v>
      </c>
      <c r="D3" s="28" t="s">
        <v>60</v>
      </c>
      <c r="E3" s="28" t="s">
        <v>84</v>
      </c>
      <c r="F3" s="28"/>
      <c r="G3" s="28" t="s">
        <v>21</v>
      </c>
      <c r="H3" s="28" t="s">
        <v>394</v>
      </c>
      <c r="I3" s="56">
        <v>3496.5034965034965</v>
      </c>
      <c r="J3" s="28" t="s">
        <v>14</v>
      </c>
      <c r="K3" s="51" t="s">
        <v>14</v>
      </c>
      <c r="L3" s="28" t="s">
        <v>14</v>
      </c>
      <c r="M3" s="28" t="s">
        <v>311</v>
      </c>
      <c r="N3" s="28">
        <v>2026</v>
      </c>
    </row>
    <row r="4" spans="1:14">
      <c r="A4" s="28">
        <v>3</v>
      </c>
      <c r="B4" s="28" t="s">
        <v>58</v>
      </c>
      <c r="C4" s="91" t="s">
        <v>59</v>
      </c>
      <c r="D4" s="28" t="s">
        <v>60</v>
      </c>
      <c r="E4" s="28" t="s">
        <v>84</v>
      </c>
      <c r="F4" s="28"/>
      <c r="G4" s="28" t="s">
        <v>21</v>
      </c>
      <c r="H4" s="28" t="s">
        <v>395</v>
      </c>
      <c r="I4" s="56">
        <v>2000</v>
      </c>
      <c r="J4" s="28" t="s">
        <v>14</v>
      </c>
      <c r="K4" s="51" t="s">
        <v>14</v>
      </c>
      <c r="L4" s="28" t="s">
        <v>14</v>
      </c>
      <c r="M4" s="28" t="s">
        <v>311</v>
      </c>
      <c r="N4" s="28">
        <v>2026</v>
      </c>
    </row>
    <row r="5" spans="1:14">
      <c r="A5" s="28">
        <v>4</v>
      </c>
      <c r="B5" s="28" t="s">
        <v>58</v>
      </c>
      <c r="C5" s="28" t="s">
        <v>59</v>
      </c>
      <c r="D5" s="28" t="s">
        <v>60</v>
      </c>
      <c r="E5" s="28" t="s">
        <v>84</v>
      </c>
      <c r="F5" s="28"/>
      <c r="G5" s="28" t="s">
        <v>21</v>
      </c>
      <c r="H5" s="28" t="s">
        <v>396</v>
      </c>
      <c r="I5" s="56">
        <v>874.12587412587413</v>
      </c>
      <c r="J5" s="28" t="s">
        <v>14</v>
      </c>
      <c r="K5" s="51" t="s">
        <v>14</v>
      </c>
      <c r="L5" s="28" t="s">
        <v>14</v>
      </c>
      <c r="M5" s="28" t="s">
        <v>311</v>
      </c>
      <c r="N5" s="28">
        <v>2026</v>
      </c>
    </row>
    <row r="6" spans="1:14">
      <c r="A6" s="28">
        <v>5</v>
      </c>
      <c r="B6" s="28" t="s">
        <v>58</v>
      </c>
      <c r="C6" s="28" t="s">
        <v>59</v>
      </c>
      <c r="D6" s="28" t="s">
        <v>60</v>
      </c>
      <c r="E6" s="28" t="s">
        <v>84</v>
      </c>
      <c r="F6" s="28"/>
      <c r="G6" s="28" t="s">
        <v>21</v>
      </c>
      <c r="H6" s="28" t="s">
        <v>397</v>
      </c>
      <c r="I6" s="56">
        <v>4500</v>
      </c>
      <c r="J6" s="28" t="s">
        <v>14</v>
      </c>
      <c r="K6" s="51" t="s">
        <v>14</v>
      </c>
      <c r="L6" s="28" t="s">
        <v>14</v>
      </c>
      <c r="M6" s="28" t="s">
        <v>311</v>
      </c>
      <c r="N6" s="28">
        <v>2026</v>
      </c>
    </row>
    <row r="7" spans="1:14">
      <c r="A7" s="28">
        <v>6</v>
      </c>
      <c r="B7" s="28" t="s">
        <v>58</v>
      </c>
      <c r="C7" s="28" t="s">
        <v>59</v>
      </c>
      <c r="D7" s="28" t="s">
        <v>60</v>
      </c>
      <c r="E7" s="28" t="s">
        <v>84</v>
      </c>
      <c r="F7" s="28"/>
      <c r="G7" s="28" t="s">
        <v>21</v>
      </c>
      <c r="H7" s="28" t="s">
        <v>398</v>
      </c>
      <c r="I7" s="56">
        <v>6000</v>
      </c>
      <c r="J7" s="28" t="s">
        <v>14</v>
      </c>
      <c r="K7" s="51" t="s">
        <v>14</v>
      </c>
      <c r="L7" s="28" t="s">
        <v>14</v>
      </c>
      <c r="M7" s="28" t="s">
        <v>311</v>
      </c>
      <c r="N7" s="28">
        <v>2026</v>
      </c>
    </row>
    <row r="8" spans="1:14">
      <c r="A8" s="28">
        <v>7</v>
      </c>
      <c r="B8" s="28" t="s">
        <v>58</v>
      </c>
      <c r="C8" s="28" t="s">
        <v>59</v>
      </c>
      <c r="D8" s="28" t="s">
        <v>60</v>
      </c>
      <c r="E8" s="28" t="s">
        <v>84</v>
      </c>
      <c r="F8" s="28"/>
      <c r="G8" s="28" t="s">
        <v>85</v>
      </c>
      <c r="H8" s="28" t="s">
        <v>399</v>
      </c>
      <c r="I8" s="56">
        <v>270</v>
      </c>
      <c r="J8" s="28" t="s">
        <v>392</v>
      </c>
      <c r="K8" s="51">
        <v>46053</v>
      </c>
      <c r="L8" s="28" t="s">
        <v>14</v>
      </c>
      <c r="M8" s="28" t="s">
        <v>311</v>
      </c>
      <c r="N8" s="28">
        <v>2026</v>
      </c>
    </row>
    <row r="9" spans="1:14">
      <c r="A9" s="28">
        <v>8</v>
      </c>
      <c r="B9" s="28" t="s">
        <v>285</v>
      </c>
      <c r="C9" s="91" t="s">
        <v>286</v>
      </c>
      <c r="D9" s="122" t="s">
        <v>60</v>
      </c>
      <c r="E9" s="28" t="s">
        <v>84</v>
      </c>
      <c r="F9" s="28"/>
      <c r="G9" s="28" t="s">
        <v>64</v>
      </c>
      <c r="H9" s="28" t="s">
        <v>346</v>
      </c>
      <c r="I9" s="56">
        <v>468.91891891891891</v>
      </c>
      <c r="J9" s="28" t="s">
        <v>68</v>
      </c>
      <c r="K9" s="51" t="s">
        <v>380</v>
      </c>
      <c r="L9" s="28" t="s">
        <v>14</v>
      </c>
      <c r="M9" s="28" t="s">
        <v>311</v>
      </c>
      <c r="N9" s="28">
        <v>2026</v>
      </c>
    </row>
    <row r="10" spans="1:14">
      <c r="A10" s="28">
        <v>9</v>
      </c>
      <c r="B10" s="28" t="s">
        <v>285</v>
      </c>
      <c r="C10" s="28" t="s">
        <v>286</v>
      </c>
      <c r="D10" s="122" t="s">
        <v>60</v>
      </c>
      <c r="E10" s="28" t="s">
        <v>84</v>
      </c>
      <c r="F10" s="28"/>
      <c r="G10" s="28" t="s">
        <v>64</v>
      </c>
      <c r="H10" s="28" t="s">
        <v>347</v>
      </c>
      <c r="I10" s="56">
        <v>405.40540540540542</v>
      </c>
      <c r="J10" s="28">
        <v>365</v>
      </c>
      <c r="K10" s="51" t="s">
        <v>367</v>
      </c>
      <c r="L10" s="28" t="s">
        <v>14</v>
      </c>
      <c r="M10" s="28" t="s">
        <v>311</v>
      </c>
      <c r="N10" s="28">
        <v>2026</v>
      </c>
    </row>
    <row r="11" spans="1:14">
      <c r="A11" s="28">
        <v>10</v>
      </c>
      <c r="B11" s="48" t="s">
        <v>285</v>
      </c>
      <c r="C11" s="28" t="s">
        <v>286</v>
      </c>
      <c r="D11" s="28" t="s">
        <v>60</v>
      </c>
      <c r="E11" s="28" t="s">
        <v>128</v>
      </c>
      <c r="F11" s="28"/>
      <c r="G11" s="48" t="s">
        <v>226</v>
      </c>
      <c r="H11" s="48" t="s">
        <v>128</v>
      </c>
      <c r="I11" s="56">
        <v>2345.2702702702704</v>
      </c>
      <c r="J11" s="28" t="s">
        <v>14</v>
      </c>
      <c r="K11" s="51" t="s">
        <v>14</v>
      </c>
      <c r="L11" s="28" t="s">
        <v>14</v>
      </c>
      <c r="M11" s="28" t="s">
        <v>311</v>
      </c>
      <c r="N11" s="28">
        <v>2026</v>
      </c>
    </row>
    <row r="12" spans="1:14">
      <c r="A12" s="28">
        <v>11</v>
      </c>
      <c r="B12" s="48" t="s">
        <v>401</v>
      </c>
      <c r="C12" s="28" t="s">
        <v>401</v>
      </c>
      <c r="D12" s="28" t="s">
        <v>60</v>
      </c>
      <c r="E12" s="28" t="s">
        <v>128</v>
      </c>
      <c r="F12" s="28"/>
      <c r="G12" s="48" t="s">
        <v>226</v>
      </c>
      <c r="H12" s="48" t="s">
        <v>128</v>
      </c>
      <c r="I12" s="56">
        <v>733.10810810810813</v>
      </c>
      <c r="J12" s="28" t="s">
        <v>14</v>
      </c>
      <c r="K12" s="51" t="s">
        <v>14</v>
      </c>
      <c r="L12" s="28" t="s">
        <v>14</v>
      </c>
      <c r="M12" s="28" t="s">
        <v>311</v>
      </c>
      <c r="N12" s="28">
        <v>2026</v>
      </c>
    </row>
    <row r="13" spans="1:14">
      <c r="A13" s="28">
        <v>12</v>
      </c>
      <c r="B13" s="48" t="s">
        <v>401</v>
      </c>
      <c r="C13" s="28" t="s">
        <v>401</v>
      </c>
      <c r="D13" s="28" t="s">
        <v>60</v>
      </c>
      <c r="E13" s="28" t="s">
        <v>128</v>
      </c>
      <c r="F13" s="28"/>
      <c r="G13" s="48" t="s">
        <v>226</v>
      </c>
      <c r="H13" s="48" t="s">
        <v>128</v>
      </c>
      <c r="I13" s="56">
        <v>1690</v>
      </c>
      <c r="J13" s="28" t="s">
        <v>14</v>
      </c>
      <c r="K13" s="51" t="s">
        <v>14</v>
      </c>
      <c r="L13" s="28" t="s">
        <v>14</v>
      </c>
      <c r="M13" s="28" t="s">
        <v>311</v>
      </c>
      <c r="N13" s="28">
        <v>2026</v>
      </c>
    </row>
    <row r="14" spans="1:14">
      <c r="A14" s="28">
        <v>13</v>
      </c>
      <c r="B14" s="48" t="s">
        <v>33</v>
      </c>
      <c r="C14" s="28" t="s">
        <v>34</v>
      </c>
      <c r="D14" s="28" t="s">
        <v>60</v>
      </c>
      <c r="E14" s="28" t="s">
        <v>128</v>
      </c>
      <c r="F14" s="28"/>
      <c r="G14" s="48" t="s">
        <v>226</v>
      </c>
      <c r="H14" s="48" t="s">
        <v>128</v>
      </c>
      <c r="I14" s="56">
        <v>2500</v>
      </c>
      <c r="J14" s="28" t="s">
        <v>14</v>
      </c>
      <c r="K14" s="51" t="s">
        <v>14</v>
      </c>
      <c r="L14" s="28" t="s">
        <v>14</v>
      </c>
      <c r="M14" s="28" t="s">
        <v>311</v>
      </c>
      <c r="N14" s="28">
        <v>2026</v>
      </c>
    </row>
    <row r="15" spans="1:14">
      <c r="A15" s="28">
        <v>14</v>
      </c>
      <c r="B15" s="59" t="s">
        <v>58</v>
      </c>
      <c r="C15" s="59" t="s">
        <v>59</v>
      </c>
      <c r="D15" s="28" t="s">
        <v>60</v>
      </c>
      <c r="E15" s="59" t="s">
        <v>225</v>
      </c>
      <c r="F15" s="28"/>
      <c r="G15" s="59" t="s">
        <v>21</v>
      </c>
      <c r="H15" s="59" t="s">
        <v>225</v>
      </c>
      <c r="I15" s="53">
        <v>496674</v>
      </c>
      <c r="J15" s="28" t="s">
        <v>14</v>
      </c>
      <c r="K15" s="51" t="s">
        <v>14</v>
      </c>
      <c r="L15" s="28" t="s">
        <v>14</v>
      </c>
      <c r="M15" s="117" t="s">
        <v>311</v>
      </c>
      <c r="N15" s="28">
        <v>2026</v>
      </c>
    </row>
    <row r="16" spans="1:14">
      <c r="A16" s="28">
        <v>15</v>
      </c>
      <c r="B16" s="28" t="s">
        <v>52</v>
      </c>
      <c r="C16" s="91" t="s">
        <v>62</v>
      </c>
      <c r="D16" s="28" t="s">
        <v>60</v>
      </c>
      <c r="E16" s="28" t="s">
        <v>63</v>
      </c>
      <c r="F16" s="28"/>
      <c r="G16" s="28" t="s">
        <v>21</v>
      </c>
      <c r="H16" s="28" t="s">
        <v>63</v>
      </c>
      <c r="I16" s="56">
        <v>3378.3783783783783</v>
      </c>
      <c r="J16" s="28" t="s">
        <v>14</v>
      </c>
      <c r="K16" s="51" t="s">
        <v>14</v>
      </c>
      <c r="L16" s="28" t="s">
        <v>14</v>
      </c>
      <c r="M16" s="28" t="s">
        <v>311</v>
      </c>
      <c r="N16" s="28">
        <v>2026</v>
      </c>
    </row>
    <row r="17" spans="1:14">
      <c r="A17" s="28">
        <v>16</v>
      </c>
      <c r="B17" s="28" t="s">
        <v>27</v>
      </c>
      <c r="C17" s="28" t="s">
        <v>28</v>
      </c>
      <c r="D17" s="28" t="s">
        <v>60</v>
      </c>
      <c r="E17" s="28" t="s">
        <v>63</v>
      </c>
      <c r="F17" s="28"/>
      <c r="G17" s="28" t="s">
        <v>21</v>
      </c>
      <c r="H17" s="28" t="s">
        <v>63</v>
      </c>
      <c r="I17" s="56">
        <v>3945.9459459459458</v>
      </c>
      <c r="J17" s="28" t="s">
        <v>14</v>
      </c>
      <c r="K17" s="51" t="s">
        <v>14</v>
      </c>
      <c r="L17" s="28" t="s">
        <v>14</v>
      </c>
      <c r="M17" s="28" t="s">
        <v>311</v>
      </c>
      <c r="N17" s="28">
        <v>2026</v>
      </c>
    </row>
    <row r="18" spans="1:14">
      <c r="A18" s="28">
        <v>17</v>
      </c>
      <c r="B18" s="28" t="s">
        <v>17</v>
      </c>
      <c r="C18" s="28" t="s">
        <v>22</v>
      </c>
      <c r="D18" s="122" t="s">
        <v>60</v>
      </c>
      <c r="E18" s="28" t="s">
        <v>63</v>
      </c>
      <c r="F18" s="28"/>
      <c r="G18" s="28" t="s">
        <v>64</v>
      </c>
      <c r="H18" s="28" t="s">
        <v>66</v>
      </c>
      <c r="I18" s="49">
        <v>878.37837837837833</v>
      </c>
      <c r="J18" s="28" t="s">
        <v>68</v>
      </c>
      <c r="K18" s="51">
        <v>46357</v>
      </c>
      <c r="L18" s="28" t="s">
        <v>14</v>
      </c>
      <c r="M18" s="28" t="s">
        <v>311</v>
      </c>
      <c r="N18" s="28">
        <v>2026</v>
      </c>
    </row>
    <row r="19" spans="1:14">
      <c r="A19" s="28">
        <v>18</v>
      </c>
      <c r="B19" s="28" t="s">
        <v>17</v>
      </c>
      <c r="C19" s="91" t="s">
        <v>25</v>
      </c>
      <c r="D19" s="122" t="s">
        <v>60</v>
      </c>
      <c r="E19" s="28" t="s">
        <v>63</v>
      </c>
      <c r="F19" s="28"/>
      <c r="G19" s="28" t="s">
        <v>64</v>
      </c>
      <c r="H19" s="28" t="s">
        <v>65</v>
      </c>
      <c r="I19" s="49">
        <v>135.13513513513513</v>
      </c>
      <c r="J19" s="28" t="s">
        <v>68</v>
      </c>
      <c r="K19" s="51">
        <v>46357</v>
      </c>
      <c r="L19" s="28" t="s">
        <v>14</v>
      </c>
      <c r="M19" s="28" t="s">
        <v>311</v>
      </c>
      <c r="N19" s="28">
        <v>2026</v>
      </c>
    </row>
    <row r="20" spans="1:14">
      <c r="A20" s="28">
        <v>19</v>
      </c>
      <c r="B20" s="28" t="s">
        <v>17</v>
      </c>
      <c r="C20" s="28" t="s">
        <v>25</v>
      </c>
      <c r="D20" s="122" t="s">
        <v>60</v>
      </c>
      <c r="E20" s="28" t="s">
        <v>63</v>
      </c>
      <c r="F20" s="28"/>
      <c r="G20" s="28" t="s">
        <v>64</v>
      </c>
      <c r="H20" s="52" t="s">
        <v>320</v>
      </c>
      <c r="I20" s="53">
        <v>1351.3513513513512</v>
      </c>
      <c r="J20" s="28" t="s">
        <v>68</v>
      </c>
      <c r="K20" s="51" t="s">
        <v>367</v>
      </c>
      <c r="L20" s="54" t="s">
        <v>14</v>
      </c>
      <c r="M20" s="28" t="s">
        <v>311</v>
      </c>
      <c r="N20" s="28">
        <v>2026</v>
      </c>
    </row>
    <row r="21" spans="1:14">
      <c r="A21" s="28">
        <v>20</v>
      </c>
      <c r="B21" s="28" t="s">
        <v>58</v>
      </c>
      <c r="C21" s="28" t="s">
        <v>59</v>
      </c>
      <c r="D21" s="122" t="s">
        <v>60</v>
      </c>
      <c r="E21" s="28" t="s">
        <v>63</v>
      </c>
      <c r="F21" s="28"/>
      <c r="G21" s="28" t="s">
        <v>64</v>
      </c>
      <c r="H21" s="52" t="s">
        <v>65</v>
      </c>
      <c r="I21" s="53">
        <v>3608.1081081081079</v>
      </c>
      <c r="J21" s="28" t="s">
        <v>68</v>
      </c>
      <c r="K21" s="51" t="s">
        <v>368</v>
      </c>
      <c r="L21" s="54" t="s">
        <v>14</v>
      </c>
      <c r="M21" s="28" t="s">
        <v>311</v>
      </c>
      <c r="N21" s="28">
        <v>2026</v>
      </c>
    </row>
    <row r="22" spans="1:14">
      <c r="A22" s="28">
        <v>21</v>
      </c>
      <c r="B22" s="28" t="s">
        <v>58</v>
      </c>
      <c r="C22" s="28" t="s">
        <v>59</v>
      </c>
      <c r="D22" s="122" t="s">
        <v>60</v>
      </c>
      <c r="E22" s="28" t="s">
        <v>63</v>
      </c>
      <c r="F22" s="28"/>
      <c r="G22" s="28" t="s">
        <v>64</v>
      </c>
      <c r="H22" s="52" t="s">
        <v>321</v>
      </c>
      <c r="I22" s="53">
        <v>675.67567567567562</v>
      </c>
      <c r="J22" s="28" t="s">
        <v>68</v>
      </c>
      <c r="K22" s="51">
        <v>46082</v>
      </c>
      <c r="L22" s="54" t="s">
        <v>14</v>
      </c>
      <c r="M22" s="28" t="s">
        <v>311</v>
      </c>
      <c r="N22" s="28">
        <v>2026</v>
      </c>
    </row>
    <row r="23" spans="1:14">
      <c r="A23" s="28">
        <v>22</v>
      </c>
      <c r="B23" s="28" t="s">
        <v>58</v>
      </c>
      <c r="C23" s="28" t="s">
        <v>59</v>
      </c>
      <c r="D23" s="122" t="s">
        <v>60</v>
      </c>
      <c r="E23" s="28" t="s">
        <v>63</v>
      </c>
      <c r="F23" s="28"/>
      <c r="G23" s="28" t="s">
        <v>64</v>
      </c>
      <c r="H23" s="52" t="s">
        <v>250</v>
      </c>
      <c r="I23" s="53">
        <v>7148.6486486486483</v>
      </c>
      <c r="J23" s="28" t="s">
        <v>68</v>
      </c>
      <c r="K23" s="51" t="s">
        <v>369</v>
      </c>
      <c r="L23" s="54" t="s">
        <v>14</v>
      </c>
      <c r="M23" s="28" t="s">
        <v>311</v>
      </c>
      <c r="N23" s="28">
        <v>2026</v>
      </c>
    </row>
    <row r="24" spans="1:14">
      <c r="A24" s="28">
        <v>23</v>
      </c>
      <c r="B24" s="28" t="s">
        <v>33</v>
      </c>
      <c r="C24" s="28" t="s">
        <v>34</v>
      </c>
      <c r="D24" s="122" t="s">
        <v>60</v>
      </c>
      <c r="E24" s="28" t="s">
        <v>63</v>
      </c>
      <c r="F24" s="28"/>
      <c r="G24" s="28" t="s">
        <v>64</v>
      </c>
      <c r="H24" s="28" t="s">
        <v>65</v>
      </c>
      <c r="I24" s="53">
        <v>344.59459459459458</v>
      </c>
      <c r="J24" s="28" t="s">
        <v>68</v>
      </c>
      <c r="K24" s="51">
        <v>46082</v>
      </c>
      <c r="L24" s="54" t="s">
        <v>14</v>
      </c>
      <c r="M24" s="28" t="s">
        <v>311</v>
      </c>
      <c r="N24" s="28">
        <v>2026</v>
      </c>
    </row>
    <row r="25" spans="1:14">
      <c r="A25" s="28">
        <v>24</v>
      </c>
      <c r="B25" s="28" t="s">
        <v>33</v>
      </c>
      <c r="C25" s="28" t="s">
        <v>34</v>
      </c>
      <c r="D25" s="122" t="s">
        <v>60</v>
      </c>
      <c r="E25" s="28" t="s">
        <v>63</v>
      </c>
      <c r="F25" s="28"/>
      <c r="G25" s="28" t="s">
        <v>64</v>
      </c>
      <c r="H25" s="52" t="s">
        <v>67</v>
      </c>
      <c r="I25" s="53">
        <v>506.75675675675677</v>
      </c>
      <c r="J25" s="28" t="s">
        <v>68</v>
      </c>
      <c r="K25" s="51">
        <v>46357</v>
      </c>
      <c r="L25" s="54" t="s">
        <v>14</v>
      </c>
      <c r="M25" s="28" t="s">
        <v>311</v>
      </c>
      <c r="N25" s="28">
        <v>2026</v>
      </c>
    </row>
    <row r="26" spans="1:14">
      <c r="A26" s="28">
        <v>25</v>
      </c>
      <c r="B26" s="28" t="s">
        <v>33</v>
      </c>
      <c r="C26" s="28" t="s">
        <v>34</v>
      </c>
      <c r="D26" s="122" t="s">
        <v>60</v>
      </c>
      <c r="E26" s="28" t="s">
        <v>63</v>
      </c>
      <c r="F26" s="28"/>
      <c r="G26" s="28" t="s">
        <v>64</v>
      </c>
      <c r="H26" s="52" t="s">
        <v>67</v>
      </c>
      <c r="I26" s="53">
        <v>1013.5135135135135</v>
      </c>
      <c r="J26" s="28" t="s">
        <v>68</v>
      </c>
      <c r="K26" s="51">
        <v>46357</v>
      </c>
      <c r="L26" s="54" t="s">
        <v>14</v>
      </c>
      <c r="M26" s="28" t="s">
        <v>311</v>
      </c>
      <c r="N26" s="28">
        <v>2026</v>
      </c>
    </row>
    <row r="27" spans="1:14">
      <c r="A27" s="28">
        <v>26</v>
      </c>
      <c r="B27" s="28" t="s">
        <v>33</v>
      </c>
      <c r="C27" s="91" t="s">
        <v>34</v>
      </c>
      <c r="D27" s="122" t="s">
        <v>60</v>
      </c>
      <c r="E27" s="28" t="s">
        <v>63</v>
      </c>
      <c r="F27" s="28"/>
      <c r="G27" s="28" t="s">
        <v>64</v>
      </c>
      <c r="H27" s="28" t="s">
        <v>67</v>
      </c>
      <c r="I27" s="53">
        <v>337.83783783783781</v>
      </c>
      <c r="J27" s="28" t="s">
        <v>68</v>
      </c>
      <c r="K27" s="51">
        <v>46082</v>
      </c>
      <c r="L27" s="54" t="s">
        <v>14</v>
      </c>
      <c r="M27" s="28" t="s">
        <v>311</v>
      </c>
      <c r="N27" s="28">
        <v>2026</v>
      </c>
    </row>
    <row r="28" spans="1:14">
      <c r="A28" s="28">
        <v>27</v>
      </c>
      <c r="B28" s="28" t="s">
        <v>33</v>
      </c>
      <c r="C28" s="91" t="s">
        <v>34</v>
      </c>
      <c r="D28" s="122" t="s">
        <v>60</v>
      </c>
      <c r="E28" s="28" t="s">
        <v>63</v>
      </c>
      <c r="F28" s="28"/>
      <c r="G28" s="28" t="s">
        <v>64</v>
      </c>
      <c r="H28" s="52" t="s">
        <v>65</v>
      </c>
      <c r="I28" s="53">
        <v>506.75675675675677</v>
      </c>
      <c r="J28" s="28" t="s">
        <v>68</v>
      </c>
      <c r="K28" s="51">
        <v>46082</v>
      </c>
      <c r="L28" s="54" t="s">
        <v>14</v>
      </c>
      <c r="M28" s="28" t="s">
        <v>311</v>
      </c>
      <c r="N28" s="28">
        <v>2026</v>
      </c>
    </row>
    <row r="29" spans="1:14">
      <c r="A29" s="28">
        <v>28</v>
      </c>
      <c r="B29" s="28" t="s">
        <v>33</v>
      </c>
      <c r="C29" s="28" t="s">
        <v>34</v>
      </c>
      <c r="D29" s="122" t="s">
        <v>60</v>
      </c>
      <c r="E29" s="28" t="s">
        <v>63</v>
      </c>
      <c r="F29" s="28"/>
      <c r="G29" s="28" t="s">
        <v>64</v>
      </c>
      <c r="H29" s="28" t="s">
        <v>322</v>
      </c>
      <c r="I29" s="53">
        <v>1227.7027027027027</v>
      </c>
      <c r="J29" s="28" t="s">
        <v>68</v>
      </c>
      <c r="K29" s="51">
        <v>46204</v>
      </c>
      <c r="L29" s="54" t="s">
        <v>14</v>
      </c>
      <c r="M29" s="28" t="s">
        <v>311</v>
      </c>
      <c r="N29" s="28">
        <v>2026</v>
      </c>
    </row>
    <row r="30" spans="1:14">
      <c r="A30" s="28">
        <v>29</v>
      </c>
      <c r="B30" s="28" t="s">
        <v>42</v>
      </c>
      <c r="C30" s="28" t="s">
        <v>51</v>
      </c>
      <c r="D30" s="122" t="s">
        <v>60</v>
      </c>
      <c r="E30" s="28" t="s">
        <v>63</v>
      </c>
      <c r="F30" s="28"/>
      <c r="G30" s="28" t="s">
        <v>64</v>
      </c>
      <c r="H30" s="52" t="s">
        <v>65</v>
      </c>
      <c r="I30" s="53">
        <v>1689.1891891891892</v>
      </c>
      <c r="J30" s="51" t="s">
        <v>68</v>
      </c>
      <c r="K30" s="51" t="s">
        <v>370</v>
      </c>
      <c r="L30" s="54" t="s">
        <v>14</v>
      </c>
      <c r="M30" s="28" t="s">
        <v>311</v>
      </c>
      <c r="N30" s="28">
        <v>2026</v>
      </c>
    </row>
    <row r="31" spans="1:14">
      <c r="A31" s="28">
        <v>30</v>
      </c>
      <c r="B31" s="28" t="s">
        <v>42</v>
      </c>
      <c r="C31" s="91" t="s">
        <v>73</v>
      </c>
      <c r="D31" s="122" t="s">
        <v>60</v>
      </c>
      <c r="E31" s="28" t="s">
        <v>63</v>
      </c>
      <c r="F31" s="28"/>
      <c r="G31" s="28" t="s">
        <v>64</v>
      </c>
      <c r="H31" s="52" t="s">
        <v>323</v>
      </c>
      <c r="I31" s="53">
        <v>912.16216216216219</v>
      </c>
      <c r="J31" s="28" t="s">
        <v>386</v>
      </c>
      <c r="K31" s="51" t="s">
        <v>371</v>
      </c>
      <c r="L31" s="54" t="s">
        <v>14</v>
      </c>
      <c r="M31" s="28" t="s">
        <v>311</v>
      </c>
      <c r="N31" s="28">
        <v>2026</v>
      </c>
    </row>
    <row r="32" spans="1:14">
      <c r="A32" s="28">
        <v>31</v>
      </c>
      <c r="B32" s="28" t="s">
        <v>52</v>
      </c>
      <c r="C32" s="122" t="s">
        <v>62</v>
      </c>
      <c r="D32" s="122" t="s">
        <v>60</v>
      </c>
      <c r="E32" s="28" t="s">
        <v>63</v>
      </c>
      <c r="F32" s="28"/>
      <c r="G32" s="28" t="s">
        <v>64</v>
      </c>
      <c r="H32" s="52" t="s">
        <v>69</v>
      </c>
      <c r="I32" s="53">
        <v>337.83783783783781</v>
      </c>
      <c r="J32" s="28" t="s">
        <v>68</v>
      </c>
      <c r="K32" s="51">
        <v>46357</v>
      </c>
      <c r="L32" s="54" t="s">
        <v>14</v>
      </c>
      <c r="M32" s="28" t="s">
        <v>311</v>
      </c>
      <c r="N32" s="28">
        <v>2026</v>
      </c>
    </row>
    <row r="33" spans="1:14">
      <c r="A33" s="28">
        <v>32</v>
      </c>
      <c r="B33" s="28" t="s">
        <v>52</v>
      </c>
      <c r="C33" s="122" t="s">
        <v>62</v>
      </c>
      <c r="D33" s="122" t="s">
        <v>60</v>
      </c>
      <c r="E33" s="28" t="s">
        <v>63</v>
      </c>
      <c r="F33" s="28"/>
      <c r="G33" s="28" t="s">
        <v>64</v>
      </c>
      <c r="H33" s="52" t="s">
        <v>65</v>
      </c>
      <c r="I33" s="56">
        <v>1824.3243243243244</v>
      </c>
      <c r="J33" s="28" t="s">
        <v>68</v>
      </c>
      <c r="K33" s="51">
        <v>46082</v>
      </c>
      <c r="L33" s="54" t="s">
        <v>14</v>
      </c>
      <c r="M33" s="28" t="s">
        <v>311</v>
      </c>
      <c r="N33" s="28">
        <v>2026</v>
      </c>
    </row>
    <row r="34" spans="1:14">
      <c r="A34" s="28">
        <v>33</v>
      </c>
      <c r="B34" s="48" t="s">
        <v>17</v>
      </c>
      <c r="C34" s="28" t="s">
        <v>22</v>
      </c>
      <c r="D34" s="28" t="s">
        <v>60</v>
      </c>
      <c r="E34" s="28" t="s">
        <v>101</v>
      </c>
      <c r="F34" s="28"/>
      <c r="G34" s="48" t="s">
        <v>102</v>
      </c>
      <c r="H34" s="48" t="s">
        <v>103</v>
      </c>
      <c r="I34" s="56">
        <v>1137.1621621621621</v>
      </c>
      <c r="J34" s="28" t="s">
        <v>400</v>
      </c>
      <c r="K34" s="51">
        <v>46023</v>
      </c>
      <c r="L34" s="28" t="s">
        <v>14</v>
      </c>
      <c r="M34" s="28" t="s">
        <v>311</v>
      </c>
      <c r="N34" s="28">
        <v>2026</v>
      </c>
    </row>
    <row r="35" spans="1:14">
      <c r="A35" s="28">
        <v>34</v>
      </c>
      <c r="B35" s="48" t="s">
        <v>29</v>
      </c>
      <c r="C35" s="122" t="s">
        <v>731</v>
      </c>
      <c r="D35" s="28" t="s">
        <v>60</v>
      </c>
      <c r="E35" s="28" t="s">
        <v>101</v>
      </c>
      <c r="F35" s="28"/>
      <c r="G35" s="48" t="s">
        <v>104</v>
      </c>
      <c r="H35" s="48" t="s">
        <v>105</v>
      </c>
      <c r="I35" s="56">
        <v>1.4722505533320887</v>
      </c>
      <c r="J35" s="28">
        <v>63</v>
      </c>
      <c r="K35" s="51">
        <v>46025</v>
      </c>
      <c r="L35" s="28" t="s">
        <v>14</v>
      </c>
      <c r="M35" s="28" t="s">
        <v>311</v>
      </c>
      <c r="N35" s="28">
        <v>2026</v>
      </c>
    </row>
    <row r="36" spans="1:14">
      <c r="A36" s="28">
        <v>35</v>
      </c>
      <c r="B36" s="122" t="s">
        <v>27</v>
      </c>
      <c r="C36" s="122" t="s">
        <v>28</v>
      </c>
      <c r="D36" s="28" t="s">
        <v>60</v>
      </c>
      <c r="E36" s="28" t="s">
        <v>101</v>
      </c>
      <c r="F36" s="28"/>
      <c r="G36" s="48" t="s">
        <v>104</v>
      </c>
      <c r="H36" s="48" t="s">
        <v>105</v>
      </c>
      <c r="I36" s="56">
        <v>1684.4673664634231</v>
      </c>
      <c r="J36" s="28">
        <v>63</v>
      </c>
      <c r="K36" s="51">
        <v>46025</v>
      </c>
      <c r="L36" s="28" t="s">
        <v>14</v>
      </c>
      <c r="M36" s="28" t="s">
        <v>311</v>
      </c>
      <c r="N36" s="28">
        <v>2026</v>
      </c>
    </row>
    <row r="37" spans="1:14">
      <c r="A37" s="28">
        <v>36</v>
      </c>
      <c r="B37" s="48" t="s">
        <v>58</v>
      </c>
      <c r="C37" s="91" t="s">
        <v>59</v>
      </c>
      <c r="D37" s="28" t="s">
        <v>60</v>
      </c>
      <c r="E37" s="28" t="s">
        <v>101</v>
      </c>
      <c r="F37" s="28"/>
      <c r="G37" s="48" t="s">
        <v>104</v>
      </c>
      <c r="H37" s="48" t="s">
        <v>105</v>
      </c>
      <c r="I37" s="56">
        <v>32.078853799667073</v>
      </c>
      <c r="J37" s="28">
        <v>63</v>
      </c>
      <c r="K37" s="51">
        <v>46025</v>
      </c>
      <c r="L37" s="28" t="s">
        <v>14</v>
      </c>
      <c r="M37" s="28" t="s">
        <v>311</v>
      </c>
      <c r="N37" s="28">
        <v>2026</v>
      </c>
    </row>
    <row r="38" spans="1:14">
      <c r="A38" s="28">
        <v>37</v>
      </c>
      <c r="B38" s="48" t="s">
        <v>33</v>
      </c>
      <c r="C38" s="122" t="s">
        <v>34</v>
      </c>
      <c r="D38" s="28" t="s">
        <v>60</v>
      </c>
      <c r="E38" s="28" t="s">
        <v>101</v>
      </c>
      <c r="F38" s="28"/>
      <c r="G38" s="48" t="s">
        <v>104</v>
      </c>
      <c r="H38" s="48" t="s">
        <v>105</v>
      </c>
      <c r="I38" s="56">
        <v>194.55655993425449</v>
      </c>
      <c r="J38" s="28">
        <v>63</v>
      </c>
      <c r="K38" s="51">
        <v>46025</v>
      </c>
      <c r="L38" s="28" t="s">
        <v>14</v>
      </c>
      <c r="M38" s="28" t="s">
        <v>311</v>
      </c>
      <c r="N38" s="28">
        <v>2026</v>
      </c>
    </row>
    <row r="39" spans="1:14">
      <c r="A39" s="28">
        <v>38</v>
      </c>
      <c r="B39" s="48" t="s">
        <v>35</v>
      </c>
      <c r="C39" s="28" t="s">
        <v>35</v>
      </c>
      <c r="D39" s="28" t="s">
        <v>60</v>
      </c>
      <c r="E39" s="28" t="s">
        <v>101</v>
      </c>
      <c r="F39" s="28"/>
      <c r="G39" s="48" t="s">
        <v>104</v>
      </c>
      <c r="H39" s="48" t="s">
        <v>105</v>
      </c>
      <c r="I39" s="56">
        <v>595.7313288314383</v>
      </c>
      <c r="J39" s="28">
        <v>63</v>
      </c>
      <c r="K39" s="51">
        <v>46025</v>
      </c>
      <c r="L39" s="28" t="s">
        <v>14</v>
      </c>
      <c r="M39" s="28" t="s">
        <v>311</v>
      </c>
      <c r="N39" s="28">
        <v>2026</v>
      </c>
    </row>
    <row r="40" spans="1:14">
      <c r="A40" s="28">
        <v>39</v>
      </c>
      <c r="B40" s="48" t="s">
        <v>42</v>
      </c>
      <c r="C40" s="28" t="s">
        <v>42</v>
      </c>
      <c r="D40" s="28" t="s">
        <v>60</v>
      </c>
      <c r="E40" s="28" t="s">
        <v>101</v>
      </c>
      <c r="F40" s="28"/>
      <c r="G40" s="48" t="s">
        <v>104</v>
      </c>
      <c r="H40" s="48" t="s">
        <v>105</v>
      </c>
      <c r="I40" s="56">
        <v>1893.7599388168089</v>
      </c>
      <c r="J40" s="28">
        <v>63</v>
      </c>
      <c r="K40" s="51">
        <v>46025</v>
      </c>
      <c r="L40" s="28" t="s">
        <v>14</v>
      </c>
      <c r="M40" s="28" t="s">
        <v>311</v>
      </c>
      <c r="N40" s="28">
        <v>2026</v>
      </c>
    </row>
    <row r="41" spans="1:14">
      <c r="A41" s="28">
        <v>40</v>
      </c>
      <c r="B41" s="48" t="s">
        <v>52</v>
      </c>
      <c r="C41" s="28" t="s">
        <v>62</v>
      </c>
      <c r="D41" s="28" t="s">
        <v>60</v>
      </c>
      <c r="E41" s="28" t="s">
        <v>101</v>
      </c>
      <c r="F41" s="28"/>
      <c r="G41" s="48" t="s">
        <v>104</v>
      </c>
      <c r="H41" s="48" t="s">
        <v>105</v>
      </c>
      <c r="I41" s="56">
        <v>1222.9337016010761</v>
      </c>
      <c r="J41" s="28">
        <v>63</v>
      </c>
      <c r="K41" s="51">
        <v>46025</v>
      </c>
      <c r="L41" s="28" t="s">
        <v>14</v>
      </c>
      <c r="M41" s="28" t="s">
        <v>311</v>
      </c>
      <c r="N41" s="28">
        <v>2026</v>
      </c>
    </row>
    <row r="42" spans="1:14">
      <c r="A42" s="28">
        <v>41</v>
      </c>
      <c r="B42" s="28" t="s">
        <v>17</v>
      </c>
      <c r="C42" s="28" t="s">
        <v>18</v>
      </c>
      <c r="D42" s="122" t="s">
        <v>60</v>
      </c>
      <c r="E42" s="28" t="s">
        <v>101</v>
      </c>
      <c r="F42" s="28"/>
      <c r="G42" s="28" t="s">
        <v>64</v>
      </c>
      <c r="H42" s="28" t="s">
        <v>103</v>
      </c>
      <c r="I42" s="56">
        <v>179.05405405405406</v>
      </c>
      <c r="J42" s="28" t="s">
        <v>68</v>
      </c>
      <c r="K42" s="51" t="s">
        <v>383</v>
      </c>
      <c r="L42" s="28" t="s">
        <v>14</v>
      </c>
      <c r="M42" s="28" t="s">
        <v>311</v>
      </c>
      <c r="N42" s="28">
        <v>2026</v>
      </c>
    </row>
    <row r="43" spans="1:14">
      <c r="A43" s="28">
        <v>42</v>
      </c>
      <c r="B43" s="28" t="s">
        <v>17</v>
      </c>
      <c r="C43" s="28" t="s">
        <v>23</v>
      </c>
      <c r="D43" s="122" t="s">
        <v>60</v>
      </c>
      <c r="E43" s="28" t="s">
        <v>101</v>
      </c>
      <c r="F43" s="28"/>
      <c r="G43" s="28" t="s">
        <v>64</v>
      </c>
      <c r="H43" s="28" t="s">
        <v>103</v>
      </c>
      <c r="I43" s="56">
        <v>250.67567567567568</v>
      </c>
      <c r="J43" s="28" t="s">
        <v>68</v>
      </c>
      <c r="K43" s="51" t="s">
        <v>383</v>
      </c>
      <c r="L43" s="28" t="s">
        <v>14</v>
      </c>
      <c r="M43" s="28" t="s">
        <v>311</v>
      </c>
      <c r="N43" s="28">
        <v>2026</v>
      </c>
    </row>
    <row r="44" spans="1:14">
      <c r="A44" s="28">
        <v>43</v>
      </c>
      <c r="B44" s="28" t="s">
        <v>17</v>
      </c>
      <c r="C44" s="28" t="s">
        <v>25</v>
      </c>
      <c r="D44" s="122" t="s">
        <v>60</v>
      </c>
      <c r="E44" s="28" t="s">
        <v>101</v>
      </c>
      <c r="F44" s="28"/>
      <c r="G44" s="28" t="s">
        <v>64</v>
      </c>
      <c r="H44" s="28" t="s">
        <v>103</v>
      </c>
      <c r="I44" s="56">
        <v>519.59459459459458</v>
      </c>
      <c r="J44" s="28" t="s">
        <v>68</v>
      </c>
      <c r="K44" s="51" t="s">
        <v>383</v>
      </c>
      <c r="L44" s="28" t="s">
        <v>14</v>
      </c>
      <c r="M44" s="28" t="s">
        <v>311</v>
      </c>
      <c r="N44" s="28">
        <v>2026</v>
      </c>
    </row>
    <row r="45" spans="1:14">
      <c r="A45" s="28">
        <v>44</v>
      </c>
      <c r="B45" s="28" t="s">
        <v>54</v>
      </c>
      <c r="C45" s="28" t="s">
        <v>55</v>
      </c>
      <c r="D45" s="122" t="s">
        <v>60</v>
      </c>
      <c r="E45" s="28" t="s">
        <v>101</v>
      </c>
      <c r="F45" s="28"/>
      <c r="G45" s="28" t="s">
        <v>64</v>
      </c>
      <c r="H45" s="28" t="s">
        <v>103</v>
      </c>
      <c r="I45" s="56">
        <v>268.91891891891891</v>
      </c>
      <c r="J45" s="28" t="s">
        <v>68</v>
      </c>
      <c r="K45" s="51" t="s">
        <v>383</v>
      </c>
      <c r="L45" s="28" t="s">
        <v>14</v>
      </c>
      <c r="M45" s="28" t="s">
        <v>311</v>
      </c>
      <c r="N45" s="28">
        <v>2026</v>
      </c>
    </row>
    <row r="46" spans="1:14">
      <c r="A46" s="28">
        <v>45</v>
      </c>
      <c r="B46" s="28" t="s">
        <v>58</v>
      </c>
      <c r="C46" s="28" t="s">
        <v>59</v>
      </c>
      <c r="D46" s="122" t="s">
        <v>60</v>
      </c>
      <c r="E46" s="28" t="s">
        <v>101</v>
      </c>
      <c r="F46" s="28"/>
      <c r="G46" s="28" t="s">
        <v>64</v>
      </c>
      <c r="H46" s="28" t="s">
        <v>82</v>
      </c>
      <c r="I46" s="56">
        <v>78.040540540540547</v>
      </c>
      <c r="J46" s="28" t="s">
        <v>68</v>
      </c>
      <c r="K46" s="51" t="s">
        <v>381</v>
      </c>
      <c r="L46" s="28" t="s">
        <v>14</v>
      </c>
      <c r="M46" s="28" t="s">
        <v>311</v>
      </c>
      <c r="N46" s="28">
        <v>2026</v>
      </c>
    </row>
    <row r="47" spans="1:14">
      <c r="A47" s="28">
        <v>46</v>
      </c>
      <c r="B47" s="28" t="s">
        <v>58</v>
      </c>
      <c r="C47" s="28" t="s">
        <v>59</v>
      </c>
      <c r="D47" s="122" t="s">
        <v>60</v>
      </c>
      <c r="E47" s="28" t="s">
        <v>101</v>
      </c>
      <c r="F47" s="28"/>
      <c r="G47" s="28" t="s">
        <v>64</v>
      </c>
      <c r="H47" s="28" t="s">
        <v>301</v>
      </c>
      <c r="I47" s="56">
        <v>734.45945945945948</v>
      </c>
      <c r="J47" s="28" t="s">
        <v>68</v>
      </c>
      <c r="K47" s="51" t="s">
        <v>383</v>
      </c>
      <c r="L47" s="28" t="s">
        <v>14</v>
      </c>
      <c r="M47" s="28" t="s">
        <v>311</v>
      </c>
      <c r="N47" s="28">
        <v>2026</v>
      </c>
    </row>
    <row r="48" spans="1:14">
      <c r="A48" s="28">
        <v>47</v>
      </c>
      <c r="B48" s="28" t="s">
        <v>42</v>
      </c>
      <c r="C48" s="28" t="s">
        <v>70</v>
      </c>
      <c r="D48" s="122" t="s">
        <v>60</v>
      </c>
      <c r="E48" s="28" t="s">
        <v>101</v>
      </c>
      <c r="F48" s="28"/>
      <c r="G48" s="28" t="s">
        <v>64</v>
      </c>
      <c r="H48" s="28" t="s">
        <v>103</v>
      </c>
      <c r="I48" s="56">
        <v>388.51351351351349</v>
      </c>
      <c r="J48" s="28" t="s">
        <v>68</v>
      </c>
      <c r="K48" s="51" t="s">
        <v>383</v>
      </c>
      <c r="L48" s="28" t="s">
        <v>14</v>
      </c>
      <c r="M48" s="28" t="s">
        <v>311</v>
      </c>
      <c r="N48" s="28">
        <v>2026</v>
      </c>
    </row>
    <row r="49" spans="1:14">
      <c r="A49" s="28">
        <v>48</v>
      </c>
      <c r="B49" s="28" t="s">
        <v>42</v>
      </c>
      <c r="C49" s="28" t="s">
        <v>50</v>
      </c>
      <c r="D49" s="122" t="s">
        <v>60</v>
      </c>
      <c r="E49" s="28" t="s">
        <v>101</v>
      </c>
      <c r="F49" s="28"/>
      <c r="G49" s="28" t="s">
        <v>64</v>
      </c>
      <c r="H49" s="28" t="s">
        <v>103</v>
      </c>
      <c r="I49" s="56">
        <v>233.1081081081081</v>
      </c>
      <c r="J49" s="28" t="s">
        <v>68</v>
      </c>
      <c r="K49" s="51" t="s">
        <v>383</v>
      </c>
      <c r="L49" s="28" t="s">
        <v>14</v>
      </c>
      <c r="M49" s="28" t="s">
        <v>311</v>
      </c>
      <c r="N49" s="28">
        <v>2026</v>
      </c>
    </row>
    <row r="50" spans="1:14">
      <c r="A50" s="28">
        <v>49</v>
      </c>
      <c r="B50" s="28" t="s">
        <v>52</v>
      </c>
      <c r="C50" s="122" t="s">
        <v>62</v>
      </c>
      <c r="D50" s="122" t="s">
        <v>60</v>
      </c>
      <c r="E50" s="28" t="s">
        <v>101</v>
      </c>
      <c r="F50" s="28"/>
      <c r="G50" s="28" t="s">
        <v>64</v>
      </c>
      <c r="H50" s="28" t="s">
        <v>301</v>
      </c>
      <c r="I50" s="56">
        <v>107.43243243243244</v>
      </c>
      <c r="J50" s="28" t="s">
        <v>68</v>
      </c>
      <c r="K50" s="51" t="s">
        <v>383</v>
      </c>
      <c r="L50" s="28" t="s">
        <v>14</v>
      </c>
      <c r="M50" s="28" t="s">
        <v>311</v>
      </c>
      <c r="N50" s="28">
        <v>2026</v>
      </c>
    </row>
    <row r="51" spans="1:14">
      <c r="A51" s="28">
        <v>50</v>
      </c>
      <c r="B51" s="28" t="s">
        <v>17</v>
      </c>
      <c r="C51" s="91" t="s">
        <v>18</v>
      </c>
      <c r="D51" s="122" t="s">
        <v>60</v>
      </c>
      <c r="E51" s="28" t="s">
        <v>101</v>
      </c>
      <c r="F51" s="28"/>
      <c r="G51" s="28" t="s">
        <v>64</v>
      </c>
      <c r="H51" s="28" t="s">
        <v>103</v>
      </c>
      <c r="I51" s="56">
        <v>621.37931034482756</v>
      </c>
      <c r="J51" s="28" t="s">
        <v>68</v>
      </c>
      <c r="K51" s="51" t="s">
        <v>291</v>
      </c>
      <c r="L51" s="28" t="s">
        <v>14</v>
      </c>
      <c r="M51" s="28" t="s">
        <v>311</v>
      </c>
      <c r="N51" s="28">
        <v>2026</v>
      </c>
    </row>
    <row r="52" spans="1:14">
      <c r="A52" s="28">
        <v>51</v>
      </c>
      <c r="B52" s="28" t="s">
        <v>54</v>
      </c>
      <c r="C52" s="28" t="s">
        <v>55</v>
      </c>
      <c r="D52" s="122" t="s">
        <v>60</v>
      </c>
      <c r="E52" s="28" t="s">
        <v>101</v>
      </c>
      <c r="F52" s="28"/>
      <c r="G52" s="28" t="s">
        <v>64</v>
      </c>
      <c r="H52" s="28" t="s">
        <v>301</v>
      </c>
      <c r="I52" s="56">
        <v>377.93103448275861</v>
      </c>
      <c r="J52" s="28" t="s">
        <v>68</v>
      </c>
      <c r="K52" s="51" t="s">
        <v>291</v>
      </c>
      <c r="L52" s="28" t="s">
        <v>14</v>
      </c>
      <c r="M52" s="28" t="s">
        <v>311</v>
      </c>
      <c r="N52" s="28">
        <v>2026</v>
      </c>
    </row>
    <row r="53" spans="1:14">
      <c r="A53" s="28">
        <v>52</v>
      </c>
      <c r="B53" s="28" t="s">
        <v>42</v>
      </c>
      <c r="C53" s="91" t="s">
        <v>70</v>
      </c>
      <c r="D53" s="122" t="s">
        <v>60</v>
      </c>
      <c r="E53" s="28" t="s">
        <v>101</v>
      </c>
      <c r="F53" s="28"/>
      <c r="G53" s="28" t="s">
        <v>64</v>
      </c>
      <c r="H53" s="28" t="s">
        <v>103</v>
      </c>
      <c r="I53" s="56">
        <v>1024.1379310344828</v>
      </c>
      <c r="J53" s="28" t="s">
        <v>68</v>
      </c>
      <c r="K53" s="51" t="s">
        <v>291</v>
      </c>
      <c r="L53" s="28" t="s">
        <v>14</v>
      </c>
      <c r="M53" s="28" t="s">
        <v>311</v>
      </c>
      <c r="N53" s="28">
        <v>2026</v>
      </c>
    </row>
    <row r="54" spans="1:14">
      <c r="A54" s="28">
        <v>53</v>
      </c>
      <c r="B54" s="28" t="s">
        <v>35</v>
      </c>
      <c r="C54" s="28" t="s">
        <v>36</v>
      </c>
      <c r="D54" s="122" t="s">
        <v>60</v>
      </c>
      <c r="E54" s="28" t="s">
        <v>101</v>
      </c>
      <c r="F54" s="28"/>
      <c r="G54" s="28" t="s">
        <v>64</v>
      </c>
      <c r="H54" s="28" t="s">
        <v>301</v>
      </c>
      <c r="I54" s="56">
        <v>109.65517241379311</v>
      </c>
      <c r="J54" s="28" t="s">
        <v>68</v>
      </c>
      <c r="K54" s="51" t="s">
        <v>291</v>
      </c>
      <c r="L54" s="28" t="s">
        <v>14</v>
      </c>
      <c r="M54" s="28" t="s">
        <v>311</v>
      </c>
      <c r="N54" s="28">
        <v>2026</v>
      </c>
    </row>
    <row r="55" spans="1:14">
      <c r="A55" s="28">
        <v>54</v>
      </c>
      <c r="B55" s="28" t="s">
        <v>42</v>
      </c>
      <c r="C55" s="28" t="s">
        <v>45</v>
      </c>
      <c r="D55" s="122" t="s">
        <v>60</v>
      </c>
      <c r="E55" s="28" t="s">
        <v>101</v>
      </c>
      <c r="F55" s="28"/>
      <c r="G55" s="28" t="s">
        <v>64</v>
      </c>
      <c r="H55" s="28" t="s">
        <v>103</v>
      </c>
      <c r="I55" s="56">
        <v>255.86206896551724</v>
      </c>
      <c r="J55" s="28" t="s">
        <v>68</v>
      </c>
      <c r="K55" s="51" t="s">
        <v>291</v>
      </c>
      <c r="L55" s="28" t="s">
        <v>14</v>
      </c>
      <c r="M55" s="28" t="s">
        <v>311</v>
      </c>
      <c r="N55" s="28">
        <v>2026</v>
      </c>
    </row>
    <row r="56" spans="1:14">
      <c r="A56" s="28">
        <v>55</v>
      </c>
      <c r="B56" s="28" t="s">
        <v>33</v>
      </c>
      <c r="C56" s="28" t="s">
        <v>34</v>
      </c>
      <c r="D56" s="122" t="s">
        <v>60</v>
      </c>
      <c r="E56" s="28" t="s">
        <v>101</v>
      </c>
      <c r="F56" s="28"/>
      <c r="G56" s="28" t="s">
        <v>64</v>
      </c>
      <c r="H56" s="28" t="s">
        <v>301</v>
      </c>
      <c r="I56" s="56">
        <v>365.51724137931035</v>
      </c>
      <c r="J56" s="28" t="s">
        <v>68</v>
      </c>
      <c r="K56" s="51" t="s">
        <v>291</v>
      </c>
      <c r="L56" s="28" t="s">
        <v>14</v>
      </c>
      <c r="M56" s="28" t="s">
        <v>311</v>
      </c>
      <c r="N56" s="28">
        <v>2026</v>
      </c>
    </row>
    <row r="57" spans="1:14">
      <c r="A57" s="28">
        <v>56</v>
      </c>
      <c r="B57" s="28" t="s">
        <v>52</v>
      </c>
      <c r="C57" s="122" t="s">
        <v>62</v>
      </c>
      <c r="D57" s="122" t="s">
        <v>60</v>
      </c>
      <c r="E57" s="28" t="s">
        <v>101</v>
      </c>
      <c r="F57" s="28"/>
      <c r="G57" s="28" t="s">
        <v>64</v>
      </c>
      <c r="H57" s="28" t="s">
        <v>301</v>
      </c>
      <c r="I57" s="56">
        <v>837.24137931034488</v>
      </c>
      <c r="J57" s="28" t="s">
        <v>68</v>
      </c>
      <c r="K57" s="51" t="s">
        <v>291</v>
      </c>
      <c r="L57" s="28" t="s">
        <v>14</v>
      </c>
      <c r="M57" s="28" t="s">
        <v>311</v>
      </c>
      <c r="N57" s="28">
        <v>2026</v>
      </c>
    </row>
    <row r="58" spans="1:14">
      <c r="A58" s="28">
        <v>57</v>
      </c>
      <c r="B58" s="28" t="s">
        <v>58</v>
      </c>
      <c r="C58" s="28" t="s">
        <v>59</v>
      </c>
      <c r="D58" s="122" t="s">
        <v>60</v>
      </c>
      <c r="E58" s="28" t="s">
        <v>101</v>
      </c>
      <c r="F58" s="28"/>
      <c r="G58" s="28" t="s">
        <v>64</v>
      </c>
      <c r="H58" s="28" t="s">
        <v>302</v>
      </c>
      <c r="I58" s="56">
        <v>741.37931034482756</v>
      </c>
      <c r="J58" s="28">
        <v>8320</v>
      </c>
      <c r="K58" s="51">
        <v>45942</v>
      </c>
      <c r="L58" s="28" t="s">
        <v>14</v>
      </c>
      <c r="M58" s="28" t="s">
        <v>311</v>
      </c>
      <c r="N58" s="28">
        <v>2026</v>
      </c>
    </row>
    <row r="59" spans="1:14">
      <c r="A59" s="28">
        <v>58</v>
      </c>
      <c r="B59" s="28" t="s">
        <v>58</v>
      </c>
      <c r="C59" s="91" t="s">
        <v>59</v>
      </c>
      <c r="D59" s="122" t="s">
        <v>60</v>
      </c>
      <c r="E59" s="28" t="s">
        <v>101</v>
      </c>
      <c r="F59" s="28"/>
      <c r="G59" s="28" t="s">
        <v>64</v>
      </c>
      <c r="H59" s="28" t="s">
        <v>303</v>
      </c>
      <c r="I59" s="56">
        <v>877.24137931034488</v>
      </c>
      <c r="J59" s="28" t="s">
        <v>68</v>
      </c>
      <c r="K59" s="51" t="s">
        <v>291</v>
      </c>
      <c r="L59" s="28" t="s">
        <v>14</v>
      </c>
      <c r="M59" s="28" t="s">
        <v>311</v>
      </c>
      <c r="N59" s="28">
        <v>2026</v>
      </c>
    </row>
    <row r="60" spans="1:14">
      <c r="A60" s="28">
        <v>59</v>
      </c>
      <c r="B60" s="28" t="s">
        <v>58</v>
      </c>
      <c r="C60" s="28" t="s">
        <v>59</v>
      </c>
      <c r="D60" s="122" t="s">
        <v>60</v>
      </c>
      <c r="E60" s="28" t="s">
        <v>101</v>
      </c>
      <c r="F60" s="28"/>
      <c r="G60" s="28" t="s">
        <v>64</v>
      </c>
      <c r="H60" s="28" t="s">
        <v>304</v>
      </c>
      <c r="I60" s="56">
        <v>1324.1379310344828</v>
      </c>
      <c r="J60" s="28" t="s">
        <v>68</v>
      </c>
      <c r="K60" s="51" t="s">
        <v>292</v>
      </c>
      <c r="L60" s="28" t="s">
        <v>14</v>
      </c>
      <c r="M60" s="28" t="s">
        <v>311</v>
      </c>
      <c r="N60" s="28">
        <v>2026</v>
      </c>
    </row>
    <row r="61" spans="1:14">
      <c r="A61" s="28">
        <v>60</v>
      </c>
      <c r="B61" s="28" t="s">
        <v>58</v>
      </c>
      <c r="C61" s="28" t="s">
        <v>59</v>
      </c>
      <c r="D61" s="122" t="s">
        <v>60</v>
      </c>
      <c r="E61" s="28" t="s">
        <v>101</v>
      </c>
      <c r="F61" s="28"/>
      <c r="G61" s="28" t="s">
        <v>64</v>
      </c>
      <c r="H61" s="28" t="s">
        <v>82</v>
      </c>
      <c r="I61" s="56">
        <v>102.93103448275862</v>
      </c>
      <c r="J61" s="28" t="s">
        <v>68</v>
      </c>
      <c r="K61" s="51" t="s">
        <v>293</v>
      </c>
      <c r="L61" s="28" t="s">
        <v>14</v>
      </c>
      <c r="M61" s="28" t="s">
        <v>311</v>
      </c>
      <c r="N61" s="28">
        <v>2026</v>
      </c>
    </row>
    <row r="62" spans="1:14">
      <c r="A62" s="28">
        <v>61</v>
      </c>
      <c r="B62" s="122" t="s">
        <v>35</v>
      </c>
      <c r="C62" s="28" t="s">
        <v>40</v>
      </c>
      <c r="D62" s="122" t="s">
        <v>60</v>
      </c>
      <c r="E62" s="28" t="s">
        <v>101</v>
      </c>
      <c r="F62" s="28"/>
      <c r="G62" s="28" t="s">
        <v>64</v>
      </c>
      <c r="H62" s="28" t="s">
        <v>103</v>
      </c>
      <c r="I62" s="56">
        <v>36.551724137931032</v>
      </c>
      <c r="J62" s="28" t="s">
        <v>68</v>
      </c>
      <c r="K62" s="51" t="s">
        <v>291</v>
      </c>
      <c r="L62" s="28" t="s">
        <v>14</v>
      </c>
      <c r="M62" s="28" t="s">
        <v>311</v>
      </c>
      <c r="N62" s="28">
        <v>2026</v>
      </c>
    </row>
    <row r="63" spans="1:14">
      <c r="A63" s="28">
        <v>62</v>
      </c>
      <c r="B63" s="28" t="s">
        <v>42</v>
      </c>
      <c r="C63" s="91" t="s">
        <v>47</v>
      </c>
      <c r="D63" s="122" t="s">
        <v>60</v>
      </c>
      <c r="E63" s="28" t="s">
        <v>101</v>
      </c>
      <c r="F63" s="28"/>
      <c r="G63" s="28" t="s">
        <v>64</v>
      </c>
      <c r="H63" s="28" t="s">
        <v>103</v>
      </c>
      <c r="I63" s="56">
        <v>36.551724137931032</v>
      </c>
      <c r="J63" s="28" t="s">
        <v>68</v>
      </c>
      <c r="K63" s="51" t="s">
        <v>294</v>
      </c>
      <c r="L63" s="28" t="s">
        <v>14</v>
      </c>
      <c r="M63" s="28" t="s">
        <v>311</v>
      </c>
      <c r="N63" s="28">
        <v>2026</v>
      </c>
    </row>
    <row r="64" spans="1:14">
      <c r="A64" s="28">
        <v>63</v>
      </c>
      <c r="B64" s="48" t="s">
        <v>42</v>
      </c>
      <c r="C64" s="122" t="s">
        <v>263</v>
      </c>
      <c r="D64" s="122" t="s">
        <v>60</v>
      </c>
      <c r="E64" s="28" t="s">
        <v>101</v>
      </c>
      <c r="F64" s="28"/>
      <c r="G64" s="48" t="s">
        <v>64</v>
      </c>
      <c r="H64" s="48" t="s">
        <v>103</v>
      </c>
      <c r="I64" s="56">
        <v>585.51724137931035</v>
      </c>
      <c r="J64" s="28" t="s">
        <v>68</v>
      </c>
      <c r="K64" s="51" t="s">
        <v>291</v>
      </c>
      <c r="L64" s="28" t="s">
        <v>14</v>
      </c>
      <c r="M64" s="28" t="s">
        <v>311</v>
      </c>
      <c r="N64" s="28">
        <v>2026</v>
      </c>
    </row>
    <row r="65" spans="1:14">
      <c r="A65" s="28">
        <v>64</v>
      </c>
      <c r="B65" s="48" t="s">
        <v>42</v>
      </c>
      <c r="C65" s="28" t="s">
        <v>50</v>
      </c>
      <c r="D65" s="122" t="s">
        <v>60</v>
      </c>
      <c r="E65" s="28" t="s">
        <v>101</v>
      </c>
      <c r="F65" s="28"/>
      <c r="G65" s="48" t="s">
        <v>64</v>
      </c>
      <c r="H65" s="48" t="s">
        <v>301</v>
      </c>
      <c r="I65" s="56">
        <v>237.93103448275863</v>
      </c>
      <c r="J65" s="28" t="s">
        <v>68</v>
      </c>
      <c r="K65" s="51" t="s">
        <v>291</v>
      </c>
      <c r="L65" s="28" t="s">
        <v>14</v>
      </c>
      <c r="M65" s="28" t="s">
        <v>311</v>
      </c>
      <c r="N65" s="28">
        <v>2026</v>
      </c>
    </row>
    <row r="66" spans="1:14">
      <c r="A66" s="28">
        <v>65</v>
      </c>
      <c r="B66" s="48" t="s">
        <v>42</v>
      </c>
      <c r="C66" s="28" t="s">
        <v>51</v>
      </c>
      <c r="D66" s="122" t="s">
        <v>60</v>
      </c>
      <c r="E66" s="28" t="s">
        <v>101</v>
      </c>
      <c r="F66" s="28"/>
      <c r="G66" s="48" t="s">
        <v>64</v>
      </c>
      <c r="H66" s="48" t="s">
        <v>103</v>
      </c>
      <c r="I66" s="56">
        <v>255.86206896551724</v>
      </c>
      <c r="J66" s="28" t="s">
        <v>68</v>
      </c>
      <c r="K66" s="51" t="s">
        <v>291</v>
      </c>
      <c r="L66" s="28" t="s">
        <v>14</v>
      </c>
      <c r="M66" s="28" t="s">
        <v>311</v>
      </c>
      <c r="N66" s="28">
        <v>2026</v>
      </c>
    </row>
    <row r="67" spans="1:14">
      <c r="A67" s="28">
        <v>66</v>
      </c>
      <c r="B67" s="48" t="s">
        <v>17</v>
      </c>
      <c r="C67" s="28" t="s">
        <v>23</v>
      </c>
      <c r="D67" s="122" t="s">
        <v>60</v>
      </c>
      <c r="E67" s="28" t="s">
        <v>101</v>
      </c>
      <c r="F67" s="28"/>
      <c r="G67" s="48" t="s">
        <v>64</v>
      </c>
      <c r="H67" s="48" t="s">
        <v>301</v>
      </c>
      <c r="I67" s="56">
        <v>292.41379310344826</v>
      </c>
      <c r="J67" s="28" t="s">
        <v>68</v>
      </c>
      <c r="K67" s="51" t="s">
        <v>291</v>
      </c>
      <c r="L67" s="28" t="s">
        <v>14</v>
      </c>
      <c r="M67" s="28" t="s">
        <v>311</v>
      </c>
      <c r="N67" s="28">
        <v>2026</v>
      </c>
    </row>
    <row r="68" spans="1:14">
      <c r="A68" s="28">
        <v>67</v>
      </c>
      <c r="B68" s="48" t="s">
        <v>17</v>
      </c>
      <c r="C68" s="28" t="s">
        <v>25</v>
      </c>
      <c r="D68" s="122" t="s">
        <v>60</v>
      </c>
      <c r="E68" s="28" t="s">
        <v>101</v>
      </c>
      <c r="F68" s="28"/>
      <c r="G68" s="48" t="s">
        <v>64</v>
      </c>
      <c r="H68" s="48" t="s">
        <v>301</v>
      </c>
      <c r="I68" s="56">
        <v>2354.4827586206898</v>
      </c>
      <c r="J68" s="28" t="s">
        <v>68</v>
      </c>
      <c r="K68" s="51" t="s">
        <v>291</v>
      </c>
      <c r="L68" s="28" t="s">
        <v>14</v>
      </c>
      <c r="M68" s="28" t="s">
        <v>311</v>
      </c>
      <c r="N68" s="28">
        <v>2026</v>
      </c>
    </row>
    <row r="69" spans="1:14">
      <c r="A69" s="28">
        <v>68</v>
      </c>
      <c r="B69" s="28" t="s">
        <v>58</v>
      </c>
      <c r="C69" s="28" t="s">
        <v>59</v>
      </c>
      <c r="D69" s="122" t="s">
        <v>60</v>
      </c>
      <c r="E69" s="60" t="s">
        <v>56</v>
      </c>
      <c r="F69" s="28"/>
      <c r="G69" s="28" t="s">
        <v>64</v>
      </c>
      <c r="H69" s="28" t="s">
        <v>339</v>
      </c>
      <c r="I69" s="56">
        <v>4275.6756756756758</v>
      </c>
      <c r="J69" s="28">
        <v>250460</v>
      </c>
      <c r="K69" s="51" t="s">
        <v>378</v>
      </c>
      <c r="L69" s="28" t="s">
        <v>14</v>
      </c>
      <c r="M69" s="28" t="s">
        <v>311</v>
      </c>
      <c r="N69" s="28">
        <v>2026</v>
      </c>
    </row>
    <row r="70" spans="1:14">
      <c r="A70" s="28">
        <v>69</v>
      </c>
      <c r="B70" s="28" t="s">
        <v>58</v>
      </c>
      <c r="C70" s="122" t="s">
        <v>59</v>
      </c>
      <c r="D70" s="122" t="s">
        <v>60</v>
      </c>
      <c r="E70" s="60" t="s">
        <v>56</v>
      </c>
      <c r="F70" s="28"/>
      <c r="G70" s="28" t="s">
        <v>64</v>
      </c>
      <c r="H70" s="28" t="s">
        <v>340</v>
      </c>
      <c r="I70" s="56">
        <v>1409.4594594594594</v>
      </c>
      <c r="J70" s="28" t="s">
        <v>68</v>
      </c>
      <c r="K70" s="51" t="s">
        <v>53</v>
      </c>
      <c r="L70" s="28" t="s">
        <v>14</v>
      </c>
      <c r="M70" s="28" t="s">
        <v>311</v>
      </c>
      <c r="N70" s="28">
        <v>2026</v>
      </c>
    </row>
    <row r="71" spans="1:14">
      <c r="A71" s="28">
        <v>70</v>
      </c>
      <c r="B71" s="28" t="s">
        <v>52</v>
      </c>
      <c r="C71" s="122" t="s">
        <v>62</v>
      </c>
      <c r="D71" s="122" t="s">
        <v>60</v>
      </c>
      <c r="E71" s="60" t="s">
        <v>56</v>
      </c>
      <c r="F71" s="28"/>
      <c r="G71" s="28" t="s">
        <v>64</v>
      </c>
      <c r="H71" s="28" t="s">
        <v>341</v>
      </c>
      <c r="I71" s="56">
        <v>1706.081081081081</v>
      </c>
      <c r="J71" s="28" t="s">
        <v>68</v>
      </c>
      <c r="K71" s="51" t="s">
        <v>379</v>
      </c>
      <c r="L71" s="28" t="s">
        <v>14</v>
      </c>
      <c r="M71" s="28" t="s">
        <v>311</v>
      </c>
      <c r="N71" s="28">
        <v>2026</v>
      </c>
    </row>
    <row r="72" spans="1:14">
      <c r="A72" s="28">
        <v>71</v>
      </c>
      <c r="B72" s="28" t="s">
        <v>42</v>
      </c>
      <c r="C72" s="28" t="s">
        <v>263</v>
      </c>
      <c r="D72" s="28" t="s">
        <v>60</v>
      </c>
      <c r="E72" s="28" t="s">
        <v>56</v>
      </c>
      <c r="F72" s="28"/>
      <c r="G72" s="28" t="s">
        <v>315</v>
      </c>
      <c r="H72" s="28" t="s">
        <v>56</v>
      </c>
      <c r="I72" s="56">
        <v>15000</v>
      </c>
      <c r="J72" s="28" t="s">
        <v>316</v>
      </c>
      <c r="K72" s="51">
        <v>46021</v>
      </c>
      <c r="L72" s="28" t="s">
        <v>14</v>
      </c>
      <c r="M72" s="28" t="s">
        <v>311</v>
      </c>
      <c r="N72" s="28">
        <v>2026</v>
      </c>
    </row>
    <row r="73" spans="1:14">
      <c r="A73" s="28">
        <v>72</v>
      </c>
      <c r="B73" s="28" t="s">
        <v>42</v>
      </c>
      <c r="C73" s="28" t="s">
        <v>263</v>
      </c>
      <c r="D73" s="28" t="s">
        <v>60</v>
      </c>
      <c r="E73" s="28" t="s">
        <v>56</v>
      </c>
      <c r="F73" s="28"/>
      <c r="G73" s="28" t="s">
        <v>315</v>
      </c>
      <c r="H73" s="28" t="s">
        <v>56</v>
      </c>
      <c r="I73" s="56">
        <v>22500</v>
      </c>
      <c r="J73" s="28" t="s">
        <v>317</v>
      </c>
      <c r="K73" s="51">
        <v>46019</v>
      </c>
      <c r="L73" s="28" t="s">
        <v>14</v>
      </c>
      <c r="M73" s="28" t="s">
        <v>311</v>
      </c>
      <c r="N73" s="28">
        <v>2026</v>
      </c>
    </row>
    <row r="74" spans="1:14">
      <c r="A74" s="28">
        <v>73</v>
      </c>
      <c r="B74" s="28" t="s">
        <v>42</v>
      </c>
      <c r="C74" s="28" t="s">
        <v>263</v>
      </c>
      <c r="D74" s="28" t="s">
        <v>60</v>
      </c>
      <c r="E74" s="28" t="s">
        <v>56</v>
      </c>
      <c r="F74" s="28"/>
      <c r="G74" s="28" t="s">
        <v>271</v>
      </c>
      <c r="H74" s="28" t="s">
        <v>56</v>
      </c>
      <c r="I74" s="56">
        <v>122972.97297297297</v>
      </c>
      <c r="J74" s="28" t="s">
        <v>318</v>
      </c>
      <c r="K74" s="51">
        <v>46023</v>
      </c>
      <c r="L74" s="28">
        <v>2026400260</v>
      </c>
      <c r="M74" s="28" t="s">
        <v>311</v>
      </c>
      <c r="N74" s="28">
        <v>2026</v>
      </c>
    </row>
    <row r="75" spans="1:14">
      <c r="A75" s="28">
        <v>74</v>
      </c>
      <c r="B75" s="28" t="s">
        <v>42</v>
      </c>
      <c r="C75" s="122" t="s">
        <v>263</v>
      </c>
      <c r="D75" s="28" t="s">
        <v>60</v>
      </c>
      <c r="E75" s="28" t="s">
        <v>56</v>
      </c>
      <c r="F75" s="28"/>
      <c r="G75" s="28" t="s">
        <v>315</v>
      </c>
      <c r="H75" s="28" t="s">
        <v>56</v>
      </c>
      <c r="I75" s="56">
        <v>23300</v>
      </c>
      <c r="J75" s="28" t="s">
        <v>319</v>
      </c>
      <c r="K75" s="51">
        <v>46036</v>
      </c>
      <c r="L75" s="28" t="s">
        <v>14</v>
      </c>
      <c r="M75" s="28" t="s">
        <v>311</v>
      </c>
      <c r="N75" s="28">
        <v>2026</v>
      </c>
    </row>
    <row r="76" spans="1:14">
      <c r="A76" s="28">
        <v>75</v>
      </c>
      <c r="B76" s="28" t="s">
        <v>54</v>
      </c>
      <c r="C76" s="28" t="s">
        <v>55</v>
      </c>
      <c r="D76" s="28" t="s">
        <v>60</v>
      </c>
      <c r="E76" s="28" t="s">
        <v>267</v>
      </c>
      <c r="F76" s="28"/>
      <c r="G76" s="117" t="s">
        <v>21</v>
      </c>
      <c r="H76" s="117" t="s">
        <v>391</v>
      </c>
      <c r="I76" s="56">
        <v>82000</v>
      </c>
      <c r="J76" s="117" t="s">
        <v>14</v>
      </c>
      <c r="K76" s="118" t="s">
        <v>14</v>
      </c>
      <c r="L76" s="117" t="s">
        <v>14</v>
      </c>
      <c r="M76" s="117" t="s">
        <v>311</v>
      </c>
      <c r="N76" s="28">
        <v>2026</v>
      </c>
    </row>
    <row r="77" spans="1:14">
      <c r="A77" s="28">
        <v>76</v>
      </c>
      <c r="B77" s="28" t="s">
        <v>54</v>
      </c>
      <c r="C77" s="28" t="s">
        <v>55</v>
      </c>
      <c r="D77" s="28" t="s">
        <v>60</v>
      </c>
      <c r="E77" s="28" t="s">
        <v>267</v>
      </c>
      <c r="F77" s="28"/>
      <c r="G77" s="117" t="s">
        <v>21</v>
      </c>
      <c r="H77" s="117" t="s">
        <v>391</v>
      </c>
      <c r="I77" s="56">
        <v>82000</v>
      </c>
      <c r="J77" s="117" t="s">
        <v>14</v>
      </c>
      <c r="K77" s="118" t="s">
        <v>14</v>
      </c>
      <c r="L77" s="117" t="s">
        <v>14</v>
      </c>
      <c r="M77" s="117" t="s">
        <v>311</v>
      </c>
      <c r="N77" s="28">
        <v>2026</v>
      </c>
    </row>
    <row r="78" spans="1:14">
      <c r="A78" s="28">
        <v>77</v>
      </c>
      <c r="B78" s="28" t="s">
        <v>54</v>
      </c>
      <c r="C78" s="28" t="s">
        <v>55</v>
      </c>
      <c r="D78" s="28" t="s">
        <v>60</v>
      </c>
      <c r="E78" s="28" t="s">
        <v>267</v>
      </c>
      <c r="F78" s="28"/>
      <c r="G78" s="28" t="s">
        <v>123</v>
      </c>
      <c r="H78" s="28" t="s">
        <v>267</v>
      </c>
      <c r="I78" s="56">
        <v>642.9</v>
      </c>
      <c r="J78" s="28" t="s">
        <v>420</v>
      </c>
      <c r="K78" s="51">
        <v>46026</v>
      </c>
      <c r="L78" s="28">
        <v>2025404667</v>
      </c>
      <c r="M78" s="117" t="s">
        <v>311</v>
      </c>
      <c r="N78" s="28">
        <v>2026</v>
      </c>
    </row>
    <row r="79" spans="1:14">
      <c r="A79" s="28">
        <v>78</v>
      </c>
      <c r="B79" s="28" t="s">
        <v>54</v>
      </c>
      <c r="C79" s="28" t="s">
        <v>55</v>
      </c>
      <c r="D79" s="28" t="s">
        <v>60</v>
      </c>
      <c r="E79" s="28" t="s">
        <v>267</v>
      </c>
      <c r="F79" s="28"/>
      <c r="G79" s="28" t="s">
        <v>416</v>
      </c>
      <c r="H79" s="28" t="s">
        <v>267</v>
      </c>
      <c r="I79" s="56">
        <v>7000</v>
      </c>
      <c r="J79" s="28" t="s">
        <v>421</v>
      </c>
      <c r="K79" s="51">
        <v>46022</v>
      </c>
      <c r="L79" s="28">
        <v>2026400006</v>
      </c>
      <c r="M79" s="117" t="s">
        <v>311</v>
      </c>
      <c r="N79" s="28">
        <v>2026</v>
      </c>
    </row>
    <row r="80" spans="1:14">
      <c r="A80" s="28">
        <v>79</v>
      </c>
      <c r="B80" s="28" t="s">
        <v>54</v>
      </c>
      <c r="C80" s="28" t="s">
        <v>55</v>
      </c>
      <c r="D80" s="28" t="s">
        <v>60</v>
      </c>
      <c r="E80" s="28" t="s">
        <v>267</v>
      </c>
      <c r="F80" s="28"/>
      <c r="G80" s="28" t="s">
        <v>417</v>
      </c>
      <c r="H80" s="28" t="s">
        <v>267</v>
      </c>
      <c r="I80" s="56">
        <v>7000</v>
      </c>
      <c r="J80" s="28" t="s">
        <v>235</v>
      </c>
      <c r="K80" s="51">
        <v>46035</v>
      </c>
      <c r="L80" s="28">
        <v>2025404798</v>
      </c>
      <c r="M80" s="117" t="s">
        <v>311</v>
      </c>
      <c r="N80" s="28">
        <v>2026</v>
      </c>
    </row>
    <row r="81" spans="1:14">
      <c r="A81" s="28">
        <v>80</v>
      </c>
      <c r="B81" s="28" t="s">
        <v>54</v>
      </c>
      <c r="C81" s="28" t="s">
        <v>55</v>
      </c>
      <c r="D81" s="28" t="s">
        <v>60</v>
      </c>
      <c r="E81" s="28" t="s">
        <v>267</v>
      </c>
      <c r="F81" s="28"/>
      <c r="G81" s="28" t="s">
        <v>123</v>
      </c>
      <c r="H81" s="28" t="s">
        <v>267</v>
      </c>
      <c r="I81" s="56">
        <v>2056</v>
      </c>
      <c r="J81" s="28" t="s">
        <v>422</v>
      </c>
      <c r="K81" s="51">
        <v>46030</v>
      </c>
      <c r="L81" s="28">
        <v>2025404859</v>
      </c>
      <c r="M81" s="117" t="s">
        <v>311</v>
      </c>
      <c r="N81" s="28">
        <v>2026</v>
      </c>
    </row>
    <row r="82" spans="1:14">
      <c r="A82" s="28">
        <v>81</v>
      </c>
      <c r="B82" s="28" t="s">
        <v>54</v>
      </c>
      <c r="C82" s="28" t="s">
        <v>55</v>
      </c>
      <c r="D82" s="28" t="s">
        <v>60</v>
      </c>
      <c r="E82" s="28" t="s">
        <v>267</v>
      </c>
      <c r="F82" s="28"/>
      <c r="G82" s="28" t="s">
        <v>418</v>
      </c>
      <c r="H82" s="28" t="s">
        <v>267</v>
      </c>
      <c r="I82" s="56">
        <v>459.45945945945948</v>
      </c>
      <c r="J82" s="28" t="s">
        <v>423</v>
      </c>
      <c r="K82" s="51">
        <v>46029</v>
      </c>
      <c r="L82" s="28">
        <v>2026400221</v>
      </c>
      <c r="M82" s="117" t="s">
        <v>311</v>
      </c>
      <c r="N82" s="28">
        <v>2026</v>
      </c>
    </row>
    <row r="83" spans="1:14">
      <c r="A83" s="28">
        <v>82</v>
      </c>
      <c r="B83" s="28" t="s">
        <v>54</v>
      </c>
      <c r="C83" s="28" t="s">
        <v>55</v>
      </c>
      <c r="D83" s="28" t="s">
        <v>60</v>
      </c>
      <c r="E83" s="28" t="s">
        <v>267</v>
      </c>
      <c r="F83" s="28"/>
      <c r="G83" s="28" t="s">
        <v>419</v>
      </c>
      <c r="H83" s="28" t="s">
        <v>267</v>
      </c>
      <c r="I83" s="56">
        <v>912.16216216216219</v>
      </c>
      <c r="J83" s="28" t="s">
        <v>424</v>
      </c>
      <c r="K83" s="51">
        <v>46037</v>
      </c>
      <c r="L83" s="28">
        <v>2025402963</v>
      </c>
      <c r="M83" s="117" t="s">
        <v>311</v>
      </c>
      <c r="N83" s="28">
        <v>2026</v>
      </c>
    </row>
    <row r="84" spans="1:14">
      <c r="A84" s="28">
        <v>83</v>
      </c>
      <c r="B84" s="28" t="s">
        <v>54</v>
      </c>
      <c r="C84" s="28" t="s">
        <v>55</v>
      </c>
      <c r="D84" s="28" t="s">
        <v>60</v>
      </c>
      <c r="E84" s="28" t="s">
        <v>267</v>
      </c>
      <c r="F84" s="28"/>
      <c r="G84" s="28" t="s">
        <v>266</v>
      </c>
      <c r="H84" s="28" t="s">
        <v>267</v>
      </c>
      <c r="I84" s="56">
        <v>4864.864864864865</v>
      </c>
      <c r="J84" s="28" t="s">
        <v>425</v>
      </c>
      <c r="K84" s="51">
        <v>46042</v>
      </c>
      <c r="L84" s="28">
        <v>2026400172</v>
      </c>
      <c r="M84" s="117" t="s">
        <v>311</v>
      </c>
      <c r="N84" s="28">
        <v>2026</v>
      </c>
    </row>
    <row r="85" spans="1:14">
      <c r="A85" s="28">
        <v>84</v>
      </c>
      <c r="B85" s="28" t="s">
        <v>54</v>
      </c>
      <c r="C85" s="28" t="s">
        <v>55</v>
      </c>
      <c r="D85" s="28" t="s">
        <v>60</v>
      </c>
      <c r="E85" s="28" t="s">
        <v>267</v>
      </c>
      <c r="F85" s="28"/>
      <c r="G85" s="28" t="s">
        <v>266</v>
      </c>
      <c r="H85" s="28" t="s">
        <v>267</v>
      </c>
      <c r="I85" s="56">
        <v>2702.7027027027025</v>
      </c>
      <c r="J85" s="28" t="s">
        <v>426</v>
      </c>
      <c r="K85" s="51">
        <v>46037</v>
      </c>
      <c r="L85" s="28">
        <v>2026400172</v>
      </c>
      <c r="M85" s="117" t="s">
        <v>311</v>
      </c>
      <c r="N85" s="28">
        <v>2026</v>
      </c>
    </row>
    <row r="86" spans="1:14">
      <c r="A86" s="28">
        <v>85</v>
      </c>
      <c r="B86" s="28" t="s">
        <v>54</v>
      </c>
      <c r="C86" s="28" t="s">
        <v>55</v>
      </c>
      <c r="D86" s="28" t="s">
        <v>60</v>
      </c>
      <c r="E86" s="28" t="s">
        <v>81</v>
      </c>
      <c r="F86" s="28"/>
      <c r="G86" s="28" t="s">
        <v>21</v>
      </c>
      <c r="H86" s="28" t="s">
        <v>387</v>
      </c>
      <c r="I86" s="56">
        <v>43918.91891891892</v>
      </c>
      <c r="J86" s="28" t="s">
        <v>14</v>
      </c>
      <c r="K86" s="51" t="s">
        <v>14</v>
      </c>
      <c r="L86" s="28" t="s">
        <v>14</v>
      </c>
      <c r="M86" s="28" t="s">
        <v>311</v>
      </c>
      <c r="N86" s="28">
        <v>2026</v>
      </c>
    </row>
    <row r="87" spans="1:14">
      <c r="A87" s="28">
        <v>86</v>
      </c>
      <c r="B87" s="28" t="s">
        <v>42</v>
      </c>
      <c r="C87" s="28" t="s">
        <v>43</v>
      </c>
      <c r="D87" s="28" t="s">
        <v>19</v>
      </c>
      <c r="E87" s="28" t="s">
        <v>81</v>
      </c>
      <c r="F87" s="28"/>
      <c r="G87" s="28" t="s">
        <v>21</v>
      </c>
      <c r="H87" s="28" t="s">
        <v>388</v>
      </c>
      <c r="I87" s="56">
        <v>559.44055944055947</v>
      </c>
      <c r="J87" s="28" t="s">
        <v>14</v>
      </c>
      <c r="K87" s="51" t="s">
        <v>14</v>
      </c>
      <c r="L87" s="28" t="s">
        <v>14</v>
      </c>
      <c r="M87" s="28" t="s">
        <v>311</v>
      </c>
      <c r="N87" s="28">
        <v>2026</v>
      </c>
    </row>
    <row r="88" spans="1:14">
      <c r="A88" s="28">
        <v>87</v>
      </c>
      <c r="B88" s="28" t="s">
        <v>33</v>
      </c>
      <c r="C88" s="28" t="s">
        <v>34</v>
      </c>
      <c r="D88" s="28" t="s">
        <v>19</v>
      </c>
      <c r="E88" s="28" t="s">
        <v>81</v>
      </c>
      <c r="F88" s="28"/>
      <c r="G88" s="28" t="s">
        <v>21</v>
      </c>
      <c r="H88" s="28" t="s">
        <v>389</v>
      </c>
      <c r="I88" s="56">
        <v>5793.1034482758623</v>
      </c>
      <c r="J88" s="28" t="s">
        <v>14</v>
      </c>
      <c r="K88" s="51" t="s">
        <v>14</v>
      </c>
      <c r="L88" s="28" t="s">
        <v>14</v>
      </c>
      <c r="M88" s="28" t="s">
        <v>311</v>
      </c>
      <c r="N88" s="28">
        <v>2026</v>
      </c>
    </row>
    <row r="89" spans="1:14">
      <c r="A89" s="28">
        <v>88</v>
      </c>
      <c r="B89" s="28" t="s">
        <v>52</v>
      </c>
      <c r="C89" s="28" t="s">
        <v>62</v>
      </c>
      <c r="D89" s="28" t="s">
        <v>19</v>
      </c>
      <c r="E89" s="28" t="s">
        <v>81</v>
      </c>
      <c r="F89" s="28"/>
      <c r="G89" s="28" t="s">
        <v>21</v>
      </c>
      <c r="H89" s="28" t="s">
        <v>389</v>
      </c>
      <c r="I89" s="56">
        <v>2827.5862068965516</v>
      </c>
      <c r="J89" s="28" t="s">
        <v>14</v>
      </c>
      <c r="K89" s="51" t="s">
        <v>14</v>
      </c>
      <c r="L89" s="28" t="s">
        <v>14</v>
      </c>
      <c r="M89" s="28" t="s">
        <v>311</v>
      </c>
      <c r="N89" s="28">
        <v>2026</v>
      </c>
    </row>
    <row r="90" spans="1:14">
      <c r="A90" s="28">
        <v>89</v>
      </c>
      <c r="B90" s="28" t="s">
        <v>17</v>
      </c>
      <c r="C90" s="28" t="s">
        <v>25</v>
      </c>
      <c r="D90" s="28" t="s">
        <v>19</v>
      </c>
      <c r="E90" s="28" t="s">
        <v>81</v>
      </c>
      <c r="F90" s="28"/>
      <c r="G90" s="28" t="s">
        <v>21</v>
      </c>
      <c r="H90" s="28" t="s">
        <v>388</v>
      </c>
      <c r="I90" s="56">
        <v>2552.4475524475524</v>
      </c>
      <c r="J90" s="28" t="s">
        <v>14</v>
      </c>
      <c r="K90" s="51" t="s">
        <v>14</v>
      </c>
      <c r="L90" s="28" t="s">
        <v>14</v>
      </c>
      <c r="M90" s="28" t="s">
        <v>311</v>
      </c>
      <c r="N90" s="28">
        <v>2026</v>
      </c>
    </row>
    <row r="91" spans="1:14">
      <c r="A91" s="28">
        <v>90</v>
      </c>
      <c r="B91" s="28" t="s">
        <v>17</v>
      </c>
      <c r="C91" s="28" t="s">
        <v>22</v>
      </c>
      <c r="D91" s="28" t="s">
        <v>19</v>
      </c>
      <c r="E91" s="28" t="s">
        <v>81</v>
      </c>
      <c r="F91" s="28"/>
      <c r="G91" s="28" t="s">
        <v>21</v>
      </c>
      <c r="H91" s="28" t="s">
        <v>388</v>
      </c>
      <c r="I91" s="56">
        <v>3230.7692307692309</v>
      </c>
      <c r="J91" s="28" t="s">
        <v>14</v>
      </c>
      <c r="K91" s="51" t="s">
        <v>14</v>
      </c>
      <c r="L91" s="28" t="s">
        <v>14</v>
      </c>
      <c r="M91" s="28" t="s">
        <v>311</v>
      </c>
      <c r="N91" s="28">
        <v>2026</v>
      </c>
    </row>
    <row r="92" spans="1:14">
      <c r="A92" s="28">
        <v>91</v>
      </c>
      <c r="B92" s="48" t="s">
        <v>52</v>
      </c>
      <c r="C92" s="28" t="s">
        <v>62</v>
      </c>
      <c r="D92" s="28" t="s">
        <v>19</v>
      </c>
      <c r="E92" s="28" t="s">
        <v>99</v>
      </c>
      <c r="F92" s="28"/>
      <c r="G92" s="48" t="s">
        <v>21</v>
      </c>
      <c r="H92" s="48" t="s">
        <v>99</v>
      </c>
      <c r="I92" s="56">
        <v>4000</v>
      </c>
      <c r="J92" s="28" t="s">
        <v>14</v>
      </c>
      <c r="K92" s="51" t="s">
        <v>14</v>
      </c>
      <c r="L92" s="28" t="s">
        <v>14</v>
      </c>
      <c r="M92" s="28" t="s">
        <v>311</v>
      </c>
      <c r="N92" s="28">
        <v>2026</v>
      </c>
    </row>
    <row r="93" spans="1:14">
      <c r="A93" s="28">
        <v>92</v>
      </c>
      <c r="B93" s="48" t="s">
        <v>42</v>
      </c>
      <c r="C93" s="28" t="s">
        <v>45</v>
      </c>
      <c r="D93" s="28" t="s">
        <v>19</v>
      </c>
      <c r="E93" s="28" t="s">
        <v>99</v>
      </c>
      <c r="F93" s="28"/>
      <c r="G93" s="48" t="s">
        <v>239</v>
      </c>
      <c r="H93" s="48" t="s">
        <v>99</v>
      </c>
      <c r="I93" s="56">
        <v>4000</v>
      </c>
      <c r="J93" s="28" t="s">
        <v>14</v>
      </c>
      <c r="K93" s="51" t="s">
        <v>14</v>
      </c>
      <c r="L93" s="28" t="s">
        <v>14</v>
      </c>
      <c r="M93" s="28" t="s">
        <v>311</v>
      </c>
      <c r="N93" s="28">
        <v>2026</v>
      </c>
    </row>
    <row r="94" spans="1:14">
      <c r="A94" s="28">
        <v>93</v>
      </c>
      <c r="B94" s="48" t="s">
        <v>17</v>
      </c>
      <c r="C94" s="28" t="s">
        <v>25</v>
      </c>
      <c r="D94" s="28" t="s">
        <v>19</v>
      </c>
      <c r="E94" s="28" t="s">
        <v>99</v>
      </c>
      <c r="F94" s="28"/>
      <c r="G94" s="48" t="s">
        <v>239</v>
      </c>
      <c r="H94" s="48" t="s">
        <v>99</v>
      </c>
      <c r="I94" s="56">
        <v>4500</v>
      </c>
      <c r="J94" s="28" t="s">
        <v>14</v>
      </c>
      <c r="K94" s="51" t="s">
        <v>14</v>
      </c>
      <c r="L94" s="28" t="s">
        <v>14</v>
      </c>
      <c r="M94" s="28" t="s">
        <v>311</v>
      </c>
      <c r="N94" s="28">
        <v>2026</v>
      </c>
    </row>
    <row r="95" spans="1:14">
      <c r="A95" s="28">
        <v>94</v>
      </c>
      <c r="B95" s="48" t="s">
        <v>54</v>
      </c>
      <c r="C95" s="28" t="s">
        <v>55</v>
      </c>
      <c r="D95" s="28" t="s">
        <v>60</v>
      </c>
      <c r="E95" s="28" t="s">
        <v>99</v>
      </c>
      <c r="F95" s="28"/>
      <c r="G95" s="48" t="s">
        <v>21</v>
      </c>
      <c r="H95" s="48" t="s">
        <v>100</v>
      </c>
      <c r="I95" s="56">
        <v>4000</v>
      </c>
      <c r="J95" s="28" t="s">
        <v>14</v>
      </c>
      <c r="K95" s="51" t="s">
        <v>14</v>
      </c>
      <c r="L95" s="28" t="s">
        <v>14</v>
      </c>
      <c r="M95" s="28" t="s">
        <v>311</v>
      </c>
      <c r="N95" s="28">
        <v>2026</v>
      </c>
    </row>
    <row r="96" spans="1:14">
      <c r="A96" s="28">
        <v>95</v>
      </c>
      <c r="B96" s="28" t="s">
        <v>58</v>
      </c>
      <c r="C96" s="28" t="s">
        <v>59</v>
      </c>
      <c r="D96" s="122" t="s">
        <v>60</v>
      </c>
      <c r="E96" s="28" t="s">
        <v>99</v>
      </c>
      <c r="F96" s="28"/>
      <c r="G96" s="28" t="s">
        <v>64</v>
      </c>
      <c r="H96" s="28" t="s">
        <v>352</v>
      </c>
      <c r="I96" s="56">
        <v>858.10810810810813</v>
      </c>
      <c r="J96" s="28" t="s">
        <v>68</v>
      </c>
      <c r="K96" s="51" t="s">
        <v>382</v>
      </c>
      <c r="L96" s="28" t="s">
        <v>14</v>
      </c>
      <c r="M96" s="28" t="s">
        <v>311</v>
      </c>
      <c r="N96" s="28">
        <v>2026</v>
      </c>
    </row>
    <row r="97" spans="1:14">
      <c r="A97" s="28">
        <v>96</v>
      </c>
      <c r="B97" s="48" t="s">
        <v>42</v>
      </c>
      <c r="C97" s="28" t="s">
        <v>51</v>
      </c>
      <c r="D97" s="28" t="s">
        <v>60</v>
      </c>
      <c r="E97" s="28" t="s">
        <v>86</v>
      </c>
      <c r="F97" s="28"/>
      <c r="G97" s="48" t="s">
        <v>92</v>
      </c>
      <c r="H97" s="48" t="s">
        <v>90</v>
      </c>
      <c r="I97" s="56">
        <v>1324.1379310344828</v>
      </c>
      <c r="J97" s="28" t="s">
        <v>14</v>
      </c>
      <c r="K97" s="51" t="s">
        <v>14</v>
      </c>
      <c r="L97" s="28" t="s">
        <v>14</v>
      </c>
      <c r="M97" s="28" t="s">
        <v>311</v>
      </c>
      <c r="N97" s="28">
        <v>2026</v>
      </c>
    </row>
    <row r="98" spans="1:14">
      <c r="A98" s="28">
        <v>97</v>
      </c>
      <c r="B98" s="48" t="s">
        <v>61</v>
      </c>
      <c r="C98" s="28" t="s">
        <v>62</v>
      </c>
      <c r="D98" s="28" t="s">
        <v>19</v>
      </c>
      <c r="E98" s="28" t="s">
        <v>86</v>
      </c>
      <c r="F98" s="28"/>
      <c r="G98" s="48" t="s">
        <v>93</v>
      </c>
      <c r="H98" s="48" t="s">
        <v>90</v>
      </c>
      <c r="I98" s="56">
        <v>2080</v>
      </c>
      <c r="J98" s="28" t="s">
        <v>14</v>
      </c>
      <c r="K98" s="51" t="s">
        <v>14</v>
      </c>
      <c r="L98" s="28" t="s">
        <v>14</v>
      </c>
      <c r="M98" s="28" t="s">
        <v>311</v>
      </c>
      <c r="N98" s="28">
        <v>2026</v>
      </c>
    </row>
    <row r="99" spans="1:14">
      <c r="A99" s="28">
        <v>98</v>
      </c>
      <c r="B99" s="48" t="s">
        <v>17</v>
      </c>
      <c r="C99" s="28" t="s">
        <v>23</v>
      </c>
      <c r="D99" s="28" t="s">
        <v>19</v>
      </c>
      <c r="E99" s="28" t="s">
        <v>86</v>
      </c>
      <c r="F99" s="28"/>
      <c r="G99" s="48" t="s">
        <v>93</v>
      </c>
      <c r="H99" s="48" t="s">
        <v>90</v>
      </c>
      <c r="I99" s="56">
        <v>1620</v>
      </c>
      <c r="J99" s="28" t="s">
        <v>14</v>
      </c>
      <c r="K99" s="51" t="s">
        <v>14</v>
      </c>
      <c r="L99" s="28" t="s">
        <v>14</v>
      </c>
      <c r="M99" s="28" t="s">
        <v>311</v>
      </c>
      <c r="N99" s="28">
        <v>2026</v>
      </c>
    </row>
    <row r="100" spans="1:14">
      <c r="A100" s="28">
        <v>99</v>
      </c>
      <c r="B100" s="48" t="s">
        <v>54</v>
      </c>
      <c r="C100" s="28" t="s">
        <v>55</v>
      </c>
      <c r="D100" s="28" t="s">
        <v>19</v>
      </c>
      <c r="E100" s="28" t="s">
        <v>86</v>
      </c>
      <c r="F100" s="28"/>
      <c r="G100" s="48" t="s">
        <v>89</v>
      </c>
      <c r="H100" s="48" t="s">
        <v>412</v>
      </c>
      <c r="I100" s="56">
        <v>18091.216175675676</v>
      </c>
      <c r="J100" s="28" t="s">
        <v>14</v>
      </c>
      <c r="K100" s="51" t="s">
        <v>14</v>
      </c>
      <c r="L100" s="28" t="s">
        <v>14</v>
      </c>
      <c r="M100" s="28" t="s">
        <v>311</v>
      </c>
      <c r="N100" s="28">
        <v>2026</v>
      </c>
    </row>
    <row r="101" spans="1:14">
      <c r="A101" s="28">
        <v>100</v>
      </c>
      <c r="B101" s="48" t="s">
        <v>42</v>
      </c>
      <c r="C101" s="122" t="s">
        <v>43</v>
      </c>
      <c r="D101" s="28" t="s">
        <v>19</v>
      </c>
      <c r="E101" s="28" t="s">
        <v>86</v>
      </c>
      <c r="F101" s="28"/>
      <c r="G101" s="48" t="s">
        <v>89</v>
      </c>
      <c r="H101" s="48" t="s">
        <v>412</v>
      </c>
      <c r="I101" s="56">
        <v>6237.0062500000004</v>
      </c>
      <c r="J101" s="28" t="s">
        <v>14</v>
      </c>
      <c r="K101" s="51" t="s">
        <v>14</v>
      </c>
      <c r="L101" s="28" t="s">
        <v>14</v>
      </c>
      <c r="M101" s="28" t="s">
        <v>311</v>
      </c>
      <c r="N101" s="28">
        <v>2026</v>
      </c>
    </row>
    <row r="102" spans="1:14">
      <c r="A102" s="28">
        <v>101</v>
      </c>
      <c r="B102" s="48" t="s">
        <v>35</v>
      </c>
      <c r="C102" s="28" t="s">
        <v>36</v>
      </c>
      <c r="D102" s="28" t="s">
        <v>19</v>
      </c>
      <c r="E102" s="28" t="s">
        <v>86</v>
      </c>
      <c r="F102" s="28"/>
      <c r="G102" s="48" t="s">
        <v>89</v>
      </c>
      <c r="H102" s="48" t="s">
        <v>412</v>
      </c>
      <c r="I102" s="56">
        <v>498.96050000000002</v>
      </c>
      <c r="J102" s="28" t="s">
        <v>14</v>
      </c>
      <c r="K102" s="51" t="s">
        <v>14</v>
      </c>
      <c r="L102" s="28" t="s">
        <v>14</v>
      </c>
      <c r="M102" s="28" t="s">
        <v>311</v>
      </c>
      <c r="N102" s="28">
        <v>2026</v>
      </c>
    </row>
    <row r="103" spans="1:14">
      <c r="A103" s="28">
        <v>102</v>
      </c>
      <c r="B103" s="48" t="s">
        <v>42</v>
      </c>
      <c r="C103" s="28" t="s">
        <v>45</v>
      </c>
      <c r="D103" s="28" t="s">
        <v>19</v>
      </c>
      <c r="E103" s="28" t="s">
        <v>86</v>
      </c>
      <c r="F103" s="28"/>
      <c r="G103" s="48" t="s">
        <v>89</v>
      </c>
      <c r="H103" s="48" t="s">
        <v>412</v>
      </c>
      <c r="I103" s="56">
        <v>6239.0527567567569</v>
      </c>
      <c r="J103" s="28" t="s">
        <v>14</v>
      </c>
      <c r="K103" s="51" t="s">
        <v>14</v>
      </c>
      <c r="L103" s="28" t="s">
        <v>14</v>
      </c>
      <c r="M103" s="28" t="s">
        <v>311</v>
      </c>
      <c r="N103" s="28">
        <v>2026</v>
      </c>
    </row>
    <row r="104" spans="1:14">
      <c r="A104" s="28">
        <v>103</v>
      </c>
      <c r="B104" s="28" t="s">
        <v>33</v>
      </c>
      <c r="C104" s="28" t="s">
        <v>34</v>
      </c>
      <c r="D104" s="28" t="s">
        <v>19</v>
      </c>
      <c r="E104" s="28" t="s">
        <v>86</v>
      </c>
      <c r="F104" s="28"/>
      <c r="G104" s="28" t="s">
        <v>89</v>
      </c>
      <c r="H104" s="28" t="s">
        <v>412</v>
      </c>
      <c r="I104" s="56">
        <v>6626.5593445945942</v>
      </c>
      <c r="J104" s="28" t="s">
        <v>14</v>
      </c>
      <c r="K104" s="51" t="s">
        <v>14</v>
      </c>
      <c r="L104" s="28" t="s">
        <v>14</v>
      </c>
      <c r="M104" s="28" t="s">
        <v>311</v>
      </c>
      <c r="N104" s="28">
        <v>2026</v>
      </c>
    </row>
    <row r="105" spans="1:14">
      <c r="A105" s="28">
        <v>104</v>
      </c>
      <c r="B105" s="28" t="s">
        <v>52</v>
      </c>
      <c r="C105" s="122" t="s">
        <v>62</v>
      </c>
      <c r="D105" s="28" t="s">
        <v>19</v>
      </c>
      <c r="E105" s="28" t="s">
        <v>86</v>
      </c>
      <c r="F105" s="28"/>
      <c r="G105" s="28" t="s">
        <v>89</v>
      </c>
      <c r="H105" s="28" t="s">
        <v>412</v>
      </c>
      <c r="I105" s="56">
        <v>26534.855858108109</v>
      </c>
      <c r="J105" s="28" t="s">
        <v>14</v>
      </c>
      <c r="K105" s="51" t="s">
        <v>14</v>
      </c>
      <c r="L105" s="28" t="s">
        <v>14</v>
      </c>
      <c r="M105" s="28" t="s">
        <v>311</v>
      </c>
      <c r="N105" s="28">
        <v>2026</v>
      </c>
    </row>
    <row r="106" spans="1:14">
      <c r="A106" s="28">
        <v>105</v>
      </c>
      <c r="B106" s="57" t="s">
        <v>58</v>
      </c>
      <c r="C106" s="57" t="s">
        <v>59</v>
      </c>
      <c r="D106" s="28" t="s">
        <v>19</v>
      </c>
      <c r="E106" s="28" t="s">
        <v>86</v>
      </c>
      <c r="F106" s="28"/>
      <c r="G106" s="28" t="s">
        <v>89</v>
      </c>
      <c r="H106" s="28" t="s">
        <v>412</v>
      </c>
      <c r="I106" s="56">
        <v>1266.8918918918919</v>
      </c>
      <c r="J106" s="28" t="s">
        <v>14</v>
      </c>
      <c r="K106" s="51" t="s">
        <v>14</v>
      </c>
      <c r="L106" s="28" t="s">
        <v>14</v>
      </c>
      <c r="M106" s="28" t="s">
        <v>311</v>
      </c>
      <c r="N106" s="28">
        <v>2026</v>
      </c>
    </row>
    <row r="107" spans="1:14">
      <c r="A107" s="28">
        <v>106</v>
      </c>
      <c r="B107" s="28" t="s">
        <v>42</v>
      </c>
      <c r="C107" s="28" t="s">
        <v>50</v>
      </c>
      <c r="D107" s="28" t="s">
        <v>19</v>
      </c>
      <c r="E107" s="60" t="s">
        <v>86</v>
      </c>
      <c r="F107" s="28"/>
      <c r="G107" s="59" t="s">
        <v>89</v>
      </c>
      <c r="H107" s="59" t="s">
        <v>412</v>
      </c>
      <c r="I107" s="56">
        <v>25889.585614864867</v>
      </c>
      <c r="J107" s="59" t="s">
        <v>14</v>
      </c>
      <c r="K107" s="51" t="s">
        <v>14</v>
      </c>
      <c r="L107" s="59" t="s">
        <v>14</v>
      </c>
      <c r="M107" s="28" t="s">
        <v>311</v>
      </c>
      <c r="N107" s="28">
        <v>2026</v>
      </c>
    </row>
    <row r="108" spans="1:14">
      <c r="A108" s="28">
        <v>107</v>
      </c>
      <c r="B108" s="28" t="s">
        <v>17</v>
      </c>
      <c r="C108" s="28" t="s">
        <v>18</v>
      </c>
      <c r="D108" s="28" t="s">
        <v>19</v>
      </c>
      <c r="E108" s="60" t="s">
        <v>86</v>
      </c>
      <c r="F108" s="28"/>
      <c r="G108" s="28" t="s">
        <v>88</v>
      </c>
      <c r="H108" s="59" t="s">
        <v>412</v>
      </c>
      <c r="I108" s="56">
        <v>17583.627824324325</v>
      </c>
      <c r="J108" s="28" t="s">
        <v>14</v>
      </c>
      <c r="K108" s="51" t="s">
        <v>14</v>
      </c>
      <c r="L108" s="28" t="s">
        <v>14</v>
      </c>
      <c r="M108" s="28" t="s">
        <v>311</v>
      </c>
      <c r="N108" s="28">
        <v>2026</v>
      </c>
    </row>
    <row r="109" spans="1:14">
      <c r="A109" s="28">
        <v>108</v>
      </c>
      <c r="B109" s="28" t="s">
        <v>35</v>
      </c>
      <c r="C109" s="28" t="s">
        <v>36</v>
      </c>
      <c r="D109" s="28" t="s">
        <v>19</v>
      </c>
      <c r="E109" s="60" t="s">
        <v>86</v>
      </c>
      <c r="F109" s="28"/>
      <c r="G109" s="59" t="s">
        <v>88</v>
      </c>
      <c r="H109" s="28" t="s">
        <v>412</v>
      </c>
      <c r="I109" s="56">
        <v>481.41891891891891</v>
      </c>
      <c r="J109" s="59" t="s">
        <v>14</v>
      </c>
      <c r="K109" s="51" t="s">
        <v>14</v>
      </c>
      <c r="L109" s="59" t="s">
        <v>14</v>
      </c>
      <c r="M109" s="28" t="s">
        <v>311</v>
      </c>
      <c r="N109" s="28">
        <v>2026</v>
      </c>
    </row>
    <row r="110" spans="1:14">
      <c r="A110" s="28">
        <v>109</v>
      </c>
      <c r="B110" s="28" t="s">
        <v>35</v>
      </c>
      <c r="C110" s="91" t="s">
        <v>37</v>
      </c>
      <c r="D110" s="28" t="s">
        <v>19</v>
      </c>
      <c r="E110" s="60" t="s">
        <v>86</v>
      </c>
      <c r="F110" s="28"/>
      <c r="G110" s="28" t="s">
        <v>88</v>
      </c>
      <c r="H110" s="28" t="s">
        <v>412</v>
      </c>
      <c r="I110" s="56">
        <v>1659.3035135135137</v>
      </c>
      <c r="J110" s="28" t="s">
        <v>14</v>
      </c>
      <c r="K110" s="51" t="s">
        <v>14</v>
      </c>
      <c r="L110" s="28" t="s">
        <v>14</v>
      </c>
      <c r="M110" s="28" t="s">
        <v>311</v>
      </c>
      <c r="N110" s="28">
        <v>2026</v>
      </c>
    </row>
    <row r="111" spans="1:14">
      <c r="A111" s="28">
        <v>110</v>
      </c>
      <c r="B111" s="28" t="s">
        <v>42</v>
      </c>
      <c r="C111" s="28" t="s">
        <v>45</v>
      </c>
      <c r="D111" s="28" t="s">
        <v>19</v>
      </c>
      <c r="E111" s="60" t="s">
        <v>86</v>
      </c>
      <c r="F111" s="28"/>
      <c r="G111" s="28" t="s">
        <v>88</v>
      </c>
      <c r="H111" s="28" t="s">
        <v>412</v>
      </c>
      <c r="I111" s="56">
        <v>12672.920925675675</v>
      </c>
      <c r="J111" s="28" t="s">
        <v>14</v>
      </c>
      <c r="K111" s="51" t="s">
        <v>14</v>
      </c>
      <c r="L111" s="28" t="s">
        <v>14</v>
      </c>
      <c r="M111" s="28" t="s">
        <v>311</v>
      </c>
      <c r="N111" s="28">
        <v>2026</v>
      </c>
    </row>
    <row r="112" spans="1:14">
      <c r="A112" s="28">
        <v>111</v>
      </c>
      <c r="B112" s="60" t="s">
        <v>33</v>
      </c>
      <c r="C112" s="91" t="s">
        <v>34</v>
      </c>
      <c r="D112" s="28" t="s">
        <v>19</v>
      </c>
      <c r="E112" s="28" t="s">
        <v>86</v>
      </c>
      <c r="F112" s="28"/>
      <c r="G112" s="28" t="s">
        <v>88</v>
      </c>
      <c r="H112" s="28" t="s">
        <v>412</v>
      </c>
      <c r="I112" s="56">
        <v>453.74220270270268</v>
      </c>
      <c r="J112" s="28" t="s">
        <v>14</v>
      </c>
      <c r="K112" s="51" t="s">
        <v>14</v>
      </c>
      <c r="L112" s="28" t="s">
        <v>14</v>
      </c>
      <c r="M112" s="28" t="s">
        <v>311</v>
      </c>
      <c r="N112" s="28">
        <v>2026</v>
      </c>
    </row>
    <row r="113" spans="1:14">
      <c r="A113" s="28">
        <v>112</v>
      </c>
      <c r="B113" s="28" t="s">
        <v>52</v>
      </c>
      <c r="C113" s="122" t="s">
        <v>62</v>
      </c>
      <c r="D113" s="28" t="s">
        <v>19</v>
      </c>
      <c r="E113" s="28" t="s">
        <v>86</v>
      </c>
      <c r="F113" s="28"/>
      <c r="G113" s="28" t="s">
        <v>88</v>
      </c>
      <c r="H113" s="28" t="s">
        <v>412</v>
      </c>
      <c r="I113" s="56">
        <v>95886.593939189188</v>
      </c>
      <c r="J113" s="28" t="s">
        <v>14</v>
      </c>
      <c r="K113" s="51" t="s">
        <v>14</v>
      </c>
      <c r="L113" s="28" t="s">
        <v>14</v>
      </c>
      <c r="M113" s="28" t="s">
        <v>311</v>
      </c>
      <c r="N113" s="28">
        <v>2026</v>
      </c>
    </row>
    <row r="114" spans="1:14">
      <c r="A114" s="28">
        <v>113</v>
      </c>
      <c r="B114" s="28" t="s">
        <v>17</v>
      </c>
      <c r="C114" s="91" t="s">
        <v>22</v>
      </c>
      <c r="D114" s="28" t="s">
        <v>19</v>
      </c>
      <c r="E114" s="60" t="s">
        <v>86</v>
      </c>
      <c r="F114" s="28"/>
      <c r="G114" s="28" t="s">
        <v>88</v>
      </c>
      <c r="H114" s="28" t="s">
        <v>412</v>
      </c>
      <c r="I114" s="56">
        <v>17682.292081081083</v>
      </c>
      <c r="J114" s="28" t="s">
        <v>14</v>
      </c>
      <c r="K114" s="51" t="s">
        <v>14</v>
      </c>
      <c r="L114" s="28" t="s">
        <v>14</v>
      </c>
      <c r="M114" s="28" t="s">
        <v>311</v>
      </c>
      <c r="N114" s="28">
        <v>2026</v>
      </c>
    </row>
    <row r="115" spans="1:14">
      <c r="A115" s="28">
        <v>114</v>
      </c>
      <c r="B115" s="28" t="s">
        <v>42</v>
      </c>
      <c r="C115" s="91" t="s">
        <v>47</v>
      </c>
      <c r="D115" s="28" t="s">
        <v>19</v>
      </c>
      <c r="E115" s="60" t="s">
        <v>86</v>
      </c>
      <c r="F115" s="28"/>
      <c r="G115" s="28" t="s">
        <v>88</v>
      </c>
      <c r="H115" s="28" t="s">
        <v>412</v>
      </c>
      <c r="I115" s="56">
        <v>7479.9895810810813</v>
      </c>
      <c r="J115" s="28" t="s">
        <v>14</v>
      </c>
      <c r="K115" s="51" t="s">
        <v>14</v>
      </c>
      <c r="L115" s="28" t="s">
        <v>14</v>
      </c>
      <c r="M115" s="28" t="s">
        <v>311</v>
      </c>
      <c r="N115" s="28">
        <v>2026</v>
      </c>
    </row>
    <row r="116" spans="1:14">
      <c r="A116" s="28">
        <v>115</v>
      </c>
      <c r="B116" s="28" t="s">
        <v>17</v>
      </c>
      <c r="C116" s="91" t="s">
        <v>272</v>
      </c>
      <c r="D116" s="28" t="s">
        <v>19</v>
      </c>
      <c r="E116" s="60" t="s">
        <v>86</v>
      </c>
      <c r="F116" s="28"/>
      <c r="G116" s="28" t="s">
        <v>88</v>
      </c>
      <c r="H116" s="28" t="s">
        <v>412</v>
      </c>
      <c r="I116" s="56">
        <v>14193.866918918919</v>
      </c>
      <c r="J116" s="28" t="s">
        <v>14</v>
      </c>
      <c r="K116" s="51" t="s">
        <v>14</v>
      </c>
      <c r="L116" s="28" t="s">
        <v>14</v>
      </c>
      <c r="M116" s="28" t="s">
        <v>311</v>
      </c>
      <c r="N116" s="28">
        <v>2026</v>
      </c>
    </row>
    <row r="117" spans="1:14">
      <c r="A117" s="28">
        <v>116</v>
      </c>
      <c r="B117" s="28" t="s">
        <v>42</v>
      </c>
      <c r="C117" s="122" t="s">
        <v>263</v>
      </c>
      <c r="D117" s="28" t="s">
        <v>19</v>
      </c>
      <c r="E117" s="60" t="s">
        <v>86</v>
      </c>
      <c r="F117" s="28"/>
      <c r="G117" s="28" t="s">
        <v>88</v>
      </c>
      <c r="H117" s="50" t="s">
        <v>412</v>
      </c>
      <c r="I117" s="56">
        <v>2377.4688040540541</v>
      </c>
      <c r="J117" s="28" t="s">
        <v>14</v>
      </c>
      <c r="K117" s="51" t="s">
        <v>14</v>
      </c>
      <c r="L117" s="28" t="s">
        <v>14</v>
      </c>
      <c r="M117" s="28" t="s">
        <v>311</v>
      </c>
      <c r="N117" s="28">
        <v>2026</v>
      </c>
    </row>
    <row r="118" spans="1:14">
      <c r="A118" s="28">
        <v>117</v>
      </c>
      <c r="B118" s="28" t="s">
        <v>42</v>
      </c>
      <c r="C118" s="28" t="s">
        <v>50</v>
      </c>
      <c r="D118" s="28" t="s">
        <v>19</v>
      </c>
      <c r="E118" s="28" t="s">
        <v>86</v>
      </c>
      <c r="F118" s="28"/>
      <c r="G118" s="28" t="s">
        <v>88</v>
      </c>
      <c r="H118" s="28" t="s">
        <v>412</v>
      </c>
      <c r="I118" s="56">
        <v>80355.150628378382</v>
      </c>
      <c r="J118" s="28" t="s">
        <v>14</v>
      </c>
      <c r="K118" s="51" t="s">
        <v>14</v>
      </c>
      <c r="L118" s="28" t="s">
        <v>14</v>
      </c>
      <c r="M118" s="28" t="s">
        <v>311</v>
      </c>
      <c r="N118" s="28">
        <v>2026</v>
      </c>
    </row>
    <row r="119" spans="1:14">
      <c r="A119" s="28">
        <v>118</v>
      </c>
      <c r="B119" s="28" t="s">
        <v>42</v>
      </c>
      <c r="C119" s="28" t="s">
        <v>49</v>
      </c>
      <c r="D119" s="28" t="s">
        <v>19</v>
      </c>
      <c r="E119" s="60" t="s">
        <v>86</v>
      </c>
      <c r="F119" s="28"/>
      <c r="G119" s="28" t="s">
        <v>88</v>
      </c>
      <c r="H119" s="28" t="s">
        <v>261</v>
      </c>
      <c r="I119" s="56">
        <v>1135.6548851351351</v>
      </c>
      <c r="J119" s="28" t="s">
        <v>14</v>
      </c>
      <c r="K119" s="51" t="s">
        <v>14</v>
      </c>
      <c r="L119" s="28" t="s">
        <v>14</v>
      </c>
      <c r="M119" s="28" t="s">
        <v>311</v>
      </c>
      <c r="N119" s="28">
        <v>2026</v>
      </c>
    </row>
    <row r="120" spans="1:14">
      <c r="A120" s="28">
        <v>119</v>
      </c>
      <c r="B120" s="28" t="s">
        <v>17</v>
      </c>
      <c r="C120" s="28" t="s">
        <v>25</v>
      </c>
      <c r="D120" s="28" t="s">
        <v>19</v>
      </c>
      <c r="E120" s="28" t="s">
        <v>86</v>
      </c>
      <c r="F120" s="28"/>
      <c r="G120" s="28" t="s">
        <v>88</v>
      </c>
      <c r="H120" s="28" t="s">
        <v>261</v>
      </c>
      <c r="I120" s="56">
        <v>121335.12950675674</v>
      </c>
      <c r="J120" s="28" t="s">
        <v>14</v>
      </c>
      <c r="K120" s="51" t="s">
        <v>14</v>
      </c>
      <c r="L120" s="28" t="s">
        <v>14</v>
      </c>
      <c r="M120" s="28" t="s">
        <v>311</v>
      </c>
      <c r="N120" s="28">
        <v>2026</v>
      </c>
    </row>
    <row r="121" spans="1:14">
      <c r="A121" s="28">
        <v>120</v>
      </c>
      <c r="B121" s="28" t="s">
        <v>17</v>
      </c>
      <c r="C121" s="28" t="s">
        <v>26</v>
      </c>
      <c r="D121" s="28" t="s">
        <v>19</v>
      </c>
      <c r="E121" s="60" t="s">
        <v>86</v>
      </c>
      <c r="F121" s="28"/>
      <c r="G121" s="28" t="s">
        <v>88</v>
      </c>
      <c r="H121" s="28" t="s">
        <v>261</v>
      </c>
      <c r="I121" s="56">
        <v>468.55508783783785</v>
      </c>
      <c r="J121" s="28" t="s">
        <v>14</v>
      </c>
      <c r="K121" s="51" t="s">
        <v>14</v>
      </c>
      <c r="L121" s="28" t="s">
        <v>14</v>
      </c>
      <c r="M121" s="28" t="s">
        <v>311</v>
      </c>
      <c r="N121" s="28">
        <v>2026</v>
      </c>
    </row>
    <row r="122" spans="1:14">
      <c r="A122" s="28">
        <v>121</v>
      </c>
      <c r="B122" s="28" t="s">
        <v>17</v>
      </c>
      <c r="C122" s="28" t="s">
        <v>18</v>
      </c>
      <c r="D122" s="28" t="s">
        <v>19</v>
      </c>
      <c r="E122" s="28" t="s">
        <v>86</v>
      </c>
      <c r="F122" s="28"/>
      <c r="G122" s="28" t="s">
        <v>87</v>
      </c>
      <c r="H122" s="28" t="s">
        <v>261</v>
      </c>
      <c r="I122" s="56">
        <v>13138.191135135134</v>
      </c>
      <c r="J122" s="28" t="s">
        <v>14</v>
      </c>
      <c r="K122" s="51" t="s">
        <v>14</v>
      </c>
      <c r="L122" s="28" t="s">
        <v>14</v>
      </c>
      <c r="M122" s="28" t="s">
        <v>311</v>
      </c>
      <c r="N122" s="28">
        <v>2026</v>
      </c>
    </row>
    <row r="123" spans="1:14">
      <c r="A123" s="28">
        <v>122</v>
      </c>
      <c r="B123" s="28" t="s">
        <v>54</v>
      </c>
      <c r="C123" s="91" t="s">
        <v>55</v>
      </c>
      <c r="D123" s="28" t="s">
        <v>19</v>
      </c>
      <c r="E123" s="60" t="s">
        <v>86</v>
      </c>
      <c r="F123" s="28"/>
      <c r="G123" s="28" t="s">
        <v>87</v>
      </c>
      <c r="H123" s="28" t="s">
        <v>261</v>
      </c>
      <c r="I123" s="56">
        <v>12859.241081081082</v>
      </c>
      <c r="J123" s="28" t="s">
        <v>14</v>
      </c>
      <c r="K123" s="51" t="s">
        <v>14</v>
      </c>
      <c r="L123" s="28" t="s">
        <v>14</v>
      </c>
      <c r="M123" s="28" t="s">
        <v>311</v>
      </c>
      <c r="N123" s="28">
        <v>2026</v>
      </c>
    </row>
    <row r="124" spans="1:14">
      <c r="A124" s="28">
        <v>123</v>
      </c>
      <c r="B124" s="28" t="s">
        <v>42</v>
      </c>
      <c r="C124" s="122" t="s">
        <v>43</v>
      </c>
      <c r="D124" s="28" t="s">
        <v>19</v>
      </c>
      <c r="E124" s="60" t="s">
        <v>86</v>
      </c>
      <c r="F124" s="28"/>
      <c r="G124" s="28" t="s">
        <v>87</v>
      </c>
      <c r="H124" s="28" t="s">
        <v>261</v>
      </c>
      <c r="I124" s="56">
        <v>13529.755574324325</v>
      </c>
      <c r="J124" s="28" t="s">
        <v>14</v>
      </c>
      <c r="K124" s="51" t="s">
        <v>14</v>
      </c>
      <c r="L124" s="28" t="s">
        <v>14</v>
      </c>
      <c r="M124" s="28" t="s">
        <v>311</v>
      </c>
      <c r="N124" s="28">
        <v>2026</v>
      </c>
    </row>
    <row r="125" spans="1:14">
      <c r="A125" s="28">
        <v>124</v>
      </c>
      <c r="B125" s="28" t="s">
        <v>35</v>
      </c>
      <c r="C125" s="28" t="s">
        <v>36</v>
      </c>
      <c r="D125" s="28" t="s">
        <v>19</v>
      </c>
      <c r="E125" s="60" t="s">
        <v>86</v>
      </c>
      <c r="F125" s="28"/>
      <c r="G125" s="28" t="s">
        <v>87</v>
      </c>
      <c r="H125" s="28" t="s">
        <v>261</v>
      </c>
      <c r="I125" s="56">
        <v>3070.8086756756757</v>
      </c>
      <c r="J125" s="28" t="s">
        <v>14</v>
      </c>
      <c r="K125" s="51" t="s">
        <v>14</v>
      </c>
      <c r="L125" s="28" t="s">
        <v>14</v>
      </c>
      <c r="M125" s="28" t="s">
        <v>311</v>
      </c>
      <c r="N125" s="28">
        <v>2026</v>
      </c>
    </row>
    <row r="126" spans="1:14">
      <c r="A126" s="28">
        <v>125</v>
      </c>
      <c r="B126" s="60" t="s">
        <v>35</v>
      </c>
      <c r="C126" s="28" t="s">
        <v>37</v>
      </c>
      <c r="D126" s="28" t="s">
        <v>19</v>
      </c>
      <c r="E126" s="60" t="s">
        <v>86</v>
      </c>
      <c r="F126" s="28"/>
      <c r="G126" s="60" t="s">
        <v>87</v>
      </c>
      <c r="H126" s="28" t="s">
        <v>261</v>
      </c>
      <c r="I126" s="56">
        <v>28467.983236486485</v>
      </c>
      <c r="J126" s="28" t="s">
        <v>14</v>
      </c>
      <c r="K126" s="51" t="s">
        <v>14</v>
      </c>
      <c r="L126" s="28" t="s">
        <v>14</v>
      </c>
      <c r="M126" s="28" t="s">
        <v>311</v>
      </c>
      <c r="N126" s="28">
        <v>2026</v>
      </c>
    </row>
    <row r="127" spans="1:14">
      <c r="A127" s="28">
        <v>126</v>
      </c>
      <c r="B127" s="28" t="s">
        <v>42</v>
      </c>
      <c r="C127" s="28" t="s">
        <v>44</v>
      </c>
      <c r="D127" s="28" t="s">
        <v>19</v>
      </c>
      <c r="E127" s="60" t="s">
        <v>86</v>
      </c>
      <c r="F127" s="28"/>
      <c r="G127" s="28" t="s">
        <v>87</v>
      </c>
      <c r="H127" s="28" t="s">
        <v>261</v>
      </c>
      <c r="I127" s="56">
        <v>25208.809729729728</v>
      </c>
      <c r="J127" s="28" t="s">
        <v>14</v>
      </c>
      <c r="K127" s="51" t="s">
        <v>14</v>
      </c>
      <c r="L127" s="28" t="s">
        <v>14</v>
      </c>
      <c r="M127" s="28" t="s">
        <v>311</v>
      </c>
      <c r="N127" s="28">
        <v>2026</v>
      </c>
    </row>
    <row r="128" spans="1:14">
      <c r="A128" s="28">
        <v>127</v>
      </c>
      <c r="B128" s="60" t="s">
        <v>42</v>
      </c>
      <c r="C128" s="60" t="s">
        <v>45</v>
      </c>
      <c r="D128" s="28" t="s">
        <v>19</v>
      </c>
      <c r="E128" s="60" t="s">
        <v>86</v>
      </c>
      <c r="F128" s="28"/>
      <c r="G128" s="60" t="s">
        <v>87</v>
      </c>
      <c r="H128" s="28" t="s">
        <v>261</v>
      </c>
      <c r="I128" s="56">
        <v>44115.817689189193</v>
      </c>
      <c r="J128" s="28" t="s">
        <v>14</v>
      </c>
      <c r="K128" s="51" t="s">
        <v>14</v>
      </c>
      <c r="L128" s="28" t="s">
        <v>14</v>
      </c>
      <c r="M128" s="28" t="s">
        <v>311</v>
      </c>
      <c r="N128" s="28">
        <v>2026</v>
      </c>
    </row>
    <row r="129" spans="1:14">
      <c r="A129" s="28">
        <v>128</v>
      </c>
      <c r="B129" s="28" t="s">
        <v>33</v>
      </c>
      <c r="C129" s="28" t="s">
        <v>34</v>
      </c>
      <c r="D129" s="28" t="s">
        <v>19</v>
      </c>
      <c r="E129" s="60" t="s">
        <v>86</v>
      </c>
      <c r="F129" s="28"/>
      <c r="G129" s="28" t="s">
        <v>87</v>
      </c>
      <c r="H129" s="28" t="s">
        <v>261</v>
      </c>
      <c r="I129" s="56">
        <v>19822.629912162163</v>
      </c>
      <c r="J129" s="28" t="s">
        <v>14</v>
      </c>
      <c r="K129" s="51" t="s">
        <v>14</v>
      </c>
      <c r="L129" s="28" t="s">
        <v>14</v>
      </c>
      <c r="M129" s="28" t="s">
        <v>311</v>
      </c>
      <c r="N129" s="28">
        <v>2026</v>
      </c>
    </row>
    <row r="130" spans="1:14">
      <c r="A130" s="28">
        <v>129</v>
      </c>
      <c r="B130" s="28" t="s">
        <v>52</v>
      </c>
      <c r="C130" s="122" t="s">
        <v>62</v>
      </c>
      <c r="D130" s="28" t="s">
        <v>19</v>
      </c>
      <c r="E130" s="28" t="s">
        <v>86</v>
      </c>
      <c r="F130" s="28"/>
      <c r="G130" s="28" t="s">
        <v>87</v>
      </c>
      <c r="H130" s="28" t="s">
        <v>261</v>
      </c>
      <c r="I130" s="56">
        <v>164708.73104054053</v>
      </c>
      <c r="J130" s="28" t="s">
        <v>14</v>
      </c>
      <c r="K130" s="51" t="s">
        <v>14</v>
      </c>
      <c r="L130" s="28" t="s">
        <v>14</v>
      </c>
      <c r="M130" s="28" t="s">
        <v>311</v>
      </c>
      <c r="N130" s="28">
        <v>2026</v>
      </c>
    </row>
    <row r="131" spans="1:14">
      <c r="A131" s="28">
        <v>130</v>
      </c>
      <c r="B131" s="28" t="s">
        <v>17</v>
      </c>
      <c r="C131" s="28" t="s">
        <v>22</v>
      </c>
      <c r="D131" s="28" t="s">
        <v>19</v>
      </c>
      <c r="E131" s="28" t="s">
        <v>86</v>
      </c>
      <c r="F131" s="28"/>
      <c r="G131" s="28" t="s">
        <v>87</v>
      </c>
      <c r="H131" s="28" t="s">
        <v>261</v>
      </c>
      <c r="I131" s="56">
        <v>2983.3679256756759</v>
      </c>
      <c r="J131" s="28" t="s">
        <v>14</v>
      </c>
      <c r="K131" s="51" t="s">
        <v>14</v>
      </c>
      <c r="L131" s="28" t="s">
        <v>14</v>
      </c>
      <c r="M131" s="28" t="s">
        <v>311</v>
      </c>
      <c r="N131" s="28">
        <v>2026</v>
      </c>
    </row>
    <row r="132" spans="1:14">
      <c r="A132" s="28">
        <v>131</v>
      </c>
      <c r="B132" s="28" t="s">
        <v>35</v>
      </c>
      <c r="C132" s="28" t="s">
        <v>41</v>
      </c>
      <c r="D132" s="28" t="s">
        <v>19</v>
      </c>
      <c r="E132" s="60" t="s">
        <v>86</v>
      </c>
      <c r="F132" s="28"/>
      <c r="G132" s="28" t="s">
        <v>87</v>
      </c>
      <c r="H132" s="28" t="s">
        <v>261</v>
      </c>
      <c r="I132" s="53">
        <v>1330.5612972972972</v>
      </c>
      <c r="J132" s="28" t="s">
        <v>14</v>
      </c>
      <c r="K132" s="51" t="s">
        <v>14</v>
      </c>
      <c r="L132" s="28" t="s">
        <v>14</v>
      </c>
      <c r="M132" s="28" t="s">
        <v>311</v>
      </c>
      <c r="N132" s="28">
        <v>2026</v>
      </c>
    </row>
    <row r="133" spans="1:14">
      <c r="A133" s="28">
        <v>132</v>
      </c>
      <c r="B133" s="28" t="s">
        <v>42</v>
      </c>
      <c r="C133" s="91" t="s">
        <v>47</v>
      </c>
      <c r="D133" s="28" t="s">
        <v>19</v>
      </c>
      <c r="E133" s="28" t="s">
        <v>86</v>
      </c>
      <c r="F133" s="28"/>
      <c r="G133" s="28" t="s">
        <v>87</v>
      </c>
      <c r="H133" s="28" t="s">
        <v>261</v>
      </c>
      <c r="I133" s="56">
        <v>12288.170445945947</v>
      </c>
      <c r="J133" s="28" t="s">
        <v>14</v>
      </c>
      <c r="K133" s="51" t="s">
        <v>14</v>
      </c>
      <c r="L133" s="28" t="s">
        <v>14</v>
      </c>
      <c r="M133" s="28" t="s">
        <v>311</v>
      </c>
      <c r="N133" s="28">
        <v>2026</v>
      </c>
    </row>
    <row r="134" spans="1:14">
      <c r="A134" s="28">
        <v>133</v>
      </c>
      <c r="B134" s="28" t="s">
        <v>17</v>
      </c>
      <c r="C134" s="28" t="s">
        <v>272</v>
      </c>
      <c r="D134" s="28" t="s">
        <v>19</v>
      </c>
      <c r="E134" s="60" t="s">
        <v>86</v>
      </c>
      <c r="F134" s="28"/>
      <c r="G134" s="28" t="s">
        <v>87</v>
      </c>
      <c r="H134" s="28" t="s">
        <v>261</v>
      </c>
      <c r="I134" s="56">
        <v>6891.496837837838</v>
      </c>
      <c r="J134" s="28" t="s">
        <v>14</v>
      </c>
      <c r="K134" s="51" t="s">
        <v>14</v>
      </c>
      <c r="L134" s="28" t="s">
        <v>14</v>
      </c>
      <c r="M134" s="28" t="s">
        <v>311</v>
      </c>
      <c r="N134" s="28">
        <v>2026</v>
      </c>
    </row>
    <row r="135" spans="1:14">
      <c r="A135" s="28">
        <v>134</v>
      </c>
      <c r="B135" s="28" t="s">
        <v>42</v>
      </c>
      <c r="C135" s="122" t="s">
        <v>263</v>
      </c>
      <c r="D135" s="28" t="s">
        <v>19</v>
      </c>
      <c r="E135" s="60" t="s">
        <v>86</v>
      </c>
      <c r="F135" s="28"/>
      <c r="G135" s="28" t="s">
        <v>87</v>
      </c>
      <c r="H135" s="28" t="s">
        <v>261</v>
      </c>
      <c r="I135" s="56">
        <v>23516.63202027027</v>
      </c>
      <c r="J135" s="28" t="s">
        <v>14</v>
      </c>
      <c r="K135" s="51" t="s">
        <v>14</v>
      </c>
      <c r="L135" s="28" t="s">
        <v>14</v>
      </c>
      <c r="M135" s="28" t="s">
        <v>311</v>
      </c>
      <c r="N135" s="28">
        <v>2026</v>
      </c>
    </row>
    <row r="136" spans="1:14">
      <c r="A136" s="28">
        <v>135</v>
      </c>
      <c r="B136" s="28" t="s">
        <v>42</v>
      </c>
      <c r="C136" s="28" t="s">
        <v>50</v>
      </c>
      <c r="D136" s="28" t="s">
        <v>19</v>
      </c>
      <c r="E136" s="60" t="s">
        <v>86</v>
      </c>
      <c r="F136" s="28"/>
      <c r="G136" s="28" t="s">
        <v>87</v>
      </c>
      <c r="H136" s="28" t="s">
        <v>261</v>
      </c>
      <c r="I136" s="56">
        <v>72389.347540540533</v>
      </c>
      <c r="J136" s="28" t="s">
        <v>14</v>
      </c>
      <c r="K136" s="51" t="s">
        <v>14</v>
      </c>
      <c r="L136" s="28" t="s">
        <v>14</v>
      </c>
      <c r="M136" s="28" t="s">
        <v>311</v>
      </c>
      <c r="N136" s="28">
        <v>2026</v>
      </c>
    </row>
    <row r="137" spans="1:14">
      <c r="A137" s="28">
        <v>136</v>
      </c>
      <c r="B137" s="28" t="s">
        <v>42</v>
      </c>
      <c r="C137" s="28" t="s">
        <v>49</v>
      </c>
      <c r="D137" s="28" t="s">
        <v>19</v>
      </c>
      <c r="E137" s="60" t="s">
        <v>86</v>
      </c>
      <c r="F137" s="28"/>
      <c r="G137" s="28" t="s">
        <v>87</v>
      </c>
      <c r="H137" s="28" t="s">
        <v>261</v>
      </c>
      <c r="I137" s="56">
        <v>4171.2474189189188</v>
      </c>
      <c r="J137" s="28" t="s">
        <v>14</v>
      </c>
      <c r="K137" s="51" t="s">
        <v>14</v>
      </c>
      <c r="L137" s="28" t="s">
        <v>14</v>
      </c>
      <c r="M137" s="28" t="s">
        <v>311</v>
      </c>
      <c r="N137" s="28">
        <v>2026</v>
      </c>
    </row>
    <row r="138" spans="1:14">
      <c r="A138" s="28">
        <v>137</v>
      </c>
      <c r="B138" s="28" t="s">
        <v>42</v>
      </c>
      <c r="C138" s="28" t="s">
        <v>51</v>
      </c>
      <c r="D138" s="28" t="s">
        <v>19</v>
      </c>
      <c r="E138" s="60" t="s">
        <v>86</v>
      </c>
      <c r="F138" s="28"/>
      <c r="G138" s="28" t="s">
        <v>87</v>
      </c>
      <c r="H138" s="28" t="s">
        <v>261</v>
      </c>
      <c r="I138" s="56">
        <v>12073.430263513514</v>
      </c>
      <c r="J138" s="28" t="s">
        <v>14</v>
      </c>
      <c r="K138" s="51" t="s">
        <v>14</v>
      </c>
      <c r="L138" s="28" t="s">
        <v>14</v>
      </c>
      <c r="M138" s="28" t="s">
        <v>311</v>
      </c>
      <c r="N138" s="28">
        <v>2026</v>
      </c>
    </row>
    <row r="139" spans="1:14">
      <c r="A139" s="28">
        <v>138</v>
      </c>
      <c r="B139" s="28" t="s">
        <v>17</v>
      </c>
      <c r="C139" s="28" t="s">
        <v>25</v>
      </c>
      <c r="D139" s="28" t="s">
        <v>19</v>
      </c>
      <c r="E139" s="60" t="s">
        <v>86</v>
      </c>
      <c r="F139" s="28"/>
      <c r="G139" s="28" t="s">
        <v>87</v>
      </c>
      <c r="H139" s="28" t="s">
        <v>261</v>
      </c>
      <c r="I139" s="56">
        <v>22247.141250000001</v>
      </c>
      <c r="J139" s="28" t="s">
        <v>14</v>
      </c>
      <c r="K139" s="51" t="s">
        <v>14</v>
      </c>
      <c r="L139" s="28" t="s">
        <v>14</v>
      </c>
      <c r="M139" s="28" t="s">
        <v>311</v>
      </c>
      <c r="N139" s="28">
        <v>2026</v>
      </c>
    </row>
    <row r="140" spans="1:14">
      <c r="A140" s="28">
        <v>139</v>
      </c>
      <c r="B140" s="28" t="s">
        <v>17</v>
      </c>
      <c r="C140" s="28" t="s">
        <v>18</v>
      </c>
      <c r="D140" s="28" t="s">
        <v>19</v>
      </c>
      <c r="E140" s="60" t="s">
        <v>86</v>
      </c>
      <c r="F140" s="28"/>
      <c r="G140" s="28" t="s">
        <v>88</v>
      </c>
      <c r="H140" s="28" t="s">
        <v>90</v>
      </c>
      <c r="I140" s="53">
        <v>19901.577770270273</v>
      </c>
      <c r="J140" s="28" t="s">
        <v>14</v>
      </c>
      <c r="K140" s="51" t="s">
        <v>14</v>
      </c>
      <c r="L140" s="28" t="s">
        <v>14</v>
      </c>
      <c r="M140" s="28" t="s">
        <v>311</v>
      </c>
      <c r="N140" s="28">
        <v>2026</v>
      </c>
    </row>
    <row r="141" spans="1:14">
      <c r="A141" s="28">
        <v>140</v>
      </c>
      <c r="B141" s="28" t="s">
        <v>54</v>
      </c>
      <c r="C141" s="28" t="s">
        <v>55</v>
      </c>
      <c r="D141" s="28" t="s">
        <v>19</v>
      </c>
      <c r="E141" s="60" t="s">
        <v>86</v>
      </c>
      <c r="F141" s="28"/>
      <c r="G141" s="28" t="s">
        <v>88</v>
      </c>
      <c r="H141" s="28" t="s">
        <v>90</v>
      </c>
      <c r="I141" s="56">
        <v>7297.2972972972975</v>
      </c>
      <c r="J141" s="28" t="s">
        <v>14</v>
      </c>
      <c r="K141" s="51" t="s">
        <v>14</v>
      </c>
      <c r="L141" s="28" t="s">
        <v>14</v>
      </c>
      <c r="M141" s="28" t="s">
        <v>311</v>
      </c>
      <c r="N141" s="28">
        <v>2026</v>
      </c>
    </row>
    <row r="142" spans="1:14">
      <c r="A142" s="28">
        <v>141</v>
      </c>
      <c r="B142" s="28" t="s">
        <v>42</v>
      </c>
      <c r="C142" s="28" t="s">
        <v>43</v>
      </c>
      <c r="D142" s="28" t="s">
        <v>19</v>
      </c>
      <c r="E142" s="60" t="s">
        <v>86</v>
      </c>
      <c r="F142" s="28"/>
      <c r="G142" s="28" t="s">
        <v>88</v>
      </c>
      <c r="H142" s="28" t="s">
        <v>90</v>
      </c>
      <c r="I142" s="56">
        <v>3378.3783783783783</v>
      </c>
      <c r="J142" s="28" t="s">
        <v>14</v>
      </c>
      <c r="K142" s="51" t="s">
        <v>14</v>
      </c>
      <c r="L142" s="28" t="s">
        <v>14</v>
      </c>
      <c r="M142" s="28" t="s">
        <v>311</v>
      </c>
      <c r="N142" s="28">
        <v>2026</v>
      </c>
    </row>
    <row r="143" spans="1:14">
      <c r="A143" s="28">
        <v>142</v>
      </c>
      <c r="B143" s="28" t="s">
        <v>35</v>
      </c>
      <c r="C143" s="28" t="s">
        <v>36</v>
      </c>
      <c r="D143" s="28" t="s">
        <v>19</v>
      </c>
      <c r="E143" s="60" t="s">
        <v>86</v>
      </c>
      <c r="F143" s="28"/>
      <c r="G143" s="28" t="s">
        <v>88</v>
      </c>
      <c r="H143" s="28" t="s">
        <v>90</v>
      </c>
      <c r="I143" s="56">
        <v>5202.7027027027025</v>
      </c>
      <c r="J143" s="28" t="s">
        <v>14</v>
      </c>
      <c r="K143" s="51" t="s">
        <v>14</v>
      </c>
      <c r="L143" s="28" t="s">
        <v>14</v>
      </c>
      <c r="M143" s="28" t="s">
        <v>311</v>
      </c>
      <c r="N143" s="28">
        <v>2026</v>
      </c>
    </row>
    <row r="144" spans="1:14">
      <c r="A144" s="28">
        <v>143</v>
      </c>
      <c r="B144" s="28" t="s">
        <v>35</v>
      </c>
      <c r="C144" s="28" t="s">
        <v>37</v>
      </c>
      <c r="D144" s="28" t="s">
        <v>19</v>
      </c>
      <c r="E144" s="60" t="s">
        <v>86</v>
      </c>
      <c r="F144" s="28"/>
      <c r="G144" s="28" t="s">
        <v>88</v>
      </c>
      <c r="H144" s="28" t="s">
        <v>90</v>
      </c>
      <c r="I144" s="56">
        <v>6891.8918918918916</v>
      </c>
      <c r="J144" s="28" t="s">
        <v>14</v>
      </c>
      <c r="K144" s="51" t="s">
        <v>14</v>
      </c>
      <c r="L144" s="28" t="s">
        <v>14</v>
      </c>
      <c r="M144" s="28" t="s">
        <v>311</v>
      </c>
      <c r="N144" s="28">
        <v>2026</v>
      </c>
    </row>
    <row r="145" spans="1:14">
      <c r="A145" s="28">
        <v>144</v>
      </c>
      <c r="B145" s="28" t="s">
        <v>42</v>
      </c>
      <c r="C145" s="91" t="s">
        <v>45</v>
      </c>
      <c r="D145" s="28" t="s">
        <v>19</v>
      </c>
      <c r="E145" s="60" t="s">
        <v>86</v>
      </c>
      <c r="F145" s="28"/>
      <c r="G145" s="28" t="s">
        <v>88</v>
      </c>
      <c r="H145" s="28" t="s">
        <v>90</v>
      </c>
      <c r="I145" s="56">
        <v>5463.0977770270274</v>
      </c>
      <c r="J145" s="28" t="s">
        <v>14</v>
      </c>
      <c r="K145" s="51" t="s">
        <v>14</v>
      </c>
      <c r="L145" s="28" t="s">
        <v>14</v>
      </c>
      <c r="M145" s="28" t="s">
        <v>311</v>
      </c>
      <c r="N145" s="28">
        <v>2026</v>
      </c>
    </row>
    <row r="146" spans="1:14">
      <c r="A146" s="28">
        <v>145</v>
      </c>
      <c r="B146" s="28" t="s">
        <v>33</v>
      </c>
      <c r="C146" s="91" t="s">
        <v>34</v>
      </c>
      <c r="D146" s="28" t="s">
        <v>19</v>
      </c>
      <c r="E146" s="60" t="s">
        <v>86</v>
      </c>
      <c r="F146" s="28"/>
      <c r="G146" s="28" t="s">
        <v>88</v>
      </c>
      <c r="H146" s="28" t="s">
        <v>90</v>
      </c>
      <c r="I146" s="56">
        <v>9566.0083918918917</v>
      </c>
      <c r="J146" s="28" t="s">
        <v>14</v>
      </c>
      <c r="K146" s="51" t="s">
        <v>14</v>
      </c>
      <c r="L146" s="28" t="s">
        <v>14</v>
      </c>
      <c r="M146" s="28" t="s">
        <v>311</v>
      </c>
      <c r="N146" s="28">
        <v>2026</v>
      </c>
    </row>
    <row r="147" spans="1:14">
      <c r="A147" s="28">
        <v>146</v>
      </c>
      <c r="B147" s="28" t="s">
        <v>52</v>
      </c>
      <c r="C147" s="28" t="s">
        <v>62</v>
      </c>
      <c r="D147" s="28" t="s">
        <v>19</v>
      </c>
      <c r="E147" s="60" t="s">
        <v>86</v>
      </c>
      <c r="F147" s="28"/>
      <c r="G147" s="28" t="s">
        <v>88</v>
      </c>
      <c r="H147" s="28" t="s">
        <v>90</v>
      </c>
      <c r="I147" s="56">
        <v>34668.338986486488</v>
      </c>
      <c r="J147" s="28" t="s">
        <v>14</v>
      </c>
      <c r="K147" s="51" t="s">
        <v>14</v>
      </c>
      <c r="L147" s="28" t="s">
        <v>14</v>
      </c>
      <c r="M147" s="28" t="s">
        <v>311</v>
      </c>
      <c r="N147" s="28">
        <v>2026</v>
      </c>
    </row>
    <row r="148" spans="1:14">
      <c r="A148" s="28">
        <v>147</v>
      </c>
      <c r="B148" s="60" t="s">
        <v>58</v>
      </c>
      <c r="C148" s="60" t="s">
        <v>59</v>
      </c>
      <c r="D148" s="28" t="s">
        <v>19</v>
      </c>
      <c r="E148" s="60" t="s">
        <v>86</v>
      </c>
      <c r="F148" s="28"/>
      <c r="G148" s="60" t="s">
        <v>88</v>
      </c>
      <c r="H148" s="28" t="s">
        <v>90</v>
      </c>
      <c r="I148" s="56">
        <v>1075.8835945945946</v>
      </c>
      <c r="J148" s="28" t="s">
        <v>14</v>
      </c>
      <c r="K148" s="51" t="s">
        <v>14</v>
      </c>
      <c r="L148" s="28" t="s">
        <v>14</v>
      </c>
      <c r="M148" s="28" t="s">
        <v>311</v>
      </c>
      <c r="N148" s="28">
        <v>2026</v>
      </c>
    </row>
    <row r="149" spans="1:14">
      <c r="A149" s="28">
        <v>148</v>
      </c>
      <c r="B149" s="28" t="s">
        <v>17</v>
      </c>
      <c r="C149" s="91" t="s">
        <v>22</v>
      </c>
      <c r="D149" s="28" t="s">
        <v>19</v>
      </c>
      <c r="E149" s="60" t="s">
        <v>86</v>
      </c>
      <c r="F149" s="28"/>
      <c r="G149" s="28" t="s">
        <v>88</v>
      </c>
      <c r="H149" s="28" t="s">
        <v>90</v>
      </c>
      <c r="I149" s="56">
        <v>11728.222466216217</v>
      </c>
      <c r="J149" s="28" t="s">
        <v>14</v>
      </c>
      <c r="K149" s="51" t="s">
        <v>14</v>
      </c>
      <c r="L149" s="28" t="s">
        <v>14</v>
      </c>
      <c r="M149" s="28" t="s">
        <v>311</v>
      </c>
      <c r="N149" s="28">
        <v>2026</v>
      </c>
    </row>
    <row r="150" spans="1:14">
      <c r="A150" s="28">
        <v>149</v>
      </c>
      <c r="B150" s="28" t="s">
        <v>17</v>
      </c>
      <c r="C150" s="91" t="s">
        <v>91</v>
      </c>
      <c r="D150" s="28" t="s">
        <v>19</v>
      </c>
      <c r="E150" s="28" t="s">
        <v>86</v>
      </c>
      <c r="F150" s="28"/>
      <c r="G150" s="28" t="s">
        <v>88</v>
      </c>
      <c r="H150" s="28" t="s">
        <v>90</v>
      </c>
      <c r="I150" s="56">
        <v>9391.8918918918916</v>
      </c>
      <c r="J150" s="28" t="s">
        <v>14</v>
      </c>
      <c r="K150" s="51" t="s">
        <v>14</v>
      </c>
      <c r="L150" s="28" t="s">
        <v>14</v>
      </c>
      <c r="M150" s="28" t="s">
        <v>311</v>
      </c>
      <c r="N150" s="28">
        <v>2026</v>
      </c>
    </row>
    <row r="151" spans="1:14">
      <c r="A151" s="28">
        <v>150</v>
      </c>
      <c r="B151" s="28" t="s">
        <v>42</v>
      </c>
      <c r="C151" s="91" t="s">
        <v>47</v>
      </c>
      <c r="D151" s="28" t="s">
        <v>19</v>
      </c>
      <c r="E151" s="60" t="s">
        <v>86</v>
      </c>
      <c r="F151" s="28"/>
      <c r="G151" s="28" t="s">
        <v>88</v>
      </c>
      <c r="H151" s="28" t="s">
        <v>90</v>
      </c>
      <c r="I151" s="56">
        <v>4189.1891891891892</v>
      </c>
      <c r="J151" s="28" t="s">
        <v>14</v>
      </c>
      <c r="K151" s="51" t="s">
        <v>14</v>
      </c>
      <c r="L151" s="28" t="s">
        <v>14</v>
      </c>
      <c r="M151" s="28" t="s">
        <v>311</v>
      </c>
      <c r="N151" s="28">
        <v>2026</v>
      </c>
    </row>
    <row r="152" spans="1:14">
      <c r="A152" s="28">
        <v>151</v>
      </c>
      <c r="B152" s="28" t="s">
        <v>17</v>
      </c>
      <c r="C152" s="28" t="s">
        <v>272</v>
      </c>
      <c r="D152" s="28" t="s">
        <v>19</v>
      </c>
      <c r="E152" s="60" t="s">
        <v>86</v>
      </c>
      <c r="F152" s="28"/>
      <c r="G152" s="28" t="s">
        <v>88</v>
      </c>
      <c r="H152" s="28" t="s">
        <v>90</v>
      </c>
      <c r="I152" s="56">
        <v>6011.970918918918</v>
      </c>
      <c r="J152" s="28" t="s">
        <v>14</v>
      </c>
      <c r="K152" s="51" t="s">
        <v>14</v>
      </c>
      <c r="L152" s="28" t="s">
        <v>14</v>
      </c>
      <c r="M152" s="28" t="s">
        <v>311</v>
      </c>
      <c r="N152" s="28">
        <v>2026</v>
      </c>
    </row>
    <row r="153" spans="1:14">
      <c r="A153" s="28">
        <v>152</v>
      </c>
      <c r="B153" s="28" t="s">
        <v>42</v>
      </c>
      <c r="C153" s="91" t="s">
        <v>263</v>
      </c>
      <c r="D153" s="28" t="s">
        <v>19</v>
      </c>
      <c r="E153" s="60" t="s">
        <v>86</v>
      </c>
      <c r="F153" s="28"/>
      <c r="G153" s="28" t="s">
        <v>88</v>
      </c>
      <c r="H153" s="28" t="s">
        <v>90</v>
      </c>
      <c r="I153" s="56">
        <v>7101.3513513513517</v>
      </c>
      <c r="J153" s="28" t="s">
        <v>14</v>
      </c>
      <c r="K153" s="51" t="s">
        <v>14</v>
      </c>
      <c r="L153" s="28" t="s">
        <v>14</v>
      </c>
      <c r="M153" s="28" t="s">
        <v>311</v>
      </c>
      <c r="N153" s="28">
        <v>2026</v>
      </c>
    </row>
    <row r="154" spans="1:14">
      <c r="A154" s="28">
        <v>153</v>
      </c>
      <c r="B154" s="28" t="s">
        <v>42</v>
      </c>
      <c r="C154" s="28" t="s">
        <v>50</v>
      </c>
      <c r="D154" s="28" t="s">
        <v>19</v>
      </c>
      <c r="E154" s="60" t="s">
        <v>86</v>
      </c>
      <c r="F154" s="28"/>
      <c r="G154" s="28" t="s">
        <v>88</v>
      </c>
      <c r="H154" s="28" t="s">
        <v>90</v>
      </c>
      <c r="I154" s="56">
        <v>27292.249567567567</v>
      </c>
      <c r="J154" s="28" t="s">
        <v>14</v>
      </c>
      <c r="K154" s="51" t="s">
        <v>14</v>
      </c>
      <c r="L154" s="28" t="s">
        <v>14</v>
      </c>
      <c r="M154" s="28" t="s">
        <v>311</v>
      </c>
      <c r="N154" s="28">
        <v>2026</v>
      </c>
    </row>
    <row r="155" spans="1:14">
      <c r="A155" s="28">
        <v>154</v>
      </c>
      <c r="B155" s="28" t="s">
        <v>42</v>
      </c>
      <c r="C155" s="91" t="s">
        <v>49</v>
      </c>
      <c r="D155" s="28" t="s">
        <v>19</v>
      </c>
      <c r="E155" s="60" t="s">
        <v>86</v>
      </c>
      <c r="F155" s="28"/>
      <c r="G155" s="28" t="s">
        <v>88</v>
      </c>
      <c r="H155" s="28" t="s">
        <v>90</v>
      </c>
      <c r="I155" s="56">
        <v>3513.5135135135133</v>
      </c>
      <c r="J155" s="28" t="s">
        <v>14</v>
      </c>
      <c r="K155" s="51" t="s">
        <v>14</v>
      </c>
      <c r="L155" s="28" t="s">
        <v>14</v>
      </c>
      <c r="M155" s="28" t="s">
        <v>311</v>
      </c>
      <c r="N155" s="28">
        <v>2026</v>
      </c>
    </row>
    <row r="156" spans="1:14">
      <c r="A156" s="28">
        <v>155</v>
      </c>
      <c r="B156" s="60" t="s">
        <v>17</v>
      </c>
      <c r="C156" s="91" t="s">
        <v>25</v>
      </c>
      <c r="D156" s="28" t="s">
        <v>19</v>
      </c>
      <c r="E156" s="60" t="s">
        <v>86</v>
      </c>
      <c r="F156" s="28"/>
      <c r="G156" s="60" t="s">
        <v>88</v>
      </c>
      <c r="H156" s="28" t="s">
        <v>90</v>
      </c>
      <c r="I156" s="56">
        <v>18674.168412162162</v>
      </c>
      <c r="J156" s="28" t="s">
        <v>14</v>
      </c>
      <c r="K156" s="51" t="s">
        <v>14</v>
      </c>
      <c r="L156" s="28" t="s">
        <v>14</v>
      </c>
      <c r="M156" s="28" t="s">
        <v>311</v>
      </c>
      <c r="N156" s="28">
        <v>2026</v>
      </c>
    </row>
    <row r="157" spans="1:14">
      <c r="A157" s="28">
        <v>156</v>
      </c>
      <c r="B157" s="28" t="s">
        <v>17</v>
      </c>
      <c r="C157" s="28" t="s">
        <v>18</v>
      </c>
      <c r="D157" s="28" t="s">
        <v>19</v>
      </c>
      <c r="E157" s="60" t="s">
        <v>86</v>
      </c>
      <c r="F157" s="28"/>
      <c r="G157" s="28" t="s">
        <v>87</v>
      </c>
      <c r="H157" s="28" t="s">
        <v>90</v>
      </c>
      <c r="I157" s="56">
        <v>15181.454905405406</v>
      </c>
      <c r="J157" s="28" t="s">
        <v>14</v>
      </c>
      <c r="K157" s="51" t="s">
        <v>14</v>
      </c>
      <c r="L157" s="28" t="s">
        <v>14</v>
      </c>
      <c r="M157" s="28" t="s">
        <v>311</v>
      </c>
      <c r="N157" s="28">
        <v>2026</v>
      </c>
    </row>
    <row r="158" spans="1:14">
      <c r="A158" s="28">
        <v>157</v>
      </c>
      <c r="B158" s="28" t="s">
        <v>54</v>
      </c>
      <c r="C158" s="28" t="s">
        <v>55</v>
      </c>
      <c r="D158" s="28" t="s">
        <v>19</v>
      </c>
      <c r="E158" s="28" t="s">
        <v>86</v>
      </c>
      <c r="F158" s="28"/>
      <c r="G158" s="28" t="s">
        <v>87</v>
      </c>
      <c r="H158" s="28" t="s">
        <v>90</v>
      </c>
      <c r="I158" s="56">
        <v>24947.097783783782</v>
      </c>
      <c r="J158" s="28" t="s">
        <v>14</v>
      </c>
      <c r="K158" s="51" t="s">
        <v>14</v>
      </c>
      <c r="L158" s="28" t="s">
        <v>14</v>
      </c>
      <c r="M158" s="28" t="s">
        <v>311</v>
      </c>
      <c r="N158" s="28">
        <v>2026</v>
      </c>
    </row>
    <row r="159" spans="1:14">
      <c r="A159" s="28">
        <v>158</v>
      </c>
      <c r="B159" s="28" t="s">
        <v>42</v>
      </c>
      <c r="C159" s="28" t="s">
        <v>43</v>
      </c>
      <c r="D159" s="28" t="s">
        <v>19</v>
      </c>
      <c r="E159" s="60" t="s">
        <v>86</v>
      </c>
      <c r="F159" s="28"/>
      <c r="G159" s="28" t="s">
        <v>87</v>
      </c>
      <c r="H159" s="28" t="s">
        <v>90</v>
      </c>
      <c r="I159" s="56">
        <v>13724.012500000001</v>
      </c>
      <c r="J159" s="28" t="s">
        <v>14</v>
      </c>
      <c r="K159" s="51" t="s">
        <v>14</v>
      </c>
      <c r="L159" s="28" t="s">
        <v>14</v>
      </c>
      <c r="M159" s="28" t="s">
        <v>311</v>
      </c>
      <c r="N159" s="28">
        <v>2026</v>
      </c>
    </row>
    <row r="160" spans="1:14">
      <c r="A160" s="28">
        <v>159</v>
      </c>
      <c r="B160" s="28" t="s">
        <v>35</v>
      </c>
      <c r="C160" s="28" t="s">
        <v>36</v>
      </c>
      <c r="D160" s="28" t="s">
        <v>19</v>
      </c>
      <c r="E160" s="60" t="s">
        <v>86</v>
      </c>
      <c r="F160" s="28"/>
      <c r="G160" s="28" t="s">
        <v>87</v>
      </c>
      <c r="H160" s="28" t="s">
        <v>90</v>
      </c>
      <c r="I160" s="56">
        <v>3445.9459459459458</v>
      </c>
      <c r="J160" s="28" t="s">
        <v>14</v>
      </c>
      <c r="K160" s="51" t="s">
        <v>14</v>
      </c>
      <c r="L160" s="28" t="s">
        <v>14</v>
      </c>
      <c r="M160" s="28" t="s">
        <v>311</v>
      </c>
      <c r="N160" s="28">
        <v>2026</v>
      </c>
    </row>
    <row r="161" spans="1:14">
      <c r="A161" s="28">
        <v>160</v>
      </c>
      <c r="B161" s="60" t="s">
        <v>35</v>
      </c>
      <c r="C161" s="60" t="s">
        <v>37</v>
      </c>
      <c r="D161" s="28" t="s">
        <v>19</v>
      </c>
      <c r="E161" s="60" t="s">
        <v>86</v>
      </c>
      <c r="F161" s="28"/>
      <c r="G161" s="60" t="s">
        <v>87</v>
      </c>
      <c r="H161" s="28" t="s">
        <v>90</v>
      </c>
      <c r="I161" s="56">
        <v>16668.918945945945</v>
      </c>
      <c r="J161" s="28" t="s">
        <v>14</v>
      </c>
      <c r="K161" s="51" t="s">
        <v>14</v>
      </c>
      <c r="L161" s="28" t="s">
        <v>14</v>
      </c>
      <c r="M161" s="28" t="s">
        <v>311</v>
      </c>
      <c r="N161" s="28">
        <v>2026</v>
      </c>
    </row>
    <row r="162" spans="1:14">
      <c r="A162" s="28">
        <v>161</v>
      </c>
      <c r="B162" s="28" t="s">
        <v>42</v>
      </c>
      <c r="C162" s="91" t="s">
        <v>44</v>
      </c>
      <c r="D162" s="28" t="s">
        <v>19</v>
      </c>
      <c r="E162" s="60" t="s">
        <v>86</v>
      </c>
      <c r="F162" s="28"/>
      <c r="G162" s="28" t="s">
        <v>87</v>
      </c>
      <c r="H162" s="28" t="s">
        <v>90</v>
      </c>
      <c r="I162" s="56">
        <v>12132.016587837838</v>
      </c>
      <c r="J162" s="28" t="s">
        <v>14</v>
      </c>
      <c r="K162" s="51" t="s">
        <v>14</v>
      </c>
      <c r="L162" s="28" t="s">
        <v>14</v>
      </c>
      <c r="M162" s="28" t="s">
        <v>311</v>
      </c>
      <c r="N162" s="28">
        <v>2026</v>
      </c>
    </row>
    <row r="163" spans="1:14">
      <c r="A163" s="28">
        <v>162</v>
      </c>
      <c r="B163" s="28" t="s">
        <v>42</v>
      </c>
      <c r="C163" s="28" t="s">
        <v>45</v>
      </c>
      <c r="D163" s="28" t="s">
        <v>19</v>
      </c>
      <c r="E163" s="60" t="s">
        <v>86</v>
      </c>
      <c r="F163" s="28"/>
      <c r="G163" s="28" t="s">
        <v>87</v>
      </c>
      <c r="H163" s="28" t="s">
        <v>90</v>
      </c>
      <c r="I163" s="56">
        <v>21791.320216216216</v>
      </c>
      <c r="J163" s="28" t="s">
        <v>14</v>
      </c>
      <c r="K163" s="51" t="s">
        <v>14</v>
      </c>
      <c r="L163" s="28" t="s">
        <v>14</v>
      </c>
      <c r="M163" s="28" t="s">
        <v>311</v>
      </c>
      <c r="N163" s="28">
        <v>2026</v>
      </c>
    </row>
    <row r="164" spans="1:14">
      <c r="A164" s="28">
        <v>163</v>
      </c>
      <c r="B164" s="28" t="s">
        <v>33</v>
      </c>
      <c r="C164" s="91" t="s">
        <v>34</v>
      </c>
      <c r="D164" s="28" t="s">
        <v>19</v>
      </c>
      <c r="E164" s="60" t="s">
        <v>86</v>
      </c>
      <c r="F164" s="28"/>
      <c r="G164" s="28" t="s">
        <v>87</v>
      </c>
      <c r="H164" s="28" t="s">
        <v>90</v>
      </c>
      <c r="I164" s="56">
        <v>23937.162358108108</v>
      </c>
      <c r="J164" s="28" t="s">
        <v>14</v>
      </c>
      <c r="K164" s="51" t="s">
        <v>14</v>
      </c>
      <c r="L164" s="28" t="s">
        <v>14</v>
      </c>
      <c r="M164" s="28" t="s">
        <v>311</v>
      </c>
      <c r="N164" s="28">
        <v>2026</v>
      </c>
    </row>
    <row r="165" spans="1:14">
      <c r="A165" s="28">
        <v>164</v>
      </c>
      <c r="B165" s="28" t="s">
        <v>52</v>
      </c>
      <c r="C165" s="28" t="s">
        <v>62</v>
      </c>
      <c r="D165" s="28" t="s">
        <v>19</v>
      </c>
      <c r="E165" s="60" t="s">
        <v>86</v>
      </c>
      <c r="F165" s="28"/>
      <c r="G165" s="28" t="s">
        <v>87</v>
      </c>
      <c r="H165" s="28" t="s">
        <v>90</v>
      </c>
      <c r="I165" s="56">
        <v>91213.77898648649</v>
      </c>
      <c r="J165" s="28" t="s">
        <v>14</v>
      </c>
      <c r="K165" s="51" t="s">
        <v>14</v>
      </c>
      <c r="L165" s="28" t="s">
        <v>14</v>
      </c>
      <c r="M165" s="28" t="s">
        <v>311</v>
      </c>
      <c r="N165" s="28">
        <v>2026</v>
      </c>
    </row>
    <row r="166" spans="1:14">
      <c r="A166" s="28">
        <v>165</v>
      </c>
      <c r="B166" s="28" t="s">
        <v>58</v>
      </c>
      <c r="C166" s="91" t="s">
        <v>59</v>
      </c>
      <c r="D166" s="28" t="s">
        <v>19</v>
      </c>
      <c r="E166" s="60" t="s">
        <v>86</v>
      </c>
      <c r="F166" s="28"/>
      <c r="G166" s="28" t="s">
        <v>87</v>
      </c>
      <c r="H166" s="28" t="s">
        <v>90</v>
      </c>
      <c r="I166" s="56">
        <v>4662.1622432432423</v>
      </c>
      <c r="J166" s="28" t="s">
        <v>14</v>
      </c>
      <c r="K166" s="51" t="s">
        <v>14</v>
      </c>
      <c r="L166" s="28" t="s">
        <v>14</v>
      </c>
      <c r="M166" s="28" t="s">
        <v>311</v>
      </c>
      <c r="N166" s="28">
        <v>2026</v>
      </c>
    </row>
    <row r="167" spans="1:14">
      <c r="A167" s="28">
        <v>166</v>
      </c>
      <c r="B167" s="28" t="s">
        <v>17</v>
      </c>
      <c r="C167" s="91" t="s">
        <v>22</v>
      </c>
      <c r="D167" s="28" t="s">
        <v>19</v>
      </c>
      <c r="E167" s="60" t="s">
        <v>86</v>
      </c>
      <c r="F167" s="28"/>
      <c r="G167" s="28" t="s">
        <v>87</v>
      </c>
      <c r="H167" s="28" t="s">
        <v>90</v>
      </c>
      <c r="I167" s="56">
        <v>4716.7359864864866</v>
      </c>
      <c r="J167" s="28" t="s">
        <v>14</v>
      </c>
      <c r="K167" s="51" t="s">
        <v>14</v>
      </c>
      <c r="L167" s="28" t="s">
        <v>14</v>
      </c>
      <c r="M167" s="28" t="s">
        <v>311</v>
      </c>
      <c r="N167" s="28">
        <v>2026</v>
      </c>
    </row>
    <row r="168" spans="1:14">
      <c r="A168" s="28">
        <v>167</v>
      </c>
      <c r="B168" s="28" t="s">
        <v>42</v>
      </c>
      <c r="C168" s="28" t="s">
        <v>46</v>
      </c>
      <c r="D168" s="28" t="s">
        <v>19</v>
      </c>
      <c r="E168" s="60" t="s">
        <v>86</v>
      </c>
      <c r="F168" s="28"/>
      <c r="G168" s="28" t="s">
        <v>87</v>
      </c>
      <c r="H168" s="28" t="s">
        <v>90</v>
      </c>
      <c r="I168" s="56">
        <v>15007.796310810811</v>
      </c>
      <c r="J168" s="28" t="s">
        <v>14</v>
      </c>
      <c r="K168" s="51" t="s">
        <v>14</v>
      </c>
      <c r="L168" s="28" t="s">
        <v>14</v>
      </c>
      <c r="M168" s="28" t="s">
        <v>311</v>
      </c>
      <c r="N168" s="28">
        <v>2026</v>
      </c>
    </row>
    <row r="169" spans="1:14">
      <c r="A169" s="28">
        <v>168</v>
      </c>
      <c r="B169" s="28" t="s">
        <v>35</v>
      </c>
      <c r="C169" s="28" t="s">
        <v>39</v>
      </c>
      <c r="D169" s="28" t="s">
        <v>19</v>
      </c>
      <c r="E169" s="28" t="s">
        <v>86</v>
      </c>
      <c r="F169" s="28"/>
      <c r="G169" s="28" t="s">
        <v>87</v>
      </c>
      <c r="H169" s="28" t="s">
        <v>90</v>
      </c>
      <c r="I169" s="56">
        <v>1689.1891891891892</v>
      </c>
      <c r="J169" s="28" t="s">
        <v>14</v>
      </c>
      <c r="K169" s="51" t="s">
        <v>14</v>
      </c>
      <c r="L169" s="28" t="s">
        <v>14</v>
      </c>
      <c r="M169" s="28" t="s">
        <v>311</v>
      </c>
      <c r="N169" s="28">
        <v>2026</v>
      </c>
    </row>
    <row r="170" spans="1:14">
      <c r="A170" s="28">
        <v>169</v>
      </c>
      <c r="B170" s="28" t="s">
        <v>35</v>
      </c>
      <c r="C170" s="28" t="s">
        <v>41</v>
      </c>
      <c r="D170" s="28" t="s">
        <v>19</v>
      </c>
      <c r="E170" s="28" t="s">
        <v>86</v>
      </c>
      <c r="F170" s="28"/>
      <c r="G170" s="28" t="s">
        <v>87</v>
      </c>
      <c r="H170" s="28" t="s">
        <v>90</v>
      </c>
      <c r="I170" s="56">
        <v>1756.7567567567567</v>
      </c>
      <c r="J170" s="28" t="s">
        <v>14</v>
      </c>
      <c r="K170" s="51" t="s">
        <v>14</v>
      </c>
      <c r="L170" s="28" t="s">
        <v>14</v>
      </c>
      <c r="M170" s="28" t="s">
        <v>311</v>
      </c>
      <c r="N170" s="28">
        <v>2026</v>
      </c>
    </row>
    <row r="171" spans="1:14">
      <c r="A171" s="28">
        <v>170</v>
      </c>
      <c r="B171" s="28" t="s">
        <v>42</v>
      </c>
      <c r="C171" s="28" t="s">
        <v>47</v>
      </c>
      <c r="D171" s="28" t="s">
        <v>19</v>
      </c>
      <c r="E171" s="28" t="s">
        <v>86</v>
      </c>
      <c r="F171" s="28"/>
      <c r="G171" s="28" t="s">
        <v>87</v>
      </c>
      <c r="H171" s="28" t="s">
        <v>90</v>
      </c>
      <c r="I171" s="56">
        <v>8264.0332972972974</v>
      </c>
      <c r="J171" s="28" t="s">
        <v>14</v>
      </c>
      <c r="K171" s="51" t="s">
        <v>14</v>
      </c>
      <c r="L171" s="28" t="s">
        <v>14</v>
      </c>
      <c r="M171" s="28" t="s">
        <v>311</v>
      </c>
      <c r="N171" s="28">
        <v>2026</v>
      </c>
    </row>
    <row r="172" spans="1:14">
      <c r="A172" s="28">
        <v>171</v>
      </c>
      <c r="B172" s="28" t="s">
        <v>17</v>
      </c>
      <c r="C172" s="28" t="s">
        <v>272</v>
      </c>
      <c r="D172" s="28" t="s">
        <v>19</v>
      </c>
      <c r="E172" s="28" t="s">
        <v>86</v>
      </c>
      <c r="F172" s="28"/>
      <c r="G172" s="28" t="s">
        <v>87</v>
      </c>
      <c r="H172" s="28" t="s">
        <v>90</v>
      </c>
      <c r="I172" s="56">
        <v>11464.137243243244</v>
      </c>
      <c r="J172" s="28" t="s">
        <v>14</v>
      </c>
      <c r="K172" s="51" t="s">
        <v>14</v>
      </c>
      <c r="L172" s="28" t="s">
        <v>14</v>
      </c>
      <c r="M172" s="28" t="s">
        <v>311</v>
      </c>
      <c r="N172" s="28">
        <v>2026</v>
      </c>
    </row>
    <row r="173" spans="1:14">
      <c r="A173" s="28">
        <v>172</v>
      </c>
      <c r="B173" s="28" t="s">
        <v>42</v>
      </c>
      <c r="C173" s="28" t="s">
        <v>263</v>
      </c>
      <c r="D173" s="28" t="s">
        <v>19</v>
      </c>
      <c r="E173" s="28" t="s">
        <v>86</v>
      </c>
      <c r="F173" s="28"/>
      <c r="G173" s="28" t="s">
        <v>87</v>
      </c>
      <c r="H173" s="28" t="s">
        <v>90</v>
      </c>
      <c r="I173" s="56">
        <v>22871.157918918918</v>
      </c>
      <c r="J173" s="28" t="s">
        <v>14</v>
      </c>
      <c r="K173" s="51" t="s">
        <v>14</v>
      </c>
      <c r="L173" s="28" t="s">
        <v>14</v>
      </c>
      <c r="M173" s="28" t="s">
        <v>311</v>
      </c>
      <c r="N173" s="28">
        <v>2026</v>
      </c>
    </row>
    <row r="174" spans="1:14">
      <c r="A174" s="28">
        <v>173</v>
      </c>
      <c r="B174" s="28" t="s">
        <v>42</v>
      </c>
      <c r="C174" s="28" t="s">
        <v>50</v>
      </c>
      <c r="D174" s="28" t="s">
        <v>19</v>
      </c>
      <c r="E174" s="28" t="s">
        <v>86</v>
      </c>
      <c r="F174" s="28"/>
      <c r="G174" s="28" t="s">
        <v>87</v>
      </c>
      <c r="H174" s="28" t="s">
        <v>90</v>
      </c>
      <c r="I174" s="56">
        <v>20392.463655405405</v>
      </c>
      <c r="J174" s="28" t="s">
        <v>14</v>
      </c>
      <c r="K174" s="51" t="s">
        <v>14</v>
      </c>
      <c r="L174" s="28" t="s">
        <v>14</v>
      </c>
      <c r="M174" s="28" t="s">
        <v>311</v>
      </c>
      <c r="N174" s="28">
        <v>2026</v>
      </c>
    </row>
    <row r="175" spans="1:14">
      <c r="A175" s="28">
        <v>174</v>
      </c>
      <c r="B175" s="28" t="s">
        <v>42</v>
      </c>
      <c r="C175" s="46" t="s">
        <v>49</v>
      </c>
      <c r="D175" s="28" t="s">
        <v>19</v>
      </c>
      <c r="E175" s="28" t="s">
        <v>86</v>
      </c>
      <c r="F175" s="28"/>
      <c r="G175" s="28" t="s">
        <v>87</v>
      </c>
      <c r="H175" s="28" t="s">
        <v>90</v>
      </c>
      <c r="I175" s="56">
        <v>1756.7567567567567</v>
      </c>
      <c r="J175" s="28" t="s">
        <v>14</v>
      </c>
      <c r="K175" s="51" t="s">
        <v>14</v>
      </c>
      <c r="L175" s="28" t="s">
        <v>14</v>
      </c>
      <c r="M175" s="28" t="s">
        <v>311</v>
      </c>
      <c r="N175" s="28">
        <v>2026</v>
      </c>
    </row>
    <row r="176" spans="1:14">
      <c r="A176" s="28">
        <v>175</v>
      </c>
      <c r="B176" s="28" t="s">
        <v>42</v>
      </c>
      <c r="C176" s="28" t="s">
        <v>51</v>
      </c>
      <c r="D176" s="28" t="s">
        <v>19</v>
      </c>
      <c r="E176" s="28" t="s">
        <v>86</v>
      </c>
      <c r="F176" s="28"/>
      <c r="G176" s="28" t="s">
        <v>87</v>
      </c>
      <c r="H176" s="28" t="s">
        <v>90</v>
      </c>
      <c r="I176" s="56">
        <v>1689.1891891891892</v>
      </c>
      <c r="J176" s="28" t="s">
        <v>14</v>
      </c>
      <c r="K176" s="51" t="s">
        <v>14</v>
      </c>
      <c r="L176" s="28" t="s">
        <v>14</v>
      </c>
      <c r="M176" s="28" t="s">
        <v>311</v>
      </c>
      <c r="N176" s="28">
        <v>2026</v>
      </c>
    </row>
    <row r="177" spans="1:14">
      <c r="A177" s="28">
        <v>176</v>
      </c>
      <c r="B177" s="28" t="s">
        <v>17</v>
      </c>
      <c r="C177" s="28" t="s">
        <v>25</v>
      </c>
      <c r="D177" s="28" t="s">
        <v>19</v>
      </c>
      <c r="E177" s="28" t="s">
        <v>86</v>
      </c>
      <c r="F177" s="28"/>
      <c r="G177" s="28" t="s">
        <v>87</v>
      </c>
      <c r="H177" s="28" t="s">
        <v>90</v>
      </c>
      <c r="I177" s="56">
        <v>12755.249527027028</v>
      </c>
      <c r="J177" s="28" t="s">
        <v>14</v>
      </c>
      <c r="K177" s="51" t="s">
        <v>14</v>
      </c>
      <c r="L177" s="28" t="s">
        <v>14</v>
      </c>
      <c r="M177" s="28" t="s">
        <v>311</v>
      </c>
      <c r="N177" s="28">
        <v>2026</v>
      </c>
    </row>
    <row r="178" spans="1:14">
      <c r="A178" s="28">
        <v>177</v>
      </c>
      <c r="B178" s="28" t="s">
        <v>17</v>
      </c>
      <c r="C178" s="28" t="s">
        <v>26</v>
      </c>
      <c r="D178" s="28" t="s">
        <v>19</v>
      </c>
      <c r="E178" s="28" t="s">
        <v>86</v>
      </c>
      <c r="F178" s="28"/>
      <c r="G178" s="28" t="s">
        <v>87</v>
      </c>
      <c r="H178" s="28" t="s">
        <v>90</v>
      </c>
      <c r="I178" s="56">
        <v>532.74428378378377</v>
      </c>
      <c r="J178" s="28" t="s">
        <v>14</v>
      </c>
      <c r="K178" s="51" t="s">
        <v>14</v>
      </c>
      <c r="L178" s="28" t="s">
        <v>14</v>
      </c>
      <c r="M178" s="28" t="s">
        <v>311</v>
      </c>
      <c r="N178" s="28">
        <v>2026</v>
      </c>
    </row>
    <row r="179" spans="1:14">
      <c r="A179" s="28">
        <v>178</v>
      </c>
      <c r="B179" s="28" t="s">
        <v>52</v>
      </c>
      <c r="C179" s="28" t="s">
        <v>62</v>
      </c>
      <c r="D179" s="28" t="s">
        <v>60</v>
      </c>
      <c r="E179" s="28" t="s">
        <v>86</v>
      </c>
      <c r="F179" s="28"/>
      <c r="G179" s="28" t="s">
        <v>413</v>
      </c>
      <c r="H179" s="28" t="s">
        <v>261</v>
      </c>
      <c r="I179" s="56">
        <v>4800</v>
      </c>
      <c r="J179" s="28" t="s">
        <v>414</v>
      </c>
      <c r="K179" s="51">
        <v>46040</v>
      </c>
      <c r="L179" s="28" t="s">
        <v>14</v>
      </c>
      <c r="M179" s="28" t="s">
        <v>311</v>
      </c>
      <c r="N179" s="28">
        <v>2026</v>
      </c>
    </row>
    <row r="180" spans="1:14">
      <c r="A180" s="28">
        <v>179</v>
      </c>
      <c r="B180" s="28" t="s">
        <v>52</v>
      </c>
      <c r="C180" s="91" t="s">
        <v>62</v>
      </c>
      <c r="D180" s="28" t="s">
        <v>60</v>
      </c>
      <c r="E180" s="28" t="s">
        <v>86</v>
      </c>
      <c r="F180" s="28"/>
      <c r="G180" s="28" t="s">
        <v>413</v>
      </c>
      <c r="H180" s="28" t="s">
        <v>261</v>
      </c>
      <c r="I180" s="56">
        <v>5100</v>
      </c>
      <c r="J180" s="28" t="s">
        <v>415</v>
      </c>
      <c r="K180" s="51">
        <v>46040</v>
      </c>
      <c r="L180" s="28" t="s">
        <v>14</v>
      </c>
      <c r="M180" s="28" t="s">
        <v>311</v>
      </c>
      <c r="N180" s="28">
        <v>2026</v>
      </c>
    </row>
    <row r="181" spans="1:14">
      <c r="A181" s="28">
        <v>180</v>
      </c>
      <c r="B181" s="28" t="s">
        <v>17</v>
      </c>
      <c r="C181" s="93" t="s">
        <v>22</v>
      </c>
      <c r="D181" s="28" t="s">
        <v>60</v>
      </c>
      <c r="E181" s="28" t="s">
        <v>71</v>
      </c>
      <c r="F181" s="28"/>
      <c r="G181" s="28" t="s">
        <v>115</v>
      </c>
      <c r="H181" s="52" t="s">
        <v>116</v>
      </c>
      <c r="I181" s="53">
        <v>1898.6486486486488</v>
      </c>
      <c r="J181" s="28" t="s">
        <v>677</v>
      </c>
      <c r="K181" s="51">
        <v>46021</v>
      </c>
      <c r="L181" s="72">
        <v>2026400028</v>
      </c>
      <c r="M181" s="28" t="s">
        <v>311</v>
      </c>
      <c r="N181" s="28">
        <v>2026</v>
      </c>
    </row>
    <row r="182" spans="1:14">
      <c r="A182" s="28">
        <v>181</v>
      </c>
      <c r="B182" s="28" t="s">
        <v>42</v>
      </c>
      <c r="C182" s="28" t="s">
        <v>50</v>
      </c>
      <c r="D182" s="28" t="s">
        <v>60</v>
      </c>
      <c r="E182" s="28" t="s">
        <v>71</v>
      </c>
      <c r="F182" s="28"/>
      <c r="G182" s="28" t="s">
        <v>115</v>
      </c>
      <c r="H182" s="52" t="s">
        <v>116</v>
      </c>
      <c r="I182" s="56">
        <v>405.40540540540542</v>
      </c>
      <c r="J182" s="28" t="s">
        <v>694</v>
      </c>
      <c r="K182" s="51">
        <v>46020</v>
      </c>
      <c r="L182" s="28">
        <v>2026400217</v>
      </c>
      <c r="M182" s="28" t="s">
        <v>311</v>
      </c>
      <c r="N182" s="28">
        <v>2026</v>
      </c>
    </row>
    <row r="183" spans="1:14">
      <c r="A183" s="28">
        <v>182</v>
      </c>
      <c r="B183" s="28" t="s">
        <v>285</v>
      </c>
      <c r="C183" s="51" t="s">
        <v>286</v>
      </c>
      <c r="D183" s="28" t="s">
        <v>60</v>
      </c>
      <c r="E183" s="28" t="s">
        <v>71</v>
      </c>
      <c r="F183" s="28"/>
      <c r="G183" s="28" t="s">
        <v>667</v>
      </c>
      <c r="H183" s="52" t="s">
        <v>117</v>
      </c>
      <c r="I183" s="53">
        <v>287.16216216216219</v>
      </c>
      <c r="J183" s="28" t="s">
        <v>717</v>
      </c>
      <c r="K183" s="51">
        <v>46047</v>
      </c>
      <c r="L183" s="54">
        <v>2026400366</v>
      </c>
      <c r="M183" s="28" t="s">
        <v>311</v>
      </c>
      <c r="N183" s="28">
        <v>2026</v>
      </c>
    </row>
    <row r="184" spans="1:14">
      <c r="A184" s="28">
        <v>183</v>
      </c>
      <c r="B184" s="28" t="s">
        <v>54</v>
      </c>
      <c r="C184" s="91" t="s">
        <v>55</v>
      </c>
      <c r="D184" s="28" t="s">
        <v>60</v>
      </c>
      <c r="E184" s="28" t="s">
        <v>71</v>
      </c>
      <c r="F184" s="28"/>
      <c r="G184" s="28" t="s">
        <v>233</v>
      </c>
      <c r="H184" s="122" t="s">
        <v>732</v>
      </c>
      <c r="I184" s="49">
        <v>320.94594594594594</v>
      </c>
      <c r="J184" s="28" t="s">
        <v>698</v>
      </c>
      <c r="K184" s="51">
        <v>46042</v>
      </c>
      <c r="L184" s="28">
        <v>2026400263</v>
      </c>
      <c r="M184" s="28" t="s">
        <v>311</v>
      </c>
      <c r="N184" s="28">
        <v>2026</v>
      </c>
    </row>
    <row r="185" spans="1:14">
      <c r="A185" s="28">
        <v>184</v>
      </c>
      <c r="B185" s="28" t="s">
        <v>285</v>
      </c>
      <c r="C185" s="28" t="s">
        <v>286</v>
      </c>
      <c r="D185" s="28" t="s">
        <v>60</v>
      </c>
      <c r="E185" s="28" t="s">
        <v>71</v>
      </c>
      <c r="F185" s="28"/>
      <c r="G185" s="28" t="s">
        <v>666</v>
      </c>
      <c r="H185" s="28" t="s">
        <v>117</v>
      </c>
      <c r="I185" s="53">
        <v>878.37837837837833</v>
      </c>
      <c r="J185" s="28" t="s">
        <v>716</v>
      </c>
      <c r="K185" s="51">
        <v>46047</v>
      </c>
      <c r="L185" s="54">
        <v>2026400365</v>
      </c>
      <c r="M185" s="28" t="s">
        <v>311</v>
      </c>
      <c r="N185" s="28">
        <v>2026</v>
      </c>
    </row>
    <row r="186" spans="1:14">
      <c r="A186" s="28">
        <v>185</v>
      </c>
      <c r="B186" s="28" t="s">
        <v>42</v>
      </c>
      <c r="C186" s="93" t="s">
        <v>263</v>
      </c>
      <c r="D186" s="28" t="s">
        <v>60</v>
      </c>
      <c r="E186" s="28" t="s">
        <v>71</v>
      </c>
      <c r="F186" s="28"/>
      <c r="G186" s="28" t="s">
        <v>658</v>
      </c>
      <c r="H186" s="52" t="s">
        <v>117</v>
      </c>
      <c r="I186" s="53">
        <v>1418.918918918919</v>
      </c>
      <c r="J186" s="28" t="s">
        <v>681</v>
      </c>
      <c r="K186" s="51">
        <v>46034</v>
      </c>
      <c r="L186" s="72">
        <v>2026400016</v>
      </c>
      <c r="M186" s="28" t="s">
        <v>311</v>
      </c>
      <c r="N186" s="28">
        <v>2026</v>
      </c>
    </row>
    <row r="187" spans="1:14">
      <c r="A187" s="28">
        <v>186</v>
      </c>
      <c r="B187" s="28" t="s">
        <v>285</v>
      </c>
      <c r="C187" s="51" t="s">
        <v>286</v>
      </c>
      <c r="D187" s="28" t="s">
        <v>60</v>
      </c>
      <c r="E187" s="28" t="s">
        <v>71</v>
      </c>
      <c r="F187" s="28"/>
      <c r="G187" s="28" t="s">
        <v>668</v>
      </c>
      <c r="H187" s="52" t="s">
        <v>117</v>
      </c>
      <c r="I187" s="53">
        <v>367.56756756756755</v>
      </c>
      <c r="J187" s="28" t="s">
        <v>718</v>
      </c>
      <c r="K187" s="51">
        <v>46047</v>
      </c>
      <c r="L187" s="54">
        <v>2026400367</v>
      </c>
      <c r="M187" s="28" t="s">
        <v>311</v>
      </c>
      <c r="N187" s="28">
        <v>2026</v>
      </c>
    </row>
    <row r="188" spans="1:14">
      <c r="A188" s="28">
        <v>187</v>
      </c>
      <c r="B188" s="28" t="s">
        <v>54</v>
      </c>
      <c r="C188" s="91" t="s">
        <v>55</v>
      </c>
      <c r="D188" s="28" t="s">
        <v>60</v>
      </c>
      <c r="E188" s="28" t="s">
        <v>71</v>
      </c>
      <c r="F188" s="28"/>
      <c r="G188" s="28" t="s">
        <v>671</v>
      </c>
      <c r="H188" s="28" t="s">
        <v>117</v>
      </c>
      <c r="I188" s="56">
        <v>1385.1351351351352</v>
      </c>
      <c r="J188" s="28" t="s">
        <v>724</v>
      </c>
      <c r="K188" s="51">
        <v>46032</v>
      </c>
      <c r="L188" s="28">
        <v>2026400243</v>
      </c>
      <c r="M188" s="28" t="s">
        <v>311</v>
      </c>
      <c r="N188" s="28">
        <v>2026</v>
      </c>
    </row>
    <row r="189" spans="1:14">
      <c r="A189" s="28">
        <v>188</v>
      </c>
      <c r="B189" s="48" t="s">
        <v>54</v>
      </c>
      <c r="C189" s="48" t="s">
        <v>55</v>
      </c>
      <c r="D189" s="28" t="s">
        <v>60</v>
      </c>
      <c r="E189" s="28" t="s">
        <v>71</v>
      </c>
      <c r="F189" s="28"/>
      <c r="G189" s="48" t="s">
        <v>671</v>
      </c>
      <c r="H189" s="48" t="s">
        <v>117</v>
      </c>
      <c r="I189" s="56">
        <v>94.594594594594597</v>
      </c>
      <c r="J189" s="28" t="s">
        <v>725</v>
      </c>
      <c r="K189" s="51">
        <v>46032</v>
      </c>
      <c r="L189" s="28">
        <v>2026400243</v>
      </c>
      <c r="M189" s="28" t="s">
        <v>311</v>
      </c>
      <c r="N189" s="28">
        <v>2026</v>
      </c>
    </row>
    <row r="190" spans="1:14">
      <c r="A190" s="28">
        <v>189</v>
      </c>
      <c r="B190" s="48" t="s">
        <v>35</v>
      </c>
      <c r="C190" s="91" t="s">
        <v>37</v>
      </c>
      <c r="D190" s="28" t="s">
        <v>60</v>
      </c>
      <c r="E190" s="28" t="s">
        <v>71</v>
      </c>
      <c r="F190" s="28"/>
      <c r="G190" s="48" t="s">
        <v>663</v>
      </c>
      <c r="H190" s="28" t="s">
        <v>117</v>
      </c>
      <c r="I190" s="49">
        <v>6486.4864864864867</v>
      </c>
      <c r="J190" s="28" t="s">
        <v>704</v>
      </c>
      <c r="K190" s="51">
        <v>46042</v>
      </c>
      <c r="L190" s="28">
        <v>2026400291</v>
      </c>
      <c r="M190" s="28" t="s">
        <v>311</v>
      </c>
      <c r="N190" s="28">
        <v>2026</v>
      </c>
    </row>
    <row r="191" spans="1:14">
      <c r="A191" s="28">
        <v>190</v>
      </c>
      <c r="B191" s="28" t="s">
        <v>17</v>
      </c>
      <c r="C191" s="93" t="s">
        <v>22</v>
      </c>
      <c r="D191" s="28" t="s">
        <v>60</v>
      </c>
      <c r="E191" s="28" t="s">
        <v>71</v>
      </c>
      <c r="F191" s="28"/>
      <c r="G191" s="28" t="s">
        <v>260</v>
      </c>
      <c r="H191" s="52" t="s">
        <v>117</v>
      </c>
      <c r="I191" s="53">
        <v>3648.6486486486488</v>
      </c>
      <c r="J191" s="28" t="s">
        <v>678</v>
      </c>
      <c r="K191" s="51">
        <v>46029</v>
      </c>
      <c r="L191" s="72">
        <v>2026400084</v>
      </c>
      <c r="M191" s="28" t="s">
        <v>311</v>
      </c>
      <c r="N191" s="28">
        <v>2026</v>
      </c>
    </row>
    <row r="192" spans="1:14">
      <c r="A192" s="28">
        <v>191</v>
      </c>
      <c r="B192" s="28" t="s">
        <v>17</v>
      </c>
      <c r="C192" s="93" t="s">
        <v>22</v>
      </c>
      <c r="D192" s="28" t="s">
        <v>60</v>
      </c>
      <c r="E192" s="28" t="s">
        <v>71</v>
      </c>
      <c r="F192" s="28"/>
      <c r="G192" s="28" t="s">
        <v>260</v>
      </c>
      <c r="H192" s="52" t="s">
        <v>117</v>
      </c>
      <c r="I192" s="53">
        <v>506.75675675675677</v>
      </c>
      <c r="J192" s="28" t="s">
        <v>682</v>
      </c>
      <c r="K192" s="51">
        <v>46029</v>
      </c>
      <c r="L192" s="72">
        <v>2026400113</v>
      </c>
      <c r="M192" s="28" t="s">
        <v>311</v>
      </c>
      <c r="N192" s="28">
        <v>2026</v>
      </c>
    </row>
    <row r="193" spans="1:14">
      <c r="A193" s="28">
        <v>192</v>
      </c>
      <c r="B193" s="48" t="s">
        <v>17</v>
      </c>
      <c r="C193" s="91" t="s">
        <v>24</v>
      </c>
      <c r="D193" s="28" t="s">
        <v>60</v>
      </c>
      <c r="E193" s="28" t="s">
        <v>71</v>
      </c>
      <c r="F193" s="28"/>
      <c r="G193" s="48" t="s">
        <v>419</v>
      </c>
      <c r="H193" s="28" t="s">
        <v>117</v>
      </c>
      <c r="I193" s="49">
        <v>2280.4054054054054</v>
      </c>
      <c r="J193" s="28" t="s">
        <v>705</v>
      </c>
      <c r="K193" s="51">
        <v>46053</v>
      </c>
      <c r="L193" s="28">
        <v>2026400110</v>
      </c>
      <c r="M193" s="28" t="s">
        <v>311</v>
      </c>
      <c r="N193" s="28">
        <v>2026</v>
      </c>
    </row>
    <row r="194" spans="1:14">
      <c r="A194" s="28">
        <v>193</v>
      </c>
      <c r="B194" s="28" t="s">
        <v>17</v>
      </c>
      <c r="C194" s="93" t="s">
        <v>25</v>
      </c>
      <c r="D194" s="28" t="s">
        <v>60</v>
      </c>
      <c r="E194" s="28" t="s">
        <v>71</v>
      </c>
      <c r="F194" s="28"/>
      <c r="G194" s="28" t="s">
        <v>118</v>
      </c>
      <c r="H194" s="28" t="s">
        <v>281</v>
      </c>
      <c r="I194" s="53">
        <v>1474.5</v>
      </c>
      <c r="J194" s="28" t="s">
        <v>465</v>
      </c>
      <c r="K194" s="51">
        <v>46384</v>
      </c>
      <c r="L194" s="72">
        <v>2025404777</v>
      </c>
      <c r="M194" s="28" t="s">
        <v>311</v>
      </c>
      <c r="N194" s="28">
        <v>2026</v>
      </c>
    </row>
    <row r="195" spans="1:14">
      <c r="A195" s="28">
        <v>194</v>
      </c>
      <c r="B195" s="28" t="s">
        <v>17</v>
      </c>
      <c r="C195" s="28" t="s">
        <v>25</v>
      </c>
      <c r="D195" s="28" t="s">
        <v>60</v>
      </c>
      <c r="E195" s="28" t="s">
        <v>71</v>
      </c>
      <c r="F195" s="28"/>
      <c r="G195" s="28" t="s">
        <v>118</v>
      </c>
      <c r="H195" s="28" t="s">
        <v>281</v>
      </c>
      <c r="I195" s="56">
        <v>620.79999999999995</v>
      </c>
      <c r="J195" s="28" t="s">
        <v>466</v>
      </c>
      <c r="K195" s="51">
        <v>46026</v>
      </c>
      <c r="L195" s="28">
        <v>2025404861</v>
      </c>
      <c r="M195" s="28" t="s">
        <v>311</v>
      </c>
      <c r="N195" s="28">
        <v>2026</v>
      </c>
    </row>
    <row r="196" spans="1:14">
      <c r="A196" s="28">
        <v>195</v>
      </c>
      <c r="B196" s="28" t="s">
        <v>42</v>
      </c>
      <c r="C196" s="28" t="s">
        <v>263</v>
      </c>
      <c r="D196" s="28" t="s">
        <v>60</v>
      </c>
      <c r="E196" s="28" t="s">
        <v>71</v>
      </c>
      <c r="F196" s="28"/>
      <c r="G196" s="28" t="s">
        <v>118</v>
      </c>
      <c r="H196" s="28" t="s">
        <v>281</v>
      </c>
      <c r="I196" s="56">
        <v>44950</v>
      </c>
      <c r="J196" s="28" t="s">
        <v>469</v>
      </c>
      <c r="K196" s="51">
        <v>46027</v>
      </c>
      <c r="L196" s="28">
        <v>2025404800</v>
      </c>
      <c r="M196" s="28" t="s">
        <v>311</v>
      </c>
      <c r="N196" s="28">
        <v>2026</v>
      </c>
    </row>
    <row r="197" spans="1:14">
      <c r="A197" s="28">
        <v>196</v>
      </c>
      <c r="B197" s="28" t="s">
        <v>52</v>
      </c>
      <c r="C197" s="51" t="s">
        <v>62</v>
      </c>
      <c r="D197" s="28" t="s">
        <v>60</v>
      </c>
      <c r="E197" s="28" t="s">
        <v>71</v>
      </c>
      <c r="F197" s="28"/>
      <c r="G197" s="28" t="s">
        <v>118</v>
      </c>
      <c r="H197" s="52" t="s">
        <v>281</v>
      </c>
      <c r="I197" s="53">
        <v>3402</v>
      </c>
      <c r="J197" s="28" t="s">
        <v>471</v>
      </c>
      <c r="K197" s="51">
        <v>46027</v>
      </c>
      <c r="L197" s="72">
        <v>2025404836</v>
      </c>
      <c r="M197" s="28" t="s">
        <v>311</v>
      </c>
      <c r="N197" s="28">
        <v>2026</v>
      </c>
    </row>
    <row r="198" spans="1:14">
      <c r="A198" s="28">
        <v>197</v>
      </c>
      <c r="B198" s="28" t="s">
        <v>52</v>
      </c>
      <c r="C198" s="51" t="s">
        <v>62</v>
      </c>
      <c r="D198" s="28" t="s">
        <v>60</v>
      </c>
      <c r="E198" s="28" t="s">
        <v>71</v>
      </c>
      <c r="F198" s="28"/>
      <c r="G198" s="28" t="s">
        <v>118</v>
      </c>
      <c r="H198" s="52" t="s">
        <v>281</v>
      </c>
      <c r="I198" s="53">
        <v>2430</v>
      </c>
      <c r="J198" s="28" t="s">
        <v>472</v>
      </c>
      <c r="K198" s="51">
        <v>46027</v>
      </c>
      <c r="L198" s="72">
        <v>2025404833</v>
      </c>
      <c r="M198" s="28" t="s">
        <v>311</v>
      </c>
      <c r="N198" s="28">
        <v>2026</v>
      </c>
    </row>
    <row r="199" spans="1:14">
      <c r="A199" s="28">
        <v>198</v>
      </c>
      <c r="B199" s="28" t="s">
        <v>52</v>
      </c>
      <c r="C199" s="28" t="s">
        <v>62</v>
      </c>
      <c r="D199" s="28" t="s">
        <v>60</v>
      </c>
      <c r="E199" s="28" t="s">
        <v>71</v>
      </c>
      <c r="F199" s="28"/>
      <c r="G199" s="28" t="s">
        <v>118</v>
      </c>
      <c r="H199" s="52" t="s">
        <v>281</v>
      </c>
      <c r="I199" s="53">
        <v>5020.3</v>
      </c>
      <c r="J199" s="28" t="s">
        <v>473</v>
      </c>
      <c r="K199" s="51">
        <v>46027</v>
      </c>
      <c r="L199" s="54">
        <v>2025404831</v>
      </c>
      <c r="M199" s="28" t="s">
        <v>311</v>
      </c>
      <c r="N199" s="28">
        <v>2026</v>
      </c>
    </row>
    <row r="200" spans="1:14">
      <c r="A200" s="28">
        <v>199</v>
      </c>
      <c r="B200" s="28" t="s">
        <v>52</v>
      </c>
      <c r="C200" s="28" t="s">
        <v>62</v>
      </c>
      <c r="D200" s="28" t="s">
        <v>60</v>
      </c>
      <c r="E200" s="28" t="s">
        <v>71</v>
      </c>
      <c r="F200" s="28"/>
      <c r="G200" s="28" t="s">
        <v>118</v>
      </c>
      <c r="H200" s="52" t="s">
        <v>281</v>
      </c>
      <c r="I200" s="56">
        <v>33820</v>
      </c>
      <c r="J200" s="28" t="s">
        <v>477</v>
      </c>
      <c r="K200" s="51">
        <v>46029</v>
      </c>
      <c r="L200" s="54">
        <v>2025404294</v>
      </c>
      <c r="M200" s="28" t="s">
        <v>311</v>
      </c>
      <c r="N200" s="28">
        <v>2026</v>
      </c>
    </row>
    <row r="201" spans="1:14">
      <c r="A201" s="28">
        <v>200</v>
      </c>
      <c r="B201" s="28" t="s">
        <v>52</v>
      </c>
      <c r="C201" s="51" t="s">
        <v>62</v>
      </c>
      <c r="D201" s="28" t="s">
        <v>60</v>
      </c>
      <c r="E201" s="28" t="s">
        <v>71</v>
      </c>
      <c r="F201" s="28"/>
      <c r="G201" s="28" t="s">
        <v>118</v>
      </c>
      <c r="H201" s="52" t="s">
        <v>281</v>
      </c>
      <c r="I201" s="53">
        <v>501.8</v>
      </c>
      <c r="J201" s="28" t="s">
        <v>479</v>
      </c>
      <c r="K201" s="51">
        <v>46030</v>
      </c>
      <c r="L201" s="72">
        <v>2025404936</v>
      </c>
      <c r="M201" s="28" t="s">
        <v>311</v>
      </c>
      <c r="N201" s="28">
        <v>2026</v>
      </c>
    </row>
    <row r="202" spans="1:14">
      <c r="A202" s="28">
        <v>201</v>
      </c>
      <c r="B202" s="66" t="s">
        <v>42</v>
      </c>
      <c r="C202" s="28" t="s">
        <v>44</v>
      </c>
      <c r="D202" s="28" t="s">
        <v>60</v>
      </c>
      <c r="E202" s="28" t="s">
        <v>71</v>
      </c>
      <c r="F202" s="28"/>
      <c r="G202" s="28" t="s">
        <v>118</v>
      </c>
      <c r="H202" s="52" t="s">
        <v>281</v>
      </c>
      <c r="I202" s="56">
        <v>20150</v>
      </c>
      <c r="J202" s="28" t="s">
        <v>495</v>
      </c>
      <c r="K202" s="51">
        <v>46033</v>
      </c>
      <c r="L202" s="28">
        <v>2025404552</v>
      </c>
      <c r="M202" s="28" t="s">
        <v>311</v>
      </c>
      <c r="N202" s="28">
        <v>2026</v>
      </c>
    </row>
    <row r="203" spans="1:14">
      <c r="A203" s="28">
        <v>202</v>
      </c>
      <c r="B203" s="66" t="s">
        <v>17</v>
      </c>
      <c r="C203" s="91" t="s">
        <v>25</v>
      </c>
      <c r="D203" s="28" t="s">
        <v>60</v>
      </c>
      <c r="E203" s="60" t="s">
        <v>71</v>
      </c>
      <c r="F203" s="28"/>
      <c r="G203" s="28" t="s">
        <v>118</v>
      </c>
      <c r="H203" s="52" t="s">
        <v>281</v>
      </c>
      <c r="I203" s="56">
        <v>3100</v>
      </c>
      <c r="J203" s="28" t="s">
        <v>504</v>
      </c>
      <c r="K203" s="51">
        <v>46030</v>
      </c>
      <c r="L203" s="28">
        <v>2025404934</v>
      </c>
      <c r="M203" s="28" t="s">
        <v>311</v>
      </c>
      <c r="N203" s="28">
        <v>2026</v>
      </c>
    </row>
    <row r="204" spans="1:14">
      <c r="A204" s="28">
        <v>203</v>
      </c>
      <c r="B204" s="28" t="s">
        <v>42</v>
      </c>
      <c r="C204" s="28" t="s">
        <v>45</v>
      </c>
      <c r="D204" s="28" t="s">
        <v>60</v>
      </c>
      <c r="E204" s="28" t="s">
        <v>71</v>
      </c>
      <c r="F204" s="28"/>
      <c r="G204" s="28" t="s">
        <v>118</v>
      </c>
      <c r="H204" s="28" t="s">
        <v>281</v>
      </c>
      <c r="I204" s="49">
        <v>13550</v>
      </c>
      <c r="J204" s="28" t="s">
        <v>572</v>
      </c>
      <c r="K204" s="51">
        <v>46046</v>
      </c>
      <c r="L204" s="28">
        <v>2026400262</v>
      </c>
      <c r="M204" s="28" t="s">
        <v>311</v>
      </c>
      <c r="N204" s="28">
        <v>2026</v>
      </c>
    </row>
    <row r="205" spans="1:14">
      <c r="A205" s="28">
        <v>204</v>
      </c>
      <c r="B205" s="28" t="s">
        <v>42</v>
      </c>
      <c r="C205" s="28" t="s">
        <v>47</v>
      </c>
      <c r="D205" s="28" t="s">
        <v>60</v>
      </c>
      <c r="E205" s="28" t="s">
        <v>71</v>
      </c>
      <c r="F205" s="28"/>
      <c r="G205" s="28" t="s">
        <v>118</v>
      </c>
      <c r="H205" s="28" t="s">
        <v>281</v>
      </c>
      <c r="I205" s="53">
        <v>687.82</v>
      </c>
      <c r="J205" s="28" t="s">
        <v>654</v>
      </c>
      <c r="K205" s="51">
        <v>46041</v>
      </c>
      <c r="L205" s="72">
        <v>2026400205</v>
      </c>
      <c r="M205" s="28" t="s">
        <v>311</v>
      </c>
      <c r="N205" s="28">
        <v>2026</v>
      </c>
    </row>
    <row r="206" spans="1:14">
      <c r="A206" s="28">
        <v>205</v>
      </c>
      <c r="B206" s="28" t="s">
        <v>17</v>
      </c>
      <c r="C206" s="28" t="s">
        <v>22</v>
      </c>
      <c r="D206" s="28" t="s">
        <v>60</v>
      </c>
      <c r="E206" s="28" t="s">
        <v>71</v>
      </c>
      <c r="F206" s="28"/>
      <c r="G206" s="28" t="s">
        <v>275</v>
      </c>
      <c r="H206" s="122" t="s">
        <v>282</v>
      </c>
      <c r="I206" s="56">
        <v>9081.0810810810817</v>
      </c>
      <c r="J206" s="28" t="s">
        <v>690</v>
      </c>
      <c r="K206" s="51">
        <v>46042</v>
      </c>
      <c r="L206" s="28">
        <v>2025404913</v>
      </c>
      <c r="M206" s="28" t="s">
        <v>311</v>
      </c>
      <c r="N206" s="28">
        <v>2026</v>
      </c>
    </row>
    <row r="207" spans="1:14">
      <c r="A207" s="28">
        <v>206</v>
      </c>
      <c r="B207" s="28" t="s">
        <v>58</v>
      </c>
      <c r="C207" s="126" t="s">
        <v>59</v>
      </c>
      <c r="D207" s="28" t="s">
        <v>60</v>
      </c>
      <c r="E207" s="28" t="s">
        <v>71</v>
      </c>
      <c r="F207" s="28"/>
      <c r="G207" s="28" t="s">
        <v>459</v>
      </c>
      <c r="H207" s="52" t="s">
        <v>117</v>
      </c>
      <c r="I207" s="53">
        <v>3100</v>
      </c>
      <c r="J207" s="28" t="s">
        <v>634</v>
      </c>
      <c r="K207" s="51">
        <v>46026</v>
      </c>
      <c r="L207" s="72">
        <v>2026400322</v>
      </c>
      <c r="M207" s="28" t="s">
        <v>311</v>
      </c>
      <c r="N207" s="28">
        <v>2026</v>
      </c>
    </row>
    <row r="208" spans="1:14">
      <c r="A208" s="28">
        <v>207</v>
      </c>
      <c r="B208" s="28" t="s">
        <v>17</v>
      </c>
      <c r="C208" s="91" t="s">
        <v>22</v>
      </c>
      <c r="D208" s="28" t="s">
        <v>60</v>
      </c>
      <c r="E208" s="28" t="s">
        <v>71</v>
      </c>
      <c r="F208" s="28"/>
      <c r="G208" s="28" t="s">
        <v>119</v>
      </c>
      <c r="H208" s="52" t="s">
        <v>117</v>
      </c>
      <c r="I208" s="53">
        <v>101.35135135135135</v>
      </c>
      <c r="J208" s="28" t="s">
        <v>673</v>
      </c>
      <c r="K208" s="51">
        <v>46018</v>
      </c>
      <c r="L208" s="72">
        <v>2026400011</v>
      </c>
      <c r="M208" s="28" t="s">
        <v>311</v>
      </c>
      <c r="N208" s="28">
        <v>2026</v>
      </c>
    </row>
    <row r="209" spans="1:14">
      <c r="A209" s="28">
        <v>208</v>
      </c>
      <c r="B209" s="28" t="s">
        <v>35</v>
      </c>
      <c r="C209" s="28" t="s">
        <v>36</v>
      </c>
      <c r="D209" s="28" t="s">
        <v>60</v>
      </c>
      <c r="E209" s="28" t="s">
        <v>71</v>
      </c>
      <c r="F209" s="28"/>
      <c r="G209" s="28" t="s">
        <v>119</v>
      </c>
      <c r="H209" s="28" t="s">
        <v>117</v>
      </c>
      <c r="I209" s="56">
        <v>58.783783783783782</v>
      </c>
      <c r="J209" s="28" t="s">
        <v>686</v>
      </c>
      <c r="K209" s="51">
        <v>46035</v>
      </c>
      <c r="L209" s="28">
        <v>2026400130</v>
      </c>
      <c r="M209" s="28" t="s">
        <v>311</v>
      </c>
      <c r="N209" s="28">
        <v>2026</v>
      </c>
    </row>
    <row r="210" spans="1:14">
      <c r="A210" s="28">
        <v>209</v>
      </c>
      <c r="B210" s="50" t="s">
        <v>42</v>
      </c>
      <c r="C210" s="50" t="s">
        <v>45</v>
      </c>
      <c r="D210" s="28" t="s">
        <v>60</v>
      </c>
      <c r="E210" s="28" t="s">
        <v>71</v>
      </c>
      <c r="F210" s="28"/>
      <c r="G210" s="28" t="s">
        <v>119</v>
      </c>
      <c r="H210" s="28" t="s">
        <v>117</v>
      </c>
      <c r="I210" s="56">
        <v>168.91891891891891</v>
      </c>
      <c r="J210" s="28" t="s">
        <v>695</v>
      </c>
      <c r="K210" s="51">
        <v>46035</v>
      </c>
      <c r="L210" s="28">
        <v>2026400129</v>
      </c>
      <c r="M210" s="28" t="s">
        <v>311</v>
      </c>
      <c r="N210" s="28">
        <v>2026</v>
      </c>
    </row>
    <row r="211" spans="1:14">
      <c r="A211" s="28">
        <v>210</v>
      </c>
      <c r="B211" s="28" t="s">
        <v>42</v>
      </c>
      <c r="C211" s="91" t="s">
        <v>50</v>
      </c>
      <c r="D211" s="28" t="s">
        <v>60</v>
      </c>
      <c r="E211" s="28" t="s">
        <v>71</v>
      </c>
      <c r="F211" s="28"/>
      <c r="G211" s="28" t="s">
        <v>119</v>
      </c>
      <c r="H211" s="28" t="s">
        <v>117</v>
      </c>
      <c r="I211" s="49">
        <v>1385.1351351351352</v>
      </c>
      <c r="J211" s="28" t="s">
        <v>696</v>
      </c>
      <c r="K211" s="51">
        <v>46020</v>
      </c>
      <c r="L211" s="28">
        <v>2025404837</v>
      </c>
      <c r="M211" s="28" t="s">
        <v>311</v>
      </c>
      <c r="N211" s="28">
        <v>2026</v>
      </c>
    </row>
    <row r="212" spans="1:14">
      <c r="A212" s="28">
        <v>211</v>
      </c>
      <c r="B212" s="28" t="s">
        <v>42</v>
      </c>
      <c r="C212" s="91" t="s">
        <v>263</v>
      </c>
      <c r="D212" s="28" t="s">
        <v>60</v>
      </c>
      <c r="E212" s="28" t="s">
        <v>71</v>
      </c>
      <c r="F212" s="28"/>
      <c r="G212" s="28" t="s">
        <v>119</v>
      </c>
      <c r="H212" s="28" t="s">
        <v>117</v>
      </c>
      <c r="I212" s="49">
        <v>1162.1621621621621</v>
      </c>
      <c r="J212" s="28" t="s">
        <v>701</v>
      </c>
      <c r="K212" s="51">
        <v>46035</v>
      </c>
      <c r="L212" s="28">
        <v>2026400132</v>
      </c>
      <c r="M212" s="28" t="s">
        <v>311</v>
      </c>
      <c r="N212" s="28">
        <v>2026</v>
      </c>
    </row>
    <row r="213" spans="1:14">
      <c r="A213" s="28">
        <v>212</v>
      </c>
      <c r="B213" s="28" t="s">
        <v>42</v>
      </c>
      <c r="C213" s="28" t="s">
        <v>263</v>
      </c>
      <c r="D213" s="28" t="s">
        <v>60</v>
      </c>
      <c r="E213" s="28" t="s">
        <v>71</v>
      </c>
      <c r="F213" s="28"/>
      <c r="G213" s="28" t="s">
        <v>119</v>
      </c>
      <c r="H213" s="28" t="s">
        <v>117</v>
      </c>
      <c r="I213" s="49">
        <v>1222.9729729729729</v>
      </c>
      <c r="J213" s="28" t="s">
        <v>702</v>
      </c>
      <c r="K213" s="51">
        <v>46033</v>
      </c>
      <c r="L213" s="28">
        <v>2026400100</v>
      </c>
      <c r="M213" s="28" t="s">
        <v>311</v>
      </c>
      <c r="N213" s="28">
        <v>2026</v>
      </c>
    </row>
    <row r="214" spans="1:14">
      <c r="A214" s="28">
        <v>213</v>
      </c>
      <c r="B214" s="28" t="s">
        <v>42</v>
      </c>
      <c r="C214" s="51" t="s">
        <v>44</v>
      </c>
      <c r="D214" s="28" t="s">
        <v>60</v>
      </c>
      <c r="E214" s="28" t="s">
        <v>71</v>
      </c>
      <c r="F214" s="28"/>
      <c r="G214" s="28" t="s">
        <v>119</v>
      </c>
      <c r="H214" s="52" t="s">
        <v>117</v>
      </c>
      <c r="I214" s="53">
        <v>205.40540540540542</v>
      </c>
      <c r="J214" s="28" t="s">
        <v>713</v>
      </c>
      <c r="K214" s="51">
        <v>46035</v>
      </c>
      <c r="L214" s="54">
        <v>2026400128</v>
      </c>
      <c r="M214" s="28" t="s">
        <v>311</v>
      </c>
      <c r="N214" s="28">
        <v>2026</v>
      </c>
    </row>
    <row r="215" spans="1:14">
      <c r="A215" s="28">
        <v>214</v>
      </c>
      <c r="B215" s="28" t="s">
        <v>35</v>
      </c>
      <c r="C215" s="51" t="s">
        <v>38</v>
      </c>
      <c r="D215" s="28" t="s">
        <v>60</v>
      </c>
      <c r="E215" s="28" t="s">
        <v>71</v>
      </c>
      <c r="F215" s="28"/>
      <c r="G215" s="28" t="s">
        <v>119</v>
      </c>
      <c r="H215" s="52" t="s">
        <v>117</v>
      </c>
      <c r="I215" s="53">
        <v>68.918918918918919</v>
      </c>
      <c r="J215" s="28" t="s">
        <v>719</v>
      </c>
      <c r="K215" s="51">
        <v>46033</v>
      </c>
      <c r="L215" s="54">
        <v>2026400387</v>
      </c>
      <c r="M215" s="28" t="s">
        <v>311</v>
      </c>
      <c r="N215" s="28">
        <v>2026</v>
      </c>
    </row>
    <row r="216" spans="1:14">
      <c r="A216" s="28">
        <v>215</v>
      </c>
      <c r="B216" s="28" t="s">
        <v>17</v>
      </c>
      <c r="C216" s="28" t="s">
        <v>22</v>
      </c>
      <c r="D216" s="28" t="s">
        <v>60</v>
      </c>
      <c r="E216" s="28" t="s">
        <v>71</v>
      </c>
      <c r="F216" s="28"/>
      <c r="G216" s="28" t="s">
        <v>268</v>
      </c>
      <c r="H216" s="28" t="s">
        <v>117</v>
      </c>
      <c r="I216" s="49">
        <v>10135.135135135135</v>
      </c>
      <c r="J216" s="28" t="s">
        <v>703</v>
      </c>
      <c r="K216" s="51">
        <v>46034</v>
      </c>
      <c r="L216" s="28">
        <v>2026400293</v>
      </c>
      <c r="M216" s="28" t="s">
        <v>311</v>
      </c>
      <c r="N216" s="28">
        <v>2026</v>
      </c>
    </row>
    <row r="217" spans="1:14">
      <c r="A217" s="28">
        <v>216</v>
      </c>
      <c r="B217" s="28" t="s">
        <v>54</v>
      </c>
      <c r="C217" s="51" t="s">
        <v>55</v>
      </c>
      <c r="D217" s="28" t="s">
        <v>60</v>
      </c>
      <c r="E217" s="28" t="s">
        <v>71</v>
      </c>
      <c r="F217" s="28"/>
      <c r="G217" s="28" t="s">
        <v>234</v>
      </c>
      <c r="H217" s="52" t="s">
        <v>237</v>
      </c>
      <c r="I217" s="53">
        <v>5481.0810810810808</v>
      </c>
      <c r="J217" s="28" t="s">
        <v>672</v>
      </c>
      <c r="K217" s="51">
        <v>46021</v>
      </c>
      <c r="L217" s="72">
        <v>2025404847</v>
      </c>
      <c r="M217" s="28" t="s">
        <v>311</v>
      </c>
      <c r="N217" s="28">
        <v>2026</v>
      </c>
    </row>
    <row r="218" spans="1:14">
      <c r="A218" s="28">
        <v>217</v>
      </c>
      <c r="B218" s="28" t="s">
        <v>52</v>
      </c>
      <c r="C218" s="93" t="s">
        <v>62</v>
      </c>
      <c r="D218" s="28" t="s">
        <v>60</v>
      </c>
      <c r="E218" s="28" t="s">
        <v>71</v>
      </c>
      <c r="F218" s="28"/>
      <c r="G218" s="28" t="s">
        <v>234</v>
      </c>
      <c r="H218" s="52" t="s">
        <v>237</v>
      </c>
      <c r="I218" s="53">
        <v>5481.0810810810808</v>
      </c>
      <c r="J218" s="28" t="s">
        <v>675</v>
      </c>
      <c r="K218" s="51">
        <v>46025</v>
      </c>
      <c r="L218" s="72">
        <v>2025404796</v>
      </c>
      <c r="M218" s="28" t="s">
        <v>311</v>
      </c>
      <c r="N218" s="28">
        <v>2026</v>
      </c>
    </row>
    <row r="219" spans="1:14">
      <c r="A219" s="28">
        <v>218</v>
      </c>
      <c r="B219" s="28" t="s">
        <v>17</v>
      </c>
      <c r="C219" s="28" t="s">
        <v>25</v>
      </c>
      <c r="D219" s="28" t="s">
        <v>60</v>
      </c>
      <c r="E219" s="28" t="s">
        <v>71</v>
      </c>
      <c r="F219" s="28"/>
      <c r="G219" s="28" t="s">
        <v>234</v>
      </c>
      <c r="H219" s="52" t="s">
        <v>237</v>
      </c>
      <c r="I219" s="56">
        <v>3952.7027027027025</v>
      </c>
      <c r="J219" s="28" t="s">
        <v>684</v>
      </c>
      <c r="K219" s="51">
        <v>46022</v>
      </c>
      <c r="L219" s="28">
        <v>2025404918</v>
      </c>
      <c r="M219" s="28" t="s">
        <v>311</v>
      </c>
      <c r="N219" s="28">
        <v>2026</v>
      </c>
    </row>
    <row r="220" spans="1:14">
      <c r="A220" s="28">
        <v>219</v>
      </c>
      <c r="B220" s="50" t="s">
        <v>54</v>
      </c>
      <c r="C220" s="91" t="s">
        <v>55</v>
      </c>
      <c r="D220" s="28" t="s">
        <v>60</v>
      </c>
      <c r="E220" s="28" t="s">
        <v>71</v>
      </c>
      <c r="F220" s="28"/>
      <c r="G220" s="28" t="s">
        <v>234</v>
      </c>
      <c r="H220" s="52" t="s">
        <v>237</v>
      </c>
      <c r="I220" s="56">
        <v>5481.0810810810808</v>
      </c>
      <c r="J220" s="28" t="s">
        <v>689</v>
      </c>
      <c r="K220" s="51">
        <v>46034</v>
      </c>
      <c r="L220" s="28">
        <v>2026400135</v>
      </c>
      <c r="M220" s="28" t="s">
        <v>311</v>
      </c>
      <c r="N220" s="28">
        <v>2026</v>
      </c>
    </row>
    <row r="221" spans="1:14">
      <c r="A221" s="28">
        <v>220</v>
      </c>
      <c r="B221" s="28" t="s">
        <v>17</v>
      </c>
      <c r="C221" s="28" t="s">
        <v>18</v>
      </c>
      <c r="D221" s="28" t="s">
        <v>60</v>
      </c>
      <c r="E221" s="28" t="s">
        <v>71</v>
      </c>
      <c r="F221" s="28"/>
      <c r="G221" s="28" t="s">
        <v>234</v>
      </c>
      <c r="H221" s="52" t="s">
        <v>237</v>
      </c>
      <c r="I221" s="56">
        <v>3040.5405405405404</v>
      </c>
      <c r="J221" s="28" t="s">
        <v>691</v>
      </c>
      <c r="K221" s="51">
        <v>46032</v>
      </c>
      <c r="L221" s="28">
        <v>2026400184</v>
      </c>
      <c r="M221" s="28" t="s">
        <v>311</v>
      </c>
      <c r="N221" s="28">
        <v>2026</v>
      </c>
    </row>
    <row r="222" spans="1:14">
      <c r="A222" s="28">
        <v>221</v>
      </c>
      <c r="B222" s="28" t="s">
        <v>42</v>
      </c>
      <c r="C222" s="28" t="s">
        <v>50</v>
      </c>
      <c r="D222" s="28" t="s">
        <v>60</v>
      </c>
      <c r="E222" s="28" t="s">
        <v>71</v>
      </c>
      <c r="F222" s="28"/>
      <c r="G222" s="28" t="s">
        <v>234</v>
      </c>
      <c r="H222" s="52" t="s">
        <v>237</v>
      </c>
      <c r="I222" s="56">
        <v>3952.7027027027025</v>
      </c>
      <c r="J222" s="28" t="s">
        <v>693</v>
      </c>
      <c r="K222" s="51">
        <v>46040</v>
      </c>
      <c r="L222" s="28">
        <v>2026400222</v>
      </c>
      <c r="M222" s="28" t="s">
        <v>311</v>
      </c>
      <c r="N222" s="28">
        <v>2026</v>
      </c>
    </row>
    <row r="223" spans="1:14">
      <c r="A223" s="28">
        <v>222</v>
      </c>
      <c r="B223" s="28" t="s">
        <v>52</v>
      </c>
      <c r="C223" s="51" t="s">
        <v>62</v>
      </c>
      <c r="D223" s="28" t="s">
        <v>60</v>
      </c>
      <c r="E223" s="28" t="s">
        <v>71</v>
      </c>
      <c r="F223" s="28"/>
      <c r="G223" s="28" t="s">
        <v>234</v>
      </c>
      <c r="H223" s="52" t="s">
        <v>237</v>
      </c>
      <c r="I223" s="53">
        <v>5481.0810810810808</v>
      </c>
      <c r="J223" s="28" t="s">
        <v>706</v>
      </c>
      <c r="K223" s="51">
        <v>46046</v>
      </c>
      <c r="L223" s="54">
        <v>2026400273</v>
      </c>
      <c r="M223" s="28" t="s">
        <v>311</v>
      </c>
      <c r="N223" s="28">
        <v>2026</v>
      </c>
    </row>
    <row r="224" spans="1:14">
      <c r="A224" s="28">
        <v>223</v>
      </c>
      <c r="B224" s="28" t="s">
        <v>54</v>
      </c>
      <c r="C224" s="51" t="s">
        <v>55</v>
      </c>
      <c r="D224" s="28" t="s">
        <v>60</v>
      </c>
      <c r="E224" s="28" t="s">
        <v>71</v>
      </c>
      <c r="F224" s="28"/>
      <c r="G224" s="28" t="s">
        <v>234</v>
      </c>
      <c r="H224" s="52" t="s">
        <v>237</v>
      </c>
      <c r="I224" s="53">
        <v>6666.8918918918916</v>
      </c>
      <c r="J224" s="28" t="s">
        <v>707</v>
      </c>
      <c r="K224" s="51">
        <v>46042</v>
      </c>
      <c r="L224" s="54">
        <v>2026400299</v>
      </c>
      <c r="M224" s="28" t="s">
        <v>311</v>
      </c>
      <c r="N224" s="28">
        <v>2026</v>
      </c>
    </row>
    <row r="225" spans="1:14">
      <c r="A225" s="28">
        <v>224</v>
      </c>
      <c r="B225" s="66" t="s">
        <v>42</v>
      </c>
      <c r="C225" s="28" t="s">
        <v>50</v>
      </c>
      <c r="D225" s="28" t="s">
        <v>60</v>
      </c>
      <c r="E225" s="60" t="s">
        <v>71</v>
      </c>
      <c r="F225" s="28"/>
      <c r="G225" s="28" t="s">
        <v>458</v>
      </c>
      <c r="H225" s="28" t="s">
        <v>237</v>
      </c>
      <c r="I225" s="53">
        <v>727.5</v>
      </c>
      <c r="J225" s="28" t="s">
        <v>494</v>
      </c>
      <c r="K225" s="51">
        <v>46021</v>
      </c>
      <c r="L225" s="28">
        <v>2026400063</v>
      </c>
      <c r="M225" s="28" t="s">
        <v>311</v>
      </c>
      <c r="N225" s="28">
        <v>2026</v>
      </c>
    </row>
    <row r="226" spans="1:14">
      <c r="A226" s="28">
        <v>225</v>
      </c>
      <c r="B226" s="66" t="s">
        <v>35</v>
      </c>
      <c r="C226" s="28" t="s">
        <v>36</v>
      </c>
      <c r="D226" s="28" t="s">
        <v>60</v>
      </c>
      <c r="E226" s="60" t="s">
        <v>71</v>
      </c>
      <c r="F226" s="28"/>
      <c r="G226" s="28" t="s">
        <v>458</v>
      </c>
      <c r="H226" s="28" t="s">
        <v>117</v>
      </c>
      <c r="I226" s="56">
        <v>620.79999999999995</v>
      </c>
      <c r="J226" s="28" t="s">
        <v>496</v>
      </c>
      <c r="K226" s="51">
        <v>46021</v>
      </c>
      <c r="L226" s="28">
        <v>2026400066</v>
      </c>
      <c r="M226" s="28" t="s">
        <v>311</v>
      </c>
      <c r="N226" s="28">
        <v>2026</v>
      </c>
    </row>
    <row r="227" spans="1:14">
      <c r="A227" s="28">
        <v>226</v>
      </c>
      <c r="B227" s="66" t="s">
        <v>42</v>
      </c>
      <c r="C227" s="46" t="s">
        <v>50</v>
      </c>
      <c r="D227" s="28" t="s">
        <v>60</v>
      </c>
      <c r="E227" s="28" t="s">
        <v>71</v>
      </c>
      <c r="F227" s="28"/>
      <c r="G227" s="28" t="s">
        <v>458</v>
      </c>
      <c r="H227" s="28" t="s">
        <v>117</v>
      </c>
      <c r="I227" s="56">
        <v>2793.6</v>
      </c>
      <c r="J227" s="28" t="s">
        <v>235</v>
      </c>
      <c r="K227" s="51">
        <v>46033</v>
      </c>
      <c r="L227" s="28">
        <v>2026400101</v>
      </c>
      <c r="M227" s="28" t="s">
        <v>311</v>
      </c>
      <c r="N227" s="28">
        <v>2026</v>
      </c>
    </row>
    <row r="228" spans="1:14">
      <c r="A228" s="28">
        <v>227</v>
      </c>
      <c r="B228" s="28" t="s">
        <v>17</v>
      </c>
      <c r="C228" s="28" t="s">
        <v>22</v>
      </c>
      <c r="D228" s="28" t="s">
        <v>60</v>
      </c>
      <c r="E228" s="28" t="s">
        <v>71</v>
      </c>
      <c r="F228" s="28"/>
      <c r="G228" s="28" t="s">
        <v>232</v>
      </c>
      <c r="H228" s="122" t="s">
        <v>238</v>
      </c>
      <c r="I228" s="49">
        <v>1358.1081081081081</v>
      </c>
      <c r="J228" s="28" t="s">
        <v>700</v>
      </c>
      <c r="K228" s="51">
        <v>46037</v>
      </c>
      <c r="L228" s="28">
        <v>2026400193</v>
      </c>
      <c r="M228" s="28" t="s">
        <v>311</v>
      </c>
      <c r="N228" s="28">
        <v>2026</v>
      </c>
    </row>
    <row r="229" spans="1:14">
      <c r="A229" s="28">
        <v>228</v>
      </c>
      <c r="B229" s="28" t="s">
        <v>42</v>
      </c>
      <c r="C229" s="122" t="s">
        <v>263</v>
      </c>
      <c r="D229" s="28" t="s">
        <v>60</v>
      </c>
      <c r="E229" s="28" t="s">
        <v>71</v>
      </c>
      <c r="F229" s="28"/>
      <c r="G229" s="28" t="s">
        <v>232</v>
      </c>
      <c r="H229" s="122" t="s">
        <v>238</v>
      </c>
      <c r="I229" s="53">
        <v>2533.7837837837837</v>
      </c>
      <c r="J229" s="28" t="s">
        <v>714</v>
      </c>
      <c r="K229" s="51">
        <v>46037</v>
      </c>
      <c r="L229" s="54">
        <v>2026400195</v>
      </c>
      <c r="M229" s="28" t="s">
        <v>311</v>
      </c>
      <c r="N229" s="28">
        <v>2026</v>
      </c>
    </row>
    <row r="230" spans="1:14">
      <c r="A230" s="28">
        <v>229</v>
      </c>
      <c r="B230" s="28" t="s">
        <v>42</v>
      </c>
      <c r="C230" s="122" t="s">
        <v>263</v>
      </c>
      <c r="D230" s="28" t="s">
        <v>60</v>
      </c>
      <c r="E230" s="28" t="s">
        <v>71</v>
      </c>
      <c r="F230" s="28"/>
      <c r="G230" s="28" t="s">
        <v>232</v>
      </c>
      <c r="H230" s="122" t="s">
        <v>238</v>
      </c>
      <c r="I230" s="53">
        <v>3175.6756756756758</v>
      </c>
      <c r="J230" s="28" t="s">
        <v>715</v>
      </c>
      <c r="K230" s="51">
        <v>46039</v>
      </c>
      <c r="L230" s="54">
        <v>2026400200</v>
      </c>
      <c r="M230" s="28" t="s">
        <v>311</v>
      </c>
      <c r="N230" s="28">
        <v>2026</v>
      </c>
    </row>
    <row r="231" spans="1:14">
      <c r="A231" s="28">
        <v>230</v>
      </c>
      <c r="B231" s="28" t="s">
        <v>42</v>
      </c>
      <c r="C231" s="91" t="s">
        <v>45</v>
      </c>
      <c r="D231" s="28" t="s">
        <v>60</v>
      </c>
      <c r="E231" s="28" t="s">
        <v>71</v>
      </c>
      <c r="F231" s="28"/>
      <c r="G231" s="28" t="s">
        <v>661</v>
      </c>
      <c r="H231" s="28" t="s">
        <v>117</v>
      </c>
      <c r="I231" s="56">
        <v>3581.0810810810813</v>
      </c>
      <c r="J231" s="28" t="s">
        <v>685</v>
      </c>
      <c r="K231" s="51">
        <v>46036</v>
      </c>
      <c r="L231" s="28">
        <v>2026400085</v>
      </c>
      <c r="M231" s="28" t="s">
        <v>311</v>
      </c>
      <c r="N231" s="28">
        <v>2026</v>
      </c>
    </row>
    <row r="232" spans="1:14">
      <c r="A232" s="28">
        <v>231</v>
      </c>
      <c r="B232" s="28" t="s">
        <v>52</v>
      </c>
      <c r="C232" s="28" t="s">
        <v>62</v>
      </c>
      <c r="D232" s="28" t="s">
        <v>60</v>
      </c>
      <c r="E232" s="28" t="s">
        <v>71</v>
      </c>
      <c r="F232" s="28"/>
      <c r="G232" s="28" t="s">
        <v>664</v>
      </c>
      <c r="H232" s="52" t="s">
        <v>117</v>
      </c>
      <c r="I232" s="53">
        <v>2810.8108108108108</v>
      </c>
      <c r="J232" s="28" t="s">
        <v>711</v>
      </c>
      <c r="K232" s="51">
        <v>46039</v>
      </c>
      <c r="L232" s="54">
        <v>2026400335</v>
      </c>
      <c r="M232" s="28" t="s">
        <v>311</v>
      </c>
      <c r="N232" s="28">
        <v>2026</v>
      </c>
    </row>
    <row r="233" spans="1:14">
      <c r="A233" s="28">
        <v>232</v>
      </c>
      <c r="B233" s="28" t="s">
        <v>42</v>
      </c>
      <c r="C233" s="28" t="s">
        <v>263</v>
      </c>
      <c r="D233" s="28" t="s">
        <v>60</v>
      </c>
      <c r="E233" s="47" t="s">
        <v>71</v>
      </c>
      <c r="F233" s="28"/>
      <c r="G233" s="28" t="s">
        <v>120</v>
      </c>
      <c r="H233" s="28" t="s">
        <v>281</v>
      </c>
      <c r="I233" s="49">
        <v>578.78</v>
      </c>
      <c r="J233" s="28" t="s">
        <v>574</v>
      </c>
      <c r="K233" s="51">
        <v>46046</v>
      </c>
      <c r="L233" s="28">
        <v>2026400259</v>
      </c>
      <c r="M233" s="28" t="s">
        <v>311</v>
      </c>
      <c r="N233" s="28">
        <v>2026</v>
      </c>
    </row>
    <row r="234" spans="1:14">
      <c r="A234" s="28">
        <v>233</v>
      </c>
      <c r="B234" s="48" t="s">
        <v>54</v>
      </c>
      <c r="C234" s="91" t="s">
        <v>94</v>
      </c>
      <c r="D234" s="28" t="s">
        <v>60</v>
      </c>
      <c r="E234" s="28" t="s">
        <v>71</v>
      </c>
      <c r="F234" s="28"/>
      <c r="G234" s="48" t="s">
        <v>120</v>
      </c>
      <c r="H234" s="48" t="s">
        <v>117</v>
      </c>
      <c r="I234" s="56">
        <v>1100</v>
      </c>
      <c r="J234" s="28" t="s">
        <v>607</v>
      </c>
      <c r="K234" s="51">
        <v>46039</v>
      </c>
      <c r="L234" s="28">
        <v>2026400086</v>
      </c>
      <c r="M234" s="28" t="s">
        <v>311</v>
      </c>
      <c r="N234" s="28">
        <v>2026</v>
      </c>
    </row>
    <row r="235" spans="1:14">
      <c r="A235" s="28">
        <v>234</v>
      </c>
      <c r="B235" s="28" t="s">
        <v>17</v>
      </c>
      <c r="C235" s="28" t="s">
        <v>25</v>
      </c>
      <c r="D235" s="28" t="s">
        <v>60</v>
      </c>
      <c r="E235" s="28" t="s">
        <v>71</v>
      </c>
      <c r="F235" s="28"/>
      <c r="G235" s="28" t="s">
        <v>279</v>
      </c>
      <c r="H235" s="122" t="s">
        <v>283</v>
      </c>
      <c r="I235" s="56">
        <v>6216.2162162162158</v>
      </c>
      <c r="J235" s="28" t="s">
        <v>692</v>
      </c>
      <c r="K235" s="51">
        <v>46041</v>
      </c>
      <c r="L235" s="28">
        <v>2026400164</v>
      </c>
      <c r="M235" s="28" t="s">
        <v>311</v>
      </c>
      <c r="N235" s="28">
        <v>2026</v>
      </c>
    </row>
    <row r="236" spans="1:14">
      <c r="A236" s="28">
        <v>235</v>
      </c>
      <c r="B236" s="28" t="s">
        <v>42</v>
      </c>
      <c r="C236" s="51" t="s">
        <v>50</v>
      </c>
      <c r="D236" s="28" t="s">
        <v>60</v>
      </c>
      <c r="E236" s="28" t="s">
        <v>71</v>
      </c>
      <c r="F236" s="28"/>
      <c r="G236" s="28" t="s">
        <v>121</v>
      </c>
      <c r="H236" s="48" t="s">
        <v>117</v>
      </c>
      <c r="I236" s="53">
        <v>1290.56</v>
      </c>
      <c r="J236" s="51" t="s">
        <v>576</v>
      </c>
      <c r="K236" s="51">
        <v>46032</v>
      </c>
      <c r="L236" s="54">
        <v>2026400232</v>
      </c>
      <c r="M236" s="28" t="s">
        <v>311</v>
      </c>
      <c r="N236" s="28">
        <v>2026</v>
      </c>
    </row>
    <row r="237" spans="1:14">
      <c r="A237" s="28">
        <v>236</v>
      </c>
      <c r="B237" s="28" t="s">
        <v>17</v>
      </c>
      <c r="C237" s="122" t="s">
        <v>272</v>
      </c>
      <c r="D237" s="28" t="s">
        <v>60</v>
      </c>
      <c r="E237" s="28" t="s">
        <v>71</v>
      </c>
      <c r="F237" s="28"/>
      <c r="G237" s="28" t="s">
        <v>121</v>
      </c>
      <c r="H237" s="48" t="s">
        <v>117</v>
      </c>
      <c r="I237" s="53">
        <v>1262.8</v>
      </c>
      <c r="J237" s="28" t="s">
        <v>577</v>
      </c>
      <c r="K237" s="51">
        <v>46029</v>
      </c>
      <c r="L237" s="54">
        <v>2026400234</v>
      </c>
      <c r="M237" s="28" t="s">
        <v>311</v>
      </c>
      <c r="N237" s="28">
        <v>2026</v>
      </c>
    </row>
    <row r="238" spans="1:14">
      <c r="A238" s="28">
        <v>237</v>
      </c>
      <c r="B238" s="48" t="s">
        <v>42</v>
      </c>
      <c r="C238" s="28" t="s">
        <v>263</v>
      </c>
      <c r="D238" s="28" t="s">
        <v>60</v>
      </c>
      <c r="E238" s="28" t="s">
        <v>71</v>
      </c>
      <c r="F238" s="28"/>
      <c r="G238" s="48" t="s">
        <v>121</v>
      </c>
      <c r="H238" s="48" t="s">
        <v>117</v>
      </c>
      <c r="I238" s="56">
        <v>473</v>
      </c>
      <c r="J238" s="28" t="s">
        <v>605</v>
      </c>
      <c r="K238" s="51">
        <v>46049</v>
      </c>
      <c r="L238" s="28">
        <v>2026400034</v>
      </c>
      <c r="M238" s="28" t="s">
        <v>311</v>
      </c>
      <c r="N238" s="28">
        <v>2026</v>
      </c>
    </row>
    <row r="239" spans="1:14">
      <c r="A239" s="28">
        <v>238</v>
      </c>
      <c r="B239" s="48" t="s">
        <v>52</v>
      </c>
      <c r="C239" s="28" t="s">
        <v>62</v>
      </c>
      <c r="D239" s="28" t="s">
        <v>60</v>
      </c>
      <c r="E239" s="28" t="s">
        <v>71</v>
      </c>
      <c r="F239" s="28"/>
      <c r="G239" s="48" t="s">
        <v>121</v>
      </c>
      <c r="H239" s="48" t="s">
        <v>117</v>
      </c>
      <c r="I239" s="56">
        <v>1661</v>
      </c>
      <c r="J239" s="28" t="s">
        <v>606</v>
      </c>
      <c r="K239" s="51">
        <v>46049</v>
      </c>
      <c r="L239" s="28">
        <v>2026400233</v>
      </c>
      <c r="M239" s="28" t="s">
        <v>311</v>
      </c>
      <c r="N239" s="28">
        <v>2026</v>
      </c>
    </row>
    <row r="240" spans="1:14">
      <c r="A240" s="28">
        <v>239</v>
      </c>
      <c r="B240" s="48" t="s">
        <v>17</v>
      </c>
      <c r="C240" s="122" t="s">
        <v>272</v>
      </c>
      <c r="D240" s="28" t="s">
        <v>60</v>
      </c>
      <c r="E240" s="28" t="s">
        <v>71</v>
      </c>
      <c r="F240" s="28"/>
      <c r="G240" s="48" t="s">
        <v>121</v>
      </c>
      <c r="H240" s="48" t="s">
        <v>117</v>
      </c>
      <c r="I240" s="56">
        <v>165.26</v>
      </c>
      <c r="J240" s="28" t="s">
        <v>609</v>
      </c>
      <c r="K240" s="51">
        <v>46029</v>
      </c>
      <c r="L240" s="28">
        <v>2026400237</v>
      </c>
      <c r="M240" s="28" t="s">
        <v>311</v>
      </c>
      <c r="N240" s="28">
        <v>2026</v>
      </c>
    </row>
    <row r="241" spans="1:14">
      <c r="A241" s="28">
        <v>240</v>
      </c>
      <c r="B241" s="28" t="s">
        <v>42</v>
      </c>
      <c r="C241" s="93" t="s">
        <v>50</v>
      </c>
      <c r="D241" s="28" t="s">
        <v>60</v>
      </c>
      <c r="E241" s="28" t="s">
        <v>71</v>
      </c>
      <c r="F241" s="28"/>
      <c r="G241" s="28" t="s">
        <v>121</v>
      </c>
      <c r="H241" s="52" t="s">
        <v>117</v>
      </c>
      <c r="I241" s="53">
        <v>996.9</v>
      </c>
      <c r="J241" s="28" t="s">
        <v>635</v>
      </c>
      <c r="K241" s="51">
        <v>46031</v>
      </c>
      <c r="L241" s="72">
        <v>2026400283</v>
      </c>
      <c r="M241" s="28" t="s">
        <v>311</v>
      </c>
      <c r="N241" s="28">
        <v>2026</v>
      </c>
    </row>
    <row r="242" spans="1:14">
      <c r="A242" s="28">
        <v>241</v>
      </c>
      <c r="B242" s="28" t="s">
        <v>42</v>
      </c>
      <c r="C242" s="93" t="s">
        <v>47</v>
      </c>
      <c r="D242" s="28" t="s">
        <v>60</v>
      </c>
      <c r="E242" s="28" t="s">
        <v>71</v>
      </c>
      <c r="F242" s="28"/>
      <c r="G242" s="28" t="s">
        <v>121</v>
      </c>
      <c r="H242" s="52" t="s">
        <v>117</v>
      </c>
      <c r="I242" s="53">
        <v>105.21</v>
      </c>
      <c r="J242" s="28" t="s">
        <v>636</v>
      </c>
      <c r="K242" s="51">
        <v>46029</v>
      </c>
      <c r="L242" s="72">
        <v>2026400284</v>
      </c>
      <c r="M242" s="28" t="s">
        <v>311</v>
      </c>
      <c r="N242" s="28">
        <v>2026</v>
      </c>
    </row>
    <row r="243" spans="1:14">
      <c r="A243" s="28">
        <v>242</v>
      </c>
      <c r="B243" s="28" t="s">
        <v>42</v>
      </c>
      <c r="C243" s="51" t="s">
        <v>45</v>
      </c>
      <c r="D243" s="28" t="s">
        <v>60</v>
      </c>
      <c r="E243" s="28" t="s">
        <v>71</v>
      </c>
      <c r="F243" s="28"/>
      <c r="G243" s="28" t="s">
        <v>121</v>
      </c>
      <c r="H243" s="52" t="s">
        <v>117</v>
      </c>
      <c r="I243" s="53">
        <v>2100</v>
      </c>
      <c r="J243" s="28" t="s">
        <v>637</v>
      </c>
      <c r="K243" s="51">
        <v>46023</v>
      </c>
      <c r="L243" s="72">
        <v>2026400285</v>
      </c>
      <c r="M243" s="28" t="s">
        <v>311</v>
      </c>
      <c r="N243" s="28">
        <v>2026</v>
      </c>
    </row>
    <row r="244" spans="1:14">
      <c r="A244" s="28">
        <v>243</v>
      </c>
      <c r="B244" s="28" t="s">
        <v>17</v>
      </c>
      <c r="C244" s="51" t="s">
        <v>25</v>
      </c>
      <c r="D244" s="28" t="s">
        <v>60</v>
      </c>
      <c r="E244" s="28" t="s">
        <v>71</v>
      </c>
      <c r="F244" s="28"/>
      <c r="G244" s="28" t="s">
        <v>121</v>
      </c>
      <c r="H244" s="52" t="s">
        <v>117</v>
      </c>
      <c r="I244" s="53">
        <v>238</v>
      </c>
      <c r="J244" s="28" t="s">
        <v>638</v>
      </c>
      <c r="K244" s="51">
        <v>46031</v>
      </c>
      <c r="L244" s="72">
        <v>2026400286</v>
      </c>
      <c r="M244" s="28" t="s">
        <v>311</v>
      </c>
      <c r="N244" s="28">
        <v>2026</v>
      </c>
    </row>
    <row r="245" spans="1:14">
      <c r="A245" s="28">
        <v>244</v>
      </c>
      <c r="B245" s="28" t="s">
        <v>52</v>
      </c>
      <c r="C245" s="28" t="s">
        <v>62</v>
      </c>
      <c r="D245" s="28" t="s">
        <v>60</v>
      </c>
      <c r="E245" s="28" t="s">
        <v>71</v>
      </c>
      <c r="F245" s="28"/>
      <c r="G245" s="28" t="s">
        <v>121</v>
      </c>
      <c r="H245" s="28" t="s">
        <v>117</v>
      </c>
      <c r="I245" s="53">
        <v>921.2</v>
      </c>
      <c r="J245" s="28" t="s">
        <v>639</v>
      </c>
      <c r="K245" s="51">
        <v>46023</v>
      </c>
      <c r="L245" s="72">
        <v>2026400287</v>
      </c>
      <c r="M245" s="28" t="s">
        <v>311</v>
      </c>
      <c r="N245" s="28">
        <v>2026</v>
      </c>
    </row>
    <row r="246" spans="1:14">
      <c r="A246" s="28">
        <v>245</v>
      </c>
      <c r="B246" s="28" t="s">
        <v>35</v>
      </c>
      <c r="C246" s="51" t="s">
        <v>37</v>
      </c>
      <c r="D246" s="28" t="s">
        <v>60</v>
      </c>
      <c r="E246" s="28" t="s">
        <v>71</v>
      </c>
      <c r="F246" s="28"/>
      <c r="G246" s="28" t="s">
        <v>121</v>
      </c>
      <c r="H246" s="52" t="s">
        <v>117</v>
      </c>
      <c r="I246" s="53">
        <v>55.4</v>
      </c>
      <c r="J246" s="28" t="s">
        <v>640</v>
      </c>
      <c r="K246" s="51">
        <v>46031</v>
      </c>
      <c r="L246" s="72">
        <v>2026400311</v>
      </c>
      <c r="M246" s="28" t="s">
        <v>311</v>
      </c>
      <c r="N246" s="28">
        <v>2026</v>
      </c>
    </row>
    <row r="247" spans="1:14">
      <c r="A247" s="28">
        <v>246</v>
      </c>
      <c r="B247" s="28" t="s">
        <v>54</v>
      </c>
      <c r="C247" s="46" t="s">
        <v>94</v>
      </c>
      <c r="D247" s="28" t="s">
        <v>60</v>
      </c>
      <c r="E247" s="28" t="s">
        <v>71</v>
      </c>
      <c r="F247" s="28"/>
      <c r="G247" s="28" t="s">
        <v>121</v>
      </c>
      <c r="H247" s="28" t="s">
        <v>117</v>
      </c>
      <c r="I247" s="53">
        <v>276.92</v>
      </c>
      <c r="J247" s="28" t="s">
        <v>641</v>
      </c>
      <c r="K247" s="51">
        <v>46029</v>
      </c>
      <c r="L247" s="72">
        <v>2026400323</v>
      </c>
      <c r="M247" s="28" t="s">
        <v>311</v>
      </c>
      <c r="N247" s="28">
        <v>2026</v>
      </c>
    </row>
    <row r="248" spans="1:14">
      <c r="A248" s="28">
        <v>247</v>
      </c>
      <c r="B248" s="28" t="s">
        <v>52</v>
      </c>
      <c r="C248" s="28" t="s">
        <v>62</v>
      </c>
      <c r="D248" s="28" t="s">
        <v>60</v>
      </c>
      <c r="E248" s="28" t="s">
        <v>71</v>
      </c>
      <c r="F248" s="28"/>
      <c r="G248" s="28" t="s">
        <v>121</v>
      </c>
      <c r="H248" s="28" t="s">
        <v>117</v>
      </c>
      <c r="I248" s="53">
        <v>507.9</v>
      </c>
      <c r="J248" s="28" t="s">
        <v>642</v>
      </c>
      <c r="K248" s="51">
        <v>46029</v>
      </c>
      <c r="L248" s="72">
        <v>2026400325</v>
      </c>
      <c r="M248" s="28" t="s">
        <v>311</v>
      </c>
      <c r="N248" s="28">
        <v>2026</v>
      </c>
    </row>
    <row r="249" spans="1:14">
      <c r="A249" s="28">
        <v>248</v>
      </c>
      <c r="B249" s="66" t="s">
        <v>42</v>
      </c>
      <c r="C249" s="28" t="s">
        <v>47</v>
      </c>
      <c r="D249" s="28" t="s">
        <v>60</v>
      </c>
      <c r="E249" s="28" t="s">
        <v>71</v>
      </c>
      <c r="F249" s="28"/>
      <c r="G249" s="28" t="s">
        <v>121</v>
      </c>
      <c r="H249" s="28" t="s">
        <v>117</v>
      </c>
      <c r="I249" s="53">
        <v>180.94</v>
      </c>
      <c r="J249" s="28" t="s">
        <v>643</v>
      </c>
      <c r="K249" s="51">
        <v>46023</v>
      </c>
      <c r="L249" s="72">
        <v>2026400330</v>
      </c>
      <c r="M249" s="28" t="s">
        <v>311</v>
      </c>
      <c r="N249" s="28">
        <v>2026</v>
      </c>
    </row>
    <row r="250" spans="1:14">
      <c r="A250" s="28">
        <v>249</v>
      </c>
      <c r="B250" s="28" t="s">
        <v>52</v>
      </c>
      <c r="C250" s="91" t="s">
        <v>62</v>
      </c>
      <c r="D250" s="28" t="s">
        <v>60</v>
      </c>
      <c r="E250" s="28" t="s">
        <v>71</v>
      </c>
      <c r="F250" s="28"/>
      <c r="G250" s="28" t="s">
        <v>121</v>
      </c>
      <c r="H250" s="28" t="s">
        <v>117</v>
      </c>
      <c r="I250" s="53">
        <v>1152.99</v>
      </c>
      <c r="J250" s="28" t="s">
        <v>644</v>
      </c>
      <c r="K250" s="51">
        <v>46029</v>
      </c>
      <c r="L250" s="72">
        <v>2026400332</v>
      </c>
      <c r="M250" s="28" t="s">
        <v>311</v>
      </c>
      <c r="N250" s="28">
        <v>2026</v>
      </c>
    </row>
    <row r="251" spans="1:14">
      <c r="A251" s="28">
        <v>250</v>
      </c>
      <c r="B251" s="28" t="s">
        <v>52</v>
      </c>
      <c r="C251" s="91" t="s">
        <v>62</v>
      </c>
      <c r="D251" s="28" t="s">
        <v>60</v>
      </c>
      <c r="E251" s="28" t="s">
        <v>71</v>
      </c>
      <c r="F251" s="28"/>
      <c r="G251" s="28" t="s">
        <v>121</v>
      </c>
      <c r="H251" s="28" t="s">
        <v>117</v>
      </c>
      <c r="I251" s="53">
        <v>1495.26</v>
      </c>
      <c r="J251" s="28" t="s">
        <v>645</v>
      </c>
      <c r="K251" s="51">
        <v>46029</v>
      </c>
      <c r="L251" s="72">
        <v>2026400333</v>
      </c>
      <c r="M251" s="28" t="s">
        <v>311</v>
      </c>
      <c r="N251" s="28">
        <v>2026</v>
      </c>
    </row>
    <row r="252" spans="1:14">
      <c r="A252" s="28">
        <v>251</v>
      </c>
      <c r="B252" s="28" t="s">
        <v>52</v>
      </c>
      <c r="C252" s="28" t="s">
        <v>62</v>
      </c>
      <c r="D252" s="28" t="s">
        <v>60</v>
      </c>
      <c r="E252" s="28" t="s">
        <v>71</v>
      </c>
      <c r="F252" s="28"/>
      <c r="G252" s="28" t="s">
        <v>121</v>
      </c>
      <c r="H252" s="52" t="s">
        <v>117</v>
      </c>
      <c r="I252" s="53">
        <v>262.33</v>
      </c>
      <c r="J252" s="28" t="s">
        <v>646</v>
      </c>
      <c r="K252" s="51">
        <v>46029</v>
      </c>
      <c r="L252" s="72">
        <v>2026400334</v>
      </c>
      <c r="M252" s="28" t="s">
        <v>311</v>
      </c>
      <c r="N252" s="28">
        <v>2026</v>
      </c>
    </row>
    <row r="253" spans="1:14">
      <c r="A253" s="28">
        <v>252</v>
      </c>
      <c r="B253" s="28" t="s">
        <v>17</v>
      </c>
      <c r="C253" s="51" t="s">
        <v>22</v>
      </c>
      <c r="D253" s="28" t="s">
        <v>60</v>
      </c>
      <c r="E253" s="28" t="s">
        <v>71</v>
      </c>
      <c r="F253" s="28"/>
      <c r="G253" s="28" t="s">
        <v>121</v>
      </c>
      <c r="H253" s="52" t="s">
        <v>117</v>
      </c>
      <c r="I253" s="53">
        <v>230.75</v>
      </c>
      <c r="J253" s="28" t="s">
        <v>647</v>
      </c>
      <c r="K253" s="51">
        <v>46031</v>
      </c>
      <c r="L253" s="72">
        <v>2026400356</v>
      </c>
      <c r="M253" s="28" t="s">
        <v>311</v>
      </c>
      <c r="N253" s="28">
        <v>2026</v>
      </c>
    </row>
    <row r="254" spans="1:14">
      <c r="A254" s="28">
        <v>253</v>
      </c>
      <c r="B254" s="28" t="s">
        <v>17</v>
      </c>
      <c r="C254" s="122" t="s">
        <v>272</v>
      </c>
      <c r="D254" s="28" t="s">
        <v>60</v>
      </c>
      <c r="E254" s="28" t="s">
        <v>71</v>
      </c>
      <c r="F254" s="28"/>
      <c r="G254" s="28" t="s">
        <v>121</v>
      </c>
      <c r="H254" s="28" t="s">
        <v>117</v>
      </c>
      <c r="I254" s="53">
        <v>89.34</v>
      </c>
      <c r="J254" s="28" t="s">
        <v>648</v>
      </c>
      <c r="K254" s="51">
        <v>46031</v>
      </c>
      <c r="L254" s="72">
        <v>2026400357</v>
      </c>
      <c r="M254" s="28" t="s">
        <v>311</v>
      </c>
      <c r="N254" s="28">
        <v>2026</v>
      </c>
    </row>
    <row r="255" spans="1:14">
      <c r="A255" s="28">
        <v>254</v>
      </c>
      <c r="B255" s="28" t="s">
        <v>42</v>
      </c>
      <c r="C255" s="65" t="s">
        <v>50</v>
      </c>
      <c r="D255" s="28" t="s">
        <v>60</v>
      </c>
      <c r="E255" s="28" t="s">
        <v>71</v>
      </c>
      <c r="F255" s="28"/>
      <c r="G255" s="28" t="s">
        <v>121</v>
      </c>
      <c r="H255" s="52" t="s">
        <v>117</v>
      </c>
      <c r="I255" s="53">
        <v>253.85</v>
      </c>
      <c r="J255" s="51" t="s">
        <v>649</v>
      </c>
      <c r="K255" s="51">
        <v>46031</v>
      </c>
      <c r="L255" s="72">
        <v>2026400294</v>
      </c>
      <c r="M255" s="28" t="s">
        <v>311</v>
      </c>
      <c r="N255" s="28">
        <v>2026</v>
      </c>
    </row>
    <row r="256" spans="1:14">
      <c r="A256" s="28">
        <v>255</v>
      </c>
      <c r="B256" s="28" t="s">
        <v>42</v>
      </c>
      <c r="C256" s="51" t="s">
        <v>50</v>
      </c>
      <c r="D256" s="28" t="s">
        <v>60</v>
      </c>
      <c r="E256" s="28" t="s">
        <v>71</v>
      </c>
      <c r="F256" s="28"/>
      <c r="G256" s="28" t="s">
        <v>121</v>
      </c>
      <c r="H256" s="52" t="s">
        <v>117</v>
      </c>
      <c r="I256" s="53">
        <v>462</v>
      </c>
      <c r="J256" s="28" t="s">
        <v>650</v>
      </c>
      <c r="K256" s="51">
        <v>46031</v>
      </c>
      <c r="L256" s="72">
        <v>2026400326</v>
      </c>
      <c r="M256" s="28" t="s">
        <v>311</v>
      </c>
      <c r="N256" s="28">
        <v>2026</v>
      </c>
    </row>
    <row r="257" spans="1:14">
      <c r="A257" s="28">
        <v>256</v>
      </c>
      <c r="B257" s="28" t="s">
        <v>42</v>
      </c>
      <c r="C257" s="51" t="s">
        <v>50</v>
      </c>
      <c r="D257" s="28" t="s">
        <v>60</v>
      </c>
      <c r="E257" s="28" t="s">
        <v>71</v>
      </c>
      <c r="F257" s="28"/>
      <c r="G257" s="28" t="s">
        <v>121</v>
      </c>
      <c r="H257" s="52" t="s">
        <v>117</v>
      </c>
      <c r="I257" s="53">
        <v>558.46</v>
      </c>
      <c r="J257" s="28" t="s">
        <v>651</v>
      </c>
      <c r="K257" s="51">
        <v>46031</v>
      </c>
      <c r="L257" s="72">
        <v>2026400327</v>
      </c>
      <c r="M257" s="28" t="s">
        <v>311</v>
      </c>
      <c r="N257" s="28">
        <v>2026</v>
      </c>
    </row>
    <row r="258" spans="1:14">
      <c r="A258" s="28">
        <v>257</v>
      </c>
      <c r="B258" s="28" t="s">
        <v>42</v>
      </c>
      <c r="C258" s="28" t="s">
        <v>50</v>
      </c>
      <c r="D258" s="28" t="s">
        <v>60</v>
      </c>
      <c r="E258" s="28" t="s">
        <v>71</v>
      </c>
      <c r="F258" s="28"/>
      <c r="G258" s="28" t="s">
        <v>121</v>
      </c>
      <c r="H258" s="28" t="s">
        <v>117</v>
      </c>
      <c r="I258" s="53">
        <v>157</v>
      </c>
      <c r="J258" s="28" t="s">
        <v>652</v>
      </c>
      <c r="K258" s="51">
        <v>46031</v>
      </c>
      <c r="L258" s="72">
        <v>2026400328</v>
      </c>
      <c r="M258" s="28" t="s">
        <v>311</v>
      </c>
      <c r="N258" s="28">
        <v>2026</v>
      </c>
    </row>
    <row r="259" spans="1:14">
      <c r="A259" s="28">
        <v>258</v>
      </c>
      <c r="B259" s="28" t="s">
        <v>42</v>
      </c>
      <c r="C259" s="93" t="s">
        <v>263</v>
      </c>
      <c r="D259" s="28" t="s">
        <v>60</v>
      </c>
      <c r="E259" s="28" t="s">
        <v>71</v>
      </c>
      <c r="F259" s="28"/>
      <c r="G259" s="28" t="s">
        <v>659</v>
      </c>
      <c r="H259" s="52" t="s">
        <v>117</v>
      </c>
      <c r="I259" s="53">
        <v>1081.081081081081</v>
      </c>
      <c r="J259" s="28" t="s">
        <v>235</v>
      </c>
      <c r="K259" s="51">
        <v>46035</v>
      </c>
      <c r="L259" s="72">
        <v>2026400020</v>
      </c>
      <c r="M259" s="28" t="s">
        <v>311</v>
      </c>
      <c r="N259" s="28">
        <v>2026</v>
      </c>
    </row>
    <row r="260" spans="1:14">
      <c r="A260" s="28">
        <v>259</v>
      </c>
      <c r="B260" s="28" t="s">
        <v>17</v>
      </c>
      <c r="C260" s="28" t="s">
        <v>22</v>
      </c>
      <c r="D260" s="28" t="s">
        <v>60</v>
      </c>
      <c r="E260" s="28" t="s">
        <v>71</v>
      </c>
      <c r="F260" s="28"/>
      <c r="G260" s="28" t="s">
        <v>276</v>
      </c>
      <c r="H260" s="28" t="s">
        <v>117</v>
      </c>
      <c r="I260" s="56">
        <v>202.70270270270271</v>
      </c>
      <c r="J260" s="28" t="s">
        <v>687</v>
      </c>
      <c r="K260" s="51">
        <v>46021</v>
      </c>
      <c r="L260" s="28">
        <v>2026400029</v>
      </c>
      <c r="M260" s="28" t="s">
        <v>311</v>
      </c>
      <c r="N260" s="28">
        <v>2026</v>
      </c>
    </row>
    <row r="261" spans="1:14">
      <c r="A261" s="28">
        <v>260</v>
      </c>
      <c r="B261" s="28" t="s">
        <v>52</v>
      </c>
      <c r="C261" s="28" t="s">
        <v>62</v>
      </c>
      <c r="D261" s="28" t="s">
        <v>60</v>
      </c>
      <c r="E261" s="28" t="s">
        <v>71</v>
      </c>
      <c r="F261" s="28"/>
      <c r="G261" s="28" t="s">
        <v>276</v>
      </c>
      <c r="H261" s="28" t="s">
        <v>117</v>
      </c>
      <c r="I261" s="56">
        <v>1270.2702702702702</v>
      </c>
      <c r="J261" s="28" t="s">
        <v>688</v>
      </c>
      <c r="K261" s="51">
        <v>46037</v>
      </c>
      <c r="L261" s="28">
        <v>2026400018</v>
      </c>
      <c r="M261" s="28" t="s">
        <v>311</v>
      </c>
      <c r="N261" s="28">
        <v>2026</v>
      </c>
    </row>
    <row r="262" spans="1:14">
      <c r="A262" s="28">
        <v>261</v>
      </c>
      <c r="B262" s="28" t="s">
        <v>42</v>
      </c>
      <c r="C262" s="28" t="s">
        <v>50</v>
      </c>
      <c r="D262" s="28" t="s">
        <v>60</v>
      </c>
      <c r="E262" s="28" t="s">
        <v>71</v>
      </c>
      <c r="F262" s="28"/>
      <c r="G262" s="28" t="s">
        <v>276</v>
      </c>
      <c r="H262" s="28" t="s">
        <v>117</v>
      </c>
      <c r="I262" s="49">
        <v>1114.8648648648648</v>
      </c>
      <c r="J262" s="28" t="s">
        <v>235</v>
      </c>
      <c r="K262" s="51">
        <v>46033</v>
      </c>
      <c r="L262" s="28">
        <v>2026400111</v>
      </c>
      <c r="M262" s="28" t="s">
        <v>311</v>
      </c>
      <c r="N262" s="28">
        <v>2026</v>
      </c>
    </row>
    <row r="263" spans="1:14">
      <c r="A263" s="28">
        <v>262</v>
      </c>
      <c r="B263" s="28" t="s">
        <v>17</v>
      </c>
      <c r="C263" s="91" t="s">
        <v>22</v>
      </c>
      <c r="D263" s="28" t="s">
        <v>60</v>
      </c>
      <c r="E263" s="28" t="s">
        <v>71</v>
      </c>
      <c r="F263" s="28"/>
      <c r="G263" s="28" t="s">
        <v>662</v>
      </c>
      <c r="H263" s="28" t="s">
        <v>117</v>
      </c>
      <c r="I263" s="49">
        <v>7432.4324324324325</v>
      </c>
      <c r="J263" s="28" t="s">
        <v>697</v>
      </c>
      <c r="K263" s="51">
        <v>46034</v>
      </c>
      <c r="L263" s="28">
        <v>2026400144</v>
      </c>
      <c r="M263" s="28" t="s">
        <v>311</v>
      </c>
      <c r="N263" s="28">
        <v>2026</v>
      </c>
    </row>
    <row r="264" spans="1:14">
      <c r="A264" s="28">
        <v>263</v>
      </c>
      <c r="B264" s="28" t="s">
        <v>52</v>
      </c>
      <c r="C264" s="28" t="s">
        <v>62</v>
      </c>
      <c r="D264" s="28" t="s">
        <v>60</v>
      </c>
      <c r="E264" s="28" t="s">
        <v>71</v>
      </c>
      <c r="F264" s="28"/>
      <c r="G264" s="28" t="s">
        <v>278</v>
      </c>
      <c r="H264" s="28" t="s">
        <v>117</v>
      </c>
      <c r="I264" s="49">
        <v>8736.5122615803812</v>
      </c>
      <c r="J264" s="28" t="s">
        <v>571</v>
      </c>
      <c r="K264" s="51">
        <v>46035</v>
      </c>
      <c r="L264" s="28">
        <v>2026400213</v>
      </c>
      <c r="M264" s="28" t="s">
        <v>311</v>
      </c>
      <c r="N264" s="28">
        <v>2026</v>
      </c>
    </row>
    <row r="265" spans="1:14">
      <c r="A265" s="28">
        <v>264</v>
      </c>
      <c r="B265" s="28" t="s">
        <v>42</v>
      </c>
      <c r="C265" s="28" t="s">
        <v>50</v>
      </c>
      <c r="D265" s="28" t="s">
        <v>60</v>
      </c>
      <c r="E265" s="28" t="s">
        <v>71</v>
      </c>
      <c r="F265" s="28"/>
      <c r="G265" s="28" t="s">
        <v>229</v>
      </c>
      <c r="H265" s="122" t="s">
        <v>236</v>
      </c>
      <c r="I265" s="56">
        <v>6338</v>
      </c>
      <c r="J265" s="28" t="s">
        <v>468</v>
      </c>
      <c r="K265" s="51">
        <v>46026</v>
      </c>
      <c r="L265" s="28">
        <v>2025404088</v>
      </c>
      <c r="M265" s="28" t="s">
        <v>311</v>
      </c>
      <c r="N265" s="28">
        <v>2026</v>
      </c>
    </row>
    <row r="266" spans="1:14">
      <c r="A266" s="28">
        <v>265</v>
      </c>
      <c r="B266" s="28" t="s">
        <v>42</v>
      </c>
      <c r="C266" s="50" t="s">
        <v>50</v>
      </c>
      <c r="D266" s="28" t="s">
        <v>60</v>
      </c>
      <c r="E266" s="28" t="s">
        <v>71</v>
      </c>
      <c r="F266" s="28"/>
      <c r="G266" s="28" t="s">
        <v>229</v>
      </c>
      <c r="H266" s="122" t="s">
        <v>236</v>
      </c>
      <c r="I266" s="56">
        <v>29224</v>
      </c>
      <c r="J266" s="28" t="s">
        <v>474</v>
      </c>
      <c r="K266" s="51">
        <v>46026</v>
      </c>
      <c r="L266" s="54">
        <v>2025404181</v>
      </c>
      <c r="M266" s="28" t="s">
        <v>311</v>
      </c>
      <c r="N266" s="28">
        <v>2026</v>
      </c>
    </row>
    <row r="267" spans="1:14">
      <c r="A267" s="28">
        <v>266</v>
      </c>
      <c r="B267" s="28" t="s">
        <v>54</v>
      </c>
      <c r="C267" s="28" t="s">
        <v>55</v>
      </c>
      <c r="D267" s="28" t="s">
        <v>60</v>
      </c>
      <c r="E267" s="28" t="s">
        <v>71</v>
      </c>
      <c r="F267" s="28"/>
      <c r="G267" s="28" t="s">
        <v>229</v>
      </c>
      <c r="H267" s="122" t="s">
        <v>236</v>
      </c>
      <c r="I267" s="53">
        <v>1260</v>
      </c>
      <c r="J267" s="28" t="s">
        <v>480</v>
      </c>
      <c r="K267" s="51">
        <v>46030</v>
      </c>
      <c r="L267" s="72">
        <v>2025404856</v>
      </c>
      <c r="M267" s="28" t="s">
        <v>311</v>
      </c>
      <c r="N267" s="28">
        <v>2026</v>
      </c>
    </row>
    <row r="268" spans="1:14">
      <c r="A268" s="28">
        <v>267</v>
      </c>
      <c r="B268" s="66" t="s">
        <v>17</v>
      </c>
      <c r="C268" s="28" t="s">
        <v>25</v>
      </c>
      <c r="D268" s="28" t="s">
        <v>60</v>
      </c>
      <c r="E268" s="60" t="s">
        <v>71</v>
      </c>
      <c r="F268" s="28"/>
      <c r="G268" s="28" t="s">
        <v>229</v>
      </c>
      <c r="H268" s="122" t="s">
        <v>236</v>
      </c>
      <c r="I268" s="56">
        <v>3944</v>
      </c>
      <c r="J268" s="28" t="s">
        <v>506</v>
      </c>
      <c r="K268" s="51">
        <v>46036</v>
      </c>
      <c r="L268" s="28">
        <v>2025404917</v>
      </c>
      <c r="M268" s="28" t="s">
        <v>311</v>
      </c>
      <c r="N268" s="28">
        <v>2026</v>
      </c>
    </row>
    <row r="269" spans="1:14">
      <c r="A269" s="28">
        <v>268</v>
      </c>
      <c r="B269" s="66" t="s">
        <v>42</v>
      </c>
      <c r="C269" s="28" t="s">
        <v>49</v>
      </c>
      <c r="D269" s="28" t="s">
        <v>60</v>
      </c>
      <c r="E269" s="60" t="s">
        <v>71</v>
      </c>
      <c r="F269" s="28"/>
      <c r="G269" s="28" t="s">
        <v>229</v>
      </c>
      <c r="H269" s="122" t="s">
        <v>236</v>
      </c>
      <c r="I269" s="56">
        <v>890</v>
      </c>
      <c r="J269" s="28" t="s">
        <v>507</v>
      </c>
      <c r="K269" s="51">
        <v>46036</v>
      </c>
      <c r="L269" s="28">
        <v>2025404162</v>
      </c>
      <c r="M269" s="28" t="s">
        <v>311</v>
      </c>
      <c r="N269" s="28">
        <v>2026</v>
      </c>
    </row>
    <row r="270" spans="1:14">
      <c r="A270" s="28">
        <v>269</v>
      </c>
      <c r="B270" s="66" t="s">
        <v>17</v>
      </c>
      <c r="C270" s="28" t="s">
        <v>24</v>
      </c>
      <c r="D270" s="28" t="s">
        <v>60</v>
      </c>
      <c r="E270" s="60" t="s">
        <v>71</v>
      </c>
      <c r="F270" s="28"/>
      <c r="G270" s="28" t="s">
        <v>229</v>
      </c>
      <c r="H270" s="122" t="s">
        <v>236</v>
      </c>
      <c r="I270" s="56">
        <v>1538.4</v>
      </c>
      <c r="J270" s="28" t="s">
        <v>510</v>
      </c>
      <c r="K270" s="51">
        <v>46037</v>
      </c>
      <c r="L270" s="28">
        <v>2026400165</v>
      </c>
      <c r="M270" s="28" t="s">
        <v>311</v>
      </c>
      <c r="N270" s="28">
        <v>2026</v>
      </c>
    </row>
    <row r="271" spans="1:14">
      <c r="A271" s="28">
        <v>270</v>
      </c>
      <c r="B271" s="66" t="s">
        <v>52</v>
      </c>
      <c r="C271" s="28" t="s">
        <v>62</v>
      </c>
      <c r="D271" s="28" t="s">
        <v>60</v>
      </c>
      <c r="E271" s="60" t="s">
        <v>71</v>
      </c>
      <c r="F271" s="28"/>
      <c r="G271" s="28" t="s">
        <v>229</v>
      </c>
      <c r="H271" s="122" t="s">
        <v>236</v>
      </c>
      <c r="I271" s="56">
        <v>15000</v>
      </c>
      <c r="J271" s="28" t="s">
        <v>512</v>
      </c>
      <c r="K271" s="51">
        <v>46039</v>
      </c>
      <c r="L271" s="28">
        <v>2025404941</v>
      </c>
      <c r="M271" s="28" t="s">
        <v>311</v>
      </c>
      <c r="N271" s="28">
        <v>2026</v>
      </c>
    </row>
    <row r="272" spans="1:14">
      <c r="A272" s="28">
        <v>271</v>
      </c>
      <c r="B272" s="66" t="s">
        <v>17</v>
      </c>
      <c r="C272" s="91" t="s">
        <v>24</v>
      </c>
      <c r="D272" s="28" t="s">
        <v>60</v>
      </c>
      <c r="E272" s="60" t="s">
        <v>71</v>
      </c>
      <c r="F272" s="28"/>
      <c r="G272" s="28" t="s">
        <v>229</v>
      </c>
      <c r="H272" s="122" t="s">
        <v>236</v>
      </c>
      <c r="I272" s="56">
        <v>3560</v>
      </c>
      <c r="J272" s="28" t="s">
        <v>516</v>
      </c>
      <c r="K272" s="51">
        <v>46032</v>
      </c>
      <c r="L272" s="28">
        <v>2026400062</v>
      </c>
      <c r="M272" s="28" t="s">
        <v>311</v>
      </c>
      <c r="N272" s="28">
        <v>2026</v>
      </c>
    </row>
    <row r="273" spans="1:14">
      <c r="A273" s="28">
        <v>272</v>
      </c>
      <c r="B273" s="28" t="s">
        <v>42</v>
      </c>
      <c r="C273" s="51" t="s">
        <v>47</v>
      </c>
      <c r="D273" s="28" t="s">
        <v>60</v>
      </c>
      <c r="E273" s="28" t="s">
        <v>71</v>
      </c>
      <c r="F273" s="28"/>
      <c r="G273" s="28" t="s">
        <v>229</v>
      </c>
      <c r="H273" s="122" t="s">
        <v>236</v>
      </c>
      <c r="I273" s="53">
        <v>3366</v>
      </c>
      <c r="J273" s="28" t="s">
        <v>552</v>
      </c>
      <c r="K273" s="51">
        <v>46036</v>
      </c>
      <c r="L273" s="54">
        <v>2026400005</v>
      </c>
      <c r="M273" s="28" t="s">
        <v>311</v>
      </c>
      <c r="N273" s="28">
        <v>2026</v>
      </c>
    </row>
    <row r="274" spans="1:14">
      <c r="A274" s="28">
        <v>273</v>
      </c>
      <c r="B274" s="28" t="s">
        <v>42</v>
      </c>
      <c r="C274" s="93" t="s">
        <v>50</v>
      </c>
      <c r="D274" s="28" t="s">
        <v>60</v>
      </c>
      <c r="E274" s="28" t="s">
        <v>71</v>
      </c>
      <c r="F274" s="28"/>
      <c r="G274" s="28" t="s">
        <v>229</v>
      </c>
      <c r="H274" s="122" t="s">
        <v>236</v>
      </c>
      <c r="I274" s="53">
        <v>4924</v>
      </c>
      <c r="J274" s="28" t="s">
        <v>633</v>
      </c>
      <c r="K274" s="51">
        <v>46042</v>
      </c>
      <c r="L274" s="72">
        <v>2026400223</v>
      </c>
      <c r="M274" s="28" t="s">
        <v>311</v>
      </c>
      <c r="N274" s="28">
        <v>2026</v>
      </c>
    </row>
    <row r="275" spans="1:14">
      <c r="A275" s="28">
        <v>274</v>
      </c>
      <c r="B275" s="28" t="s">
        <v>52</v>
      </c>
      <c r="C275" s="28" t="s">
        <v>62</v>
      </c>
      <c r="D275" s="28" t="s">
        <v>60</v>
      </c>
      <c r="E275" s="28" t="s">
        <v>71</v>
      </c>
      <c r="F275" s="28"/>
      <c r="G275" s="28" t="s">
        <v>669</v>
      </c>
      <c r="H275" s="52" t="s">
        <v>117</v>
      </c>
      <c r="I275" s="56">
        <v>2027.0270270270271</v>
      </c>
      <c r="J275" s="28" t="s">
        <v>722</v>
      </c>
      <c r="K275" s="51">
        <v>46039</v>
      </c>
      <c r="L275" s="54">
        <v>2026400379</v>
      </c>
      <c r="M275" s="28" t="s">
        <v>311</v>
      </c>
      <c r="N275" s="28">
        <v>2026</v>
      </c>
    </row>
    <row r="276" spans="1:14">
      <c r="A276" s="28">
        <v>275</v>
      </c>
      <c r="B276" s="28" t="s">
        <v>27</v>
      </c>
      <c r="C276" s="28" t="s">
        <v>28</v>
      </c>
      <c r="D276" s="28" t="s">
        <v>60</v>
      </c>
      <c r="E276" s="28" t="s">
        <v>71</v>
      </c>
      <c r="F276" s="28"/>
      <c r="G276" s="28" t="s">
        <v>455</v>
      </c>
      <c r="H276" s="59" t="s">
        <v>117</v>
      </c>
      <c r="I276" s="56">
        <v>2849.25</v>
      </c>
      <c r="J276" s="28" t="s">
        <v>470</v>
      </c>
      <c r="K276" s="51">
        <v>46027</v>
      </c>
      <c r="L276" s="28">
        <v>2025404843</v>
      </c>
      <c r="M276" s="28" t="s">
        <v>311</v>
      </c>
      <c r="N276" s="28">
        <v>2026</v>
      </c>
    </row>
    <row r="277" spans="1:14">
      <c r="A277" s="28">
        <v>276</v>
      </c>
      <c r="B277" s="28" t="s">
        <v>54</v>
      </c>
      <c r="C277" s="28" t="s">
        <v>94</v>
      </c>
      <c r="D277" s="28" t="s">
        <v>60</v>
      </c>
      <c r="E277" s="28" t="s">
        <v>71</v>
      </c>
      <c r="F277" s="28"/>
      <c r="G277" s="28" t="s">
        <v>230</v>
      </c>
      <c r="H277" s="122" t="s">
        <v>281</v>
      </c>
      <c r="I277" s="56">
        <v>9407.9599999999991</v>
      </c>
      <c r="J277" s="28" t="s">
        <v>478</v>
      </c>
      <c r="K277" s="51">
        <v>46020</v>
      </c>
      <c r="L277" s="54">
        <v>2025404842</v>
      </c>
      <c r="M277" s="28" t="s">
        <v>311</v>
      </c>
      <c r="N277" s="28">
        <v>2026</v>
      </c>
    </row>
    <row r="278" spans="1:14">
      <c r="A278" s="28">
        <v>277</v>
      </c>
      <c r="B278" s="66" t="s">
        <v>17</v>
      </c>
      <c r="C278" s="28" t="s">
        <v>25</v>
      </c>
      <c r="D278" s="28" t="s">
        <v>60</v>
      </c>
      <c r="E278" s="60" t="s">
        <v>71</v>
      </c>
      <c r="F278" s="28"/>
      <c r="G278" s="28" t="s">
        <v>230</v>
      </c>
      <c r="H278" s="122" t="s">
        <v>281</v>
      </c>
      <c r="I278" s="56">
        <v>7600</v>
      </c>
      <c r="J278" s="28" t="s">
        <v>505</v>
      </c>
      <c r="K278" s="51">
        <v>46028</v>
      </c>
      <c r="L278" s="28">
        <v>2026400056</v>
      </c>
      <c r="M278" s="28" t="s">
        <v>311</v>
      </c>
      <c r="N278" s="28">
        <v>2026</v>
      </c>
    </row>
    <row r="279" spans="1:14">
      <c r="A279" s="28">
        <v>278</v>
      </c>
      <c r="B279" s="66" t="s">
        <v>17</v>
      </c>
      <c r="C279" s="28" t="s">
        <v>25</v>
      </c>
      <c r="D279" s="28" t="s">
        <v>60</v>
      </c>
      <c r="E279" s="60" t="s">
        <v>71</v>
      </c>
      <c r="F279" s="28"/>
      <c r="G279" s="28" t="s">
        <v>230</v>
      </c>
      <c r="H279" s="122" t="s">
        <v>281</v>
      </c>
      <c r="I279" s="56">
        <v>640</v>
      </c>
      <c r="J279" s="28" t="s">
        <v>515</v>
      </c>
      <c r="K279" s="51">
        <v>46027</v>
      </c>
      <c r="L279" s="28">
        <v>2026400054</v>
      </c>
      <c r="M279" s="28" t="s">
        <v>311</v>
      </c>
      <c r="N279" s="28">
        <v>2026</v>
      </c>
    </row>
    <row r="280" spans="1:14">
      <c r="A280" s="28">
        <v>279</v>
      </c>
      <c r="B280" s="66" t="s">
        <v>17</v>
      </c>
      <c r="C280" s="28" t="s">
        <v>24</v>
      </c>
      <c r="D280" s="28" t="s">
        <v>60</v>
      </c>
      <c r="E280" s="28" t="s">
        <v>71</v>
      </c>
      <c r="F280" s="28"/>
      <c r="G280" s="28" t="s">
        <v>230</v>
      </c>
      <c r="H280" s="122" t="s">
        <v>281</v>
      </c>
      <c r="I280" s="56">
        <v>315</v>
      </c>
      <c r="J280" s="28" t="s">
        <v>517</v>
      </c>
      <c r="K280" s="51">
        <v>46020</v>
      </c>
      <c r="L280" s="28">
        <v>2026400175</v>
      </c>
      <c r="M280" s="28" t="s">
        <v>311</v>
      </c>
      <c r="N280" s="28">
        <v>2026</v>
      </c>
    </row>
    <row r="281" spans="1:14">
      <c r="A281" s="28">
        <v>280</v>
      </c>
      <c r="B281" s="28" t="s">
        <v>42</v>
      </c>
      <c r="C281" s="93" t="s">
        <v>263</v>
      </c>
      <c r="D281" s="28" t="s">
        <v>60</v>
      </c>
      <c r="E281" s="28" t="s">
        <v>71</v>
      </c>
      <c r="F281" s="28"/>
      <c r="G281" s="28" t="s">
        <v>230</v>
      </c>
      <c r="H281" s="122" t="s">
        <v>281</v>
      </c>
      <c r="I281" s="53">
        <v>968</v>
      </c>
      <c r="J281" s="28" t="s">
        <v>538</v>
      </c>
      <c r="K281" s="51">
        <v>46037</v>
      </c>
      <c r="L281" s="54">
        <v>2026400203</v>
      </c>
      <c r="M281" s="28" t="s">
        <v>311</v>
      </c>
      <c r="N281" s="28">
        <v>2026</v>
      </c>
    </row>
    <row r="282" spans="1:14">
      <c r="A282" s="28">
        <v>281</v>
      </c>
      <c r="B282" s="28" t="s">
        <v>17</v>
      </c>
      <c r="C282" s="51" t="s">
        <v>24</v>
      </c>
      <c r="D282" s="28" t="s">
        <v>60</v>
      </c>
      <c r="E282" s="28" t="s">
        <v>71</v>
      </c>
      <c r="F282" s="28"/>
      <c r="G282" s="28" t="s">
        <v>230</v>
      </c>
      <c r="H282" s="122" t="s">
        <v>281</v>
      </c>
      <c r="I282" s="53">
        <v>4560</v>
      </c>
      <c r="J282" s="28" t="s">
        <v>545</v>
      </c>
      <c r="K282" s="51">
        <v>46039</v>
      </c>
      <c r="L282" s="54">
        <v>2026400197</v>
      </c>
      <c r="M282" s="28" t="s">
        <v>311</v>
      </c>
      <c r="N282" s="28">
        <v>2026</v>
      </c>
    </row>
    <row r="283" spans="1:14">
      <c r="A283" s="28">
        <v>282</v>
      </c>
      <c r="B283" s="28" t="s">
        <v>42</v>
      </c>
      <c r="C283" s="51" t="s">
        <v>44</v>
      </c>
      <c r="D283" s="28" t="s">
        <v>60</v>
      </c>
      <c r="E283" s="28" t="s">
        <v>71</v>
      </c>
      <c r="F283" s="28"/>
      <c r="G283" s="28" t="s">
        <v>230</v>
      </c>
      <c r="H283" s="122" t="s">
        <v>281</v>
      </c>
      <c r="I283" s="53">
        <v>4560</v>
      </c>
      <c r="J283" s="28" t="s">
        <v>545</v>
      </c>
      <c r="K283" s="51">
        <v>46039</v>
      </c>
      <c r="L283" s="72" t="s">
        <v>656</v>
      </c>
      <c r="M283" s="28" t="s">
        <v>311</v>
      </c>
      <c r="N283" s="28">
        <v>2026</v>
      </c>
    </row>
    <row r="284" spans="1:14">
      <c r="A284" s="28">
        <v>283</v>
      </c>
      <c r="B284" s="28" t="s">
        <v>42</v>
      </c>
      <c r="C284" s="51" t="s">
        <v>263</v>
      </c>
      <c r="D284" s="28" t="s">
        <v>60</v>
      </c>
      <c r="E284" s="28" t="s">
        <v>71</v>
      </c>
      <c r="F284" s="28"/>
      <c r="G284" s="28" t="s">
        <v>230</v>
      </c>
      <c r="H284" s="122" t="s">
        <v>281</v>
      </c>
      <c r="I284" s="53">
        <v>480</v>
      </c>
      <c r="J284" s="28" t="s">
        <v>610</v>
      </c>
      <c r="K284" s="51">
        <v>46039</v>
      </c>
      <c r="L284" s="72">
        <v>2026400202</v>
      </c>
      <c r="M284" s="28" t="s">
        <v>311</v>
      </c>
      <c r="N284" s="28">
        <v>2026</v>
      </c>
    </row>
    <row r="285" spans="1:14">
      <c r="A285" s="28">
        <v>284</v>
      </c>
      <c r="B285" s="28" t="s">
        <v>35</v>
      </c>
      <c r="C285" s="28" t="s">
        <v>36</v>
      </c>
      <c r="D285" s="28" t="s">
        <v>60</v>
      </c>
      <c r="E285" s="28" t="s">
        <v>71</v>
      </c>
      <c r="F285" s="28"/>
      <c r="G285" s="28" t="s">
        <v>230</v>
      </c>
      <c r="H285" s="122" t="s">
        <v>281</v>
      </c>
      <c r="I285" s="53">
        <v>1425</v>
      </c>
      <c r="J285" s="28" t="s">
        <v>614</v>
      </c>
      <c r="K285" s="51">
        <v>46039</v>
      </c>
      <c r="L285" s="72">
        <v>2026400196</v>
      </c>
      <c r="M285" s="28" t="s">
        <v>311</v>
      </c>
      <c r="N285" s="28">
        <v>2026</v>
      </c>
    </row>
    <row r="286" spans="1:14">
      <c r="A286" s="28">
        <v>285</v>
      </c>
      <c r="B286" s="28" t="s">
        <v>17</v>
      </c>
      <c r="C286" s="93" t="s">
        <v>25</v>
      </c>
      <c r="D286" s="28" t="s">
        <v>60</v>
      </c>
      <c r="E286" s="28" t="s">
        <v>71</v>
      </c>
      <c r="F286" s="28"/>
      <c r="G286" s="28" t="s">
        <v>230</v>
      </c>
      <c r="H286" s="122" t="s">
        <v>281</v>
      </c>
      <c r="I286" s="53">
        <v>5940</v>
      </c>
      <c r="J286" s="28" t="s">
        <v>632</v>
      </c>
      <c r="K286" s="51">
        <v>46042</v>
      </c>
      <c r="L286" s="72">
        <v>2026400348</v>
      </c>
      <c r="M286" s="28" t="s">
        <v>311</v>
      </c>
      <c r="N286" s="28">
        <v>2026</v>
      </c>
    </row>
    <row r="287" spans="1:14">
      <c r="A287" s="28">
        <v>286</v>
      </c>
      <c r="B287" s="28" t="s">
        <v>42</v>
      </c>
      <c r="C287" s="28" t="s">
        <v>47</v>
      </c>
      <c r="D287" s="28" t="s">
        <v>60</v>
      </c>
      <c r="E287" s="28" t="s">
        <v>71</v>
      </c>
      <c r="F287" s="28"/>
      <c r="G287" s="28" t="s">
        <v>456</v>
      </c>
      <c r="H287" s="28" t="s">
        <v>117</v>
      </c>
      <c r="I287" s="53">
        <v>460</v>
      </c>
      <c r="J287" s="28" t="s">
        <v>481</v>
      </c>
      <c r="K287" s="51">
        <v>46033</v>
      </c>
      <c r="L287" s="72">
        <v>2026400008</v>
      </c>
      <c r="M287" s="28" t="s">
        <v>311</v>
      </c>
      <c r="N287" s="28">
        <v>2026</v>
      </c>
    </row>
    <row r="288" spans="1:14">
      <c r="A288" s="28">
        <v>287</v>
      </c>
      <c r="B288" s="48" t="s">
        <v>42</v>
      </c>
      <c r="C288" s="91" t="s">
        <v>49</v>
      </c>
      <c r="D288" s="28" t="s">
        <v>60</v>
      </c>
      <c r="E288" s="28" t="s">
        <v>71</v>
      </c>
      <c r="F288" s="28"/>
      <c r="G288" s="28" t="s">
        <v>670</v>
      </c>
      <c r="H288" s="28" t="s">
        <v>117</v>
      </c>
      <c r="I288" s="56">
        <v>5067.5675675675675</v>
      </c>
      <c r="J288" s="51" t="s">
        <v>723</v>
      </c>
      <c r="K288" s="51">
        <v>46044</v>
      </c>
      <c r="L288" s="54">
        <v>2026400377</v>
      </c>
      <c r="M288" s="28" t="s">
        <v>311</v>
      </c>
      <c r="N288" s="28">
        <v>2026</v>
      </c>
    </row>
    <row r="289" spans="1:14">
      <c r="A289" s="28">
        <v>288</v>
      </c>
      <c r="B289" s="28" t="s">
        <v>54</v>
      </c>
      <c r="C289" s="28" t="s">
        <v>94</v>
      </c>
      <c r="D289" s="28" t="s">
        <v>60</v>
      </c>
      <c r="E289" s="28" t="s">
        <v>71</v>
      </c>
      <c r="F289" s="28"/>
      <c r="G289" s="28" t="s">
        <v>122</v>
      </c>
      <c r="H289" s="28" t="s">
        <v>117</v>
      </c>
      <c r="I289" s="49">
        <v>13513.513513513513</v>
      </c>
      <c r="J289" s="28" t="s">
        <v>699</v>
      </c>
      <c r="K289" s="51">
        <v>46028</v>
      </c>
      <c r="L289" s="28">
        <v>2025404322</v>
      </c>
      <c r="M289" s="28" t="s">
        <v>311</v>
      </c>
      <c r="N289" s="28">
        <v>2026</v>
      </c>
    </row>
    <row r="290" spans="1:14">
      <c r="A290" s="28">
        <v>289</v>
      </c>
      <c r="B290" s="28" t="s">
        <v>17</v>
      </c>
      <c r="C290" s="93" t="s">
        <v>25</v>
      </c>
      <c r="D290" s="28" t="s">
        <v>60</v>
      </c>
      <c r="E290" s="28" t="s">
        <v>71</v>
      </c>
      <c r="F290" s="28"/>
      <c r="G290" s="28" t="s">
        <v>122</v>
      </c>
      <c r="H290" s="52" t="s">
        <v>117</v>
      </c>
      <c r="I290" s="53">
        <v>3665.5405405405404</v>
      </c>
      <c r="J290" s="28" t="s">
        <v>720</v>
      </c>
      <c r="K290" s="51">
        <v>46044</v>
      </c>
      <c r="L290" s="54">
        <v>2026400383</v>
      </c>
      <c r="M290" s="28" t="s">
        <v>311</v>
      </c>
      <c r="N290" s="28">
        <v>2026</v>
      </c>
    </row>
    <row r="291" spans="1:14">
      <c r="A291" s="28">
        <v>290</v>
      </c>
      <c r="B291" s="28" t="s">
        <v>17</v>
      </c>
      <c r="C291" s="50" t="s">
        <v>25</v>
      </c>
      <c r="D291" s="28" t="s">
        <v>60</v>
      </c>
      <c r="E291" s="28" t="s">
        <v>71</v>
      </c>
      <c r="F291" s="28"/>
      <c r="G291" s="28" t="s">
        <v>277</v>
      </c>
      <c r="H291" s="52" t="s">
        <v>117</v>
      </c>
      <c r="I291" s="56">
        <v>1991.5540540540539</v>
      </c>
      <c r="J291" s="28" t="s">
        <v>721</v>
      </c>
      <c r="K291" s="51">
        <v>46044</v>
      </c>
      <c r="L291" s="54">
        <v>2026400393</v>
      </c>
      <c r="M291" s="28" t="s">
        <v>311</v>
      </c>
      <c r="N291" s="28">
        <v>2026</v>
      </c>
    </row>
    <row r="292" spans="1:14">
      <c r="A292" s="28">
        <v>291</v>
      </c>
      <c r="B292" s="48" t="s">
        <v>17</v>
      </c>
      <c r="C292" s="93" t="s">
        <v>18</v>
      </c>
      <c r="D292" s="122" t="s">
        <v>60</v>
      </c>
      <c r="E292" s="28" t="s">
        <v>71</v>
      </c>
      <c r="F292" s="28"/>
      <c r="G292" s="28" t="s">
        <v>64</v>
      </c>
      <c r="H292" s="28" t="s">
        <v>324</v>
      </c>
      <c r="I292" s="53">
        <v>1022.8040540540541</v>
      </c>
      <c r="J292" s="51" t="s">
        <v>68</v>
      </c>
      <c r="K292" s="51" t="s">
        <v>297</v>
      </c>
      <c r="L292" s="54" t="s">
        <v>14</v>
      </c>
      <c r="M292" s="28" t="s">
        <v>311</v>
      </c>
      <c r="N292" s="28">
        <v>2026</v>
      </c>
    </row>
    <row r="293" spans="1:14">
      <c r="A293" s="28">
        <v>292</v>
      </c>
      <c r="B293" s="57" t="s">
        <v>17</v>
      </c>
      <c r="C293" s="91" t="s">
        <v>18</v>
      </c>
      <c r="D293" s="122" t="s">
        <v>60</v>
      </c>
      <c r="E293" s="28" t="s">
        <v>71</v>
      </c>
      <c r="F293" s="28"/>
      <c r="G293" s="28" t="s">
        <v>64</v>
      </c>
      <c r="H293" s="28" t="s">
        <v>325</v>
      </c>
      <c r="I293" s="56">
        <v>481.75675675675677</v>
      </c>
      <c r="J293" s="28" t="s">
        <v>68</v>
      </c>
      <c r="K293" s="51">
        <v>46143</v>
      </c>
      <c r="L293" s="28" t="s">
        <v>14</v>
      </c>
      <c r="M293" s="28" t="s">
        <v>311</v>
      </c>
      <c r="N293" s="28">
        <v>2026</v>
      </c>
    </row>
    <row r="294" spans="1:14">
      <c r="A294" s="28">
        <v>293</v>
      </c>
      <c r="B294" s="48" t="s">
        <v>17</v>
      </c>
      <c r="C294" s="28" t="s">
        <v>18</v>
      </c>
      <c r="D294" s="122" t="s">
        <v>60</v>
      </c>
      <c r="E294" s="28" t="s">
        <v>71</v>
      </c>
      <c r="F294" s="28"/>
      <c r="G294" s="48" t="s">
        <v>64</v>
      </c>
      <c r="H294" s="48" t="s">
        <v>326</v>
      </c>
      <c r="I294" s="56">
        <v>1021.2837837837837</v>
      </c>
      <c r="J294" s="28" t="s">
        <v>68</v>
      </c>
      <c r="K294" s="51" t="s">
        <v>371</v>
      </c>
      <c r="L294" s="28" t="s">
        <v>14</v>
      </c>
      <c r="M294" s="28" t="s">
        <v>311</v>
      </c>
      <c r="N294" s="28">
        <v>2026</v>
      </c>
    </row>
    <row r="295" spans="1:14">
      <c r="A295" s="28">
        <v>294</v>
      </c>
      <c r="B295" s="48" t="s">
        <v>17</v>
      </c>
      <c r="C295" s="91" t="s">
        <v>22</v>
      </c>
      <c r="D295" s="122" t="s">
        <v>60</v>
      </c>
      <c r="E295" s="28" t="s">
        <v>71</v>
      </c>
      <c r="F295" s="28"/>
      <c r="G295" s="48" t="s">
        <v>64</v>
      </c>
      <c r="H295" s="48" t="s">
        <v>72</v>
      </c>
      <c r="I295" s="56">
        <v>756.75675675675677</v>
      </c>
      <c r="J295" s="28" t="s">
        <v>68</v>
      </c>
      <c r="K295" s="51" t="s">
        <v>296</v>
      </c>
      <c r="L295" s="28" t="s">
        <v>14</v>
      </c>
      <c r="M295" s="28" t="s">
        <v>311</v>
      </c>
      <c r="N295" s="28">
        <v>2026</v>
      </c>
    </row>
    <row r="296" spans="1:14">
      <c r="A296" s="28">
        <v>295</v>
      </c>
      <c r="B296" s="48" t="s">
        <v>17</v>
      </c>
      <c r="C296" s="28" t="s">
        <v>24</v>
      </c>
      <c r="D296" s="122" t="s">
        <v>60</v>
      </c>
      <c r="E296" s="28" t="s">
        <v>71</v>
      </c>
      <c r="F296" s="28"/>
      <c r="G296" s="48" t="s">
        <v>64</v>
      </c>
      <c r="H296" s="48" t="s">
        <v>327</v>
      </c>
      <c r="I296" s="56">
        <v>2685.135135135135</v>
      </c>
      <c r="J296" s="28" t="s">
        <v>68</v>
      </c>
      <c r="K296" s="51" t="s">
        <v>289</v>
      </c>
      <c r="L296" s="28" t="s">
        <v>14</v>
      </c>
      <c r="M296" s="28" t="s">
        <v>311</v>
      </c>
      <c r="N296" s="28">
        <v>2026</v>
      </c>
    </row>
    <row r="297" spans="1:14">
      <c r="A297" s="28">
        <v>296</v>
      </c>
      <c r="B297" s="48" t="s">
        <v>17</v>
      </c>
      <c r="C297" s="28" t="s">
        <v>25</v>
      </c>
      <c r="D297" s="122" t="s">
        <v>60</v>
      </c>
      <c r="E297" s="28" t="s">
        <v>71</v>
      </c>
      <c r="F297" s="28"/>
      <c r="G297" s="48" t="s">
        <v>64</v>
      </c>
      <c r="H297" s="48" t="s">
        <v>257</v>
      </c>
      <c r="I297" s="56">
        <v>1620.2702702702702</v>
      </c>
      <c r="J297" s="28" t="s">
        <v>68</v>
      </c>
      <c r="K297" s="51">
        <v>46143</v>
      </c>
      <c r="L297" s="28" t="s">
        <v>14</v>
      </c>
      <c r="M297" s="28" t="s">
        <v>311</v>
      </c>
      <c r="N297" s="28">
        <v>2026</v>
      </c>
    </row>
    <row r="298" spans="1:14">
      <c r="A298" s="28">
        <v>297</v>
      </c>
      <c r="B298" s="48" t="s">
        <v>17</v>
      </c>
      <c r="C298" s="91" t="s">
        <v>25</v>
      </c>
      <c r="D298" s="122" t="s">
        <v>60</v>
      </c>
      <c r="E298" s="28" t="s">
        <v>71</v>
      </c>
      <c r="F298" s="28"/>
      <c r="G298" s="48" t="s">
        <v>64</v>
      </c>
      <c r="H298" s="48" t="s">
        <v>257</v>
      </c>
      <c r="I298" s="56">
        <v>1550.6756756756756</v>
      </c>
      <c r="J298" s="28" t="s">
        <v>68</v>
      </c>
      <c r="K298" s="51" t="s">
        <v>372</v>
      </c>
      <c r="L298" s="28" t="s">
        <v>14</v>
      </c>
      <c r="M298" s="28" t="s">
        <v>311</v>
      </c>
      <c r="N298" s="28">
        <v>2026</v>
      </c>
    </row>
    <row r="299" spans="1:14">
      <c r="A299" s="28">
        <v>298</v>
      </c>
      <c r="B299" s="28" t="s">
        <v>54</v>
      </c>
      <c r="C299" s="28" t="s">
        <v>55</v>
      </c>
      <c r="D299" s="122" t="s">
        <v>60</v>
      </c>
      <c r="E299" s="28" t="s">
        <v>71</v>
      </c>
      <c r="F299" s="28"/>
      <c r="G299" s="28" t="s">
        <v>64</v>
      </c>
      <c r="H299" s="28" t="s">
        <v>75</v>
      </c>
      <c r="I299" s="56">
        <v>1717.9054054054054</v>
      </c>
      <c r="J299" s="58" t="s">
        <v>68</v>
      </c>
      <c r="K299" s="51">
        <v>46113</v>
      </c>
      <c r="L299" s="28" t="s">
        <v>14</v>
      </c>
      <c r="M299" s="28" t="s">
        <v>311</v>
      </c>
      <c r="N299" s="28">
        <v>2026</v>
      </c>
    </row>
    <row r="300" spans="1:14">
      <c r="A300" s="28">
        <v>299</v>
      </c>
      <c r="B300" s="28" t="s">
        <v>54</v>
      </c>
      <c r="C300" s="28" t="s">
        <v>55</v>
      </c>
      <c r="D300" s="122" t="s">
        <v>60</v>
      </c>
      <c r="E300" s="28" t="s">
        <v>71</v>
      </c>
      <c r="F300" s="28"/>
      <c r="G300" s="28" t="s">
        <v>64</v>
      </c>
      <c r="H300" s="28" t="s">
        <v>75</v>
      </c>
      <c r="I300" s="56">
        <v>2072.2972972972975</v>
      </c>
      <c r="J300" s="28" t="s">
        <v>68</v>
      </c>
      <c r="K300" s="51" t="s">
        <v>371</v>
      </c>
      <c r="L300" s="28" t="s">
        <v>14</v>
      </c>
      <c r="M300" s="28" t="s">
        <v>311</v>
      </c>
      <c r="N300" s="28">
        <v>2026</v>
      </c>
    </row>
    <row r="301" spans="1:14">
      <c r="A301" s="28">
        <v>300</v>
      </c>
      <c r="B301" s="28" t="s">
        <v>58</v>
      </c>
      <c r="C301" s="28" t="s">
        <v>59</v>
      </c>
      <c r="D301" s="122" t="s">
        <v>60</v>
      </c>
      <c r="E301" s="28" t="s">
        <v>71</v>
      </c>
      <c r="F301" s="28"/>
      <c r="G301" s="28" t="s">
        <v>64</v>
      </c>
      <c r="H301" s="28" t="s">
        <v>328</v>
      </c>
      <c r="I301" s="56">
        <v>270.27027027027026</v>
      </c>
      <c r="J301" s="28" t="s">
        <v>68</v>
      </c>
      <c r="K301" s="51" t="s">
        <v>373</v>
      </c>
      <c r="L301" s="28" t="s">
        <v>14</v>
      </c>
      <c r="M301" s="28" t="s">
        <v>311</v>
      </c>
      <c r="N301" s="28">
        <v>2026</v>
      </c>
    </row>
    <row r="302" spans="1:14">
      <c r="A302" s="28">
        <v>301</v>
      </c>
      <c r="B302" s="57" t="s">
        <v>58</v>
      </c>
      <c r="C302" s="57" t="s">
        <v>59</v>
      </c>
      <c r="D302" s="122" t="s">
        <v>60</v>
      </c>
      <c r="E302" s="28" t="s">
        <v>71</v>
      </c>
      <c r="F302" s="28"/>
      <c r="G302" s="28" t="s">
        <v>64</v>
      </c>
      <c r="H302" s="28" t="s">
        <v>329</v>
      </c>
      <c r="I302" s="56">
        <v>506.75675675675677</v>
      </c>
      <c r="J302" s="28" t="s">
        <v>68</v>
      </c>
      <c r="K302" s="51" t="s">
        <v>367</v>
      </c>
      <c r="L302" s="28" t="s">
        <v>14</v>
      </c>
      <c r="M302" s="28" t="s">
        <v>311</v>
      </c>
      <c r="N302" s="28">
        <v>2026</v>
      </c>
    </row>
    <row r="303" spans="1:14">
      <c r="A303" s="28">
        <v>302</v>
      </c>
      <c r="B303" s="28" t="s">
        <v>285</v>
      </c>
      <c r="C303" s="28" t="s">
        <v>286</v>
      </c>
      <c r="D303" s="122" t="s">
        <v>60</v>
      </c>
      <c r="E303" s="60" t="s">
        <v>71</v>
      </c>
      <c r="F303" s="28"/>
      <c r="G303" s="28" t="s">
        <v>64</v>
      </c>
      <c r="H303" s="28" t="s">
        <v>330</v>
      </c>
      <c r="I303" s="56">
        <v>33.783783783783782</v>
      </c>
      <c r="J303" s="28">
        <v>1652</v>
      </c>
      <c r="K303" s="51">
        <v>46047</v>
      </c>
      <c r="L303" s="28" t="s">
        <v>14</v>
      </c>
      <c r="M303" s="28" t="s">
        <v>311</v>
      </c>
      <c r="N303" s="28">
        <v>2026</v>
      </c>
    </row>
    <row r="304" spans="1:14">
      <c r="A304" s="28">
        <v>303</v>
      </c>
      <c r="B304" s="28" t="s">
        <v>285</v>
      </c>
      <c r="C304" s="28" t="s">
        <v>286</v>
      </c>
      <c r="D304" s="122" t="s">
        <v>60</v>
      </c>
      <c r="E304" s="60" t="s">
        <v>71</v>
      </c>
      <c r="F304" s="28"/>
      <c r="G304" s="28" t="s">
        <v>64</v>
      </c>
      <c r="H304" s="59" t="s">
        <v>331</v>
      </c>
      <c r="I304" s="56">
        <v>869.59459459459458</v>
      </c>
      <c r="J304" s="28" t="s">
        <v>68</v>
      </c>
      <c r="K304" s="51" t="s">
        <v>367</v>
      </c>
      <c r="L304" s="28" t="s">
        <v>14</v>
      </c>
      <c r="M304" s="28" t="s">
        <v>311</v>
      </c>
      <c r="N304" s="28">
        <v>2026</v>
      </c>
    </row>
    <row r="305" spans="1:14">
      <c r="A305" s="28">
        <v>304</v>
      </c>
      <c r="B305" s="28" t="s">
        <v>285</v>
      </c>
      <c r="C305" s="28" t="s">
        <v>286</v>
      </c>
      <c r="D305" s="122" t="s">
        <v>60</v>
      </c>
      <c r="E305" s="60" t="s">
        <v>71</v>
      </c>
      <c r="F305" s="28"/>
      <c r="G305" s="28" t="s">
        <v>64</v>
      </c>
      <c r="H305" s="59" t="s">
        <v>332</v>
      </c>
      <c r="I305" s="56">
        <v>14274.324324324325</v>
      </c>
      <c r="J305" s="28" t="s">
        <v>68</v>
      </c>
      <c r="K305" s="51" t="s">
        <v>374</v>
      </c>
      <c r="L305" s="28" t="s">
        <v>14</v>
      </c>
      <c r="M305" s="28" t="s">
        <v>311</v>
      </c>
      <c r="N305" s="28">
        <v>2026</v>
      </c>
    </row>
    <row r="306" spans="1:14">
      <c r="A306" s="28">
        <v>305</v>
      </c>
      <c r="B306" s="28" t="s">
        <v>33</v>
      </c>
      <c r="C306" s="28" t="s">
        <v>34</v>
      </c>
      <c r="D306" s="122" t="s">
        <v>60</v>
      </c>
      <c r="E306" s="28" t="s">
        <v>71</v>
      </c>
      <c r="F306" s="28"/>
      <c r="G306" s="28" t="s">
        <v>64</v>
      </c>
      <c r="H306" s="59" t="s">
        <v>251</v>
      </c>
      <c r="I306" s="56">
        <v>289.18918918918916</v>
      </c>
      <c r="J306" s="28" t="s">
        <v>68</v>
      </c>
      <c r="K306" s="51">
        <v>46143</v>
      </c>
      <c r="L306" s="28" t="s">
        <v>14</v>
      </c>
      <c r="M306" s="28" t="s">
        <v>311</v>
      </c>
      <c r="N306" s="28">
        <v>2026</v>
      </c>
    </row>
    <row r="307" spans="1:14">
      <c r="A307" s="28">
        <v>306</v>
      </c>
      <c r="B307" s="28" t="s">
        <v>33</v>
      </c>
      <c r="C307" s="28" t="s">
        <v>34</v>
      </c>
      <c r="D307" s="122" t="s">
        <v>60</v>
      </c>
      <c r="E307" s="60" t="s">
        <v>71</v>
      </c>
      <c r="F307" s="28"/>
      <c r="G307" s="28" t="s">
        <v>64</v>
      </c>
      <c r="H307" s="28" t="s">
        <v>251</v>
      </c>
      <c r="I307" s="56">
        <v>1182.4324324324325</v>
      </c>
      <c r="J307" s="28" t="s">
        <v>68</v>
      </c>
      <c r="K307" s="51" t="s">
        <v>292</v>
      </c>
      <c r="L307" s="28" t="s">
        <v>14</v>
      </c>
      <c r="M307" s="28" t="s">
        <v>311</v>
      </c>
      <c r="N307" s="28">
        <v>2026</v>
      </c>
    </row>
    <row r="308" spans="1:14">
      <c r="A308" s="28">
        <v>307</v>
      </c>
      <c r="B308" s="28" t="s">
        <v>35</v>
      </c>
      <c r="C308" s="28" t="s">
        <v>36</v>
      </c>
      <c r="D308" s="122" t="s">
        <v>60</v>
      </c>
      <c r="E308" s="60" t="s">
        <v>71</v>
      </c>
      <c r="F308" s="28"/>
      <c r="G308" s="28" t="s">
        <v>64</v>
      </c>
      <c r="H308" s="28" t="s">
        <v>333</v>
      </c>
      <c r="I308" s="56">
        <v>513.51351351351354</v>
      </c>
      <c r="J308" s="28">
        <v>245</v>
      </c>
      <c r="K308" s="51">
        <v>46296</v>
      </c>
      <c r="L308" s="28" t="s">
        <v>14</v>
      </c>
      <c r="M308" s="28" t="s">
        <v>311</v>
      </c>
      <c r="N308" s="28">
        <v>2026</v>
      </c>
    </row>
    <row r="309" spans="1:14">
      <c r="A309" s="28">
        <v>308</v>
      </c>
      <c r="B309" s="28" t="s">
        <v>42</v>
      </c>
      <c r="C309" s="28" t="s">
        <v>70</v>
      </c>
      <c r="D309" s="122" t="s">
        <v>60</v>
      </c>
      <c r="E309" s="60" t="s">
        <v>71</v>
      </c>
      <c r="F309" s="28"/>
      <c r="G309" s="28" t="s">
        <v>64</v>
      </c>
      <c r="H309" s="28" t="s">
        <v>334</v>
      </c>
      <c r="I309" s="56">
        <v>848.64864864864865</v>
      </c>
      <c r="J309" s="28" t="s">
        <v>68</v>
      </c>
      <c r="K309" s="51" t="s">
        <v>289</v>
      </c>
      <c r="L309" s="28" t="s">
        <v>14</v>
      </c>
      <c r="M309" s="28" t="s">
        <v>311</v>
      </c>
      <c r="N309" s="28">
        <v>2026</v>
      </c>
    </row>
    <row r="310" spans="1:14">
      <c r="A310" s="28">
        <v>309</v>
      </c>
      <c r="B310" s="122" t="s">
        <v>35</v>
      </c>
      <c r="C310" s="28" t="s">
        <v>37</v>
      </c>
      <c r="D310" s="122" t="s">
        <v>60</v>
      </c>
      <c r="E310" s="60" t="s">
        <v>71</v>
      </c>
      <c r="F310" s="28"/>
      <c r="G310" s="28" t="s">
        <v>64</v>
      </c>
      <c r="H310" s="28" t="s">
        <v>252</v>
      </c>
      <c r="I310" s="56">
        <v>646.28378378378375</v>
      </c>
      <c r="J310" s="28" t="s">
        <v>68</v>
      </c>
      <c r="K310" s="51">
        <v>46082</v>
      </c>
      <c r="L310" s="28" t="s">
        <v>14</v>
      </c>
      <c r="M310" s="28" t="s">
        <v>311</v>
      </c>
      <c r="N310" s="28">
        <v>2026</v>
      </c>
    </row>
    <row r="311" spans="1:14">
      <c r="A311" s="28">
        <v>310</v>
      </c>
      <c r="B311" s="28" t="s">
        <v>42</v>
      </c>
      <c r="C311" s="28" t="s">
        <v>44</v>
      </c>
      <c r="D311" s="122" t="s">
        <v>60</v>
      </c>
      <c r="E311" s="28" t="s">
        <v>71</v>
      </c>
      <c r="F311" s="28"/>
      <c r="G311" s="28" t="s">
        <v>64</v>
      </c>
      <c r="H311" s="28" t="s">
        <v>253</v>
      </c>
      <c r="I311" s="56">
        <v>329.05405405405406</v>
      </c>
      <c r="J311" s="28" t="s">
        <v>68</v>
      </c>
      <c r="K311" s="51">
        <v>46357</v>
      </c>
      <c r="L311" s="28" t="s">
        <v>14</v>
      </c>
      <c r="M311" s="28" t="s">
        <v>311</v>
      </c>
      <c r="N311" s="28">
        <v>2026</v>
      </c>
    </row>
    <row r="312" spans="1:14">
      <c r="A312" s="28">
        <v>311</v>
      </c>
      <c r="B312" s="28" t="s">
        <v>42</v>
      </c>
      <c r="C312" s="122" t="s">
        <v>263</v>
      </c>
      <c r="D312" s="122" t="s">
        <v>60</v>
      </c>
      <c r="E312" s="60" t="s">
        <v>71</v>
      </c>
      <c r="F312" s="28"/>
      <c r="G312" s="28" t="s">
        <v>64</v>
      </c>
      <c r="H312" s="28" t="s">
        <v>255</v>
      </c>
      <c r="I312" s="56">
        <v>362.33108108108109</v>
      </c>
      <c r="J312" s="28" t="s">
        <v>68</v>
      </c>
      <c r="K312" s="51">
        <v>46357</v>
      </c>
      <c r="L312" s="28" t="s">
        <v>14</v>
      </c>
      <c r="M312" s="28" t="s">
        <v>311</v>
      </c>
      <c r="N312" s="28">
        <v>2026</v>
      </c>
    </row>
    <row r="313" spans="1:14">
      <c r="A313" s="28">
        <v>312</v>
      </c>
      <c r="B313" s="28" t="s">
        <v>42</v>
      </c>
      <c r="C313" s="28" t="s">
        <v>50</v>
      </c>
      <c r="D313" s="122" t="s">
        <v>60</v>
      </c>
      <c r="E313" s="60" t="s">
        <v>71</v>
      </c>
      <c r="F313" s="28"/>
      <c r="G313" s="28" t="s">
        <v>64</v>
      </c>
      <c r="H313" s="50" t="s">
        <v>256</v>
      </c>
      <c r="I313" s="56">
        <v>698.31081081081084</v>
      </c>
      <c r="J313" s="28" t="s">
        <v>68</v>
      </c>
      <c r="K313" s="51" t="s">
        <v>288</v>
      </c>
      <c r="L313" s="28" t="s">
        <v>14</v>
      </c>
      <c r="M313" s="28" t="s">
        <v>311</v>
      </c>
      <c r="N313" s="28">
        <v>2026</v>
      </c>
    </row>
    <row r="314" spans="1:14">
      <c r="A314" s="28">
        <v>313</v>
      </c>
      <c r="B314" s="28" t="s">
        <v>42</v>
      </c>
      <c r="C314" s="91" t="s">
        <v>50</v>
      </c>
      <c r="D314" s="122" t="s">
        <v>60</v>
      </c>
      <c r="E314" s="28" t="s">
        <v>71</v>
      </c>
      <c r="F314" s="28"/>
      <c r="G314" s="28" t="s">
        <v>64</v>
      </c>
      <c r="H314" s="59" t="s">
        <v>256</v>
      </c>
      <c r="I314" s="56">
        <v>1179.0540540540539</v>
      </c>
      <c r="J314" s="28" t="s">
        <v>68</v>
      </c>
      <c r="K314" s="51">
        <v>46174</v>
      </c>
      <c r="L314" s="28" t="s">
        <v>14</v>
      </c>
      <c r="M314" s="28" t="s">
        <v>311</v>
      </c>
      <c r="N314" s="28">
        <v>2026</v>
      </c>
    </row>
    <row r="315" spans="1:14">
      <c r="A315" s="28">
        <v>314</v>
      </c>
      <c r="B315" s="60" t="s">
        <v>42</v>
      </c>
      <c r="C315" s="91" t="s">
        <v>50</v>
      </c>
      <c r="D315" s="122" t="s">
        <v>60</v>
      </c>
      <c r="E315" s="60" t="s">
        <v>71</v>
      </c>
      <c r="F315" s="28"/>
      <c r="G315" s="60" t="s">
        <v>64</v>
      </c>
      <c r="H315" s="28" t="s">
        <v>256</v>
      </c>
      <c r="I315" s="56">
        <v>1354.7297297297298</v>
      </c>
      <c r="J315" s="28" t="s">
        <v>68</v>
      </c>
      <c r="K315" s="51" t="s">
        <v>375</v>
      </c>
      <c r="L315" s="28" t="s">
        <v>14</v>
      </c>
      <c r="M315" s="28" t="s">
        <v>311</v>
      </c>
      <c r="N315" s="28">
        <v>2026</v>
      </c>
    </row>
    <row r="316" spans="1:14">
      <c r="A316" s="28">
        <v>315</v>
      </c>
      <c r="B316" s="28" t="s">
        <v>42</v>
      </c>
      <c r="C316" s="28" t="s">
        <v>50</v>
      </c>
      <c r="D316" s="122" t="s">
        <v>60</v>
      </c>
      <c r="E316" s="60" t="s">
        <v>71</v>
      </c>
      <c r="F316" s="28"/>
      <c r="G316" s="28" t="s">
        <v>64</v>
      </c>
      <c r="H316" s="28" t="s">
        <v>256</v>
      </c>
      <c r="I316" s="56">
        <v>1013.5135135135135</v>
      </c>
      <c r="J316" s="28" t="s">
        <v>68</v>
      </c>
      <c r="K316" s="51" t="s">
        <v>290</v>
      </c>
      <c r="L316" s="28" t="s">
        <v>14</v>
      </c>
      <c r="M316" s="28" t="s">
        <v>311</v>
      </c>
      <c r="N316" s="28">
        <v>2026</v>
      </c>
    </row>
    <row r="317" spans="1:14">
      <c r="A317" s="28">
        <v>316</v>
      </c>
      <c r="B317" s="28" t="s">
        <v>42</v>
      </c>
      <c r="C317" s="28" t="s">
        <v>50</v>
      </c>
      <c r="D317" s="122" t="s">
        <v>60</v>
      </c>
      <c r="E317" s="60" t="s">
        <v>71</v>
      </c>
      <c r="F317" s="28"/>
      <c r="G317" s="28" t="s">
        <v>64</v>
      </c>
      <c r="H317" s="28" t="s">
        <v>335</v>
      </c>
      <c r="I317" s="56">
        <v>304.05405405405406</v>
      </c>
      <c r="J317" s="28" t="s">
        <v>68</v>
      </c>
      <c r="K317" s="51">
        <v>46113</v>
      </c>
      <c r="L317" s="28" t="s">
        <v>14</v>
      </c>
      <c r="M317" s="28" t="s">
        <v>311</v>
      </c>
      <c r="N317" s="28">
        <v>2026</v>
      </c>
    </row>
    <row r="318" spans="1:14">
      <c r="A318" s="28">
        <v>317</v>
      </c>
      <c r="B318" s="28" t="s">
        <v>42</v>
      </c>
      <c r="C318" s="28" t="s">
        <v>51</v>
      </c>
      <c r="D318" s="122" t="s">
        <v>60</v>
      </c>
      <c r="E318" s="28" t="s">
        <v>71</v>
      </c>
      <c r="F318" s="28"/>
      <c r="G318" s="28" t="s">
        <v>64</v>
      </c>
      <c r="H318" s="28" t="s">
        <v>336</v>
      </c>
      <c r="I318" s="56">
        <v>1134.4594594594594</v>
      </c>
      <c r="J318" s="28" t="s">
        <v>68</v>
      </c>
      <c r="K318" s="51">
        <v>46174</v>
      </c>
      <c r="L318" s="28" t="s">
        <v>14</v>
      </c>
      <c r="M318" s="28" t="s">
        <v>311</v>
      </c>
      <c r="N318" s="28">
        <v>2026</v>
      </c>
    </row>
    <row r="319" spans="1:14">
      <c r="A319" s="28">
        <v>318</v>
      </c>
      <c r="B319" s="28" t="s">
        <v>42</v>
      </c>
      <c r="C319" s="128" t="s">
        <v>73</v>
      </c>
      <c r="D319" s="122" t="s">
        <v>60</v>
      </c>
      <c r="E319" s="60" t="s">
        <v>71</v>
      </c>
      <c r="F319" s="28"/>
      <c r="G319" s="28" t="s">
        <v>64</v>
      </c>
      <c r="H319" s="28" t="s">
        <v>258</v>
      </c>
      <c r="I319" s="56">
        <v>2454.0540540540542</v>
      </c>
      <c r="J319" s="28" t="s">
        <v>68</v>
      </c>
      <c r="K319" s="51" t="s">
        <v>296</v>
      </c>
      <c r="L319" s="28" t="s">
        <v>14</v>
      </c>
      <c r="M319" s="28" t="s">
        <v>311</v>
      </c>
      <c r="N319" s="28">
        <v>2026</v>
      </c>
    </row>
    <row r="320" spans="1:14">
      <c r="A320" s="28">
        <v>319</v>
      </c>
      <c r="B320" s="28" t="s">
        <v>52</v>
      </c>
      <c r="C320" s="127" t="s">
        <v>62</v>
      </c>
      <c r="D320" s="122" t="s">
        <v>60</v>
      </c>
      <c r="E320" s="60" t="s">
        <v>71</v>
      </c>
      <c r="F320" s="28"/>
      <c r="G320" s="28" t="s">
        <v>64</v>
      </c>
      <c r="H320" s="28" t="s">
        <v>337</v>
      </c>
      <c r="I320" s="56">
        <v>1402.7027027027027</v>
      </c>
      <c r="J320" s="28" t="s">
        <v>68</v>
      </c>
      <c r="K320" s="51" t="s">
        <v>376</v>
      </c>
      <c r="L320" s="28" t="s">
        <v>14</v>
      </c>
      <c r="M320" s="28" t="s">
        <v>311</v>
      </c>
      <c r="N320" s="28">
        <v>2026</v>
      </c>
    </row>
    <row r="321" spans="1:14">
      <c r="A321" s="28">
        <v>320</v>
      </c>
      <c r="B321" s="28" t="s">
        <v>52</v>
      </c>
      <c r="C321" s="122" t="s">
        <v>62</v>
      </c>
      <c r="D321" s="122" t="s">
        <v>60</v>
      </c>
      <c r="E321" s="60" t="s">
        <v>71</v>
      </c>
      <c r="F321" s="28"/>
      <c r="G321" s="28" t="s">
        <v>64</v>
      </c>
      <c r="H321" s="28" t="s">
        <v>254</v>
      </c>
      <c r="I321" s="56">
        <v>1712.1621621621621</v>
      </c>
      <c r="J321" s="28" t="s">
        <v>68</v>
      </c>
      <c r="K321" s="51" t="s">
        <v>377</v>
      </c>
      <c r="L321" s="28" t="s">
        <v>14</v>
      </c>
      <c r="M321" s="28" t="s">
        <v>311</v>
      </c>
      <c r="N321" s="28">
        <v>2026</v>
      </c>
    </row>
    <row r="322" spans="1:14">
      <c r="A322" s="28">
        <v>321</v>
      </c>
      <c r="B322" s="28" t="s">
        <v>285</v>
      </c>
      <c r="C322" s="28" t="s">
        <v>286</v>
      </c>
      <c r="D322" s="122" t="s">
        <v>60</v>
      </c>
      <c r="E322" s="60" t="s">
        <v>71</v>
      </c>
      <c r="F322" s="28"/>
      <c r="G322" s="28" t="s">
        <v>64</v>
      </c>
      <c r="H322" s="28" t="s">
        <v>342</v>
      </c>
      <c r="I322" s="56">
        <v>109.45945945945945</v>
      </c>
      <c r="J322" s="28">
        <v>72</v>
      </c>
      <c r="K322" s="61" t="s">
        <v>380</v>
      </c>
      <c r="L322" s="28" t="s">
        <v>14</v>
      </c>
      <c r="M322" s="28" t="s">
        <v>311</v>
      </c>
      <c r="N322" s="28">
        <v>2026</v>
      </c>
    </row>
    <row r="323" spans="1:14">
      <c r="A323" s="28">
        <v>322</v>
      </c>
      <c r="B323" s="28" t="s">
        <v>35</v>
      </c>
      <c r="C323" s="28" t="s">
        <v>38</v>
      </c>
      <c r="D323" s="122" t="s">
        <v>60</v>
      </c>
      <c r="E323" s="60" t="s">
        <v>71</v>
      </c>
      <c r="F323" s="28"/>
      <c r="G323" s="59" t="s">
        <v>64</v>
      </c>
      <c r="H323" s="28" t="s">
        <v>343</v>
      </c>
      <c r="I323" s="56">
        <v>4304.72972972973</v>
      </c>
      <c r="J323" s="59" t="s">
        <v>68</v>
      </c>
      <c r="K323" s="51" t="s">
        <v>377</v>
      </c>
      <c r="L323" s="59" t="s">
        <v>14</v>
      </c>
      <c r="M323" s="28" t="s">
        <v>311</v>
      </c>
      <c r="N323" s="28">
        <v>2026</v>
      </c>
    </row>
    <row r="324" spans="1:14">
      <c r="A324" s="28">
        <v>323</v>
      </c>
      <c r="B324" s="28" t="s">
        <v>42</v>
      </c>
      <c r="C324" s="122" t="s">
        <v>263</v>
      </c>
      <c r="D324" s="122" t="s">
        <v>60</v>
      </c>
      <c r="E324" s="60" t="s">
        <v>71</v>
      </c>
      <c r="F324" s="28"/>
      <c r="G324" s="28" t="s">
        <v>64</v>
      </c>
      <c r="H324" s="28" t="s">
        <v>344</v>
      </c>
      <c r="I324" s="56">
        <v>1110.1351351351352</v>
      </c>
      <c r="J324" s="28" t="s">
        <v>68</v>
      </c>
      <c r="K324" s="51" t="s">
        <v>381</v>
      </c>
      <c r="L324" s="28" t="s">
        <v>14</v>
      </c>
      <c r="M324" s="28" t="s">
        <v>311</v>
      </c>
      <c r="N324" s="28">
        <v>2026</v>
      </c>
    </row>
    <row r="325" spans="1:14">
      <c r="A325" s="28">
        <v>324</v>
      </c>
      <c r="B325" s="28" t="s">
        <v>42</v>
      </c>
      <c r="C325" s="91" t="s">
        <v>73</v>
      </c>
      <c r="D325" s="122" t="s">
        <v>60</v>
      </c>
      <c r="E325" s="28" t="s">
        <v>71</v>
      </c>
      <c r="F325" s="28"/>
      <c r="G325" s="28" t="s">
        <v>64</v>
      </c>
      <c r="H325" s="28" t="s">
        <v>345</v>
      </c>
      <c r="I325" s="56">
        <v>2462.8378378378379</v>
      </c>
      <c r="J325" s="28" t="s">
        <v>68</v>
      </c>
      <c r="K325" s="51" t="s">
        <v>377</v>
      </c>
      <c r="L325" s="28" t="s">
        <v>14</v>
      </c>
      <c r="M325" s="28" t="s">
        <v>311</v>
      </c>
      <c r="N325" s="28">
        <v>2026</v>
      </c>
    </row>
    <row r="326" spans="1:14">
      <c r="A326" s="28">
        <v>325</v>
      </c>
      <c r="B326" s="28" t="s">
        <v>52</v>
      </c>
      <c r="C326" s="122" t="s">
        <v>62</v>
      </c>
      <c r="D326" s="122" t="s">
        <v>60</v>
      </c>
      <c r="E326" s="28" t="s">
        <v>71</v>
      </c>
      <c r="F326" s="28"/>
      <c r="G326" s="28" t="s">
        <v>64</v>
      </c>
      <c r="H326" s="28" t="s">
        <v>298</v>
      </c>
      <c r="I326" s="56">
        <v>1098.3108108108108</v>
      </c>
      <c r="J326" s="28" t="s">
        <v>68</v>
      </c>
      <c r="K326" s="51">
        <v>46204</v>
      </c>
      <c r="L326" s="28" t="s">
        <v>14</v>
      </c>
      <c r="M326" s="28" t="s">
        <v>311</v>
      </c>
      <c r="N326" s="28">
        <v>2026</v>
      </c>
    </row>
    <row r="327" spans="1:14">
      <c r="A327" s="28">
        <v>326</v>
      </c>
      <c r="B327" s="28" t="s">
        <v>52</v>
      </c>
      <c r="C327" s="122" t="s">
        <v>62</v>
      </c>
      <c r="D327" s="122" t="s">
        <v>60</v>
      </c>
      <c r="E327" s="28" t="s">
        <v>71</v>
      </c>
      <c r="F327" s="28"/>
      <c r="G327" s="28" t="s">
        <v>64</v>
      </c>
      <c r="H327" s="28" t="s">
        <v>298</v>
      </c>
      <c r="I327" s="56">
        <v>1070.9459459459461</v>
      </c>
      <c r="J327" s="28" t="s">
        <v>68</v>
      </c>
      <c r="K327" s="51" t="s">
        <v>376</v>
      </c>
      <c r="L327" s="28" t="s">
        <v>14</v>
      </c>
      <c r="M327" s="28" t="s">
        <v>311</v>
      </c>
      <c r="N327" s="28">
        <v>2026</v>
      </c>
    </row>
    <row r="328" spans="1:14">
      <c r="A328" s="28">
        <v>327</v>
      </c>
      <c r="B328" s="28" t="s">
        <v>52</v>
      </c>
      <c r="C328" s="122" t="s">
        <v>62</v>
      </c>
      <c r="D328" s="122" t="s">
        <v>60</v>
      </c>
      <c r="E328" s="28" t="s">
        <v>71</v>
      </c>
      <c r="F328" s="28"/>
      <c r="G328" s="28" t="s">
        <v>64</v>
      </c>
      <c r="H328" s="28" t="s">
        <v>298</v>
      </c>
      <c r="I328" s="56">
        <v>1185.3040540540539</v>
      </c>
      <c r="J328" s="28" t="s">
        <v>68</v>
      </c>
      <c r="K328" s="51" t="s">
        <v>370</v>
      </c>
      <c r="L328" s="28" t="s">
        <v>14</v>
      </c>
      <c r="M328" s="28" t="s">
        <v>311</v>
      </c>
      <c r="N328" s="28">
        <v>2026</v>
      </c>
    </row>
    <row r="329" spans="1:14">
      <c r="A329" s="28">
        <v>328</v>
      </c>
      <c r="B329" s="28" t="s">
        <v>52</v>
      </c>
      <c r="C329" s="122" t="s">
        <v>62</v>
      </c>
      <c r="D329" s="122" t="s">
        <v>60</v>
      </c>
      <c r="E329" s="28" t="s">
        <v>71</v>
      </c>
      <c r="F329" s="28"/>
      <c r="G329" s="28" t="s">
        <v>64</v>
      </c>
      <c r="H329" s="28" t="s">
        <v>298</v>
      </c>
      <c r="I329" s="56">
        <v>400</v>
      </c>
      <c r="J329" s="28" t="s">
        <v>68</v>
      </c>
      <c r="K329" s="51" t="s">
        <v>375</v>
      </c>
      <c r="L329" s="28" t="s">
        <v>14</v>
      </c>
      <c r="M329" s="28" t="s">
        <v>311</v>
      </c>
      <c r="N329" s="28">
        <v>2026</v>
      </c>
    </row>
    <row r="330" spans="1:14">
      <c r="A330" s="28">
        <v>329</v>
      </c>
      <c r="B330" s="28" t="s">
        <v>52</v>
      </c>
      <c r="C330" s="122" t="s">
        <v>62</v>
      </c>
      <c r="D330" s="122" t="s">
        <v>60</v>
      </c>
      <c r="E330" s="60" t="s">
        <v>71</v>
      </c>
      <c r="F330" s="28"/>
      <c r="G330" s="28" t="s">
        <v>64</v>
      </c>
      <c r="H330" s="28" t="s">
        <v>298</v>
      </c>
      <c r="I330" s="56">
        <v>323.64864864864865</v>
      </c>
      <c r="J330" s="28" t="s">
        <v>68</v>
      </c>
      <c r="K330" s="51" t="s">
        <v>373</v>
      </c>
      <c r="L330" s="28" t="s">
        <v>14</v>
      </c>
      <c r="M330" s="28" t="s">
        <v>311</v>
      </c>
      <c r="N330" s="28">
        <v>2026</v>
      </c>
    </row>
    <row r="331" spans="1:14">
      <c r="A331" s="28">
        <v>330</v>
      </c>
      <c r="B331" s="28" t="s">
        <v>52</v>
      </c>
      <c r="C331" s="122" t="s">
        <v>62</v>
      </c>
      <c r="D331" s="122" t="s">
        <v>60</v>
      </c>
      <c r="E331" s="28" t="s">
        <v>71</v>
      </c>
      <c r="F331" s="28"/>
      <c r="G331" s="28" t="s">
        <v>64</v>
      </c>
      <c r="H331" s="28" t="s">
        <v>298</v>
      </c>
      <c r="I331" s="56">
        <v>1114.8648648648648</v>
      </c>
      <c r="J331" s="28" t="s">
        <v>68</v>
      </c>
      <c r="K331" s="51" t="s">
        <v>367</v>
      </c>
      <c r="L331" s="28" t="s">
        <v>14</v>
      </c>
      <c r="M331" s="28" t="s">
        <v>311</v>
      </c>
      <c r="N331" s="28">
        <v>2026</v>
      </c>
    </row>
    <row r="332" spans="1:14">
      <c r="A332" s="28">
        <v>331</v>
      </c>
      <c r="B332" s="28" t="s">
        <v>42</v>
      </c>
      <c r="C332" s="91" t="s">
        <v>50</v>
      </c>
      <c r="D332" s="122" t="s">
        <v>60</v>
      </c>
      <c r="E332" s="28" t="s">
        <v>71</v>
      </c>
      <c r="F332" s="28"/>
      <c r="G332" s="28" t="s">
        <v>64</v>
      </c>
      <c r="H332" s="28" t="s">
        <v>348</v>
      </c>
      <c r="I332" s="56">
        <v>337.83783783783781</v>
      </c>
      <c r="J332" s="28" t="s">
        <v>68</v>
      </c>
      <c r="K332" s="51">
        <v>46113</v>
      </c>
      <c r="L332" s="28" t="s">
        <v>14</v>
      </c>
      <c r="M332" s="28" t="s">
        <v>311</v>
      </c>
      <c r="N332" s="28">
        <v>2026</v>
      </c>
    </row>
    <row r="333" spans="1:14">
      <c r="A333" s="28">
        <v>332</v>
      </c>
      <c r="B333" s="28" t="s">
        <v>52</v>
      </c>
      <c r="C333" s="122" t="s">
        <v>62</v>
      </c>
      <c r="D333" s="122" t="s">
        <v>60</v>
      </c>
      <c r="E333" s="28" t="s">
        <v>71</v>
      </c>
      <c r="F333" s="28"/>
      <c r="G333" s="28" t="s">
        <v>64</v>
      </c>
      <c r="H333" s="28" t="s">
        <v>349</v>
      </c>
      <c r="I333" s="56">
        <v>649.32432432432438</v>
      </c>
      <c r="J333" s="28" t="s">
        <v>68</v>
      </c>
      <c r="K333" s="51" t="s">
        <v>377</v>
      </c>
      <c r="L333" s="28" t="s">
        <v>14</v>
      </c>
      <c r="M333" s="28" t="s">
        <v>311</v>
      </c>
      <c r="N333" s="28">
        <v>2026</v>
      </c>
    </row>
    <row r="334" spans="1:14">
      <c r="A334" s="28">
        <v>333</v>
      </c>
      <c r="B334" s="62" t="s">
        <v>285</v>
      </c>
      <c r="C334" s="62" t="s">
        <v>286</v>
      </c>
      <c r="D334" s="122" t="s">
        <v>60</v>
      </c>
      <c r="E334" s="28" t="s">
        <v>71</v>
      </c>
      <c r="F334" s="28"/>
      <c r="G334" s="28" t="s">
        <v>64</v>
      </c>
      <c r="H334" s="28" t="s">
        <v>351</v>
      </c>
      <c r="I334" s="56">
        <v>10.135135135135135</v>
      </c>
      <c r="J334" s="28" t="s">
        <v>68</v>
      </c>
      <c r="K334" s="51" t="s">
        <v>380</v>
      </c>
      <c r="L334" s="28" t="s">
        <v>14</v>
      </c>
      <c r="M334" s="28" t="s">
        <v>311</v>
      </c>
      <c r="N334" s="28">
        <v>2026</v>
      </c>
    </row>
    <row r="335" spans="1:14">
      <c r="A335" s="28">
        <v>334</v>
      </c>
      <c r="B335" s="28" t="s">
        <v>285</v>
      </c>
      <c r="C335" s="91" t="s">
        <v>286</v>
      </c>
      <c r="D335" s="122" t="s">
        <v>60</v>
      </c>
      <c r="E335" s="28" t="s">
        <v>71</v>
      </c>
      <c r="F335" s="28"/>
      <c r="G335" s="28" t="s">
        <v>64</v>
      </c>
      <c r="H335" s="28" t="s">
        <v>354</v>
      </c>
      <c r="I335" s="56">
        <v>253.37837837837839</v>
      </c>
      <c r="J335" s="28">
        <v>1651</v>
      </c>
      <c r="K335" s="51">
        <v>46047</v>
      </c>
      <c r="L335" s="28" t="s">
        <v>14</v>
      </c>
      <c r="M335" s="28" t="s">
        <v>311</v>
      </c>
      <c r="N335" s="28">
        <v>2026</v>
      </c>
    </row>
    <row r="336" spans="1:14">
      <c r="A336" s="28">
        <v>335</v>
      </c>
      <c r="B336" s="28" t="s">
        <v>42</v>
      </c>
      <c r="C336" s="93" t="s">
        <v>50</v>
      </c>
      <c r="D336" s="28" t="s">
        <v>60</v>
      </c>
      <c r="E336" s="28" t="s">
        <v>71</v>
      </c>
      <c r="F336" s="28"/>
      <c r="G336" s="28" t="s">
        <v>231</v>
      </c>
      <c r="H336" s="52" t="s">
        <v>236</v>
      </c>
      <c r="I336" s="53">
        <v>563.51351351351354</v>
      </c>
      <c r="J336" s="28" t="s">
        <v>674</v>
      </c>
      <c r="K336" s="51">
        <v>46027</v>
      </c>
      <c r="L336" s="72">
        <v>2025404850</v>
      </c>
      <c r="M336" s="28" t="s">
        <v>311</v>
      </c>
      <c r="N336" s="28">
        <v>2026</v>
      </c>
    </row>
    <row r="337" spans="1:14">
      <c r="A337" s="28">
        <v>336</v>
      </c>
      <c r="B337" s="28" t="s">
        <v>17</v>
      </c>
      <c r="C337" s="51" t="s">
        <v>18</v>
      </c>
      <c r="D337" s="28" t="s">
        <v>60</v>
      </c>
      <c r="E337" s="28" t="s">
        <v>71</v>
      </c>
      <c r="F337" s="28"/>
      <c r="G337" s="28" t="s">
        <v>231</v>
      </c>
      <c r="H337" s="52" t="s">
        <v>236</v>
      </c>
      <c r="I337" s="53">
        <v>1013.5135135135135</v>
      </c>
      <c r="J337" s="28" t="s">
        <v>708</v>
      </c>
      <c r="K337" s="51">
        <v>46046</v>
      </c>
      <c r="L337" s="54">
        <v>2026400253</v>
      </c>
      <c r="M337" s="28" t="s">
        <v>311</v>
      </c>
      <c r="N337" s="28">
        <v>2026</v>
      </c>
    </row>
    <row r="338" spans="1:14">
      <c r="A338" s="28">
        <v>337</v>
      </c>
      <c r="B338" s="28" t="s">
        <v>54</v>
      </c>
      <c r="C338" s="93" t="s">
        <v>55</v>
      </c>
      <c r="D338" s="28" t="s">
        <v>60</v>
      </c>
      <c r="E338" s="28" t="s">
        <v>71</v>
      </c>
      <c r="F338" s="28"/>
      <c r="G338" s="28" t="s">
        <v>231</v>
      </c>
      <c r="H338" s="52" t="s">
        <v>236</v>
      </c>
      <c r="I338" s="53">
        <v>2452.7027027027025</v>
      </c>
      <c r="J338" s="28" t="s">
        <v>709</v>
      </c>
      <c r="K338" s="51">
        <v>46046</v>
      </c>
      <c r="L338" s="54">
        <v>2026400136</v>
      </c>
      <c r="M338" s="28" t="s">
        <v>311</v>
      </c>
      <c r="N338" s="28">
        <v>2026</v>
      </c>
    </row>
    <row r="339" spans="1:14">
      <c r="A339" s="28">
        <v>338</v>
      </c>
      <c r="B339" s="28" t="s">
        <v>42</v>
      </c>
      <c r="C339" s="51" t="s">
        <v>50</v>
      </c>
      <c r="D339" s="28" t="s">
        <v>60</v>
      </c>
      <c r="E339" s="28" t="s">
        <v>71</v>
      </c>
      <c r="F339" s="28"/>
      <c r="G339" s="28" t="s">
        <v>231</v>
      </c>
      <c r="H339" s="52" t="s">
        <v>236</v>
      </c>
      <c r="I339" s="53">
        <v>1770.2702702702702</v>
      </c>
      <c r="J339" s="28" t="s">
        <v>710</v>
      </c>
      <c r="K339" s="51">
        <v>46046</v>
      </c>
      <c r="L339" s="54">
        <v>2026400170</v>
      </c>
      <c r="M339" s="28" t="s">
        <v>311</v>
      </c>
      <c r="N339" s="28">
        <v>2026</v>
      </c>
    </row>
    <row r="340" spans="1:14">
      <c r="A340" s="28">
        <v>339</v>
      </c>
      <c r="B340" s="86" t="s">
        <v>42</v>
      </c>
      <c r="C340" s="86" t="s">
        <v>50</v>
      </c>
      <c r="D340" s="87" t="s">
        <v>60</v>
      </c>
      <c r="E340" s="87" t="s">
        <v>71</v>
      </c>
      <c r="F340" s="87"/>
      <c r="G340" s="87" t="s">
        <v>432</v>
      </c>
      <c r="H340" s="52" t="s">
        <v>236</v>
      </c>
      <c r="I340" s="90">
        <v>1500</v>
      </c>
      <c r="J340" s="87" t="s">
        <v>475</v>
      </c>
      <c r="K340" s="88">
        <v>46028</v>
      </c>
      <c r="L340" s="89">
        <v>2025404884</v>
      </c>
      <c r="M340" s="28" t="s">
        <v>311</v>
      </c>
      <c r="N340" s="28">
        <v>2026</v>
      </c>
    </row>
    <row r="341" spans="1:14">
      <c r="A341" s="28">
        <v>340</v>
      </c>
      <c r="B341" s="87" t="s">
        <v>35</v>
      </c>
      <c r="C341" s="94" t="s">
        <v>37</v>
      </c>
      <c r="D341" s="87" t="s">
        <v>60</v>
      </c>
      <c r="E341" s="87" t="s">
        <v>71</v>
      </c>
      <c r="F341" s="87"/>
      <c r="G341" s="87" t="s">
        <v>432</v>
      </c>
      <c r="H341" s="52" t="s">
        <v>236</v>
      </c>
      <c r="I341" s="90">
        <v>3000</v>
      </c>
      <c r="J341" s="87" t="s">
        <v>476</v>
      </c>
      <c r="K341" s="88">
        <v>46028</v>
      </c>
      <c r="L341" s="89">
        <v>2025404885</v>
      </c>
      <c r="M341" s="28" t="s">
        <v>311</v>
      </c>
      <c r="N341" s="28">
        <v>2026</v>
      </c>
    </row>
    <row r="342" spans="1:14">
      <c r="A342" s="28">
        <v>341</v>
      </c>
      <c r="B342" s="28" t="s">
        <v>17</v>
      </c>
      <c r="C342" s="93" t="s">
        <v>22</v>
      </c>
      <c r="D342" s="28" t="s">
        <v>60</v>
      </c>
      <c r="E342" s="28" t="s">
        <v>71</v>
      </c>
      <c r="F342" s="28"/>
      <c r="G342" s="28" t="s">
        <v>660</v>
      </c>
      <c r="H342" s="52" t="s">
        <v>117</v>
      </c>
      <c r="I342" s="53">
        <v>9222.9729729729734</v>
      </c>
      <c r="J342" s="28" t="s">
        <v>683</v>
      </c>
      <c r="K342" s="51">
        <v>46028</v>
      </c>
      <c r="L342" s="72">
        <v>2026400095</v>
      </c>
      <c r="M342" s="28" t="s">
        <v>311</v>
      </c>
      <c r="N342" s="28">
        <v>2026</v>
      </c>
    </row>
    <row r="343" spans="1:14">
      <c r="A343" s="28">
        <v>342</v>
      </c>
      <c r="B343" s="28" t="s">
        <v>17</v>
      </c>
      <c r="C343" s="51" t="s">
        <v>25</v>
      </c>
      <c r="D343" s="28" t="s">
        <v>60</v>
      </c>
      <c r="E343" s="28" t="s">
        <v>71</v>
      </c>
      <c r="F343" s="28"/>
      <c r="G343" s="28" t="s">
        <v>665</v>
      </c>
      <c r="H343" s="52" t="s">
        <v>117</v>
      </c>
      <c r="I343" s="53">
        <v>5591.2162162162158</v>
      </c>
      <c r="J343" s="28" t="s">
        <v>712</v>
      </c>
      <c r="K343" s="51">
        <v>46024</v>
      </c>
      <c r="L343" s="54">
        <v>2025404919</v>
      </c>
      <c r="M343" s="28" t="s">
        <v>311</v>
      </c>
      <c r="N343" s="28">
        <v>2026</v>
      </c>
    </row>
    <row r="344" spans="1:14">
      <c r="A344" s="28">
        <v>343</v>
      </c>
      <c r="B344" s="28" t="s">
        <v>17</v>
      </c>
      <c r="C344" s="28" t="s">
        <v>24</v>
      </c>
      <c r="D344" s="28" t="s">
        <v>60</v>
      </c>
      <c r="E344" s="28" t="s">
        <v>71</v>
      </c>
      <c r="F344" s="28"/>
      <c r="G344" s="28" t="s">
        <v>457</v>
      </c>
      <c r="H344" s="28" t="s">
        <v>117</v>
      </c>
      <c r="I344" s="56">
        <v>4544</v>
      </c>
      <c r="J344" s="28" t="s">
        <v>483</v>
      </c>
      <c r="K344" s="51">
        <v>46032</v>
      </c>
      <c r="L344" s="28">
        <v>2026400027</v>
      </c>
      <c r="M344" s="28" t="s">
        <v>311</v>
      </c>
      <c r="N344" s="28">
        <v>2026</v>
      </c>
    </row>
    <row r="345" spans="1:14">
      <c r="A345" s="28">
        <v>344</v>
      </c>
      <c r="B345" s="28" t="s">
        <v>54</v>
      </c>
      <c r="C345" s="91" t="s">
        <v>55</v>
      </c>
      <c r="D345" s="28" t="s">
        <v>60</v>
      </c>
      <c r="E345" s="28" t="s">
        <v>71</v>
      </c>
      <c r="F345" s="28"/>
      <c r="G345" s="28" t="s">
        <v>457</v>
      </c>
      <c r="H345" s="28" t="s">
        <v>117</v>
      </c>
      <c r="I345" s="56">
        <v>510</v>
      </c>
      <c r="J345" s="28" t="s">
        <v>570</v>
      </c>
      <c r="K345" s="51">
        <v>46044</v>
      </c>
      <c r="L345" s="28">
        <v>2026400134</v>
      </c>
      <c r="M345" s="28" t="s">
        <v>311</v>
      </c>
      <c r="N345" s="28">
        <v>2026</v>
      </c>
    </row>
    <row r="346" spans="1:14">
      <c r="A346" s="28">
        <v>345</v>
      </c>
      <c r="B346" s="28" t="s">
        <v>52</v>
      </c>
      <c r="C346" s="93" t="s">
        <v>62</v>
      </c>
      <c r="D346" s="28" t="s">
        <v>60</v>
      </c>
      <c r="E346" s="28" t="s">
        <v>71</v>
      </c>
      <c r="F346" s="28"/>
      <c r="G346" s="28" t="s">
        <v>274</v>
      </c>
      <c r="H346" s="52" t="s">
        <v>117</v>
      </c>
      <c r="I346" s="53">
        <v>641.89189189189187</v>
      </c>
      <c r="J346" s="28" t="s">
        <v>676</v>
      </c>
      <c r="K346" s="51">
        <v>46027</v>
      </c>
      <c r="L346" s="72">
        <v>2025404852</v>
      </c>
      <c r="M346" s="28" t="s">
        <v>311</v>
      </c>
      <c r="N346" s="28">
        <v>2026</v>
      </c>
    </row>
    <row r="347" spans="1:14">
      <c r="A347" s="28">
        <v>346</v>
      </c>
      <c r="B347" s="28" t="s">
        <v>42</v>
      </c>
      <c r="C347" s="93" t="s">
        <v>263</v>
      </c>
      <c r="D347" s="28" t="s">
        <v>60</v>
      </c>
      <c r="E347" s="28" t="s">
        <v>71</v>
      </c>
      <c r="F347" s="28"/>
      <c r="G347" s="28" t="s">
        <v>274</v>
      </c>
      <c r="H347" s="52" t="s">
        <v>117</v>
      </c>
      <c r="I347" s="53">
        <v>3175.6756756756758</v>
      </c>
      <c r="J347" s="28" t="s">
        <v>679</v>
      </c>
      <c r="K347" s="51">
        <v>46027</v>
      </c>
      <c r="L347" s="72">
        <v>2025404854</v>
      </c>
      <c r="M347" s="28" t="s">
        <v>311</v>
      </c>
      <c r="N347" s="28">
        <v>2026</v>
      </c>
    </row>
    <row r="348" spans="1:14">
      <c r="A348" s="28">
        <v>347</v>
      </c>
      <c r="B348" s="28" t="s">
        <v>52</v>
      </c>
      <c r="C348" s="93" t="s">
        <v>62</v>
      </c>
      <c r="D348" s="28" t="s">
        <v>60</v>
      </c>
      <c r="E348" s="28" t="s">
        <v>71</v>
      </c>
      <c r="F348" s="28"/>
      <c r="G348" s="28" t="s">
        <v>274</v>
      </c>
      <c r="H348" s="52" t="s">
        <v>117</v>
      </c>
      <c r="I348" s="53">
        <v>6722.9729729729734</v>
      </c>
      <c r="J348" s="28" t="s">
        <v>680</v>
      </c>
      <c r="K348" s="51">
        <v>46034</v>
      </c>
      <c r="L348" s="72">
        <v>2025404926</v>
      </c>
      <c r="M348" s="28" t="s">
        <v>311</v>
      </c>
      <c r="N348" s="28">
        <v>2026</v>
      </c>
    </row>
    <row r="349" spans="1:14">
      <c r="A349" s="28">
        <v>348</v>
      </c>
      <c r="B349" s="28" t="s">
        <v>54</v>
      </c>
      <c r="C349" s="91" t="s">
        <v>94</v>
      </c>
      <c r="D349" s="28" t="s">
        <v>60</v>
      </c>
      <c r="E349" s="60" t="s">
        <v>71</v>
      </c>
      <c r="F349" s="28"/>
      <c r="G349" s="28" t="s">
        <v>123</v>
      </c>
      <c r="H349" s="52" t="s">
        <v>117</v>
      </c>
      <c r="I349" s="56">
        <v>168</v>
      </c>
      <c r="J349" s="28" t="s">
        <v>460</v>
      </c>
      <c r="K349" s="51">
        <v>46026</v>
      </c>
      <c r="L349" s="28">
        <v>2025404825</v>
      </c>
      <c r="M349" s="28" t="s">
        <v>311</v>
      </c>
      <c r="N349" s="28">
        <v>2026</v>
      </c>
    </row>
    <row r="350" spans="1:14">
      <c r="A350" s="28">
        <v>349</v>
      </c>
      <c r="B350" s="28" t="s">
        <v>17</v>
      </c>
      <c r="C350" s="28" t="s">
        <v>25</v>
      </c>
      <c r="D350" s="28" t="s">
        <v>60</v>
      </c>
      <c r="E350" s="28" t="s">
        <v>71</v>
      </c>
      <c r="F350" s="28"/>
      <c r="G350" s="28" t="s">
        <v>123</v>
      </c>
      <c r="H350" s="52" t="s">
        <v>117</v>
      </c>
      <c r="I350" s="49">
        <v>3245</v>
      </c>
      <c r="J350" s="28" t="s">
        <v>461</v>
      </c>
      <c r="K350" s="51">
        <v>46026</v>
      </c>
      <c r="L350" s="28">
        <v>2025404767</v>
      </c>
      <c r="M350" s="28" t="s">
        <v>311</v>
      </c>
      <c r="N350" s="28">
        <v>2026</v>
      </c>
    </row>
    <row r="351" spans="1:14">
      <c r="A351" s="28">
        <v>350</v>
      </c>
      <c r="B351" s="48" t="s">
        <v>52</v>
      </c>
      <c r="C351" s="91" t="s">
        <v>62</v>
      </c>
      <c r="D351" s="28" t="s">
        <v>60</v>
      </c>
      <c r="E351" s="28" t="s">
        <v>71</v>
      </c>
      <c r="F351" s="28"/>
      <c r="G351" s="48" t="s">
        <v>123</v>
      </c>
      <c r="H351" s="52" t="s">
        <v>117</v>
      </c>
      <c r="I351" s="49">
        <v>3154.9</v>
      </c>
      <c r="J351" s="28" t="s">
        <v>462</v>
      </c>
      <c r="K351" s="51">
        <v>46026</v>
      </c>
      <c r="L351" s="28">
        <v>2025404785</v>
      </c>
      <c r="M351" s="28" t="s">
        <v>311</v>
      </c>
      <c r="N351" s="28">
        <v>2026</v>
      </c>
    </row>
    <row r="352" spans="1:14">
      <c r="A352" s="28">
        <v>351</v>
      </c>
      <c r="B352" s="85" t="s">
        <v>42</v>
      </c>
      <c r="C352" s="85" t="s">
        <v>263</v>
      </c>
      <c r="D352" s="28" t="s">
        <v>60</v>
      </c>
      <c r="E352" s="28" t="s">
        <v>71</v>
      </c>
      <c r="F352" s="28"/>
      <c r="G352" s="48" t="s">
        <v>123</v>
      </c>
      <c r="H352" s="52" t="s">
        <v>117</v>
      </c>
      <c r="I352" s="49">
        <v>1760</v>
      </c>
      <c r="J352" s="28" t="s">
        <v>463</v>
      </c>
      <c r="K352" s="51">
        <v>46026</v>
      </c>
      <c r="L352" s="28">
        <v>2025404794</v>
      </c>
      <c r="M352" s="28" t="s">
        <v>311</v>
      </c>
      <c r="N352" s="28">
        <v>2026</v>
      </c>
    </row>
    <row r="353" spans="1:14">
      <c r="A353" s="28">
        <v>352</v>
      </c>
      <c r="B353" s="28" t="s">
        <v>42</v>
      </c>
      <c r="C353" s="93" t="s">
        <v>47</v>
      </c>
      <c r="D353" s="28" t="s">
        <v>60</v>
      </c>
      <c r="E353" s="28" t="s">
        <v>71</v>
      </c>
      <c r="F353" s="28"/>
      <c r="G353" s="28" t="s">
        <v>123</v>
      </c>
      <c r="H353" s="52" t="s">
        <v>117</v>
      </c>
      <c r="I353" s="53">
        <v>255</v>
      </c>
      <c r="J353" s="28" t="s">
        <v>464</v>
      </c>
      <c r="K353" s="51">
        <v>46026</v>
      </c>
      <c r="L353" s="72">
        <v>2025404793</v>
      </c>
      <c r="M353" s="28" t="s">
        <v>311</v>
      </c>
      <c r="N353" s="28">
        <v>2026</v>
      </c>
    </row>
    <row r="354" spans="1:14">
      <c r="A354" s="28">
        <v>353</v>
      </c>
      <c r="B354" s="28" t="s">
        <v>35</v>
      </c>
      <c r="C354" s="28" t="s">
        <v>41</v>
      </c>
      <c r="D354" s="28" t="s">
        <v>60</v>
      </c>
      <c r="E354" s="28" t="s">
        <v>71</v>
      </c>
      <c r="F354" s="28"/>
      <c r="G354" s="28" t="s">
        <v>123</v>
      </c>
      <c r="H354" s="52" t="s">
        <v>117</v>
      </c>
      <c r="I354" s="56">
        <v>235</v>
      </c>
      <c r="J354" s="28" t="s">
        <v>467</v>
      </c>
      <c r="K354" s="51">
        <v>46026</v>
      </c>
      <c r="L354" s="28">
        <v>2025404795</v>
      </c>
      <c r="M354" s="28" t="s">
        <v>311</v>
      </c>
      <c r="N354" s="28">
        <v>2026</v>
      </c>
    </row>
    <row r="355" spans="1:14">
      <c r="A355" s="28">
        <v>354</v>
      </c>
      <c r="B355" s="28" t="s">
        <v>54</v>
      </c>
      <c r="C355" s="28" t="s">
        <v>55</v>
      </c>
      <c r="D355" s="28" t="s">
        <v>60</v>
      </c>
      <c r="E355" s="60" t="s">
        <v>71</v>
      </c>
      <c r="F355" s="28"/>
      <c r="G355" s="28" t="s">
        <v>123</v>
      </c>
      <c r="H355" s="52" t="s">
        <v>117</v>
      </c>
      <c r="I355" s="56">
        <v>900</v>
      </c>
      <c r="J355" s="28" t="s">
        <v>482</v>
      </c>
      <c r="K355" s="51">
        <v>46030</v>
      </c>
      <c r="L355" s="28">
        <v>2025404849</v>
      </c>
      <c r="M355" s="28" t="s">
        <v>311</v>
      </c>
      <c r="N355" s="28">
        <v>2026</v>
      </c>
    </row>
    <row r="356" spans="1:14">
      <c r="A356" s="28">
        <v>355</v>
      </c>
      <c r="B356" s="28" t="s">
        <v>42</v>
      </c>
      <c r="C356" s="91" t="s">
        <v>44</v>
      </c>
      <c r="D356" s="28" t="s">
        <v>60</v>
      </c>
      <c r="E356" s="60" t="s">
        <v>71</v>
      </c>
      <c r="F356" s="28"/>
      <c r="G356" s="28" t="s">
        <v>123</v>
      </c>
      <c r="H356" s="28" t="s">
        <v>117</v>
      </c>
      <c r="I356" s="56">
        <v>260</v>
      </c>
      <c r="J356" s="28" t="s">
        <v>484</v>
      </c>
      <c r="K356" s="51">
        <v>46032</v>
      </c>
      <c r="L356" s="28">
        <v>2025404880</v>
      </c>
      <c r="M356" s="28" t="s">
        <v>311</v>
      </c>
      <c r="N356" s="28">
        <v>2026</v>
      </c>
    </row>
    <row r="357" spans="1:14">
      <c r="A357" s="28">
        <v>356</v>
      </c>
      <c r="B357" s="28" t="s">
        <v>54</v>
      </c>
      <c r="C357" s="28" t="s">
        <v>94</v>
      </c>
      <c r="D357" s="28" t="s">
        <v>60</v>
      </c>
      <c r="E357" s="60" t="s">
        <v>71</v>
      </c>
      <c r="F357" s="28"/>
      <c r="G357" s="28" t="s">
        <v>123</v>
      </c>
      <c r="H357" s="28" t="s">
        <v>117</v>
      </c>
      <c r="I357" s="56">
        <v>70</v>
      </c>
      <c r="J357" s="28" t="s">
        <v>485</v>
      </c>
      <c r="K357" s="51">
        <v>46032</v>
      </c>
      <c r="L357" s="28">
        <v>2025404874</v>
      </c>
      <c r="M357" s="28" t="s">
        <v>311</v>
      </c>
      <c r="N357" s="28">
        <v>2026</v>
      </c>
    </row>
    <row r="358" spans="1:14">
      <c r="A358" s="28">
        <v>357</v>
      </c>
      <c r="B358" s="28" t="s">
        <v>42</v>
      </c>
      <c r="C358" s="28" t="s">
        <v>50</v>
      </c>
      <c r="D358" s="28" t="s">
        <v>60</v>
      </c>
      <c r="E358" s="60" t="s">
        <v>71</v>
      </c>
      <c r="F358" s="28"/>
      <c r="G358" s="28" t="s">
        <v>123</v>
      </c>
      <c r="H358" s="28" t="s">
        <v>117</v>
      </c>
      <c r="I358" s="56">
        <v>1200</v>
      </c>
      <c r="J358" s="28" t="s">
        <v>486</v>
      </c>
      <c r="K358" s="51">
        <v>46032</v>
      </c>
      <c r="L358" s="28">
        <v>2025404846</v>
      </c>
      <c r="M358" s="28" t="s">
        <v>311</v>
      </c>
      <c r="N358" s="28">
        <v>2026</v>
      </c>
    </row>
    <row r="359" spans="1:14">
      <c r="A359" s="28">
        <v>358</v>
      </c>
      <c r="B359" s="66" t="s">
        <v>42</v>
      </c>
      <c r="C359" s="28" t="s">
        <v>44</v>
      </c>
      <c r="D359" s="28" t="s">
        <v>60</v>
      </c>
      <c r="E359" s="28" t="s">
        <v>71</v>
      </c>
      <c r="F359" s="28"/>
      <c r="G359" s="48" t="s">
        <v>123</v>
      </c>
      <c r="H359" s="48" t="s">
        <v>117</v>
      </c>
      <c r="I359" s="56">
        <v>775.4</v>
      </c>
      <c r="J359" s="28" t="s">
        <v>487</v>
      </c>
      <c r="K359" s="51">
        <v>46032</v>
      </c>
      <c r="L359" s="28">
        <v>2026400007</v>
      </c>
      <c r="M359" s="28" t="s">
        <v>311</v>
      </c>
      <c r="N359" s="28">
        <v>2026</v>
      </c>
    </row>
    <row r="360" spans="1:14">
      <c r="A360" s="28">
        <v>359</v>
      </c>
      <c r="B360" s="66" t="s">
        <v>42</v>
      </c>
      <c r="C360" s="91" t="s">
        <v>50</v>
      </c>
      <c r="D360" s="28" t="s">
        <v>60</v>
      </c>
      <c r="E360" s="28" t="s">
        <v>71</v>
      </c>
      <c r="F360" s="28"/>
      <c r="G360" s="48" t="s">
        <v>123</v>
      </c>
      <c r="H360" s="48" t="s">
        <v>117</v>
      </c>
      <c r="I360" s="56">
        <v>1380</v>
      </c>
      <c r="J360" s="28" t="s">
        <v>488</v>
      </c>
      <c r="K360" s="51">
        <v>46032</v>
      </c>
      <c r="L360" s="28">
        <v>2025404882</v>
      </c>
      <c r="M360" s="28" t="s">
        <v>311</v>
      </c>
      <c r="N360" s="28">
        <v>2026</v>
      </c>
    </row>
    <row r="361" spans="1:14">
      <c r="A361" s="28">
        <v>360</v>
      </c>
      <c r="B361" s="66" t="s">
        <v>42</v>
      </c>
      <c r="C361" s="28" t="s">
        <v>50</v>
      </c>
      <c r="D361" s="28" t="s">
        <v>60</v>
      </c>
      <c r="E361" s="28" t="s">
        <v>71</v>
      </c>
      <c r="F361" s="28"/>
      <c r="G361" s="48" t="s">
        <v>123</v>
      </c>
      <c r="H361" s="48" t="s">
        <v>117</v>
      </c>
      <c r="I361" s="56">
        <v>432</v>
      </c>
      <c r="J361" s="28" t="s">
        <v>489</v>
      </c>
      <c r="K361" s="51">
        <v>46032</v>
      </c>
      <c r="L361" s="28">
        <v>2025404881</v>
      </c>
      <c r="M361" s="28" t="s">
        <v>311</v>
      </c>
      <c r="N361" s="28">
        <v>2026</v>
      </c>
    </row>
    <row r="362" spans="1:14">
      <c r="A362" s="28">
        <v>361</v>
      </c>
      <c r="B362" s="66" t="s">
        <v>42</v>
      </c>
      <c r="C362" s="28" t="s">
        <v>263</v>
      </c>
      <c r="D362" s="28" t="s">
        <v>60</v>
      </c>
      <c r="E362" s="28" t="s">
        <v>71</v>
      </c>
      <c r="F362" s="28"/>
      <c r="G362" s="28" t="s">
        <v>123</v>
      </c>
      <c r="H362" s="52" t="s">
        <v>117</v>
      </c>
      <c r="I362" s="53">
        <v>633.5</v>
      </c>
      <c r="J362" s="28" t="s">
        <v>490</v>
      </c>
      <c r="K362" s="51">
        <v>46032</v>
      </c>
      <c r="L362" s="28">
        <v>2026400014</v>
      </c>
      <c r="M362" s="28" t="s">
        <v>311</v>
      </c>
      <c r="N362" s="28">
        <v>2026</v>
      </c>
    </row>
    <row r="363" spans="1:14">
      <c r="A363" s="28">
        <v>362</v>
      </c>
      <c r="B363" s="66" t="s">
        <v>42</v>
      </c>
      <c r="C363" s="28" t="s">
        <v>50</v>
      </c>
      <c r="D363" s="28" t="s">
        <v>60</v>
      </c>
      <c r="E363" s="28" t="s">
        <v>71</v>
      </c>
      <c r="F363" s="28"/>
      <c r="G363" s="28" t="s">
        <v>123</v>
      </c>
      <c r="H363" s="52" t="s">
        <v>117</v>
      </c>
      <c r="I363" s="56">
        <v>890.5</v>
      </c>
      <c r="J363" s="28" t="s">
        <v>491</v>
      </c>
      <c r="K363" s="51">
        <v>46032</v>
      </c>
      <c r="L363" s="28">
        <v>2025404879</v>
      </c>
      <c r="M363" s="28" t="s">
        <v>311</v>
      </c>
      <c r="N363" s="28">
        <v>2026</v>
      </c>
    </row>
    <row r="364" spans="1:14">
      <c r="A364" s="28">
        <v>363</v>
      </c>
      <c r="B364" s="66" t="s">
        <v>42</v>
      </c>
      <c r="C364" s="28" t="s">
        <v>263</v>
      </c>
      <c r="D364" s="28" t="s">
        <v>60</v>
      </c>
      <c r="E364" s="28" t="s">
        <v>71</v>
      </c>
      <c r="F364" s="28"/>
      <c r="G364" s="28" t="s">
        <v>123</v>
      </c>
      <c r="H364" s="52" t="s">
        <v>117</v>
      </c>
      <c r="I364" s="56">
        <v>800</v>
      </c>
      <c r="J364" s="28" t="s">
        <v>492</v>
      </c>
      <c r="K364" s="51">
        <v>46033</v>
      </c>
      <c r="L364" s="28">
        <v>2025404883</v>
      </c>
      <c r="M364" s="28" t="s">
        <v>311</v>
      </c>
      <c r="N364" s="28">
        <v>2026</v>
      </c>
    </row>
    <row r="365" spans="1:14">
      <c r="A365" s="28">
        <v>364</v>
      </c>
      <c r="B365" s="66" t="s">
        <v>42</v>
      </c>
      <c r="C365" s="28" t="s">
        <v>49</v>
      </c>
      <c r="D365" s="28" t="s">
        <v>60</v>
      </c>
      <c r="E365" s="60" t="s">
        <v>71</v>
      </c>
      <c r="F365" s="28"/>
      <c r="G365" s="28" t="s">
        <v>123</v>
      </c>
      <c r="H365" s="52" t="s">
        <v>117</v>
      </c>
      <c r="I365" s="56">
        <v>256</v>
      </c>
      <c r="J365" s="28" t="s">
        <v>493</v>
      </c>
      <c r="K365" s="51">
        <v>46032</v>
      </c>
      <c r="L365" s="28">
        <v>2025404862</v>
      </c>
      <c r="M365" s="28" t="s">
        <v>311</v>
      </c>
      <c r="N365" s="28">
        <v>2026</v>
      </c>
    </row>
    <row r="366" spans="1:14">
      <c r="A366" s="28">
        <v>365</v>
      </c>
      <c r="B366" s="66" t="s">
        <v>52</v>
      </c>
      <c r="C366" s="60" t="s">
        <v>62</v>
      </c>
      <c r="D366" s="28" t="s">
        <v>60</v>
      </c>
      <c r="E366" s="60" t="s">
        <v>71</v>
      </c>
      <c r="F366" s="28"/>
      <c r="G366" s="60" t="s">
        <v>123</v>
      </c>
      <c r="H366" s="52" t="s">
        <v>117</v>
      </c>
      <c r="I366" s="56">
        <v>124</v>
      </c>
      <c r="J366" s="28" t="s">
        <v>497</v>
      </c>
      <c r="K366" s="51">
        <v>46033</v>
      </c>
      <c r="L366" s="28">
        <v>2025404877</v>
      </c>
      <c r="M366" s="28" t="s">
        <v>311</v>
      </c>
      <c r="N366" s="28">
        <v>2026</v>
      </c>
    </row>
    <row r="367" spans="1:14">
      <c r="A367" s="28">
        <v>366</v>
      </c>
      <c r="B367" s="66" t="s">
        <v>42</v>
      </c>
      <c r="C367" s="91" t="s">
        <v>44</v>
      </c>
      <c r="D367" s="28" t="s">
        <v>60</v>
      </c>
      <c r="E367" s="60" t="s">
        <v>71</v>
      </c>
      <c r="F367" s="28"/>
      <c r="G367" s="28" t="s">
        <v>123</v>
      </c>
      <c r="H367" s="52" t="s">
        <v>117</v>
      </c>
      <c r="I367" s="56">
        <v>440</v>
      </c>
      <c r="J367" s="28" t="s">
        <v>498</v>
      </c>
      <c r="K367" s="51">
        <v>46033</v>
      </c>
      <c r="L367" s="28">
        <v>2025404865</v>
      </c>
      <c r="M367" s="28" t="s">
        <v>311</v>
      </c>
      <c r="N367" s="28">
        <v>2026</v>
      </c>
    </row>
    <row r="368" spans="1:14">
      <c r="A368" s="28">
        <v>367</v>
      </c>
      <c r="B368" s="66" t="s">
        <v>54</v>
      </c>
      <c r="C368" s="28" t="s">
        <v>94</v>
      </c>
      <c r="D368" s="28" t="s">
        <v>60</v>
      </c>
      <c r="E368" s="60" t="s">
        <v>71</v>
      </c>
      <c r="F368" s="28"/>
      <c r="G368" s="28" t="s">
        <v>123</v>
      </c>
      <c r="H368" s="52" t="s">
        <v>117</v>
      </c>
      <c r="I368" s="56">
        <v>620</v>
      </c>
      <c r="J368" s="28" t="s">
        <v>499</v>
      </c>
      <c r="K368" s="51">
        <v>46033</v>
      </c>
      <c r="L368" s="28">
        <v>2025404873</v>
      </c>
      <c r="M368" s="28" t="s">
        <v>311</v>
      </c>
      <c r="N368" s="28">
        <v>2026</v>
      </c>
    </row>
    <row r="369" spans="1:14">
      <c r="A369" s="28">
        <v>368</v>
      </c>
      <c r="B369" s="66" t="s">
        <v>35</v>
      </c>
      <c r="C369" s="28" t="s">
        <v>41</v>
      </c>
      <c r="D369" s="28" t="s">
        <v>60</v>
      </c>
      <c r="E369" s="28" t="s">
        <v>71</v>
      </c>
      <c r="F369" s="28"/>
      <c r="G369" s="28" t="s">
        <v>123</v>
      </c>
      <c r="H369" s="28" t="s">
        <v>117</v>
      </c>
      <c r="I369" s="56">
        <v>1000.4</v>
      </c>
      <c r="J369" s="28" t="s">
        <v>500</v>
      </c>
      <c r="K369" s="51">
        <v>46033</v>
      </c>
      <c r="L369" s="28">
        <v>2026400003</v>
      </c>
      <c r="M369" s="28" t="s">
        <v>311</v>
      </c>
      <c r="N369" s="28">
        <v>2026</v>
      </c>
    </row>
    <row r="370" spans="1:14">
      <c r="A370" s="28">
        <v>369</v>
      </c>
      <c r="B370" s="66" t="s">
        <v>17</v>
      </c>
      <c r="C370" s="28" t="s">
        <v>25</v>
      </c>
      <c r="D370" s="28" t="s">
        <v>60</v>
      </c>
      <c r="E370" s="28" t="s">
        <v>71</v>
      </c>
      <c r="F370" s="28"/>
      <c r="G370" s="28" t="s">
        <v>123</v>
      </c>
      <c r="H370" s="28" t="s">
        <v>117</v>
      </c>
      <c r="I370" s="56">
        <v>1151.5</v>
      </c>
      <c r="J370" s="28" t="s">
        <v>501</v>
      </c>
      <c r="K370" s="51">
        <v>46033</v>
      </c>
      <c r="L370" s="28">
        <v>2025404774</v>
      </c>
      <c r="M370" s="28" t="s">
        <v>311</v>
      </c>
      <c r="N370" s="28">
        <v>2026</v>
      </c>
    </row>
    <row r="371" spans="1:14">
      <c r="A371" s="28">
        <v>370</v>
      </c>
      <c r="B371" s="66" t="s">
        <v>54</v>
      </c>
      <c r="C371" s="28" t="s">
        <v>94</v>
      </c>
      <c r="D371" s="28" t="s">
        <v>60</v>
      </c>
      <c r="E371" s="60" t="s">
        <v>71</v>
      </c>
      <c r="F371" s="28"/>
      <c r="G371" s="28" t="s">
        <v>123</v>
      </c>
      <c r="H371" s="28" t="s">
        <v>117</v>
      </c>
      <c r="I371" s="56">
        <v>760</v>
      </c>
      <c r="J371" s="28" t="s">
        <v>502</v>
      </c>
      <c r="K371" s="61">
        <v>46022</v>
      </c>
      <c r="L371" s="28">
        <v>2025404701</v>
      </c>
      <c r="M371" s="28" t="s">
        <v>311</v>
      </c>
      <c r="N371" s="28">
        <v>2026</v>
      </c>
    </row>
    <row r="372" spans="1:14">
      <c r="A372" s="28">
        <v>371</v>
      </c>
      <c r="B372" s="66" t="s">
        <v>17</v>
      </c>
      <c r="C372" s="28" t="s">
        <v>24</v>
      </c>
      <c r="D372" s="28" t="s">
        <v>60</v>
      </c>
      <c r="E372" s="60" t="s">
        <v>71</v>
      </c>
      <c r="F372" s="28"/>
      <c r="G372" s="28" t="s">
        <v>123</v>
      </c>
      <c r="H372" s="28" t="s">
        <v>117</v>
      </c>
      <c r="I372" s="53">
        <v>850</v>
      </c>
      <c r="J372" s="28" t="s">
        <v>503</v>
      </c>
      <c r="K372" s="51">
        <v>46030</v>
      </c>
      <c r="L372" s="28">
        <v>2025404848</v>
      </c>
      <c r="M372" s="28" t="s">
        <v>311</v>
      </c>
      <c r="N372" s="28">
        <v>2026</v>
      </c>
    </row>
    <row r="373" spans="1:14">
      <c r="A373" s="28">
        <v>372</v>
      </c>
      <c r="B373" s="66" t="s">
        <v>52</v>
      </c>
      <c r="C373" s="28" t="s">
        <v>62</v>
      </c>
      <c r="D373" s="28" t="s">
        <v>60</v>
      </c>
      <c r="E373" s="60" t="s">
        <v>71</v>
      </c>
      <c r="F373" s="28"/>
      <c r="G373" s="28" t="s">
        <v>123</v>
      </c>
      <c r="H373" s="28" t="s">
        <v>117</v>
      </c>
      <c r="I373" s="56">
        <v>1850</v>
      </c>
      <c r="J373" s="28" t="s">
        <v>508</v>
      </c>
      <c r="K373" s="51">
        <v>46036</v>
      </c>
      <c r="L373" s="28">
        <v>2025404935</v>
      </c>
      <c r="M373" s="28" t="s">
        <v>311</v>
      </c>
      <c r="N373" s="28">
        <v>2026</v>
      </c>
    </row>
    <row r="374" spans="1:14">
      <c r="A374" s="28">
        <v>373</v>
      </c>
      <c r="B374" s="66" t="s">
        <v>17</v>
      </c>
      <c r="C374" s="28" t="s">
        <v>22</v>
      </c>
      <c r="D374" s="28" t="s">
        <v>60</v>
      </c>
      <c r="E374" s="60" t="s">
        <v>71</v>
      </c>
      <c r="F374" s="28"/>
      <c r="G374" s="28" t="s">
        <v>123</v>
      </c>
      <c r="H374" s="28" t="s">
        <v>117</v>
      </c>
      <c r="I374" s="56">
        <v>2161.5</v>
      </c>
      <c r="J374" s="28" t="s">
        <v>509</v>
      </c>
      <c r="K374" s="51">
        <v>46036</v>
      </c>
      <c r="L374" s="28">
        <v>2025404914</v>
      </c>
      <c r="M374" s="28" t="s">
        <v>311</v>
      </c>
      <c r="N374" s="28">
        <v>2026</v>
      </c>
    </row>
    <row r="375" spans="1:14">
      <c r="A375" s="28">
        <v>374</v>
      </c>
      <c r="B375" s="66" t="s">
        <v>42</v>
      </c>
      <c r="C375" s="28" t="s">
        <v>50</v>
      </c>
      <c r="D375" s="28" t="s">
        <v>60</v>
      </c>
      <c r="E375" s="28" t="s">
        <v>71</v>
      </c>
      <c r="F375" s="28"/>
      <c r="G375" s="28" t="s">
        <v>123</v>
      </c>
      <c r="H375" s="28" t="s">
        <v>117</v>
      </c>
      <c r="I375" s="56">
        <v>1093.4000000000001</v>
      </c>
      <c r="J375" s="28" t="s">
        <v>511</v>
      </c>
      <c r="K375" s="51">
        <v>46037</v>
      </c>
      <c r="L375" s="28">
        <v>2026400071</v>
      </c>
      <c r="M375" s="28" t="s">
        <v>311</v>
      </c>
      <c r="N375" s="28">
        <v>2026</v>
      </c>
    </row>
    <row r="376" spans="1:14">
      <c r="A376" s="28">
        <v>375</v>
      </c>
      <c r="B376" s="66" t="s">
        <v>42</v>
      </c>
      <c r="C376" s="60" t="s">
        <v>47</v>
      </c>
      <c r="D376" s="28" t="s">
        <v>60</v>
      </c>
      <c r="E376" s="60" t="s">
        <v>71</v>
      </c>
      <c r="F376" s="28"/>
      <c r="G376" s="60" t="s">
        <v>123</v>
      </c>
      <c r="H376" s="28" t="s">
        <v>117</v>
      </c>
      <c r="I376" s="56">
        <v>30</v>
      </c>
      <c r="J376" s="28" t="s">
        <v>513</v>
      </c>
      <c r="K376" s="51">
        <v>46040</v>
      </c>
      <c r="L376" s="28">
        <v>2026400105</v>
      </c>
      <c r="M376" s="28" t="s">
        <v>311</v>
      </c>
      <c r="N376" s="28">
        <v>2026</v>
      </c>
    </row>
    <row r="377" spans="1:14">
      <c r="A377" s="28">
        <v>376</v>
      </c>
      <c r="B377" s="66" t="s">
        <v>42</v>
      </c>
      <c r="C377" s="28" t="s">
        <v>44</v>
      </c>
      <c r="D377" s="28" t="s">
        <v>60</v>
      </c>
      <c r="E377" s="60" t="s">
        <v>71</v>
      </c>
      <c r="F377" s="28"/>
      <c r="G377" s="28" t="s">
        <v>123</v>
      </c>
      <c r="H377" s="28" t="s">
        <v>117</v>
      </c>
      <c r="I377" s="56">
        <v>661.5</v>
      </c>
      <c r="J377" s="28" t="s">
        <v>514</v>
      </c>
      <c r="K377" s="51">
        <v>46040</v>
      </c>
      <c r="L377" s="28">
        <v>2026400109</v>
      </c>
      <c r="M377" s="28" t="s">
        <v>311</v>
      </c>
      <c r="N377" s="28">
        <v>2026</v>
      </c>
    </row>
    <row r="378" spans="1:14">
      <c r="A378" s="28">
        <v>377</v>
      </c>
      <c r="B378" s="66" t="s">
        <v>42</v>
      </c>
      <c r="C378" s="28" t="s">
        <v>263</v>
      </c>
      <c r="D378" s="28" t="s">
        <v>60</v>
      </c>
      <c r="E378" s="28" t="s">
        <v>71</v>
      </c>
      <c r="F378" s="28"/>
      <c r="G378" s="28" t="s">
        <v>123</v>
      </c>
      <c r="H378" s="28" t="s">
        <v>117</v>
      </c>
      <c r="I378" s="56">
        <v>390</v>
      </c>
      <c r="J378" s="28" t="s">
        <v>518</v>
      </c>
      <c r="K378" s="51">
        <v>46037</v>
      </c>
      <c r="L378" s="28">
        <v>2026400064</v>
      </c>
      <c r="M378" s="28" t="s">
        <v>311</v>
      </c>
      <c r="N378" s="28">
        <v>2026</v>
      </c>
    </row>
    <row r="379" spans="1:14">
      <c r="A379" s="28">
        <v>378</v>
      </c>
      <c r="B379" s="66" t="s">
        <v>54</v>
      </c>
      <c r="C379" s="28" t="s">
        <v>94</v>
      </c>
      <c r="D379" s="28" t="s">
        <v>60</v>
      </c>
      <c r="E379" s="28" t="s">
        <v>71</v>
      </c>
      <c r="F379" s="28"/>
      <c r="G379" s="28" t="s">
        <v>123</v>
      </c>
      <c r="H379" s="52" t="s">
        <v>117</v>
      </c>
      <c r="I379" s="56">
        <v>45</v>
      </c>
      <c r="J379" s="28" t="s">
        <v>519</v>
      </c>
      <c r="K379" s="51">
        <v>46037</v>
      </c>
      <c r="L379" s="28">
        <v>2026400057</v>
      </c>
      <c r="M379" s="28" t="s">
        <v>311</v>
      </c>
      <c r="N379" s="28">
        <v>2026</v>
      </c>
    </row>
    <row r="380" spans="1:14">
      <c r="A380" s="28">
        <v>379</v>
      </c>
      <c r="B380" s="66" t="s">
        <v>17</v>
      </c>
      <c r="C380" s="28" t="s">
        <v>24</v>
      </c>
      <c r="D380" s="28" t="s">
        <v>60</v>
      </c>
      <c r="E380" s="28" t="s">
        <v>71</v>
      </c>
      <c r="F380" s="28"/>
      <c r="G380" s="28" t="s">
        <v>123</v>
      </c>
      <c r="H380" s="28" t="s">
        <v>117</v>
      </c>
      <c r="I380" s="56">
        <v>36</v>
      </c>
      <c r="J380" s="28" t="s">
        <v>520</v>
      </c>
      <c r="K380" s="51">
        <v>46037</v>
      </c>
      <c r="L380" s="28">
        <v>2025404928</v>
      </c>
      <c r="M380" s="28" t="s">
        <v>311</v>
      </c>
      <c r="N380" s="28">
        <v>2026</v>
      </c>
    </row>
    <row r="381" spans="1:14">
      <c r="A381" s="28">
        <v>380</v>
      </c>
      <c r="B381" s="66" t="s">
        <v>52</v>
      </c>
      <c r="C381" s="28" t="s">
        <v>62</v>
      </c>
      <c r="D381" s="28" t="s">
        <v>60</v>
      </c>
      <c r="E381" s="28" t="s">
        <v>71</v>
      </c>
      <c r="F381" s="28"/>
      <c r="G381" s="28" t="s">
        <v>123</v>
      </c>
      <c r="H381" s="28" t="s">
        <v>117</v>
      </c>
      <c r="I381" s="56">
        <v>1185</v>
      </c>
      <c r="J381" s="28" t="s">
        <v>521</v>
      </c>
      <c r="K381" s="51">
        <v>46037</v>
      </c>
      <c r="L381" s="28">
        <v>2025404858</v>
      </c>
      <c r="M381" s="28" t="s">
        <v>311</v>
      </c>
      <c r="N381" s="28">
        <v>2026</v>
      </c>
    </row>
    <row r="382" spans="1:14">
      <c r="A382" s="28">
        <v>381</v>
      </c>
      <c r="B382" s="66" t="s">
        <v>17</v>
      </c>
      <c r="C382" s="28" t="s">
        <v>18</v>
      </c>
      <c r="D382" s="28" t="s">
        <v>60</v>
      </c>
      <c r="E382" s="28" t="s">
        <v>71</v>
      </c>
      <c r="F382" s="28"/>
      <c r="G382" s="28" t="s">
        <v>123</v>
      </c>
      <c r="H382" s="28" t="s">
        <v>117</v>
      </c>
      <c r="I382" s="56">
        <v>208.6</v>
      </c>
      <c r="J382" s="28" t="s">
        <v>522</v>
      </c>
      <c r="K382" s="51">
        <v>46036</v>
      </c>
      <c r="L382" s="28">
        <v>2026400060</v>
      </c>
      <c r="M382" s="28" t="s">
        <v>311</v>
      </c>
      <c r="N382" s="28">
        <v>2026</v>
      </c>
    </row>
    <row r="383" spans="1:14">
      <c r="A383" s="28">
        <v>382</v>
      </c>
      <c r="B383" s="66" t="s">
        <v>17</v>
      </c>
      <c r="C383" s="28" t="s">
        <v>25</v>
      </c>
      <c r="D383" s="28" t="s">
        <v>60</v>
      </c>
      <c r="E383" s="28" t="s">
        <v>71</v>
      </c>
      <c r="F383" s="28"/>
      <c r="G383" s="28" t="s">
        <v>123</v>
      </c>
      <c r="H383" s="28" t="s">
        <v>117</v>
      </c>
      <c r="I383" s="56">
        <v>1199</v>
      </c>
      <c r="J383" s="28" t="s">
        <v>523</v>
      </c>
      <c r="K383" s="51">
        <v>46037</v>
      </c>
      <c r="L383" s="28">
        <v>2025404929</v>
      </c>
      <c r="M383" s="28" t="s">
        <v>311</v>
      </c>
      <c r="N383" s="28">
        <v>2026</v>
      </c>
    </row>
    <row r="384" spans="1:14">
      <c r="A384" s="28">
        <v>383</v>
      </c>
      <c r="B384" s="66" t="s">
        <v>42</v>
      </c>
      <c r="C384" s="91" t="s">
        <v>47</v>
      </c>
      <c r="D384" s="28" t="s">
        <v>60</v>
      </c>
      <c r="E384" s="28" t="s">
        <v>71</v>
      </c>
      <c r="F384" s="28"/>
      <c r="G384" s="28" t="s">
        <v>123</v>
      </c>
      <c r="H384" s="28" t="s">
        <v>117</v>
      </c>
      <c r="I384" s="56">
        <v>66</v>
      </c>
      <c r="J384" s="28" t="s">
        <v>524</v>
      </c>
      <c r="K384" s="51">
        <v>46037</v>
      </c>
      <c r="L384" s="28">
        <v>2026400073</v>
      </c>
      <c r="M384" s="28" t="s">
        <v>311</v>
      </c>
      <c r="N384" s="28">
        <v>2026</v>
      </c>
    </row>
    <row r="385" spans="1:14">
      <c r="A385" s="28">
        <v>384</v>
      </c>
      <c r="B385" s="66" t="s">
        <v>17</v>
      </c>
      <c r="C385" s="28" t="s">
        <v>25</v>
      </c>
      <c r="D385" s="28" t="s">
        <v>60</v>
      </c>
      <c r="E385" s="28" t="s">
        <v>71</v>
      </c>
      <c r="F385" s="28"/>
      <c r="G385" s="28" t="s">
        <v>123</v>
      </c>
      <c r="H385" s="28" t="s">
        <v>117</v>
      </c>
      <c r="I385" s="49">
        <v>1058.8</v>
      </c>
      <c r="J385" s="28" t="s">
        <v>525</v>
      </c>
      <c r="K385" s="51">
        <v>46036</v>
      </c>
      <c r="L385" s="28">
        <v>2026400070</v>
      </c>
      <c r="M385" s="28" t="s">
        <v>311</v>
      </c>
      <c r="N385" s="28">
        <v>2026</v>
      </c>
    </row>
    <row r="386" spans="1:14">
      <c r="A386" s="28">
        <v>385</v>
      </c>
      <c r="B386" s="66" t="s">
        <v>42</v>
      </c>
      <c r="C386" s="28" t="s">
        <v>263</v>
      </c>
      <c r="D386" s="28" t="s">
        <v>60</v>
      </c>
      <c r="E386" s="28" t="s">
        <v>71</v>
      </c>
      <c r="F386" s="28"/>
      <c r="G386" s="28" t="s">
        <v>123</v>
      </c>
      <c r="H386" s="28" t="s">
        <v>117</v>
      </c>
      <c r="I386" s="49">
        <v>300</v>
      </c>
      <c r="J386" s="28" t="s">
        <v>526</v>
      </c>
      <c r="K386" s="51">
        <v>46037</v>
      </c>
      <c r="L386" s="28">
        <v>2026400074</v>
      </c>
      <c r="M386" s="28" t="s">
        <v>311</v>
      </c>
      <c r="N386" s="28">
        <v>2026</v>
      </c>
    </row>
    <row r="387" spans="1:14">
      <c r="A387" s="28">
        <v>386</v>
      </c>
      <c r="B387" s="66" t="s">
        <v>42</v>
      </c>
      <c r="C387" s="28" t="s">
        <v>50</v>
      </c>
      <c r="D387" s="28" t="s">
        <v>60</v>
      </c>
      <c r="E387" s="28" t="s">
        <v>71</v>
      </c>
      <c r="F387" s="28"/>
      <c r="G387" s="28" t="s">
        <v>123</v>
      </c>
      <c r="H387" s="28" t="s">
        <v>117</v>
      </c>
      <c r="I387" s="56">
        <v>1279.7</v>
      </c>
      <c r="J387" s="28" t="s">
        <v>527</v>
      </c>
      <c r="K387" s="51">
        <v>46036</v>
      </c>
      <c r="L387" s="28">
        <v>2025404869</v>
      </c>
      <c r="M387" s="28" t="s">
        <v>311</v>
      </c>
      <c r="N387" s="28">
        <v>2026</v>
      </c>
    </row>
    <row r="388" spans="1:14">
      <c r="A388" s="28">
        <v>387</v>
      </c>
      <c r="B388" s="28" t="s">
        <v>42</v>
      </c>
      <c r="C388" s="28" t="s">
        <v>263</v>
      </c>
      <c r="D388" s="28" t="s">
        <v>60</v>
      </c>
      <c r="E388" s="28" t="s">
        <v>71</v>
      </c>
      <c r="F388" s="28"/>
      <c r="G388" s="28" t="s">
        <v>123</v>
      </c>
      <c r="H388" s="28" t="s">
        <v>117</v>
      </c>
      <c r="I388" s="49">
        <v>650</v>
      </c>
      <c r="J388" s="28" t="s">
        <v>528</v>
      </c>
      <c r="K388" s="51">
        <v>46037</v>
      </c>
      <c r="L388" s="28">
        <v>2026400065</v>
      </c>
      <c r="M388" s="28" t="s">
        <v>311</v>
      </c>
      <c r="N388" s="28">
        <v>2026</v>
      </c>
    </row>
    <row r="389" spans="1:14">
      <c r="A389" s="28">
        <v>388</v>
      </c>
      <c r="B389" s="47" t="s">
        <v>42</v>
      </c>
      <c r="C389" s="28" t="s">
        <v>49</v>
      </c>
      <c r="D389" s="28" t="s">
        <v>60</v>
      </c>
      <c r="E389" s="28" t="s">
        <v>71</v>
      </c>
      <c r="F389" s="28"/>
      <c r="G389" s="28" t="s">
        <v>123</v>
      </c>
      <c r="H389" s="47" t="s">
        <v>117</v>
      </c>
      <c r="I389" s="49">
        <v>150</v>
      </c>
      <c r="J389" s="28" t="s">
        <v>529</v>
      </c>
      <c r="K389" s="51">
        <v>46037</v>
      </c>
      <c r="L389" s="28">
        <v>2025404870</v>
      </c>
      <c r="M389" s="28" t="s">
        <v>311</v>
      </c>
      <c r="N389" s="28">
        <v>2026</v>
      </c>
    </row>
    <row r="390" spans="1:14">
      <c r="A390" s="28">
        <v>389</v>
      </c>
      <c r="B390" s="28" t="s">
        <v>35</v>
      </c>
      <c r="C390" s="51" t="s">
        <v>37</v>
      </c>
      <c r="D390" s="28" t="s">
        <v>60</v>
      </c>
      <c r="E390" s="28" t="s">
        <v>71</v>
      </c>
      <c r="F390" s="28"/>
      <c r="G390" s="28" t="s">
        <v>123</v>
      </c>
      <c r="H390" s="52" t="s">
        <v>117</v>
      </c>
      <c r="I390" s="53">
        <v>583.4</v>
      </c>
      <c r="J390" s="28" t="s">
        <v>530</v>
      </c>
      <c r="K390" s="51">
        <v>46036</v>
      </c>
      <c r="L390" s="54">
        <v>2026400019</v>
      </c>
      <c r="M390" s="28" t="s">
        <v>311</v>
      </c>
      <c r="N390" s="28">
        <v>2026</v>
      </c>
    </row>
    <row r="391" spans="1:14">
      <c r="A391" s="28">
        <v>390</v>
      </c>
      <c r="B391" s="28" t="s">
        <v>17</v>
      </c>
      <c r="C391" s="28" t="s">
        <v>23</v>
      </c>
      <c r="D391" s="28" t="s">
        <v>60</v>
      </c>
      <c r="E391" s="28" t="s">
        <v>71</v>
      </c>
      <c r="F391" s="28"/>
      <c r="G391" s="28" t="s">
        <v>123</v>
      </c>
      <c r="H391" s="52" t="s">
        <v>117</v>
      </c>
      <c r="I391" s="53">
        <v>300</v>
      </c>
      <c r="J391" s="52" t="s">
        <v>531</v>
      </c>
      <c r="K391" s="51">
        <v>46037</v>
      </c>
      <c r="L391" s="54">
        <v>2026400043</v>
      </c>
      <c r="M391" s="28" t="s">
        <v>311</v>
      </c>
      <c r="N391" s="28">
        <v>2026</v>
      </c>
    </row>
    <row r="392" spans="1:14">
      <c r="A392" s="28">
        <v>391</v>
      </c>
      <c r="B392" s="28" t="s">
        <v>52</v>
      </c>
      <c r="C392" s="51" t="s">
        <v>62</v>
      </c>
      <c r="D392" s="28" t="s">
        <v>60</v>
      </c>
      <c r="E392" s="28" t="s">
        <v>71</v>
      </c>
      <c r="F392" s="28"/>
      <c r="G392" s="28" t="s">
        <v>123</v>
      </c>
      <c r="H392" s="52" t="s">
        <v>117</v>
      </c>
      <c r="I392" s="53">
        <v>232</v>
      </c>
      <c r="J392" s="28" t="s">
        <v>532</v>
      </c>
      <c r="K392" s="51">
        <v>46036</v>
      </c>
      <c r="L392" s="54">
        <v>2025404930</v>
      </c>
      <c r="M392" s="28" t="s">
        <v>311</v>
      </c>
      <c r="N392" s="28">
        <v>2026</v>
      </c>
    </row>
    <row r="393" spans="1:14">
      <c r="A393" s="28">
        <v>392</v>
      </c>
      <c r="B393" s="28" t="s">
        <v>42</v>
      </c>
      <c r="C393" s="51" t="s">
        <v>263</v>
      </c>
      <c r="D393" s="28" t="s">
        <v>60</v>
      </c>
      <c r="E393" s="28" t="s">
        <v>71</v>
      </c>
      <c r="F393" s="28"/>
      <c r="G393" s="28" t="s">
        <v>123</v>
      </c>
      <c r="H393" s="52" t="s">
        <v>117</v>
      </c>
      <c r="I393" s="53">
        <v>1090</v>
      </c>
      <c r="J393" s="28" t="s">
        <v>533</v>
      </c>
      <c r="K393" s="51">
        <v>46036</v>
      </c>
      <c r="L393" s="54">
        <v>2025404924</v>
      </c>
      <c r="M393" s="28" t="s">
        <v>311</v>
      </c>
      <c r="N393" s="28">
        <v>2026</v>
      </c>
    </row>
    <row r="394" spans="1:14">
      <c r="A394" s="28">
        <v>393</v>
      </c>
      <c r="B394" s="28" t="s">
        <v>52</v>
      </c>
      <c r="C394" s="51" t="s">
        <v>62</v>
      </c>
      <c r="D394" s="28" t="s">
        <v>60</v>
      </c>
      <c r="E394" s="28" t="s">
        <v>71</v>
      </c>
      <c r="F394" s="28"/>
      <c r="G394" s="28" t="s">
        <v>123</v>
      </c>
      <c r="H394" s="52" t="s">
        <v>117</v>
      </c>
      <c r="I394" s="53">
        <v>400</v>
      </c>
      <c r="J394" s="28" t="s">
        <v>534</v>
      </c>
      <c r="K394" s="51">
        <v>46037</v>
      </c>
      <c r="L394" s="54">
        <v>2025404932</v>
      </c>
      <c r="M394" s="28" t="s">
        <v>311</v>
      </c>
      <c r="N394" s="28">
        <v>2026</v>
      </c>
    </row>
    <row r="395" spans="1:14">
      <c r="A395" s="28">
        <v>394</v>
      </c>
      <c r="B395" s="28" t="s">
        <v>42</v>
      </c>
      <c r="C395" s="51" t="s">
        <v>73</v>
      </c>
      <c r="D395" s="28" t="s">
        <v>60</v>
      </c>
      <c r="E395" s="28" t="s">
        <v>71</v>
      </c>
      <c r="F395" s="28"/>
      <c r="G395" s="28" t="s">
        <v>123</v>
      </c>
      <c r="H395" s="52" t="s">
        <v>117</v>
      </c>
      <c r="I395" s="53">
        <v>247.4</v>
      </c>
      <c r="J395" s="28" t="s">
        <v>535</v>
      </c>
      <c r="K395" s="51">
        <v>46036</v>
      </c>
      <c r="L395" s="54">
        <v>2025404878</v>
      </c>
      <c r="M395" s="28" t="s">
        <v>311</v>
      </c>
      <c r="N395" s="28">
        <v>2026</v>
      </c>
    </row>
    <row r="396" spans="1:14">
      <c r="A396" s="28">
        <v>395</v>
      </c>
      <c r="B396" s="28" t="s">
        <v>52</v>
      </c>
      <c r="C396" s="51" t="s">
        <v>62</v>
      </c>
      <c r="D396" s="28" t="s">
        <v>60</v>
      </c>
      <c r="E396" s="28" t="s">
        <v>71</v>
      </c>
      <c r="F396" s="28"/>
      <c r="G396" s="28" t="s">
        <v>123</v>
      </c>
      <c r="H396" s="52" t="s">
        <v>117</v>
      </c>
      <c r="I396" s="53">
        <v>180</v>
      </c>
      <c r="J396" s="28" t="s">
        <v>536</v>
      </c>
      <c r="K396" s="51">
        <v>46037</v>
      </c>
      <c r="L396" s="54">
        <v>2025404931</v>
      </c>
      <c r="M396" s="28" t="s">
        <v>311</v>
      </c>
      <c r="N396" s="28">
        <v>2026</v>
      </c>
    </row>
    <row r="397" spans="1:14">
      <c r="A397" s="28">
        <v>396</v>
      </c>
      <c r="B397" s="28" t="s">
        <v>42</v>
      </c>
      <c r="C397" s="28" t="s">
        <v>263</v>
      </c>
      <c r="D397" s="28" t="s">
        <v>60</v>
      </c>
      <c r="E397" s="28" t="s">
        <v>71</v>
      </c>
      <c r="F397" s="28"/>
      <c r="G397" s="28" t="s">
        <v>123</v>
      </c>
      <c r="H397" s="28" t="s">
        <v>117</v>
      </c>
      <c r="I397" s="53">
        <v>449</v>
      </c>
      <c r="J397" s="28" t="s">
        <v>537</v>
      </c>
      <c r="K397" s="51">
        <v>46037</v>
      </c>
      <c r="L397" s="54">
        <v>2026400061</v>
      </c>
      <c r="M397" s="28" t="s">
        <v>311</v>
      </c>
      <c r="N397" s="28">
        <v>2026</v>
      </c>
    </row>
    <row r="398" spans="1:14">
      <c r="A398" s="28">
        <v>397</v>
      </c>
      <c r="B398" s="28" t="s">
        <v>42</v>
      </c>
      <c r="C398" s="51" t="s">
        <v>50</v>
      </c>
      <c r="D398" s="28" t="s">
        <v>60</v>
      </c>
      <c r="E398" s="28" t="s">
        <v>71</v>
      </c>
      <c r="F398" s="28"/>
      <c r="G398" s="28" t="s">
        <v>123</v>
      </c>
      <c r="H398" s="52" t="s">
        <v>117</v>
      </c>
      <c r="I398" s="53">
        <v>442.2</v>
      </c>
      <c r="J398" s="28" t="s">
        <v>539</v>
      </c>
      <c r="K398" s="51">
        <v>46040</v>
      </c>
      <c r="L398" s="54">
        <v>2026400093</v>
      </c>
      <c r="M398" s="28" t="s">
        <v>311</v>
      </c>
      <c r="N398" s="28">
        <v>2026</v>
      </c>
    </row>
    <row r="399" spans="1:14">
      <c r="A399" s="28">
        <v>398</v>
      </c>
      <c r="B399" s="28" t="s">
        <v>42</v>
      </c>
      <c r="C399" s="51" t="s">
        <v>263</v>
      </c>
      <c r="D399" s="28" t="s">
        <v>60</v>
      </c>
      <c r="E399" s="28" t="s">
        <v>71</v>
      </c>
      <c r="F399" s="28"/>
      <c r="G399" s="28" t="s">
        <v>123</v>
      </c>
      <c r="H399" s="52" t="s">
        <v>117</v>
      </c>
      <c r="I399" s="53">
        <v>1087</v>
      </c>
      <c r="J399" s="28" t="s">
        <v>540</v>
      </c>
      <c r="K399" s="51">
        <v>46040</v>
      </c>
      <c r="L399" s="54">
        <v>2026400092</v>
      </c>
      <c r="M399" s="28" t="s">
        <v>311</v>
      </c>
      <c r="N399" s="28">
        <v>2026</v>
      </c>
    </row>
    <row r="400" spans="1:14">
      <c r="A400" s="28">
        <v>399</v>
      </c>
      <c r="B400" s="28" t="s">
        <v>17</v>
      </c>
      <c r="C400" s="51" t="s">
        <v>18</v>
      </c>
      <c r="D400" s="28" t="s">
        <v>60</v>
      </c>
      <c r="E400" s="28" t="s">
        <v>71</v>
      </c>
      <c r="F400" s="28"/>
      <c r="G400" s="28" t="s">
        <v>123</v>
      </c>
      <c r="H400" s="52" t="s">
        <v>117</v>
      </c>
      <c r="I400" s="53">
        <v>90</v>
      </c>
      <c r="J400" s="28" t="s">
        <v>541</v>
      </c>
      <c r="K400" s="51">
        <v>46040</v>
      </c>
      <c r="L400" s="54">
        <v>2026400097</v>
      </c>
      <c r="M400" s="28" t="s">
        <v>311</v>
      </c>
      <c r="N400" s="28">
        <v>2026</v>
      </c>
    </row>
    <row r="401" spans="1:14">
      <c r="A401" s="28">
        <v>400</v>
      </c>
      <c r="B401" s="28" t="s">
        <v>42</v>
      </c>
      <c r="C401" s="28" t="s">
        <v>50</v>
      </c>
      <c r="D401" s="28" t="s">
        <v>60</v>
      </c>
      <c r="E401" s="28" t="s">
        <v>71</v>
      </c>
      <c r="F401" s="28"/>
      <c r="G401" s="28" t="s">
        <v>123</v>
      </c>
      <c r="H401" s="52" t="s">
        <v>117</v>
      </c>
      <c r="I401" s="53">
        <v>750</v>
      </c>
      <c r="J401" s="28" t="s">
        <v>542</v>
      </c>
      <c r="K401" s="51">
        <v>46040</v>
      </c>
      <c r="L401" s="54">
        <v>2026400090</v>
      </c>
      <c r="M401" s="28" t="s">
        <v>311</v>
      </c>
      <c r="N401" s="28">
        <v>2026</v>
      </c>
    </row>
    <row r="402" spans="1:14">
      <c r="A402" s="28">
        <v>401</v>
      </c>
      <c r="B402" s="28" t="s">
        <v>17</v>
      </c>
      <c r="C402" s="51" t="s">
        <v>25</v>
      </c>
      <c r="D402" s="28" t="s">
        <v>60</v>
      </c>
      <c r="E402" s="28" t="s">
        <v>71</v>
      </c>
      <c r="F402" s="28"/>
      <c r="G402" s="28" t="s">
        <v>123</v>
      </c>
      <c r="H402" s="52" t="s">
        <v>117</v>
      </c>
      <c r="I402" s="53">
        <v>270</v>
      </c>
      <c r="J402" s="28" t="s">
        <v>543</v>
      </c>
      <c r="K402" s="51">
        <v>46040</v>
      </c>
      <c r="L402" s="54">
        <v>2026400058</v>
      </c>
      <c r="M402" s="28" t="s">
        <v>311</v>
      </c>
      <c r="N402" s="28">
        <v>2026</v>
      </c>
    </row>
    <row r="403" spans="1:14">
      <c r="A403" s="28">
        <v>402</v>
      </c>
      <c r="B403" s="28" t="s">
        <v>52</v>
      </c>
      <c r="C403" s="91" t="s">
        <v>62</v>
      </c>
      <c r="D403" s="28" t="s">
        <v>60</v>
      </c>
      <c r="E403" s="28" t="s">
        <v>71</v>
      </c>
      <c r="F403" s="28"/>
      <c r="G403" s="28" t="s">
        <v>123</v>
      </c>
      <c r="H403" s="52" t="s">
        <v>117</v>
      </c>
      <c r="I403" s="53">
        <v>299.60000000000002</v>
      </c>
      <c r="J403" s="28" t="s">
        <v>544</v>
      </c>
      <c r="K403" s="51">
        <v>46040</v>
      </c>
      <c r="L403" s="54">
        <v>2026400017</v>
      </c>
      <c r="M403" s="28" t="s">
        <v>311</v>
      </c>
      <c r="N403" s="28">
        <v>2026</v>
      </c>
    </row>
    <row r="404" spans="1:14">
      <c r="A404" s="28">
        <v>403</v>
      </c>
      <c r="B404" s="28" t="s">
        <v>35</v>
      </c>
      <c r="C404" s="51" t="s">
        <v>41</v>
      </c>
      <c r="D404" s="28" t="s">
        <v>60</v>
      </c>
      <c r="E404" s="28" t="s">
        <v>71</v>
      </c>
      <c r="F404" s="28"/>
      <c r="G404" s="28" t="s">
        <v>123</v>
      </c>
      <c r="H404" s="52" t="s">
        <v>117</v>
      </c>
      <c r="I404" s="53">
        <v>56</v>
      </c>
      <c r="J404" s="28" t="s">
        <v>546</v>
      </c>
      <c r="K404" s="51">
        <v>46022</v>
      </c>
      <c r="L404" s="54">
        <v>2025404779</v>
      </c>
      <c r="M404" s="28" t="s">
        <v>311</v>
      </c>
      <c r="N404" s="28">
        <v>2026</v>
      </c>
    </row>
    <row r="405" spans="1:14">
      <c r="A405" s="28">
        <v>404</v>
      </c>
      <c r="B405" s="28" t="s">
        <v>52</v>
      </c>
      <c r="C405" s="51" t="s">
        <v>62</v>
      </c>
      <c r="D405" s="28" t="s">
        <v>60</v>
      </c>
      <c r="E405" s="28" t="s">
        <v>71</v>
      </c>
      <c r="F405" s="28"/>
      <c r="G405" s="28" t="s">
        <v>123</v>
      </c>
      <c r="H405" s="52" t="s">
        <v>117</v>
      </c>
      <c r="I405" s="53">
        <v>1142.9000000000001</v>
      </c>
      <c r="J405" s="28" t="s">
        <v>547</v>
      </c>
      <c r="K405" s="51">
        <v>46041</v>
      </c>
      <c r="L405" s="54">
        <v>2026400117</v>
      </c>
      <c r="M405" s="28" t="s">
        <v>311</v>
      </c>
      <c r="N405" s="28">
        <v>2026</v>
      </c>
    </row>
    <row r="406" spans="1:14">
      <c r="A406" s="28">
        <v>405</v>
      </c>
      <c r="B406" s="28" t="s">
        <v>35</v>
      </c>
      <c r="C406" s="28" t="s">
        <v>36</v>
      </c>
      <c r="D406" s="28" t="s">
        <v>60</v>
      </c>
      <c r="E406" s="28" t="s">
        <v>71</v>
      </c>
      <c r="F406" s="28"/>
      <c r="G406" s="28" t="s">
        <v>123</v>
      </c>
      <c r="H406" s="52" t="s">
        <v>117</v>
      </c>
      <c r="I406" s="53">
        <v>95.2</v>
      </c>
      <c r="J406" s="28" t="s">
        <v>548</v>
      </c>
      <c r="K406" s="51">
        <v>46041</v>
      </c>
      <c r="L406" s="54">
        <v>2026400125</v>
      </c>
      <c r="M406" s="28" t="s">
        <v>311</v>
      </c>
      <c r="N406" s="28">
        <v>2026</v>
      </c>
    </row>
    <row r="407" spans="1:14">
      <c r="A407" s="28">
        <v>406</v>
      </c>
      <c r="B407" s="28" t="s">
        <v>42</v>
      </c>
      <c r="C407" s="51" t="s">
        <v>263</v>
      </c>
      <c r="D407" s="28" t="s">
        <v>60</v>
      </c>
      <c r="E407" s="28" t="s">
        <v>71</v>
      </c>
      <c r="F407" s="28"/>
      <c r="G407" s="28" t="s">
        <v>123</v>
      </c>
      <c r="H407" s="52" t="s">
        <v>117</v>
      </c>
      <c r="I407" s="53">
        <v>244</v>
      </c>
      <c r="J407" s="28" t="s">
        <v>549</v>
      </c>
      <c r="K407" s="51">
        <v>46041</v>
      </c>
      <c r="L407" s="54">
        <v>2026400124</v>
      </c>
      <c r="M407" s="28" t="s">
        <v>311</v>
      </c>
      <c r="N407" s="28">
        <v>2026</v>
      </c>
    </row>
    <row r="408" spans="1:14">
      <c r="A408" s="28">
        <v>407</v>
      </c>
      <c r="B408" s="28" t="s">
        <v>42</v>
      </c>
      <c r="C408" s="51" t="s">
        <v>263</v>
      </c>
      <c r="D408" s="28" t="s">
        <v>60</v>
      </c>
      <c r="E408" s="28" t="s">
        <v>71</v>
      </c>
      <c r="F408" s="28"/>
      <c r="G408" s="28" t="s">
        <v>123</v>
      </c>
      <c r="H408" s="52" t="s">
        <v>117</v>
      </c>
      <c r="I408" s="53">
        <v>80</v>
      </c>
      <c r="J408" s="28" t="s">
        <v>550</v>
      </c>
      <c r="K408" s="51">
        <v>46041</v>
      </c>
      <c r="L408" s="54">
        <v>2026400123</v>
      </c>
      <c r="M408" s="28" t="s">
        <v>311</v>
      </c>
      <c r="N408" s="28">
        <v>2026</v>
      </c>
    </row>
    <row r="409" spans="1:14">
      <c r="A409" s="28">
        <v>408</v>
      </c>
      <c r="B409" s="28" t="s">
        <v>42</v>
      </c>
      <c r="C409" s="51" t="s">
        <v>263</v>
      </c>
      <c r="D409" s="28" t="s">
        <v>60</v>
      </c>
      <c r="E409" s="28" t="s">
        <v>71</v>
      </c>
      <c r="F409" s="28"/>
      <c r="G409" s="28" t="s">
        <v>123</v>
      </c>
      <c r="H409" s="52" t="s">
        <v>117</v>
      </c>
      <c r="I409" s="53">
        <v>200</v>
      </c>
      <c r="J409" s="28" t="s">
        <v>551</v>
      </c>
      <c r="K409" s="51">
        <v>46041</v>
      </c>
      <c r="L409" s="54">
        <v>2026400122</v>
      </c>
      <c r="M409" s="28" t="s">
        <v>311</v>
      </c>
      <c r="N409" s="28">
        <v>2026</v>
      </c>
    </row>
    <row r="410" spans="1:14">
      <c r="A410" s="28">
        <v>409</v>
      </c>
      <c r="B410" s="50" t="s">
        <v>42</v>
      </c>
      <c r="C410" s="93" t="s">
        <v>45</v>
      </c>
      <c r="D410" s="28" t="s">
        <v>60</v>
      </c>
      <c r="E410" s="28" t="s">
        <v>71</v>
      </c>
      <c r="F410" s="28"/>
      <c r="G410" s="28" t="s">
        <v>123</v>
      </c>
      <c r="H410" s="28" t="s">
        <v>117</v>
      </c>
      <c r="I410" s="53">
        <v>141.30000000000001</v>
      </c>
      <c r="J410" s="51" t="s">
        <v>553</v>
      </c>
      <c r="K410" s="51">
        <v>46041</v>
      </c>
      <c r="L410" s="54">
        <v>2026400166</v>
      </c>
      <c r="M410" s="28" t="s">
        <v>311</v>
      </c>
      <c r="N410" s="28">
        <v>2026</v>
      </c>
    </row>
    <row r="411" spans="1:14">
      <c r="A411" s="28">
        <v>410</v>
      </c>
      <c r="B411" s="50" t="s">
        <v>42</v>
      </c>
      <c r="C411" s="51" t="s">
        <v>44</v>
      </c>
      <c r="D411" s="28" t="s">
        <v>60</v>
      </c>
      <c r="E411" s="28" t="s">
        <v>71</v>
      </c>
      <c r="F411" s="28"/>
      <c r="G411" s="28" t="s">
        <v>123</v>
      </c>
      <c r="H411" s="28" t="s">
        <v>117</v>
      </c>
      <c r="I411" s="53">
        <v>38</v>
      </c>
      <c r="J411" s="51" t="s">
        <v>554</v>
      </c>
      <c r="K411" s="51">
        <v>46032</v>
      </c>
      <c r="L411" s="54">
        <v>2026400015</v>
      </c>
      <c r="M411" s="28" t="s">
        <v>311</v>
      </c>
      <c r="N411" s="28">
        <v>2026</v>
      </c>
    </row>
    <row r="412" spans="1:14">
      <c r="A412" s="28">
        <v>411</v>
      </c>
      <c r="B412" s="50" t="s">
        <v>42</v>
      </c>
      <c r="C412" s="51" t="s">
        <v>263</v>
      </c>
      <c r="D412" s="28" t="s">
        <v>60</v>
      </c>
      <c r="E412" s="28" t="s">
        <v>71</v>
      </c>
      <c r="F412" s="28"/>
      <c r="G412" s="28" t="s">
        <v>123</v>
      </c>
      <c r="H412" s="28" t="s">
        <v>117</v>
      </c>
      <c r="I412" s="56">
        <v>1040</v>
      </c>
      <c r="J412" s="51" t="s">
        <v>555</v>
      </c>
      <c r="K412" s="51">
        <v>46043</v>
      </c>
      <c r="L412" s="54">
        <v>2026400169</v>
      </c>
      <c r="M412" s="28" t="s">
        <v>311</v>
      </c>
      <c r="N412" s="28">
        <v>2026</v>
      </c>
    </row>
    <row r="413" spans="1:14">
      <c r="A413" s="28">
        <v>412</v>
      </c>
      <c r="B413" s="50" t="s">
        <v>42</v>
      </c>
      <c r="C413" s="51" t="s">
        <v>263</v>
      </c>
      <c r="D413" s="28" t="s">
        <v>60</v>
      </c>
      <c r="E413" s="28" t="s">
        <v>71</v>
      </c>
      <c r="F413" s="28"/>
      <c r="G413" s="28" t="s">
        <v>123</v>
      </c>
      <c r="H413" s="28" t="s">
        <v>117</v>
      </c>
      <c r="I413" s="56">
        <v>1156</v>
      </c>
      <c r="J413" s="51" t="s">
        <v>556</v>
      </c>
      <c r="K413" s="51">
        <v>46043</v>
      </c>
      <c r="L413" s="54">
        <v>2026400112</v>
      </c>
      <c r="M413" s="28" t="s">
        <v>311</v>
      </c>
      <c r="N413" s="28">
        <v>2026</v>
      </c>
    </row>
    <row r="414" spans="1:14">
      <c r="A414" s="28">
        <v>413</v>
      </c>
      <c r="B414" s="28" t="s">
        <v>54</v>
      </c>
      <c r="C414" s="91" t="s">
        <v>94</v>
      </c>
      <c r="D414" s="28" t="s">
        <v>60</v>
      </c>
      <c r="E414" s="28" t="s">
        <v>71</v>
      </c>
      <c r="F414" s="28"/>
      <c r="G414" s="28" t="s">
        <v>123</v>
      </c>
      <c r="H414" s="28" t="s">
        <v>117</v>
      </c>
      <c r="I414" s="49">
        <v>280</v>
      </c>
      <c r="J414" s="51" t="s">
        <v>557</v>
      </c>
      <c r="K414" s="51">
        <v>46043</v>
      </c>
      <c r="L414" s="54">
        <v>2026400151</v>
      </c>
      <c r="M414" s="28" t="s">
        <v>311</v>
      </c>
      <c r="N414" s="28">
        <v>2026</v>
      </c>
    </row>
    <row r="415" spans="1:14">
      <c r="A415" s="28">
        <v>414</v>
      </c>
      <c r="B415" s="28" t="s">
        <v>17</v>
      </c>
      <c r="C415" s="51" t="s">
        <v>22</v>
      </c>
      <c r="D415" s="28" t="s">
        <v>60</v>
      </c>
      <c r="E415" s="28" t="s">
        <v>71</v>
      </c>
      <c r="F415" s="28"/>
      <c r="G415" s="28" t="s">
        <v>123</v>
      </c>
      <c r="H415" s="28" t="s">
        <v>117</v>
      </c>
      <c r="I415" s="49">
        <v>410.2</v>
      </c>
      <c r="J415" s="51" t="s">
        <v>558</v>
      </c>
      <c r="K415" s="51">
        <v>46043</v>
      </c>
      <c r="L415" s="54">
        <v>2026400158</v>
      </c>
      <c r="M415" s="28" t="s">
        <v>311</v>
      </c>
      <c r="N415" s="28">
        <v>2026</v>
      </c>
    </row>
    <row r="416" spans="1:14">
      <c r="A416" s="28">
        <v>415</v>
      </c>
      <c r="B416" s="28" t="s">
        <v>17</v>
      </c>
      <c r="C416" s="28" t="s">
        <v>25</v>
      </c>
      <c r="D416" s="28" t="s">
        <v>60</v>
      </c>
      <c r="E416" s="28" t="s">
        <v>71</v>
      </c>
      <c r="F416" s="28"/>
      <c r="G416" s="28" t="s">
        <v>123</v>
      </c>
      <c r="H416" s="28" t="s">
        <v>117</v>
      </c>
      <c r="I416" s="49">
        <v>1080</v>
      </c>
      <c r="J416" s="51" t="s">
        <v>559</v>
      </c>
      <c r="K416" s="51">
        <v>46043</v>
      </c>
      <c r="L416" s="54">
        <v>2026400171</v>
      </c>
      <c r="M416" s="28" t="s">
        <v>311</v>
      </c>
      <c r="N416" s="28">
        <v>2026</v>
      </c>
    </row>
    <row r="417" spans="1:14">
      <c r="A417" s="28">
        <v>416</v>
      </c>
      <c r="B417" s="28" t="s">
        <v>42</v>
      </c>
      <c r="C417" s="51" t="s">
        <v>45</v>
      </c>
      <c r="D417" s="28" t="s">
        <v>60</v>
      </c>
      <c r="E417" s="28" t="s">
        <v>71</v>
      </c>
      <c r="F417" s="28"/>
      <c r="G417" s="28" t="s">
        <v>123</v>
      </c>
      <c r="H417" s="28" t="s">
        <v>117</v>
      </c>
      <c r="I417" s="49">
        <v>738</v>
      </c>
      <c r="J417" s="51" t="s">
        <v>560</v>
      </c>
      <c r="K417" s="51">
        <v>46043</v>
      </c>
      <c r="L417" s="54">
        <v>2026400167</v>
      </c>
      <c r="M417" s="28" t="s">
        <v>311</v>
      </c>
      <c r="N417" s="28">
        <v>2026</v>
      </c>
    </row>
    <row r="418" spans="1:14">
      <c r="A418" s="28">
        <v>417</v>
      </c>
      <c r="B418" s="28" t="s">
        <v>42</v>
      </c>
      <c r="C418" s="51" t="s">
        <v>50</v>
      </c>
      <c r="D418" s="28" t="s">
        <v>60</v>
      </c>
      <c r="E418" s="28" t="s">
        <v>71</v>
      </c>
      <c r="F418" s="28"/>
      <c r="G418" s="28" t="s">
        <v>123</v>
      </c>
      <c r="H418" s="28" t="s">
        <v>117</v>
      </c>
      <c r="I418" s="49">
        <v>260</v>
      </c>
      <c r="J418" s="51" t="s">
        <v>561</v>
      </c>
      <c r="K418" s="51">
        <v>46043</v>
      </c>
      <c r="L418" s="54">
        <v>2026400147</v>
      </c>
      <c r="M418" s="28" t="s">
        <v>311</v>
      </c>
      <c r="N418" s="28">
        <v>2026</v>
      </c>
    </row>
    <row r="419" spans="1:14">
      <c r="A419" s="28">
        <v>418</v>
      </c>
      <c r="B419" s="28" t="s">
        <v>52</v>
      </c>
      <c r="C419" s="28" t="s">
        <v>62</v>
      </c>
      <c r="D419" s="28" t="s">
        <v>60</v>
      </c>
      <c r="E419" s="28" t="s">
        <v>71</v>
      </c>
      <c r="F419" s="28"/>
      <c r="G419" s="28" t="s">
        <v>123</v>
      </c>
      <c r="H419" s="28" t="s">
        <v>117</v>
      </c>
      <c r="I419" s="49">
        <v>320</v>
      </c>
      <c r="J419" s="51" t="s">
        <v>562</v>
      </c>
      <c r="K419" s="51">
        <v>46043</v>
      </c>
      <c r="L419" s="54">
        <v>2026400141</v>
      </c>
      <c r="M419" s="28" t="s">
        <v>311</v>
      </c>
      <c r="N419" s="28">
        <v>2026</v>
      </c>
    </row>
    <row r="420" spans="1:14">
      <c r="A420" s="28">
        <v>419</v>
      </c>
      <c r="B420" s="28" t="s">
        <v>52</v>
      </c>
      <c r="C420" s="51" t="s">
        <v>62</v>
      </c>
      <c r="D420" s="28" t="s">
        <v>60</v>
      </c>
      <c r="E420" s="28" t="s">
        <v>71</v>
      </c>
      <c r="F420" s="28"/>
      <c r="G420" s="28" t="s">
        <v>123</v>
      </c>
      <c r="H420" s="28" t="s">
        <v>117</v>
      </c>
      <c r="I420" s="63">
        <v>160</v>
      </c>
      <c r="J420" s="28" t="s">
        <v>563</v>
      </c>
      <c r="K420" s="51">
        <v>46043</v>
      </c>
      <c r="L420" s="54">
        <v>2026400140</v>
      </c>
      <c r="M420" s="28" t="s">
        <v>311</v>
      </c>
      <c r="N420" s="28">
        <v>2026</v>
      </c>
    </row>
    <row r="421" spans="1:14">
      <c r="A421" s="28">
        <v>420</v>
      </c>
      <c r="B421" s="48" t="s">
        <v>52</v>
      </c>
      <c r="C421" s="28" t="s">
        <v>62</v>
      </c>
      <c r="D421" s="28" t="s">
        <v>60</v>
      </c>
      <c r="E421" s="28" t="s">
        <v>71</v>
      </c>
      <c r="F421" s="28"/>
      <c r="G421" s="48" t="s">
        <v>123</v>
      </c>
      <c r="H421" s="48" t="s">
        <v>117</v>
      </c>
      <c r="I421" s="56">
        <v>1190</v>
      </c>
      <c r="J421" s="28" t="s">
        <v>564</v>
      </c>
      <c r="K421" s="51">
        <v>46043</v>
      </c>
      <c r="L421" s="28">
        <v>2026400139</v>
      </c>
      <c r="M421" s="28" t="s">
        <v>311</v>
      </c>
      <c r="N421" s="28">
        <v>2026</v>
      </c>
    </row>
    <row r="422" spans="1:14">
      <c r="A422" s="28">
        <v>421</v>
      </c>
      <c r="B422" s="28" t="s">
        <v>52</v>
      </c>
      <c r="C422" s="28" t="s">
        <v>62</v>
      </c>
      <c r="D422" s="28" t="s">
        <v>60</v>
      </c>
      <c r="E422" s="28" t="s">
        <v>71</v>
      </c>
      <c r="F422" s="28"/>
      <c r="G422" s="28" t="s">
        <v>123</v>
      </c>
      <c r="H422" s="28" t="s">
        <v>117</v>
      </c>
      <c r="I422" s="56">
        <v>440</v>
      </c>
      <c r="J422" s="28" t="s">
        <v>565</v>
      </c>
      <c r="K422" s="51">
        <v>46043</v>
      </c>
      <c r="L422" s="28">
        <v>2026400138</v>
      </c>
      <c r="M422" s="28" t="s">
        <v>311</v>
      </c>
      <c r="N422" s="28">
        <v>2026</v>
      </c>
    </row>
    <row r="423" spans="1:14">
      <c r="A423" s="28">
        <v>422</v>
      </c>
      <c r="B423" s="28" t="s">
        <v>42</v>
      </c>
      <c r="C423" s="28" t="s">
        <v>47</v>
      </c>
      <c r="D423" s="28" t="s">
        <v>60</v>
      </c>
      <c r="E423" s="28" t="s">
        <v>71</v>
      </c>
      <c r="F423" s="28"/>
      <c r="G423" s="28" t="s">
        <v>123</v>
      </c>
      <c r="H423" s="28" t="s">
        <v>117</v>
      </c>
      <c r="I423" s="56">
        <v>980</v>
      </c>
      <c r="J423" s="28" t="s">
        <v>566</v>
      </c>
      <c r="K423" s="51">
        <v>46043</v>
      </c>
      <c r="L423" s="28">
        <v>2026400148</v>
      </c>
      <c r="M423" s="28" t="s">
        <v>311</v>
      </c>
      <c r="N423" s="28">
        <v>2026</v>
      </c>
    </row>
    <row r="424" spans="1:14">
      <c r="A424" s="28">
        <v>423</v>
      </c>
      <c r="B424" s="59" t="s">
        <v>54</v>
      </c>
      <c r="C424" s="59" t="s">
        <v>94</v>
      </c>
      <c r="D424" s="28" t="s">
        <v>60</v>
      </c>
      <c r="E424" s="59" t="s">
        <v>71</v>
      </c>
      <c r="F424" s="28"/>
      <c r="G424" s="59" t="s">
        <v>123</v>
      </c>
      <c r="H424" s="59" t="s">
        <v>117</v>
      </c>
      <c r="I424" s="53">
        <v>550</v>
      </c>
      <c r="J424" s="28" t="s">
        <v>567</v>
      </c>
      <c r="K424" s="51">
        <v>46043</v>
      </c>
      <c r="L424" s="28">
        <v>2026400150</v>
      </c>
      <c r="M424" s="28" t="s">
        <v>311</v>
      </c>
      <c r="N424" s="28">
        <v>2026</v>
      </c>
    </row>
    <row r="425" spans="1:14">
      <c r="A425" s="28">
        <v>424</v>
      </c>
      <c r="B425" s="59" t="s">
        <v>54</v>
      </c>
      <c r="C425" s="59" t="s">
        <v>94</v>
      </c>
      <c r="D425" s="59" t="s">
        <v>60</v>
      </c>
      <c r="E425" s="59" t="s">
        <v>71</v>
      </c>
      <c r="F425" s="28"/>
      <c r="G425" s="59" t="s">
        <v>123</v>
      </c>
      <c r="H425" s="59" t="s">
        <v>117</v>
      </c>
      <c r="I425" s="53">
        <v>2177.8000000000002</v>
      </c>
      <c r="J425" s="28" t="s">
        <v>568</v>
      </c>
      <c r="K425" s="51">
        <v>46043</v>
      </c>
      <c r="L425" s="28">
        <v>2026400153</v>
      </c>
      <c r="M425" s="28" t="s">
        <v>311</v>
      </c>
      <c r="N425" s="28">
        <v>2026</v>
      </c>
    </row>
    <row r="426" spans="1:14">
      <c r="A426" s="28">
        <v>425</v>
      </c>
      <c r="B426" s="59" t="s">
        <v>54</v>
      </c>
      <c r="C426" s="59" t="s">
        <v>94</v>
      </c>
      <c r="D426" s="59" t="s">
        <v>60</v>
      </c>
      <c r="E426" s="59" t="s">
        <v>71</v>
      </c>
      <c r="F426" s="28"/>
      <c r="G426" s="59" t="s">
        <v>123</v>
      </c>
      <c r="H426" s="59" t="s">
        <v>117</v>
      </c>
      <c r="I426" s="53">
        <v>280</v>
      </c>
      <c r="J426" s="28" t="s">
        <v>569</v>
      </c>
      <c r="K426" s="51">
        <v>46043</v>
      </c>
      <c r="L426" s="28">
        <v>2026400152</v>
      </c>
      <c r="M426" s="28" t="s">
        <v>311</v>
      </c>
      <c r="N426" s="28">
        <v>2026</v>
      </c>
    </row>
    <row r="427" spans="1:14">
      <c r="A427" s="28">
        <v>426</v>
      </c>
      <c r="B427" s="28" t="s">
        <v>42</v>
      </c>
      <c r="C427" s="28" t="s">
        <v>263</v>
      </c>
      <c r="D427" s="28" t="s">
        <v>60</v>
      </c>
      <c r="E427" s="28" t="s">
        <v>71</v>
      </c>
      <c r="F427" s="28"/>
      <c r="G427" s="28" t="s">
        <v>123</v>
      </c>
      <c r="H427" s="52" t="s">
        <v>117</v>
      </c>
      <c r="I427" s="56">
        <v>560</v>
      </c>
      <c r="J427" s="28" t="s">
        <v>573</v>
      </c>
      <c r="K427" s="51">
        <v>46046</v>
      </c>
      <c r="L427" s="28">
        <v>2026400190</v>
      </c>
      <c r="M427" s="28" t="s">
        <v>311</v>
      </c>
      <c r="N427" s="28">
        <v>2026</v>
      </c>
    </row>
    <row r="428" spans="1:14">
      <c r="A428" s="28">
        <v>427</v>
      </c>
      <c r="B428" s="28" t="s">
        <v>42</v>
      </c>
      <c r="C428" s="91" t="s">
        <v>263</v>
      </c>
      <c r="D428" s="28" t="s">
        <v>60</v>
      </c>
      <c r="E428" s="28" t="s">
        <v>71</v>
      </c>
      <c r="F428" s="28"/>
      <c r="G428" s="28" t="s">
        <v>123</v>
      </c>
      <c r="H428" s="52" t="s">
        <v>117</v>
      </c>
      <c r="I428" s="53">
        <v>206</v>
      </c>
      <c r="J428" s="28" t="s">
        <v>575</v>
      </c>
      <c r="K428" s="51">
        <v>46047</v>
      </c>
      <c r="L428" s="54">
        <v>2026400198</v>
      </c>
      <c r="M428" s="28" t="s">
        <v>311</v>
      </c>
      <c r="N428" s="28">
        <v>2026</v>
      </c>
    </row>
    <row r="429" spans="1:14">
      <c r="A429" s="28">
        <v>428</v>
      </c>
      <c r="B429" s="28" t="s">
        <v>42</v>
      </c>
      <c r="C429" s="51" t="s">
        <v>73</v>
      </c>
      <c r="D429" s="28" t="s">
        <v>60</v>
      </c>
      <c r="E429" s="28" t="s">
        <v>71</v>
      </c>
      <c r="F429" s="28"/>
      <c r="G429" s="28" t="s">
        <v>123</v>
      </c>
      <c r="H429" s="52" t="s">
        <v>117</v>
      </c>
      <c r="I429" s="53">
        <v>2808.8</v>
      </c>
      <c r="J429" s="28" t="s">
        <v>578</v>
      </c>
      <c r="K429" s="51">
        <v>46046</v>
      </c>
      <c r="L429" s="54">
        <v>2025403509</v>
      </c>
      <c r="M429" s="28" t="s">
        <v>311</v>
      </c>
      <c r="N429" s="28">
        <v>2026</v>
      </c>
    </row>
    <row r="430" spans="1:14">
      <c r="A430" s="28">
        <v>429</v>
      </c>
      <c r="B430" s="28" t="s">
        <v>17</v>
      </c>
      <c r="C430" s="51" t="s">
        <v>25</v>
      </c>
      <c r="D430" s="28" t="s">
        <v>60</v>
      </c>
      <c r="E430" s="28" t="s">
        <v>71</v>
      </c>
      <c r="F430" s="28"/>
      <c r="G430" s="28" t="s">
        <v>123</v>
      </c>
      <c r="H430" s="52" t="s">
        <v>117</v>
      </c>
      <c r="I430" s="53">
        <v>386.5</v>
      </c>
      <c r="J430" s="28" t="s">
        <v>579</v>
      </c>
      <c r="K430" s="51">
        <v>46043</v>
      </c>
      <c r="L430" s="54">
        <v>2026400160</v>
      </c>
      <c r="M430" s="28" t="s">
        <v>311</v>
      </c>
      <c r="N430" s="28">
        <v>2026</v>
      </c>
    </row>
    <row r="431" spans="1:14">
      <c r="A431" s="28">
        <v>430</v>
      </c>
      <c r="B431" s="28" t="s">
        <v>17</v>
      </c>
      <c r="C431" s="28" t="s">
        <v>24</v>
      </c>
      <c r="D431" s="28" t="s">
        <v>60</v>
      </c>
      <c r="E431" s="28" t="s">
        <v>71</v>
      </c>
      <c r="F431" s="28"/>
      <c r="G431" s="28" t="s">
        <v>123</v>
      </c>
      <c r="H431" s="52" t="s">
        <v>117</v>
      </c>
      <c r="I431" s="53">
        <v>299.60000000000002</v>
      </c>
      <c r="J431" s="28" t="s">
        <v>580</v>
      </c>
      <c r="K431" s="51">
        <v>46040</v>
      </c>
      <c r="L431" s="54">
        <v>2026400104</v>
      </c>
      <c r="M431" s="28" t="s">
        <v>311</v>
      </c>
      <c r="N431" s="28">
        <v>2026</v>
      </c>
    </row>
    <row r="432" spans="1:14">
      <c r="A432" s="28">
        <v>431</v>
      </c>
      <c r="B432" s="28" t="s">
        <v>42</v>
      </c>
      <c r="C432" s="51" t="s">
        <v>263</v>
      </c>
      <c r="D432" s="28" t="s">
        <v>60</v>
      </c>
      <c r="E432" s="28" t="s">
        <v>71</v>
      </c>
      <c r="F432" s="28"/>
      <c r="G432" s="28" t="s">
        <v>123</v>
      </c>
      <c r="H432" s="52" t="s">
        <v>117</v>
      </c>
      <c r="I432" s="53">
        <v>751.4</v>
      </c>
      <c r="J432" s="28" t="s">
        <v>581</v>
      </c>
      <c r="K432" s="51">
        <v>46046</v>
      </c>
      <c r="L432" s="54">
        <v>2026400201</v>
      </c>
      <c r="M432" s="28" t="s">
        <v>311</v>
      </c>
      <c r="N432" s="28">
        <v>2026</v>
      </c>
    </row>
    <row r="433" spans="1:14">
      <c r="A433" s="28">
        <v>432</v>
      </c>
      <c r="B433" s="28" t="s">
        <v>54</v>
      </c>
      <c r="C433" s="51" t="s">
        <v>94</v>
      </c>
      <c r="D433" s="28" t="s">
        <v>60</v>
      </c>
      <c r="E433" s="28" t="s">
        <v>71</v>
      </c>
      <c r="F433" s="28"/>
      <c r="G433" s="28" t="s">
        <v>123</v>
      </c>
      <c r="H433" s="52" t="s">
        <v>117</v>
      </c>
      <c r="I433" s="53">
        <v>250</v>
      </c>
      <c r="J433" s="28" t="s">
        <v>582</v>
      </c>
      <c r="K433" s="51">
        <v>46046</v>
      </c>
      <c r="L433" s="54">
        <v>2026400191</v>
      </c>
      <c r="M433" s="28" t="s">
        <v>311</v>
      </c>
      <c r="N433" s="28">
        <v>2026</v>
      </c>
    </row>
    <row r="434" spans="1:14">
      <c r="A434" s="28">
        <v>433</v>
      </c>
      <c r="B434" s="50" t="s">
        <v>42</v>
      </c>
      <c r="C434" s="51" t="s">
        <v>50</v>
      </c>
      <c r="D434" s="28" t="s">
        <v>60</v>
      </c>
      <c r="E434" s="28" t="s">
        <v>71</v>
      </c>
      <c r="F434" s="28"/>
      <c r="G434" s="28" t="s">
        <v>123</v>
      </c>
      <c r="H434" s="28" t="s">
        <v>117</v>
      </c>
      <c r="I434" s="56">
        <v>940</v>
      </c>
      <c r="J434" s="51" t="s">
        <v>583</v>
      </c>
      <c r="K434" s="51">
        <v>46046</v>
      </c>
      <c r="L434" s="54">
        <v>2026400189</v>
      </c>
      <c r="M434" s="28" t="s">
        <v>311</v>
      </c>
      <c r="N434" s="28">
        <v>2026</v>
      </c>
    </row>
    <row r="435" spans="1:14">
      <c r="A435" s="28">
        <v>434</v>
      </c>
      <c r="B435" s="48" t="s">
        <v>42</v>
      </c>
      <c r="C435" s="28" t="s">
        <v>50</v>
      </c>
      <c r="D435" s="28" t="s">
        <v>60</v>
      </c>
      <c r="E435" s="28" t="s">
        <v>71</v>
      </c>
      <c r="F435" s="28"/>
      <c r="G435" s="48" t="s">
        <v>123</v>
      </c>
      <c r="H435" s="48" t="s">
        <v>117</v>
      </c>
      <c r="I435" s="56">
        <v>1080</v>
      </c>
      <c r="J435" s="28" t="s">
        <v>584</v>
      </c>
      <c r="K435" s="51">
        <v>46047</v>
      </c>
      <c r="L435" s="28">
        <v>2026400188</v>
      </c>
      <c r="M435" s="28" t="s">
        <v>311</v>
      </c>
      <c r="N435" s="28">
        <v>2026</v>
      </c>
    </row>
    <row r="436" spans="1:14">
      <c r="A436" s="28">
        <v>435</v>
      </c>
      <c r="B436" s="48" t="s">
        <v>42</v>
      </c>
      <c r="C436" s="28" t="s">
        <v>50</v>
      </c>
      <c r="D436" s="28" t="s">
        <v>60</v>
      </c>
      <c r="E436" s="28" t="s">
        <v>71</v>
      </c>
      <c r="F436" s="28"/>
      <c r="G436" s="48" t="s">
        <v>123</v>
      </c>
      <c r="H436" s="52" t="s">
        <v>117</v>
      </c>
      <c r="I436" s="56">
        <v>550</v>
      </c>
      <c r="J436" s="28" t="s">
        <v>585</v>
      </c>
      <c r="K436" s="51">
        <v>46046</v>
      </c>
      <c r="L436" s="28">
        <v>2026400187</v>
      </c>
      <c r="M436" s="28" t="s">
        <v>311</v>
      </c>
      <c r="N436" s="28">
        <v>2026</v>
      </c>
    </row>
    <row r="437" spans="1:14">
      <c r="A437" s="28">
        <v>436</v>
      </c>
      <c r="B437" s="48" t="s">
        <v>42</v>
      </c>
      <c r="C437" s="28" t="s">
        <v>50</v>
      </c>
      <c r="D437" s="28" t="s">
        <v>60</v>
      </c>
      <c r="E437" s="28" t="s">
        <v>71</v>
      </c>
      <c r="F437" s="28"/>
      <c r="G437" s="48" t="s">
        <v>123</v>
      </c>
      <c r="H437" s="52" t="s">
        <v>117</v>
      </c>
      <c r="I437" s="56">
        <v>625</v>
      </c>
      <c r="J437" s="28" t="s">
        <v>586</v>
      </c>
      <c r="K437" s="51">
        <v>46046</v>
      </c>
      <c r="L437" s="28">
        <v>2026400186</v>
      </c>
      <c r="M437" s="28" t="s">
        <v>311</v>
      </c>
      <c r="N437" s="28">
        <v>2026</v>
      </c>
    </row>
    <row r="438" spans="1:14">
      <c r="A438" s="28">
        <v>437</v>
      </c>
      <c r="B438" s="48" t="s">
        <v>35</v>
      </c>
      <c r="C438" s="28" t="s">
        <v>36</v>
      </c>
      <c r="D438" s="28" t="s">
        <v>60</v>
      </c>
      <c r="E438" s="28" t="s">
        <v>71</v>
      </c>
      <c r="F438" s="28"/>
      <c r="G438" s="48" t="s">
        <v>123</v>
      </c>
      <c r="H438" s="52" t="s">
        <v>117</v>
      </c>
      <c r="I438" s="56">
        <v>2744</v>
      </c>
      <c r="J438" s="28" t="s">
        <v>587</v>
      </c>
      <c r="K438" s="51">
        <v>46046</v>
      </c>
      <c r="L438" s="28">
        <v>2026400185</v>
      </c>
      <c r="M438" s="28" t="s">
        <v>311</v>
      </c>
      <c r="N438" s="28">
        <v>2026</v>
      </c>
    </row>
    <row r="439" spans="1:14">
      <c r="A439" s="28">
        <v>438</v>
      </c>
      <c r="B439" s="48" t="s">
        <v>52</v>
      </c>
      <c r="C439" s="91" t="s">
        <v>62</v>
      </c>
      <c r="D439" s="28" t="s">
        <v>60</v>
      </c>
      <c r="E439" s="28" t="s">
        <v>71</v>
      </c>
      <c r="F439" s="28"/>
      <c r="G439" s="48" t="s">
        <v>123</v>
      </c>
      <c r="H439" s="52" t="s">
        <v>117</v>
      </c>
      <c r="I439" s="56">
        <v>656.4</v>
      </c>
      <c r="J439" s="28" t="s">
        <v>588</v>
      </c>
      <c r="K439" s="51">
        <v>46047</v>
      </c>
      <c r="L439" s="28">
        <v>2026400182</v>
      </c>
      <c r="M439" s="28" t="s">
        <v>311</v>
      </c>
      <c r="N439" s="28">
        <v>2026</v>
      </c>
    </row>
    <row r="440" spans="1:14">
      <c r="A440" s="28">
        <v>439</v>
      </c>
      <c r="B440" s="28" t="s">
        <v>52</v>
      </c>
      <c r="C440" s="28" t="s">
        <v>62</v>
      </c>
      <c r="D440" s="28" t="s">
        <v>60</v>
      </c>
      <c r="E440" s="28" t="s">
        <v>71</v>
      </c>
      <c r="F440" s="28"/>
      <c r="G440" s="28" t="s">
        <v>123</v>
      </c>
      <c r="H440" s="52" t="s">
        <v>117</v>
      </c>
      <c r="I440" s="56">
        <v>825</v>
      </c>
      <c r="J440" s="28" t="s">
        <v>589</v>
      </c>
      <c r="K440" s="51">
        <v>46046</v>
      </c>
      <c r="L440" s="28">
        <v>2026400181</v>
      </c>
      <c r="M440" s="28" t="s">
        <v>311</v>
      </c>
      <c r="N440" s="28">
        <v>2026</v>
      </c>
    </row>
    <row r="441" spans="1:14">
      <c r="A441" s="28">
        <v>440</v>
      </c>
      <c r="B441" s="28" t="s">
        <v>58</v>
      </c>
      <c r="C441" s="28" t="s">
        <v>59</v>
      </c>
      <c r="D441" s="28" t="s">
        <v>60</v>
      </c>
      <c r="E441" s="28" t="s">
        <v>71</v>
      </c>
      <c r="F441" s="28"/>
      <c r="G441" s="28" t="s">
        <v>123</v>
      </c>
      <c r="H441" s="52" t="s">
        <v>117</v>
      </c>
      <c r="I441" s="56">
        <v>1020</v>
      </c>
      <c r="J441" s="28" t="s">
        <v>590</v>
      </c>
      <c r="K441" s="51">
        <v>46047</v>
      </c>
      <c r="L441" s="28">
        <v>2026400180</v>
      </c>
      <c r="M441" s="28" t="s">
        <v>311</v>
      </c>
      <c r="N441" s="28">
        <v>2026</v>
      </c>
    </row>
    <row r="442" spans="1:14">
      <c r="A442" s="28">
        <v>441</v>
      </c>
      <c r="B442" s="59" t="s">
        <v>17</v>
      </c>
      <c r="C442" s="59" t="s">
        <v>22</v>
      </c>
      <c r="D442" s="59" t="s">
        <v>60</v>
      </c>
      <c r="E442" s="59" t="s">
        <v>71</v>
      </c>
      <c r="F442" s="28"/>
      <c r="G442" s="59" t="s">
        <v>123</v>
      </c>
      <c r="H442" s="59" t="s">
        <v>117</v>
      </c>
      <c r="I442" s="53">
        <v>546</v>
      </c>
      <c r="J442" s="28" t="s">
        <v>591</v>
      </c>
      <c r="K442" s="51">
        <v>46044</v>
      </c>
      <c r="L442" s="28">
        <v>2026400157</v>
      </c>
      <c r="M442" s="28" t="s">
        <v>311</v>
      </c>
      <c r="N442" s="28">
        <v>2026</v>
      </c>
    </row>
    <row r="443" spans="1:14">
      <c r="A443" s="28">
        <v>442</v>
      </c>
      <c r="B443" s="28" t="s">
        <v>17</v>
      </c>
      <c r="C443" s="28" t="s">
        <v>25</v>
      </c>
      <c r="D443" s="28" t="s">
        <v>60</v>
      </c>
      <c r="E443" s="60" t="s">
        <v>71</v>
      </c>
      <c r="F443" s="28"/>
      <c r="G443" s="28" t="s">
        <v>123</v>
      </c>
      <c r="H443" s="28" t="s">
        <v>117</v>
      </c>
      <c r="I443" s="56">
        <v>2376.6</v>
      </c>
      <c r="J443" s="28" t="s">
        <v>592</v>
      </c>
      <c r="K443" s="51">
        <v>46046</v>
      </c>
      <c r="L443" s="28">
        <v>2026400156</v>
      </c>
      <c r="M443" s="28" t="s">
        <v>311</v>
      </c>
      <c r="N443" s="28">
        <v>2026</v>
      </c>
    </row>
    <row r="444" spans="1:14">
      <c r="A444" s="28">
        <v>443</v>
      </c>
      <c r="B444" s="28" t="s">
        <v>54</v>
      </c>
      <c r="C444" s="28" t="s">
        <v>94</v>
      </c>
      <c r="D444" s="28" t="s">
        <v>60</v>
      </c>
      <c r="E444" s="60" t="s">
        <v>71</v>
      </c>
      <c r="F444" s="28"/>
      <c r="G444" s="28" t="s">
        <v>123</v>
      </c>
      <c r="H444" s="28" t="s">
        <v>117</v>
      </c>
      <c r="I444" s="56">
        <v>2891.6</v>
      </c>
      <c r="J444" s="28" t="s">
        <v>593</v>
      </c>
      <c r="K444" s="51">
        <v>46044</v>
      </c>
      <c r="L444" s="28">
        <v>2026400154</v>
      </c>
      <c r="M444" s="28" t="s">
        <v>311</v>
      </c>
      <c r="N444" s="28">
        <v>2026</v>
      </c>
    </row>
    <row r="445" spans="1:14">
      <c r="A445" s="28">
        <v>444</v>
      </c>
      <c r="B445" s="28" t="s">
        <v>52</v>
      </c>
      <c r="C445" s="28" t="s">
        <v>62</v>
      </c>
      <c r="D445" s="28" t="s">
        <v>60</v>
      </c>
      <c r="E445" s="60" t="s">
        <v>71</v>
      </c>
      <c r="F445" s="28"/>
      <c r="G445" s="28" t="s">
        <v>123</v>
      </c>
      <c r="H445" s="28" t="s">
        <v>117</v>
      </c>
      <c r="I445" s="56">
        <v>2267.6999999999998</v>
      </c>
      <c r="J445" s="28" t="s">
        <v>594</v>
      </c>
      <c r="K445" s="51">
        <v>46041</v>
      </c>
      <c r="L445" s="28">
        <v>2026400137</v>
      </c>
      <c r="M445" s="28" t="s">
        <v>311</v>
      </c>
      <c r="N445" s="28">
        <v>2026</v>
      </c>
    </row>
    <row r="446" spans="1:14">
      <c r="A446" s="28">
        <v>445</v>
      </c>
      <c r="B446" s="28" t="s">
        <v>52</v>
      </c>
      <c r="C446" s="28" t="s">
        <v>62</v>
      </c>
      <c r="D446" s="28" t="s">
        <v>60</v>
      </c>
      <c r="E446" s="28" t="s">
        <v>71</v>
      </c>
      <c r="F446" s="28"/>
      <c r="G446" s="28" t="s">
        <v>123</v>
      </c>
      <c r="H446" s="28" t="s">
        <v>117</v>
      </c>
      <c r="I446" s="56">
        <v>1020</v>
      </c>
      <c r="J446" s="28" t="s">
        <v>595</v>
      </c>
      <c r="K446" s="51">
        <v>46046</v>
      </c>
      <c r="L446" s="28">
        <v>2026400116</v>
      </c>
      <c r="M446" s="28" t="s">
        <v>311</v>
      </c>
      <c r="N446" s="28">
        <v>2026</v>
      </c>
    </row>
    <row r="447" spans="1:14">
      <c r="A447" s="28">
        <v>446</v>
      </c>
      <c r="B447" s="28" t="s">
        <v>35</v>
      </c>
      <c r="C447" s="91" t="s">
        <v>38</v>
      </c>
      <c r="D447" s="28" t="s">
        <v>60</v>
      </c>
      <c r="E447" s="28" t="s">
        <v>71</v>
      </c>
      <c r="F447" s="28"/>
      <c r="G447" s="28" t="s">
        <v>123</v>
      </c>
      <c r="H447" s="28" t="s">
        <v>117</v>
      </c>
      <c r="I447" s="56">
        <v>2061.6</v>
      </c>
      <c r="J447" s="28" t="s">
        <v>596</v>
      </c>
      <c r="K447" s="51">
        <v>46046</v>
      </c>
      <c r="L447" s="28">
        <v>2026400114</v>
      </c>
      <c r="M447" s="28" t="s">
        <v>311</v>
      </c>
      <c r="N447" s="28">
        <v>2026</v>
      </c>
    </row>
    <row r="448" spans="1:14">
      <c r="A448" s="28">
        <v>447</v>
      </c>
      <c r="B448" s="28" t="s">
        <v>42</v>
      </c>
      <c r="C448" s="28" t="s">
        <v>50</v>
      </c>
      <c r="D448" s="28" t="s">
        <v>60</v>
      </c>
      <c r="E448" s="28" t="s">
        <v>71</v>
      </c>
      <c r="F448" s="28"/>
      <c r="G448" s="28" t="s">
        <v>123</v>
      </c>
      <c r="H448" s="28" t="s">
        <v>117</v>
      </c>
      <c r="I448" s="56">
        <v>2378</v>
      </c>
      <c r="J448" s="28" t="s">
        <v>597</v>
      </c>
      <c r="K448" s="51">
        <v>46043</v>
      </c>
      <c r="L448" s="28">
        <v>2026400107</v>
      </c>
      <c r="M448" s="28" t="s">
        <v>311</v>
      </c>
      <c r="N448" s="28">
        <v>2026</v>
      </c>
    </row>
    <row r="449" spans="1:14">
      <c r="A449" s="28">
        <v>448</v>
      </c>
      <c r="B449" s="47" t="s">
        <v>52</v>
      </c>
      <c r="C449" s="28" t="s">
        <v>62</v>
      </c>
      <c r="D449" s="28" t="s">
        <v>60</v>
      </c>
      <c r="E449" s="28" t="s">
        <v>71</v>
      </c>
      <c r="F449" s="28"/>
      <c r="G449" s="28" t="s">
        <v>123</v>
      </c>
      <c r="H449" s="28" t="s">
        <v>117</v>
      </c>
      <c r="I449" s="49">
        <v>651</v>
      </c>
      <c r="J449" s="28" t="s">
        <v>598</v>
      </c>
      <c r="K449" s="51">
        <v>46043</v>
      </c>
      <c r="L449" s="28">
        <v>2026400106</v>
      </c>
      <c r="M449" s="28" t="s">
        <v>311</v>
      </c>
      <c r="N449" s="28">
        <v>2026</v>
      </c>
    </row>
    <row r="450" spans="1:14">
      <c r="A450" s="28">
        <v>449</v>
      </c>
      <c r="B450" s="28" t="s">
        <v>42</v>
      </c>
      <c r="C450" s="28" t="s">
        <v>45</v>
      </c>
      <c r="D450" s="28" t="s">
        <v>60</v>
      </c>
      <c r="E450" s="28" t="s">
        <v>71</v>
      </c>
      <c r="F450" s="28"/>
      <c r="G450" s="28" t="s">
        <v>123</v>
      </c>
      <c r="H450" s="28" t="s">
        <v>117</v>
      </c>
      <c r="I450" s="49">
        <v>1565.1</v>
      </c>
      <c r="J450" s="28" t="s">
        <v>599</v>
      </c>
      <c r="K450" s="51">
        <v>46046</v>
      </c>
      <c r="L450" s="28">
        <v>2026400098</v>
      </c>
      <c r="M450" s="28" t="s">
        <v>311</v>
      </c>
      <c r="N450" s="28">
        <v>2026</v>
      </c>
    </row>
    <row r="451" spans="1:14">
      <c r="A451" s="28">
        <v>450</v>
      </c>
      <c r="B451" s="28" t="s">
        <v>58</v>
      </c>
      <c r="C451" s="28" t="s">
        <v>59</v>
      </c>
      <c r="D451" s="28" t="s">
        <v>60</v>
      </c>
      <c r="E451" s="28" t="s">
        <v>71</v>
      </c>
      <c r="F451" s="28"/>
      <c r="G451" s="28" t="s">
        <v>123</v>
      </c>
      <c r="H451" s="28" t="s">
        <v>117</v>
      </c>
      <c r="I451" s="49">
        <v>876</v>
      </c>
      <c r="J451" s="28" t="s">
        <v>600</v>
      </c>
      <c r="K451" s="51">
        <v>46046</v>
      </c>
      <c r="L451" s="28">
        <v>2026400052</v>
      </c>
      <c r="M451" s="28" t="s">
        <v>311</v>
      </c>
      <c r="N451" s="28">
        <v>2026</v>
      </c>
    </row>
    <row r="452" spans="1:14">
      <c r="A452" s="28">
        <v>451</v>
      </c>
      <c r="B452" s="28" t="s">
        <v>52</v>
      </c>
      <c r="C452" s="51" t="s">
        <v>62</v>
      </c>
      <c r="D452" s="28" t="s">
        <v>60</v>
      </c>
      <c r="E452" s="28" t="s">
        <v>71</v>
      </c>
      <c r="F452" s="28"/>
      <c r="G452" s="28" t="s">
        <v>123</v>
      </c>
      <c r="H452" s="52" t="s">
        <v>117</v>
      </c>
      <c r="I452" s="53">
        <v>3000</v>
      </c>
      <c r="J452" s="28" t="s">
        <v>601</v>
      </c>
      <c r="K452" s="51">
        <v>46046</v>
      </c>
      <c r="L452" s="54">
        <v>2026400035</v>
      </c>
      <c r="M452" s="28" t="s">
        <v>311</v>
      </c>
      <c r="N452" s="28">
        <v>2026</v>
      </c>
    </row>
    <row r="453" spans="1:14">
      <c r="A453" s="28">
        <v>452</v>
      </c>
      <c r="B453" s="28" t="s">
        <v>52</v>
      </c>
      <c r="C453" s="51" t="s">
        <v>62</v>
      </c>
      <c r="D453" s="28" t="s">
        <v>60</v>
      </c>
      <c r="E453" s="28" t="s">
        <v>71</v>
      </c>
      <c r="F453" s="28"/>
      <c r="G453" s="28" t="s">
        <v>123</v>
      </c>
      <c r="H453" s="52" t="s">
        <v>117</v>
      </c>
      <c r="I453" s="53">
        <v>920</v>
      </c>
      <c r="J453" s="28" t="s">
        <v>602</v>
      </c>
      <c r="K453" s="51">
        <v>46046</v>
      </c>
      <c r="L453" s="54">
        <v>2026400032</v>
      </c>
      <c r="M453" s="28" t="s">
        <v>311</v>
      </c>
      <c r="N453" s="28">
        <v>2026</v>
      </c>
    </row>
    <row r="454" spans="1:14">
      <c r="A454" s="28">
        <v>453</v>
      </c>
      <c r="B454" s="48" t="s">
        <v>52</v>
      </c>
      <c r="C454" s="28" t="s">
        <v>62</v>
      </c>
      <c r="D454" s="28" t="s">
        <v>60</v>
      </c>
      <c r="E454" s="28" t="s">
        <v>71</v>
      </c>
      <c r="F454" s="28"/>
      <c r="G454" s="48" t="s">
        <v>123</v>
      </c>
      <c r="H454" s="48" t="s">
        <v>117</v>
      </c>
      <c r="I454" s="56">
        <v>2246</v>
      </c>
      <c r="J454" s="28" t="s">
        <v>603</v>
      </c>
      <c r="K454" s="51">
        <v>46046</v>
      </c>
      <c r="L454" s="28">
        <v>2025404832</v>
      </c>
      <c r="M454" s="28" t="s">
        <v>311</v>
      </c>
      <c r="N454" s="28">
        <v>2026</v>
      </c>
    </row>
    <row r="455" spans="1:14">
      <c r="A455" s="28">
        <v>454</v>
      </c>
      <c r="B455" s="48" t="s">
        <v>42</v>
      </c>
      <c r="C455" s="28" t="s">
        <v>263</v>
      </c>
      <c r="D455" s="28" t="s">
        <v>60</v>
      </c>
      <c r="E455" s="28" t="s">
        <v>71</v>
      </c>
      <c r="F455" s="28"/>
      <c r="G455" s="48" t="s">
        <v>123</v>
      </c>
      <c r="H455" s="48" t="s">
        <v>117</v>
      </c>
      <c r="I455" s="56">
        <v>449.5</v>
      </c>
      <c r="J455" s="28" t="s">
        <v>604</v>
      </c>
      <c r="K455" s="51">
        <v>46043</v>
      </c>
      <c r="L455" s="28">
        <v>2026400168</v>
      </c>
      <c r="M455" s="28" t="s">
        <v>311</v>
      </c>
      <c r="N455" s="28">
        <v>2026</v>
      </c>
    </row>
    <row r="456" spans="1:14">
      <c r="A456" s="28">
        <v>455</v>
      </c>
      <c r="B456" s="48" t="s">
        <v>54</v>
      </c>
      <c r="C456" s="28" t="s">
        <v>94</v>
      </c>
      <c r="D456" s="28" t="s">
        <v>60</v>
      </c>
      <c r="E456" s="28" t="s">
        <v>71</v>
      </c>
      <c r="F456" s="28"/>
      <c r="G456" s="48" t="s">
        <v>123</v>
      </c>
      <c r="H456" s="48" t="s">
        <v>117</v>
      </c>
      <c r="I456" s="56">
        <v>2031.2</v>
      </c>
      <c r="J456" s="28" t="s">
        <v>608</v>
      </c>
      <c r="K456" s="51">
        <v>46040</v>
      </c>
      <c r="L456" s="28">
        <v>2026400094</v>
      </c>
      <c r="M456" s="28" t="s">
        <v>311</v>
      </c>
      <c r="N456" s="28">
        <v>2026</v>
      </c>
    </row>
    <row r="457" spans="1:14">
      <c r="A457" s="28">
        <v>456</v>
      </c>
      <c r="B457" s="28" t="s">
        <v>17</v>
      </c>
      <c r="C457" s="28" t="s">
        <v>22</v>
      </c>
      <c r="D457" s="28" t="s">
        <v>60</v>
      </c>
      <c r="E457" s="28" t="s">
        <v>71</v>
      </c>
      <c r="F457" s="28"/>
      <c r="G457" s="28" t="s">
        <v>123</v>
      </c>
      <c r="H457" s="28" t="s">
        <v>117</v>
      </c>
      <c r="I457" s="53">
        <v>160</v>
      </c>
      <c r="J457" s="28" t="s">
        <v>611</v>
      </c>
      <c r="K457" s="51">
        <v>46033</v>
      </c>
      <c r="L457" s="72">
        <v>2025404872</v>
      </c>
      <c r="M457" s="28" t="s">
        <v>311</v>
      </c>
      <c r="N457" s="28">
        <v>2026</v>
      </c>
    </row>
    <row r="458" spans="1:14">
      <c r="A458" s="28">
        <v>457</v>
      </c>
      <c r="B458" s="28" t="s">
        <v>54</v>
      </c>
      <c r="C458" s="28" t="s">
        <v>55</v>
      </c>
      <c r="D458" s="28" t="s">
        <v>60</v>
      </c>
      <c r="E458" s="28" t="s">
        <v>71</v>
      </c>
      <c r="F458" s="28"/>
      <c r="G458" s="28" t="s">
        <v>123</v>
      </c>
      <c r="H458" s="28" t="s">
        <v>117</v>
      </c>
      <c r="I458" s="53">
        <v>300</v>
      </c>
      <c r="J458" s="28" t="s">
        <v>612</v>
      </c>
      <c r="K458" s="51">
        <v>46050</v>
      </c>
      <c r="L458" s="72">
        <v>2026400252</v>
      </c>
      <c r="M458" s="28" t="s">
        <v>311</v>
      </c>
      <c r="N458" s="28">
        <v>2026</v>
      </c>
    </row>
    <row r="459" spans="1:14">
      <c r="A459" s="28">
        <v>458</v>
      </c>
      <c r="B459" s="28" t="s">
        <v>17</v>
      </c>
      <c r="C459" s="28" t="s">
        <v>18</v>
      </c>
      <c r="D459" s="28" t="s">
        <v>60</v>
      </c>
      <c r="E459" s="28" t="s">
        <v>71</v>
      </c>
      <c r="F459" s="28"/>
      <c r="G459" s="28" t="s">
        <v>123</v>
      </c>
      <c r="H459" s="28" t="s">
        <v>117</v>
      </c>
      <c r="I459" s="53">
        <v>1110</v>
      </c>
      <c r="J459" s="28" t="s">
        <v>613</v>
      </c>
      <c r="K459" s="51">
        <v>46050</v>
      </c>
      <c r="L459" s="72">
        <v>2026400250</v>
      </c>
      <c r="M459" s="28" t="s">
        <v>311</v>
      </c>
      <c r="N459" s="28">
        <v>2026</v>
      </c>
    </row>
    <row r="460" spans="1:14">
      <c r="A460" s="28">
        <v>459</v>
      </c>
      <c r="B460" s="28" t="s">
        <v>42</v>
      </c>
      <c r="C460" s="28" t="s">
        <v>263</v>
      </c>
      <c r="D460" s="28" t="s">
        <v>60</v>
      </c>
      <c r="E460" s="28" t="s">
        <v>71</v>
      </c>
      <c r="F460" s="28"/>
      <c r="G460" s="28" t="s">
        <v>123</v>
      </c>
      <c r="H460" s="28" t="s">
        <v>117</v>
      </c>
      <c r="I460" s="53">
        <v>80</v>
      </c>
      <c r="J460" s="28" t="s">
        <v>615</v>
      </c>
      <c r="K460" s="51">
        <v>46047</v>
      </c>
      <c r="L460" s="72">
        <v>2026400199</v>
      </c>
      <c r="M460" s="28" t="s">
        <v>311</v>
      </c>
      <c r="N460" s="28">
        <v>2026</v>
      </c>
    </row>
    <row r="461" spans="1:14">
      <c r="A461" s="28">
        <v>460</v>
      </c>
      <c r="B461" s="28" t="s">
        <v>35</v>
      </c>
      <c r="C461" s="51" t="s">
        <v>37</v>
      </c>
      <c r="D461" s="28" t="s">
        <v>60</v>
      </c>
      <c r="E461" s="28" t="s">
        <v>71</v>
      </c>
      <c r="F461" s="28"/>
      <c r="G461" s="28" t="s">
        <v>123</v>
      </c>
      <c r="H461" s="52" t="s">
        <v>117</v>
      </c>
      <c r="I461" s="53">
        <v>262</v>
      </c>
      <c r="J461" s="28" t="s">
        <v>616</v>
      </c>
      <c r="K461" s="51">
        <v>46050</v>
      </c>
      <c r="L461" s="72">
        <v>2026400227</v>
      </c>
      <c r="M461" s="28" t="s">
        <v>311</v>
      </c>
      <c r="N461" s="28">
        <v>2026</v>
      </c>
    </row>
    <row r="462" spans="1:14">
      <c r="A462" s="28">
        <v>461</v>
      </c>
      <c r="B462" s="28" t="s">
        <v>17</v>
      </c>
      <c r="C462" s="51" t="s">
        <v>26</v>
      </c>
      <c r="D462" s="28" t="s">
        <v>60</v>
      </c>
      <c r="E462" s="28" t="s">
        <v>71</v>
      </c>
      <c r="F462" s="28"/>
      <c r="G462" s="28" t="s">
        <v>123</v>
      </c>
      <c r="H462" s="52" t="s">
        <v>117</v>
      </c>
      <c r="I462" s="53">
        <v>592</v>
      </c>
      <c r="J462" s="28" t="s">
        <v>617</v>
      </c>
      <c r="K462" s="51">
        <v>46050</v>
      </c>
      <c r="L462" s="72">
        <v>2026400226</v>
      </c>
      <c r="M462" s="28" t="s">
        <v>311</v>
      </c>
      <c r="N462" s="28">
        <v>2026</v>
      </c>
    </row>
    <row r="463" spans="1:14">
      <c r="A463" s="28">
        <v>462</v>
      </c>
      <c r="B463" s="28" t="s">
        <v>17</v>
      </c>
      <c r="C463" s="51" t="s">
        <v>22</v>
      </c>
      <c r="D463" s="28" t="s">
        <v>60</v>
      </c>
      <c r="E463" s="28" t="s">
        <v>71</v>
      </c>
      <c r="F463" s="28"/>
      <c r="G463" s="28" t="s">
        <v>123</v>
      </c>
      <c r="H463" s="52" t="s">
        <v>117</v>
      </c>
      <c r="I463" s="53">
        <v>1063.5999999999999</v>
      </c>
      <c r="J463" s="28" t="s">
        <v>618</v>
      </c>
      <c r="K463" s="51">
        <v>46050</v>
      </c>
      <c r="L463" s="72">
        <v>2026400245</v>
      </c>
      <c r="M463" s="28" t="s">
        <v>311</v>
      </c>
      <c r="N463" s="28">
        <v>2026</v>
      </c>
    </row>
    <row r="464" spans="1:14">
      <c r="A464" s="28">
        <v>463</v>
      </c>
      <c r="B464" s="28" t="s">
        <v>17</v>
      </c>
      <c r="C464" s="51" t="s">
        <v>22</v>
      </c>
      <c r="D464" s="28" t="s">
        <v>60</v>
      </c>
      <c r="E464" s="28" t="s">
        <v>71</v>
      </c>
      <c r="F464" s="28"/>
      <c r="G464" s="28" t="s">
        <v>123</v>
      </c>
      <c r="H464" s="52" t="s">
        <v>117</v>
      </c>
      <c r="I464" s="53">
        <v>652.29999999999995</v>
      </c>
      <c r="J464" s="28" t="s">
        <v>619</v>
      </c>
      <c r="K464" s="51">
        <v>46050</v>
      </c>
      <c r="L464" s="72">
        <v>2026400247</v>
      </c>
      <c r="M464" s="28" t="s">
        <v>311</v>
      </c>
      <c r="N464" s="28">
        <v>2026</v>
      </c>
    </row>
    <row r="465" spans="1:14">
      <c r="A465" s="28">
        <v>464</v>
      </c>
      <c r="B465" s="28" t="s">
        <v>17</v>
      </c>
      <c r="C465" s="51" t="s">
        <v>18</v>
      </c>
      <c r="D465" s="28" t="s">
        <v>60</v>
      </c>
      <c r="E465" s="28" t="s">
        <v>71</v>
      </c>
      <c r="F465" s="28"/>
      <c r="G465" s="28" t="s">
        <v>123</v>
      </c>
      <c r="H465" s="55" t="s">
        <v>117</v>
      </c>
      <c r="I465" s="53">
        <v>987</v>
      </c>
      <c r="J465" s="28" t="s">
        <v>620</v>
      </c>
      <c r="K465" s="51">
        <v>46050</v>
      </c>
      <c r="L465" s="72">
        <v>2026400251</v>
      </c>
      <c r="M465" s="28" t="s">
        <v>311</v>
      </c>
      <c r="N465" s="28">
        <v>2026</v>
      </c>
    </row>
    <row r="466" spans="1:14">
      <c r="A466" s="28">
        <v>465</v>
      </c>
      <c r="B466" s="28" t="s">
        <v>42</v>
      </c>
      <c r="C466" s="51" t="s">
        <v>50</v>
      </c>
      <c r="D466" s="28" t="s">
        <v>60</v>
      </c>
      <c r="E466" s="28" t="s">
        <v>71</v>
      </c>
      <c r="F466" s="28"/>
      <c r="G466" s="28" t="s">
        <v>123</v>
      </c>
      <c r="H466" s="52" t="s">
        <v>117</v>
      </c>
      <c r="I466" s="53">
        <v>350</v>
      </c>
      <c r="J466" s="28" t="s">
        <v>621</v>
      </c>
      <c r="K466" s="51">
        <v>46050</v>
      </c>
      <c r="L466" s="72">
        <v>2026400248</v>
      </c>
      <c r="M466" s="28" t="s">
        <v>311</v>
      </c>
      <c r="N466" s="28">
        <v>2026</v>
      </c>
    </row>
    <row r="467" spans="1:14">
      <c r="A467" s="28">
        <v>466</v>
      </c>
      <c r="B467" s="28" t="s">
        <v>42</v>
      </c>
      <c r="C467" s="51" t="s">
        <v>263</v>
      </c>
      <c r="D467" s="28" t="s">
        <v>60</v>
      </c>
      <c r="E467" s="28" t="s">
        <v>71</v>
      </c>
      <c r="F467" s="28"/>
      <c r="G467" s="28" t="s">
        <v>123</v>
      </c>
      <c r="H467" s="52" t="s">
        <v>117</v>
      </c>
      <c r="I467" s="53">
        <v>123.4</v>
      </c>
      <c r="J467" s="28" t="s">
        <v>622</v>
      </c>
      <c r="K467" s="51">
        <v>46050</v>
      </c>
      <c r="L467" s="72">
        <v>2026400249</v>
      </c>
      <c r="M467" s="28" t="s">
        <v>311</v>
      </c>
      <c r="N467" s="28">
        <v>2026</v>
      </c>
    </row>
    <row r="468" spans="1:14">
      <c r="A468" s="28">
        <v>467</v>
      </c>
      <c r="B468" s="28" t="s">
        <v>17</v>
      </c>
      <c r="C468" s="51" t="s">
        <v>18</v>
      </c>
      <c r="D468" s="28" t="s">
        <v>60</v>
      </c>
      <c r="E468" s="28" t="s">
        <v>71</v>
      </c>
      <c r="F468" s="28"/>
      <c r="G468" s="28" t="s">
        <v>123</v>
      </c>
      <c r="H468" s="52" t="s">
        <v>117</v>
      </c>
      <c r="I468" s="53">
        <v>325</v>
      </c>
      <c r="J468" s="28" t="s">
        <v>623</v>
      </c>
      <c r="K468" s="51">
        <v>46050</v>
      </c>
      <c r="L468" s="72">
        <v>2026400231</v>
      </c>
      <c r="M468" s="28" t="s">
        <v>311</v>
      </c>
      <c r="N468" s="28">
        <v>2026</v>
      </c>
    </row>
    <row r="469" spans="1:14">
      <c r="A469" s="28">
        <v>468</v>
      </c>
      <c r="B469" s="28" t="s">
        <v>35</v>
      </c>
      <c r="C469" s="28" t="s">
        <v>37</v>
      </c>
      <c r="D469" s="28" t="s">
        <v>60</v>
      </c>
      <c r="E469" s="28" t="s">
        <v>71</v>
      </c>
      <c r="F469" s="28"/>
      <c r="G469" s="28" t="s">
        <v>123</v>
      </c>
      <c r="H469" s="28" t="s">
        <v>117</v>
      </c>
      <c r="I469" s="53">
        <v>240</v>
      </c>
      <c r="J469" s="28" t="s">
        <v>624</v>
      </c>
      <c r="K469" s="51">
        <v>46050</v>
      </c>
      <c r="L469" s="72">
        <v>2026400228</v>
      </c>
      <c r="M469" s="28" t="s">
        <v>311</v>
      </c>
      <c r="N469" s="28">
        <v>2026</v>
      </c>
    </row>
    <row r="470" spans="1:14">
      <c r="A470" s="28">
        <v>469</v>
      </c>
      <c r="B470" s="28" t="s">
        <v>35</v>
      </c>
      <c r="C470" s="51" t="s">
        <v>38</v>
      </c>
      <c r="D470" s="28" t="s">
        <v>60</v>
      </c>
      <c r="E470" s="28" t="s">
        <v>71</v>
      </c>
      <c r="F470" s="28"/>
      <c r="G470" s="28" t="s">
        <v>123</v>
      </c>
      <c r="H470" s="52" t="s">
        <v>117</v>
      </c>
      <c r="I470" s="53">
        <v>1252</v>
      </c>
      <c r="J470" s="28" t="s">
        <v>625</v>
      </c>
      <c r="K470" s="51">
        <v>46050</v>
      </c>
      <c r="L470" s="72">
        <v>2026400235</v>
      </c>
      <c r="M470" s="28" t="s">
        <v>311</v>
      </c>
      <c r="N470" s="28">
        <v>2026</v>
      </c>
    </row>
    <row r="471" spans="1:14">
      <c r="A471" s="28">
        <v>470</v>
      </c>
      <c r="B471" s="28" t="s">
        <v>17</v>
      </c>
      <c r="C471" s="51" t="s">
        <v>25</v>
      </c>
      <c r="D471" s="28" t="s">
        <v>60</v>
      </c>
      <c r="E471" s="28" t="s">
        <v>71</v>
      </c>
      <c r="F471" s="28"/>
      <c r="G471" s="28" t="s">
        <v>123</v>
      </c>
      <c r="H471" s="52" t="s">
        <v>117</v>
      </c>
      <c r="I471" s="53">
        <v>638.79999999999995</v>
      </c>
      <c r="J471" s="28" t="s">
        <v>626</v>
      </c>
      <c r="K471" s="51">
        <v>46050</v>
      </c>
      <c r="L471" s="72">
        <v>2026400257</v>
      </c>
      <c r="M471" s="28" t="s">
        <v>311</v>
      </c>
      <c r="N471" s="28">
        <v>2026</v>
      </c>
    </row>
    <row r="472" spans="1:14">
      <c r="A472" s="28">
        <v>471</v>
      </c>
      <c r="B472" s="28" t="s">
        <v>17</v>
      </c>
      <c r="C472" s="51" t="s">
        <v>18</v>
      </c>
      <c r="D472" s="28" t="s">
        <v>60</v>
      </c>
      <c r="E472" s="28" t="s">
        <v>71</v>
      </c>
      <c r="F472" s="28"/>
      <c r="G472" s="28" t="s">
        <v>123</v>
      </c>
      <c r="H472" s="52" t="s">
        <v>117</v>
      </c>
      <c r="I472" s="53">
        <v>1058.3</v>
      </c>
      <c r="J472" s="28" t="s">
        <v>627</v>
      </c>
      <c r="K472" s="51">
        <v>46050</v>
      </c>
      <c r="L472" s="72">
        <v>2026400242</v>
      </c>
      <c r="M472" s="28" t="s">
        <v>311</v>
      </c>
      <c r="N472" s="28">
        <v>2026</v>
      </c>
    </row>
    <row r="473" spans="1:14">
      <c r="A473" s="28">
        <v>472</v>
      </c>
      <c r="B473" s="28" t="s">
        <v>17</v>
      </c>
      <c r="C473" s="122" t="s">
        <v>272</v>
      </c>
      <c r="D473" s="28" t="s">
        <v>60</v>
      </c>
      <c r="E473" s="28" t="s">
        <v>71</v>
      </c>
      <c r="F473" s="28"/>
      <c r="G473" s="28" t="s">
        <v>123</v>
      </c>
      <c r="H473" s="52" t="s">
        <v>117</v>
      </c>
      <c r="I473" s="53">
        <v>220</v>
      </c>
      <c r="J473" s="28" t="s">
        <v>628</v>
      </c>
      <c r="K473" s="51">
        <v>46050</v>
      </c>
      <c r="L473" s="72">
        <v>2026400230</v>
      </c>
      <c r="M473" s="28" t="s">
        <v>311</v>
      </c>
      <c r="N473" s="28">
        <v>2026</v>
      </c>
    </row>
    <row r="474" spans="1:14">
      <c r="A474" s="28">
        <v>473</v>
      </c>
      <c r="B474" s="28" t="s">
        <v>17</v>
      </c>
      <c r="C474" s="93" t="s">
        <v>22</v>
      </c>
      <c r="D474" s="28" t="s">
        <v>60</v>
      </c>
      <c r="E474" s="28" t="s">
        <v>71</v>
      </c>
      <c r="F474" s="28"/>
      <c r="G474" s="28" t="s">
        <v>123</v>
      </c>
      <c r="H474" s="52" t="s">
        <v>117</v>
      </c>
      <c r="I474" s="53">
        <v>90</v>
      </c>
      <c r="J474" s="28" t="s">
        <v>629</v>
      </c>
      <c r="K474" s="51">
        <v>46050</v>
      </c>
      <c r="L474" s="72">
        <v>2026400236</v>
      </c>
      <c r="M474" s="28" t="s">
        <v>311</v>
      </c>
      <c r="N474" s="28">
        <v>2026</v>
      </c>
    </row>
    <row r="475" spans="1:14">
      <c r="A475" s="28">
        <v>474</v>
      </c>
      <c r="B475" s="28" t="s">
        <v>17</v>
      </c>
      <c r="C475" s="93" t="s">
        <v>18</v>
      </c>
      <c r="D475" s="28" t="s">
        <v>60</v>
      </c>
      <c r="E475" s="28" t="s">
        <v>71</v>
      </c>
      <c r="F475" s="28"/>
      <c r="G475" s="28" t="s">
        <v>123</v>
      </c>
      <c r="H475" s="52" t="s">
        <v>117</v>
      </c>
      <c r="I475" s="53">
        <v>185</v>
      </c>
      <c r="J475" s="28" t="s">
        <v>630</v>
      </c>
      <c r="K475" s="51">
        <v>46050</v>
      </c>
      <c r="L475" s="72">
        <v>2026400239</v>
      </c>
      <c r="M475" s="28" t="s">
        <v>311</v>
      </c>
      <c r="N475" s="28">
        <v>2026</v>
      </c>
    </row>
    <row r="476" spans="1:14">
      <c r="A476" s="28">
        <v>475</v>
      </c>
      <c r="B476" s="28" t="s">
        <v>17</v>
      </c>
      <c r="C476" s="93" t="s">
        <v>18</v>
      </c>
      <c r="D476" s="28" t="s">
        <v>60</v>
      </c>
      <c r="E476" s="28" t="s">
        <v>71</v>
      </c>
      <c r="F476" s="28"/>
      <c r="G476" s="28" t="s">
        <v>123</v>
      </c>
      <c r="H476" s="52" t="s">
        <v>117</v>
      </c>
      <c r="I476" s="53">
        <v>445</v>
      </c>
      <c r="J476" s="28" t="s">
        <v>631</v>
      </c>
      <c r="K476" s="51">
        <v>46050</v>
      </c>
      <c r="L476" s="72">
        <v>2026400241</v>
      </c>
      <c r="M476" s="28" t="s">
        <v>311</v>
      </c>
      <c r="N476" s="28">
        <v>2026</v>
      </c>
    </row>
    <row r="477" spans="1:14">
      <c r="A477" s="28">
        <v>476</v>
      </c>
      <c r="B477" s="28" t="s">
        <v>42</v>
      </c>
      <c r="C477" s="28" t="s">
        <v>50</v>
      </c>
      <c r="D477" s="28" t="s">
        <v>60</v>
      </c>
      <c r="E477" s="28" t="s">
        <v>71</v>
      </c>
      <c r="F477" s="28"/>
      <c r="G477" s="28" t="s">
        <v>123</v>
      </c>
      <c r="H477" s="52" t="s">
        <v>117</v>
      </c>
      <c r="I477" s="53">
        <v>1034.7</v>
      </c>
      <c r="J477" s="28" t="s">
        <v>280</v>
      </c>
      <c r="K477" s="51">
        <v>46030</v>
      </c>
      <c r="L477" s="72">
        <v>2025404786</v>
      </c>
      <c r="M477" s="28" t="s">
        <v>311</v>
      </c>
      <c r="N477" s="28">
        <v>2026</v>
      </c>
    </row>
    <row r="478" spans="1:14">
      <c r="A478" s="28">
        <v>477</v>
      </c>
      <c r="B478" s="28" t="s">
        <v>17</v>
      </c>
      <c r="C478" s="51" t="s">
        <v>22</v>
      </c>
      <c r="D478" s="28" t="s">
        <v>60</v>
      </c>
      <c r="E478" s="28" t="s">
        <v>71</v>
      </c>
      <c r="F478" s="28"/>
      <c r="G478" s="28" t="s">
        <v>123</v>
      </c>
      <c r="H478" s="52" t="s">
        <v>117</v>
      </c>
      <c r="I478" s="53">
        <v>786.1</v>
      </c>
      <c r="J478" s="28" t="s">
        <v>653</v>
      </c>
      <c r="K478" s="51">
        <v>46055</v>
      </c>
      <c r="L478" s="72">
        <v>2026400077</v>
      </c>
      <c r="M478" s="28" t="s">
        <v>311</v>
      </c>
      <c r="N478" s="28">
        <v>2026</v>
      </c>
    </row>
    <row r="479" spans="1:14">
      <c r="A479" s="28">
        <v>478</v>
      </c>
      <c r="B479" s="28" t="s">
        <v>17</v>
      </c>
      <c r="C479" s="122" t="s">
        <v>272</v>
      </c>
      <c r="D479" s="28" t="s">
        <v>60</v>
      </c>
      <c r="E479" s="28" t="s">
        <v>71</v>
      </c>
      <c r="F479" s="28"/>
      <c r="G479" s="28" t="s">
        <v>123</v>
      </c>
      <c r="H479" s="52" t="s">
        <v>117</v>
      </c>
      <c r="I479" s="53">
        <v>135</v>
      </c>
      <c r="J479" s="28" t="s">
        <v>655</v>
      </c>
      <c r="K479" s="51">
        <v>46051</v>
      </c>
      <c r="L479" s="72">
        <v>2026400244</v>
      </c>
      <c r="M479" s="28" t="s">
        <v>311</v>
      </c>
      <c r="N479" s="28">
        <v>2026</v>
      </c>
    </row>
    <row r="480" spans="1:14">
      <c r="A480" s="28">
        <v>479</v>
      </c>
      <c r="B480" s="48" t="s">
        <v>42</v>
      </c>
      <c r="C480" s="28" t="s">
        <v>51</v>
      </c>
      <c r="D480" s="28" t="s">
        <v>60</v>
      </c>
      <c r="E480" s="28" t="s">
        <v>95</v>
      </c>
      <c r="F480" s="28"/>
      <c r="G480" s="48" t="s">
        <v>92</v>
      </c>
      <c r="H480" s="48" t="s">
        <v>97</v>
      </c>
      <c r="I480" s="56">
        <v>1351.3513513513512</v>
      </c>
      <c r="J480" s="28" t="s">
        <v>273</v>
      </c>
      <c r="K480" s="51" t="s">
        <v>14</v>
      </c>
      <c r="L480" s="28" t="s">
        <v>14</v>
      </c>
      <c r="M480" s="28" t="s">
        <v>311</v>
      </c>
      <c r="N480" s="28">
        <v>2026</v>
      </c>
    </row>
    <row r="481" spans="1:14">
      <c r="A481" s="28">
        <v>480</v>
      </c>
      <c r="B481" s="48" t="s">
        <v>52</v>
      </c>
      <c r="C481" s="28" t="s">
        <v>62</v>
      </c>
      <c r="D481" s="28" t="s">
        <v>60</v>
      </c>
      <c r="E481" s="28" t="s">
        <v>95</v>
      </c>
      <c r="F481" s="28"/>
      <c r="G481" s="48" t="s">
        <v>248</v>
      </c>
      <c r="H481" s="48" t="s">
        <v>97</v>
      </c>
      <c r="I481" s="56">
        <v>21168.04</v>
      </c>
      <c r="J481" s="28" t="s">
        <v>404</v>
      </c>
      <c r="K481" s="51">
        <v>46053</v>
      </c>
      <c r="L481" s="28" t="s">
        <v>14</v>
      </c>
      <c r="M481" s="28" t="s">
        <v>311</v>
      </c>
      <c r="N481" s="28">
        <v>2026</v>
      </c>
    </row>
    <row r="482" spans="1:14">
      <c r="A482" s="28">
        <v>481</v>
      </c>
      <c r="B482" s="48" t="s">
        <v>33</v>
      </c>
      <c r="C482" s="28" t="s">
        <v>34</v>
      </c>
      <c r="D482" s="28" t="s">
        <v>60</v>
      </c>
      <c r="E482" s="28" t="s">
        <v>95</v>
      </c>
      <c r="F482" s="28"/>
      <c r="G482" s="48" t="s">
        <v>96</v>
      </c>
      <c r="H482" s="48" t="s">
        <v>97</v>
      </c>
      <c r="I482" s="56">
        <v>4740</v>
      </c>
      <c r="J482" s="28" t="s">
        <v>405</v>
      </c>
      <c r="K482" s="51">
        <v>46053</v>
      </c>
      <c r="L482" s="28" t="s">
        <v>14</v>
      </c>
      <c r="M482" s="28" t="s">
        <v>311</v>
      </c>
      <c r="N482" s="28">
        <v>2026</v>
      </c>
    </row>
    <row r="483" spans="1:14">
      <c r="A483" s="28">
        <v>482</v>
      </c>
      <c r="B483" s="48" t="s">
        <v>42</v>
      </c>
      <c r="C483" s="28" t="s">
        <v>51</v>
      </c>
      <c r="D483" s="28" t="s">
        <v>60</v>
      </c>
      <c r="E483" s="28" t="s">
        <v>95</v>
      </c>
      <c r="F483" s="28"/>
      <c r="G483" s="48" t="s">
        <v>96</v>
      </c>
      <c r="H483" s="48" t="s">
        <v>97</v>
      </c>
      <c r="I483" s="56">
        <v>12500</v>
      </c>
      <c r="J483" s="28" t="s">
        <v>406</v>
      </c>
      <c r="K483" s="51">
        <v>46053</v>
      </c>
      <c r="L483" s="28" t="s">
        <v>14</v>
      </c>
      <c r="M483" s="28" t="s">
        <v>311</v>
      </c>
      <c r="N483" s="28">
        <v>2026</v>
      </c>
    </row>
    <row r="484" spans="1:14">
      <c r="A484" s="28">
        <v>483</v>
      </c>
      <c r="B484" s="48" t="s">
        <v>33</v>
      </c>
      <c r="C484" s="28" t="s">
        <v>34</v>
      </c>
      <c r="D484" s="28" t="s">
        <v>60</v>
      </c>
      <c r="E484" s="28" t="s">
        <v>95</v>
      </c>
      <c r="F484" s="28"/>
      <c r="G484" s="48" t="s">
        <v>96</v>
      </c>
      <c r="H484" s="48" t="s">
        <v>97</v>
      </c>
      <c r="I484" s="56">
        <v>13020</v>
      </c>
      <c r="J484" s="28" t="s">
        <v>407</v>
      </c>
      <c r="K484" s="51">
        <v>46053</v>
      </c>
      <c r="L484" s="28" t="s">
        <v>14</v>
      </c>
      <c r="M484" s="28" t="s">
        <v>311</v>
      </c>
      <c r="N484" s="28">
        <v>2026</v>
      </c>
    </row>
    <row r="485" spans="1:14">
      <c r="A485" s="28">
        <v>484</v>
      </c>
      <c r="B485" s="48" t="s">
        <v>17</v>
      </c>
      <c r="C485" s="28" t="s">
        <v>25</v>
      </c>
      <c r="D485" s="28" t="s">
        <v>60</v>
      </c>
      <c r="E485" s="28" t="s">
        <v>95</v>
      </c>
      <c r="F485" s="28"/>
      <c r="G485" s="48" t="s">
        <v>96</v>
      </c>
      <c r="H485" s="48" t="s">
        <v>97</v>
      </c>
      <c r="I485" s="56">
        <v>3720</v>
      </c>
      <c r="J485" s="28" t="s">
        <v>408</v>
      </c>
      <c r="K485" s="51">
        <v>46053</v>
      </c>
      <c r="L485" s="28" t="s">
        <v>14</v>
      </c>
      <c r="M485" s="28" t="s">
        <v>311</v>
      </c>
      <c r="N485" s="28">
        <v>2026</v>
      </c>
    </row>
    <row r="486" spans="1:14">
      <c r="A486" s="28">
        <v>485</v>
      </c>
      <c r="B486" s="48" t="s">
        <v>17</v>
      </c>
      <c r="C486" s="28" t="s">
        <v>25</v>
      </c>
      <c r="D486" s="28" t="s">
        <v>60</v>
      </c>
      <c r="E486" s="28" t="s">
        <v>95</v>
      </c>
      <c r="F486" s="28"/>
      <c r="G486" s="48" t="s">
        <v>96</v>
      </c>
      <c r="H486" s="48" t="s">
        <v>247</v>
      </c>
      <c r="I486" s="56">
        <v>15500</v>
      </c>
      <c r="J486" s="28" t="s">
        <v>409</v>
      </c>
      <c r="K486" s="51">
        <v>46053</v>
      </c>
      <c r="L486" s="28" t="s">
        <v>14</v>
      </c>
      <c r="M486" s="28" t="s">
        <v>311</v>
      </c>
      <c r="N486" s="28">
        <v>2026</v>
      </c>
    </row>
    <row r="487" spans="1:14">
      <c r="A487" s="28">
        <v>486</v>
      </c>
      <c r="B487" s="48" t="s">
        <v>54</v>
      </c>
      <c r="C487" s="28" t="s">
        <v>55</v>
      </c>
      <c r="D487" s="28" t="s">
        <v>60</v>
      </c>
      <c r="E487" s="28" t="s">
        <v>95</v>
      </c>
      <c r="F487" s="28"/>
      <c r="G487" s="48" t="s">
        <v>98</v>
      </c>
      <c r="H487" s="48" t="s">
        <v>97</v>
      </c>
      <c r="I487" s="56">
        <v>11520</v>
      </c>
      <c r="J487" s="28" t="s">
        <v>410</v>
      </c>
      <c r="K487" s="51">
        <v>46052</v>
      </c>
      <c r="L487" s="28" t="s">
        <v>14</v>
      </c>
      <c r="M487" s="28" t="s">
        <v>311</v>
      </c>
      <c r="N487" s="28">
        <v>2026</v>
      </c>
    </row>
    <row r="488" spans="1:14">
      <c r="A488" s="28">
        <v>487</v>
      </c>
      <c r="B488" s="48" t="s">
        <v>17</v>
      </c>
      <c r="C488" s="28" t="s">
        <v>23</v>
      </c>
      <c r="D488" s="28" t="s">
        <v>60</v>
      </c>
      <c r="E488" s="28" t="s">
        <v>95</v>
      </c>
      <c r="F488" s="28"/>
      <c r="G488" s="48" t="s">
        <v>98</v>
      </c>
      <c r="H488" s="48" t="s">
        <v>97</v>
      </c>
      <c r="I488" s="56">
        <v>4500</v>
      </c>
      <c r="J488" s="28" t="s">
        <v>410</v>
      </c>
      <c r="K488" s="51">
        <v>46052</v>
      </c>
      <c r="L488" s="28" t="s">
        <v>14</v>
      </c>
      <c r="M488" s="28" t="s">
        <v>311</v>
      </c>
      <c r="N488" s="28">
        <v>2026</v>
      </c>
    </row>
    <row r="489" spans="1:14">
      <c r="A489" s="28">
        <v>488</v>
      </c>
      <c r="B489" s="48" t="s">
        <v>17</v>
      </c>
      <c r="C489" s="28" t="s">
        <v>23</v>
      </c>
      <c r="D489" s="28" t="s">
        <v>60</v>
      </c>
      <c r="E489" s="28" t="s">
        <v>95</v>
      </c>
      <c r="F489" s="28"/>
      <c r="G489" s="48" t="s">
        <v>98</v>
      </c>
      <c r="H489" s="48" t="s">
        <v>97</v>
      </c>
      <c r="I489" s="56">
        <v>1000</v>
      </c>
      <c r="J489" s="28" t="s">
        <v>410</v>
      </c>
      <c r="K489" s="51">
        <v>46052</v>
      </c>
      <c r="L489" s="28" t="s">
        <v>14</v>
      </c>
      <c r="M489" s="28" t="s">
        <v>311</v>
      </c>
      <c r="N489" s="28">
        <v>2026</v>
      </c>
    </row>
    <row r="490" spans="1:14">
      <c r="A490" s="28">
        <v>489</v>
      </c>
      <c r="B490" s="48" t="s">
        <v>42</v>
      </c>
      <c r="C490" s="28" t="s">
        <v>70</v>
      </c>
      <c r="D490" s="28" t="s">
        <v>60</v>
      </c>
      <c r="E490" s="28" t="s">
        <v>95</v>
      </c>
      <c r="F490" s="28"/>
      <c r="G490" s="48" t="s">
        <v>96</v>
      </c>
      <c r="H490" s="48" t="s">
        <v>247</v>
      </c>
      <c r="I490" s="56">
        <v>12500</v>
      </c>
      <c r="J490" s="28" t="s">
        <v>411</v>
      </c>
      <c r="K490" s="51">
        <v>46053</v>
      </c>
      <c r="L490" s="28" t="s">
        <v>14</v>
      </c>
      <c r="M490" s="28" t="s">
        <v>311</v>
      </c>
      <c r="N490" s="28">
        <v>2026</v>
      </c>
    </row>
    <row r="491" spans="1:14">
      <c r="A491" s="28">
        <v>490</v>
      </c>
      <c r="B491" s="28" t="s">
        <v>58</v>
      </c>
      <c r="C491" s="122" t="s">
        <v>59</v>
      </c>
      <c r="D491" s="28" t="s">
        <v>19</v>
      </c>
      <c r="E491" s="28" t="s">
        <v>107</v>
      </c>
      <c r="F491" s="28"/>
      <c r="G491" s="28" t="s">
        <v>21</v>
      </c>
      <c r="H491" s="28" t="s">
        <v>107</v>
      </c>
      <c r="I491" s="56">
        <v>25000</v>
      </c>
      <c r="J491" s="28" t="s">
        <v>14</v>
      </c>
      <c r="K491" s="51" t="s">
        <v>14</v>
      </c>
      <c r="L491" s="28" t="s">
        <v>14</v>
      </c>
      <c r="M491" s="117" t="s">
        <v>311</v>
      </c>
      <c r="N491" s="28">
        <v>2026</v>
      </c>
    </row>
    <row r="492" spans="1:14">
      <c r="A492" s="28">
        <v>491</v>
      </c>
      <c r="B492" s="28" t="s">
        <v>17</v>
      </c>
      <c r="C492" s="28" t="s">
        <v>18</v>
      </c>
      <c r="D492" s="28" t="s">
        <v>60</v>
      </c>
      <c r="E492" s="28" t="s">
        <v>20</v>
      </c>
      <c r="F492" s="28"/>
      <c r="G492" s="28" t="s">
        <v>21</v>
      </c>
      <c r="H492" s="28" t="s">
        <v>312</v>
      </c>
      <c r="I492" s="56">
        <v>84483</v>
      </c>
      <c r="J492" s="28" t="s">
        <v>14</v>
      </c>
      <c r="K492" s="51" t="s">
        <v>14</v>
      </c>
      <c r="L492" s="28" t="s">
        <v>14</v>
      </c>
      <c r="M492" s="28" t="s">
        <v>311</v>
      </c>
      <c r="N492" s="28">
        <v>2026</v>
      </c>
    </row>
    <row r="493" spans="1:14">
      <c r="A493" s="28">
        <v>492</v>
      </c>
      <c r="B493" s="28" t="s">
        <v>17</v>
      </c>
      <c r="C493" s="28" t="s">
        <v>74</v>
      </c>
      <c r="D493" s="28" t="s">
        <v>60</v>
      </c>
      <c r="E493" s="28" t="s">
        <v>20</v>
      </c>
      <c r="F493" s="28"/>
      <c r="G493" s="28" t="s">
        <v>21</v>
      </c>
      <c r="H493" s="28" t="s">
        <v>312</v>
      </c>
      <c r="I493" s="56">
        <v>18776</v>
      </c>
      <c r="J493" s="28" t="s">
        <v>14</v>
      </c>
      <c r="K493" s="51" t="s">
        <v>14</v>
      </c>
      <c r="L493" s="28" t="s">
        <v>14</v>
      </c>
      <c r="M493" s="28" t="s">
        <v>311</v>
      </c>
      <c r="N493" s="28">
        <v>2026</v>
      </c>
    </row>
    <row r="494" spans="1:14">
      <c r="A494" s="28">
        <v>493</v>
      </c>
      <c r="B494" s="28" t="s">
        <v>17</v>
      </c>
      <c r="C494" s="28" t="s">
        <v>22</v>
      </c>
      <c r="D494" s="28" t="s">
        <v>60</v>
      </c>
      <c r="E494" s="28" t="s">
        <v>20</v>
      </c>
      <c r="F494" s="28"/>
      <c r="G494" s="28" t="s">
        <v>21</v>
      </c>
      <c r="H494" s="28" t="s">
        <v>312</v>
      </c>
      <c r="I494" s="56">
        <v>76795</v>
      </c>
      <c r="J494" s="28" t="s">
        <v>14</v>
      </c>
      <c r="K494" s="51" t="s">
        <v>14</v>
      </c>
      <c r="L494" s="28" t="s">
        <v>14</v>
      </c>
      <c r="M494" s="28" t="s">
        <v>311</v>
      </c>
      <c r="N494" s="28">
        <v>2026</v>
      </c>
    </row>
    <row r="495" spans="1:14">
      <c r="A495" s="28">
        <v>494</v>
      </c>
      <c r="B495" s="28" t="s">
        <v>17</v>
      </c>
      <c r="C495" s="28" t="s">
        <v>91</v>
      </c>
      <c r="D495" s="28" t="s">
        <v>60</v>
      </c>
      <c r="E495" s="28" t="s">
        <v>20</v>
      </c>
      <c r="F495" s="28"/>
      <c r="G495" s="28" t="s">
        <v>21</v>
      </c>
      <c r="H495" s="28" t="s">
        <v>312</v>
      </c>
      <c r="I495" s="56">
        <v>37774</v>
      </c>
      <c r="J495" s="28" t="s">
        <v>14</v>
      </c>
      <c r="K495" s="51" t="s">
        <v>14</v>
      </c>
      <c r="L495" s="28" t="s">
        <v>14</v>
      </c>
      <c r="M495" s="28" t="s">
        <v>311</v>
      </c>
      <c r="N495" s="28">
        <v>2026</v>
      </c>
    </row>
    <row r="496" spans="1:14">
      <c r="A496" s="28">
        <v>495</v>
      </c>
      <c r="B496" s="28" t="s">
        <v>17</v>
      </c>
      <c r="C496" s="28" t="s">
        <v>23</v>
      </c>
      <c r="D496" s="28" t="s">
        <v>60</v>
      </c>
      <c r="E496" s="28" t="s">
        <v>20</v>
      </c>
      <c r="F496" s="28"/>
      <c r="G496" s="28" t="s">
        <v>21</v>
      </c>
      <c r="H496" s="28" t="s">
        <v>312</v>
      </c>
      <c r="I496" s="56">
        <v>13343</v>
      </c>
      <c r="J496" s="28" t="s">
        <v>14</v>
      </c>
      <c r="K496" s="51" t="s">
        <v>14</v>
      </c>
      <c r="L496" s="28" t="s">
        <v>14</v>
      </c>
      <c r="M496" s="28" t="s">
        <v>311</v>
      </c>
      <c r="N496" s="28">
        <v>2026</v>
      </c>
    </row>
    <row r="497" spans="1:14">
      <c r="A497" s="28">
        <v>496</v>
      </c>
      <c r="B497" s="28" t="s">
        <v>17</v>
      </c>
      <c r="C497" s="91" t="s">
        <v>24</v>
      </c>
      <c r="D497" s="28" t="s">
        <v>60</v>
      </c>
      <c r="E497" s="28" t="s">
        <v>20</v>
      </c>
      <c r="F497" s="28"/>
      <c r="G497" s="28" t="s">
        <v>21</v>
      </c>
      <c r="H497" s="28" t="s">
        <v>312</v>
      </c>
      <c r="I497" s="56">
        <v>37640</v>
      </c>
      <c r="J497" s="28" t="s">
        <v>14</v>
      </c>
      <c r="K497" s="51" t="s">
        <v>14</v>
      </c>
      <c r="L497" s="28" t="s">
        <v>14</v>
      </c>
      <c r="M497" s="28" t="s">
        <v>311</v>
      </c>
      <c r="N497" s="28">
        <v>2026</v>
      </c>
    </row>
    <row r="498" spans="1:14">
      <c r="A498" s="28">
        <v>497</v>
      </c>
      <c r="B498" s="28" t="s">
        <v>17</v>
      </c>
      <c r="C498" s="28" t="s">
        <v>25</v>
      </c>
      <c r="D498" s="28" t="s">
        <v>60</v>
      </c>
      <c r="E498" s="28" t="s">
        <v>20</v>
      </c>
      <c r="F498" s="28"/>
      <c r="G498" s="28" t="s">
        <v>21</v>
      </c>
      <c r="H498" s="28" t="s">
        <v>312</v>
      </c>
      <c r="I498" s="56">
        <v>188075</v>
      </c>
      <c r="J498" s="28" t="s">
        <v>14</v>
      </c>
      <c r="K498" s="51" t="s">
        <v>14</v>
      </c>
      <c r="L498" s="28" t="s">
        <v>14</v>
      </c>
      <c r="M498" s="28" t="s">
        <v>311</v>
      </c>
      <c r="N498" s="28">
        <v>2026</v>
      </c>
    </row>
    <row r="499" spans="1:14">
      <c r="A499" s="28">
        <v>498</v>
      </c>
      <c r="B499" s="28" t="s">
        <v>17</v>
      </c>
      <c r="C499" s="28" t="s">
        <v>26</v>
      </c>
      <c r="D499" s="28" t="s">
        <v>60</v>
      </c>
      <c r="E499" s="28" t="s">
        <v>20</v>
      </c>
      <c r="F499" s="28"/>
      <c r="G499" s="28" t="s">
        <v>21</v>
      </c>
      <c r="H499" s="28" t="s">
        <v>312</v>
      </c>
      <c r="I499" s="56">
        <v>19102</v>
      </c>
      <c r="J499" s="28" t="s">
        <v>14</v>
      </c>
      <c r="K499" s="51" t="s">
        <v>14</v>
      </c>
      <c r="L499" s="28" t="s">
        <v>14</v>
      </c>
      <c r="M499" s="28" t="s">
        <v>311</v>
      </c>
      <c r="N499" s="28">
        <v>2026</v>
      </c>
    </row>
    <row r="500" spans="1:14">
      <c r="A500" s="28">
        <v>499</v>
      </c>
      <c r="B500" s="28" t="s">
        <v>27</v>
      </c>
      <c r="C500" s="28" t="s">
        <v>28</v>
      </c>
      <c r="D500" s="28" t="s">
        <v>60</v>
      </c>
      <c r="E500" s="28" t="s">
        <v>20</v>
      </c>
      <c r="F500" s="28"/>
      <c r="G500" s="28" t="s">
        <v>21</v>
      </c>
      <c r="H500" s="28" t="s">
        <v>312</v>
      </c>
      <c r="I500" s="56">
        <v>22929</v>
      </c>
      <c r="J500" s="28" t="s">
        <v>14</v>
      </c>
      <c r="K500" s="51" t="s">
        <v>14</v>
      </c>
      <c r="L500" s="28" t="s">
        <v>14</v>
      </c>
      <c r="M500" s="28" t="s">
        <v>311</v>
      </c>
      <c r="N500" s="28">
        <v>2026</v>
      </c>
    </row>
    <row r="501" spans="1:14">
      <c r="A501" s="28">
        <v>500</v>
      </c>
      <c r="B501" s="28" t="s">
        <v>54</v>
      </c>
      <c r="C501" s="28" t="s">
        <v>55</v>
      </c>
      <c r="D501" s="28" t="s">
        <v>60</v>
      </c>
      <c r="E501" s="28" t="s">
        <v>20</v>
      </c>
      <c r="F501" s="28"/>
      <c r="G501" s="28" t="s">
        <v>21</v>
      </c>
      <c r="H501" s="28" t="s">
        <v>312</v>
      </c>
      <c r="I501" s="56">
        <v>96219</v>
      </c>
      <c r="J501" s="28" t="s">
        <v>14</v>
      </c>
      <c r="K501" s="51" t="s">
        <v>14</v>
      </c>
      <c r="L501" s="28" t="s">
        <v>14</v>
      </c>
      <c r="M501" s="28" t="s">
        <v>311</v>
      </c>
      <c r="N501" s="28">
        <v>2026</v>
      </c>
    </row>
    <row r="502" spans="1:14">
      <c r="A502" s="28">
        <v>501</v>
      </c>
      <c r="B502" s="28" t="s">
        <v>58</v>
      </c>
      <c r="C502" s="28" t="s">
        <v>59</v>
      </c>
      <c r="D502" s="28" t="s">
        <v>60</v>
      </c>
      <c r="E502" s="28" t="s">
        <v>20</v>
      </c>
      <c r="F502" s="28"/>
      <c r="G502" s="28" t="s">
        <v>21</v>
      </c>
      <c r="H502" s="28" t="s">
        <v>312</v>
      </c>
      <c r="I502" s="56">
        <v>140683</v>
      </c>
      <c r="J502" s="28" t="s">
        <v>14</v>
      </c>
      <c r="K502" s="51" t="s">
        <v>14</v>
      </c>
      <c r="L502" s="28" t="s">
        <v>14</v>
      </c>
      <c r="M502" s="28" t="s">
        <v>311</v>
      </c>
      <c r="N502" s="28">
        <v>2026</v>
      </c>
    </row>
    <row r="503" spans="1:14">
      <c r="A503" s="28">
        <v>502</v>
      </c>
      <c r="B503" s="28" t="s">
        <v>29</v>
      </c>
      <c r="C503" s="122" t="s">
        <v>731</v>
      </c>
      <c r="D503" s="28" t="s">
        <v>60</v>
      </c>
      <c r="E503" s="28" t="s">
        <v>20</v>
      </c>
      <c r="F503" s="28"/>
      <c r="G503" s="28" t="s">
        <v>21</v>
      </c>
      <c r="H503" s="28" t="s">
        <v>312</v>
      </c>
      <c r="I503" s="56">
        <v>52751</v>
      </c>
      <c r="J503" s="28" t="s">
        <v>14</v>
      </c>
      <c r="K503" s="51" t="s">
        <v>14</v>
      </c>
      <c r="L503" s="28" t="s">
        <v>14</v>
      </c>
      <c r="M503" s="28" t="s">
        <v>311</v>
      </c>
      <c r="N503" s="28">
        <v>2026</v>
      </c>
    </row>
    <row r="504" spans="1:14">
      <c r="A504" s="28">
        <v>503</v>
      </c>
      <c r="B504" s="28" t="s">
        <v>94</v>
      </c>
      <c r="C504" s="28" t="s">
        <v>94</v>
      </c>
      <c r="D504" s="28" t="s">
        <v>60</v>
      </c>
      <c r="E504" s="28" t="s">
        <v>20</v>
      </c>
      <c r="F504" s="28"/>
      <c r="G504" s="28" t="s">
        <v>21</v>
      </c>
      <c r="H504" s="28" t="s">
        <v>312</v>
      </c>
      <c r="I504" s="56">
        <v>68892</v>
      </c>
      <c r="J504" s="28" t="s">
        <v>14</v>
      </c>
      <c r="K504" s="51" t="s">
        <v>14</v>
      </c>
      <c r="L504" s="28" t="s">
        <v>14</v>
      </c>
      <c r="M504" s="28" t="s">
        <v>311</v>
      </c>
      <c r="N504" s="28">
        <v>2026</v>
      </c>
    </row>
    <row r="505" spans="1:14">
      <c r="A505" s="28">
        <v>504</v>
      </c>
      <c r="B505" s="28" t="s">
        <v>33</v>
      </c>
      <c r="C505" s="28" t="s">
        <v>34</v>
      </c>
      <c r="D505" s="28" t="s">
        <v>60</v>
      </c>
      <c r="E505" s="28" t="s">
        <v>20</v>
      </c>
      <c r="F505" s="28"/>
      <c r="G505" s="28" t="s">
        <v>21</v>
      </c>
      <c r="H505" s="28" t="s">
        <v>312</v>
      </c>
      <c r="I505" s="56">
        <v>67042</v>
      </c>
      <c r="J505" s="28" t="s">
        <v>14</v>
      </c>
      <c r="K505" s="51" t="s">
        <v>14</v>
      </c>
      <c r="L505" s="28" t="s">
        <v>14</v>
      </c>
      <c r="M505" s="28" t="s">
        <v>311</v>
      </c>
      <c r="N505" s="28">
        <v>2026</v>
      </c>
    </row>
    <row r="506" spans="1:14">
      <c r="A506" s="28">
        <v>505</v>
      </c>
      <c r="B506" s="28" t="s">
        <v>35</v>
      </c>
      <c r="C506" s="28" t="s">
        <v>270</v>
      </c>
      <c r="D506" s="28" t="s">
        <v>60</v>
      </c>
      <c r="E506" s="28" t="s">
        <v>20</v>
      </c>
      <c r="F506" s="28"/>
      <c r="G506" s="28" t="s">
        <v>21</v>
      </c>
      <c r="H506" s="28" t="s">
        <v>312</v>
      </c>
      <c r="I506" s="56">
        <v>3181</v>
      </c>
      <c r="J506" s="28" t="s">
        <v>14</v>
      </c>
      <c r="K506" s="51" t="s">
        <v>14</v>
      </c>
      <c r="L506" s="28" t="s">
        <v>14</v>
      </c>
      <c r="M506" s="28" t="s">
        <v>311</v>
      </c>
      <c r="N506" s="28">
        <v>2026</v>
      </c>
    </row>
    <row r="507" spans="1:14">
      <c r="A507" s="28">
        <v>506</v>
      </c>
      <c r="B507" s="28" t="s">
        <v>35</v>
      </c>
      <c r="C507" s="91" t="s">
        <v>36</v>
      </c>
      <c r="D507" s="28" t="s">
        <v>60</v>
      </c>
      <c r="E507" s="28" t="s">
        <v>20</v>
      </c>
      <c r="F507" s="28"/>
      <c r="G507" s="28" t="s">
        <v>21</v>
      </c>
      <c r="H507" s="28" t="s">
        <v>312</v>
      </c>
      <c r="I507" s="56">
        <v>36529</v>
      </c>
      <c r="J507" s="28" t="s">
        <v>14</v>
      </c>
      <c r="K507" s="51" t="s">
        <v>14</v>
      </c>
      <c r="L507" s="28" t="s">
        <v>14</v>
      </c>
      <c r="M507" s="28" t="s">
        <v>311</v>
      </c>
      <c r="N507" s="28">
        <v>2026</v>
      </c>
    </row>
    <row r="508" spans="1:14">
      <c r="A508" s="28">
        <v>507</v>
      </c>
      <c r="B508" s="28" t="s">
        <v>35</v>
      </c>
      <c r="C508" s="28" t="s">
        <v>37</v>
      </c>
      <c r="D508" s="28" t="s">
        <v>60</v>
      </c>
      <c r="E508" s="28" t="s">
        <v>20</v>
      </c>
      <c r="F508" s="28"/>
      <c r="G508" s="28" t="s">
        <v>21</v>
      </c>
      <c r="H508" s="28" t="s">
        <v>312</v>
      </c>
      <c r="I508" s="56">
        <v>95429</v>
      </c>
      <c r="J508" s="28" t="s">
        <v>14</v>
      </c>
      <c r="K508" s="51" t="s">
        <v>14</v>
      </c>
      <c r="L508" s="28" t="s">
        <v>14</v>
      </c>
      <c r="M508" s="28" t="s">
        <v>311</v>
      </c>
      <c r="N508" s="28">
        <v>2026</v>
      </c>
    </row>
    <row r="509" spans="1:14">
      <c r="A509" s="28">
        <v>508</v>
      </c>
      <c r="B509" s="28" t="s">
        <v>35</v>
      </c>
      <c r="C509" s="28" t="s">
        <v>39</v>
      </c>
      <c r="D509" s="28" t="s">
        <v>60</v>
      </c>
      <c r="E509" s="28" t="s">
        <v>20</v>
      </c>
      <c r="F509" s="28"/>
      <c r="G509" s="28" t="s">
        <v>21</v>
      </c>
      <c r="H509" s="28" t="s">
        <v>312</v>
      </c>
      <c r="I509" s="56">
        <v>3155</v>
      </c>
      <c r="J509" s="28" t="s">
        <v>14</v>
      </c>
      <c r="K509" s="51" t="s">
        <v>14</v>
      </c>
      <c r="L509" s="28" t="s">
        <v>14</v>
      </c>
      <c r="M509" s="28" t="s">
        <v>311</v>
      </c>
      <c r="N509" s="28">
        <v>2026</v>
      </c>
    </row>
    <row r="510" spans="1:14">
      <c r="A510" s="28">
        <v>509</v>
      </c>
      <c r="B510" s="28" t="s">
        <v>35</v>
      </c>
      <c r="C510" s="28" t="s">
        <v>41</v>
      </c>
      <c r="D510" s="28" t="s">
        <v>60</v>
      </c>
      <c r="E510" s="28" t="s">
        <v>20</v>
      </c>
      <c r="F510" s="28"/>
      <c r="G510" s="28" t="s">
        <v>21</v>
      </c>
      <c r="H510" s="28" t="s">
        <v>312</v>
      </c>
      <c r="I510" s="56">
        <v>8074</v>
      </c>
      <c r="J510" s="28" t="s">
        <v>14</v>
      </c>
      <c r="K510" s="51" t="s">
        <v>14</v>
      </c>
      <c r="L510" s="28" t="s">
        <v>14</v>
      </c>
      <c r="M510" s="28" t="s">
        <v>311</v>
      </c>
      <c r="N510" s="28">
        <v>2026</v>
      </c>
    </row>
    <row r="511" spans="1:14">
      <c r="A511" s="28">
        <v>510</v>
      </c>
      <c r="B511" s="28" t="s">
        <v>42</v>
      </c>
      <c r="C511" s="28" t="s">
        <v>43</v>
      </c>
      <c r="D511" s="28" t="s">
        <v>60</v>
      </c>
      <c r="E511" s="28" t="s">
        <v>20</v>
      </c>
      <c r="F511" s="28"/>
      <c r="G511" s="28" t="s">
        <v>21</v>
      </c>
      <c r="H511" s="28" t="s">
        <v>312</v>
      </c>
      <c r="I511" s="56">
        <v>78499</v>
      </c>
      <c r="J511" s="28" t="s">
        <v>14</v>
      </c>
      <c r="K511" s="51" t="s">
        <v>14</v>
      </c>
      <c r="L511" s="28" t="s">
        <v>14</v>
      </c>
      <c r="M511" s="28" t="s">
        <v>311</v>
      </c>
      <c r="N511" s="28">
        <v>2026</v>
      </c>
    </row>
    <row r="512" spans="1:14">
      <c r="A512" s="28">
        <v>511</v>
      </c>
      <c r="B512" s="28" t="s">
        <v>42</v>
      </c>
      <c r="C512" s="91" t="s">
        <v>44</v>
      </c>
      <c r="D512" s="28" t="s">
        <v>60</v>
      </c>
      <c r="E512" s="28" t="s">
        <v>20</v>
      </c>
      <c r="F512" s="28"/>
      <c r="G512" s="28" t="s">
        <v>21</v>
      </c>
      <c r="H512" s="28" t="s">
        <v>312</v>
      </c>
      <c r="I512" s="56">
        <v>31096</v>
      </c>
      <c r="J512" s="28" t="s">
        <v>14</v>
      </c>
      <c r="K512" s="51" t="s">
        <v>14</v>
      </c>
      <c r="L512" s="28" t="s">
        <v>14</v>
      </c>
      <c r="M512" s="28" t="s">
        <v>311</v>
      </c>
      <c r="N512" s="28">
        <v>2026</v>
      </c>
    </row>
    <row r="513" spans="1:14">
      <c r="A513" s="28">
        <v>512</v>
      </c>
      <c r="B513" s="28" t="s">
        <v>42</v>
      </c>
      <c r="C513" s="28" t="s">
        <v>45</v>
      </c>
      <c r="D513" s="28" t="s">
        <v>60</v>
      </c>
      <c r="E513" s="28" t="s">
        <v>20</v>
      </c>
      <c r="F513" s="28"/>
      <c r="G513" s="28" t="s">
        <v>21</v>
      </c>
      <c r="H513" s="28" t="s">
        <v>312</v>
      </c>
      <c r="I513" s="56">
        <v>80779</v>
      </c>
      <c r="J513" s="28" t="s">
        <v>14</v>
      </c>
      <c r="K513" s="51" t="s">
        <v>14</v>
      </c>
      <c r="L513" s="28" t="s">
        <v>14</v>
      </c>
      <c r="M513" s="28" t="s">
        <v>311</v>
      </c>
      <c r="N513" s="28">
        <v>2026</v>
      </c>
    </row>
    <row r="514" spans="1:14">
      <c r="A514" s="28">
        <v>513</v>
      </c>
      <c r="B514" s="28" t="s">
        <v>42</v>
      </c>
      <c r="C514" s="28" t="s">
        <v>46</v>
      </c>
      <c r="D514" s="28" t="s">
        <v>60</v>
      </c>
      <c r="E514" s="28" t="s">
        <v>20</v>
      </c>
      <c r="F514" s="28"/>
      <c r="G514" s="28" t="s">
        <v>21</v>
      </c>
      <c r="H514" s="28" t="s">
        <v>312</v>
      </c>
      <c r="I514" s="56">
        <v>33801</v>
      </c>
      <c r="J514" s="28" t="s">
        <v>14</v>
      </c>
      <c r="K514" s="51" t="s">
        <v>14</v>
      </c>
      <c r="L514" s="28" t="s">
        <v>14</v>
      </c>
      <c r="M514" s="28" t="s">
        <v>311</v>
      </c>
      <c r="N514" s="28">
        <v>2026</v>
      </c>
    </row>
    <row r="515" spans="1:14">
      <c r="A515" s="28">
        <v>514</v>
      </c>
      <c r="B515" s="28" t="s">
        <v>42</v>
      </c>
      <c r="C515" s="28" t="s">
        <v>47</v>
      </c>
      <c r="D515" s="28" t="s">
        <v>60</v>
      </c>
      <c r="E515" s="28" t="s">
        <v>20</v>
      </c>
      <c r="F515" s="28"/>
      <c r="G515" s="28" t="s">
        <v>21</v>
      </c>
      <c r="H515" s="28" t="s">
        <v>312</v>
      </c>
      <c r="I515" s="56">
        <v>50169</v>
      </c>
      <c r="J515" s="28" t="s">
        <v>14</v>
      </c>
      <c r="K515" s="51" t="s">
        <v>14</v>
      </c>
      <c r="L515" s="28" t="s">
        <v>14</v>
      </c>
      <c r="M515" s="28" t="s">
        <v>311</v>
      </c>
      <c r="N515" s="28">
        <v>2026</v>
      </c>
    </row>
    <row r="516" spans="1:14">
      <c r="A516" s="28">
        <v>515</v>
      </c>
      <c r="B516" s="28" t="s">
        <v>42</v>
      </c>
      <c r="C516" s="122" t="s">
        <v>263</v>
      </c>
      <c r="D516" s="28" t="s">
        <v>60</v>
      </c>
      <c r="E516" s="28" t="s">
        <v>20</v>
      </c>
      <c r="F516" s="28"/>
      <c r="G516" s="28" t="s">
        <v>21</v>
      </c>
      <c r="H516" s="28" t="s">
        <v>312</v>
      </c>
      <c r="I516" s="56">
        <v>26109</v>
      </c>
      <c r="J516" s="28" t="s">
        <v>14</v>
      </c>
      <c r="K516" s="51" t="s">
        <v>14</v>
      </c>
      <c r="L516" s="28" t="s">
        <v>14</v>
      </c>
      <c r="M516" s="28" t="s">
        <v>311</v>
      </c>
      <c r="N516" s="28">
        <v>2026</v>
      </c>
    </row>
    <row r="517" spans="1:14">
      <c r="A517" s="28">
        <v>516</v>
      </c>
      <c r="B517" s="28" t="s">
        <v>42</v>
      </c>
      <c r="C517" s="28" t="s">
        <v>49</v>
      </c>
      <c r="D517" s="28" t="s">
        <v>60</v>
      </c>
      <c r="E517" s="28" t="s">
        <v>20</v>
      </c>
      <c r="F517" s="28"/>
      <c r="G517" s="28" t="s">
        <v>21</v>
      </c>
      <c r="H517" s="28" t="s">
        <v>312</v>
      </c>
      <c r="I517" s="56">
        <v>30976</v>
      </c>
      <c r="J517" s="28" t="s">
        <v>14</v>
      </c>
      <c r="K517" s="51" t="s">
        <v>14</v>
      </c>
      <c r="L517" s="28" t="s">
        <v>14</v>
      </c>
      <c r="M517" s="28" t="s">
        <v>311</v>
      </c>
      <c r="N517" s="28">
        <v>2026</v>
      </c>
    </row>
    <row r="518" spans="1:14">
      <c r="A518" s="28">
        <v>517</v>
      </c>
      <c r="B518" s="28" t="s">
        <v>42</v>
      </c>
      <c r="C518" s="91" t="s">
        <v>50</v>
      </c>
      <c r="D518" s="28" t="s">
        <v>60</v>
      </c>
      <c r="E518" s="28" t="s">
        <v>20</v>
      </c>
      <c r="F518" s="28"/>
      <c r="G518" s="28" t="s">
        <v>21</v>
      </c>
      <c r="H518" s="28" t="s">
        <v>312</v>
      </c>
      <c r="I518" s="56">
        <v>267776</v>
      </c>
      <c r="J518" s="28" t="s">
        <v>14</v>
      </c>
      <c r="K518" s="51" t="s">
        <v>14</v>
      </c>
      <c r="L518" s="28" t="s">
        <v>14</v>
      </c>
      <c r="M518" s="28" t="s">
        <v>311</v>
      </c>
      <c r="N518" s="28">
        <v>2026</v>
      </c>
    </row>
    <row r="519" spans="1:14">
      <c r="A519" s="28">
        <v>518</v>
      </c>
      <c r="B519" s="28" t="s">
        <v>42</v>
      </c>
      <c r="C519" s="28" t="s">
        <v>51</v>
      </c>
      <c r="D519" s="28" t="s">
        <v>60</v>
      </c>
      <c r="E519" s="28" t="s">
        <v>20</v>
      </c>
      <c r="F519" s="28"/>
      <c r="G519" s="28" t="s">
        <v>21</v>
      </c>
      <c r="H519" s="28" t="s">
        <v>312</v>
      </c>
      <c r="I519" s="56">
        <v>29842</v>
      </c>
      <c r="J519" s="28" t="s">
        <v>14</v>
      </c>
      <c r="K519" s="51" t="s">
        <v>14</v>
      </c>
      <c r="L519" s="28" t="s">
        <v>14</v>
      </c>
      <c r="M519" s="28" t="s">
        <v>311</v>
      </c>
      <c r="N519" s="28">
        <v>2026</v>
      </c>
    </row>
    <row r="520" spans="1:14">
      <c r="A520" s="28">
        <v>519</v>
      </c>
      <c r="B520" s="28" t="s">
        <v>42</v>
      </c>
      <c r="C520" s="93" t="s">
        <v>76</v>
      </c>
      <c r="D520" s="28" t="s">
        <v>60</v>
      </c>
      <c r="E520" s="28" t="s">
        <v>20</v>
      </c>
      <c r="F520" s="28"/>
      <c r="G520" s="28" t="s">
        <v>21</v>
      </c>
      <c r="H520" s="52" t="s">
        <v>312</v>
      </c>
      <c r="I520" s="53">
        <v>998</v>
      </c>
      <c r="J520" s="28" t="s">
        <v>14</v>
      </c>
      <c r="K520" s="51" t="s">
        <v>14</v>
      </c>
      <c r="L520" s="72" t="s">
        <v>14</v>
      </c>
      <c r="M520" s="28" t="s">
        <v>311</v>
      </c>
      <c r="N520" s="28">
        <v>2026</v>
      </c>
    </row>
    <row r="521" spans="1:14">
      <c r="A521" s="28">
        <v>520</v>
      </c>
      <c r="B521" s="28" t="s">
        <v>52</v>
      </c>
      <c r="C521" s="122" t="s">
        <v>62</v>
      </c>
      <c r="D521" s="28" t="s">
        <v>60</v>
      </c>
      <c r="E521" s="28" t="s">
        <v>20</v>
      </c>
      <c r="F521" s="28"/>
      <c r="G521" s="28" t="s">
        <v>21</v>
      </c>
      <c r="H521" s="52" t="s">
        <v>312</v>
      </c>
      <c r="I521" s="53">
        <v>357938</v>
      </c>
      <c r="J521" s="28" t="s">
        <v>14</v>
      </c>
      <c r="K521" s="51" t="s">
        <v>14</v>
      </c>
      <c r="L521" s="72" t="s">
        <v>14</v>
      </c>
      <c r="M521" s="28" t="s">
        <v>311</v>
      </c>
      <c r="N521" s="28">
        <v>2026</v>
      </c>
    </row>
    <row r="522" spans="1:14">
      <c r="A522" s="28">
        <v>521</v>
      </c>
      <c r="B522" s="28" t="s">
        <v>58</v>
      </c>
      <c r="C522" s="51" t="s">
        <v>59</v>
      </c>
      <c r="D522" s="28" t="s">
        <v>60</v>
      </c>
      <c r="E522" s="28" t="s">
        <v>20</v>
      </c>
      <c r="F522" s="28"/>
      <c r="G522" s="28" t="s">
        <v>21</v>
      </c>
      <c r="H522" s="52" t="s">
        <v>313</v>
      </c>
      <c r="I522" s="53">
        <v>9500</v>
      </c>
      <c r="J522" s="28" t="s">
        <v>14</v>
      </c>
      <c r="K522" s="51" t="s">
        <v>14</v>
      </c>
      <c r="L522" s="72" t="s">
        <v>14</v>
      </c>
      <c r="M522" s="28" t="s">
        <v>311</v>
      </c>
      <c r="N522" s="28">
        <v>2026</v>
      </c>
    </row>
    <row r="523" spans="1:14">
      <c r="A523" s="28">
        <v>522</v>
      </c>
      <c r="B523" s="28" t="s">
        <v>262</v>
      </c>
      <c r="C523" s="28" t="s">
        <v>55</v>
      </c>
      <c r="D523" s="28" t="s">
        <v>19</v>
      </c>
      <c r="E523" s="28" t="s">
        <v>20</v>
      </c>
      <c r="F523" s="28"/>
      <c r="G523" s="28" t="s">
        <v>21</v>
      </c>
      <c r="H523" s="28" t="s">
        <v>314</v>
      </c>
      <c r="I523" s="56">
        <v>30000</v>
      </c>
      <c r="J523" s="28" t="s">
        <v>14</v>
      </c>
      <c r="K523" s="51" t="s">
        <v>14</v>
      </c>
      <c r="L523" s="28" t="s">
        <v>14</v>
      </c>
      <c r="M523" s="28" t="s">
        <v>311</v>
      </c>
      <c r="N523" s="28">
        <v>2026</v>
      </c>
    </row>
    <row r="524" spans="1:14">
      <c r="A524" s="28">
        <v>523</v>
      </c>
      <c r="B524" s="28" t="s">
        <v>58</v>
      </c>
      <c r="C524" s="28" t="s">
        <v>59</v>
      </c>
      <c r="D524" s="28" t="s">
        <v>60</v>
      </c>
      <c r="E524" s="28" t="s">
        <v>20</v>
      </c>
      <c r="F524" s="28"/>
      <c r="G524" s="28" t="s">
        <v>21</v>
      </c>
      <c r="H524" s="28" t="s">
        <v>390</v>
      </c>
      <c r="I524" s="56">
        <v>17702.702702702703</v>
      </c>
      <c r="J524" s="28" t="s">
        <v>14</v>
      </c>
      <c r="K524" s="51" t="s">
        <v>14</v>
      </c>
      <c r="L524" s="28" t="s">
        <v>14</v>
      </c>
      <c r="M524" s="28" t="s">
        <v>311</v>
      </c>
      <c r="N524" s="28">
        <v>2026</v>
      </c>
    </row>
    <row r="525" spans="1:14">
      <c r="A525" s="28">
        <v>524</v>
      </c>
      <c r="B525" s="48" t="s">
        <v>401</v>
      </c>
      <c r="C525" s="28" t="s">
        <v>401</v>
      </c>
      <c r="D525" s="28" t="s">
        <v>60</v>
      </c>
      <c r="E525" s="28" t="s">
        <v>20</v>
      </c>
      <c r="F525" s="28"/>
      <c r="G525" s="28" t="s">
        <v>21</v>
      </c>
      <c r="H525" s="28" t="s">
        <v>402</v>
      </c>
      <c r="I525" s="56">
        <v>83000</v>
      </c>
      <c r="J525" s="28" t="s">
        <v>14</v>
      </c>
      <c r="K525" s="51" t="s">
        <v>14</v>
      </c>
      <c r="L525" s="28" t="s">
        <v>14</v>
      </c>
      <c r="M525" s="28" t="s">
        <v>311</v>
      </c>
      <c r="N525" s="28">
        <v>2026</v>
      </c>
    </row>
    <row r="526" spans="1:14">
      <c r="A526" s="28">
        <v>525</v>
      </c>
      <c r="B526" s="62" t="s">
        <v>52</v>
      </c>
      <c r="C526" s="62" t="s">
        <v>62</v>
      </c>
      <c r="D526" s="28" t="s">
        <v>19</v>
      </c>
      <c r="E526" s="28" t="s">
        <v>112</v>
      </c>
      <c r="F526" s="28"/>
      <c r="G526" s="28" t="s">
        <v>239</v>
      </c>
      <c r="H526" s="28" t="s">
        <v>113</v>
      </c>
      <c r="I526" s="56">
        <v>480957</v>
      </c>
      <c r="J526" s="28" t="s">
        <v>14</v>
      </c>
      <c r="K526" s="51" t="s">
        <v>14</v>
      </c>
      <c r="L526" s="28" t="s">
        <v>14</v>
      </c>
      <c r="M526" s="117" t="s">
        <v>311</v>
      </c>
      <c r="N526" s="28">
        <v>2026</v>
      </c>
    </row>
    <row r="527" spans="1:14">
      <c r="A527" s="28">
        <v>526</v>
      </c>
      <c r="B527" s="28" t="s">
        <v>42</v>
      </c>
      <c r="C527" s="28" t="s">
        <v>45</v>
      </c>
      <c r="D527" s="28" t="s">
        <v>19</v>
      </c>
      <c r="E527" s="28" t="s">
        <v>112</v>
      </c>
      <c r="F527" s="28"/>
      <c r="G527" s="28" t="s">
        <v>239</v>
      </c>
      <c r="H527" s="28" t="s">
        <v>113</v>
      </c>
      <c r="I527" s="56">
        <v>153000</v>
      </c>
      <c r="J527" s="117" t="s">
        <v>14</v>
      </c>
      <c r="K527" s="118" t="s">
        <v>14</v>
      </c>
      <c r="L527" s="117" t="s">
        <v>14</v>
      </c>
      <c r="M527" s="117" t="s">
        <v>311</v>
      </c>
      <c r="N527" s="28">
        <v>2026</v>
      </c>
    </row>
    <row r="528" spans="1:14">
      <c r="A528" s="28">
        <v>527</v>
      </c>
      <c r="B528" s="117" t="s">
        <v>17</v>
      </c>
      <c r="C528" s="117" t="s">
        <v>25</v>
      </c>
      <c r="D528" s="28" t="s">
        <v>60</v>
      </c>
      <c r="E528" s="28" t="s">
        <v>112</v>
      </c>
      <c r="F528" s="28"/>
      <c r="G528" s="28" t="s">
        <v>413</v>
      </c>
      <c r="H528" s="28" t="s">
        <v>113</v>
      </c>
      <c r="I528" s="56">
        <v>45000</v>
      </c>
      <c r="J528" s="58" t="s">
        <v>427</v>
      </c>
      <c r="K528" s="51">
        <v>46044</v>
      </c>
      <c r="L528" s="117" t="s">
        <v>14</v>
      </c>
      <c r="M528" s="117" t="s">
        <v>311</v>
      </c>
      <c r="N528" s="28">
        <v>2026</v>
      </c>
    </row>
    <row r="529" spans="1:14">
      <c r="A529" s="28">
        <v>528</v>
      </c>
      <c r="B529" s="28" t="s">
        <v>54</v>
      </c>
      <c r="C529" s="28" t="s">
        <v>55</v>
      </c>
      <c r="D529" s="28" t="s">
        <v>19</v>
      </c>
      <c r="E529" s="28" t="s">
        <v>112</v>
      </c>
      <c r="F529" s="28"/>
      <c r="G529" s="28" t="s">
        <v>726</v>
      </c>
      <c r="H529" s="28" t="s">
        <v>113</v>
      </c>
      <c r="I529" s="56">
        <v>90000</v>
      </c>
      <c r="J529" s="28" t="s">
        <v>14</v>
      </c>
      <c r="K529" s="51" t="s">
        <v>14</v>
      </c>
      <c r="L529" s="28" t="s">
        <v>14</v>
      </c>
      <c r="M529" s="122" t="s">
        <v>311</v>
      </c>
      <c r="N529" s="28">
        <v>2026</v>
      </c>
    </row>
    <row r="530" spans="1:14">
      <c r="A530" s="28">
        <v>529</v>
      </c>
      <c r="B530" s="122" t="s">
        <v>42</v>
      </c>
      <c r="C530" s="122" t="s">
        <v>50</v>
      </c>
      <c r="D530" s="28" t="s">
        <v>19</v>
      </c>
      <c r="E530" s="28" t="s">
        <v>112</v>
      </c>
      <c r="F530" s="28"/>
      <c r="G530" s="28" t="s">
        <v>727</v>
      </c>
      <c r="H530" s="122" t="s">
        <v>728</v>
      </c>
      <c r="I530" s="124">
        <v>29946.652297297296</v>
      </c>
      <c r="J530" s="122" t="s">
        <v>14</v>
      </c>
      <c r="K530" s="125" t="s">
        <v>14</v>
      </c>
      <c r="L530" s="122" t="s">
        <v>14</v>
      </c>
      <c r="M530" s="122" t="s">
        <v>311</v>
      </c>
      <c r="N530" s="28">
        <v>2026</v>
      </c>
    </row>
    <row r="531" spans="1:14">
      <c r="A531" s="28">
        <v>530</v>
      </c>
      <c r="B531" s="122" t="s">
        <v>42</v>
      </c>
      <c r="C531" s="122" t="s">
        <v>44</v>
      </c>
      <c r="D531" s="28" t="s">
        <v>19</v>
      </c>
      <c r="E531" s="28" t="s">
        <v>112</v>
      </c>
      <c r="F531" s="28"/>
      <c r="G531" s="28" t="s">
        <v>727</v>
      </c>
      <c r="H531" s="122" t="s">
        <v>728</v>
      </c>
      <c r="I531" s="124">
        <v>53729.729729729726</v>
      </c>
      <c r="J531" s="122" t="s">
        <v>14</v>
      </c>
      <c r="K531" s="125" t="s">
        <v>14</v>
      </c>
      <c r="L531" s="122" t="s">
        <v>14</v>
      </c>
      <c r="M531" s="122" t="s">
        <v>311</v>
      </c>
      <c r="N531" s="28">
        <v>2026</v>
      </c>
    </row>
    <row r="532" spans="1:14">
      <c r="A532" s="28">
        <v>531</v>
      </c>
      <c r="B532" s="62" t="s">
        <v>52</v>
      </c>
      <c r="C532" s="62" t="s">
        <v>62</v>
      </c>
      <c r="D532" s="28" t="s">
        <v>19</v>
      </c>
      <c r="E532" s="28" t="s">
        <v>112</v>
      </c>
      <c r="F532" s="28"/>
      <c r="G532" s="28" t="s">
        <v>114</v>
      </c>
      <c r="H532" s="122" t="s">
        <v>728</v>
      </c>
      <c r="I532" s="56">
        <v>88087</v>
      </c>
      <c r="J532" s="122" t="s">
        <v>14</v>
      </c>
      <c r="K532" s="125" t="s">
        <v>14</v>
      </c>
      <c r="L532" s="122" t="s">
        <v>14</v>
      </c>
      <c r="M532" s="122" t="s">
        <v>311</v>
      </c>
      <c r="N532" s="28">
        <v>2026</v>
      </c>
    </row>
    <row r="533" spans="1:14">
      <c r="A533" s="28">
        <v>532</v>
      </c>
      <c r="B533" s="62" t="s">
        <v>52</v>
      </c>
      <c r="C533" s="62" t="s">
        <v>62</v>
      </c>
      <c r="D533" s="28" t="s">
        <v>19</v>
      </c>
      <c r="E533" s="28" t="s">
        <v>112</v>
      </c>
      <c r="F533" s="28"/>
      <c r="G533" s="28" t="s">
        <v>87</v>
      </c>
      <c r="H533" s="122" t="s">
        <v>728</v>
      </c>
      <c r="I533" s="56">
        <v>24925.599999999999</v>
      </c>
      <c r="J533" s="122" t="s">
        <v>14</v>
      </c>
      <c r="K533" s="125" t="s">
        <v>14</v>
      </c>
      <c r="L533" s="122" t="s">
        <v>14</v>
      </c>
      <c r="M533" s="122" t="s">
        <v>311</v>
      </c>
      <c r="N533" s="28">
        <v>2026</v>
      </c>
    </row>
    <row r="534" spans="1:14">
      <c r="A534" s="28">
        <v>533</v>
      </c>
      <c r="B534" s="62" t="s">
        <v>52</v>
      </c>
      <c r="C534" s="62" t="s">
        <v>62</v>
      </c>
      <c r="D534" s="28" t="s">
        <v>19</v>
      </c>
      <c r="E534" s="28" t="s">
        <v>112</v>
      </c>
      <c r="F534" s="28"/>
      <c r="G534" s="28" t="s">
        <v>114</v>
      </c>
      <c r="H534" s="122" t="s">
        <v>730</v>
      </c>
      <c r="I534" s="56">
        <v>20506.84</v>
      </c>
      <c r="J534" s="122" t="s">
        <v>14</v>
      </c>
      <c r="K534" s="125" t="s">
        <v>14</v>
      </c>
      <c r="L534" s="122" t="s">
        <v>14</v>
      </c>
      <c r="M534" s="122" t="s">
        <v>311</v>
      </c>
      <c r="N534" s="28">
        <v>2026</v>
      </c>
    </row>
    <row r="535" spans="1:14">
      <c r="A535" s="28">
        <v>534</v>
      </c>
      <c r="B535" s="72" t="s">
        <v>33</v>
      </c>
      <c r="C535" s="28" t="s">
        <v>34</v>
      </c>
      <c r="D535" s="28" t="s">
        <v>19</v>
      </c>
      <c r="E535" s="28" t="s">
        <v>108</v>
      </c>
      <c r="F535" s="28"/>
      <c r="G535" s="28" t="s">
        <v>87</v>
      </c>
      <c r="H535" s="28" t="s">
        <v>109</v>
      </c>
      <c r="I535" s="49">
        <v>808.10810810810813</v>
      </c>
      <c r="J535" s="28" t="s">
        <v>14</v>
      </c>
      <c r="K535" s="51" t="s">
        <v>14</v>
      </c>
      <c r="L535" s="28" t="s">
        <v>14</v>
      </c>
      <c r="M535" s="122" t="s">
        <v>311</v>
      </c>
      <c r="N535" s="28">
        <v>2026</v>
      </c>
    </row>
    <row r="536" spans="1:14">
      <c r="A536" s="28">
        <v>535</v>
      </c>
      <c r="B536" s="72" t="s">
        <v>33</v>
      </c>
      <c r="C536" s="28" t="s">
        <v>34</v>
      </c>
      <c r="D536" s="28" t="s">
        <v>19</v>
      </c>
      <c r="E536" s="28" t="s">
        <v>108</v>
      </c>
      <c r="F536" s="28"/>
      <c r="G536" s="28" t="s">
        <v>87</v>
      </c>
      <c r="H536" s="28" t="s">
        <v>109</v>
      </c>
      <c r="I536" s="49">
        <v>1581.081081081081</v>
      </c>
      <c r="J536" s="28" t="s">
        <v>14</v>
      </c>
      <c r="K536" s="51" t="s">
        <v>14</v>
      </c>
      <c r="L536" s="28" t="s">
        <v>14</v>
      </c>
      <c r="M536" s="122" t="s">
        <v>311</v>
      </c>
      <c r="N536" s="28">
        <v>2026</v>
      </c>
    </row>
    <row r="537" spans="1:14">
      <c r="A537" s="28">
        <v>536</v>
      </c>
      <c r="B537" s="72" t="s">
        <v>42</v>
      </c>
      <c r="C537" s="122" t="s">
        <v>263</v>
      </c>
      <c r="D537" s="28" t="s">
        <v>19</v>
      </c>
      <c r="E537" s="28" t="s">
        <v>108</v>
      </c>
      <c r="F537" s="28"/>
      <c r="G537" s="28" t="s">
        <v>87</v>
      </c>
      <c r="H537" s="28" t="s">
        <v>109</v>
      </c>
      <c r="I537" s="49">
        <v>772.97297297297303</v>
      </c>
      <c r="J537" s="28" t="s">
        <v>14</v>
      </c>
      <c r="K537" s="51" t="s">
        <v>14</v>
      </c>
      <c r="L537" s="28" t="s">
        <v>14</v>
      </c>
      <c r="M537" s="122" t="s">
        <v>311</v>
      </c>
      <c r="N537" s="28">
        <v>2026</v>
      </c>
    </row>
    <row r="538" spans="1:14">
      <c r="A538" s="28">
        <v>537</v>
      </c>
      <c r="B538" s="72" t="s">
        <v>35</v>
      </c>
      <c r="C538" s="28" t="s">
        <v>36</v>
      </c>
      <c r="D538" s="28" t="s">
        <v>19</v>
      </c>
      <c r="E538" s="28" t="s">
        <v>108</v>
      </c>
      <c r="F538" s="28"/>
      <c r="G538" s="28" t="s">
        <v>87</v>
      </c>
      <c r="H538" s="28" t="s">
        <v>109</v>
      </c>
      <c r="I538" s="49">
        <v>808.10810810810813</v>
      </c>
      <c r="J538" s="28" t="s">
        <v>14</v>
      </c>
      <c r="K538" s="51" t="s">
        <v>14</v>
      </c>
      <c r="L538" s="28" t="s">
        <v>14</v>
      </c>
      <c r="M538" s="122" t="s">
        <v>311</v>
      </c>
      <c r="N538" s="28">
        <v>2026</v>
      </c>
    </row>
    <row r="539" spans="1:14">
      <c r="A539" s="28">
        <v>538</v>
      </c>
      <c r="B539" s="28" t="s">
        <v>17</v>
      </c>
      <c r="C539" s="28" t="s">
        <v>22</v>
      </c>
      <c r="D539" s="28" t="s">
        <v>19</v>
      </c>
      <c r="E539" s="28" t="s">
        <v>108</v>
      </c>
      <c r="F539" s="28"/>
      <c r="G539" s="28" t="s">
        <v>87</v>
      </c>
      <c r="H539" s="28" t="s">
        <v>109</v>
      </c>
      <c r="I539" s="49">
        <v>3970.2702702702704</v>
      </c>
      <c r="J539" s="28" t="s">
        <v>14</v>
      </c>
      <c r="K539" s="51" t="s">
        <v>14</v>
      </c>
      <c r="L539" s="28" t="s">
        <v>14</v>
      </c>
      <c r="M539" s="122" t="s">
        <v>311</v>
      </c>
      <c r="N539" s="28">
        <v>2026</v>
      </c>
    </row>
    <row r="540" spans="1:14">
      <c r="A540" s="28">
        <v>539</v>
      </c>
      <c r="B540" s="28" t="s">
        <v>17</v>
      </c>
      <c r="C540" s="28" t="s">
        <v>24</v>
      </c>
      <c r="D540" s="28" t="s">
        <v>19</v>
      </c>
      <c r="E540" s="28" t="s">
        <v>108</v>
      </c>
      <c r="F540" s="28"/>
      <c r="G540" s="28" t="s">
        <v>87</v>
      </c>
      <c r="H540" s="28" t="s">
        <v>109</v>
      </c>
      <c r="I540" s="49">
        <v>2108.1081081081079</v>
      </c>
      <c r="J540" s="28" t="s">
        <v>14</v>
      </c>
      <c r="K540" s="51" t="s">
        <v>14</v>
      </c>
      <c r="L540" s="28" t="s">
        <v>14</v>
      </c>
      <c r="M540" s="122" t="s">
        <v>311</v>
      </c>
      <c r="N540" s="28">
        <v>2026</v>
      </c>
    </row>
    <row r="541" spans="1:14">
      <c r="A541" s="28">
        <v>540</v>
      </c>
      <c r="B541" s="28" t="s">
        <v>17</v>
      </c>
      <c r="C541" s="28" t="s">
        <v>25</v>
      </c>
      <c r="D541" s="28" t="s">
        <v>19</v>
      </c>
      <c r="E541" s="28" t="s">
        <v>108</v>
      </c>
      <c r="F541" s="28"/>
      <c r="G541" s="28" t="s">
        <v>87</v>
      </c>
      <c r="H541" s="28" t="s">
        <v>109</v>
      </c>
      <c r="I541" s="56">
        <v>10505.405405405405</v>
      </c>
      <c r="J541" s="28" t="s">
        <v>14</v>
      </c>
      <c r="K541" s="51" t="s">
        <v>14</v>
      </c>
      <c r="L541" s="28" t="s">
        <v>14</v>
      </c>
      <c r="M541" s="122" t="s">
        <v>311</v>
      </c>
      <c r="N541" s="28">
        <v>2026</v>
      </c>
    </row>
    <row r="542" spans="1:14">
      <c r="A542" s="28">
        <v>541</v>
      </c>
      <c r="B542" s="28" t="s">
        <v>42</v>
      </c>
      <c r="C542" s="28" t="s">
        <v>45</v>
      </c>
      <c r="D542" s="28" t="s">
        <v>60</v>
      </c>
      <c r="E542" s="28" t="s">
        <v>108</v>
      </c>
      <c r="F542" s="28"/>
      <c r="G542" s="28" t="s">
        <v>92</v>
      </c>
      <c r="H542" s="28" t="s">
        <v>109</v>
      </c>
      <c r="I542" s="56">
        <v>2620.6896551724139</v>
      </c>
      <c r="J542" s="117" t="s">
        <v>14</v>
      </c>
      <c r="K542" s="118" t="s">
        <v>14</v>
      </c>
      <c r="L542" s="28" t="s">
        <v>14</v>
      </c>
      <c r="M542" s="122" t="s">
        <v>311</v>
      </c>
      <c r="N542" s="28">
        <v>2026</v>
      </c>
    </row>
    <row r="543" spans="1:14">
      <c r="A543" s="28">
        <v>542</v>
      </c>
      <c r="B543" s="28" t="s">
        <v>52</v>
      </c>
      <c r="C543" s="28" t="s">
        <v>62</v>
      </c>
      <c r="D543" s="28" t="s">
        <v>60</v>
      </c>
      <c r="E543" s="28" t="s">
        <v>110</v>
      </c>
      <c r="F543" s="28"/>
      <c r="G543" s="28" t="s">
        <v>265</v>
      </c>
      <c r="H543" s="28" t="s">
        <v>450</v>
      </c>
      <c r="I543" s="56">
        <v>480</v>
      </c>
      <c r="J543" s="123" t="s">
        <v>428</v>
      </c>
      <c r="K543" s="51">
        <v>46020</v>
      </c>
      <c r="L543" s="28">
        <v>2026400179</v>
      </c>
      <c r="M543" s="117" t="s">
        <v>311</v>
      </c>
      <c r="N543" s="28">
        <v>2026</v>
      </c>
    </row>
    <row r="544" spans="1:14">
      <c r="A544" s="28">
        <v>543</v>
      </c>
      <c r="B544" s="28" t="s">
        <v>42</v>
      </c>
      <c r="C544" s="28" t="s">
        <v>263</v>
      </c>
      <c r="D544" s="28" t="s">
        <v>60</v>
      </c>
      <c r="E544" s="28" t="s">
        <v>110</v>
      </c>
      <c r="F544" s="28"/>
      <c r="G544" s="28" t="s">
        <v>192</v>
      </c>
      <c r="H544" s="28" t="s">
        <v>450</v>
      </c>
      <c r="I544" s="56">
        <v>1200</v>
      </c>
      <c r="J544" s="123" t="s">
        <v>429</v>
      </c>
      <c r="K544" s="51">
        <v>46043</v>
      </c>
      <c r="L544" s="28">
        <v>2026400176</v>
      </c>
      <c r="M544" s="117" t="s">
        <v>311</v>
      </c>
      <c r="N544" s="28">
        <v>2026</v>
      </c>
    </row>
    <row r="545" spans="1:14">
      <c r="A545" s="28">
        <v>544</v>
      </c>
      <c r="B545" s="28" t="s">
        <v>58</v>
      </c>
      <c r="C545" s="28" t="s">
        <v>59</v>
      </c>
      <c r="D545" s="28" t="s">
        <v>60</v>
      </c>
      <c r="E545" s="28" t="s">
        <v>110</v>
      </c>
      <c r="F545" s="28"/>
      <c r="G545" s="28" t="s">
        <v>227</v>
      </c>
      <c r="H545" s="28" t="s">
        <v>451</v>
      </c>
      <c r="I545" s="56">
        <v>13666.62</v>
      </c>
      <c r="J545" s="123" t="s">
        <v>430</v>
      </c>
      <c r="K545" s="51">
        <v>46024</v>
      </c>
      <c r="L545" s="28" t="s">
        <v>14</v>
      </c>
      <c r="M545" s="117" t="s">
        <v>311</v>
      </c>
      <c r="N545" s="28">
        <v>2026</v>
      </c>
    </row>
    <row r="546" spans="1:14">
      <c r="A546" s="28">
        <v>545</v>
      </c>
      <c r="B546" s="28" t="s">
        <v>58</v>
      </c>
      <c r="C546" s="28" t="s">
        <v>59</v>
      </c>
      <c r="D546" s="28" t="s">
        <v>60</v>
      </c>
      <c r="E546" s="28" t="s">
        <v>110</v>
      </c>
      <c r="F546" s="28"/>
      <c r="G546" s="28" t="s">
        <v>227</v>
      </c>
      <c r="H546" s="28" t="s">
        <v>451</v>
      </c>
      <c r="I546" s="56">
        <v>1306</v>
      </c>
      <c r="J546" s="123" t="s">
        <v>431</v>
      </c>
      <c r="K546" s="51">
        <v>46024</v>
      </c>
      <c r="L546" s="28" t="s">
        <v>14</v>
      </c>
      <c r="M546" s="117" t="s">
        <v>311</v>
      </c>
      <c r="N546" s="28">
        <v>2026</v>
      </c>
    </row>
    <row r="547" spans="1:14">
      <c r="A547" s="28">
        <v>546</v>
      </c>
      <c r="B547" s="72" t="s">
        <v>58</v>
      </c>
      <c r="C547" s="28" t="s">
        <v>59</v>
      </c>
      <c r="D547" s="28" t="s">
        <v>60</v>
      </c>
      <c r="E547" s="28" t="s">
        <v>110</v>
      </c>
      <c r="F547" s="28"/>
      <c r="G547" s="28" t="s">
        <v>227</v>
      </c>
      <c r="H547" s="28" t="s">
        <v>451</v>
      </c>
      <c r="I547" s="56">
        <v>1306</v>
      </c>
      <c r="J547" s="123" t="s">
        <v>431</v>
      </c>
      <c r="K547" s="51">
        <v>46024</v>
      </c>
      <c r="L547" s="28" t="s">
        <v>14</v>
      </c>
      <c r="M547" s="117" t="s">
        <v>311</v>
      </c>
      <c r="N547" s="28">
        <v>2026</v>
      </c>
    </row>
    <row r="548" spans="1:14">
      <c r="A548" s="28">
        <v>547</v>
      </c>
      <c r="B548" s="28" t="s">
        <v>58</v>
      </c>
      <c r="C548" s="28" t="s">
        <v>59</v>
      </c>
      <c r="D548" s="28" t="s">
        <v>60</v>
      </c>
      <c r="E548" s="28" t="s">
        <v>110</v>
      </c>
      <c r="F548" s="28"/>
      <c r="G548" s="28" t="s">
        <v>227</v>
      </c>
      <c r="H548" s="28" t="s">
        <v>451</v>
      </c>
      <c r="I548" s="56">
        <v>1306</v>
      </c>
      <c r="J548" s="123" t="s">
        <v>431</v>
      </c>
      <c r="K548" s="51">
        <v>46024</v>
      </c>
      <c r="L548" s="28" t="s">
        <v>14</v>
      </c>
      <c r="M548" s="117" t="s">
        <v>311</v>
      </c>
      <c r="N548" s="28">
        <v>2026</v>
      </c>
    </row>
    <row r="549" spans="1:14">
      <c r="A549" s="28">
        <v>548</v>
      </c>
      <c r="B549" s="28" t="s">
        <v>42</v>
      </c>
      <c r="C549" s="28" t="s">
        <v>263</v>
      </c>
      <c r="D549" s="28" t="s">
        <v>60</v>
      </c>
      <c r="E549" s="28" t="s">
        <v>110</v>
      </c>
      <c r="F549" s="28"/>
      <c r="G549" s="28" t="s">
        <v>260</v>
      </c>
      <c r="H549" s="28" t="s">
        <v>450</v>
      </c>
      <c r="I549" s="56">
        <v>1554.0540540540539</v>
      </c>
      <c r="J549" s="28" t="s">
        <v>435</v>
      </c>
      <c r="K549" s="51">
        <v>46025</v>
      </c>
      <c r="L549" s="28">
        <v>2026400024</v>
      </c>
      <c r="M549" s="117" t="s">
        <v>311</v>
      </c>
      <c r="N549" s="28">
        <v>2026</v>
      </c>
    </row>
    <row r="550" spans="1:14">
      <c r="A550" s="28">
        <v>549</v>
      </c>
      <c r="B550" s="28" t="s">
        <v>42</v>
      </c>
      <c r="C550" s="28" t="s">
        <v>45</v>
      </c>
      <c r="D550" s="28" t="s">
        <v>60</v>
      </c>
      <c r="E550" s="28" t="s">
        <v>110</v>
      </c>
      <c r="F550" s="28"/>
      <c r="G550" s="28" t="s">
        <v>264</v>
      </c>
      <c r="H550" s="28" t="s">
        <v>450</v>
      </c>
      <c r="I550" s="56">
        <v>1097.9729729729729</v>
      </c>
      <c r="J550" s="28" t="s">
        <v>436</v>
      </c>
      <c r="K550" s="51">
        <v>46014</v>
      </c>
      <c r="L550" s="28">
        <v>2026400080</v>
      </c>
      <c r="M550" s="117" t="s">
        <v>311</v>
      </c>
      <c r="N550" s="28">
        <v>2026</v>
      </c>
    </row>
    <row r="551" spans="1:14">
      <c r="A551" s="28">
        <v>550</v>
      </c>
      <c r="B551" s="28" t="s">
        <v>54</v>
      </c>
      <c r="C551" s="28" t="s">
        <v>55</v>
      </c>
      <c r="D551" s="28" t="s">
        <v>60</v>
      </c>
      <c r="E551" s="28" t="s">
        <v>110</v>
      </c>
      <c r="F551" s="28"/>
      <c r="G551" s="28" t="s">
        <v>228</v>
      </c>
      <c r="H551" s="28" t="s">
        <v>450</v>
      </c>
      <c r="I551" s="56">
        <v>6283.7837837837842</v>
      </c>
      <c r="J551" s="28" t="s">
        <v>437</v>
      </c>
      <c r="K551" s="51">
        <v>46024</v>
      </c>
      <c r="L551" s="28">
        <v>2026400256</v>
      </c>
      <c r="M551" s="117" t="s">
        <v>311</v>
      </c>
      <c r="N551" s="28">
        <v>2026</v>
      </c>
    </row>
    <row r="552" spans="1:14">
      <c r="A552" s="28">
        <v>551</v>
      </c>
      <c r="B552" s="28" t="s">
        <v>17</v>
      </c>
      <c r="C552" s="28" t="s">
        <v>18</v>
      </c>
      <c r="D552" s="28" t="s">
        <v>60</v>
      </c>
      <c r="E552" s="28" t="s">
        <v>110</v>
      </c>
      <c r="F552" s="28"/>
      <c r="G552" s="28" t="s">
        <v>284</v>
      </c>
      <c r="H552" s="28" t="s">
        <v>450</v>
      </c>
      <c r="I552" s="56">
        <v>925.67567567567562</v>
      </c>
      <c r="J552" s="28" t="s">
        <v>438</v>
      </c>
      <c r="K552" s="51">
        <v>46011</v>
      </c>
      <c r="L552" s="28">
        <v>2026400254</v>
      </c>
      <c r="M552" s="117" t="s">
        <v>311</v>
      </c>
      <c r="N552" s="28">
        <v>2026</v>
      </c>
    </row>
    <row r="553" spans="1:14">
      <c r="A553" s="28">
        <v>552</v>
      </c>
      <c r="B553" s="28" t="s">
        <v>42</v>
      </c>
      <c r="C553" s="28" t="s">
        <v>50</v>
      </c>
      <c r="D553" s="28" t="s">
        <v>60</v>
      </c>
      <c r="E553" s="28" t="s">
        <v>110</v>
      </c>
      <c r="F553" s="28"/>
      <c r="G553" s="28" t="s">
        <v>265</v>
      </c>
      <c r="H553" s="28" t="s">
        <v>450</v>
      </c>
      <c r="I553" s="56">
        <v>405.40540540540542</v>
      </c>
      <c r="J553" s="28" t="s">
        <v>439</v>
      </c>
      <c r="K553" s="51">
        <v>46043</v>
      </c>
      <c r="L553" s="28">
        <v>2026400178</v>
      </c>
      <c r="M553" s="117" t="s">
        <v>311</v>
      </c>
      <c r="N553" s="28">
        <v>2026</v>
      </c>
    </row>
    <row r="554" spans="1:14">
      <c r="A554" s="28">
        <v>553</v>
      </c>
      <c r="B554" s="28" t="s">
        <v>17</v>
      </c>
      <c r="C554" s="28" t="s">
        <v>18</v>
      </c>
      <c r="D554" s="28" t="s">
        <v>60</v>
      </c>
      <c r="E554" s="28" t="s">
        <v>110</v>
      </c>
      <c r="F554" s="28"/>
      <c r="G554" s="28" t="s">
        <v>432</v>
      </c>
      <c r="H554" s="28" t="s">
        <v>450</v>
      </c>
      <c r="I554" s="56">
        <v>236.48648648648648</v>
      </c>
      <c r="J554" s="28" t="s">
        <v>440</v>
      </c>
      <c r="K554" s="51">
        <v>46044</v>
      </c>
      <c r="L554" s="28">
        <v>2026400255</v>
      </c>
      <c r="M554" s="117" t="s">
        <v>311</v>
      </c>
      <c r="N554" s="28">
        <v>2026</v>
      </c>
    </row>
    <row r="555" spans="1:14">
      <c r="A555" s="28">
        <v>554</v>
      </c>
      <c r="B555" s="28" t="s">
        <v>54</v>
      </c>
      <c r="C555" s="28" t="s">
        <v>55</v>
      </c>
      <c r="D555" s="28" t="s">
        <v>60</v>
      </c>
      <c r="E555" s="28" t="s">
        <v>110</v>
      </c>
      <c r="F555" s="28"/>
      <c r="G555" s="28" t="s">
        <v>111</v>
      </c>
      <c r="H555" s="28" t="s">
        <v>450</v>
      </c>
      <c r="I555" s="56">
        <v>3492.9054054054054</v>
      </c>
      <c r="J555" s="28" t="s">
        <v>441</v>
      </c>
      <c r="K555" s="51">
        <v>46027</v>
      </c>
      <c r="L555" s="28">
        <v>2026400278</v>
      </c>
      <c r="M555" s="117" t="s">
        <v>311</v>
      </c>
      <c r="N555" s="28">
        <v>2026</v>
      </c>
    </row>
    <row r="556" spans="1:14">
      <c r="A556" s="28">
        <v>555</v>
      </c>
      <c r="B556" s="28" t="s">
        <v>52</v>
      </c>
      <c r="C556" s="28" t="s">
        <v>62</v>
      </c>
      <c r="D556" s="28" t="s">
        <v>60</v>
      </c>
      <c r="E556" s="28" t="s">
        <v>110</v>
      </c>
      <c r="F556" s="28"/>
      <c r="G556" s="28" t="s">
        <v>433</v>
      </c>
      <c r="H556" s="28" t="s">
        <v>450</v>
      </c>
      <c r="I556" s="56">
        <v>929.72972972972968</v>
      </c>
      <c r="J556" s="28" t="s">
        <v>442</v>
      </c>
      <c r="K556" s="51">
        <v>46035</v>
      </c>
      <c r="L556" s="28">
        <v>2026400321</v>
      </c>
      <c r="M556" s="117" t="s">
        <v>311</v>
      </c>
      <c r="N556" s="28">
        <v>2026</v>
      </c>
    </row>
    <row r="557" spans="1:14">
      <c r="A557" s="28">
        <v>556</v>
      </c>
      <c r="B557" s="28" t="s">
        <v>54</v>
      </c>
      <c r="C557" s="28" t="s">
        <v>55</v>
      </c>
      <c r="D557" s="28" t="s">
        <v>60</v>
      </c>
      <c r="E557" s="28" t="s">
        <v>110</v>
      </c>
      <c r="F557" s="28"/>
      <c r="G557" s="28" t="s">
        <v>111</v>
      </c>
      <c r="H557" s="28" t="s">
        <v>450</v>
      </c>
      <c r="I557" s="56">
        <v>2415.7094594594596</v>
      </c>
      <c r="J557" s="28" t="s">
        <v>443</v>
      </c>
      <c r="K557" s="51">
        <v>46042</v>
      </c>
      <c r="L557" s="28">
        <v>2026400320</v>
      </c>
      <c r="M557" s="117" t="s">
        <v>311</v>
      </c>
      <c r="N557" s="28">
        <v>2026</v>
      </c>
    </row>
    <row r="558" spans="1:14">
      <c r="A558" s="28">
        <v>557</v>
      </c>
      <c r="B558" s="28" t="s">
        <v>52</v>
      </c>
      <c r="C558" s="28" t="s">
        <v>62</v>
      </c>
      <c r="D558" s="28" t="s">
        <v>60</v>
      </c>
      <c r="E558" s="28" t="s">
        <v>110</v>
      </c>
      <c r="F558" s="28"/>
      <c r="G558" s="28" t="s">
        <v>434</v>
      </c>
      <c r="H558" s="28" t="s">
        <v>452</v>
      </c>
      <c r="I558" s="56">
        <v>2027.0270270270271</v>
      </c>
      <c r="J558" s="28" t="s">
        <v>444</v>
      </c>
      <c r="K558" s="51">
        <v>46034</v>
      </c>
      <c r="L558" s="28" t="s">
        <v>14</v>
      </c>
      <c r="M558" s="117" t="s">
        <v>311</v>
      </c>
      <c r="N558" s="28">
        <v>2026</v>
      </c>
    </row>
    <row r="559" spans="1:14">
      <c r="A559" s="28">
        <v>558</v>
      </c>
      <c r="B559" s="28" t="s">
        <v>27</v>
      </c>
      <c r="C559" s="28" t="s">
        <v>28</v>
      </c>
      <c r="D559" s="28" t="s">
        <v>60</v>
      </c>
      <c r="E559" s="28" t="s">
        <v>110</v>
      </c>
      <c r="F559" s="28"/>
      <c r="G559" s="28" t="s">
        <v>434</v>
      </c>
      <c r="H559" s="28" t="s">
        <v>452</v>
      </c>
      <c r="I559" s="56">
        <v>15608.108108108108</v>
      </c>
      <c r="J559" s="28" t="s">
        <v>445</v>
      </c>
      <c r="K559" s="51">
        <v>46044</v>
      </c>
      <c r="L559" s="28" t="s">
        <v>14</v>
      </c>
      <c r="M559" s="117" t="s">
        <v>311</v>
      </c>
      <c r="N559" s="28">
        <v>2026</v>
      </c>
    </row>
    <row r="560" spans="1:14">
      <c r="A560" s="28">
        <v>559</v>
      </c>
      <c r="B560" s="28" t="s">
        <v>17</v>
      </c>
      <c r="C560" s="28" t="s">
        <v>18</v>
      </c>
      <c r="D560" s="28" t="s">
        <v>60</v>
      </c>
      <c r="E560" s="28" t="s">
        <v>110</v>
      </c>
      <c r="F560" s="28"/>
      <c r="G560" s="28" t="s">
        <v>190</v>
      </c>
      <c r="H560" s="28" t="s">
        <v>450</v>
      </c>
      <c r="I560" s="56">
        <v>236.48648648648648</v>
      </c>
      <c r="J560" s="28" t="s">
        <v>446</v>
      </c>
      <c r="K560" s="51">
        <v>46037</v>
      </c>
      <c r="L560" s="28">
        <v>2026400317</v>
      </c>
      <c r="M560" s="117" t="s">
        <v>311</v>
      </c>
      <c r="N560" s="28">
        <v>2026</v>
      </c>
    </row>
    <row r="561" spans="1:14">
      <c r="A561" s="28">
        <v>560</v>
      </c>
      <c r="B561" s="28" t="s">
        <v>17</v>
      </c>
      <c r="C561" s="28" t="s">
        <v>22</v>
      </c>
      <c r="D561" s="28" t="s">
        <v>60</v>
      </c>
      <c r="E561" s="28" t="s">
        <v>110</v>
      </c>
      <c r="F561" s="28"/>
      <c r="G561" s="28" t="s">
        <v>260</v>
      </c>
      <c r="H561" s="28" t="s">
        <v>450</v>
      </c>
      <c r="I561" s="56">
        <v>1189.1891891891892</v>
      </c>
      <c r="J561" s="28" t="s">
        <v>447</v>
      </c>
      <c r="K561" s="51">
        <v>46043</v>
      </c>
      <c r="L561" s="28">
        <v>2026400415</v>
      </c>
      <c r="M561" s="117" t="s">
        <v>311</v>
      </c>
      <c r="N561" s="28">
        <v>2026</v>
      </c>
    </row>
    <row r="562" spans="1:14">
      <c r="A562" s="28">
        <v>561</v>
      </c>
      <c r="B562" s="28" t="s">
        <v>52</v>
      </c>
      <c r="C562" s="28" t="s">
        <v>62</v>
      </c>
      <c r="D562" s="28" t="s">
        <v>19</v>
      </c>
      <c r="E562" s="28" t="s">
        <v>110</v>
      </c>
      <c r="F562" s="28"/>
      <c r="G562" s="28" t="s">
        <v>89</v>
      </c>
      <c r="H562" s="28" t="s">
        <v>453</v>
      </c>
      <c r="I562" s="56">
        <v>186721.41891891891</v>
      </c>
      <c r="J562" s="28" t="s">
        <v>14</v>
      </c>
      <c r="K562" s="51" t="s">
        <v>14</v>
      </c>
      <c r="L562" s="28" t="s">
        <v>14</v>
      </c>
      <c r="M562" s="117" t="s">
        <v>311</v>
      </c>
      <c r="N562" s="28">
        <v>2026</v>
      </c>
    </row>
    <row r="563" spans="1:14">
      <c r="A563" s="28">
        <v>562</v>
      </c>
      <c r="B563" s="28" t="s">
        <v>17</v>
      </c>
      <c r="C563" s="28" t="s">
        <v>22</v>
      </c>
      <c r="D563" s="28" t="s">
        <v>19</v>
      </c>
      <c r="E563" s="28" t="s">
        <v>110</v>
      </c>
      <c r="F563" s="28"/>
      <c r="G563" s="28" t="s">
        <v>89</v>
      </c>
      <c r="H563" s="28" t="s">
        <v>449</v>
      </c>
      <c r="I563" s="56">
        <v>17180.93918918919</v>
      </c>
      <c r="J563" s="28" t="s">
        <v>14</v>
      </c>
      <c r="K563" s="51" t="s">
        <v>14</v>
      </c>
      <c r="L563" s="28" t="s">
        <v>14</v>
      </c>
      <c r="M563" s="117" t="s">
        <v>311</v>
      </c>
      <c r="N563" s="28">
        <v>2026</v>
      </c>
    </row>
    <row r="564" spans="1:14">
      <c r="A564" s="28">
        <v>563</v>
      </c>
      <c r="B564" s="28" t="s">
        <v>17</v>
      </c>
      <c r="C564" s="28" t="s">
        <v>18</v>
      </c>
      <c r="D564" s="28" t="s">
        <v>19</v>
      </c>
      <c r="E564" s="28" t="s">
        <v>110</v>
      </c>
      <c r="F564" s="28"/>
      <c r="G564" s="28" t="s">
        <v>89</v>
      </c>
      <c r="H564" s="28" t="s">
        <v>449</v>
      </c>
      <c r="I564" s="56">
        <v>29118.952702702703</v>
      </c>
      <c r="J564" s="28" t="s">
        <v>14</v>
      </c>
      <c r="K564" s="51" t="s">
        <v>14</v>
      </c>
      <c r="L564" s="28" t="s">
        <v>14</v>
      </c>
      <c r="M564" s="117" t="s">
        <v>311</v>
      </c>
      <c r="N564" s="28">
        <v>2026</v>
      </c>
    </row>
    <row r="565" spans="1:14">
      <c r="A565" s="28">
        <v>564</v>
      </c>
      <c r="B565" s="28" t="s">
        <v>42</v>
      </c>
      <c r="C565" s="122" t="s">
        <v>263</v>
      </c>
      <c r="D565" s="28" t="s">
        <v>19</v>
      </c>
      <c r="E565" s="28" t="s">
        <v>110</v>
      </c>
      <c r="F565" s="28"/>
      <c r="G565" s="28" t="s">
        <v>89</v>
      </c>
      <c r="H565" s="28" t="s">
        <v>449</v>
      </c>
      <c r="I565" s="56">
        <v>14777.027027027027</v>
      </c>
      <c r="J565" s="28" t="s">
        <v>14</v>
      </c>
      <c r="K565" s="51" t="s">
        <v>14</v>
      </c>
      <c r="L565" s="28" t="s">
        <v>14</v>
      </c>
      <c r="M565" s="117" t="s">
        <v>311</v>
      </c>
      <c r="N565" s="28">
        <v>2026</v>
      </c>
    </row>
    <row r="566" spans="1:14">
      <c r="A566" s="28">
        <v>565</v>
      </c>
      <c r="B566" s="28" t="s">
        <v>52</v>
      </c>
      <c r="C566" s="28" t="s">
        <v>62</v>
      </c>
      <c r="D566" s="28" t="s">
        <v>19</v>
      </c>
      <c r="E566" s="28" t="s">
        <v>110</v>
      </c>
      <c r="F566" s="28"/>
      <c r="G566" s="28" t="s">
        <v>89</v>
      </c>
      <c r="H566" s="28" t="s">
        <v>454</v>
      </c>
      <c r="I566" s="56">
        <v>3998.0067567567567</v>
      </c>
      <c r="J566" s="28" t="s">
        <v>14</v>
      </c>
      <c r="K566" s="51" t="s">
        <v>14</v>
      </c>
      <c r="L566" s="28" t="s">
        <v>14</v>
      </c>
      <c r="M566" s="117" t="s">
        <v>311</v>
      </c>
      <c r="N566" s="28">
        <v>2026</v>
      </c>
    </row>
    <row r="567" spans="1:14">
      <c r="A567" s="28">
        <v>566</v>
      </c>
      <c r="B567" s="28" t="s">
        <v>17</v>
      </c>
      <c r="C567" s="28" t="s">
        <v>24</v>
      </c>
      <c r="D567" s="28" t="s">
        <v>19</v>
      </c>
      <c r="E567" s="28" t="s">
        <v>110</v>
      </c>
      <c r="F567" s="28"/>
      <c r="G567" s="28" t="s">
        <v>89</v>
      </c>
      <c r="H567" s="28" t="s">
        <v>449</v>
      </c>
      <c r="I567" s="56">
        <v>4433.1081081081084</v>
      </c>
      <c r="J567" s="28" t="s">
        <v>14</v>
      </c>
      <c r="K567" s="51" t="s">
        <v>14</v>
      </c>
      <c r="L567" s="28" t="s">
        <v>14</v>
      </c>
      <c r="M567" s="117" t="s">
        <v>311</v>
      </c>
      <c r="N567" s="28">
        <v>2026</v>
      </c>
    </row>
    <row r="568" spans="1:14">
      <c r="A568" s="28">
        <v>567</v>
      </c>
      <c r="B568" s="28" t="s">
        <v>17</v>
      </c>
      <c r="C568" s="28" t="s">
        <v>25</v>
      </c>
      <c r="D568" s="28" t="s">
        <v>19</v>
      </c>
      <c r="E568" s="28" t="s">
        <v>110</v>
      </c>
      <c r="F568" s="28"/>
      <c r="G568" s="28" t="s">
        <v>89</v>
      </c>
      <c r="H568" s="28" t="s">
        <v>449</v>
      </c>
      <c r="I568" s="56">
        <v>4613.7162162162158</v>
      </c>
      <c r="J568" s="28" t="s">
        <v>14</v>
      </c>
      <c r="K568" s="51" t="s">
        <v>14</v>
      </c>
      <c r="L568" s="28" t="s">
        <v>14</v>
      </c>
      <c r="M568" s="117" t="s">
        <v>311</v>
      </c>
      <c r="N568" s="28">
        <v>2026</v>
      </c>
    </row>
    <row r="569" spans="1:14">
      <c r="A569" s="28">
        <v>568</v>
      </c>
      <c r="B569" s="28" t="s">
        <v>42</v>
      </c>
      <c r="C569" s="28" t="s">
        <v>45</v>
      </c>
      <c r="D569" s="28" t="s">
        <v>19</v>
      </c>
      <c r="E569" s="28" t="s">
        <v>110</v>
      </c>
      <c r="F569" s="28"/>
      <c r="G569" s="28" t="s">
        <v>89</v>
      </c>
      <c r="H569" s="28" t="s">
        <v>449</v>
      </c>
      <c r="I569" s="56">
        <v>2791.2162162162163</v>
      </c>
      <c r="J569" s="28" t="s">
        <v>14</v>
      </c>
      <c r="K569" s="51" t="s">
        <v>14</v>
      </c>
      <c r="L569" s="28" t="s">
        <v>14</v>
      </c>
      <c r="M569" s="117" t="s">
        <v>311</v>
      </c>
      <c r="N569" s="28">
        <v>2026</v>
      </c>
    </row>
    <row r="570" spans="1:14">
      <c r="A570" s="28">
        <v>569</v>
      </c>
      <c r="B570" s="28" t="s">
        <v>52</v>
      </c>
      <c r="C570" s="28" t="s">
        <v>62</v>
      </c>
      <c r="D570" s="28" t="s">
        <v>19</v>
      </c>
      <c r="E570" s="28" t="s">
        <v>110</v>
      </c>
      <c r="F570" s="28"/>
      <c r="G570" s="28" t="s">
        <v>729</v>
      </c>
      <c r="H570" s="28" t="s">
        <v>450</v>
      </c>
      <c r="I570" s="56">
        <v>41156</v>
      </c>
      <c r="J570" s="28" t="s">
        <v>14</v>
      </c>
      <c r="K570" s="51" t="s">
        <v>14</v>
      </c>
      <c r="L570" s="28" t="s">
        <v>14</v>
      </c>
      <c r="M570" s="117" t="s">
        <v>311</v>
      </c>
      <c r="N570" s="28">
        <v>2026</v>
      </c>
    </row>
    <row r="571" spans="1:14">
      <c r="A571" s="28">
        <v>570</v>
      </c>
      <c r="B571" s="28" t="s">
        <v>42</v>
      </c>
      <c r="C571" s="28" t="s">
        <v>44</v>
      </c>
      <c r="D571" s="122" t="s">
        <v>60</v>
      </c>
      <c r="E571" s="60" t="s">
        <v>80</v>
      </c>
      <c r="F571" s="28"/>
      <c r="G571" s="28" t="s">
        <v>64</v>
      </c>
      <c r="H571" s="28" t="s">
        <v>338</v>
      </c>
      <c r="I571" s="56">
        <v>391.89189189189187</v>
      </c>
      <c r="J571" s="28" t="s">
        <v>68</v>
      </c>
      <c r="K571" s="51">
        <v>46143</v>
      </c>
      <c r="L571" s="28" t="s">
        <v>14</v>
      </c>
      <c r="M571" s="28" t="s">
        <v>311</v>
      </c>
      <c r="N571" s="28">
        <v>2026</v>
      </c>
    </row>
    <row r="572" spans="1:14">
      <c r="A572" s="28">
        <v>571</v>
      </c>
      <c r="B572" s="28" t="s">
        <v>17</v>
      </c>
      <c r="C572" s="91" t="s">
        <v>24</v>
      </c>
      <c r="D572" s="122" t="s">
        <v>60</v>
      </c>
      <c r="E572" s="28" t="s">
        <v>80</v>
      </c>
      <c r="F572" s="28"/>
      <c r="G572" s="28" t="s">
        <v>64</v>
      </c>
      <c r="H572" s="28" t="s">
        <v>350</v>
      </c>
      <c r="I572" s="56">
        <v>2567.5675675675675</v>
      </c>
      <c r="J572" s="28">
        <v>23300</v>
      </c>
      <c r="K572" s="51">
        <v>46113</v>
      </c>
      <c r="L572" s="28" t="s">
        <v>14</v>
      </c>
      <c r="M572" s="28" t="s">
        <v>311</v>
      </c>
      <c r="N572" s="28">
        <v>2026</v>
      </c>
    </row>
    <row r="573" spans="1:14">
      <c r="A573" s="28">
        <v>572</v>
      </c>
      <c r="B573" s="28" t="s">
        <v>17</v>
      </c>
      <c r="C573" s="28" t="s">
        <v>24</v>
      </c>
      <c r="D573" s="122" t="s">
        <v>60</v>
      </c>
      <c r="E573" s="28" t="s">
        <v>80</v>
      </c>
      <c r="F573" s="28"/>
      <c r="G573" s="28" t="s">
        <v>64</v>
      </c>
      <c r="H573" s="28" t="s">
        <v>350</v>
      </c>
      <c r="I573" s="56">
        <v>1216.2162162162163</v>
      </c>
      <c r="J573" s="28">
        <v>69</v>
      </c>
      <c r="K573" s="51">
        <v>46082</v>
      </c>
      <c r="L573" s="28" t="s">
        <v>14</v>
      </c>
      <c r="M573" s="28" t="s">
        <v>311</v>
      </c>
      <c r="N573" s="28">
        <v>2026</v>
      </c>
    </row>
    <row r="574" spans="1:14">
      <c r="A574" s="28">
        <v>573</v>
      </c>
      <c r="B574" s="28" t="s">
        <v>52</v>
      </c>
      <c r="C574" s="122" t="s">
        <v>62</v>
      </c>
      <c r="D574" s="122" t="s">
        <v>60</v>
      </c>
      <c r="E574" s="28" t="s">
        <v>80</v>
      </c>
      <c r="F574" s="28"/>
      <c r="G574" s="28" t="s">
        <v>64</v>
      </c>
      <c r="H574" s="28" t="s">
        <v>353</v>
      </c>
      <c r="I574" s="56">
        <v>213.51351351351352</v>
      </c>
      <c r="J574" s="28" t="s">
        <v>68</v>
      </c>
      <c r="K574" s="51" t="s">
        <v>377</v>
      </c>
      <c r="L574" s="28" t="s">
        <v>14</v>
      </c>
      <c r="M574" s="28" t="s">
        <v>311</v>
      </c>
      <c r="N574" s="28">
        <v>2026</v>
      </c>
    </row>
    <row r="575" spans="1:14">
      <c r="A575" s="28">
        <v>574</v>
      </c>
      <c r="B575" s="28" t="s">
        <v>285</v>
      </c>
      <c r="C575" s="28" t="s">
        <v>286</v>
      </c>
      <c r="D575" s="122" t="s">
        <v>60</v>
      </c>
      <c r="E575" s="28" t="s">
        <v>80</v>
      </c>
      <c r="F575" s="28"/>
      <c r="G575" s="28" t="s">
        <v>64</v>
      </c>
      <c r="H575" s="28" t="s">
        <v>355</v>
      </c>
      <c r="I575" s="56">
        <v>1182.4324324324325</v>
      </c>
      <c r="J575" s="28" t="s">
        <v>68</v>
      </c>
      <c r="K575" s="51" t="s">
        <v>374</v>
      </c>
      <c r="L575" s="28" t="s">
        <v>14</v>
      </c>
      <c r="M575" s="28" t="s">
        <v>311</v>
      </c>
      <c r="N575" s="28">
        <v>2026</v>
      </c>
    </row>
    <row r="576" spans="1:14">
      <c r="A576" s="28">
        <v>575</v>
      </c>
      <c r="B576" s="28" t="s">
        <v>58</v>
      </c>
      <c r="C576" s="46" t="s">
        <v>59</v>
      </c>
      <c r="D576" s="122" t="s">
        <v>60</v>
      </c>
      <c r="E576" s="28" t="s">
        <v>80</v>
      </c>
      <c r="F576" s="28"/>
      <c r="G576" s="28" t="s">
        <v>64</v>
      </c>
      <c r="H576" s="28" t="s">
        <v>356</v>
      </c>
      <c r="I576" s="56">
        <v>1131.7567567567567</v>
      </c>
      <c r="J576" s="28" t="s">
        <v>68</v>
      </c>
      <c r="K576" s="51">
        <v>46143</v>
      </c>
      <c r="L576" s="28" t="s">
        <v>14</v>
      </c>
      <c r="M576" s="28" t="s">
        <v>311</v>
      </c>
      <c r="N576" s="28">
        <v>2026</v>
      </c>
    </row>
    <row r="577" spans="1:14">
      <c r="A577" s="28">
        <v>576</v>
      </c>
      <c r="B577" s="28" t="s">
        <v>35</v>
      </c>
      <c r="C577" s="28" t="s">
        <v>36</v>
      </c>
      <c r="D577" s="122" t="s">
        <v>60</v>
      </c>
      <c r="E577" s="28" t="s">
        <v>80</v>
      </c>
      <c r="F577" s="28"/>
      <c r="G577" s="28" t="s">
        <v>64</v>
      </c>
      <c r="H577" s="28" t="s">
        <v>357</v>
      </c>
      <c r="I577" s="56">
        <v>1017.5675675675676</v>
      </c>
      <c r="J577" s="28" t="s">
        <v>68</v>
      </c>
      <c r="K577" s="51">
        <v>46296</v>
      </c>
      <c r="L577" s="28" t="s">
        <v>14</v>
      </c>
      <c r="M577" s="28" t="s">
        <v>311</v>
      </c>
      <c r="N577" s="28">
        <v>2026</v>
      </c>
    </row>
    <row r="578" spans="1:14">
      <c r="A578" s="28">
        <v>577</v>
      </c>
      <c r="B578" s="28" t="s">
        <v>35</v>
      </c>
      <c r="C578" s="28" t="s">
        <v>38</v>
      </c>
      <c r="D578" s="122" t="s">
        <v>60</v>
      </c>
      <c r="E578" s="28" t="s">
        <v>80</v>
      </c>
      <c r="F578" s="28"/>
      <c r="G578" s="28" t="s">
        <v>64</v>
      </c>
      <c r="H578" s="28" t="s">
        <v>358</v>
      </c>
      <c r="I578" s="56">
        <v>1013.5135135135135</v>
      </c>
      <c r="J578" s="28" t="s">
        <v>68</v>
      </c>
      <c r="K578" s="51">
        <v>46296</v>
      </c>
      <c r="L578" s="28" t="s">
        <v>14</v>
      </c>
      <c r="M578" s="28" t="s">
        <v>311</v>
      </c>
      <c r="N578" s="28">
        <v>2026</v>
      </c>
    </row>
    <row r="579" spans="1:14">
      <c r="A579" s="28">
        <v>578</v>
      </c>
      <c r="B579" s="28" t="s">
        <v>58</v>
      </c>
      <c r="C579" s="28" t="s">
        <v>59</v>
      </c>
      <c r="D579" s="122" t="s">
        <v>60</v>
      </c>
      <c r="E579" s="28" t="s">
        <v>80</v>
      </c>
      <c r="F579" s="28"/>
      <c r="G579" s="28" t="s">
        <v>64</v>
      </c>
      <c r="H579" s="28" t="s">
        <v>259</v>
      </c>
      <c r="I579" s="56">
        <v>1548.2758620689656</v>
      </c>
      <c r="J579" s="28" t="s">
        <v>68</v>
      </c>
      <c r="K579" s="51" t="s">
        <v>293</v>
      </c>
      <c r="L579" s="28" t="s">
        <v>14</v>
      </c>
      <c r="M579" s="28" t="s">
        <v>311</v>
      </c>
      <c r="N579" s="28">
        <v>2026</v>
      </c>
    </row>
    <row r="580" spans="1:14">
      <c r="A580" s="28">
        <v>579</v>
      </c>
      <c r="B580" s="28" t="s">
        <v>58</v>
      </c>
      <c r="C580" s="28" t="s">
        <v>59</v>
      </c>
      <c r="D580" s="122" t="s">
        <v>60</v>
      </c>
      <c r="E580" s="28" t="s">
        <v>80</v>
      </c>
      <c r="F580" s="28"/>
      <c r="G580" s="28" t="s">
        <v>64</v>
      </c>
      <c r="H580" s="28" t="s">
        <v>299</v>
      </c>
      <c r="I580" s="56">
        <v>4055.1724137931033</v>
      </c>
      <c r="J580" s="28" t="s">
        <v>68</v>
      </c>
      <c r="K580" s="51" t="s">
        <v>292</v>
      </c>
      <c r="L580" s="28" t="s">
        <v>14</v>
      </c>
      <c r="M580" s="28" t="s">
        <v>311</v>
      </c>
      <c r="N580" s="28">
        <v>2026</v>
      </c>
    </row>
    <row r="581" spans="1:14">
      <c r="A581" s="28">
        <v>580</v>
      </c>
      <c r="B581" s="28" t="s">
        <v>58</v>
      </c>
      <c r="C581" s="91" t="s">
        <v>59</v>
      </c>
      <c r="D581" s="122" t="s">
        <v>60</v>
      </c>
      <c r="E581" s="28" t="s">
        <v>249</v>
      </c>
      <c r="F581" s="28"/>
      <c r="G581" s="28" t="s">
        <v>64</v>
      </c>
      <c r="H581" s="28" t="s">
        <v>359</v>
      </c>
      <c r="I581" s="56">
        <v>689.18918918918916</v>
      </c>
      <c r="J581" s="28" t="s">
        <v>68</v>
      </c>
      <c r="K581" s="51" t="s">
        <v>384</v>
      </c>
      <c r="L581" s="28" t="s">
        <v>14</v>
      </c>
      <c r="M581" s="28" t="s">
        <v>311</v>
      </c>
      <c r="N581" s="28">
        <v>2026</v>
      </c>
    </row>
    <row r="582" spans="1:14">
      <c r="A582" s="28">
        <v>581</v>
      </c>
      <c r="B582" s="28" t="s">
        <v>58</v>
      </c>
      <c r="C582" s="28" t="s">
        <v>59</v>
      </c>
      <c r="D582" s="122" t="s">
        <v>60</v>
      </c>
      <c r="E582" s="28" t="s">
        <v>249</v>
      </c>
      <c r="F582" s="28"/>
      <c r="G582" s="28" t="s">
        <v>64</v>
      </c>
      <c r="H582" s="28" t="s">
        <v>360</v>
      </c>
      <c r="I582" s="56">
        <v>177.70270270270271</v>
      </c>
      <c r="J582" s="28" t="s">
        <v>68</v>
      </c>
      <c r="K582" s="51" t="s">
        <v>369</v>
      </c>
      <c r="L582" s="28" t="s">
        <v>14</v>
      </c>
      <c r="M582" s="28" t="s">
        <v>311</v>
      </c>
      <c r="N582" s="28">
        <v>2026</v>
      </c>
    </row>
    <row r="583" spans="1:14">
      <c r="A583" s="28">
        <v>582</v>
      </c>
      <c r="B583" s="28" t="s">
        <v>58</v>
      </c>
      <c r="C583" s="28" t="s">
        <v>59</v>
      </c>
      <c r="D583" s="122" t="s">
        <v>60</v>
      </c>
      <c r="E583" s="28" t="s">
        <v>249</v>
      </c>
      <c r="F583" s="28"/>
      <c r="G583" s="28" t="s">
        <v>64</v>
      </c>
      <c r="H583" s="28" t="s">
        <v>361</v>
      </c>
      <c r="I583" s="56">
        <v>1479.7297297297298</v>
      </c>
      <c r="J583" s="28" t="s">
        <v>68</v>
      </c>
      <c r="K583" s="51" t="s">
        <v>382</v>
      </c>
      <c r="L583" s="28" t="s">
        <v>14</v>
      </c>
      <c r="M583" s="28" t="s">
        <v>311</v>
      </c>
      <c r="N583" s="28">
        <v>2026</v>
      </c>
    </row>
    <row r="584" spans="1:14">
      <c r="A584" s="28">
        <v>583</v>
      </c>
      <c r="B584" s="28" t="s">
        <v>58</v>
      </c>
      <c r="C584" s="28" t="s">
        <v>59</v>
      </c>
      <c r="D584" s="122" t="s">
        <v>60</v>
      </c>
      <c r="E584" s="28" t="s">
        <v>249</v>
      </c>
      <c r="F584" s="28"/>
      <c r="G584" s="28" t="s">
        <v>64</v>
      </c>
      <c r="H584" s="28" t="s">
        <v>362</v>
      </c>
      <c r="I584" s="56">
        <v>689.18918918918916</v>
      </c>
      <c r="J584" s="28" t="s">
        <v>68</v>
      </c>
      <c r="K584" s="51" t="s">
        <v>373</v>
      </c>
      <c r="L584" s="28" t="s">
        <v>14</v>
      </c>
      <c r="M584" s="28" t="s">
        <v>311</v>
      </c>
      <c r="N584" s="28">
        <v>2026</v>
      </c>
    </row>
    <row r="585" spans="1:14">
      <c r="A585" s="28">
        <v>584</v>
      </c>
      <c r="B585" s="28" t="s">
        <v>58</v>
      </c>
      <c r="C585" s="91" t="s">
        <v>59</v>
      </c>
      <c r="D585" s="122" t="s">
        <v>60</v>
      </c>
      <c r="E585" s="28" t="s">
        <v>249</v>
      </c>
      <c r="F585" s="28"/>
      <c r="G585" s="28" t="s">
        <v>64</v>
      </c>
      <c r="H585" s="28" t="s">
        <v>363</v>
      </c>
      <c r="I585" s="56">
        <v>449.32432432432432</v>
      </c>
      <c r="J585" s="28" t="s">
        <v>68</v>
      </c>
      <c r="K585" s="51">
        <v>46235</v>
      </c>
      <c r="L585" s="28" t="s">
        <v>14</v>
      </c>
      <c r="M585" s="28" t="s">
        <v>311</v>
      </c>
      <c r="N585" s="28">
        <v>2026</v>
      </c>
    </row>
    <row r="586" spans="1:14">
      <c r="A586" s="28">
        <v>585</v>
      </c>
      <c r="B586" s="28" t="s">
        <v>58</v>
      </c>
      <c r="C586" s="28" t="s">
        <v>59</v>
      </c>
      <c r="D586" s="122" t="s">
        <v>60</v>
      </c>
      <c r="E586" s="28" t="s">
        <v>249</v>
      </c>
      <c r="F586" s="28"/>
      <c r="G586" s="28" t="s">
        <v>64</v>
      </c>
      <c r="H586" s="28" t="s">
        <v>364</v>
      </c>
      <c r="I586" s="56">
        <v>202.70270270270271</v>
      </c>
      <c r="J586" s="28" t="s">
        <v>68</v>
      </c>
      <c r="K586" s="51">
        <v>46082</v>
      </c>
      <c r="L586" s="28" t="s">
        <v>14</v>
      </c>
      <c r="M586" s="28" t="s">
        <v>311</v>
      </c>
      <c r="N586" s="28">
        <v>2026</v>
      </c>
    </row>
    <row r="587" spans="1:14">
      <c r="A587" s="28">
        <v>586</v>
      </c>
      <c r="B587" s="28" t="s">
        <v>285</v>
      </c>
      <c r="C587" s="91" t="s">
        <v>286</v>
      </c>
      <c r="D587" s="122" t="s">
        <v>60</v>
      </c>
      <c r="E587" s="28" t="s">
        <v>249</v>
      </c>
      <c r="F587" s="28"/>
      <c r="G587" s="28" t="s">
        <v>64</v>
      </c>
      <c r="H587" s="28" t="s">
        <v>365</v>
      </c>
      <c r="I587" s="56">
        <v>337.83783783783781</v>
      </c>
      <c r="J587" s="28">
        <v>2705</v>
      </c>
      <c r="K587" s="51" t="s">
        <v>367</v>
      </c>
      <c r="L587" s="28" t="s">
        <v>14</v>
      </c>
      <c r="M587" s="28" t="s">
        <v>311</v>
      </c>
      <c r="N587" s="28">
        <v>2026</v>
      </c>
    </row>
    <row r="588" spans="1:14">
      <c r="A588" s="28">
        <v>587</v>
      </c>
      <c r="B588" s="28" t="s">
        <v>42</v>
      </c>
      <c r="C588" s="122" t="s">
        <v>263</v>
      </c>
      <c r="D588" s="122" t="s">
        <v>60</v>
      </c>
      <c r="E588" s="28" t="s">
        <v>249</v>
      </c>
      <c r="F588" s="28"/>
      <c r="G588" s="28" t="s">
        <v>64</v>
      </c>
      <c r="H588" s="28" t="s">
        <v>366</v>
      </c>
      <c r="I588" s="56">
        <v>1273.6486486486488</v>
      </c>
      <c r="J588" s="28" t="s">
        <v>68</v>
      </c>
      <c r="K588" s="51" t="s">
        <v>385</v>
      </c>
      <c r="L588" s="28" t="s">
        <v>14</v>
      </c>
      <c r="M588" s="28" t="s">
        <v>311</v>
      </c>
      <c r="N588" s="28">
        <v>2026</v>
      </c>
    </row>
    <row r="589" spans="1:14">
      <c r="A589" s="28">
        <v>588</v>
      </c>
      <c r="B589" s="48" t="s">
        <v>285</v>
      </c>
      <c r="C589" s="28" t="s">
        <v>286</v>
      </c>
      <c r="D589" s="122" t="s">
        <v>60</v>
      </c>
      <c r="E589" s="28" t="s">
        <v>249</v>
      </c>
      <c r="F589" s="28"/>
      <c r="G589" s="48" t="s">
        <v>64</v>
      </c>
      <c r="H589" s="48" t="s">
        <v>305</v>
      </c>
      <c r="I589" s="56">
        <v>412.41379310344826</v>
      </c>
      <c r="J589" s="28" t="s">
        <v>68</v>
      </c>
      <c r="K589" s="51" t="s">
        <v>292</v>
      </c>
      <c r="L589" s="28" t="s">
        <v>14</v>
      </c>
      <c r="M589" s="28" t="s">
        <v>311</v>
      </c>
      <c r="N589" s="28">
        <v>2026</v>
      </c>
    </row>
    <row r="590" spans="1:14">
      <c r="A590" s="28">
        <v>589</v>
      </c>
      <c r="B590" s="48" t="s">
        <v>58</v>
      </c>
      <c r="C590" s="28" t="s">
        <v>59</v>
      </c>
      <c r="D590" s="122" t="s">
        <v>60</v>
      </c>
      <c r="E590" s="28" t="s">
        <v>249</v>
      </c>
      <c r="F590" s="28"/>
      <c r="G590" s="48" t="s">
        <v>64</v>
      </c>
      <c r="H590" s="48" t="s">
        <v>153</v>
      </c>
      <c r="I590" s="56">
        <v>2437.9310344827586</v>
      </c>
      <c r="J590" s="28" t="s">
        <v>68</v>
      </c>
      <c r="K590" s="51">
        <v>45728</v>
      </c>
      <c r="L590" s="28" t="s">
        <v>14</v>
      </c>
      <c r="M590" s="28" t="s">
        <v>311</v>
      </c>
      <c r="N590" s="28">
        <v>2026</v>
      </c>
    </row>
    <row r="591" spans="1:14">
      <c r="A591" s="28">
        <v>590</v>
      </c>
      <c r="B591" s="48" t="s">
        <v>58</v>
      </c>
      <c r="C591" s="28" t="s">
        <v>59</v>
      </c>
      <c r="D591" s="122" t="s">
        <v>60</v>
      </c>
      <c r="E591" s="28" t="s">
        <v>249</v>
      </c>
      <c r="F591" s="28"/>
      <c r="G591" s="48" t="s">
        <v>64</v>
      </c>
      <c r="H591" s="48" t="s">
        <v>306</v>
      </c>
      <c r="I591" s="56">
        <v>162.06896551724137</v>
      </c>
      <c r="J591" s="28" t="s">
        <v>68</v>
      </c>
      <c r="K591" s="51">
        <v>45881</v>
      </c>
      <c r="L591" s="28" t="s">
        <v>14</v>
      </c>
      <c r="M591" s="28" t="s">
        <v>311</v>
      </c>
      <c r="N591" s="28">
        <v>2026</v>
      </c>
    </row>
    <row r="592" spans="1:14">
      <c r="A592" s="28">
        <v>591</v>
      </c>
      <c r="B592" s="28" t="s">
        <v>58</v>
      </c>
      <c r="C592" s="28" t="s">
        <v>59</v>
      </c>
      <c r="D592" s="122" t="s">
        <v>60</v>
      </c>
      <c r="E592" s="28" t="s">
        <v>249</v>
      </c>
      <c r="F592" s="28"/>
      <c r="G592" s="28" t="s">
        <v>64</v>
      </c>
      <c r="H592" s="28" t="s">
        <v>306</v>
      </c>
      <c r="I592" s="56">
        <v>742.24137931034488</v>
      </c>
      <c r="J592" s="28" t="s">
        <v>68</v>
      </c>
      <c r="K592" s="51">
        <v>45942</v>
      </c>
      <c r="L592" s="28" t="s">
        <v>14</v>
      </c>
      <c r="M592" s="28" t="s">
        <v>311</v>
      </c>
      <c r="N592" s="28">
        <v>2026</v>
      </c>
    </row>
    <row r="593" spans="1:14">
      <c r="A593" s="28">
        <v>592</v>
      </c>
      <c r="B593" s="28" t="s">
        <v>58</v>
      </c>
      <c r="C593" s="28" t="s">
        <v>59</v>
      </c>
      <c r="D593" s="122" t="s">
        <v>60</v>
      </c>
      <c r="E593" s="28" t="s">
        <v>249</v>
      </c>
      <c r="F593" s="28"/>
      <c r="G593" s="28" t="s">
        <v>64</v>
      </c>
      <c r="H593" s="28" t="s">
        <v>306</v>
      </c>
      <c r="I593" s="56">
        <v>789.65517241379314</v>
      </c>
      <c r="J593" s="28" t="s">
        <v>68</v>
      </c>
      <c r="K593" s="51" t="s">
        <v>296</v>
      </c>
      <c r="L593" s="28" t="s">
        <v>14</v>
      </c>
      <c r="M593" s="28" t="s">
        <v>311</v>
      </c>
      <c r="N593" s="28">
        <v>2026</v>
      </c>
    </row>
    <row r="594" spans="1:14">
      <c r="A594" s="28">
        <v>593</v>
      </c>
      <c r="B594" s="28" t="s">
        <v>58</v>
      </c>
      <c r="C594" s="28" t="s">
        <v>59</v>
      </c>
      <c r="D594" s="122" t="s">
        <v>60</v>
      </c>
      <c r="E594" s="60" t="s">
        <v>249</v>
      </c>
      <c r="F594" s="28"/>
      <c r="G594" s="28" t="s">
        <v>64</v>
      </c>
      <c r="H594" s="28" t="s">
        <v>307</v>
      </c>
      <c r="I594" s="56">
        <v>706.20689655172418</v>
      </c>
      <c r="J594" s="28" t="s">
        <v>68</v>
      </c>
      <c r="K594" s="51">
        <v>45850</v>
      </c>
      <c r="L594" s="28" t="s">
        <v>14</v>
      </c>
      <c r="M594" s="28" t="s">
        <v>311</v>
      </c>
      <c r="N594" s="28">
        <v>2026</v>
      </c>
    </row>
    <row r="595" spans="1:14">
      <c r="A595" s="28">
        <v>594</v>
      </c>
      <c r="B595" s="28" t="s">
        <v>58</v>
      </c>
      <c r="C595" s="28" t="s">
        <v>59</v>
      </c>
      <c r="D595" s="122" t="s">
        <v>60</v>
      </c>
      <c r="E595" s="28" t="s">
        <v>249</v>
      </c>
      <c r="F595" s="28"/>
      <c r="G595" s="28" t="s">
        <v>64</v>
      </c>
      <c r="H595" s="28" t="s">
        <v>308</v>
      </c>
      <c r="I595" s="56">
        <v>276.55172413793105</v>
      </c>
      <c r="J595" s="28" t="s">
        <v>68</v>
      </c>
      <c r="K595" s="51">
        <v>45850</v>
      </c>
      <c r="L595" s="28" t="s">
        <v>14</v>
      </c>
      <c r="M595" s="28" t="s">
        <v>311</v>
      </c>
      <c r="N595" s="28">
        <v>2026</v>
      </c>
    </row>
    <row r="596" spans="1:14">
      <c r="A596" s="28">
        <v>595</v>
      </c>
      <c r="B596" s="28" t="s">
        <v>58</v>
      </c>
      <c r="C596" s="28" t="s">
        <v>59</v>
      </c>
      <c r="D596" s="122" t="s">
        <v>60</v>
      </c>
      <c r="E596" s="28" t="s">
        <v>249</v>
      </c>
      <c r="F596" s="28"/>
      <c r="G596" s="28" t="s">
        <v>64</v>
      </c>
      <c r="H596" s="28" t="s">
        <v>309</v>
      </c>
      <c r="I596" s="56">
        <v>689.65517241379314</v>
      </c>
      <c r="J596" s="28" t="s">
        <v>68</v>
      </c>
      <c r="K596" s="51" t="s">
        <v>295</v>
      </c>
      <c r="L596" s="28" t="s">
        <v>14</v>
      </c>
      <c r="M596" s="28" t="s">
        <v>311</v>
      </c>
      <c r="N596" s="28">
        <v>2026</v>
      </c>
    </row>
    <row r="597" spans="1:14">
      <c r="A597" s="28">
        <v>596</v>
      </c>
      <c r="B597" s="28" t="s">
        <v>58</v>
      </c>
      <c r="C597" s="28" t="s">
        <v>59</v>
      </c>
      <c r="D597" s="122" t="s">
        <v>60</v>
      </c>
      <c r="E597" s="28" t="s">
        <v>249</v>
      </c>
      <c r="F597" s="28"/>
      <c r="G597" s="28" t="s">
        <v>64</v>
      </c>
      <c r="H597" s="28" t="s">
        <v>310</v>
      </c>
      <c r="I597" s="56">
        <v>207.58620689655172</v>
      </c>
      <c r="J597" s="28" t="s">
        <v>68</v>
      </c>
      <c r="K597" s="51" t="s">
        <v>292</v>
      </c>
      <c r="L597" s="28" t="s">
        <v>14</v>
      </c>
      <c r="M597" s="28" t="s">
        <v>311</v>
      </c>
      <c r="N597" s="28">
        <v>2026</v>
      </c>
    </row>
    <row r="598" spans="1:14">
      <c r="A598" s="28">
        <v>597</v>
      </c>
      <c r="B598" s="28" t="s">
        <v>58</v>
      </c>
      <c r="C598" s="28" t="s">
        <v>59</v>
      </c>
      <c r="D598" s="122" t="s">
        <v>60</v>
      </c>
      <c r="E598" s="28" t="s">
        <v>249</v>
      </c>
      <c r="F598" s="28"/>
      <c r="G598" s="28" t="s">
        <v>64</v>
      </c>
      <c r="H598" s="28" t="s">
        <v>306</v>
      </c>
      <c r="I598" s="56">
        <v>124.13793103448276</v>
      </c>
      <c r="J598" s="28">
        <v>2266</v>
      </c>
      <c r="K598" s="51">
        <v>45700</v>
      </c>
      <c r="L598" s="28" t="s">
        <v>14</v>
      </c>
      <c r="M598" s="28" t="s">
        <v>311</v>
      </c>
      <c r="N598" s="28">
        <v>2026</v>
      </c>
    </row>
  </sheetData>
  <autoFilter ref="A1:N598" xr:uid="{00000000-0001-0000-0100-000000000000}">
    <sortState xmlns:xlrd2="http://schemas.microsoft.com/office/spreadsheetml/2017/richdata2" ref="A2:N598">
      <sortCondition ref="E1:E598"/>
    </sortState>
  </autoFilter>
  <conditionalFormatting sqref="L2:L27">
    <cfRule type="duplicateValues" dxfId="13" priority="263"/>
  </conditionalFormatting>
  <conditionalFormatting sqref="L28:L34">
    <cfRule type="duplicateValues" dxfId="12" priority="215"/>
  </conditionalFormatting>
  <conditionalFormatting sqref="L35:L117">
    <cfRule type="duplicateValues" dxfId="11" priority="273"/>
  </conditionalFormatting>
  <conditionalFormatting sqref="L118:L122">
    <cfRule type="duplicateValues" dxfId="10" priority="6"/>
  </conditionalFormatting>
  <conditionalFormatting sqref="L123:L124">
    <cfRule type="duplicateValues" dxfId="9" priority="5"/>
  </conditionalFormatting>
  <conditionalFormatting sqref="L125:L130">
    <cfRule type="duplicateValues" dxfId="8" priority="2"/>
  </conditionalFormatting>
  <conditionalFormatting sqref="L131:L136">
    <cfRule type="duplicateValues" dxfId="7" priority="1"/>
  </conditionalFormatting>
  <conditionalFormatting sqref="L137:L144 L2:L27">
    <cfRule type="duplicateValues" dxfId="6" priority="269"/>
  </conditionalFormatting>
  <conditionalFormatting sqref="L145:L261 L448:L531">
    <cfRule type="duplicateValues" dxfId="5" priority="267"/>
  </conditionalFormatting>
  <conditionalFormatting sqref="L262:L447">
    <cfRule type="duplicateValues" dxfId="4" priority="3"/>
  </conditionalFormatting>
  <dataValidations count="2">
    <dataValidation type="list" allowBlank="1" showInputMessage="1" showErrorMessage="1" sqref="C150:C153 C234 C598 C456 C203:C205 C480:C481 C245 C249:C250 C466 C323:C327 C519 C525:C527 C216:C219 C321 I318:I447 C448:C450 C302:C310 C137:C146 C111:C125 C458:C464 C183:C188 C162:C165 C262:C284 C167 C148 C94:C109 C155:C160 C228:C232 C190:C201 C176:C181 C208:C214 C29:C50 C52:C56 C286:C294 C296:C298 C2:C11 C13 C16:C17 I262:I315 C318 C169:C174 C221:C226 C312:C314 C452:C453" xr:uid="{00000000-0002-0000-0100-000001000000}">
      <formula1>INDIRECT(B2)</formula1>
    </dataValidation>
    <dataValidation type="list" allowBlank="1" showInputMessage="1" showErrorMessage="1" sqref="C75:C93 C57:C73 C131:C136 C285 C21:C28 C51 C300:C301 C361 C379 C476 C492 C530 C546 C564 C589" xr:uid="{00000000-0002-0000-0100-000004000000}">
      <formula1>Level_2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List!$P$2:$P$11</xm:f>
          </x14:formula1>
          <xm:sqref>B524:B530 B521 B448:B463 B508:B509 B512 B465:B487 B29:B56 B149:B159 B161 B137:B146 B163:B178 B180:B181 B183:B200 B202:B203 B205:B219 B221:B223 B225:B234 B245 B249 B257 B16:B17 B519 B94:B125 B262:B284 B2:B11 B13 B317:B327 B286:B315 B598</xm:sqref>
        </x14:dataValidation>
        <x14:dataValidation type="list" allowBlank="1" showInputMessage="1" showErrorMessage="1" xr:uid="{00000000-0002-0000-0100-000002000000}">
          <x14:formula1>
            <xm:f>List!$C$2:$C$3</xm:f>
          </x14:formula1>
          <xm:sqref>D29:D56 D137:D247 D115:D124 D94:D96 D98:D112 D2:D20 D249:D531 D544 D546 D539</xm:sqref>
        </x14:dataValidation>
        <x14:dataValidation type="list" allowBlank="1" showInputMessage="1" showErrorMessage="1" xr:uid="{00000000-0002-0000-0100-000003000000}">
          <x14:formula1>
            <xm:f>List!$E$2:$E$32</xm:f>
          </x14:formula1>
          <xm:sqref>E486:E523 H246:H248 E137:E248 E12:E20 E94:E124 E262:E315 E318:E447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59999389629810485"/>
  </sheetPr>
  <dimension ref="A1:N282"/>
  <sheetViews>
    <sheetView workbookViewId="0">
      <selection activeCell="B11" sqref="B11"/>
    </sheetView>
  </sheetViews>
  <sheetFormatPr defaultColWidth="9" defaultRowHeight="14.5"/>
  <cols>
    <col min="1" max="1" width="5.36328125" customWidth="1"/>
    <col min="2" max="3" width="10.90625" bestFit="1" customWidth="1"/>
    <col min="4" max="4" width="9" customWidth="1"/>
    <col min="5" max="5" width="24.81640625" customWidth="1"/>
    <col min="6" max="6" width="10.1796875" customWidth="1"/>
    <col min="7" max="7" width="7" customWidth="1"/>
    <col min="8" max="8" width="33" bestFit="1" customWidth="1"/>
    <col min="9" max="9" width="13.81640625" bestFit="1" customWidth="1"/>
    <col min="10" max="10" width="10.08984375" customWidth="1"/>
    <col min="11" max="11" width="11.1796875" customWidth="1"/>
    <col min="12" max="12" width="10.54296875" customWidth="1"/>
    <col min="13" max="13" width="6.54296875" customWidth="1"/>
    <col min="14" max="14" width="4.81640625" customWidth="1"/>
  </cols>
  <sheetData>
    <row r="1" spans="1:1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16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</row>
    <row r="2" spans="1:14">
      <c r="A2" s="4">
        <v>1</v>
      </c>
      <c r="B2" s="4" t="s">
        <v>17</v>
      </c>
      <c r="C2" s="4" t="s">
        <v>18</v>
      </c>
      <c r="D2" s="4" t="s">
        <v>60</v>
      </c>
      <c r="E2" s="4" t="s">
        <v>20</v>
      </c>
      <c r="F2" s="4"/>
      <c r="G2" s="4" t="s">
        <v>21</v>
      </c>
      <c r="H2" s="4" t="s">
        <v>312</v>
      </c>
      <c r="I2" s="33">
        <v>84483</v>
      </c>
      <c r="J2" s="4" t="s">
        <v>14</v>
      </c>
      <c r="K2" s="4" t="s">
        <v>14</v>
      </c>
      <c r="L2" s="4" t="s">
        <v>14</v>
      </c>
      <c r="M2" s="95" t="s">
        <v>311</v>
      </c>
      <c r="N2">
        <v>2026</v>
      </c>
    </row>
    <row r="3" spans="1:14">
      <c r="A3" s="4">
        <v>2</v>
      </c>
      <c r="B3" s="4" t="s">
        <v>17</v>
      </c>
      <c r="C3" s="4" t="s">
        <v>74</v>
      </c>
      <c r="D3" s="4" t="s">
        <v>60</v>
      </c>
      <c r="E3" s="4" t="s">
        <v>20</v>
      </c>
      <c r="F3" s="4"/>
      <c r="G3" s="4" t="s">
        <v>21</v>
      </c>
      <c r="H3" s="4" t="s">
        <v>312</v>
      </c>
      <c r="I3" s="33">
        <v>18776</v>
      </c>
      <c r="J3" s="4" t="s">
        <v>14</v>
      </c>
      <c r="K3" s="4" t="s">
        <v>14</v>
      </c>
      <c r="L3" s="4" t="s">
        <v>14</v>
      </c>
      <c r="M3" s="95" t="s">
        <v>311</v>
      </c>
      <c r="N3">
        <v>2026</v>
      </c>
    </row>
    <row r="4" spans="1:14">
      <c r="A4" s="4">
        <v>3</v>
      </c>
      <c r="B4" s="4" t="s">
        <v>17</v>
      </c>
      <c r="C4" s="4" t="s">
        <v>22</v>
      </c>
      <c r="D4" s="4" t="s">
        <v>60</v>
      </c>
      <c r="E4" s="4" t="s">
        <v>20</v>
      </c>
      <c r="F4" s="4"/>
      <c r="G4" s="4" t="s">
        <v>21</v>
      </c>
      <c r="H4" s="4" t="s">
        <v>312</v>
      </c>
      <c r="I4" s="33">
        <v>76795</v>
      </c>
      <c r="J4" s="4" t="s">
        <v>14</v>
      </c>
      <c r="K4" s="4" t="s">
        <v>14</v>
      </c>
      <c r="L4" s="4" t="s">
        <v>14</v>
      </c>
      <c r="M4" s="95" t="s">
        <v>311</v>
      </c>
      <c r="N4">
        <v>2026</v>
      </c>
    </row>
    <row r="5" spans="1:14">
      <c r="A5" s="4">
        <v>4</v>
      </c>
      <c r="B5" s="4" t="s">
        <v>17</v>
      </c>
      <c r="C5" s="4" t="s">
        <v>91</v>
      </c>
      <c r="D5" s="4" t="s">
        <v>60</v>
      </c>
      <c r="E5" s="4" t="s">
        <v>20</v>
      </c>
      <c r="F5" s="4"/>
      <c r="G5" s="4" t="s">
        <v>21</v>
      </c>
      <c r="H5" s="4" t="s">
        <v>312</v>
      </c>
      <c r="I5" s="33">
        <v>37774</v>
      </c>
      <c r="J5" s="4" t="s">
        <v>14</v>
      </c>
      <c r="K5" s="4" t="s">
        <v>14</v>
      </c>
      <c r="L5" s="4" t="s">
        <v>14</v>
      </c>
      <c r="M5" s="95" t="s">
        <v>311</v>
      </c>
      <c r="N5">
        <v>2026</v>
      </c>
    </row>
    <row r="6" spans="1:14">
      <c r="A6" s="4">
        <v>5</v>
      </c>
      <c r="B6" s="4" t="s">
        <v>17</v>
      </c>
      <c r="C6" s="4" t="s">
        <v>23</v>
      </c>
      <c r="D6" s="4" t="s">
        <v>60</v>
      </c>
      <c r="E6" s="4" t="s">
        <v>20</v>
      </c>
      <c r="F6" s="4"/>
      <c r="G6" s="4" t="s">
        <v>21</v>
      </c>
      <c r="H6" s="4" t="s">
        <v>312</v>
      </c>
      <c r="I6" s="33">
        <v>13343</v>
      </c>
      <c r="J6" s="4" t="s">
        <v>14</v>
      </c>
      <c r="K6" s="4" t="s">
        <v>14</v>
      </c>
      <c r="L6" s="4" t="s">
        <v>14</v>
      </c>
      <c r="M6" s="95" t="s">
        <v>311</v>
      </c>
      <c r="N6">
        <v>2026</v>
      </c>
    </row>
    <row r="7" spans="1:14">
      <c r="A7" s="4">
        <v>6</v>
      </c>
      <c r="B7" s="4" t="s">
        <v>17</v>
      </c>
      <c r="C7" s="4" t="s">
        <v>24</v>
      </c>
      <c r="D7" s="4" t="s">
        <v>60</v>
      </c>
      <c r="E7" s="4" t="s">
        <v>20</v>
      </c>
      <c r="F7" s="4"/>
      <c r="G7" s="4" t="s">
        <v>21</v>
      </c>
      <c r="H7" s="4" t="s">
        <v>312</v>
      </c>
      <c r="I7" s="33">
        <v>37640</v>
      </c>
      <c r="J7" s="4" t="s">
        <v>14</v>
      </c>
      <c r="K7" s="4" t="s">
        <v>14</v>
      </c>
      <c r="L7" s="4" t="s">
        <v>14</v>
      </c>
      <c r="M7" s="95" t="s">
        <v>311</v>
      </c>
      <c r="N7">
        <v>2026</v>
      </c>
    </row>
    <row r="8" spans="1:14">
      <c r="A8" s="4">
        <v>7</v>
      </c>
      <c r="B8" s="4" t="s">
        <v>17</v>
      </c>
      <c r="C8" s="4" t="s">
        <v>25</v>
      </c>
      <c r="D8" s="4" t="s">
        <v>60</v>
      </c>
      <c r="E8" s="4" t="s">
        <v>20</v>
      </c>
      <c r="F8" s="4"/>
      <c r="G8" s="4" t="s">
        <v>21</v>
      </c>
      <c r="H8" s="4" t="s">
        <v>312</v>
      </c>
      <c r="I8" s="33">
        <v>188075</v>
      </c>
      <c r="J8" s="4" t="s">
        <v>14</v>
      </c>
      <c r="K8" s="4" t="s">
        <v>14</v>
      </c>
      <c r="L8" s="4" t="s">
        <v>14</v>
      </c>
      <c r="M8" s="95" t="s">
        <v>311</v>
      </c>
      <c r="N8">
        <v>2026</v>
      </c>
    </row>
    <row r="9" spans="1:14">
      <c r="A9" s="4">
        <v>8</v>
      </c>
      <c r="B9" s="95" t="s">
        <v>17</v>
      </c>
      <c r="C9" s="4" t="s">
        <v>26</v>
      </c>
      <c r="D9" s="4" t="s">
        <v>60</v>
      </c>
      <c r="E9" s="4" t="s">
        <v>20</v>
      </c>
      <c r="F9" s="4"/>
      <c r="G9" s="4" t="s">
        <v>21</v>
      </c>
      <c r="H9" s="4" t="s">
        <v>312</v>
      </c>
      <c r="I9" s="33">
        <v>19102</v>
      </c>
      <c r="J9" s="4" t="s">
        <v>14</v>
      </c>
      <c r="K9" s="4" t="s">
        <v>14</v>
      </c>
      <c r="L9" s="4" t="s">
        <v>14</v>
      </c>
      <c r="M9" s="95" t="s">
        <v>311</v>
      </c>
      <c r="N9">
        <v>2026</v>
      </c>
    </row>
    <row r="10" spans="1:14">
      <c r="A10" s="4">
        <v>9</v>
      </c>
      <c r="B10" s="92" t="s">
        <v>27</v>
      </c>
      <c r="C10" s="4" t="s">
        <v>28</v>
      </c>
      <c r="D10" s="4" t="s">
        <v>60</v>
      </c>
      <c r="E10" s="81" t="s">
        <v>20</v>
      </c>
      <c r="F10" s="4"/>
      <c r="G10" s="4" t="s">
        <v>21</v>
      </c>
      <c r="H10" s="4" t="s">
        <v>312</v>
      </c>
      <c r="I10" s="33">
        <v>22929</v>
      </c>
      <c r="J10" s="4" t="s">
        <v>14</v>
      </c>
      <c r="K10" s="4" t="s">
        <v>14</v>
      </c>
      <c r="L10" s="4" t="s">
        <v>14</v>
      </c>
      <c r="M10" s="95" t="s">
        <v>311</v>
      </c>
      <c r="N10">
        <v>2026</v>
      </c>
    </row>
    <row r="11" spans="1:14">
      <c r="A11" s="4">
        <v>10</v>
      </c>
      <c r="B11" s="92" t="s">
        <v>54</v>
      </c>
      <c r="C11" s="4" t="s">
        <v>55</v>
      </c>
      <c r="D11" s="4" t="s">
        <v>60</v>
      </c>
      <c r="E11" s="4" t="s">
        <v>20</v>
      </c>
      <c r="F11" s="4"/>
      <c r="G11" s="4" t="s">
        <v>21</v>
      </c>
      <c r="H11" s="4" t="s">
        <v>312</v>
      </c>
      <c r="I11" s="33">
        <v>96219</v>
      </c>
      <c r="J11" s="4" t="s">
        <v>14</v>
      </c>
      <c r="K11" s="4" t="s">
        <v>14</v>
      </c>
      <c r="L11" s="4" t="s">
        <v>14</v>
      </c>
      <c r="M11" s="95" t="s">
        <v>311</v>
      </c>
      <c r="N11">
        <v>2026</v>
      </c>
    </row>
    <row r="12" spans="1:14">
      <c r="A12" s="4">
        <v>11</v>
      </c>
      <c r="B12" s="92" t="s">
        <v>58</v>
      </c>
      <c r="C12" s="4" t="s">
        <v>59</v>
      </c>
      <c r="D12" s="4" t="s">
        <v>60</v>
      </c>
      <c r="E12" s="4" t="s">
        <v>20</v>
      </c>
      <c r="F12" s="4"/>
      <c r="G12" s="4" t="s">
        <v>21</v>
      </c>
      <c r="H12" s="4" t="s">
        <v>312</v>
      </c>
      <c r="I12" s="33">
        <v>140683</v>
      </c>
      <c r="J12" s="4" t="s">
        <v>14</v>
      </c>
      <c r="K12" s="4" t="s">
        <v>14</v>
      </c>
      <c r="L12" s="4" t="s">
        <v>14</v>
      </c>
      <c r="M12" s="95" t="s">
        <v>311</v>
      </c>
      <c r="N12">
        <v>2026</v>
      </c>
    </row>
    <row r="13" spans="1:14">
      <c r="A13" s="4">
        <v>12</v>
      </c>
      <c r="B13" s="4" t="s">
        <v>29</v>
      </c>
      <c r="C13" s="4" t="s">
        <v>30</v>
      </c>
      <c r="D13" s="4" t="s">
        <v>60</v>
      </c>
      <c r="E13" s="4" t="s">
        <v>20</v>
      </c>
      <c r="F13" s="4"/>
      <c r="G13" s="4" t="s">
        <v>21</v>
      </c>
      <c r="H13" s="4" t="s">
        <v>312</v>
      </c>
      <c r="I13" s="33">
        <v>52751</v>
      </c>
      <c r="J13" s="4" t="s">
        <v>14</v>
      </c>
      <c r="K13" s="4" t="s">
        <v>14</v>
      </c>
      <c r="L13" s="4" t="s">
        <v>14</v>
      </c>
      <c r="M13" s="95" t="s">
        <v>311</v>
      </c>
      <c r="N13">
        <v>2026</v>
      </c>
    </row>
    <row r="14" spans="1:14">
      <c r="A14" s="4">
        <v>13</v>
      </c>
      <c r="B14" s="4" t="s">
        <v>94</v>
      </c>
      <c r="C14" s="4" t="s">
        <v>94</v>
      </c>
      <c r="D14" s="4" t="s">
        <v>60</v>
      </c>
      <c r="E14" s="29" t="s">
        <v>20</v>
      </c>
      <c r="F14" s="4"/>
      <c r="G14" s="4" t="s">
        <v>21</v>
      </c>
      <c r="H14" s="4" t="s">
        <v>312</v>
      </c>
      <c r="I14" s="33">
        <v>68892</v>
      </c>
      <c r="J14" s="4" t="s">
        <v>14</v>
      </c>
      <c r="K14" s="4" t="s">
        <v>14</v>
      </c>
      <c r="L14" s="4" t="s">
        <v>14</v>
      </c>
      <c r="M14" s="95" t="s">
        <v>311</v>
      </c>
      <c r="N14">
        <v>2026</v>
      </c>
    </row>
    <row r="15" spans="1:14">
      <c r="A15" s="4">
        <v>14</v>
      </c>
      <c r="B15" s="81" t="s">
        <v>33</v>
      </c>
      <c r="C15" s="4" t="s">
        <v>34</v>
      </c>
      <c r="D15" s="4" t="s">
        <v>60</v>
      </c>
      <c r="E15" s="4" t="s">
        <v>20</v>
      </c>
      <c r="F15" s="4"/>
      <c r="G15" s="4" t="s">
        <v>21</v>
      </c>
      <c r="H15" s="4" t="s">
        <v>312</v>
      </c>
      <c r="I15" s="33">
        <v>67042</v>
      </c>
      <c r="J15" s="4" t="s">
        <v>14</v>
      </c>
      <c r="K15" s="4" t="s">
        <v>14</v>
      </c>
      <c r="L15" s="4" t="s">
        <v>14</v>
      </c>
      <c r="M15" s="95" t="s">
        <v>311</v>
      </c>
      <c r="N15">
        <v>2026</v>
      </c>
    </row>
    <row r="16" spans="1:14">
      <c r="A16" s="4">
        <v>15</v>
      </c>
      <c r="B16" s="4" t="s">
        <v>35</v>
      </c>
      <c r="C16" s="4" t="s">
        <v>270</v>
      </c>
      <c r="D16" s="4" t="s">
        <v>60</v>
      </c>
      <c r="E16" s="4" t="s">
        <v>20</v>
      </c>
      <c r="F16" s="4"/>
      <c r="G16" s="4" t="s">
        <v>21</v>
      </c>
      <c r="H16" s="4" t="s">
        <v>312</v>
      </c>
      <c r="I16" s="33">
        <v>3181</v>
      </c>
      <c r="J16" s="4" t="s">
        <v>14</v>
      </c>
      <c r="K16" s="4" t="s">
        <v>14</v>
      </c>
      <c r="L16" s="4" t="s">
        <v>14</v>
      </c>
      <c r="M16" s="95" t="s">
        <v>311</v>
      </c>
      <c r="N16">
        <v>2026</v>
      </c>
    </row>
    <row r="17" spans="1:14">
      <c r="A17" s="4">
        <v>16</v>
      </c>
      <c r="B17" s="4" t="s">
        <v>35</v>
      </c>
      <c r="C17" s="4" t="s">
        <v>36</v>
      </c>
      <c r="D17" s="4" t="s">
        <v>60</v>
      </c>
      <c r="E17" s="4" t="s">
        <v>20</v>
      </c>
      <c r="F17" s="4"/>
      <c r="G17" s="4" t="s">
        <v>21</v>
      </c>
      <c r="H17" s="4" t="s">
        <v>312</v>
      </c>
      <c r="I17" s="33">
        <v>36529</v>
      </c>
      <c r="J17" s="4" t="s">
        <v>14</v>
      </c>
      <c r="K17" s="4" t="s">
        <v>14</v>
      </c>
      <c r="L17" s="4" t="s">
        <v>14</v>
      </c>
      <c r="M17" s="95" t="s">
        <v>311</v>
      </c>
      <c r="N17">
        <v>2026</v>
      </c>
    </row>
    <row r="18" spans="1:14">
      <c r="A18" s="4">
        <v>17</v>
      </c>
      <c r="B18" s="4" t="s">
        <v>35</v>
      </c>
      <c r="C18" s="4" t="s">
        <v>37</v>
      </c>
      <c r="D18" s="4" t="s">
        <v>60</v>
      </c>
      <c r="E18" s="4" t="s">
        <v>20</v>
      </c>
      <c r="F18" s="4"/>
      <c r="G18" s="4" t="s">
        <v>21</v>
      </c>
      <c r="H18" s="4" t="s">
        <v>312</v>
      </c>
      <c r="I18" s="33">
        <v>95429</v>
      </c>
      <c r="J18" s="4" t="s">
        <v>14</v>
      </c>
      <c r="K18" s="4" t="s">
        <v>14</v>
      </c>
      <c r="L18" s="4" t="s">
        <v>14</v>
      </c>
      <c r="M18" s="95" t="s">
        <v>311</v>
      </c>
      <c r="N18">
        <v>2026</v>
      </c>
    </row>
    <row r="19" spans="1:14">
      <c r="A19" s="4">
        <v>18</v>
      </c>
      <c r="B19" s="4" t="s">
        <v>35</v>
      </c>
      <c r="C19" s="4" t="s">
        <v>39</v>
      </c>
      <c r="D19" s="4" t="s">
        <v>60</v>
      </c>
      <c r="E19" s="4" t="s">
        <v>20</v>
      </c>
      <c r="F19" s="4"/>
      <c r="G19" s="4" t="s">
        <v>21</v>
      </c>
      <c r="H19" s="4" t="s">
        <v>312</v>
      </c>
      <c r="I19" s="33">
        <v>3155</v>
      </c>
      <c r="J19" s="4" t="s">
        <v>14</v>
      </c>
      <c r="K19" s="4" t="s">
        <v>14</v>
      </c>
      <c r="L19" s="4" t="s">
        <v>14</v>
      </c>
      <c r="M19" s="95" t="s">
        <v>311</v>
      </c>
      <c r="N19">
        <v>2026</v>
      </c>
    </row>
    <row r="20" spans="1:14">
      <c r="A20" s="4">
        <v>19</v>
      </c>
      <c r="B20" s="4" t="s">
        <v>35</v>
      </c>
      <c r="C20" s="4" t="s">
        <v>41</v>
      </c>
      <c r="D20" s="4" t="s">
        <v>60</v>
      </c>
      <c r="E20" s="4" t="s">
        <v>20</v>
      </c>
      <c r="F20" s="4"/>
      <c r="G20" s="4" t="s">
        <v>21</v>
      </c>
      <c r="H20" s="4" t="s">
        <v>312</v>
      </c>
      <c r="I20" s="33">
        <v>8074</v>
      </c>
      <c r="J20" s="4" t="s">
        <v>14</v>
      </c>
      <c r="K20" s="4" t="s">
        <v>14</v>
      </c>
      <c r="L20" s="4" t="s">
        <v>14</v>
      </c>
      <c r="M20" s="95" t="s">
        <v>311</v>
      </c>
      <c r="N20">
        <v>2026</v>
      </c>
    </row>
    <row r="21" spans="1:14">
      <c r="A21" s="4">
        <v>20</v>
      </c>
      <c r="B21" s="4" t="s">
        <v>42</v>
      </c>
      <c r="C21" s="4" t="s">
        <v>43</v>
      </c>
      <c r="D21" s="4" t="s">
        <v>60</v>
      </c>
      <c r="E21" s="4" t="s">
        <v>20</v>
      </c>
      <c r="F21" s="4"/>
      <c r="G21" s="4" t="s">
        <v>21</v>
      </c>
      <c r="H21" s="4" t="s">
        <v>312</v>
      </c>
      <c r="I21" s="33">
        <v>78499</v>
      </c>
      <c r="J21" s="4" t="s">
        <v>14</v>
      </c>
      <c r="K21" s="4" t="s">
        <v>14</v>
      </c>
      <c r="L21" s="4" t="s">
        <v>14</v>
      </c>
      <c r="M21" s="95" t="s">
        <v>311</v>
      </c>
      <c r="N21">
        <v>2026</v>
      </c>
    </row>
    <row r="22" spans="1:14">
      <c r="A22" s="4">
        <v>21</v>
      </c>
      <c r="B22" s="4" t="s">
        <v>42</v>
      </c>
      <c r="C22" s="4" t="s">
        <v>44</v>
      </c>
      <c r="D22" s="4" t="s">
        <v>60</v>
      </c>
      <c r="E22" s="4" t="s">
        <v>20</v>
      </c>
      <c r="F22" s="4"/>
      <c r="G22" s="4" t="s">
        <v>21</v>
      </c>
      <c r="H22" s="4" t="s">
        <v>312</v>
      </c>
      <c r="I22" s="33">
        <v>31096</v>
      </c>
      <c r="J22" s="4" t="s">
        <v>14</v>
      </c>
      <c r="K22" s="4" t="s">
        <v>14</v>
      </c>
      <c r="L22" s="4" t="s">
        <v>14</v>
      </c>
      <c r="M22" s="95" t="s">
        <v>311</v>
      </c>
      <c r="N22">
        <v>2026</v>
      </c>
    </row>
    <row r="23" spans="1:14">
      <c r="A23" s="4">
        <v>22</v>
      </c>
      <c r="B23" s="4" t="s">
        <v>42</v>
      </c>
      <c r="C23" s="4" t="s">
        <v>45</v>
      </c>
      <c r="D23" s="4" t="s">
        <v>60</v>
      </c>
      <c r="E23" s="4" t="s">
        <v>20</v>
      </c>
      <c r="F23" s="4"/>
      <c r="G23" s="4" t="s">
        <v>21</v>
      </c>
      <c r="H23" s="4" t="s">
        <v>312</v>
      </c>
      <c r="I23" s="33">
        <v>80779</v>
      </c>
      <c r="J23" s="4" t="s">
        <v>14</v>
      </c>
      <c r="K23" s="4" t="s">
        <v>14</v>
      </c>
      <c r="L23" s="4" t="s">
        <v>14</v>
      </c>
      <c r="M23" s="95" t="s">
        <v>311</v>
      </c>
      <c r="N23">
        <v>2026</v>
      </c>
    </row>
    <row r="24" spans="1:14">
      <c r="A24" s="4">
        <v>23</v>
      </c>
      <c r="B24" s="4" t="s">
        <v>42</v>
      </c>
      <c r="C24" s="4" t="s">
        <v>46</v>
      </c>
      <c r="D24" s="4" t="s">
        <v>60</v>
      </c>
      <c r="E24" s="4" t="s">
        <v>20</v>
      </c>
      <c r="F24" s="4"/>
      <c r="G24" s="4" t="s">
        <v>21</v>
      </c>
      <c r="H24" s="4" t="s">
        <v>312</v>
      </c>
      <c r="I24" s="33">
        <v>33801</v>
      </c>
      <c r="J24" s="4" t="s">
        <v>14</v>
      </c>
      <c r="K24" s="4" t="s">
        <v>14</v>
      </c>
      <c r="L24" s="4" t="s">
        <v>14</v>
      </c>
      <c r="M24" s="95" t="s">
        <v>311</v>
      </c>
      <c r="N24">
        <v>2026</v>
      </c>
    </row>
    <row r="25" spans="1:14">
      <c r="A25" s="4">
        <v>24</v>
      </c>
      <c r="B25" s="4" t="s">
        <v>42</v>
      </c>
      <c r="C25" s="4" t="s">
        <v>47</v>
      </c>
      <c r="D25" s="4" t="s">
        <v>60</v>
      </c>
      <c r="E25" s="4" t="s">
        <v>20</v>
      </c>
      <c r="F25" s="4"/>
      <c r="G25" s="4" t="s">
        <v>21</v>
      </c>
      <c r="H25" s="4" t="s">
        <v>312</v>
      </c>
      <c r="I25" s="33">
        <v>50169</v>
      </c>
      <c r="J25" s="4" t="s">
        <v>14</v>
      </c>
      <c r="K25" s="4" t="s">
        <v>14</v>
      </c>
      <c r="L25" s="4" t="s">
        <v>14</v>
      </c>
      <c r="M25" s="95" t="s">
        <v>311</v>
      </c>
      <c r="N25">
        <v>2026</v>
      </c>
    </row>
    <row r="26" spans="1:14">
      <c r="A26" s="4">
        <v>25</v>
      </c>
      <c r="B26" s="4" t="s">
        <v>42</v>
      </c>
      <c r="C26" t="s">
        <v>48</v>
      </c>
      <c r="D26" s="4" t="s">
        <v>60</v>
      </c>
      <c r="E26" s="4" t="s">
        <v>20</v>
      </c>
      <c r="F26" s="4"/>
      <c r="G26" s="4" t="s">
        <v>21</v>
      </c>
      <c r="H26" s="4" t="s">
        <v>312</v>
      </c>
      <c r="I26" s="30">
        <v>26109</v>
      </c>
      <c r="J26" s="4" t="s">
        <v>14</v>
      </c>
      <c r="K26" s="4" t="s">
        <v>14</v>
      </c>
      <c r="L26" s="4" t="s">
        <v>14</v>
      </c>
      <c r="M26" s="95" t="s">
        <v>311</v>
      </c>
      <c r="N26">
        <v>2026</v>
      </c>
    </row>
    <row r="27" spans="1:14">
      <c r="A27" s="4">
        <v>26</v>
      </c>
      <c r="B27" s="4" t="s">
        <v>42</v>
      </c>
      <c r="C27" t="s">
        <v>49</v>
      </c>
      <c r="D27" s="4" t="s">
        <v>60</v>
      </c>
      <c r="E27" s="4" t="s">
        <v>20</v>
      </c>
      <c r="F27" s="4"/>
      <c r="G27" s="4" t="s">
        <v>21</v>
      </c>
      <c r="H27" s="4" t="s">
        <v>312</v>
      </c>
      <c r="I27" s="30">
        <v>30976</v>
      </c>
      <c r="J27" s="4" t="s">
        <v>14</v>
      </c>
      <c r="K27" s="4" t="s">
        <v>14</v>
      </c>
      <c r="L27" s="4" t="s">
        <v>14</v>
      </c>
      <c r="M27" s="95" t="s">
        <v>311</v>
      </c>
      <c r="N27">
        <v>2026</v>
      </c>
    </row>
    <row r="28" spans="1:14">
      <c r="A28" s="4">
        <v>27</v>
      </c>
      <c r="B28" s="4" t="s">
        <v>42</v>
      </c>
      <c r="C28" t="s">
        <v>50</v>
      </c>
      <c r="D28" s="4" t="s">
        <v>60</v>
      </c>
      <c r="E28" s="4" t="s">
        <v>20</v>
      </c>
      <c r="F28" s="4"/>
      <c r="G28" s="4" t="s">
        <v>21</v>
      </c>
      <c r="H28" s="4" t="s">
        <v>312</v>
      </c>
      <c r="I28" s="30">
        <v>267776</v>
      </c>
      <c r="J28" s="4" t="s">
        <v>14</v>
      </c>
      <c r="K28" s="4" t="s">
        <v>14</v>
      </c>
      <c r="L28" s="4" t="s">
        <v>14</v>
      </c>
      <c r="M28" s="95" t="s">
        <v>311</v>
      </c>
      <c r="N28">
        <v>2026</v>
      </c>
    </row>
    <row r="29" spans="1:14">
      <c r="A29" s="4">
        <v>28</v>
      </c>
      <c r="B29" s="4" t="s">
        <v>42</v>
      </c>
      <c r="C29" t="s">
        <v>51</v>
      </c>
      <c r="D29" s="4" t="s">
        <v>60</v>
      </c>
      <c r="E29" s="4" t="s">
        <v>20</v>
      </c>
      <c r="F29" s="4"/>
      <c r="G29" s="4" t="s">
        <v>21</v>
      </c>
      <c r="H29" s="4" t="s">
        <v>312</v>
      </c>
      <c r="I29" s="30">
        <v>29842</v>
      </c>
      <c r="J29" s="4" t="s">
        <v>14</v>
      </c>
      <c r="K29" s="4" t="s">
        <v>14</v>
      </c>
      <c r="L29" s="4" t="s">
        <v>14</v>
      </c>
      <c r="M29" s="95" t="s">
        <v>311</v>
      </c>
      <c r="N29">
        <v>2026</v>
      </c>
    </row>
    <row r="30" spans="1:14">
      <c r="A30" s="4">
        <v>29</v>
      </c>
      <c r="B30" s="4" t="s">
        <v>42</v>
      </c>
      <c r="C30" t="s">
        <v>76</v>
      </c>
      <c r="D30" s="4" t="s">
        <v>60</v>
      </c>
      <c r="E30" s="4" t="s">
        <v>20</v>
      </c>
      <c r="F30" s="4"/>
      <c r="G30" s="4" t="s">
        <v>21</v>
      </c>
      <c r="H30" s="4" t="s">
        <v>312</v>
      </c>
      <c r="I30" s="30">
        <v>998</v>
      </c>
      <c r="J30" s="4" t="s">
        <v>14</v>
      </c>
      <c r="K30" s="4" t="s">
        <v>14</v>
      </c>
      <c r="L30" s="4" t="s">
        <v>14</v>
      </c>
      <c r="M30" s="95" t="s">
        <v>311</v>
      </c>
      <c r="N30">
        <v>2026</v>
      </c>
    </row>
    <row r="31" spans="1:14">
      <c r="A31" s="4">
        <v>30</v>
      </c>
      <c r="B31" s="4" t="s">
        <v>52</v>
      </c>
      <c r="C31" t="s">
        <v>53</v>
      </c>
      <c r="D31" s="4" t="s">
        <v>60</v>
      </c>
      <c r="E31" s="4" t="s">
        <v>20</v>
      </c>
      <c r="F31" s="4"/>
      <c r="G31" s="4" t="s">
        <v>21</v>
      </c>
      <c r="H31" s="4" t="s">
        <v>312</v>
      </c>
      <c r="I31" s="42">
        <v>357938</v>
      </c>
      <c r="J31" s="4" t="s">
        <v>14</v>
      </c>
      <c r="K31" s="4" t="s">
        <v>14</v>
      </c>
      <c r="L31" s="4" t="s">
        <v>14</v>
      </c>
      <c r="M31" s="95" t="s">
        <v>311</v>
      </c>
      <c r="N31">
        <v>2026</v>
      </c>
    </row>
    <row r="32" spans="1:14">
      <c r="A32" s="4">
        <v>31</v>
      </c>
      <c r="B32" s="29" t="s">
        <v>58</v>
      </c>
      <c r="C32" s="4" t="s">
        <v>59</v>
      </c>
      <c r="D32" s="4" t="s">
        <v>60</v>
      </c>
      <c r="E32" s="4" t="s">
        <v>20</v>
      </c>
      <c r="F32" s="4"/>
      <c r="G32" s="4" t="s">
        <v>21</v>
      </c>
      <c r="H32" s="67" t="s">
        <v>313</v>
      </c>
      <c r="I32" s="42">
        <v>9500</v>
      </c>
      <c r="J32" s="4" t="s">
        <v>14</v>
      </c>
      <c r="K32" s="4" t="s">
        <v>14</v>
      </c>
      <c r="L32" s="4" t="s">
        <v>14</v>
      </c>
      <c r="M32" s="95" t="s">
        <v>311</v>
      </c>
      <c r="N32">
        <v>2026</v>
      </c>
    </row>
    <row r="33" spans="1:14">
      <c r="A33" s="4">
        <v>32</v>
      </c>
      <c r="B33" s="38" t="s">
        <v>262</v>
      </c>
      <c r="C33" s="4" t="s">
        <v>55</v>
      </c>
      <c r="D33" s="4" t="s">
        <v>19</v>
      </c>
      <c r="E33" s="4" t="s">
        <v>20</v>
      </c>
      <c r="F33" s="4"/>
      <c r="G33" s="37" t="s">
        <v>21</v>
      </c>
      <c r="H33" s="37" t="s">
        <v>314</v>
      </c>
      <c r="I33" s="42">
        <v>30000</v>
      </c>
      <c r="J33" s="4" t="s">
        <v>14</v>
      </c>
      <c r="K33" s="4" t="s">
        <v>14</v>
      </c>
      <c r="L33" s="4" t="s">
        <v>14</v>
      </c>
      <c r="M33" s="95" t="s">
        <v>311</v>
      </c>
      <c r="N33">
        <v>2026</v>
      </c>
    </row>
    <row r="34" spans="1:14">
      <c r="A34" s="4">
        <v>33</v>
      </c>
      <c r="B34" s="95" t="s">
        <v>58</v>
      </c>
      <c r="C34" s="95" t="s">
        <v>59</v>
      </c>
      <c r="D34" s="4" t="s">
        <v>60</v>
      </c>
      <c r="E34" s="4" t="s">
        <v>20</v>
      </c>
      <c r="G34" s="37" t="s">
        <v>21</v>
      </c>
      <c r="H34" t="s">
        <v>390</v>
      </c>
      <c r="I34" s="42">
        <f>26200000/1480</f>
        <v>17702.702702702703</v>
      </c>
      <c r="J34" s="4" t="s">
        <v>14</v>
      </c>
      <c r="K34" s="4" t="s">
        <v>14</v>
      </c>
      <c r="L34" s="4" t="s">
        <v>14</v>
      </c>
      <c r="M34" s="95" t="s">
        <v>311</v>
      </c>
      <c r="N34">
        <v>2026</v>
      </c>
    </row>
    <row r="35" spans="1:14">
      <c r="A35" s="4">
        <v>34</v>
      </c>
      <c r="B35" s="95" t="s">
        <v>403</v>
      </c>
      <c r="C35" s="95" t="s">
        <v>403</v>
      </c>
      <c r="D35" s="4" t="s">
        <v>60</v>
      </c>
      <c r="E35" s="4" t="s">
        <v>20</v>
      </c>
      <c r="G35" s="37" t="s">
        <v>21</v>
      </c>
      <c r="H35" s="95" t="s">
        <v>402</v>
      </c>
      <c r="I35" s="42">
        <v>83000</v>
      </c>
      <c r="J35" s="4" t="s">
        <v>14</v>
      </c>
      <c r="K35" s="4" t="s">
        <v>14</v>
      </c>
      <c r="L35" s="4" t="s">
        <v>14</v>
      </c>
      <c r="M35" s="95" t="s">
        <v>311</v>
      </c>
      <c r="N35">
        <v>2026</v>
      </c>
    </row>
    <row r="36" spans="1:14">
      <c r="A36" s="4"/>
      <c r="B36" s="4"/>
      <c r="C36" s="4"/>
      <c r="D36" s="4"/>
      <c r="E36" s="4"/>
      <c r="F36" s="4"/>
      <c r="G36" s="4"/>
      <c r="H36" s="4"/>
      <c r="I36" s="26"/>
      <c r="J36" s="4"/>
      <c r="K36" s="4"/>
      <c r="L36" s="4"/>
      <c r="M36" s="4"/>
      <c r="N36" s="4"/>
    </row>
    <row r="37" spans="1:14">
      <c r="A37" s="4"/>
      <c r="B37" s="4"/>
      <c r="C37" s="4"/>
      <c r="D37" s="4"/>
      <c r="E37" s="4"/>
      <c r="F37" s="4"/>
      <c r="G37" s="4"/>
      <c r="H37" s="4"/>
      <c r="I37" s="26"/>
      <c r="J37" s="4"/>
      <c r="K37" s="4"/>
      <c r="L37" s="4"/>
      <c r="M37" s="4"/>
      <c r="N37" s="4"/>
    </row>
    <row r="38" spans="1:14">
      <c r="A38" s="4"/>
      <c r="B38" s="4"/>
      <c r="C38" s="4"/>
      <c r="D38" s="4"/>
      <c r="E38" s="4"/>
      <c r="F38" s="4"/>
      <c r="G38" s="4"/>
      <c r="H38" s="4"/>
      <c r="I38" s="26"/>
      <c r="J38" s="4"/>
      <c r="K38" s="4"/>
      <c r="L38" s="4"/>
      <c r="M38" s="4"/>
      <c r="N38" s="4"/>
    </row>
    <row r="39" spans="1:14">
      <c r="A39" s="4"/>
      <c r="B39" s="4"/>
      <c r="C39" s="4"/>
      <c r="D39" s="4"/>
      <c r="E39" s="4"/>
      <c r="F39" s="4"/>
      <c r="G39" s="4"/>
      <c r="H39" s="4"/>
      <c r="I39" s="26"/>
      <c r="J39" s="4"/>
      <c r="K39" s="4"/>
      <c r="L39" s="4"/>
      <c r="M39" s="4"/>
      <c r="N39" s="4"/>
    </row>
    <row r="40" spans="1:14">
      <c r="A40" s="4"/>
      <c r="B40" s="4"/>
      <c r="C40" s="4"/>
      <c r="D40" s="4"/>
      <c r="E40" s="4"/>
      <c r="F40" s="4"/>
      <c r="G40" s="4"/>
      <c r="H40" s="4"/>
      <c r="I40" s="26"/>
      <c r="J40" s="4"/>
      <c r="K40" s="4"/>
      <c r="L40" s="4"/>
      <c r="M40" s="4"/>
      <c r="N40" s="4"/>
    </row>
    <row r="41" spans="1:14">
      <c r="A41" s="4"/>
      <c r="B41" s="4"/>
      <c r="C41" s="4"/>
      <c r="D41" s="4"/>
      <c r="E41" s="4"/>
      <c r="F41" s="4"/>
      <c r="G41" s="4"/>
      <c r="H41" s="4"/>
      <c r="I41" s="26"/>
      <c r="J41" s="4"/>
      <c r="K41" s="4"/>
      <c r="L41" s="4"/>
      <c r="M41" s="4"/>
      <c r="N41" s="4"/>
    </row>
    <row r="42" spans="1:14">
      <c r="A42" s="4"/>
      <c r="B42" s="4"/>
      <c r="C42" s="4"/>
      <c r="D42" s="4"/>
      <c r="E42" s="4"/>
      <c r="F42" s="4"/>
      <c r="G42" s="4"/>
      <c r="H42" s="4"/>
      <c r="I42" s="26"/>
      <c r="J42" s="4"/>
      <c r="K42" s="4"/>
      <c r="L42" s="4"/>
      <c r="M42" s="4"/>
      <c r="N42" s="4"/>
    </row>
    <row r="43" spans="1:14">
      <c r="A43" s="4"/>
      <c r="B43" s="4"/>
      <c r="C43" s="4"/>
      <c r="D43" s="4"/>
      <c r="E43" s="4"/>
      <c r="F43" s="4"/>
      <c r="G43" s="4"/>
      <c r="H43" s="4"/>
      <c r="I43" s="26"/>
      <c r="J43" s="4"/>
      <c r="K43" s="4"/>
      <c r="L43" s="4"/>
      <c r="M43" s="4"/>
      <c r="N43" s="4"/>
    </row>
    <row r="44" spans="1:14">
      <c r="A44" s="4"/>
      <c r="B44" s="4"/>
      <c r="C44" s="4"/>
      <c r="D44" s="4"/>
      <c r="E44" s="4"/>
      <c r="F44" s="4"/>
      <c r="G44" s="4"/>
      <c r="H44" s="4"/>
      <c r="I44" s="26"/>
      <c r="J44" s="4"/>
      <c r="K44" s="4"/>
      <c r="L44" s="4"/>
      <c r="M44" s="4"/>
      <c r="N44" s="4"/>
    </row>
    <row r="45" spans="1:14">
      <c r="A45" s="4"/>
      <c r="B45" s="4"/>
      <c r="C45" s="4"/>
      <c r="D45" s="4"/>
      <c r="E45" s="4"/>
      <c r="F45" s="4"/>
      <c r="G45" s="4"/>
      <c r="H45" s="4"/>
      <c r="I45" s="26"/>
      <c r="J45" s="4"/>
      <c r="K45" s="4"/>
      <c r="L45" s="4"/>
      <c r="M45" s="4"/>
      <c r="N45" s="4"/>
    </row>
    <row r="46" spans="1:14">
      <c r="A46" s="4"/>
      <c r="B46" s="4"/>
      <c r="C46" s="4"/>
      <c r="D46" s="4"/>
      <c r="E46" s="4"/>
      <c r="F46" s="4"/>
      <c r="G46" s="4"/>
      <c r="H46" s="4"/>
      <c r="I46" s="26"/>
      <c r="J46" s="4"/>
      <c r="K46" s="4"/>
      <c r="L46" s="4"/>
      <c r="M46" s="4"/>
      <c r="N46" s="4"/>
    </row>
    <row r="47" spans="1:14">
      <c r="A47" s="4"/>
      <c r="B47" s="4"/>
      <c r="C47" s="4"/>
      <c r="D47" s="4"/>
      <c r="E47" s="4"/>
      <c r="F47" s="4"/>
      <c r="G47" s="4"/>
      <c r="H47" s="4"/>
      <c r="I47" s="26"/>
      <c r="J47" s="4"/>
      <c r="K47" s="4"/>
      <c r="L47" s="4"/>
      <c r="M47" s="4"/>
      <c r="N47" s="4"/>
    </row>
    <row r="48" spans="1:14">
      <c r="A48" s="4"/>
      <c r="B48" s="4"/>
      <c r="C48" s="4"/>
      <c r="D48" s="4"/>
      <c r="E48" s="4"/>
      <c r="F48" s="4"/>
      <c r="G48" s="4"/>
      <c r="H48" s="4"/>
      <c r="I48" s="26"/>
      <c r="J48" s="4"/>
      <c r="K48" s="4"/>
      <c r="L48" s="4"/>
      <c r="M48" s="4"/>
      <c r="N48" s="4"/>
    </row>
    <row r="49" spans="1:14">
      <c r="A49" s="4"/>
      <c r="B49" s="4"/>
      <c r="C49" s="4"/>
      <c r="D49" s="4"/>
      <c r="E49" s="4"/>
      <c r="F49" s="4"/>
      <c r="G49" s="4"/>
      <c r="H49" s="4"/>
      <c r="I49" s="26"/>
      <c r="J49" s="4"/>
      <c r="K49" s="4"/>
      <c r="L49" s="4"/>
      <c r="M49" s="4"/>
      <c r="N49" s="4"/>
    </row>
    <row r="50" spans="1:14">
      <c r="A50" s="4"/>
      <c r="B50" s="4"/>
      <c r="C50" s="4"/>
      <c r="D50" s="4"/>
      <c r="E50" s="4"/>
      <c r="F50" s="4"/>
      <c r="G50" s="4"/>
      <c r="H50" s="4"/>
      <c r="I50" s="26"/>
      <c r="J50" s="4"/>
      <c r="K50" s="4"/>
      <c r="L50" s="4"/>
      <c r="M50" s="4"/>
      <c r="N50" s="4"/>
    </row>
    <row r="51" spans="1:14">
      <c r="A51" s="4"/>
      <c r="B51" s="4"/>
      <c r="C51" s="4"/>
      <c r="D51" s="4"/>
      <c r="E51" s="4"/>
      <c r="F51" s="4"/>
      <c r="G51" s="4"/>
      <c r="H51" s="4"/>
      <c r="I51" s="26"/>
      <c r="J51" s="4"/>
      <c r="K51" s="4"/>
      <c r="L51" s="4"/>
      <c r="M51" s="4"/>
      <c r="N51" s="4"/>
    </row>
    <row r="52" spans="1:14">
      <c r="A52" s="4"/>
      <c r="B52" s="4"/>
      <c r="C52" s="4"/>
      <c r="D52" s="4"/>
      <c r="E52" s="4"/>
      <c r="F52" s="4"/>
      <c r="G52" s="4"/>
      <c r="H52" s="4"/>
      <c r="I52" s="26"/>
      <c r="J52" s="4"/>
      <c r="K52" s="4"/>
      <c r="L52" s="4"/>
      <c r="M52" s="4"/>
      <c r="N52" s="4"/>
    </row>
    <row r="53" spans="1:14">
      <c r="A53" s="4"/>
      <c r="B53" s="4"/>
      <c r="C53" s="4"/>
      <c r="D53" s="4"/>
      <c r="E53" s="4"/>
      <c r="F53" s="4"/>
      <c r="G53" s="4"/>
      <c r="H53" s="4"/>
      <c r="I53" s="26"/>
      <c r="J53" s="4"/>
      <c r="K53" s="4"/>
      <c r="L53" s="4"/>
      <c r="M53" s="4"/>
      <c r="N53" s="4"/>
    </row>
    <row r="54" spans="1:14">
      <c r="A54" s="4"/>
      <c r="B54" s="4"/>
      <c r="C54" s="4"/>
      <c r="D54" s="4"/>
      <c r="E54" s="4"/>
      <c r="F54" s="4"/>
      <c r="G54" s="4"/>
      <c r="H54" s="4"/>
      <c r="I54" s="26"/>
      <c r="J54" s="4"/>
      <c r="K54" s="4"/>
      <c r="L54" s="4"/>
      <c r="M54" s="4"/>
      <c r="N54" s="4"/>
    </row>
    <row r="55" spans="1:14">
      <c r="A55" s="4"/>
      <c r="B55" s="4"/>
      <c r="C55" s="4"/>
      <c r="D55" s="4"/>
      <c r="E55" s="4"/>
      <c r="F55" s="4"/>
      <c r="G55" s="4"/>
      <c r="H55" s="4"/>
      <c r="I55" s="26"/>
      <c r="J55" s="4"/>
      <c r="K55" s="4"/>
      <c r="L55" s="4"/>
      <c r="M55" s="4"/>
      <c r="N55" s="4"/>
    </row>
    <row r="56" spans="1:14">
      <c r="A56" s="4"/>
      <c r="B56" s="4"/>
      <c r="C56" s="4"/>
      <c r="D56" s="4"/>
      <c r="E56" s="4"/>
      <c r="F56" s="4"/>
      <c r="G56" s="4"/>
      <c r="H56" s="4"/>
      <c r="I56" s="26"/>
      <c r="J56" s="4"/>
      <c r="K56" s="4"/>
      <c r="L56" s="4"/>
      <c r="M56" s="4"/>
      <c r="N56" s="4"/>
    </row>
    <row r="57" spans="1:14">
      <c r="A57" s="4"/>
      <c r="B57" s="4"/>
      <c r="C57" s="4"/>
      <c r="D57" s="4"/>
      <c r="E57" s="4"/>
      <c r="F57" s="4"/>
      <c r="G57" s="4"/>
      <c r="H57" s="4"/>
      <c r="I57" s="26"/>
      <c r="J57" s="4"/>
      <c r="K57" s="4"/>
      <c r="L57" s="4"/>
      <c r="M57" s="4"/>
      <c r="N57" s="4"/>
    </row>
    <row r="58" spans="1:14">
      <c r="A58" s="4"/>
      <c r="B58" s="4"/>
      <c r="C58" s="4"/>
      <c r="D58" s="4"/>
      <c r="E58" s="4"/>
      <c r="F58" s="4"/>
      <c r="G58" s="4"/>
      <c r="H58" s="4"/>
      <c r="I58" s="26"/>
      <c r="J58" s="4"/>
      <c r="K58" s="4"/>
      <c r="L58" s="4"/>
      <c r="M58" s="4"/>
      <c r="N58" s="4"/>
    </row>
    <row r="59" spans="1:14">
      <c r="A59" s="4"/>
      <c r="B59" s="4"/>
      <c r="C59" s="4"/>
      <c r="D59" s="4"/>
      <c r="E59" s="4"/>
      <c r="F59" s="4"/>
      <c r="G59" s="4"/>
      <c r="H59" s="4"/>
      <c r="I59" s="26"/>
      <c r="J59" s="4"/>
      <c r="K59" s="4"/>
      <c r="L59" s="4"/>
      <c r="M59" s="4"/>
      <c r="N59" s="4"/>
    </row>
    <row r="60" spans="1:14">
      <c r="A60" s="4"/>
      <c r="B60" s="4"/>
      <c r="C60" s="4"/>
      <c r="D60" s="4"/>
      <c r="E60" s="4"/>
      <c r="F60" s="4"/>
      <c r="G60" s="4"/>
      <c r="H60" s="4"/>
      <c r="I60" s="26"/>
      <c r="J60" s="4"/>
      <c r="K60" s="4"/>
      <c r="L60" s="4"/>
      <c r="M60" s="4"/>
      <c r="N60" s="4"/>
    </row>
    <row r="61" spans="1:14">
      <c r="A61" s="4"/>
      <c r="B61" s="4"/>
      <c r="C61" s="4"/>
      <c r="D61" s="4"/>
      <c r="E61" s="4"/>
      <c r="F61" s="4"/>
      <c r="G61" s="4"/>
      <c r="H61" s="4"/>
      <c r="I61" s="26"/>
      <c r="J61" s="4"/>
      <c r="K61" s="4"/>
      <c r="L61" s="4"/>
      <c r="M61" s="4"/>
      <c r="N61" s="4"/>
    </row>
    <row r="62" spans="1:14">
      <c r="A62" s="4"/>
      <c r="B62" s="4"/>
      <c r="C62" s="4"/>
      <c r="D62" s="4"/>
      <c r="E62" s="4"/>
      <c r="F62" s="4"/>
      <c r="G62" s="4"/>
      <c r="H62" s="4"/>
      <c r="I62" s="26"/>
      <c r="J62" s="4"/>
      <c r="K62" s="4"/>
      <c r="L62" s="4"/>
      <c r="M62" s="4"/>
      <c r="N62" s="4"/>
    </row>
    <row r="63" spans="1:14">
      <c r="A63" s="4"/>
      <c r="B63" s="4"/>
      <c r="C63" s="4"/>
      <c r="D63" s="4"/>
      <c r="E63" s="4"/>
      <c r="F63" s="4"/>
      <c r="G63" s="4"/>
      <c r="H63" s="4"/>
      <c r="I63" s="26"/>
      <c r="J63" s="4"/>
      <c r="K63" s="4"/>
      <c r="L63" s="4"/>
      <c r="M63" s="4"/>
      <c r="N63" s="4"/>
    </row>
    <row r="64" spans="1:14">
      <c r="A64" s="4"/>
      <c r="B64" s="4"/>
      <c r="C64" s="4"/>
      <c r="D64" s="4"/>
      <c r="E64" s="4"/>
      <c r="F64" s="4"/>
      <c r="G64" s="4"/>
      <c r="H64" s="4"/>
      <c r="I64" s="26"/>
      <c r="J64" s="4"/>
      <c r="K64" s="4"/>
      <c r="L64" s="4"/>
      <c r="M64" s="4"/>
      <c r="N64" s="4"/>
    </row>
    <row r="65" spans="1:14">
      <c r="A65" s="4"/>
      <c r="B65" s="4"/>
      <c r="C65" s="4"/>
      <c r="D65" s="4"/>
      <c r="E65" s="4"/>
      <c r="F65" s="4"/>
      <c r="G65" s="4"/>
      <c r="H65" s="4"/>
      <c r="I65" s="26"/>
      <c r="J65" s="4"/>
      <c r="K65" s="4"/>
      <c r="L65" s="4"/>
      <c r="M65" s="4"/>
      <c r="N65" s="4"/>
    </row>
    <row r="66" spans="1:14">
      <c r="A66" s="4"/>
      <c r="B66" s="4"/>
      <c r="C66" s="4"/>
      <c r="D66" s="4"/>
      <c r="E66" s="4"/>
      <c r="F66" s="4"/>
      <c r="G66" s="4"/>
      <c r="H66" s="4"/>
      <c r="I66" s="26"/>
      <c r="J66" s="4"/>
      <c r="K66" s="4"/>
      <c r="L66" s="4"/>
      <c r="M66" s="4"/>
      <c r="N66" s="4"/>
    </row>
    <row r="67" spans="1:14">
      <c r="A67" s="4"/>
      <c r="B67" s="4"/>
      <c r="C67" s="4"/>
      <c r="D67" s="4"/>
      <c r="E67" s="4"/>
      <c r="F67" s="4"/>
      <c r="G67" s="4"/>
      <c r="H67" s="4"/>
      <c r="I67" s="26"/>
      <c r="J67" s="4"/>
      <c r="K67" s="4"/>
      <c r="L67" s="4"/>
      <c r="M67" s="4"/>
      <c r="N67" s="4"/>
    </row>
    <row r="68" spans="1:14">
      <c r="A68" s="4"/>
      <c r="B68" s="4"/>
      <c r="C68" s="4"/>
      <c r="D68" s="4"/>
      <c r="E68" s="4"/>
      <c r="F68" s="4"/>
      <c r="G68" s="4"/>
      <c r="H68" s="4"/>
      <c r="I68" s="26"/>
      <c r="J68" s="4"/>
      <c r="K68" s="4"/>
      <c r="L68" s="4"/>
      <c r="M68" s="4"/>
      <c r="N68" s="4"/>
    </row>
    <row r="69" spans="1:14">
      <c r="A69" s="4"/>
      <c r="B69" s="4"/>
      <c r="C69" s="4"/>
      <c r="D69" s="4"/>
      <c r="E69" s="4"/>
      <c r="F69" s="4"/>
      <c r="G69" s="4"/>
      <c r="H69" s="4"/>
      <c r="I69" s="26"/>
      <c r="J69" s="4"/>
      <c r="K69" s="4"/>
      <c r="L69" s="4"/>
      <c r="M69" s="4"/>
      <c r="N69" s="4"/>
    </row>
    <row r="70" spans="1:14">
      <c r="A70" s="4"/>
      <c r="B70" s="4"/>
      <c r="C70" s="4"/>
      <c r="D70" s="4"/>
      <c r="E70" s="4"/>
      <c r="F70" s="4"/>
      <c r="G70" s="4"/>
      <c r="H70" s="4"/>
      <c r="I70" s="26"/>
      <c r="J70" s="4"/>
      <c r="K70" s="4"/>
      <c r="L70" s="4"/>
      <c r="M70" s="4"/>
      <c r="N70" s="4"/>
    </row>
    <row r="71" spans="1:14">
      <c r="A71" s="4"/>
      <c r="B71" s="4"/>
      <c r="C71" s="4"/>
      <c r="D71" s="4"/>
      <c r="E71" s="4"/>
      <c r="F71" s="4"/>
      <c r="G71" s="4"/>
      <c r="H71" s="4"/>
      <c r="I71" s="26"/>
      <c r="J71" s="4"/>
      <c r="K71" s="4"/>
      <c r="L71" s="4"/>
      <c r="M71" s="4"/>
      <c r="N71" s="4"/>
    </row>
    <row r="72" spans="1:14">
      <c r="A72" s="4"/>
      <c r="B72" s="4"/>
      <c r="C72" s="4"/>
      <c r="D72" s="4"/>
      <c r="E72" s="4"/>
      <c r="F72" s="4"/>
      <c r="G72" s="4"/>
      <c r="H72" s="4"/>
      <c r="I72" s="26"/>
      <c r="J72" s="4"/>
      <c r="K72" s="4"/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I73" s="26"/>
      <c r="J73" s="4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I74" s="26"/>
      <c r="J74" s="4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I75" s="26"/>
      <c r="J75" s="4"/>
      <c r="K75" s="4"/>
      <c r="L75" s="4"/>
      <c r="M75" s="4"/>
      <c r="N75" s="4"/>
    </row>
    <row r="76" spans="1:14">
      <c r="A76" s="4"/>
      <c r="B76" s="4"/>
      <c r="C76" s="4"/>
      <c r="D76" s="4"/>
      <c r="E76" s="4"/>
      <c r="F76" s="4"/>
      <c r="G76" s="4"/>
      <c r="H76" s="4"/>
      <c r="I76" s="26"/>
      <c r="J76" s="4"/>
      <c r="K76" s="4"/>
      <c r="L76" s="4"/>
      <c r="M76" s="4"/>
      <c r="N76" s="4"/>
    </row>
    <row r="77" spans="1:14">
      <c r="A77" s="4"/>
      <c r="B77" s="4"/>
      <c r="C77" s="4"/>
      <c r="D77" s="4"/>
      <c r="E77" s="4"/>
      <c r="F77" s="4"/>
      <c r="G77" s="4"/>
      <c r="H77" s="4"/>
      <c r="I77" s="26"/>
      <c r="J77" s="4"/>
      <c r="K77" s="4"/>
      <c r="L77" s="4"/>
      <c r="M77" s="4"/>
      <c r="N77" s="4"/>
    </row>
    <row r="78" spans="1:14">
      <c r="A78" s="4"/>
      <c r="B78" s="4"/>
      <c r="C78" s="4"/>
      <c r="D78" s="4"/>
      <c r="E78" s="4"/>
      <c r="F78" s="4"/>
      <c r="G78" s="4"/>
      <c r="H78" s="4"/>
      <c r="I78" s="26"/>
      <c r="J78" s="4"/>
      <c r="K78" s="4"/>
      <c r="L78" s="4"/>
      <c r="M78" s="4"/>
      <c r="N78" s="4"/>
    </row>
    <row r="79" spans="1:14">
      <c r="A79" s="4"/>
      <c r="B79" s="4"/>
      <c r="C79" s="4"/>
      <c r="D79" s="4"/>
      <c r="E79" s="4"/>
      <c r="F79" s="4"/>
      <c r="G79" s="4"/>
      <c r="H79" s="4"/>
      <c r="I79" s="26"/>
      <c r="J79" s="4"/>
      <c r="K79" s="4"/>
      <c r="L79" s="4"/>
      <c r="M79" s="4"/>
      <c r="N79" s="4"/>
    </row>
    <row r="80" spans="1:14">
      <c r="A80" s="4"/>
      <c r="B80" s="4"/>
      <c r="C80" s="4"/>
      <c r="D80" s="4"/>
      <c r="E80" s="4"/>
      <c r="F80" s="4"/>
      <c r="G80" s="4"/>
      <c r="H80" s="4"/>
      <c r="I80" s="26"/>
      <c r="J80" s="4"/>
      <c r="K80" s="4"/>
      <c r="L80" s="4"/>
      <c r="M80" s="4"/>
      <c r="N80" s="4"/>
    </row>
    <row r="81" spans="1:14">
      <c r="A81" s="4"/>
      <c r="B81" s="4"/>
      <c r="C81" s="4"/>
      <c r="D81" s="4"/>
      <c r="E81" s="4"/>
      <c r="F81" s="4"/>
      <c r="G81" s="4"/>
      <c r="H81" s="4"/>
      <c r="I81" s="26"/>
      <c r="J81" s="4"/>
      <c r="K81" s="4"/>
      <c r="L81" s="4"/>
      <c r="M81" s="4"/>
      <c r="N81" s="4"/>
    </row>
    <row r="82" spans="1:14">
      <c r="A82" s="4"/>
      <c r="B82" s="4"/>
      <c r="C82" s="4"/>
      <c r="D82" s="4"/>
      <c r="E82" s="4"/>
      <c r="F82" s="4"/>
      <c r="G82" s="4"/>
      <c r="H82" s="4"/>
      <c r="I82" s="26"/>
      <c r="J82" s="4"/>
      <c r="K82" s="4"/>
      <c r="L82" s="4"/>
      <c r="M82" s="4"/>
      <c r="N82" s="4"/>
    </row>
    <row r="83" spans="1:14">
      <c r="A83" s="4"/>
      <c r="B83" s="4"/>
      <c r="C83" s="4"/>
      <c r="D83" s="4"/>
      <c r="E83" s="4"/>
      <c r="F83" s="4"/>
      <c r="G83" s="4"/>
      <c r="H83" s="4"/>
      <c r="I83" s="26"/>
      <c r="J83" s="4"/>
      <c r="K83" s="4"/>
      <c r="L83" s="4"/>
      <c r="M83" s="4"/>
      <c r="N83" s="4"/>
    </row>
    <row r="84" spans="1:14">
      <c r="A84" s="4"/>
      <c r="B84" s="4"/>
      <c r="C84" s="4"/>
      <c r="D84" s="4"/>
      <c r="E84" s="4"/>
      <c r="F84" s="4"/>
      <c r="G84" s="4"/>
      <c r="H84" s="4"/>
      <c r="I84" s="26"/>
      <c r="J84" s="4"/>
      <c r="K84" s="4"/>
      <c r="L84" s="4"/>
      <c r="M84" s="4"/>
      <c r="N84" s="4"/>
    </row>
    <row r="85" spans="1:14">
      <c r="A85" s="4"/>
      <c r="B85" s="4"/>
      <c r="C85" s="4"/>
      <c r="D85" s="4"/>
      <c r="E85" s="4"/>
      <c r="F85" s="4"/>
      <c r="G85" s="4"/>
      <c r="H85" s="4"/>
      <c r="I85" s="26"/>
      <c r="J85" s="4"/>
      <c r="K85" s="4"/>
      <c r="L85" s="4"/>
      <c r="M85" s="4"/>
      <c r="N85" s="4"/>
    </row>
    <row r="86" spans="1:14">
      <c r="A86" s="4"/>
      <c r="B86" s="4"/>
      <c r="C86" s="4"/>
      <c r="D86" s="4"/>
      <c r="E86" s="4"/>
      <c r="F86" s="4"/>
      <c r="G86" s="4"/>
      <c r="H86" s="4"/>
      <c r="I86" s="26"/>
      <c r="J86" s="4"/>
      <c r="K86" s="4"/>
      <c r="L86" s="4"/>
      <c r="M86" s="4"/>
      <c r="N86" s="4"/>
    </row>
    <row r="87" spans="1:14">
      <c r="A87" s="4"/>
      <c r="B87" s="4"/>
      <c r="C87" s="4"/>
      <c r="D87" s="4"/>
      <c r="E87" s="4"/>
      <c r="F87" s="4"/>
      <c r="G87" s="4"/>
      <c r="H87" s="4"/>
      <c r="I87" s="26"/>
      <c r="J87" s="4"/>
      <c r="K87" s="4"/>
      <c r="L87" s="4"/>
      <c r="M87" s="4"/>
      <c r="N87" s="4"/>
    </row>
    <row r="88" spans="1:14">
      <c r="A88" s="4"/>
      <c r="B88" s="4"/>
      <c r="C88" s="4"/>
      <c r="D88" s="4"/>
      <c r="E88" s="4"/>
      <c r="F88" s="4"/>
      <c r="G88" s="4"/>
      <c r="H88" s="4"/>
      <c r="I88" s="26"/>
      <c r="J88" s="4"/>
      <c r="K88" s="4"/>
      <c r="L88" s="4"/>
      <c r="M88" s="4"/>
      <c r="N88" s="4"/>
    </row>
    <row r="89" spans="1:14">
      <c r="A89" s="4"/>
      <c r="B89" s="4"/>
      <c r="C89" s="4"/>
      <c r="D89" s="4"/>
      <c r="E89" s="4"/>
      <c r="F89" s="4"/>
      <c r="G89" s="4"/>
      <c r="H89" s="4"/>
      <c r="I89" s="26"/>
      <c r="J89" s="4"/>
      <c r="K89" s="4"/>
      <c r="L89" s="4"/>
      <c r="M89" s="4"/>
      <c r="N89" s="4"/>
    </row>
    <row r="90" spans="1:14">
      <c r="A90" s="4"/>
      <c r="B90" s="4"/>
      <c r="C90" s="4"/>
      <c r="D90" s="4"/>
      <c r="E90" s="4"/>
      <c r="F90" s="4"/>
      <c r="G90" s="4"/>
      <c r="H90" s="4"/>
      <c r="I90" s="26"/>
      <c r="J90" s="4"/>
      <c r="K90" s="4"/>
      <c r="L90" s="4"/>
      <c r="M90" s="4"/>
      <c r="N90" s="4"/>
    </row>
    <row r="91" spans="1:14">
      <c r="A91" s="4"/>
      <c r="B91" s="4"/>
      <c r="C91" s="4"/>
      <c r="D91" s="4"/>
      <c r="E91" s="4"/>
      <c r="F91" s="4"/>
      <c r="G91" s="4"/>
      <c r="H91" s="4"/>
      <c r="I91" s="26"/>
      <c r="J91" s="4"/>
      <c r="K91" s="4"/>
      <c r="L91" s="4"/>
      <c r="M91" s="4"/>
      <c r="N91" s="4"/>
    </row>
    <row r="92" spans="1:14">
      <c r="A92" s="4"/>
      <c r="B92" s="4"/>
      <c r="C92" s="4"/>
      <c r="D92" s="4"/>
      <c r="E92" s="4"/>
      <c r="F92" s="4"/>
      <c r="G92" s="4"/>
      <c r="H92" s="4"/>
      <c r="I92" s="26"/>
      <c r="J92" s="4"/>
      <c r="K92" s="4"/>
      <c r="L92" s="4"/>
      <c r="M92" s="4"/>
      <c r="N92" s="4"/>
    </row>
    <row r="93" spans="1:14">
      <c r="A93" s="4"/>
      <c r="B93" s="4"/>
      <c r="C93" s="4"/>
      <c r="D93" s="4"/>
      <c r="E93" s="4"/>
      <c r="F93" s="4"/>
      <c r="G93" s="4"/>
      <c r="H93" s="4"/>
      <c r="I93" s="26"/>
      <c r="J93" s="4"/>
      <c r="K93" s="4"/>
      <c r="L93" s="4"/>
      <c r="M93" s="4"/>
      <c r="N93" s="4"/>
    </row>
    <row r="94" spans="1:14">
      <c r="A94" s="4"/>
      <c r="B94" s="4"/>
      <c r="C94" s="4"/>
      <c r="D94" s="4"/>
      <c r="E94" s="4"/>
      <c r="F94" s="4"/>
      <c r="G94" s="4"/>
      <c r="H94" s="4"/>
      <c r="I94" s="26"/>
      <c r="J94" s="4"/>
      <c r="K94" s="4"/>
      <c r="L94" s="4"/>
      <c r="M94" s="4"/>
      <c r="N94" s="4"/>
    </row>
    <row r="95" spans="1:14">
      <c r="A95" s="4"/>
      <c r="B95" s="4"/>
      <c r="C95" s="4"/>
      <c r="D95" s="4"/>
      <c r="E95" s="4"/>
      <c r="F95" s="4"/>
      <c r="G95" s="4"/>
      <c r="H95" s="4"/>
      <c r="I95" s="26"/>
      <c r="J95" s="4"/>
      <c r="K95" s="4"/>
      <c r="L95" s="4"/>
      <c r="M95" s="4"/>
      <c r="N95" s="4"/>
    </row>
    <row r="96" spans="1:14">
      <c r="A96" s="4"/>
      <c r="B96" s="4"/>
      <c r="C96" s="4"/>
      <c r="D96" s="4"/>
      <c r="E96" s="4"/>
      <c r="F96" s="4"/>
      <c r="G96" s="4"/>
      <c r="H96" s="4"/>
      <c r="I96" s="26"/>
      <c r="J96" s="4"/>
      <c r="K96" s="4"/>
      <c r="L96" s="4"/>
      <c r="M96" s="4"/>
      <c r="N96" s="4"/>
    </row>
    <row r="97" spans="1:14">
      <c r="A97" s="4"/>
      <c r="B97" s="4"/>
      <c r="C97" s="4"/>
      <c r="D97" s="4"/>
      <c r="E97" s="4"/>
      <c r="F97" s="4"/>
      <c r="G97" s="4"/>
      <c r="H97" s="4"/>
      <c r="I97" s="26"/>
      <c r="J97" s="4"/>
      <c r="K97" s="4"/>
      <c r="L97" s="4"/>
      <c r="M97" s="4"/>
      <c r="N97" s="4"/>
    </row>
    <row r="98" spans="1:14">
      <c r="A98" s="4"/>
      <c r="B98" s="4"/>
      <c r="C98" s="4"/>
      <c r="D98" s="4"/>
      <c r="E98" s="4"/>
      <c r="F98" s="4"/>
      <c r="G98" s="4"/>
      <c r="H98" s="4"/>
      <c r="I98" s="26"/>
      <c r="J98" s="4"/>
      <c r="K98" s="4"/>
      <c r="L98" s="4"/>
      <c r="M98" s="4"/>
      <c r="N98" s="4"/>
    </row>
    <row r="99" spans="1:14">
      <c r="A99" s="4"/>
      <c r="B99" s="4"/>
      <c r="C99" s="4"/>
      <c r="D99" s="4"/>
      <c r="E99" s="4"/>
      <c r="F99" s="4"/>
      <c r="G99" s="4"/>
      <c r="H99" s="4"/>
      <c r="I99" s="26"/>
      <c r="J99" s="4"/>
      <c r="K99" s="4"/>
      <c r="L99" s="4"/>
      <c r="M99" s="4"/>
      <c r="N99" s="4"/>
    </row>
    <row r="100" spans="1:14">
      <c r="A100" s="4"/>
      <c r="B100" s="4"/>
      <c r="C100" s="4"/>
      <c r="D100" s="4"/>
      <c r="E100" s="4"/>
      <c r="F100" s="4"/>
      <c r="G100" s="4"/>
      <c r="H100" s="4"/>
      <c r="I100" s="26"/>
      <c r="J100" s="4"/>
      <c r="K100" s="4"/>
      <c r="L100" s="4"/>
      <c r="M100" s="4"/>
      <c r="N100" s="4"/>
    </row>
    <row r="101" spans="1:14">
      <c r="A101" s="4"/>
      <c r="B101" s="4"/>
      <c r="C101" s="4"/>
      <c r="D101" s="4"/>
      <c r="E101" s="4"/>
      <c r="F101" s="4"/>
      <c r="G101" s="4"/>
      <c r="H101" s="4"/>
      <c r="I101" s="26"/>
      <c r="J101" s="4"/>
      <c r="K101" s="4"/>
      <c r="L101" s="4"/>
      <c r="M101" s="4"/>
      <c r="N101" s="4"/>
    </row>
    <row r="102" spans="1:14">
      <c r="A102" s="4"/>
      <c r="B102" s="4"/>
      <c r="C102" s="4"/>
      <c r="D102" s="4"/>
      <c r="E102" s="4"/>
      <c r="F102" s="4"/>
      <c r="G102" s="4"/>
      <c r="H102" s="4"/>
      <c r="I102" s="26"/>
      <c r="J102" s="4"/>
      <c r="K102" s="4"/>
      <c r="L102" s="4"/>
      <c r="M102" s="4"/>
      <c r="N102" s="4"/>
    </row>
    <row r="103" spans="1:14">
      <c r="A103" s="4"/>
      <c r="B103" s="4"/>
      <c r="C103" s="4"/>
      <c r="D103" s="4"/>
      <c r="E103" s="4"/>
      <c r="F103" s="4"/>
      <c r="G103" s="4"/>
      <c r="H103" s="4"/>
      <c r="I103" s="26"/>
      <c r="J103" s="4"/>
      <c r="K103" s="4"/>
      <c r="L103" s="4"/>
      <c r="M103" s="4"/>
      <c r="N103" s="4"/>
    </row>
    <row r="104" spans="1:14">
      <c r="A104" s="4"/>
      <c r="B104" s="4"/>
      <c r="C104" s="4"/>
      <c r="D104" s="4"/>
      <c r="E104" s="4"/>
      <c r="F104" s="4"/>
      <c r="G104" s="4"/>
      <c r="H104" s="4"/>
      <c r="I104" s="26"/>
      <c r="J104" s="4"/>
      <c r="K104" s="4"/>
      <c r="L104" s="4"/>
      <c r="M104" s="4"/>
      <c r="N104" s="4"/>
    </row>
    <row r="105" spans="1:14">
      <c r="A105" s="4"/>
      <c r="B105" s="4"/>
      <c r="C105" s="4"/>
      <c r="D105" s="4"/>
      <c r="E105" s="4"/>
      <c r="F105" s="4"/>
      <c r="G105" s="4"/>
      <c r="H105" s="4"/>
      <c r="I105" s="26"/>
      <c r="J105" s="4"/>
      <c r="K105" s="4"/>
      <c r="L105" s="4"/>
      <c r="M105" s="4"/>
      <c r="N105" s="4"/>
    </row>
    <row r="106" spans="1:14">
      <c r="A106" s="4"/>
      <c r="B106" s="4"/>
      <c r="C106" s="4"/>
      <c r="D106" s="4"/>
      <c r="E106" s="4"/>
      <c r="F106" s="4"/>
      <c r="G106" s="4"/>
      <c r="H106" s="4"/>
      <c r="I106" s="26"/>
      <c r="J106" s="4"/>
      <c r="K106" s="4"/>
      <c r="L106" s="4"/>
      <c r="M106" s="4"/>
      <c r="N106" s="4"/>
    </row>
    <row r="107" spans="1:14">
      <c r="A107" s="4"/>
      <c r="B107" s="4"/>
      <c r="C107" s="4"/>
      <c r="D107" s="4"/>
      <c r="E107" s="4"/>
      <c r="F107" s="4"/>
      <c r="G107" s="4"/>
      <c r="H107" s="4"/>
      <c r="I107" s="26"/>
      <c r="J107" s="4"/>
      <c r="K107" s="4"/>
      <c r="L107" s="4"/>
      <c r="M107" s="4"/>
      <c r="N107" s="4"/>
    </row>
    <row r="108" spans="1:14">
      <c r="A108" s="4"/>
      <c r="B108" s="4"/>
      <c r="C108" s="4"/>
      <c r="D108" s="4"/>
      <c r="E108" s="4"/>
      <c r="F108" s="4"/>
      <c r="G108" s="4"/>
      <c r="H108" s="4"/>
      <c r="I108" s="26"/>
      <c r="J108" s="4"/>
      <c r="K108" s="4"/>
      <c r="L108" s="4"/>
      <c r="M108" s="4"/>
      <c r="N108" s="4"/>
    </row>
    <row r="109" spans="1:14">
      <c r="A109" s="4"/>
      <c r="B109" s="4"/>
      <c r="C109" s="4"/>
      <c r="D109" s="4"/>
      <c r="E109" s="4"/>
      <c r="F109" s="4"/>
      <c r="G109" s="4"/>
      <c r="H109" s="4"/>
      <c r="I109" s="26"/>
      <c r="J109" s="4"/>
      <c r="K109" s="4"/>
      <c r="L109" s="4"/>
      <c r="M109" s="4"/>
      <c r="N109" s="4"/>
    </row>
    <row r="110" spans="1:14">
      <c r="A110" s="4"/>
      <c r="B110" s="4"/>
      <c r="C110" s="4"/>
      <c r="D110" s="4"/>
      <c r="E110" s="4"/>
      <c r="F110" s="4"/>
      <c r="G110" s="4"/>
      <c r="H110" s="4"/>
      <c r="I110" s="26"/>
      <c r="J110" s="4"/>
      <c r="K110" s="4"/>
      <c r="L110" s="4"/>
      <c r="M110" s="4"/>
      <c r="N110" s="4"/>
    </row>
    <row r="111" spans="1:14">
      <c r="A111" s="4"/>
      <c r="B111" s="4"/>
      <c r="C111" s="4"/>
      <c r="D111" s="4"/>
      <c r="E111" s="4"/>
      <c r="F111" s="4"/>
      <c r="G111" s="4"/>
      <c r="H111" s="4"/>
      <c r="I111" s="26"/>
      <c r="J111" s="4"/>
      <c r="K111" s="4"/>
      <c r="L111" s="4"/>
      <c r="M111" s="4"/>
      <c r="N111" s="4"/>
    </row>
    <row r="112" spans="1:14">
      <c r="A112" s="4"/>
      <c r="B112" s="4"/>
      <c r="C112" s="4"/>
      <c r="D112" s="4"/>
      <c r="E112" s="4"/>
      <c r="F112" s="4"/>
      <c r="G112" s="4"/>
      <c r="H112" s="4"/>
      <c r="I112" s="26"/>
      <c r="J112" s="4"/>
      <c r="K112" s="4"/>
      <c r="L112" s="4"/>
      <c r="M112" s="4"/>
      <c r="N112" s="4"/>
    </row>
    <row r="113" spans="1:14">
      <c r="A113" s="4"/>
      <c r="B113" s="4"/>
      <c r="C113" s="4"/>
      <c r="D113" s="4"/>
      <c r="E113" s="4"/>
      <c r="F113" s="4"/>
      <c r="G113" s="4"/>
      <c r="H113" s="4"/>
      <c r="I113" s="26"/>
      <c r="J113" s="4"/>
      <c r="K113" s="4"/>
      <c r="L113" s="4"/>
      <c r="M113" s="4"/>
      <c r="N113" s="4"/>
    </row>
    <row r="114" spans="1:14">
      <c r="A114" s="4"/>
      <c r="B114" s="4"/>
      <c r="C114" s="4"/>
      <c r="D114" s="4"/>
      <c r="E114" s="4"/>
      <c r="F114" s="4"/>
      <c r="G114" s="4"/>
      <c r="H114" s="4"/>
      <c r="I114" s="26"/>
      <c r="J114" s="4"/>
      <c r="K114" s="4"/>
      <c r="L114" s="4"/>
      <c r="M114" s="4"/>
      <c r="N114" s="4"/>
    </row>
    <row r="115" spans="1:14">
      <c r="A115" s="4"/>
      <c r="B115" s="4"/>
      <c r="C115" s="4"/>
      <c r="D115" s="4"/>
      <c r="E115" s="4"/>
      <c r="F115" s="4"/>
      <c r="G115" s="4"/>
      <c r="H115" s="4"/>
      <c r="I115" s="26"/>
      <c r="J115" s="4"/>
      <c r="K115" s="4"/>
      <c r="L115" s="4"/>
      <c r="M115" s="4"/>
      <c r="N115" s="4"/>
    </row>
    <row r="116" spans="1:14">
      <c r="A116" s="4"/>
      <c r="B116" s="4"/>
      <c r="C116" s="4"/>
      <c r="D116" s="4"/>
      <c r="E116" s="4"/>
      <c r="F116" s="4"/>
      <c r="G116" s="4"/>
      <c r="H116" s="4"/>
      <c r="I116" s="26"/>
      <c r="J116" s="4"/>
      <c r="K116" s="4"/>
      <c r="L116" s="4"/>
      <c r="M116" s="4"/>
      <c r="N116" s="4"/>
    </row>
    <row r="117" spans="1:14">
      <c r="A117" s="4"/>
      <c r="B117" s="4"/>
      <c r="C117" s="4"/>
      <c r="D117" s="4"/>
      <c r="E117" s="4"/>
      <c r="F117" s="4"/>
      <c r="G117" s="4"/>
      <c r="H117" s="4"/>
      <c r="I117" s="26"/>
      <c r="J117" s="4"/>
      <c r="K117" s="4"/>
      <c r="L117" s="4"/>
      <c r="M117" s="4"/>
      <c r="N117" s="4"/>
    </row>
    <row r="118" spans="1:14">
      <c r="A118" s="4"/>
      <c r="B118" s="4"/>
      <c r="C118" s="4"/>
      <c r="D118" s="4"/>
      <c r="E118" s="4"/>
      <c r="F118" s="4"/>
      <c r="G118" s="4"/>
      <c r="H118" s="4"/>
      <c r="I118" s="26"/>
      <c r="J118" s="4"/>
      <c r="K118" s="4"/>
      <c r="L118" s="4"/>
      <c r="M118" s="4"/>
      <c r="N118" s="4"/>
    </row>
    <row r="119" spans="1:14">
      <c r="A119" s="4"/>
      <c r="B119" s="4"/>
      <c r="C119" s="4"/>
      <c r="D119" s="4"/>
      <c r="E119" s="4"/>
      <c r="F119" s="4"/>
      <c r="G119" s="4"/>
      <c r="H119" s="4"/>
      <c r="I119" s="26"/>
      <c r="J119" s="4"/>
      <c r="K119" s="4"/>
      <c r="L119" s="4"/>
      <c r="M119" s="4"/>
      <c r="N119" s="4"/>
    </row>
    <row r="120" spans="1:14">
      <c r="A120" s="4"/>
      <c r="B120" s="4"/>
      <c r="C120" s="4"/>
      <c r="D120" s="4"/>
      <c r="E120" s="4"/>
      <c r="F120" s="4"/>
      <c r="G120" s="4"/>
      <c r="H120" s="4"/>
      <c r="I120" s="26"/>
      <c r="J120" s="4"/>
      <c r="K120" s="4"/>
      <c r="L120" s="4"/>
      <c r="M120" s="4"/>
      <c r="N120" s="4"/>
    </row>
    <row r="121" spans="1:14">
      <c r="A121" s="4"/>
      <c r="B121" s="4"/>
      <c r="C121" s="4"/>
      <c r="D121" s="4"/>
      <c r="E121" s="4"/>
      <c r="F121" s="4"/>
      <c r="G121" s="4"/>
      <c r="H121" s="4"/>
      <c r="I121" s="26"/>
      <c r="J121" s="4"/>
      <c r="K121" s="4"/>
      <c r="L121" s="4"/>
      <c r="M121" s="4"/>
      <c r="N121" s="4"/>
    </row>
    <row r="122" spans="1:14">
      <c r="A122" s="4"/>
      <c r="B122" s="4"/>
      <c r="C122" s="4"/>
      <c r="D122" s="4"/>
      <c r="E122" s="4"/>
      <c r="F122" s="4"/>
      <c r="G122" s="4"/>
      <c r="H122" s="4"/>
      <c r="I122" s="26"/>
      <c r="J122" s="4"/>
      <c r="K122" s="4"/>
      <c r="L122" s="4"/>
      <c r="M122" s="4"/>
      <c r="N122" s="4"/>
    </row>
    <row r="123" spans="1:14">
      <c r="A123" s="4"/>
      <c r="B123" s="4"/>
      <c r="C123" s="4"/>
      <c r="D123" s="4"/>
      <c r="E123" s="4"/>
      <c r="F123" s="4"/>
      <c r="G123" s="4"/>
      <c r="H123" s="4"/>
      <c r="I123" s="26"/>
      <c r="J123" s="4"/>
      <c r="K123" s="4"/>
      <c r="L123" s="4"/>
      <c r="M123" s="4"/>
      <c r="N123" s="4"/>
    </row>
    <row r="124" spans="1:14">
      <c r="A124" s="4"/>
      <c r="B124" s="4"/>
      <c r="C124" s="4"/>
      <c r="D124" s="4"/>
      <c r="E124" s="4"/>
      <c r="F124" s="4"/>
      <c r="G124" s="4"/>
      <c r="H124" s="4"/>
      <c r="I124" s="26"/>
      <c r="J124" s="4"/>
      <c r="K124" s="4"/>
      <c r="L124" s="4"/>
      <c r="M124" s="4"/>
      <c r="N124" s="4"/>
    </row>
    <row r="125" spans="1:14">
      <c r="A125" s="4"/>
      <c r="B125" s="4"/>
      <c r="C125" s="4"/>
      <c r="D125" s="4"/>
      <c r="E125" s="4"/>
      <c r="F125" s="4"/>
      <c r="G125" s="4"/>
      <c r="H125" s="4"/>
      <c r="I125" s="26"/>
      <c r="J125" s="4"/>
      <c r="K125" s="4"/>
      <c r="L125" s="4"/>
      <c r="M125" s="4"/>
      <c r="N125" s="4"/>
    </row>
    <row r="126" spans="1:14">
      <c r="A126" s="4"/>
      <c r="B126" s="4"/>
      <c r="C126" s="4"/>
      <c r="D126" s="4"/>
      <c r="E126" s="4"/>
      <c r="F126" s="4"/>
      <c r="G126" s="4"/>
      <c r="H126" s="4"/>
      <c r="I126" s="26"/>
      <c r="J126" s="4"/>
      <c r="K126" s="4"/>
      <c r="L126" s="4"/>
      <c r="M126" s="4"/>
      <c r="N126" s="4"/>
    </row>
    <row r="127" spans="1:14">
      <c r="A127" s="4"/>
      <c r="B127" s="4"/>
      <c r="C127" s="4"/>
      <c r="D127" s="4"/>
      <c r="E127" s="4"/>
      <c r="F127" s="4"/>
      <c r="G127" s="4"/>
      <c r="H127" s="4"/>
      <c r="I127" s="26"/>
      <c r="J127" s="4"/>
      <c r="K127" s="4"/>
      <c r="L127" s="4"/>
      <c r="M127" s="4"/>
      <c r="N127" s="4"/>
    </row>
    <row r="128" spans="1:14">
      <c r="A128" s="4"/>
      <c r="B128" s="4"/>
      <c r="C128" s="4"/>
      <c r="D128" s="4"/>
      <c r="E128" s="4"/>
      <c r="F128" s="4"/>
      <c r="G128" s="4"/>
      <c r="H128" s="4"/>
      <c r="I128" s="26"/>
      <c r="J128" s="4"/>
      <c r="K128" s="4"/>
      <c r="L128" s="4"/>
      <c r="M128" s="4"/>
      <c r="N128" s="4"/>
    </row>
    <row r="129" spans="1:14">
      <c r="A129" s="4"/>
      <c r="B129" s="4"/>
      <c r="C129" s="4"/>
      <c r="D129" s="4"/>
      <c r="E129" s="4"/>
      <c r="F129" s="4"/>
      <c r="G129" s="4"/>
      <c r="H129" s="4"/>
      <c r="I129" s="26"/>
      <c r="J129" s="4"/>
      <c r="K129" s="4"/>
      <c r="L129" s="4"/>
      <c r="M129" s="4"/>
      <c r="N129" s="4"/>
    </row>
    <row r="130" spans="1:14">
      <c r="A130" s="4"/>
      <c r="B130" s="4"/>
      <c r="C130" s="4"/>
      <c r="D130" s="4"/>
      <c r="E130" s="4"/>
      <c r="F130" s="4"/>
      <c r="G130" s="4"/>
      <c r="H130" s="4"/>
      <c r="I130" s="26"/>
      <c r="J130" s="4"/>
      <c r="K130" s="4"/>
      <c r="L130" s="4"/>
      <c r="M130" s="4"/>
      <c r="N130" s="4"/>
    </row>
    <row r="131" spans="1:14">
      <c r="A131" s="4"/>
      <c r="B131" s="4"/>
      <c r="C131" s="4"/>
      <c r="D131" s="4"/>
      <c r="E131" s="4"/>
      <c r="F131" s="4"/>
      <c r="G131" s="4"/>
      <c r="H131" s="4"/>
      <c r="I131" s="26"/>
      <c r="J131" s="4"/>
      <c r="K131" s="4"/>
      <c r="L131" s="4"/>
      <c r="M131" s="4"/>
      <c r="N131" s="4"/>
    </row>
    <row r="132" spans="1:14">
      <c r="A132" s="4"/>
      <c r="B132" s="4"/>
      <c r="C132" s="4"/>
      <c r="D132" s="4"/>
      <c r="E132" s="4"/>
      <c r="F132" s="4"/>
      <c r="G132" s="4"/>
      <c r="H132" s="4"/>
      <c r="I132" s="26"/>
      <c r="J132" s="4"/>
      <c r="K132" s="4"/>
      <c r="L132" s="4"/>
      <c r="M132" s="4"/>
      <c r="N132" s="4"/>
    </row>
    <row r="133" spans="1:14">
      <c r="A133" s="4"/>
      <c r="B133" s="4"/>
      <c r="C133" s="4"/>
      <c r="D133" s="4"/>
      <c r="E133" s="4"/>
      <c r="F133" s="4"/>
      <c r="G133" s="4"/>
      <c r="H133" s="4"/>
      <c r="I133" s="26"/>
      <c r="J133" s="4"/>
      <c r="K133" s="4"/>
      <c r="L133" s="4"/>
      <c r="M133" s="4"/>
      <c r="N133" s="4"/>
    </row>
    <row r="134" spans="1:14">
      <c r="A134" s="4"/>
      <c r="B134" s="4"/>
      <c r="C134" s="4"/>
      <c r="D134" s="4"/>
      <c r="E134" s="4"/>
      <c r="F134" s="4"/>
      <c r="G134" s="4"/>
      <c r="H134" s="4"/>
      <c r="I134" s="26"/>
      <c r="J134" s="4"/>
      <c r="K134" s="4"/>
      <c r="L134" s="4"/>
      <c r="M134" s="4"/>
      <c r="N134" s="4"/>
    </row>
    <row r="135" spans="1:14">
      <c r="A135" s="4"/>
      <c r="B135" s="4"/>
      <c r="C135" s="4"/>
      <c r="D135" s="4"/>
      <c r="E135" s="4"/>
      <c r="F135" s="4"/>
      <c r="G135" s="4"/>
      <c r="H135" s="4"/>
      <c r="I135" s="26"/>
      <c r="J135" s="4"/>
      <c r="K135" s="4"/>
      <c r="L135" s="4"/>
      <c r="M135" s="4"/>
      <c r="N135" s="4"/>
    </row>
    <row r="136" spans="1:14">
      <c r="A136" s="4"/>
      <c r="B136" s="4"/>
      <c r="C136" s="4"/>
      <c r="D136" s="4"/>
      <c r="E136" s="4"/>
      <c r="F136" s="4"/>
      <c r="G136" s="4"/>
      <c r="H136" s="4"/>
      <c r="I136" s="26"/>
      <c r="J136" s="4"/>
      <c r="K136" s="4"/>
      <c r="L136" s="4"/>
      <c r="M136" s="4"/>
      <c r="N136" s="4"/>
    </row>
    <row r="137" spans="1:14">
      <c r="A137" s="4"/>
      <c r="B137" s="4"/>
      <c r="C137" s="4"/>
      <c r="D137" s="4"/>
      <c r="E137" s="4"/>
      <c r="F137" s="4"/>
      <c r="G137" s="4"/>
      <c r="H137" s="4"/>
      <c r="I137" s="26"/>
      <c r="J137" s="4"/>
      <c r="K137" s="4"/>
      <c r="L137" s="4"/>
      <c r="M137" s="4"/>
      <c r="N137" s="4"/>
    </row>
    <row r="138" spans="1:14">
      <c r="A138" s="4"/>
      <c r="B138" s="4"/>
      <c r="C138" s="4"/>
      <c r="D138" s="4"/>
      <c r="E138" s="4"/>
      <c r="F138" s="4"/>
      <c r="G138" s="4"/>
      <c r="H138" s="4"/>
      <c r="I138" s="26"/>
      <c r="J138" s="4"/>
      <c r="K138" s="4"/>
      <c r="L138" s="4"/>
      <c r="M138" s="4"/>
      <c r="N138" s="4"/>
    </row>
    <row r="139" spans="1:14">
      <c r="A139" s="4"/>
      <c r="B139" s="4"/>
      <c r="C139" s="4"/>
      <c r="D139" s="4"/>
      <c r="E139" s="4"/>
      <c r="F139" s="4"/>
      <c r="G139" s="4"/>
      <c r="H139" s="4"/>
      <c r="I139" s="26"/>
      <c r="J139" s="4"/>
      <c r="K139" s="4"/>
      <c r="L139" s="4"/>
      <c r="M139" s="4"/>
      <c r="N139" s="4"/>
    </row>
    <row r="140" spans="1:14">
      <c r="A140" s="4"/>
      <c r="B140" s="4"/>
      <c r="C140" s="4"/>
      <c r="D140" s="4"/>
      <c r="E140" s="4"/>
      <c r="F140" s="4"/>
      <c r="G140" s="4"/>
      <c r="H140" s="4"/>
      <c r="I140" s="26"/>
      <c r="J140" s="4"/>
      <c r="K140" s="4"/>
      <c r="L140" s="4"/>
      <c r="M140" s="4"/>
      <c r="N140" s="4"/>
    </row>
    <row r="141" spans="1:14">
      <c r="A141" s="4"/>
      <c r="B141" s="4"/>
      <c r="C141" s="4"/>
      <c r="D141" s="4"/>
      <c r="E141" s="4"/>
      <c r="F141" s="4"/>
      <c r="G141" s="4"/>
      <c r="H141" s="4"/>
      <c r="I141" s="26"/>
      <c r="J141" s="4"/>
      <c r="K141" s="4"/>
      <c r="L141" s="4"/>
      <c r="M141" s="4"/>
      <c r="N141" s="4"/>
    </row>
    <row r="142" spans="1:14">
      <c r="A142" s="4"/>
      <c r="B142" s="4"/>
      <c r="C142" s="4"/>
      <c r="D142" s="4"/>
      <c r="E142" s="4"/>
      <c r="F142" s="4"/>
      <c r="G142" s="4"/>
      <c r="H142" s="4"/>
      <c r="I142" s="26"/>
      <c r="J142" s="4"/>
      <c r="K142" s="4"/>
      <c r="L142" s="4"/>
      <c r="M142" s="4"/>
      <c r="N142" s="4"/>
    </row>
    <row r="143" spans="1:14">
      <c r="A143" s="4"/>
      <c r="B143" s="4"/>
      <c r="C143" s="4"/>
      <c r="D143" s="4"/>
      <c r="E143" s="4"/>
      <c r="F143" s="4"/>
      <c r="G143" s="4"/>
      <c r="H143" s="4"/>
      <c r="I143" s="26"/>
      <c r="J143" s="4"/>
      <c r="K143" s="4"/>
      <c r="L143" s="4"/>
      <c r="M143" s="4"/>
      <c r="N143" s="4"/>
    </row>
    <row r="144" spans="1:14">
      <c r="A144" s="4"/>
      <c r="B144" s="4"/>
      <c r="C144" s="4"/>
      <c r="D144" s="4"/>
      <c r="E144" s="4"/>
      <c r="F144" s="4"/>
      <c r="G144" s="4"/>
      <c r="H144" s="4"/>
      <c r="I144" s="26"/>
      <c r="J144" s="4"/>
      <c r="K144" s="4"/>
      <c r="L144" s="4"/>
      <c r="M144" s="4"/>
      <c r="N144" s="4"/>
    </row>
    <row r="145" spans="1:14">
      <c r="A145" s="4"/>
      <c r="B145" s="4"/>
      <c r="C145" s="4"/>
      <c r="D145" s="4"/>
      <c r="E145" s="4"/>
      <c r="F145" s="4"/>
      <c r="G145" s="4"/>
      <c r="H145" s="4"/>
      <c r="I145" s="26"/>
      <c r="J145" s="4"/>
      <c r="K145" s="4"/>
      <c r="L145" s="4"/>
      <c r="M145" s="4"/>
      <c r="N145" s="4"/>
    </row>
    <row r="146" spans="1:14">
      <c r="A146" s="4"/>
      <c r="B146" s="4"/>
      <c r="C146" s="4"/>
      <c r="D146" s="4"/>
      <c r="E146" s="4"/>
      <c r="F146" s="4"/>
      <c r="G146" s="4"/>
      <c r="H146" s="4"/>
      <c r="I146" s="26"/>
      <c r="J146" s="4"/>
      <c r="K146" s="4"/>
      <c r="L146" s="4"/>
      <c r="M146" s="4"/>
      <c r="N146" s="4"/>
    </row>
    <row r="147" spans="1:14">
      <c r="A147" s="4"/>
      <c r="B147" s="4"/>
      <c r="C147" s="4"/>
      <c r="D147" s="4"/>
      <c r="E147" s="4"/>
      <c r="F147" s="4"/>
      <c r="G147" s="4"/>
      <c r="H147" s="4"/>
      <c r="I147" s="26"/>
      <c r="J147" s="4"/>
      <c r="K147" s="4"/>
      <c r="L147" s="4"/>
      <c r="M147" s="4"/>
      <c r="N147" s="4"/>
    </row>
    <row r="148" spans="1:14">
      <c r="A148" s="4"/>
      <c r="B148" s="4"/>
      <c r="C148" s="4"/>
      <c r="D148" s="4"/>
      <c r="E148" s="4"/>
      <c r="F148" s="4"/>
      <c r="G148" s="4"/>
      <c r="H148" s="4"/>
      <c r="I148" s="26"/>
      <c r="J148" s="4"/>
      <c r="K148" s="4"/>
      <c r="L148" s="4"/>
      <c r="M148" s="4"/>
      <c r="N148" s="4"/>
    </row>
    <row r="149" spans="1:14">
      <c r="A149" s="4"/>
      <c r="B149" s="4"/>
      <c r="C149" s="4"/>
      <c r="D149" s="4"/>
      <c r="E149" s="4"/>
      <c r="F149" s="4"/>
      <c r="G149" s="4"/>
      <c r="H149" s="4"/>
      <c r="I149" s="26"/>
      <c r="J149" s="4"/>
      <c r="K149" s="4"/>
      <c r="L149" s="4"/>
      <c r="M149" s="4"/>
      <c r="N149" s="4"/>
    </row>
    <row r="150" spans="1:14">
      <c r="A150" s="4"/>
      <c r="B150" s="4"/>
      <c r="C150" s="4"/>
      <c r="D150" s="4"/>
      <c r="E150" s="4"/>
      <c r="F150" s="4"/>
      <c r="G150" s="4"/>
      <c r="H150" s="4"/>
      <c r="I150" s="26"/>
      <c r="J150" s="4"/>
      <c r="K150" s="4"/>
      <c r="L150" s="4"/>
      <c r="M150" s="4"/>
      <c r="N150" s="4"/>
    </row>
    <row r="151" spans="1:14">
      <c r="A151" s="4"/>
      <c r="B151" s="4"/>
      <c r="C151" s="4"/>
      <c r="D151" s="4"/>
      <c r="E151" s="4"/>
      <c r="F151" s="4"/>
      <c r="G151" s="4"/>
      <c r="H151" s="4"/>
      <c r="I151" s="26"/>
      <c r="J151" s="4"/>
      <c r="K151" s="4"/>
      <c r="L151" s="4"/>
      <c r="M151" s="4"/>
      <c r="N151" s="4"/>
    </row>
    <row r="152" spans="1:14">
      <c r="A152" s="4"/>
      <c r="B152" s="4"/>
      <c r="C152" s="4"/>
      <c r="D152" s="4"/>
      <c r="E152" s="4"/>
      <c r="F152" s="4"/>
      <c r="G152" s="4"/>
      <c r="H152" s="4"/>
      <c r="I152" s="26"/>
      <c r="J152" s="4"/>
      <c r="K152" s="4"/>
      <c r="L152" s="4"/>
      <c r="M152" s="4"/>
      <c r="N152" s="4"/>
    </row>
    <row r="153" spans="1:14">
      <c r="A153" s="4"/>
      <c r="B153" s="4"/>
      <c r="C153" s="4"/>
      <c r="D153" s="4"/>
      <c r="E153" s="4"/>
      <c r="F153" s="4"/>
      <c r="G153" s="4"/>
      <c r="H153" s="4"/>
      <c r="I153" s="26"/>
      <c r="J153" s="4"/>
      <c r="K153" s="4"/>
      <c r="L153" s="4"/>
      <c r="M153" s="4"/>
      <c r="N153" s="4"/>
    </row>
    <row r="154" spans="1:14">
      <c r="A154" s="4"/>
      <c r="B154" s="4"/>
      <c r="C154" s="4"/>
      <c r="D154" s="4"/>
      <c r="E154" s="4"/>
      <c r="F154" s="4"/>
      <c r="G154" s="4"/>
      <c r="H154" s="4"/>
      <c r="I154" s="26"/>
      <c r="J154" s="4"/>
      <c r="K154" s="4"/>
      <c r="L154" s="4"/>
      <c r="M154" s="4"/>
      <c r="N154" s="4"/>
    </row>
    <row r="155" spans="1:14">
      <c r="A155" s="4"/>
      <c r="B155" s="4"/>
      <c r="C155" s="4"/>
      <c r="D155" s="4"/>
      <c r="E155" s="4"/>
      <c r="F155" s="4"/>
      <c r="G155" s="4"/>
      <c r="H155" s="4"/>
      <c r="I155" s="26"/>
      <c r="J155" s="4"/>
      <c r="K155" s="4"/>
      <c r="L155" s="4"/>
      <c r="M155" s="4"/>
      <c r="N155" s="4"/>
    </row>
    <row r="156" spans="1:14">
      <c r="A156" s="4"/>
      <c r="B156" s="4"/>
      <c r="C156" s="4"/>
      <c r="D156" s="4"/>
      <c r="E156" s="4"/>
      <c r="F156" s="4"/>
      <c r="G156" s="4"/>
      <c r="H156" s="4"/>
      <c r="I156" s="26"/>
      <c r="J156" s="4"/>
      <c r="K156" s="4"/>
      <c r="L156" s="4"/>
      <c r="M156" s="4"/>
      <c r="N156" s="4"/>
    </row>
    <row r="157" spans="1:14">
      <c r="A157" s="4"/>
      <c r="B157" s="4"/>
      <c r="C157" s="4"/>
      <c r="D157" s="4"/>
      <c r="E157" s="4"/>
      <c r="F157" s="4"/>
      <c r="G157" s="4"/>
      <c r="H157" s="4"/>
      <c r="I157" s="26"/>
      <c r="J157" s="4"/>
      <c r="K157" s="4"/>
      <c r="L157" s="4"/>
      <c r="M157" s="4"/>
      <c r="N157" s="4"/>
    </row>
    <row r="158" spans="1:14">
      <c r="A158" s="4"/>
      <c r="B158" s="4"/>
      <c r="C158" s="4"/>
      <c r="D158" s="4"/>
      <c r="E158" s="4"/>
      <c r="F158" s="4"/>
      <c r="G158" s="4"/>
      <c r="H158" s="4"/>
      <c r="I158" s="26"/>
      <c r="J158" s="4"/>
      <c r="K158" s="4"/>
      <c r="L158" s="4"/>
      <c r="M158" s="4"/>
      <c r="N158" s="4"/>
    </row>
    <row r="159" spans="1:14">
      <c r="A159" s="4"/>
      <c r="B159" s="4"/>
      <c r="C159" s="4"/>
      <c r="D159" s="4"/>
      <c r="E159" s="4"/>
      <c r="F159" s="4"/>
      <c r="G159" s="4"/>
      <c r="H159" s="4"/>
      <c r="I159" s="26"/>
      <c r="J159" s="4"/>
      <c r="K159" s="4"/>
      <c r="L159" s="4"/>
      <c r="M159" s="4"/>
      <c r="N159" s="4"/>
    </row>
    <row r="160" spans="1:14">
      <c r="A160" s="4"/>
      <c r="B160" s="4"/>
      <c r="C160" s="4"/>
      <c r="D160" s="4"/>
      <c r="E160" s="4"/>
      <c r="F160" s="4"/>
      <c r="G160" s="4"/>
      <c r="H160" s="4"/>
      <c r="I160" s="26"/>
      <c r="J160" s="4"/>
      <c r="K160" s="4"/>
      <c r="L160" s="4"/>
      <c r="M160" s="4"/>
      <c r="N160" s="4"/>
    </row>
    <row r="161" spans="1:14">
      <c r="A161" s="4"/>
      <c r="B161" s="4"/>
      <c r="C161" s="4"/>
      <c r="D161" s="4"/>
      <c r="E161" s="4"/>
      <c r="F161" s="4"/>
      <c r="G161" s="4"/>
      <c r="H161" s="4"/>
      <c r="I161" s="26"/>
      <c r="J161" s="4"/>
      <c r="K161" s="4"/>
      <c r="L161" s="4"/>
      <c r="M161" s="4"/>
      <c r="N161" s="4"/>
    </row>
    <row r="162" spans="1:14">
      <c r="A162" s="4"/>
      <c r="B162" s="4"/>
      <c r="C162" s="4"/>
      <c r="D162" s="4"/>
      <c r="E162" s="4"/>
      <c r="F162" s="4"/>
      <c r="G162" s="4"/>
      <c r="H162" s="4"/>
      <c r="I162" s="26"/>
      <c r="J162" s="4"/>
      <c r="K162" s="4"/>
      <c r="L162" s="4"/>
      <c r="M162" s="4"/>
      <c r="N162" s="4"/>
    </row>
    <row r="163" spans="1:14">
      <c r="A163" s="4"/>
      <c r="B163" s="4"/>
      <c r="C163" s="4"/>
      <c r="D163" s="4"/>
      <c r="E163" s="4"/>
      <c r="F163" s="4"/>
      <c r="G163" s="4"/>
      <c r="H163" s="4"/>
      <c r="I163" s="26"/>
      <c r="J163" s="4"/>
      <c r="K163" s="4"/>
      <c r="L163" s="4"/>
      <c r="M163" s="4"/>
      <c r="N163" s="4"/>
    </row>
    <row r="164" spans="1:14">
      <c r="A164" s="4"/>
      <c r="B164" s="4"/>
      <c r="C164" s="4"/>
      <c r="D164" s="4"/>
      <c r="E164" s="4"/>
      <c r="F164" s="4"/>
      <c r="G164" s="4"/>
      <c r="H164" s="4"/>
      <c r="I164" s="26"/>
      <c r="J164" s="4"/>
      <c r="K164" s="4"/>
      <c r="L164" s="4"/>
      <c r="M164" s="4"/>
      <c r="N164" s="4"/>
    </row>
    <row r="165" spans="1:14">
      <c r="A165" s="4"/>
      <c r="B165" s="4"/>
      <c r="C165" s="4"/>
      <c r="D165" s="4"/>
      <c r="E165" s="4"/>
      <c r="F165" s="4"/>
      <c r="G165" s="4"/>
      <c r="H165" s="4"/>
      <c r="I165" s="26"/>
      <c r="J165" s="4"/>
      <c r="K165" s="4"/>
      <c r="L165" s="4"/>
      <c r="M165" s="4"/>
      <c r="N165" s="4"/>
    </row>
    <row r="166" spans="1:14">
      <c r="A166" s="4"/>
      <c r="B166" s="4"/>
      <c r="C166" s="4"/>
      <c r="D166" s="4"/>
      <c r="E166" s="4"/>
      <c r="F166" s="4"/>
      <c r="G166" s="4"/>
      <c r="H166" s="4"/>
      <c r="I166" s="26"/>
      <c r="J166" s="4"/>
      <c r="K166" s="4"/>
      <c r="L166" s="4"/>
      <c r="M166" s="4"/>
      <c r="N166" s="4"/>
    </row>
    <row r="167" spans="1:14">
      <c r="A167" s="4"/>
      <c r="B167" s="4"/>
      <c r="C167" s="4"/>
      <c r="D167" s="4"/>
      <c r="E167" s="4"/>
      <c r="F167" s="4"/>
      <c r="G167" s="4"/>
      <c r="H167" s="4"/>
      <c r="I167" s="26"/>
      <c r="J167" s="4"/>
      <c r="K167" s="4"/>
      <c r="L167" s="4"/>
      <c r="M167" s="4"/>
      <c r="N167" s="4"/>
    </row>
    <row r="168" spans="1:14">
      <c r="A168" s="4"/>
      <c r="B168" s="4"/>
      <c r="C168" s="4"/>
      <c r="D168" s="4"/>
      <c r="E168" s="4"/>
      <c r="F168" s="4"/>
      <c r="G168" s="4"/>
      <c r="H168" s="4"/>
      <c r="I168" s="26"/>
      <c r="J168" s="4"/>
      <c r="K168" s="4"/>
      <c r="L168" s="4"/>
      <c r="M168" s="4"/>
      <c r="N168" s="4"/>
    </row>
    <row r="169" spans="1:14">
      <c r="A169" s="4"/>
      <c r="B169" s="4"/>
      <c r="C169" s="4"/>
      <c r="D169" s="4"/>
      <c r="E169" s="4"/>
      <c r="F169" s="4"/>
      <c r="G169" s="4"/>
      <c r="H169" s="4"/>
      <c r="I169" s="26"/>
      <c r="J169" s="4"/>
      <c r="K169" s="4"/>
      <c r="L169" s="4"/>
      <c r="M169" s="4"/>
      <c r="N169" s="4"/>
    </row>
    <row r="170" spans="1:14">
      <c r="A170" s="4"/>
      <c r="B170" s="4"/>
      <c r="C170" s="4"/>
      <c r="D170" s="4"/>
      <c r="E170" s="4"/>
      <c r="F170" s="4"/>
      <c r="G170" s="4"/>
      <c r="H170" s="4"/>
      <c r="I170" s="26"/>
      <c r="J170" s="4"/>
      <c r="K170" s="4"/>
      <c r="L170" s="4"/>
      <c r="M170" s="4"/>
      <c r="N170" s="4"/>
    </row>
    <row r="171" spans="1:14">
      <c r="A171" s="4"/>
      <c r="B171" s="4"/>
      <c r="C171" s="4"/>
      <c r="D171" s="4"/>
      <c r="E171" s="4"/>
      <c r="F171" s="4"/>
      <c r="G171" s="4"/>
      <c r="H171" s="4"/>
      <c r="I171" s="26"/>
      <c r="J171" s="4"/>
      <c r="K171" s="4"/>
      <c r="L171" s="4"/>
      <c r="M171" s="4"/>
      <c r="N171" s="4"/>
    </row>
    <row r="172" spans="1:14">
      <c r="A172" s="4"/>
      <c r="B172" s="4"/>
      <c r="C172" s="4"/>
      <c r="D172" s="4"/>
      <c r="E172" s="4"/>
      <c r="F172" s="4"/>
      <c r="G172" s="4"/>
      <c r="H172" s="4"/>
      <c r="I172" s="26"/>
      <c r="J172" s="4"/>
      <c r="K172" s="4"/>
      <c r="L172" s="4"/>
      <c r="M172" s="4"/>
      <c r="N172" s="4"/>
    </row>
    <row r="173" spans="1:14">
      <c r="A173" s="4"/>
      <c r="B173" s="4"/>
      <c r="C173" s="4"/>
      <c r="D173" s="4"/>
      <c r="E173" s="4"/>
      <c r="F173" s="4"/>
      <c r="G173" s="4"/>
      <c r="H173" s="4"/>
      <c r="I173" s="26"/>
      <c r="J173" s="4"/>
      <c r="K173" s="4"/>
      <c r="L173" s="4"/>
      <c r="M173" s="4"/>
      <c r="N173" s="4"/>
    </row>
    <row r="174" spans="1:14">
      <c r="A174" s="4"/>
      <c r="B174" s="4"/>
      <c r="C174" s="4"/>
      <c r="D174" s="4"/>
      <c r="E174" s="4"/>
      <c r="F174" s="4"/>
      <c r="G174" s="4"/>
      <c r="H174" s="4"/>
      <c r="I174" s="26"/>
      <c r="J174" s="4"/>
      <c r="K174" s="4"/>
      <c r="L174" s="4"/>
      <c r="M174" s="4"/>
      <c r="N174" s="4"/>
    </row>
    <row r="175" spans="1:14">
      <c r="A175" s="4"/>
      <c r="B175" s="4"/>
      <c r="C175" s="4"/>
      <c r="D175" s="4"/>
      <c r="E175" s="4"/>
      <c r="F175" s="4"/>
      <c r="G175" s="4"/>
      <c r="H175" s="4"/>
      <c r="I175" s="26"/>
      <c r="J175" s="4"/>
      <c r="K175" s="4"/>
      <c r="L175" s="4"/>
      <c r="M175" s="4"/>
      <c r="N175" s="4"/>
    </row>
    <row r="176" spans="1:14">
      <c r="A176" s="4"/>
      <c r="B176" s="4"/>
      <c r="C176" s="4"/>
      <c r="D176" s="4"/>
      <c r="E176" s="4"/>
      <c r="F176" s="4"/>
      <c r="G176" s="4"/>
      <c r="H176" s="4"/>
      <c r="I176" s="26"/>
      <c r="J176" s="4"/>
      <c r="K176" s="4"/>
      <c r="L176" s="4"/>
      <c r="M176" s="4"/>
      <c r="N176" s="4"/>
    </row>
    <row r="177" spans="1:14">
      <c r="A177" s="4"/>
      <c r="B177" s="4"/>
      <c r="C177" s="4"/>
      <c r="D177" s="4"/>
      <c r="E177" s="4"/>
      <c r="F177" s="4"/>
      <c r="G177" s="4"/>
      <c r="H177" s="4"/>
      <c r="I177" s="26"/>
      <c r="J177" s="4"/>
      <c r="K177" s="4"/>
      <c r="L177" s="4"/>
      <c r="M177" s="4"/>
      <c r="N177" s="4"/>
    </row>
    <row r="178" spans="1:14">
      <c r="A178" s="4"/>
      <c r="B178" s="4"/>
      <c r="C178" s="4"/>
      <c r="D178" s="4"/>
      <c r="E178" s="4"/>
      <c r="F178" s="4"/>
      <c r="G178" s="4"/>
      <c r="H178" s="4"/>
      <c r="I178" s="26"/>
      <c r="J178" s="4"/>
      <c r="K178" s="4"/>
      <c r="L178" s="4"/>
      <c r="M178" s="4"/>
      <c r="N178" s="4"/>
    </row>
    <row r="179" spans="1:14">
      <c r="A179" s="4"/>
      <c r="B179" s="4"/>
      <c r="C179" s="4"/>
      <c r="D179" s="4"/>
      <c r="E179" s="4"/>
      <c r="F179" s="4"/>
      <c r="G179" s="4"/>
      <c r="H179" s="4"/>
      <c r="I179" s="26"/>
      <c r="J179" s="4"/>
      <c r="K179" s="4"/>
      <c r="L179" s="4"/>
      <c r="M179" s="4"/>
      <c r="N179" s="4"/>
    </row>
    <row r="180" spans="1:14">
      <c r="A180" s="4"/>
      <c r="B180" s="4"/>
      <c r="C180" s="4"/>
      <c r="D180" s="4"/>
      <c r="E180" s="4"/>
      <c r="F180" s="4"/>
      <c r="G180" s="4"/>
      <c r="H180" s="4"/>
      <c r="I180" s="26"/>
      <c r="J180" s="4"/>
      <c r="K180" s="4"/>
      <c r="L180" s="4"/>
      <c r="M180" s="4"/>
      <c r="N180" s="4"/>
    </row>
    <row r="181" spans="1:14">
      <c r="A181" s="4"/>
      <c r="B181" s="4"/>
      <c r="C181" s="4"/>
      <c r="D181" s="4"/>
      <c r="E181" s="4"/>
      <c r="F181" s="4"/>
      <c r="G181" s="4"/>
      <c r="H181" s="4"/>
      <c r="I181" s="26"/>
      <c r="J181" s="4"/>
      <c r="K181" s="4"/>
      <c r="L181" s="4"/>
      <c r="M181" s="4"/>
      <c r="N181" s="4"/>
    </row>
    <row r="182" spans="1:14">
      <c r="A182" s="4"/>
      <c r="B182" s="4"/>
      <c r="C182" s="4"/>
      <c r="D182" s="4"/>
      <c r="E182" s="4"/>
      <c r="F182" s="4"/>
      <c r="G182" s="4"/>
      <c r="H182" s="4"/>
      <c r="I182" s="26"/>
      <c r="J182" s="4"/>
      <c r="K182" s="4"/>
      <c r="L182" s="4"/>
      <c r="M182" s="4"/>
      <c r="N182" s="4"/>
    </row>
    <row r="183" spans="1:14">
      <c r="A183" s="4"/>
      <c r="B183" s="4"/>
      <c r="C183" s="4"/>
      <c r="D183" s="4"/>
      <c r="E183" s="4"/>
      <c r="F183" s="4"/>
      <c r="G183" s="4"/>
      <c r="H183" s="4"/>
      <c r="I183" s="26"/>
      <c r="J183" s="4"/>
      <c r="K183" s="4"/>
      <c r="L183" s="4"/>
      <c r="M183" s="4"/>
      <c r="N183" s="4"/>
    </row>
    <row r="184" spans="1:14">
      <c r="A184" s="4"/>
      <c r="B184" s="4"/>
      <c r="C184" s="4"/>
      <c r="D184" s="4"/>
      <c r="E184" s="4"/>
      <c r="F184" s="4"/>
      <c r="G184" s="4"/>
      <c r="H184" s="4"/>
      <c r="I184" s="26"/>
      <c r="J184" s="4"/>
      <c r="K184" s="4"/>
      <c r="L184" s="4"/>
      <c r="M184" s="4"/>
      <c r="N184" s="4"/>
    </row>
    <row r="185" spans="1:14">
      <c r="A185" s="4"/>
      <c r="B185" s="4"/>
      <c r="C185" s="4"/>
      <c r="D185" s="4"/>
      <c r="E185" s="4"/>
      <c r="F185" s="4"/>
      <c r="G185" s="4"/>
      <c r="H185" s="4"/>
      <c r="I185" s="26"/>
      <c r="J185" s="4"/>
      <c r="K185" s="4"/>
      <c r="L185" s="4"/>
      <c r="M185" s="4"/>
      <c r="N185" s="4"/>
    </row>
    <row r="186" spans="1:14">
      <c r="A186" s="4"/>
      <c r="B186" s="4"/>
      <c r="C186" s="4"/>
      <c r="D186" s="4"/>
      <c r="E186" s="4"/>
      <c r="F186" s="4"/>
      <c r="G186" s="4"/>
      <c r="H186" s="4"/>
      <c r="I186" s="26"/>
      <c r="J186" s="4"/>
      <c r="K186" s="4"/>
      <c r="L186" s="4"/>
      <c r="M186" s="4"/>
      <c r="N186" s="4"/>
    </row>
    <row r="187" spans="1:14">
      <c r="A187" s="4"/>
      <c r="B187" s="4"/>
      <c r="C187" s="4"/>
      <c r="D187" s="4"/>
      <c r="E187" s="4"/>
      <c r="F187" s="4"/>
      <c r="G187" s="4"/>
      <c r="H187" s="4"/>
      <c r="I187" s="26"/>
      <c r="J187" s="4"/>
      <c r="K187" s="4"/>
      <c r="L187" s="4"/>
      <c r="M187" s="4"/>
      <c r="N187" s="4"/>
    </row>
    <row r="188" spans="1:14">
      <c r="A188" s="4"/>
      <c r="B188" s="4"/>
      <c r="C188" s="4"/>
      <c r="D188" s="4"/>
      <c r="E188" s="4"/>
      <c r="F188" s="4"/>
      <c r="G188" s="4"/>
      <c r="H188" s="4"/>
      <c r="I188" s="26"/>
      <c r="J188" s="4"/>
      <c r="K188" s="4"/>
      <c r="L188" s="4"/>
      <c r="M188" s="4"/>
      <c r="N188" s="4"/>
    </row>
    <row r="189" spans="1:14">
      <c r="A189" s="4"/>
      <c r="B189" s="4"/>
      <c r="C189" s="4"/>
      <c r="D189" s="4"/>
      <c r="E189" s="4"/>
      <c r="F189" s="4"/>
      <c r="G189" s="4"/>
      <c r="H189" s="4"/>
      <c r="I189" s="26"/>
      <c r="J189" s="4"/>
      <c r="K189" s="4"/>
      <c r="L189" s="4"/>
      <c r="M189" s="4"/>
      <c r="N189" s="4"/>
    </row>
    <row r="190" spans="1:14">
      <c r="A190" s="4"/>
      <c r="B190" s="4"/>
      <c r="C190" s="4"/>
      <c r="D190" s="4"/>
      <c r="E190" s="4"/>
      <c r="F190" s="4"/>
      <c r="G190" s="4"/>
      <c r="H190" s="4"/>
      <c r="I190" s="26"/>
      <c r="J190" s="4"/>
      <c r="K190" s="4"/>
      <c r="L190" s="4"/>
      <c r="M190" s="4"/>
      <c r="N190" s="4"/>
    </row>
    <row r="191" spans="1:14">
      <c r="A191" s="4"/>
      <c r="B191" s="4"/>
      <c r="C191" s="4"/>
      <c r="D191" s="4"/>
      <c r="E191" s="4"/>
      <c r="F191" s="4"/>
      <c r="G191" s="4"/>
      <c r="H191" s="4"/>
      <c r="I191" s="26"/>
      <c r="J191" s="4"/>
      <c r="K191" s="4"/>
      <c r="L191" s="4"/>
      <c r="M191" s="4"/>
      <c r="N191" s="4"/>
    </row>
    <row r="192" spans="1:14">
      <c r="A192" s="4"/>
      <c r="B192" s="4"/>
      <c r="C192" s="4"/>
      <c r="D192" s="4"/>
      <c r="E192" s="4"/>
      <c r="F192" s="4"/>
      <c r="G192" s="4"/>
      <c r="H192" s="4"/>
      <c r="I192" s="26"/>
      <c r="J192" s="4"/>
      <c r="K192" s="4"/>
      <c r="L192" s="4"/>
      <c r="M192" s="4"/>
      <c r="N192" s="4"/>
    </row>
    <row r="193" spans="1:14">
      <c r="A193" s="4"/>
      <c r="B193" s="4"/>
      <c r="C193" s="4"/>
      <c r="D193" s="4"/>
      <c r="E193" s="4"/>
      <c r="F193" s="4"/>
      <c r="G193" s="4"/>
      <c r="H193" s="4"/>
      <c r="I193" s="26"/>
      <c r="J193" s="4"/>
      <c r="K193" s="4"/>
      <c r="L193" s="4"/>
      <c r="M193" s="4"/>
      <c r="N193" s="4"/>
    </row>
    <row r="194" spans="1:14">
      <c r="A194" s="4"/>
      <c r="B194" s="4"/>
      <c r="C194" s="4"/>
      <c r="D194" s="4"/>
      <c r="E194" s="4"/>
      <c r="F194" s="4"/>
      <c r="G194" s="4"/>
      <c r="H194" s="4"/>
      <c r="I194" s="26"/>
      <c r="J194" s="4"/>
      <c r="K194" s="4"/>
      <c r="L194" s="4"/>
      <c r="M194" s="4"/>
      <c r="N194" s="4"/>
    </row>
    <row r="195" spans="1:14">
      <c r="A195" s="4"/>
      <c r="B195" s="4"/>
      <c r="C195" s="4"/>
      <c r="D195" s="4"/>
      <c r="E195" s="4"/>
      <c r="F195" s="4"/>
      <c r="G195" s="4"/>
      <c r="H195" s="4"/>
      <c r="I195" s="26"/>
      <c r="J195" s="4"/>
      <c r="K195" s="4"/>
      <c r="L195" s="4"/>
      <c r="M195" s="4"/>
      <c r="N195" s="4"/>
    </row>
    <row r="196" spans="1:14">
      <c r="A196" s="4"/>
      <c r="B196" s="4"/>
      <c r="C196" s="4"/>
      <c r="D196" s="4"/>
      <c r="E196" s="4"/>
      <c r="F196" s="4"/>
      <c r="G196" s="4"/>
      <c r="H196" s="4"/>
      <c r="I196" s="26"/>
      <c r="J196" s="4"/>
      <c r="K196" s="4"/>
      <c r="L196" s="4"/>
      <c r="M196" s="4"/>
      <c r="N196" s="4"/>
    </row>
    <row r="197" spans="1:14">
      <c r="A197" s="4"/>
      <c r="B197" s="4"/>
      <c r="C197" s="4"/>
      <c r="D197" s="4"/>
      <c r="E197" s="4"/>
      <c r="F197" s="4"/>
      <c r="G197" s="4"/>
      <c r="H197" s="4"/>
      <c r="I197" s="26"/>
      <c r="J197" s="4"/>
      <c r="K197" s="4"/>
      <c r="L197" s="4"/>
      <c r="M197" s="4"/>
      <c r="N197" s="4"/>
    </row>
    <row r="198" spans="1:14">
      <c r="A198" s="4"/>
      <c r="B198" s="4"/>
      <c r="C198" s="4"/>
      <c r="D198" s="4"/>
      <c r="E198" s="4"/>
      <c r="F198" s="4"/>
      <c r="G198" s="4"/>
      <c r="H198" s="4"/>
      <c r="I198" s="26"/>
      <c r="J198" s="4"/>
      <c r="K198" s="4"/>
      <c r="L198" s="4"/>
      <c r="M198" s="4"/>
      <c r="N198" s="4"/>
    </row>
    <row r="199" spans="1:14">
      <c r="A199" s="4"/>
      <c r="B199" s="4"/>
      <c r="C199" s="4"/>
      <c r="D199" s="4"/>
      <c r="E199" s="4"/>
      <c r="F199" s="4"/>
      <c r="G199" s="4"/>
      <c r="H199" s="4"/>
      <c r="I199" s="26"/>
      <c r="J199" s="4"/>
      <c r="K199" s="4"/>
      <c r="L199" s="4"/>
      <c r="M199" s="4"/>
      <c r="N199" s="4"/>
    </row>
    <row r="200" spans="1:14">
      <c r="A200" s="4"/>
      <c r="B200" s="4"/>
      <c r="C200" s="4"/>
      <c r="D200" s="4"/>
      <c r="E200" s="4"/>
      <c r="F200" s="4"/>
      <c r="G200" s="4"/>
      <c r="H200" s="4"/>
      <c r="I200" s="26"/>
      <c r="J200" s="4"/>
      <c r="K200" s="4"/>
      <c r="L200" s="4"/>
      <c r="M200" s="4"/>
      <c r="N200" s="4"/>
    </row>
    <row r="201" spans="1:14">
      <c r="A201" s="4"/>
      <c r="B201" s="4"/>
      <c r="C201" s="4"/>
      <c r="D201" s="4"/>
      <c r="E201" s="4"/>
      <c r="F201" s="4"/>
      <c r="G201" s="4"/>
      <c r="H201" s="4"/>
      <c r="I201" s="26"/>
      <c r="J201" s="4"/>
      <c r="K201" s="4"/>
      <c r="L201" s="4"/>
      <c r="M201" s="4"/>
      <c r="N201" s="4"/>
    </row>
    <row r="202" spans="1:14">
      <c r="A202" s="4"/>
      <c r="B202" s="4"/>
      <c r="C202" s="4"/>
      <c r="D202" s="4"/>
      <c r="E202" s="4"/>
      <c r="F202" s="4"/>
      <c r="G202" s="4"/>
      <c r="H202" s="4"/>
      <c r="I202" s="26"/>
      <c r="J202" s="4"/>
      <c r="K202" s="4"/>
      <c r="L202" s="4"/>
      <c r="M202" s="4"/>
      <c r="N202" s="4"/>
    </row>
    <row r="203" spans="1:14">
      <c r="A203" s="4"/>
      <c r="B203" s="4"/>
      <c r="C203" s="4"/>
      <c r="D203" s="4"/>
      <c r="E203" s="4"/>
      <c r="F203" s="4"/>
      <c r="G203" s="4"/>
      <c r="H203" s="4"/>
      <c r="I203" s="26"/>
      <c r="J203" s="4"/>
      <c r="K203" s="4"/>
      <c r="L203" s="4"/>
      <c r="M203" s="4"/>
      <c r="N203" s="4"/>
    </row>
    <row r="204" spans="1:14">
      <c r="A204" s="4"/>
      <c r="B204" s="4"/>
      <c r="C204" s="4"/>
      <c r="D204" s="4"/>
      <c r="E204" s="4"/>
      <c r="F204" s="4"/>
      <c r="G204" s="4"/>
      <c r="H204" s="4"/>
      <c r="I204" s="26"/>
      <c r="J204" s="4"/>
      <c r="K204" s="4"/>
      <c r="L204" s="4"/>
      <c r="M204" s="4"/>
      <c r="N204" s="4"/>
    </row>
    <row r="205" spans="1:14">
      <c r="A205" s="4"/>
      <c r="B205" s="4"/>
      <c r="C205" s="4"/>
      <c r="D205" s="4"/>
      <c r="E205" s="4"/>
      <c r="F205" s="4"/>
      <c r="G205" s="4"/>
      <c r="H205" s="4"/>
      <c r="I205" s="26"/>
      <c r="J205" s="4"/>
      <c r="K205" s="4"/>
      <c r="L205" s="4"/>
      <c r="M205" s="4"/>
      <c r="N205" s="4"/>
    </row>
    <row r="206" spans="1:14">
      <c r="A206" s="4"/>
      <c r="B206" s="4"/>
      <c r="C206" s="4"/>
      <c r="D206" s="4"/>
      <c r="E206" s="4"/>
      <c r="F206" s="4"/>
      <c r="G206" s="4"/>
      <c r="H206" s="4"/>
      <c r="I206" s="26"/>
      <c r="J206" s="4"/>
      <c r="K206" s="4"/>
      <c r="L206" s="4"/>
      <c r="M206" s="4"/>
      <c r="N206" s="4"/>
    </row>
    <row r="207" spans="1:14">
      <c r="A207" s="4"/>
      <c r="B207" s="4"/>
      <c r="C207" s="4"/>
      <c r="D207" s="4"/>
      <c r="E207" s="4"/>
      <c r="F207" s="4"/>
      <c r="G207" s="4"/>
      <c r="H207" s="4"/>
      <c r="I207" s="26"/>
      <c r="J207" s="4"/>
      <c r="K207" s="4"/>
      <c r="L207" s="4"/>
      <c r="M207" s="4"/>
      <c r="N207" s="4"/>
    </row>
    <row r="208" spans="1:14">
      <c r="A208" s="4"/>
      <c r="B208" s="4"/>
      <c r="C208" s="4"/>
      <c r="D208" s="4"/>
      <c r="E208" s="4"/>
      <c r="F208" s="4"/>
      <c r="G208" s="4"/>
      <c r="H208" s="4"/>
      <c r="I208" s="26"/>
      <c r="J208" s="4"/>
      <c r="K208" s="4"/>
      <c r="L208" s="4"/>
      <c r="M208" s="4"/>
      <c r="N208" s="4"/>
    </row>
    <row r="209" spans="1:14">
      <c r="A209" s="4"/>
      <c r="B209" s="4"/>
      <c r="C209" s="4"/>
      <c r="D209" s="4"/>
      <c r="E209" s="4"/>
      <c r="F209" s="4"/>
      <c r="G209" s="4"/>
      <c r="H209" s="4"/>
      <c r="I209" s="26"/>
      <c r="J209" s="4"/>
      <c r="K209" s="4"/>
      <c r="L209" s="4"/>
      <c r="M209" s="4"/>
      <c r="N209" s="4"/>
    </row>
    <row r="210" spans="1:14">
      <c r="A210" s="4"/>
      <c r="B210" s="4"/>
      <c r="C210" s="4"/>
      <c r="D210" s="4"/>
      <c r="E210" s="4"/>
      <c r="F210" s="4"/>
      <c r="G210" s="4"/>
      <c r="H210" s="4"/>
      <c r="I210" s="26"/>
      <c r="J210" s="4"/>
      <c r="K210" s="4"/>
      <c r="L210" s="4"/>
      <c r="M210" s="4"/>
      <c r="N210" s="4"/>
    </row>
    <row r="211" spans="1:14">
      <c r="A211" s="4"/>
      <c r="B211" s="4"/>
      <c r="C211" s="4"/>
      <c r="D211" s="4"/>
      <c r="E211" s="4"/>
      <c r="F211" s="4"/>
      <c r="G211" s="4"/>
      <c r="H211" s="4"/>
      <c r="I211" s="26"/>
      <c r="J211" s="4"/>
      <c r="K211" s="4"/>
      <c r="L211" s="4"/>
      <c r="M211" s="4"/>
      <c r="N211" s="4"/>
    </row>
    <row r="212" spans="1:14">
      <c r="A212" s="4"/>
      <c r="B212" s="4"/>
      <c r="C212" s="4"/>
      <c r="D212" s="4"/>
      <c r="E212" s="4"/>
      <c r="F212" s="4"/>
      <c r="G212" s="4"/>
      <c r="H212" s="4"/>
      <c r="I212" s="26"/>
      <c r="J212" s="4"/>
      <c r="K212" s="4"/>
      <c r="L212" s="4"/>
      <c r="M212" s="4"/>
      <c r="N212" s="4"/>
    </row>
    <row r="213" spans="1:14">
      <c r="A213" s="4"/>
      <c r="B213" s="4"/>
      <c r="C213" s="4"/>
      <c r="D213" s="4"/>
      <c r="E213" s="4"/>
      <c r="F213" s="4"/>
      <c r="G213" s="4"/>
      <c r="H213" s="4"/>
      <c r="I213" s="26"/>
      <c r="J213" s="4"/>
      <c r="K213" s="4"/>
      <c r="L213" s="4"/>
      <c r="M213" s="4"/>
      <c r="N213" s="4"/>
    </row>
    <row r="214" spans="1:14">
      <c r="A214" s="4"/>
      <c r="B214" s="4"/>
      <c r="C214" s="4"/>
      <c r="D214" s="4"/>
      <c r="E214" s="4"/>
      <c r="F214" s="4"/>
      <c r="G214" s="4"/>
      <c r="H214" s="4"/>
      <c r="I214" s="26"/>
      <c r="J214" s="4"/>
      <c r="K214" s="4"/>
      <c r="L214" s="4"/>
      <c r="M214" s="4"/>
      <c r="N214" s="4"/>
    </row>
    <row r="215" spans="1:14">
      <c r="A215" s="4"/>
      <c r="B215" s="4"/>
      <c r="C215" s="4"/>
      <c r="D215" s="4"/>
      <c r="E215" s="4"/>
      <c r="F215" s="4"/>
      <c r="G215" s="4"/>
      <c r="H215" s="4"/>
      <c r="I215" s="26"/>
      <c r="J215" s="4"/>
      <c r="K215" s="4"/>
      <c r="L215" s="4"/>
      <c r="M215" s="4"/>
      <c r="N215" s="4"/>
    </row>
    <row r="216" spans="1:14">
      <c r="A216" s="4"/>
      <c r="B216" s="4"/>
      <c r="C216" s="4"/>
      <c r="D216" s="4"/>
      <c r="E216" s="4"/>
      <c r="F216" s="4"/>
      <c r="G216" s="4"/>
      <c r="H216" s="4"/>
      <c r="I216" s="26"/>
      <c r="J216" s="4"/>
      <c r="K216" s="4"/>
      <c r="L216" s="4"/>
      <c r="M216" s="4"/>
      <c r="N216" s="4"/>
    </row>
    <row r="217" spans="1:14">
      <c r="A217" s="4"/>
      <c r="B217" s="4"/>
      <c r="C217" s="4"/>
      <c r="D217" s="4"/>
      <c r="E217" s="4"/>
      <c r="F217" s="4"/>
      <c r="G217" s="4"/>
      <c r="H217" s="4"/>
      <c r="I217" s="26"/>
      <c r="J217" s="4"/>
      <c r="K217" s="4"/>
      <c r="L217" s="4"/>
      <c r="M217" s="4"/>
      <c r="N217" s="4"/>
    </row>
    <row r="218" spans="1:14">
      <c r="A218" s="4"/>
      <c r="B218" s="4"/>
      <c r="C218" s="4"/>
      <c r="D218" s="4"/>
      <c r="E218" s="4"/>
      <c r="F218" s="4"/>
      <c r="G218" s="4"/>
      <c r="H218" s="4"/>
      <c r="I218" s="26"/>
      <c r="J218" s="4"/>
      <c r="K218" s="4"/>
      <c r="L218" s="4"/>
      <c r="M218" s="4"/>
      <c r="N218" s="4"/>
    </row>
    <row r="219" spans="1:14">
      <c r="A219" s="4"/>
      <c r="B219" s="4"/>
      <c r="C219" s="4"/>
      <c r="D219" s="4"/>
      <c r="E219" s="4"/>
      <c r="F219" s="4"/>
      <c r="G219" s="4"/>
      <c r="H219" s="4"/>
      <c r="I219" s="26"/>
      <c r="J219" s="4"/>
      <c r="K219" s="4"/>
      <c r="L219" s="4"/>
      <c r="M219" s="4"/>
      <c r="N219" s="4"/>
    </row>
    <row r="220" spans="1:14">
      <c r="A220" s="4"/>
      <c r="B220" s="4"/>
      <c r="C220" s="4"/>
      <c r="D220" s="4"/>
      <c r="E220" s="4"/>
      <c r="F220" s="4"/>
      <c r="G220" s="4"/>
      <c r="H220" s="4"/>
      <c r="I220" s="26"/>
      <c r="J220" s="4"/>
      <c r="K220" s="4"/>
      <c r="L220" s="4"/>
      <c r="M220" s="4"/>
      <c r="N220" s="4"/>
    </row>
    <row r="221" spans="1:14">
      <c r="A221" s="4"/>
      <c r="B221" s="4"/>
      <c r="C221" s="4"/>
      <c r="D221" s="4"/>
      <c r="E221" s="4"/>
      <c r="F221" s="4"/>
      <c r="G221" s="4"/>
      <c r="H221" s="4"/>
      <c r="I221" s="26"/>
      <c r="J221" s="4"/>
      <c r="K221" s="4"/>
      <c r="L221" s="4"/>
      <c r="M221" s="4"/>
      <c r="N221" s="4"/>
    </row>
    <row r="222" spans="1:14">
      <c r="A222" s="4"/>
      <c r="B222" s="4"/>
      <c r="C222" s="4"/>
      <c r="D222" s="4"/>
      <c r="E222" s="4"/>
      <c r="F222" s="4"/>
      <c r="G222" s="4"/>
      <c r="H222" s="4"/>
      <c r="I222" s="26"/>
      <c r="J222" s="4"/>
      <c r="K222" s="4"/>
      <c r="L222" s="4"/>
      <c r="M222" s="4"/>
      <c r="N222" s="4"/>
    </row>
    <row r="223" spans="1:14">
      <c r="A223" s="4"/>
      <c r="B223" s="4"/>
      <c r="C223" s="4"/>
      <c r="D223" s="4"/>
      <c r="E223" s="4"/>
      <c r="F223" s="4"/>
      <c r="G223" s="4"/>
      <c r="H223" s="4"/>
      <c r="I223" s="26"/>
      <c r="J223" s="4"/>
      <c r="K223" s="4"/>
      <c r="L223" s="4"/>
      <c r="M223" s="4"/>
      <c r="N223" s="4"/>
    </row>
    <row r="224" spans="1:14">
      <c r="A224" s="4"/>
      <c r="B224" s="4"/>
      <c r="C224" s="4"/>
      <c r="D224" s="4"/>
      <c r="E224" s="4"/>
      <c r="F224" s="4"/>
      <c r="G224" s="4"/>
      <c r="H224" s="4"/>
      <c r="I224" s="26"/>
      <c r="J224" s="4"/>
      <c r="K224" s="4"/>
      <c r="L224" s="4"/>
      <c r="M224" s="4"/>
      <c r="N224" s="4"/>
    </row>
    <row r="225" spans="1:14">
      <c r="A225" s="4"/>
      <c r="B225" s="4"/>
      <c r="C225" s="4"/>
      <c r="D225" s="4"/>
      <c r="E225" s="4"/>
      <c r="F225" s="4"/>
      <c r="G225" s="4"/>
      <c r="H225" s="4"/>
      <c r="I225" s="26"/>
      <c r="J225" s="4"/>
      <c r="K225" s="4"/>
      <c r="L225" s="4"/>
      <c r="M225" s="4"/>
      <c r="N225" s="4"/>
    </row>
    <row r="226" spans="1:14">
      <c r="A226" s="4"/>
      <c r="B226" s="4"/>
      <c r="C226" s="4"/>
      <c r="D226" s="4"/>
      <c r="E226" s="4"/>
      <c r="F226" s="4"/>
      <c r="G226" s="4"/>
      <c r="H226" s="4"/>
      <c r="I226" s="26"/>
      <c r="J226" s="4"/>
      <c r="K226" s="4"/>
      <c r="L226" s="4"/>
      <c r="M226" s="4"/>
      <c r="N226" s="4"/>
    </row>
    <row r="227" spans="1:14">
      <c r="A227" s="4"/>
      <c r="B227" s="4"/>
      <c r="C227" s="4"/>
      <c r="D227" s="4"/>
      <c r="E227" s="4"/>
      <c r="F227" s="4"/>
      <c r="G227" s="4"/>
      <c r="H227" s="4"/>
      <c r="I227" s="26"/>
      <c r="J227" s="4"/>
      <c r="K227" s="4"/>
      <c r="L227" s="4"/>
      <c r="M227" s="4"/>
      <c r="N227" s="4"/>
    </row>
    <row r="228" spans="1:14">
      <c r="A228" s="4"/>
      <c r="B228" s="4"/>
      <c r="C228" s="4"/>
      <c r="D228" s="4"/>
      <c r="E228" s="4"/>
      <c r="F228" s="4"/>
      <c r="G228" s="4"/>
      <c r="H228" s="4"/>
      <c r="I228" s="26"/>
      <c r="J228" s="4"/>
      <c r="K228" s="4"/>
      <c r="L228" s="4"/>
      <c r="M228" s="4"/>
      <c r="N228" s="4"/>
    </row>
    <row r="229" spans="1:14">
      <c r="A229" s="4"/>
      <c r="B229" s="4"/>
      <c r="C229" s="4"/>
      <c r="D229" s="4"/>
      <c r="E229" s="4"/>
      <c r="F229" s="4"/>
      <c r="G229" s="4"/>
      <c r="H229" s="4"/>
      <c r="I229" s="26"/>
      <c r="J229" s="4"/>
      <c r="K229" s="4"/>
      <c r="L229" s="4"/>
      <c r="M229" s="4"/>
      <c r="N229" s="4"/>
    </row>
    <row r="230" spans="1:14">
      <c r="A230" s="4"/>
      <c r="B230" s="4"/>
      <c r="C230" s="4"/>
      <c r="D230" s="4"/>
      <c r="E230" s="4"/>
      <c r="F230" s="4"/>
      <c r="G230" s="4"/>
      <c r="H230" s="4"/>
      <c r="I230" s="26"/>
      <c r="J230" s="4"/>
      <c r="K230" s="4"/>
      <c r="L230" s="4"/>
      <c r="M230" s="4"/>
      <c r="N230" s="4"/>
    </row>
    <row r="231" spans="1:14">
      <c r="A231" s="4"/>
      <c r="B231" s="4"/>
      <c r="C231" s="4"/>
      <c r="D231" s="4"/>
      <c r="E231" s="4"/>
      <c r="F231" s="4"/>
      <c r="G231" s="4"/>
      <c r="H231" s="4"/>
      <c r="I231" s="26"/>
      <c r="J231" s="4"/>
      <c r="K231" s="4"/>
      <c r="L231" s="4"/>
      <c r="M231" s="4"/>
      <c r="N231" s="4"/>
    </row>
    <row r="232" spans="1:14">
      <c r="A232" s="4"/>
      <c r="B232" s="4"/>
      <c r="C232" s="4"/>
      <c r="D232" s="4"/>
      <c r="E232" s="4"/>
      <c r="F232" s="4"/>
      <c r="G232" s="4"/>
      <c r="H232" s="4"/>
      <c r="I232" s="26"/>
      <c r="J232" s="4"/>
      <c r="K232" s="4"/>
      <c r="L232" s="4"/>
      <c r="M232" s="4"/>
      <c r="N232" s="4"/>
    </row>
    <row r="233" spans="1:14">
      <c r="A233" s="4"/>
      <c r="B233" s="4"/>
      <c r="C233" s="4"/>
      <c r="D233" s="4"/>
      <c r="E233" s="4"/>
      <c r="F233" s="4"/>
      <c r="G233" s="4"/>
      <c r="H233" s="4"/>
      <c r="I233" s="26"/>
      <c r="J233" s="4"/>
      <c r="K233" s="4"/>
      <c r="L233" s="4"/>
      <c r="M233" s="4"/>
      <c r="N233" s="4"/>
    </row>
    <row r="234" spans="1:14">
      <c r="A234" s="4"/>
      <c r="B234" s="4"/>
      <c r="C234" s="4"/>
      <c r="D234" s="4"/>
      <c r="E234" s="4"/>
      <c r="F234" s="4"/>
      <c r="G234" s="4"/>
      <c r="H234" s="4"/>
      <c r="I234" s="26"/>
      <c r="J234" s="4"/>
      <c r="K234" s="4"/>
      <c r="L234" s="4"/>
      <c r="M234" s="4"/>
      <c r="N234" s="4"/>
    </row>
    <row r="235" spans="1:14">
      <c r="A235" s="4"/>
      <c r="B235" s="4"/>
      <c r="C235" s="4"/>
      <c r="D235" s="4"/>
      <c r="E235" s="4"/>
      <c r="F235" s="4"/>
      <c r="G235" s="4"/>
      <c r="H235" s="4"/>
      <c r="I235" s="26"/>
      <c r="J235" s="4"/>
      <c r="K235" s="4"/>
      <c r="L235" s="4"/>
      <c r="M235" s="4"/>
      <c r="N235" s="4"/>
    </row>
    <row r="236" spans="1:14">
      <c r="A236" s="4"/>
      <c r="B236" s="4"/>
      <c r="C236" s="4"/>
      <c r="D236" s="4"/>
      <c r="E236" s="4"/>
      <c r="F236" s="4"/>
      <c r="G236" s="4"/>
      <c r="H236" s="4"/>
      <c r="I236" s="26"/>
      <c r="J236" s="4"/>
      <c r="K236" s="4"/>
      <c r="L236" s="4"/>
      <c r="M236" s="4"/>
      <c r="N236" s="4"/>
    </row>
    <row r="237" spans="1:14">
      <c r="A237" s="4"/>
      <c r="B237" s="4"/>
      <c r="C237" s="4"/>
      <c r="D237" s="4"/>
      <c r="E237" s="4"/>
      <c r="F237" s="4"/>
      <c r="G237" s="4"/>
      <c r="H237" s="4"/>
      <c r="I237" s="26"/>
      <c r="J237" s="4"/>
      <c r="K237" s="4"/>
      <c r="L237" s="4"/>
      <c r="M237" s="4"/>
      <c r="N237" s="4"/>
    </row>
    <row r="238" spans="1:14">
      <c r="A238" s="4"/>
      <c r="B238" s="4"/>
      <c r="C238" s="4"/>
      <c r="D238" s="4"/>
      <c r="E238" s="4"/>
      <c r="F238" s="4"/>
      <c r="G238" s="4"/>
      <c r="H238" s="4"/>
      <c r="I238" s="26"/>
      <c r="J238" s="4"/>
      <c r="K238" s="4"/>
      <c r="L238" s="4"/>
      <c r="M238" s="4"/>
      <c r="N238" s="4"/>
    </row>
    <row r="239" spans="1:14">
      <c r="A239" s="4"/>
      <c r="B239" s="4"/>
      <c r="C239" s="4"/>
      <c r="D239" s="4"/>
      <c r="E239" s="4"/>
      <c r="F239" s="4"/>
      <c r="G239" s="4"/>
      <c r="H239" s="4"/>
      <c r="I239" s="26"/>
      <c r="J239" s="4"/>
      <c r="K239" s="4"/>
      <c r="L239" s="4"/>
      <c r="M239" s="4"/>
      <c r="N239" s="4"/>
    </row>
    <row r="240" spans="1:14">
      <c r="A240" s="4"/>
      <c r="B240" s="4"/>
      <c r="C240" s="4"/>
      <c r="D240" s="4"/>
      <c r="E240" s="4"/>
      <c r="F240" s="4"/>
      <c r="G240" s="4"/>
      <c r="H240" s="4"/>
      <c r="I240" s="26"/>
      <c r="J240" s="4"/>
      <c r="K240" s="4"/>
      <c r="L240" s="4"/>
      <c r="M240" s="4"/>
      <c r="N240" s="4"/>
    </row>
    <row r="241" spans="1:14">
      <c r="A241" s="4"/>
      <c r="B241" s="4"/>
      <c r="C241" s="4"/>
      <c r="D241" s="4"/>
      <c r="E241" s="4"/>
      <c r="F241" s="4"/>
      <c r="G241" s="4"/>
      <c r="H241" s="4"/>
      <c r="I241" s="26"/>
      <c r="J241" s="4"/>
      <c r="K241" s="4"/>
      <c r="L241" s="4"/>
      <c r="M241" s="4"/>
      <c r="N241" s="4"/>
    </row>
    <row r="242" spans="1:14">
      <c r="A242" s="4"/>
      <c r="B242" s="4"/>
      <c r="C242" s="4"/>
      <c r="D242" s="4"/>
      <c r="E242" s="4"/>
      <c r="F242" s="4"/>
      <c r="G242" s="4"/>
      <c r="H242" s="4"/>
      <c r="I242" s="26"/>
      <c r="J242" s="4"/>
      <c r="K242" s="4"/>
      <c r="L242" s="4"/>
      <c r="M242" s="4"/>
      <c r="N242" s="4"/>
    </row>
    <row r="243" spans="1:14">
      <c r="A243" s="4"/>
      <c r="B243" s="4"/>
      <c r="C243" s="4"/>
      <c r="D243" s="4"/>
      <c r="E243" s="4"/>
      <c r="F243" s="4"/>
      <c r="G243" s="4"/>
      <c r="H243" s="4"/>
      <c r="I243" s="26"/>
      <c r="J243" s="4"/>
      <c r="K243" s="4"/>
      <c r="L243" s="4"/>
      <c r="M243" s="4"/>
      <c r="N243" s="4"/>
    </row>
    <row r="244" spans="1:14">
      <c r="A244" s="4"/>
      <c r="B244" s="4"/>
      <c r="C244" s="4"/>
      <c r="D244" s="4"/>
      <c r="E244" s="4"/>
      <c r="F244" s="4"/>
      <c r="G244" s="4"/>
      <c r="H244" s="4"/>
      <c r="I244" s="26"/>
      <c r="J244" s="4"/>
      <c r="K244" s="4"/>
      <c r="L244" s="4"/>
      <c r="M244" s="4"/>
      <c r="N244" s="4"/>
    </row>
    <row r="245" spans="1:14">
      <c r="A245" s="4"/>
      <c r="B245" s="4"/>
      <c r="C245" s="4"/>
      <c r="D245" s="4"/>
      <c r="E245" s="4"/>
      <c r="F245" s="4"/>
      <c r="G245" s="4"/>
      <c r="H245" s="4"/>
      <c r="I245" s="26"/>
      <c r="J245" s="4"/>
      <c r="K245" s="4"/>
      <c r="L245" s="4"/>
      <c r="M245" s="4"/>
      <c r="N245" s="4"/>
    </row>
    <row r="246" spans="1:14">
      <c r="A246" s="4"/>
      <c r="B246" s="4"/>
      <c r="C246" s="4"/>
      <c r="D246" s="4"/>
      <c r="E246" s="4"/>
      <c r="F246" s="4"/>
      <c r="G246" s="4"/>
      <c r="H246" s="4"/>
      <c r="I246" s="26"/>
      <c r="J246" s="4"/>
      <c r="K246" s="4"/>
      <c r="L246" s="4"/>
      <c r="M246" s="4"/>
      <c r="N246" s="4"/>
    </row>
    <row r="247" spans="1:14">
      <c r="A247" s="4"/>
      <c r="B247" s="4"/>
      <c r="C247" s="4"/>
      <c r="D247" s="4"/>
      <c r="E247" s="4"/>
      <c r="F247" s="4"/>
      <c r="G247" s="4"/>
      <c r="H247" s="4"/>
      <c r="I247" s="26"/>
      <c r="J247" s="4"/>
      <c r="K247" s="4"/>
      <c r="L247" s="4"/>
      <c r="M247" s="4"/>
      <c r="N247" s="4"/>
    </row>
    <row r="248" spans="1:14">
      <c r="A248" s="4"/>
      <c r="B248" s="4"/>
      <c r="C248" s="4"/>
      <c r="D248" s="4"/>
      <c r="E248" s="4"/>
      <c r="F248" s="4"/>
      <c r="G248" s="4"/>
      <c r="H248" s="4"/>
      <c r="I248" s="26"/>
      <c r="J248" s="4"/>
      <c r="K248" s="4"/>
      <c r="L248" s="4"/>
      <c r="M248" s="4"/>
      <c r="N248" s="4"/>
    </row>
    <row r="249" spans="1:14">
      <c r="A249" s="4"/>
      <c r="B249" s="4"/>
      <c r="C249" s="4"/>
      <c r="D249" s="4"/>
      <c r="E249" s="4"/>
      <c r="F249" s="4"/>
      <c r="G249" s="4"/>
      <c r="H249" s="4"/>
      <c r="I249" s="26"/>
      <c r="J249" s="4"/>
      <c r="K249" s="4"/>
      <c r="L249" s="4"/>
      <c r="M249" s="4"/>
      <c r="N249" s="4"/>
    </row>
    <row r="250" spans="1:14">
      <c r="A250" s="4"/>
      <c r="B250" s="4"/>
      <c r="C250" s="4"/>
      <c r="D250" s="4"/>
      <c r="E250" s="4"/>
      <c r="F250" s="4"/>
      <c r="G250" s="4"/>
      <c r="H250" s="4"/>
      <c r="I250" s="26"/>
      <c r="J250" s="4"/>
      <c r="K250" s="4"/>
      <c r="L250" s="4"/>
      <c r="M250" s="4"/>
      <c r="N250" s="4"/>
    </row>
    <row r="251" spans="1:14">
      <c r="A251" s="4"/>
      <c r="B251" s="4"/>
      <c r="C251" s="4"/>
      <c r="D251" s="4"/>
      <c r="E251" s="4"/>
      <c r="F251" s="4"/>
      <c r="G251" s="4"/>
      <c r="H251" s="4"/>
      <c r="I251" s="26"/>
      <c r="J251" s="4"/>
      <c r="K251" s="4"/>
      <c r="L251" s="4"/>
      <c r="M251" s="4"/>
      <c r="N251" s="4"/>
    </row>
    <row r="252" spans="1:14">
      <c r="A252" s="4"/>
      <c r="B252" s="4"/>
      <c r="C252" s="4"/>
      <c r="D252" s="4"/>
      <c r="E252" s="4"/>
      <c r="F252" s="4"/>
      <c r="G252" s="4"/>
      <c r="H252" s="4"/>
      <c r="I252" s="26"/>
      <c r="J252" s="4"/>
      <c r="K252" s="4"/>
      <c r="L252" s="4"/>
      <c r="M252" s="4"/>
      <c r="N252" s="4"/>
    </row>
    <row r="253" spans="1:14">
      <c r="A253" s="4"/>
      <c r="B253" s="4"/>
      <c r="C253" s="4"/>
      <c r="D253" s="4"/>
      <c r="E253" s="4"/>
      <c r="F253" s="4"/>
      <c r="G253" s="4"/>
      <c r="H253" s="4"/>
      <c r="I253" s="26"/>
      <c r="J253" s="4"/>
      <c r="K253" s="4"/>
      <c r="L253" s="4"/>
      <c r="M253" s="4"/>
      <c r="N253" s="4"/>
    </row>
    <row r="254" spans="1:14">
      <c r="A254" s="4"/>
      <c r="B254" s="4"/>
      <c r="C254" s="4"/>
      <c r="D254" s="4"/>
      <c r="E254" s="4"/>
      <c r="F254" s="4"/>
      <c r="G254" s="4"/>
      <c r="H254" s="4"/>
      <c r="I254" s="26"/>
      <c r="J254" s="4"/>
      <c r="K254" s="4"/>
      <c r="L254" s="4"/>
      <c r="M254" s="4"/>
      <c r="N254" s="4"/>
    </row>
    <row r="255" spans="1:14">
      <c r="A255" s="4"/>
      <c r="B255" s="4"/>
      <c r="C255" s="4"/>
      <c r="D255" s="4"/>
      <c r="E255" s="4"/>
      <c r="F255" s="4"/>
      <c r="G255" s="4"/>
      <c r="H255" s="4"/>
      <c r="I255" s="26"/>
      <c r="J255" s="4"/>
      <c r="K255" s="4"/>
      <c r="L255" s="4"/>
      <c r="M255" s="4"/>
      <c r="N255" s="4"/>
    </row>
    <row r="256" spans="1:14">
      <c r="A256" s="4"/>
      <c r="B256" s="4"/>
      <c r="C256" s="4"/>
      <c r="D256" s="4"/>
      <c r="E256" s="4"/>
      <c r="F256" s="4"/>
      <c r="G256" s="4"/>
      <c r="H256" s="4"/>
      <c r="I256" s="26"/>
      <c r="J256" s="4"/>
      <c r="K256" s="4"/>
      <c r="L256" s="4"/>
      <c r="M256" s="4"/>
      <c r="N256" s="4"/>
    </row>
    <row r="257" spans="1:14">
      <c r="A257" s="4"/>
      <c r="B257" s="4"/>
      <c r="C257" s="4"/>
      <c r="D257" s="4"/>
      <c r="E257" s="4"/>
      <c r="F257" s="4"/>
      <c r="G257" s="4"/>
      <c r="H257" s="4"/>
      <c r="I257" s="26"/>
      <c r="J257" s="4"/>
      <c r="K257" s="4"/>
      <c r="L257" s="4"/>
      <c r="M257" s="4"/>
      <c r="N257" s="4"/>
    </row>
    <row r="258" spans="1:14">
      <c r="A258" s="4"/>
      <c r="B258" s="4"/>
      <c r="C258" s="4"/>
      <c r="D258" s="4"/>
      <c r="E258" s="4"/>
      <c r="F258" s="4"/>
      <c r="G258" s="4"/>
      <c r="H258" s="4"/>
      <c r="I258" s="26"/>
      <c r="J258" s="4"/>
      <c r="K258" s="4"/>
      <c r="L258" s="4"/>
      <c r="M258" s="4"/>
      <c r="N258" s="4"/>
    </row>
    <row r="259" spans="1:14">
      <c r="A259" s="4"/>
      <c r="B259" s="4"/>
      <c r="C259" s="4"/>
      <c r="D259" s="4"/>
      <c r="E259" s="4"/>
      <c r="F259" s="4"/>
      <c r="G259" s="4"/>
      <c r="H259" s="4"/>
      <c r="I259" s="26"/>
      <c r="J259" s="4"/>
      <c r="K259" s="4"/>
      <c r="L259" s="4"/>
      <c r="M259" s="4"/>
      <c r="N259" s="4"/>
    </row>
    <row r="260" spans="1:14">
      <c r="A260" s="4"/>
      <c r="B260" s="4"/>
      <c r="C260" s="4"/>
      <c r="D260" s="4"/>
      <c r="E260" s="4"/>
      <c r="F260" s="4"/>
      <c r="G260" s="4"/>
      <c r="H260" s="4"/>
      <c r="I260" s="26"/>
      <c r="J260" s="4"/>
      <c r="K260" s="4"/>
      <c r="L260" s="4"/>
      <c r="M260" s="4"/>
      <c r="N260" s="4"/>
    </row>
    <row r="261" spans="1:14">
      <c r="A261" s="4"/>
      <c r="B261" s="4"/>
      <c r="C261" s="4"/>
      <c r="D261" s="4"/>
      <c r="E261" s="4"/>
      <c r="F261" s="4"/>
      <c r="G261" s="4"/>
      <c r="H261" s="4"/>
      <c r="I261" s="26"/>
      <c r="J261" s="4"/>
      <c r="K261" s="4"/>
      <c r="L261" s="4"/>
      <c r="M261" s="4"/>
      <c r="N261" s="4"/>
    </row>
    <row r="262" spans="1:14">
      <c r="A262" s="4"/>
      <c r="B262" s="4"/>
      <c r="C262" s="4"/>
      <c r="D262" s="4"/>
      <c r="E262" s="4"/>
      <c r="F262" s="4"/>
      <c r="G262" s="4"/>
      <c r="H262" s="4"/>
      <c r="I262" s="26"/>
      <c r="J262" s="4"/>
      <c r="K262" s="4"/>
      <c r="L262" s="4"/>
      <c r="M262" s="4"/>
      <c r="N262" s="4"/>
    </row>
    <row r="263" spans="1:14">
      <c r="A263" s="4"/>
      <c r="B263" s="4"/>
      <c r="C263" s="4"/>
      <c r="D263" s="4"/>
      <c r="E263" s="4"/>
      <c r="F263" s="4"/>
      <c r="G263" s="4"/>
      <c r="H263" s="4"/>
      <c r="I263" s="26"/>
      <c r="J263" s="4"/>
      <c r="K263" s="4"/>
      <c r="L263" s="4"/>
      <c r="M263" s="4"/>
      <c r="N263" s="4"/>
    </row>
    <row r="264" spans="1:14">
      <c r="A264" s="4"/>
      <c r="B264" s="4"/>
      <c r="C264" s="4"/>
      <c r="D264" s="4"/>
      <c r="E264" s="4"/>
      <c r="F264" s="4"/>
      <c r="G264" s="4"/>
      <c r="H264" s="4"/>
      <c r="I264" s="26"/>
      <c r="J264" s="4"/>
      <c r="K264" s="4"/>
      <c r="L264" s="4"/>
      <c r="M264" s="4"/>
      <c r="N264" s="4"/>
    </row>
    <row r="265" spans="1:14">
      <c r="A265" s="4"/>
      <c r="B265" s="4"/>
      <c r="C265" s="4"/>
      <c r="D265" s="4"/>
      <c r="E265" s="4"/>
      <c r="F265" s="4"/>
      <c r="G265" s="4"/>
      <c r="H265" s="4"/>
      <c r="I265" s="26"/>
      <c r="J265" s="4"/>
      <c r="K265" s="4"/>
      <c r="L265" s="4"/>
      <c r="M265" s="4"/>
      <c r="N265" s="4"/>
    </row>
    <row r="266" spans="1:14">
      <c r="A266" s="4"/>
      <c r="B266" s="4"/>
      <c r="C266" s="4"/>
      <c r="D266" s="4"/>
      <c r="E266" s="4"/>
      <c r="F266" s="4"/>
      <c r="G266" s="4"/>
      <c r="H266" s="4"/>
      <c r="I266" s="26"/>
      <c r="J266" s="4"/>
      <c r="K266" s="4"/>
      <c r="L266" s="4"/>
      <c r="M266" s="4"/>
      <c r="N266" s="4"/>
    </row>
    <row r="267" spans="1:14">
      <c r="A267" s="4"/>
      <c r="B267" s="4"/>
      <c r="C267" s="4"/>
      <c r="D267" s="4"/>
      <c r="E267" s="4"/>
      <c r="F267" s="4"/>
      <c r="G267" s="4"/>
      <c r="H267" s="4"/>
      <c r="I267" s="26"/>
      <c r="J267" s="4"/>
      <c r="K267" s="4"/>
      <c r="L267" s="4"/>
      <c r="M267" s="4"/>
      <c r="N267" s="4"/>
    </row>
    <row r="268" spans="1:14">
      <c r="A268" s="4"/>
      <c r="B268" s="4"/>
      <c r="C268" s="4"/>
      <c r="D268" s="4"/>
      <c r="E268" s="4"/>
      <c r="F268" s="4"/>
      <c r="G268" s="4"/>
      <c r="H268" s="4"/>
      <c r="I268" s="26"/>
      <c r="J268" s="4"/>
      <c r="K268" s="4"/>
      <c r="L268" s="4"/>
      <c r="M268" s="4"/>
      <c r="N268" s="4"/>
    </row>
    <row r="269" spans="1:14">
      <c r="A269" s="4"/>
      <c r="B269" s="4"/>
      <c r="C269" s="4"/>
      <c r="D269" s="4"/>
      <c r="E269" s="4"/>
      <c r="F269" s="4"/>
      <c r="G269" s="4"/>
      <c r="H269" s="4"/>
      <c r="I269" s="26"/>
      <c r="J269" s="4"/>
      <c r="K269" s="4"/>
      <c r="L269" s="4"/>
      <c r="M269" s="4"/>
      <c r="N269" s="4"/>
    </row>
    <row r="270" spans="1:14">
      <c r="A270" s="4"/>
      <c r="B270" s="4"/>
      <c r="C270" s="4"/>
      <c r="D270" s="4"/>
      <c r="E270" s="4"/>
      <c r="F270" s="4"/>
      <c r="G270" s="4"/>
      <c r="H270" s="4"/>
      <c r="I270" s="26"/>
      <c r="J270" s="4"/>
      <c r="K270" s="4"/>
      <c r="L270" s="4"/>
      <c r="M270" s="4"/>
      <c r="N270" s="4"/>
    </row>
    <row r="271" spans="1:14">
      <c r="A271" s="4"/>
      <c r="B271" s="4"/>
      <c r="C271" s="4"/>
      <c r="D271" s="4"/>
      <c r="E271" s="4"/>
      <c r="F271" s="4"/>
      <c r="G271" s="4"/>
      <c r="H271" s="4"/>
      <c r="I271" s="26"/>
      <c r="J271" s="4"/>
      <c r="K271" s="4"/>
      <c r="L271" s="4"/>
      <c r="M271" s="4"/>
      <c r="N271" s="4"/>
    </row>
    <row r="272" spans="1:14">
      <c r="A272" s="4"/>
      <c r="B272" s="4"/>
      <c r="C272" s="4"/>
      <c r="D272" s="4"/>
      <c r="E272" s="4"/>
      <c r="F272" s="4"/>
      <c r="G272" s="4"/>
      <c r="H272" s="4"/>
      <c r="I272" s="26"/>
      <c r="J272" s="4"/>
      <c r="K272" s="4"/>
      <c r="L272" s="4"/>
      <c r="M272" s="4"/>
      <c r="N272" s="4"/>
    </row>
    <row r="273" spans="1:14">
      <c r="A273" s="4"/>
      <c r="B273" s="4"/>
      <c r="C273" s="4"/>
      <c r="D273" s="4"/>
      <c r="E273" s="4"/>
      <c r="F273" s="4"/>
      <c r="G273" s="4"/>
      <c r="H273" s="4"/>
      <c r="I273" s="26"/>
      <c r="J273" s="4"/>
      <c r="K273" s="4"/>
      <c r="L273" s="4"/>
      <c r="M273" s="4"/>
      <c r="N273" s="4"/>
    </row>
    <row r="274" spans="1:14">
      <c r="A274" s="4"/>
      <c r="B274" s="4"/>
      <c r="C274" s="4"/>
      <c r="D274" s="4"/>
      <c r="E274" s="4"/>
      <c r="F274" s="4"/>
      <c r="G274" s="4"/>
      <c r="H274" s="4"/>
      <c r="I274" s="26"/>
      <c r="J274" s="4"/>
      <c r="K274" s="4"/>
      <c r="L274" s="4"/>
      <c r="M274" s="4"/>
      <c r="N274" s="4"/>
    </row>
    <row r="275" spans="1:14">
      <c r="A275" s="4"/>
      <c r="B275" s="4"/>
      <c r="C275" s="4"/>
      <c r="D275" s="4"/>
      <c r="E275" s="4"/>
      <c r="F275" s="4"/>
      <c r="G275" s="4"/>
      <c r="H275" s="4"/>
      <c r="I275" s="26"/>
      <c r="J275" s="4"/>
      <c r="K275" s="4"/>
      <c r="L275" s="4"/>
      <c r="M275" s="4"/>
      <c r="N275" s="4"/>
    </row>
    <row r="276" spans="1:14">
      <c r="A276" s="4"/>
      <c r="B276" s="4"/>
      <c r="C276" s="4"/>
      <c r="D276" s="4"/>
      <c r="E276" s="4"/>
      <c r="F276" s="4"/>
      <c r="G276" s="4"/>
      <c r="H276" s="4"/>
      <c r="I276" s="26"/>
      <c r="J276" s="4"/>
      <c r="K276" s="4"/>
      <c r="L276" s="4"/>
      <c r="M276" s="4"/>
      <c r="N276" s="4"/>
    </row>
    <row r="277" spans="1:14">
      <c r="A277" s="4"/>
      <c r="B277" s="4"/>
      <c r="C277" s="4"/>
      <c r="D277" s="4"/>
      <c r="E277" s="4"/>
      <c r="F277" s="4"/>
      <c r="G277" s="4"/>
      <c r="H277" s="4"/>
      <c r="I277" s="26"/>
      <c r="J277" s="4"/>
      <c r="K277" s="4"/>
      <c r="L277" s="4"/>
      <c r="M277" s="4"/>
      <c r="N277" s="4"/>
    </row>
    <row r="278" spans="1:14">
      <c r="A278" s="4"/>
      <c r="B278" s="4"/>
      <c r="C278" s="4"/>
      <c r="D278" s="4"/>
      <c r="E278" s="4"/>
      <c r="F278" s="4"/>
      <c r="G278" s="4"/>
      <c r="H278" s="4"/>
      <c r="I278" s="26"/>
      <c r="J278" s="4"/>
      <c r="K278" s="4"/>
      <c r="L278" s="4"/>
      <c r="M278" s="4"/>
      <c r="N278" s="4"/>
    </row>
    <row r="279" spans="1:14">
      <c r="A279" s="4"/>
      <c r="B279" s="4"/>
      <c r="C279" s="4"/>
      <c r="D279" s="4"/>
      <c r="E279" s="4"/>
      <c r="F279" s="4"/>
      <c r="G279" s="4"/>
      <c r="H279" s="4"/>
      <c r="I279" s="26"/>
      <c r="J279" s="4"/>
      <c r="K279" s="4"/>
      <c r="L279" s="4"/>
      <c r="M279" s="4"/>
      <c r="N279" s="4"/>
    </row>
    <row r="280" spans="1:14">
      <c r="A280" s="4"/>
      <c r="B280" s="4"/>
      <c r="C280" s="4"/>
      <c r="D280" s="4"/>
      <c r="E280" s="4"/>
      <c r="F280" s="4"/>
      <c r="G280" s="4"/>
      <c r="H280" s="4"/>
      <c r="I280" s="26"/>
      <c r="J280" s="4"/>
      <c r="K280" s="4"/>
      <c r="L280" s="4"/>
      <c r="M280" s="4"/>
      <c r="N280" s="4"/>
    </row>
    <row r="281" spans="1:14">
      <c r="A281" s="4"/>
      <c r="B281" s="4"/>
      <c r="C281" s="4"/>
      <c r="D281" s="4"/>
      <c r="E281" s="4"/>
      <c r="F281" s="4"/>
      <c r="G281" s="4"/>
      <c r="H281" s="4"/>
      <c r="I281" s="26"/>
      <c r="J281" s="4"/>
      <c r="K281" s="4"/>
      <c r="L281" s="4"/>
      <c r="M281" s="4"/>
      <c r="N281" s="4"/>
    </row>
    <row r="282" spans="1:14">
      <c r="A282" s="4"/>
      <c r="B282" s="4"/>
      <c r="C282" s="4"/>
      <c r="D282" s="4"/>
      <c r="E282" s="4"/>
      <c r="F282" s="4"/>
      <c r="G282" s="4"/>
      <c r="H282" s="4"/>
      <c r="I282" s="26"/>
      <c r="J282" s="4"/>
      <c r="K282" s="4"/>
      <c r="L282" s="4"/>
      <c r="M282" s="4"/>
      <c r="N282" s="4"/>
    </row>
  </sheetData>
  <autoFilter ref="A1:N1" xr:uid="{00000000-0001-0000-0200-000000000000}"/>
  <dataValidations count="2">
    <dataValidation type="list" allowBlank="1" showInputMessage="1" showErrorMessage="1" sqref="C36:C282 C32:C33 C2:C25" xr:uid="{067F06ED-A5AE-45DD-987E-F5954C2BF435}">
      <formula1>INDIRECT(B2)</formula1>
    </dataValidation>
    <dataValidation type="list" allowBlank="1" showInputMessage="1" showErrorMessage="1" sqref="B14" xr:uid="{9D3A48F6-AFC0-439A-ABD5-1D4164AD5971}">
      <formula1>INDIRECT(A13)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39C8469-9CD8-4165-BFE3-149F697F7A1F}">
          <x14:formula1>
            <xm:f>List!$P$2:$P$11</xm:f>
          </x14:formula1>
          <xm:sqref>B2:B8 B13 B15:B31 B33 B36:B282</xm:sqref>
        </x14:dataValidation>
        <x14:dataValidation type="list" allowBlank="1" showInputMessage="1" showErrorMessage="1" xr:uid="{32FE5AEF-F6B2-471E-A50E-1CAC47DAB448}">
          <x14:formula1>
            <xm:f>List!$H$2:$H$13</xm:f>
          </x14:formula1>
          <xm:sqref>M36:M282</xm:sqref>
        </x14:dataValidation>
        <x14:dataValidation type="list" allowBlank="1" showInputMessage="1" showErrorMessage="1" xr:uid="{60284DE7-453C-4344-8240-31F7A646BA73}">
          <x14:formula1>
            <xm:f>List!$J$2:$J$4</xm:f>
          </x14:formula1>
          <xm:sqref>N36:N282</xm:sqref>
        </x14:dataValidation>
        <x14:dataValidation type="list" allowBlank="1" showInputMessage="1" showErrorMessage="1" xr:uid="{9F4E4ADD-A6B1-4263-BAA0-8CEFF8EE2812}">
          <x14:formula1>
            <xm:f>List!$C$2:$C$3</xm:f>
          </x14:formula1>
          <xm:sqref>D2:D282</xm:sqref>
        </x14:dataValidation>
        <x14:dataValidation type="list" allowBlank="1" showInputMessage="1" showErrorMessage="1" xr:uid="{FD73F5BE-968C-4311-B8D8-CA0C5F57934D}">
          <x14:formula1>
            <xm:f>List!$E$2:$E$32</xm:f>
          </x14:formula1>
          <xm:sqref>E2:E282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</sheetPr>
  <dimension ref="A1:N5"/>
  <sheetViews>
    <sheetView workbookViewId="0">
      <selection activeCell="A3" sqref="A3"/>
    </sheetView>
  </sheetViews>
  <sheetFormatPr defaultColWidth="9" defaultRowHeight="14.5"/>
  <cols>
    <col min="1" max="1" width="5.36328125" customWidth="1"/>
    <col min="2" max="2" width="9.36328125" customWidth="1"/>
    <col min="3" max="3" width="9.6328125" customWidth="1"/>
    <col min="4" max="4" width="9" customWidth="1"/>
    <col min="5" max="5" width="17.1796875" customWidth="1"/>
    <col min="6" max="6" width="10.1796875" customWidth="1"/>
    <col min="7" max="7" width="42.453125" customWidth="1"/>
    <col min="8" max="8" width="25.453125" customWidth="1"/>
    <col min="9" max="9" width="18.08984375" customWidth="1"/>
    <col min="10" max="10" width="10.08984375" customWidth="1"/>
    <col min="11" max="11" width="11.1796875" customWidth="1"/>
    <col min="12" max="12" width="10.81640625" customWidth="1"/>
    <col min="13" max="13" width="6.54296875" customWidth="1"/>
    <col min="14" max="14" width="4.81640625" customWidth="1"/>
  </cols>
  <sheetData>
    <row r="1" spans="1:14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  <c r="G1" s="97" t="s">
        <v>6</v>
      </c>
      <c r="H1" s="97" t="s">
        <v>7</v>
      </c>
      <c r="I1" s="97" t="s">
        <v>8</v>
      </c>
      <c r="J1" s="97" t="s">
        <v>9</v>
      </c>
      <c r="K1" s="97" t="s">
        <v>10</v>
      </c>
      <c r="L1" s="97" t="s">
        <v>11</v>
      </c>
      <c r="M1" s="97" t="s">
        <v>12</v>
      </c>
      <c r="N1" s="97" t="s">
        <v>13</v>
      </c>
    </row>
    <row r="2" spans="1:14">
      <c r="A2" s="46">
        <v>1</v>
      </c>
      <c r="B2" s="46" t="s">
        <v>42</v>
      </c>
      <c r="C2" s="46" t="s">
        <v>263</v>
      </c>
      <c r="D2" s="46" t="s">
        <v>60</v>
      </c>
      <c r="E2" s="46" t="s">
        <v>56</v>
      </c>
      <c r="F2" s="46"/>
      <c r="G2" s="46" t="s">
        <v>315</v>
      </c>
      <c r="H2" s="46" t="s">
        <v>56</v>
      </c>
      <c r="I2" s="100">
        <v>15000</v>
      </c>
      <c r="J2" s="46" t="s">
        <v>316</v>
      </c>
      <c r="K2" s="65">
        <v>46021</v>
      </c>
      <c r="L2" s="98" t="s">
        <v>14</v>
      </c>
      <c r="M2" s="98" t="s">
        <v>311</v>
      </c>
      <c r="N2" s="46">
        <v>2026</v>
      </c>
    </row>
    <row r="3" spans="1:14">
      <c r="A3" s="46">
        <v>2</v>
      </c>
      <c r="B3" s="99" t="s">
        <v>42</v>
      </c>
      <c r="C3" s="99" t="s">
        <v>263</v>
      </c>
      <c r="D3" s="46" t="s">
        <v>60</v>
      </c>
      <c r="E3" s="46" t="s">
        <v>56</v>
      </c>
      <c r="F3" s="46"/>
      <c r="G3" s="46" t="s">
        <v>315</v>
      </c>
      <c r="H3" s="46" t="s">
        <v>56</v>
      </c>
      <c r="I3" s="100">
        <v>22500</v>
      </c>
      <c r="J3" s="46" t="s">
        <v>317</v>
      </c>
      <c r="K3" s="65">
        <v>46019</v>
      </c>
      <c r="L3" s="98" t="s">
        <v>14</v>
      </c>
      <c r="M3" s="98" t="s">
        <v>311</v>
      </c>
      <c r="N3" s="46">
        <v>2026</v>
      </c>
    </row>
    <row r="4" spans="1:14">
      <c r="A4" s="46">
        <v>3</v>
      </c>
      <c r="B4" s="101" t="s">
        <v>42</v>
      </c>
      <c r="C4" s="101" t="s">
        <v>263</v>
      </c>
      <c r="D4" s="46" t="s">
        <v>60</v>
      </c>
      <c r="E4" s="46" t="s">
        <v>56</v>
      </c>
      <c r="F4" s="46"/>
      <c r="G4" s="46" t="s">
        <v>271</v>
      </c>
      <c r="H4" s="46" t="s">
        <v>56</v>
      </c>
      <c r="I4" s="100">
        <f>182000000/1480</f>
        <v>122972.97297297297</v>
      </c>
      <c r="J4" s="46" t="s">
        <v>318</v>
      </c>
      <c r="K4" s="65">
        <v>46023</v>
      </c>
      <c r="L4" s="46">
        <v>2026400260</v>
      </c>
      <c r="M4" s="98" t="s">
        <v>311</v>
      </c>
      <c r="N4" s="46">
        <v>2026</v>
      </c>
    </row>
    <row r="5" spans="1:14">
      <c r="A5" s="46">
        <v>4</v>
      </c>
      <c r="B5" s="46" t="s">
        <v>42</v>
      </c>
      <c r="C5" s="46" t="s">
        <v>48</v>
      </c>
      <c r="D5" s="46" t="s">
        <v>60</v>
      </c>
      <c r="E5" s="46" t="s">
        <v>56</v>
      </c>
      <c r="F5" s="46"/>
      <c r="G5" s="46" t="s">
        <v>315</v>
      </c>
      <c r="H5" s="46" t="s">
        <v>56</v>
      </c>
      <c r="I5" s="100">
        <v>23300</v>
      </c>
      <c r="J5" s="46" t="s">
        <v>319</v>
      </c>
      <c r="K5" s="65">
        <v>46036</v>
      </c>
      <c r="L5" s="98" t="s">
        <v>14</v>
      </c>
      <c r="M5" s="98" t="s">
        <v>311</v>
      </c>
      <c r="N5" s="46">
        <v>2026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0000000}">
          <x14:formula1>
            <xm:f>List!$P$2:$P$11</xm:f>
          </x14:formula1>
          <xm:sqref>B3</xm:sqref>
        </x14:dataValidation>
        <x14:dataValidation type="list" allowBlank="1" showInputMessage="1" showErrorMessage="1" xr:uid="{00000000-0002-0000-0300-000002000000}">
          <x14:formula1>
            <xm:f>List!$C$2:$C$3</xm:f>
          </x14:formula1>
          <xm:sqref>D2:D5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39997558519241921"/>
  </sheetPr>
  <dimension ref="A1:N123"/>
  <sheetViews>
    <sheetView topLeftCell="A115" workbookViewId="0">
      <selection activeCell="A123" sqref="A1:N123"/>
    </sheetView>
  </sheetViews>
  <sheetFormatPr defaultColWidth="9" defaultRowHeight="14.5"/>
  <cols>
    <col min="1" max="1" width="5.36328125" style="46" customWidth="1"/>
    <col min="2" max="2" width="9.36328125" style="46" customWidth="1"/>
    <col min="3" max="3" width="10.453125" style="46" customWidth="1"/>
    <col min="4" max="4" width="8.90625" style="46" customWidth="1"/>
    <col min="5" max="5" width="24.81640625" style="46" customWidth="1"/>
    <col min="6" max="6" width="10.08984375" style="46" customWidth="1"/>
    <col min="7" max="7" width="9.453125" style="46" customWidth="1"/>
    <col min="8" max="8" width="22.36328125" style="46" customWidth="1"/>
    <col min="9" max="9" width="18" style="46" customWidth="1"/>
    <col min="10" max="10" width="10.08984375" style="46" customWidth="1"/>
    <col min="11" max="11" width="13.453125" style="46" bestFit="1" customWidth="1"/>
    <col min="12" max="12" width="10.453125" style="46" customWidth="1"/>
    <col min="13" max="13" width="6.453125" style="46" customWidth="1"/>
    <col min="14" max="14" width="4.81640625" style="46" customWidth="1"/>
    <col min="15" max="16384" width="9" style="46"/>
  </cols>
  <sheetData>
    <row r="1" spans="1:14">
      <c r="A1" s="157" t="s">
        <v>0</v>
      </c>
      <c r="B1" s="157" t="s">
        <v>1</v>
      </c>
      <c r="C1" s="157" t="s">
        <v>2</v>
      </c>
      <c r="D1" s="157" t="s">
        <v>3</v>
      </c>
      <c r="E1" s="157" t="s">
        <v>4</v>
      </c>
      <c r="F1" s="157" t="s">
        <v>5</v>
      </c>
      <c r="G1" s="157" t="s">
        <v>6</v>
      </c>
      <c r="H1" s="157" t="s">
        <v>7</v>
      </c>
      <c r="I1" s="157" t="s">
        <v>8</v>
      </c>
      <c r="J1" s="157" t="s">
        <v>9</v>
      </c>
      <c r="K1" s="157" t="s">
        <v>10</v>
      </c>
      <c r="L1" s="157" t="s">
        <v>11</v>
      </c>
      <c r="M1" s="157" t="s">
        <v>12</v>
      </c>
      <c r="N1" s="157" t="s">
        <v>13</v>
      </c>
    </row>
    <row r="2" spans="1:14">
      <c r="A2" s="28">
        <v>1</v>
      </c>
      <c r="B2" s="28" t="s">
        <v>17</v>
      </c>
      <c r="C2" s="51" t="s">
        <v>22</v>
      </c>
      <c r="D2" s="28" t="s">
        <v>60</v>
      </c>
      <c r="E2" s="28" t="s">
        <v>63</v>
      </c>
      <c r="F2" s="28"/>
      <c r="G2" s="28" t="s">
        <v>64</v>
      </c>
      <c r="H2" s="52" t="s">
        <v>66</v>
      </c>
      <c r="I2" s="53">
        <v>878.37837837837833</v>
      </c>
      <c r="J2" s="51" t="s">
        <v>68</v>
      </c>
      <c r="K2" s="51">
        <v>46357</v>
      </c>
      <c r="L2" s="72" t="s">
        <v>14</v>
      </c>
      <c r="M2" s="117" t="s">
        <v>311</v>
      </c>
      <c r="N2" s="28">
        <v>2026</v>
      </c>
    </row>
    <row r="3" spans="1:14">
      <c r="A3" s="28">
        <v>2</v>
      </c>
      <c r="B3" s="28" t="s">
        <v>17</v>
      </c>
      <c r="C3" s="51" t="s">
        <v>25</v>
      </c>
      <c r="D3" s="28" t="s">
        <v>60</v>
      </c>
      <c r="E3" s="28" t="s">
        <v>63</v>
      </c>
      <c r="F3" s="28"/>
      <c r="G3" s="28" t="s">
        <v>64</v>
      </c>
      <c r="H3" s="52" t="s">
        <v>65</v>
      </c>
      <c r="I3" s="53">
        <v>135.13513513513513</v>
      </c>
      <c r="J3" s="28" t="s">
        <v>68</v>
      </c>
      <c r="K3" s="51">
        <v>46357</v>
      </c>
      <c r="L3" s="72" t="s">
        <v>14</v>
      </c>
      <c r="M3" s="117" t="s">
        <v>311</v>
      </c>
      <c r="N3" s="28">
        <v>2026</v>
      </c>
    </row>
    <row r="4" spans="1:14">
      <c r="A4" s="28">
        <v>3</v>
      </c>
      <c r="B4" s="28" t="s">
        <v>17</v>
      </c>
      <c r="C4" s="51" t="s">
        <v>25</v>
      </c>
      <c r="D4" s="28" t="s">
        <v>60</v>
      </c>
      <c r="E4" s="28" t="s">
        <v>63</v>
      </c>
      <c r="F4" s="28"/>
      <c r="G4" s="28" t="s">
        <v>64</v>
      </c>
      <c r="H4" s="52" t="s">
        <v>320</v>
      </c>
      <c r="I4" s="53">
        <v>1351.3513513513512</v>
      </c>
      <c r="J4" s="51" t="s">
        <v>68</v>
      </c>
      <c r="K4" s="51" t="s">
        <v>367</v>
      </c>
      <c r="L4" s="72" t="s">
        <v>14</v>
      </c>
      <c r="M4" s="117" t="s">
        <v>311</v>
      </c>
      <c r="N4" s="28">
        <v>2026</v>
      </c>
    </row>
    <row r="5" spans="1:14">
      <c r="A5" s="28">
        <v>4</v>
      </c>
      <c r="B5" s="28" t="s">
        <v>58</v>
      </c>
      <c r="C5" s="51" t="s">
        <v>59</v>
      </c>
      <c r="D5" s="28" t="s">
        <v>60</v>
      </c>
      <c r="E5" s="28" t="s">
        <v>63</v>
      </c>
      <c r="F5" s="28"/>
      <c r="G5" s="28" t="s">
        <v>64</v>
      </c>
      <c r="H5" s="52" t="s">
        <v>65</v>
      </c>
      <c r="I5" s="53">
        <v>3608.1081081081079</v>
      </c>
      <c r="J5" s="28" t="s">
        <v>68</v>
      </c>
      <c r="K5" s="51" t="s">
        <v>368</v>
      </c>
      <c r="L5" s="72" t="s">
        <v>14</v>
      </c>
      <c r="M5" s="117" t="s">
        <v>311</v>
      </c>
      <c r="N5" s="28">
        <v>2026</v>
      </c>
    </row>
    <row r="6" spans="1:14">
      <c r="A6" s="28">
        <v>5</v>
      </c>
      <c r="B6" s="28" t="s">
        <v>58</v>
      </c>
      <c r="C6" s="51" t="s">
        <v>59</v>
      </c>
      <c r="D6" s="28" t="s">
        <v>60</v>
      </c>
      <c r="E6" s="28" t="s">
        <v>63</v>
      </c>
      <c r="F6" s="28"/>
      <c r="G6" s="28" t="s">
        <v>64</v>
      </c>
      <c r="H6" s="52" t="s">
        <v>321</v>
      </c>
      <c r="I6" s="53">
        <v>675.67567567567562</v>
      </c>
      <c r="J6" s="28" t="s">
        <v>68</v>
      </c>
      <c r="K6" s="51">
        <v>46082</v>
      </c>
      <c r="L6" s="72" t="s">
        <v>14</v>
      </c>
      <c r="M6" s="117" t="s">
        <v>311</v>
      </c>
      <c r="N6" s="28">
        <v>2026</v>
      </c>
    </row>
    <row r="7" spans="1:14">
      <c r="A7" s="28">
        <v>6</v>
      </c>
      <c r="B7" s="28" t="s">
        <v>58</v>
      </c>
      <c r="C7" s="51" t="s">
        <v>59</v>
      </c>
      <c r="D7" s="28" t="s">
        <v>60</v>
      </c>
      <c r="E7" s="28" t="s">
        <v>63</v>
      </c>
      <c r="F7" s="28"/>
      <c r="G7" s="28" t="s">
        <v>64</v>
      </c>
      <c r="H7" s="52" t="s">
        <v>250</v>
      </c>
      <c r="I7" s="53">
        <v>7148.6486486486483</v>
      </c>
      <c r="J7" s="28" t="s">
        <v>68</v>
      </c>
      <c r="K7" s="51" t="s">
        <v>369</v>
      </c>
      <c r="L7" s="72" t="s">
        <v>14</v>
      </c>
      <c r="M7" s="117" t="s">
        <v>311</v>
      </c>
      <c r="N7" s="28">
        <v>2026</v>
      </c>
    </row>
    <row r="8" spans="1:14">
      <c r="A8" s="28">
        <v>7</v>
      </c>
      <c r="B8" s="28" t="s">
        <v>33</v>
      </c>
      <c r="C8" s="51" t="s">
        <v>34</v>
      </c>
      <c r="D8" s="28" t="s">
        <v>60</v>
      </c>
      <c r="E8" s="28" t="s">
        <v>63</v>
      </c>
      <c r="F8" s="28"/>
      <c r="G8" s="28" t="s">
        <v>64</v>
      </c>
      <c r="H8" s="52" t="s">
        <v>65</v>
      </c>
      <c r="I8" s="53">
        <v>344.59459459459458</v>
      </c>
      <c r="J8" s="28" t="s">
        <v>68</v>
      </c>
      <c r="K8" s="51">
        <v>46082</v>
      </c>
      <c r="L8" s="72" t="s">
        <v>14</v>
      </c>
      <c r="M8" s="117" t="s">
        <v>311</v>
      </c>
      <c r="N8" s="28">
        <v>2026</v>
      </c>
    </row>
    <row r="9" spans="1:14">
      <c r="A9" s="28">
        <v>8</v>
      </c>
      <c r="B9" s="28" t="s">
        <v>33</v>
      </c>
      <c r="C9" s="51" t="s">
        <v>34</v>
      </c>
      <c r="D9" s="28" t="s">
        <v>60</v>
      </c>
      <c r="E9" s="28" t="s">
        <v>63</v>
      </c>
      <c r="F9" s="28"/>
      <c r="G9" s="28" t="s">
        <v>64</v>
      </c>
      <c r="H9" s="52" t="s">
        <v>67</v>
      </c>
      <c r="I9" s="53">
        <v>506.75675675675677</v>
      </c>
      <c r="J9" s="28" t="s">
        <v>68</v>
      </c>
      <c r="K9" s="51">
        <v>46357</v>
      </c>
      <c r="L9" s="72" t="s">
        <v>14</v>
      </c>
      <c r="M9" s="117" t="s">
        <v>311</v>
      </c>
      <c r="N9" s="28">
        <v>2026</v>
      </c>
    </row>
    <row r="10" spans="1:14">
      <c r="A10" s="28">
        <v>9</v>
      </c>
      <c r="B10" s="28" t="s">
        <v>33</v>
      </c>
      <c r="C10" s="51" t="s">
        <v>34</v>
      </c>
      <c r="D10" s="28" t="s">
        <v>60</v>
      </c>
      <c r="E10" s="28" t="s">
        <v>63</v>
      </c>
      <c r="F10" s="28"/>
      <c r="G10" s="28" t="s">
        <v>64</v>
      </c>
      <c r="H10" s="52" t="s">
        <v>67</v>
      </c>
      <c r="I10" s="53">
        <v>1013.5135135135135</v>
      </c>
      <c r="J10" s="28" t="s">
        <v>68</v>
      </c>
      <c r="K10" s="51">
        <v>46357</v>
      </c>
      <c r="L10" s="72" t="s">
        <v>14</v>
      </c>
      <c r="M10" s="117" t="s">
        <v>311</v>
      </c>
      <c r="N10" s="28">
        <v>2026</v>
      </c>
    </row>
    <row r="11" spans="1:14">
      <c r="A11" s="28">
        <v>10</v>
      </c>
      <c r="B11" s="28" t="s">
        <v>33</v>
      </c>
      <c r="C11" s="51" t="s">
        <v>34</v>
      </c>
      <c r="D11" s="28" t="s">
        <v>60</v>
      </c>
      <c r="E11" s="28" t="s">
        <v>63</v>
      </c>
      <c r="F11" s="28"/>
      <c r="G11" s="28" t="s">
        <v>64</v>
      </c>
      <c r="H11" s="52" t="s">
        <v>67</v>
      </c>
      <c r="I11" s="53">
        <v>337.83783783783781</v>
      </c>
      <c r="J11" s="52" t="s">
        <v>68</v>
      </c>
      <c r="K11" s="51">
        <v>46082</v>
      </c>
      <c r="L11" s="72" t="s">
        <v>14</v>
      </c>
      <c r="M11" s="117" t="s">
        <v>311</v>
      </c>
      <c r="N11" s="28">
        <v>2026</v>
      </c>
    </row>
    <row r="12" spans="1:14">
      <c r="A12" s="28">
        <v>11</v>
      </c>
      <c r="B12" s="28" t="s">
        <v>33</v>
      </c>
      <c r="C12" s="51" t="s">
        <v>34</v>
      </c>
      <c r="D12" s="28" t="s">
        <v>60</v>
      </c>
      <c r="E12" s="28" t="s">
        <v>63</v>
      </c>
      <c r="F12" s="28"/>
      <c r="G12" s="28" t="s">
        <v>64</v>
      </c>
      <c r="H12" s="52" t="s">
        <v>65</v>
      </c>
      <c r="I12" s="53">
        <v>506.75675675675677</v>
      </c>
      <c r="J12" s="28" t="s">
        <v>68</v>
      </c>
      <c r="K12" s="51">
        <v>46082</v>
      </c>
      <c r="L12" s="72" t="s">
        <v>14</v>
      </c>
      <c r="M12" s="117" t="s">
        <v>311</v>
      </c>
      <c r="N12" s="28">
        <v>2026</v>
      </c>
    </row>
    <row r="13" spans="1:14">
      <c r="A13" s="28">
        <v>12</v>
      </c>
      <c r="B13" s="28" t="s">
        <v>33</v>
      </c>
      <c r="C13" s="51" t="s">
        <v>34</v>
      </c>
      <c r="D13" s="28" t="s">
        <v>60</v>
      </c>
      <c r="E13" s="28" t="s">
        <v>63</v>
      </c>
      <c r="F13" s="28"/>
      <c r="G13" s="28" t="s">
        <v>64</v>
      </c>
      <c r="H13" s="52" t="s">
        <v>322</v>
      </c>
      <c r="I13" s="53">
        <v>1227.7027027027027</v>
      </c>
      <c r="J13" s="28" t="s">
        <v>68</v>
      </c>
      <c r="K13" s="51">
        <v>46204</v>
      </c>
      <c r="L13" s="72" t="s">
        <v>14</v>
      </c>
      <c r="M13" s="117" t="s">
        <v>311</v>
      </c>
      <c r="N13" s="28">
        <v>2026</v>
      </c>
    </row>
    <row r="14" spans="1:14">
      <c r="A14" s="28">
        <v>13</v>
      </c>
      <c r="B14" s="28" t="s">
        <v>42</v>
      </c>
      <c r="C14" s="51" t="s">
        <v>51</v>
      </c>
      <c r="D14" s="28" t="s">
        <v>60</v>
      </c>
      <c r="E14" s="28" t="s">
        <v>63</v>
      </c>
      <c r="F14" s="28"/>
      <c r="G14" s="28" t="s">
        <v>64</v>
      </c>
      <c r="H14" s="52" t="s">
        <v>65</v>
      </c>
      <c r="I14" s="53">
        <v>1689.1891891891892</v>
      </c>
      <c r="J14" s="28" t="s">
        <v>68</v>
      </c>
      <c r="K14" s="51" t="s">
        <v>370</v>
      </c>
      <c r="L14" s="72" t="s">
        <v>14</v>
      </c>
      <c r="M14" s="117" t="s">
        <v>311</v>
      </c>
      <c r="N14" s="28">
        <v>2026</v>
      </c>
    </row>
    <row r="15" spans="1:14">
      <c r="A15" s="28">
        <v>14</v>
      </c>
      <c r="B15" s="28" t="s">
        <v>42</v>
      </c>
      <c r="C15" s="28" t="s">
        <v>73</v>
      </c>
      <c r="D15" s="28" t="s">
        <v>60</v>
      </c>
      <c r="E15" s="28" t="s">
        <v>63</v>
      </c>
      <c r="F15" s="28"/>
      <c r="G15" s="28" t="s">
        <v>64</v>
      </c>
      <c r="H15" s="52" t="s">
        <v>323</v>
      </c>
      <c r="I15" s="53">
        <v>912.16216216216219</v>
      </c>
      <c r="J15" s="28" t="s">
        <v>386</v>
      </c>
      <c r="K15" s="51" t="s">
        <v>371</v>
      </c>
      <c r="L15" s="72" t="s">
        <v>14</v>
      </c>
      <c r="M15" s="117" t="s">
        <v>311</v>
      </c>
      <c r="N15" s="28">
        <v>2026</v>
      </c>
    </row>
    <row r="16" spans="1:14">
      <c r="A16" s="28">
        <v>15</v>
      </c>
      <c r="B16" s="28" t="s">
        <v>52</v>
      </c>
      <c r="C16" s="51" t="s">
        <v>53</v>
      </c>
      <c r="D16" s="28" t="s">
        <v>60</v>
      </c>
      <c r="E16" s="28" t="s">
        <v>63</v>
      </c>
      <c r="F16" s="28"/>
      <c r="G16" s="28" t="s">
        <v>64</v>
      </c>
      <c r="H16" s="52" t="s">
        <v>69</v>
      </c>
      <c r="I16" s="53">
        <v>337.83783783783781</v>
      </c>
      <c r="J16" s="28" t="s">
        <v>68</v>
      </c>
      <c r="K16" s="51">
        <v>46357</v>
      </c>
      <c r="L16" s="72" t="s">
        <v>14</v>
      </c>
      <c r="M16" s="117" t="s">
        <v>311</v>
      </c>
      <c r="N16" s="28">
        <v>2026</v>
      </c>
    </row>
    <row r="17" spans="1:14">
      <c r="A17" s="28">
        <v>16</v>
      </c>
      <c r="B17" s="28" t="s">
        <v>52</v>
      </c>
      <c r="C17" s="51" t="s">
        <v>53</v>
      </c>
      <c r="D17" s="28" t="s">
        <v>60</v>
      </c>
      <c r="E17" s="28" t="s">
        <v>63</v>
      </c>
      <c r="F17" s="28"/>
      <c r="G17" s="28" t="s">
        <v>64</v>
      </c>
      <c r="H17" s="52" t="s">
        <v>65</v>
      </c>
      <c r="I17" s="53">
        <v>1824.3243243243244</v>
      </c>
      <c r="J17" s="28" t="s">
        <v>68</v>
      </c>
      <c r="K17" s="51">
        <v>46082</v>
      </c>
      <c r="L17" s="72" t="s">
        <v>14</v>
      </c>
      <c r="M17" s="117" t="s">
        <v>311</v>
      </c>
      <c r="N17" s="28">
        <v>2026</v>
      </c>
    </row>
    <row r="18" spans="1:14">
      <c r="A18" s="28">
        <v>17</v>
      </c>
      <c r="B18" s="28" t="s">
        <v>17</v>
      </c>
      <c r="C18" s="51" t="s">
        <v>18</v>
      </c>
      <c r="D18" s="28" t="s">
        <v>60</v>
      </c>
      <c r="E18" s="28" t="s">
        <v>71</v>
      </c>
      <c r="F18" s="28"/>
      <c r="G18" s="28" t="s">
        <v>64</v>
      </c>
      <c r="H18" s="52" t="s">
        <v>324</v>
      </c>
      <c r="I18" s="53">
        <v>1022.8040540540541</v>
      </c>
      <c r="J18" s="28" t="s">
        <v>68</v>
      </c>
      <c r="K18" s="51" t="s">
        <v>297</v>
      </c>
      <c r="L18" s="72" t="s">
        <v>14</v>
      </c>
      <c r="M18" s="117" t="s">
        <v>311</v>
      </c>
      <c r="N18" s="28">
        <v>2026</v>
      </c>
    </row>
    <row r="19" spans="1:14">
      <c r="A19" s="28">
        <v>18</v>
      </c>
      <c r="B19" s="28" t="s">
        <v>17</v>
      </c>
      <c r="C19" s="28" t="s">
        <v>18</v>
      </c>
      <c r="D19" s="28" t="s">
        <v>60</v>
      </c>
      <c r="E19" s="28" t="s">
        <v>71</v>
      </c>
      <c r="F19" s="28"/>
      <c r="G19" s="28" t="s">
        <v>64</v>
      </c>
      <c r="H19" s="28" t="s">
        <v>325</v>
      </c>
      <c r="I19" s="53">
        <v>481.75675675675677</v>
      </c>
      <c r="J19" s="28" t="s">
        <v>68</v>
      </c>
      <c r="K19" s="51">
        <v>46143</v>
      </c>
      <c r="L19" s="72" t="s">
        <v>14</v>
      </c>
      <c r="M19" s="117" t="s">
        <v>311</v>
      </c>
      <c r="N19" s="28">
        <v>2026</v>
      </c>
    </row>
    <row r="20" spans="1:14">
      <c r="A20" s="28">
        <v>19</v>
      </c>
      <c r="B20" s="28" t="s">
        <v>17</v>
      </c>
      <c r="C20" s="28" t="s">
        <v>18</v>
      </c>
      <c r="D20" s="28" t="s">
        <v>60</v>
      </c>
      <c r="E20" s="28" t="s">
        <v>71</v>
      </c>
      <c r="F20" s="28"/>
      <c r="G20" s="28" t="s">
        <v>64</v>
      </c>
      <c r="H20" s="28" t="s">
        <v>326</v>
      </c>
      <c r="I20" s="53">
        <v>1021.2837837837837</v>
      </c>
      <c r="J20" s="28" t="s">
        <v>68</v>
      </c>
      <c r="K20" s="51" t="s">
        <v>371</v>
      </c>
      <c r="L20" s="72" t="s">
        <v>14</v>
      </c>
      <c r="M20" s="117" t="s">
        <v>311</v>
      </c>
      <c r="N20" s="28">
        <v>2026</v>
      </c>
    </row>
    <row r="21" spans="1:14">
      <c r="A21" s="28">
        <v>20</v>
      </c>
      <c r="B21" s="28" t="s">
        <v>17</v>
      </c>
      <c r="C21" s="28" t="s">
        <v>22</v>
      </c>
      <c r="D21" s="28" t="s">
        <v>60</v>
      </c>
      <c r="E21" s="28" t="s">
        <v>71</v>
      </c>
      <c r="F21" s="28"/>
      <c r="G21" s="28" t="s">
        <v>64</v>
      </c>
      <c r="H21" s="28" t="s">
        <v>72</v>
      </c>
      <c r="I21" s="53">
        <v>756.75675675675677</v>
      </c>
      <c r="J21" s="28" t="s">
        <v>68</v>
      </c>
      <c r="K21" s="51" t="s">
        <v>296</v>
      </c>
      <c r="L21" s="72" t="s">
        <v>14</v>
      </c>
      <c r="M21" s="117" t="s">
        <v>311</v>
      </c>
      <c r="N21" s="28">
        <v>2026</v>
      </c>
    </row>
    <row r="22" spans="1:14">
      <c r="A22" s="28">
        <v>21</v>
      </c>
      <c r="B22" s="28" t="s">
        <v>17</v>
      </c>
      <c r="C22" s="28" t="s">
        <v>24</v>
      </c>
      <c r="D22" s="28" t="s">
        <v>60</v>
      </c>
      <c r="E22" s="28" t="s">
        <v>71</v>
      </c>
      <c r="F22" s="28"/>
      <c r="G22" s="28" t="s">
        <v>64</v>
      </c>
      <c r="H22" s="28" t="s">
        <v>327</v>
      </c>
      <c r="I22" s="53">
        <v>2685.135135135135</v>
      </c>
      <c r="J22" s="28" t="s">
        <v>68</v>
      </c>
      <c r="K22" s="51" t="s">
        <v>289</v>
      </c>
      <c r="L22" s="72" t="s">
        <v>14</v>
      </c>
      <c r="M22" s="117" t="s">
        <v>311</v>
      </c>
      <c r="N22" s="28">
        <v>2026</v>
      </c>
    </row>
    <row r="23" spans="1:14">
      <c r="A23" s="28">
        <v>22</v>
      </c>
      <c r="B23" s="28" t="s">
        <v>17</v>
      </c>
      <c r="C23" s="28" t="s">
        <v>25</v>
      </c>
      <c r="D23" s="28" t="s">
        <v>60</v>
      </c>
      <c r="E23" s="28" t="s">
        <v>71</v>
      </c>
      <c r="F23" s="28"/>
      <c r="G23" s="28" t="s">
        <v>64</v>
      </c>
      <c r="H23" s="28" t="s">
        <v>257</v>
      </c>
      <c r="I23" s="53">
        <v>1620.2702702702702</v>
      </c>
      <c r="J23" s="28" t="s">
        <v>68</v>
      </c>
      <c r="K23" s="51">
        <v>46143</v>
      </c>
      <c r="L23" s="72" t="s">
        <v>14</v>
      </c>
      <c r="M23" s="117" t="s">
        <v>311</v>
      </c>
      <c r="N23" s="28">
        <v>2026</v>
      </c>
    </row>
    <row r="24" spans="1:14">
      <c r="A24" s="28">
        <v>23</v>
      </c>
      <c r="B24" s="28" t="s">
        <v>17</v>
      </c>
      <c r="C24" s="51" t="s">
        <v>25</v>
      </c>
      <c r="D24" s="28" t="s">
        <v>60</v>
      </c>
      <c r="E24" s="28" t="s">
        <v>71</v>
      </c>
      <c r="F24" s="28"/>
      <c r="G24" s="28" t="s">
        <v>64</v>
      </c>
      <c r="H24" s="52" t="s">
        <v>257</v>
      </c>
      <c r="I24" s="53">
        <v>1550.6756756756756</v>
      </c>
      <c r="J24" s="28" t="s">
        <v>68</v>
      </c>
      <c r="K24" s="51" t="s">
        <v>372</v>
      </c>
      <c r="L24" s="72" t="s">
        <v>14</v>
      </c>
      <c r="M24" s="117" t="s">
        <v>311</v>
      </c>
      <c r="N24" s="28">
        <v>2026</v>
      </c>
    </row>
    <row r="25" spans="1:14">
      <c r="A25" s="28">
        <v>24</v>
      </c>
      <c r="B25" s="28" t="s">
        <v>54</v>
      </c>
      <c r="C25" s="51" t="s">
        <v>55</v>
      </c>
      <c r="D25" s="28" t="s">
        <v>60</v>
      </c>
      <c r="E25" s="28" t="s">
        <v>71</v>
      </c>
      <c r="F25" s="28"/>
      <c r="G25" s="28" t="s">
        <v>64</v>
      </c>
      <c r="H25" s="52" t="s">
        <v>75</v>
      </c>
      <c r="I25" s="53">
        <v>1717.9054054054054</v>
      </c>
      <c r="J25" s="28" t="s">
        <v>68</v>
      </c>
      <c r="K25" s="51">
        <v>46113</v>
      </c>
      <c r="L25" s="72" t="s">
        <v>14</v>
      </c>
      <c r="M25" s="117" t="s">
        <v>311</v>
      </c>
      <c r="N25" s="28">
        <v>2026</v>
      </c>
    </row>
    <row r="26" spans="1:14">
      <c r="A26" s="28">
        <v>25</v>
      </c>
      <c r="B26" s="28" t="s">
        <v>54</v>
      </c>
      <c r="C26" s="51" t="s">
        <v>55</v>
      </c>
      <c r="D26" s="28" t="s">
        <v>60</v>
      </c>
      <c r="E26" s="28" t="s">
        <v>71</v>
      </c>
      <c r="F26" s="28"/>
      <c r="G26" s="28" t="s">
        <v>64</v>
      </c>
      <c r="H26" s="52" t="s">
        <v>75</v>
      </c>
      <c r="I26" s="53">
        <v>2072.2972972972975</v>
      </c>
      <c r="J26" s="28" t="s">
        <v>68</v>
      </c>
      <c r="K26" s="51" t="s">
        <v>371</v>
      </c>
      <c r="L26" s="72" t="s">
        <v>14</v>
      </c>
      <c r="M26" s="117" t="s">
        <v>311</v>
      </c>
      <c r="N26" s="28">
        <v>2026</v>
      </c>
    </row>
    <row r="27" spans="1:14">
      <c r="A27" s="28">
        <v>26</v>
      </c>
      <c r="B27" s="28" t="s">
        <v>58</v>
      </c>
      <c r="C27" s="51" t="s">
        <v>59</v>
      </c>
      <c r="D27" s="28" t="s">
        <v>60</v>
      </c>
      <c r="E27" s="28" t="s">
        <v>71</v>
      </c>
      <c r="F27" s="28"/>
      <c r="G27" s="28" t="s">
        <v>64</v>
      </c>
      <c r="H27" s="52" t="s">
        <v>328</v>
      </c>
      <c r="I27" s="53">
        <v>270.27027027027026</v>
      </c>
      <c r="J27" s="28" t="s">
        <v>68</v>
      </c>
      <c r="K27" s="51" t="s">
        <v>373</v>
      </c>
      <c r="L27" s="72" t="s">
        <v>14</v>
      </c>
      <c r="M27" s="117" t="s">
        <v>311</v>
      </c>
      <c r="N27" s="28">
        <v>2026</v>
      </c>
    </row>
    <row r="28" spans="1:14">
      <c r="A28" s="28">
        <v>27</v>
      </c>
      <c r="B28" s="28" t="s">
        <v>58</v>
      </c>
      <c r="C28" s="51" t="s">
        <v>59</v>
      </c>
      <c r="D28" s="28" t="s">
        <v>60</v>
      </c>
      <c r="E28" s="28" t="s">
        <v>71</v>
      </c>
      <c r="F28" s="28"/>
      <c r="G28" s="28" t="s">
        <v>64</v>
      </c>
      <c r="H28" s="55" t="s">
        <v>329</v>
      </c>
      <c r="I28" s="53">
        <v>506.75675675675677</v>
      </c>
      <c r="J28" s="28" t="s">
        <v>68</v>
      </c>
      <c r="K28" s="51" t="s">
        <v>367</v>
      </c>
      <c r="L28" s="72" t="s">
        <v>14</v>
      </c>
      <c r="M28" s="117" t="s">
        <v>311</v>
      </c>
      <c r="N28" s="28">
        <v>2026</v>
      </c>
    </row>
    <row r="29" spans="1:14">
      <c r="A29" s="28">
        <v>28</v>
      </c>
      <c r="B29" s="28" t="s">
        <v>285</v>
      </c>
      <c r="C29" s="51" t="s">
        <v>286</v>
      </c>
      <c r="D29" s="28" t="s">
        <v>60</v>
      </c>
      <c r="E29" s="28" t="s">
        <v>71</v>
      </c>
      <c r="F29" s="28"/>
      <c r="G29" s="28" t="s">
        <v>64</v>
      </c>
      <c r="H29" s="52" t="s">
        <v>330</v>
      </c>
      <c r="I29" s="53">
        <v>33.783783783783782</v>
      </c>
      <c r="J29" s="28">
        <v>1652</v>
      </c>
      <c r="K29" s="51">
        <v>46047</v>
      </c>
      <c r="L29" s="72" t="s">
        <v>14</v>
      </c>
      <c r="M29" s="117" t="s">
        <v>311</v>
      </c>
      <c r="N29" s="28">
        <v>2026</v>
      </c>
    </row>
    <row r="30" spans="1:14">
      <c r="A30" s="28">
        <v>29</v>
      </c>
      <c r="B30" s="28" t="s">
        <v>285</v>
      </c>
      <c r="C30" s="51" t="s">
        <v>286</v>
      </c>
      <c r="D30" s="28" t="s">
        <v>60</v>
      </c>
      <c r="E30" s="28" t="s">
        <v>71</v>
      </c>
      <c r="F30" s="28"/>
      <c r="G30" s="28" t="s">
        <v>64</v>
      </c>
      <c r="H30" s="52" t="s">
        <v>331</v>
      </c>
      <c r="I30" s="53">
        <v>869.59459459459458</v>
      </c>
      <c r="J30" s="28" t="s">
        <v>68</v>
      </c>
      <c r="K30" s="51" t="s">
        <v>367</v>
      </c>
      <c r="L30" s="72" t="s">
        <v>14</v>
      </c>
      <c r="M30" s="117" t="s">
        <v>311</v>
      </c>
      <c r="N30" s="28">
        <v>2026</v>
      </c>
    </row>
    <row r="31" spans="1:14">
      <c r="A31" s="28">
        <v>30</v>
      </c>
      <c r="B31" s="28" t="s">
        <v>285</v>
      </c>
      <c r="C31" s="51" t="s">
        <v>286</v>
      </c>
      <c r="D31" s="28" t="s">
        <v>60</v>
      </c>
      <c r="E31" s="28" t="s">
        <v>71</v>
      </c>
      <c r="F31" s="28"/>
      <c r="G31" s="28" t="s">
        <v>64</v>
      </c>
      <c r="H31" s="52" t="s">
        <v>332</v>
      </c>
      <c r="I31" s="53">
        <v>14274.324324324325</v>
      </c>
      <c r="J31" s="28" t="s">
        <v>68</v>
      </c>
      <c r="K31" s="51" t="s">
        <v>374</v>
      </c>
      <c r="L31" s="72" t="s">
        <v>14</v>
      </c>
      <c r="M31" s="117" t="s">
        <v>311</v>
      </c>
      <c r="N31" s="28">
        <v>2026</v>
      </c>
    </row>
    <row r="32" spans="1:14">
      <c r="A32" s="28">
        <v>31</v>
      </c>
      <c r="B32" s="28" t="s">
        <v>33</v>
      </c>
      <c r="C32" s="28" t="s">
        <v>34</v>
      </c>
      <c r="D32" s="28" t="s">
        <v>60</v>
      </c>
      <c r="E32" s="28" t="s">
        <v>71</v>
      </c>
      <c r="F32" s="28"/>
      <c r="G32" s="28" t="s">
        <v>64</v>
      </c>
      <c r="H32" s="28" t="s">
        <v>251</v>
      </c>
      <c r="I32" s="53">
        <v>289.18918918918916</v>
      </c>
      <c r="J32" s="28" t="s">
        <v>68</v>
      </c>
      <c r="K32" s="51">
        <v>46143</v>
      </c>
      <c r="L32" s="72" t="s">
        <v>14</v>
      </c>
      <c r="M32" s="117" t="s">
        <v>311</v>
      </c>
      <c r="N32" s="28">
        <v>2026</v>
      </c>
    </row>
    <row r="33" spans="1:14">
      <c r="A33" s="28">
        <v>32</v>
      </c>
      <c r="B33" s="28" t="s">
        <v>33</v>
      </c>
      <c r="C33" s="51" t="s">
        <v>34</v>
      </c>
      <c r="D33" s="28" t="s">
        <v>60</v>
      </c>
      <c r="E33" s="28" t="s">
        <v>71</v>
      </c>
      <c r="F33" s="28"/>
      <c r="G33" s="28" t="s">
        <v>64</v>
      </c>
      <c r="H33" s="52" t="s">
        <v>251</v>
      </c>
      <c r="I33" s="53">
        <v>1182.4324324324325</v>
      </c>
      <c r="J33" s="28" t="s">
        <v>68</v>
      </c>
      <c r="K33" s="51" t="s">
        <v>292</v>
      </c>
      <c r="L33" s="72" t="s">
        <v>14</v>
      </c>
      <c r="M33" s="117" t="s">
        <v>311</v>
      </c>
      <c r="N33" s="28">
        <v>2026</v>
      </c>
    </row>
    <row r="34" spans="1:14">
      <c r="A34" s="28">
        <v>33</v>
      </c>
      <c r="B34" s="28" t="s">
        <v>35</v>
      </c>
      <c r="C34" s="51" t="s">
        <v>36</v>
      </c>
      <c r="D34" s="28" t="s">
        <v>60</v>
      </c>
      <c r="E34" s="28" t="s">
        <v>71</v>
      </c>
      <c r="F34" s="28"/>
      <c r="G34" s="28" t="s">
        <v>64</v>
      </c>
      <c r="H34" s="52" t="s">
        <v>333</v>
      </c>
      <c r="I34" s="53">
        <v>513.51351351351354</v>
      </c>
      <c r="J34" s="28">
        <v>245</v>
      </c>
      <c r="K34" s="51">
        <v>46296</v>
      </c>
      <c r="L34" s="72" t="s">
        <v>14</v>
      </c>
      <c r="M34" s="117" t="s">
        <v>311</v>
      </c>
      <c r="N34" s="28">
        <v>2026</v>
      </c>
    </row>
    <row r="35" spans="1:14">
      <c r="A35" s="28">
        <v>34</v>
      </c>
      <c r="B35" s="28" t="s">
        <v>42</v>
      </c>
      <c r="C35" s="51" t="s">
        <v>70</v>
      </c>
      <c r="D35" s="28" t="s">
        <v>60</v>
      </c>
      <c r="E35" s="28" t="s">
        <v>71</v>
      </c>
      <c r="F35" s="28"/>
      <c r="G35" s="28" t="s">
        <v>64</v>
      </c>
      <c r="H35" s="52" t="s">
        <v>334</v>
      </c>
      <c r="I35" s="53">
        <v>848.64864864864865</v>
      </c>
      <c r="J35" s="28" t="s">
        <v>68</v>
      </c>
      <c r="K35" s="51" t="s">
        <v>289</v>
      </c>
      <c r="L35" s="72" t="s">
        <v>14</v>
      </c>
      <c r="M35" s="117" t="s">
        <v>311</v>
      </c>
      <c r="N35" s="28">
        <v>2026</v>
      </c>
    </row>
    <row r="36" spans="1:14">
      <c r="A36" s="28">
        <v>35</v>
      </c>
      <c r="B36" s="28" t="s">
        <v>42</v>
      </c>
      <c r="C36" s="51" t="s">
        <v>37</v>
      </c>
      <c r="D36" s="28" t="s">
        <v>60</v>
      </c>
      <c r="E36" s="28" t="s">
        <v>71</v>
      </c>
      <c r="F36" s="28"/>
      <c r="G36" s="28" t="s">
        <v>64</v>
      </c>
      <c r="H36" s="52" t="s">
        <v>252</v>
      </c>
      <c r="I36" s="53">
        <v>646.28378378378375</v>
      </c>
      <c r="J36" s="28" t="s">
        <v>68</v>
      </c>
      <c r="K36" s="51">
        <v>46082</v>
      </c>
      <c r="L36" s="72" t="s">
        <v>14</v>
      </c>
      <c r="M36" s="117" t="s">
        <v>311</v>
      </c>
      <c r="N36" s="28">
        <v>2026</v>
      </c>
    </row>
    <row r="37" spans="1:14">
      <c r="A37" s="28">
        <v>36</v>
      </c>
      <c r="B37" s="28" t="s">
        <v>42</v>
      </c>
      <c r="C37" s="51" t="s">
        <v>44</v>
      </c>
      <c r="D37" s="28" t="s">
        <v>60</v>
      </c>
      <c r="E37" s="28" t="s">
        <v>71</v>
      </c>
      <c r="F37" s="28"/>
      <c r="G37" s="28" t="s">
        <v>64</v>
      </c>
      <c r="H37" s="52" t="s">
        <v>253</v>
      </c>
      <c r="I37" s="53">
        <v>329.05405405405406</v>
      </c>
      <c r="J37" s="28" t="s">
        <v>68</v>
      </c>
      <c r="K37" s="51">
        <v>46357</v>
      </c>
      <c r="L37" s="72" t="s">
        <v>14</v>
      </c>
      <c r="M37" s="117" t="s">
        <v>311</v>
      </c>
      <c r="N37" s="28">
        <v>2026</v>
      </c>
    </row>
    <row r="38" spans="1:14">
      <c r="A38" s="28">
        <v>37</v>
      </c>
      <c r="B38" s="28" t="s">
        <v>42</v>
      </c>
      <c r="C38" s="51" t="s">
        <v>48</v>
      </c>
      <c r="D38" s="28" t="s">
        <v>60</v>
      </c>
      <c r="E38" s="28" t="s">
        <v>71</v>
      </c>
      <c r="F38" s="28"/>
      <c r="G38" s="28" t="s">
        <v>64</v>
      </c>
      <c r="H38" s="52" t="s">
        <v>255</v>
      </c>
      <c r="I38" s="53">
        <v>362.33108108108109</v>
      </c>
      <c r="J38" s="28" t="s">
        <v>68</v>
      </c>
      <c r="K38" s="51">
        <v>46357</v>
      </c>
      <c r="L38" s="72" t="s">
        <v>14</v>
      </c>
      <c r="M38" s="117" t="s">
        <v>311</v>
      </c>
      <c r="N38" s="28">
        <v>2026</v>
      </c>
    </row>
    <row r="39" spans="1:14">
      <c r="A39" s="28">
        <v>38</v>
      </c>
      <c r="B39" s="28" t="s">
        <v>42</v>
      </c>
      <c r="C39" s="51" t="s">
        <v>50</v>
      </c>
      <c r="D39" s="28" t="s">
        <v>60</v>
      </c>
      <c r="E39" s="28" t="s">
        <v>71</v>
      </c>
      <c r="F39" s="28"/>
      <c r="G39" s="28" t="s">
        <v>64</v>
      </c>
      <c r="H39" s="52" t="s">
        <v>256</v>
      </c>
      <c r="I39" s="53">
        <v>698.31081081081084</v>
      </c>
      <c r="J39" s="28" t="s">
        <v>68</v>
      </c>
      <c r="K39" s="51" t="s">
        <v>288</v>
      </c>
      <c r="L39" s="72" t="s">
        <v>14</v>
      </c>
      <c r="M39" s="117" t="s">
        <v>311</v>
      </c>
      <c r="N39" s="28">
        <v>2026</v>
      </c>
    </row>
    <row r="40" spans="1:14">
      <c r="A40" s="28">
        <v>39</v>
      </c>
      <c r="B40" s="28" t="s">
        <v>42</v>
      </c>
      <c r="C40" s="51" t="s">
        <v>50</v>
      </c>
      <c r="D40" s="28" t="s">
        <v>60</v>
      </c>
      <c r="E40" s="28" t="s">
        <v>71</v>
      </c>
      <c r="F40" s="28"/>
      <c r="G40" s="28" t="s">
        <v>64</v>
      </c>
      <c r="H40" s="52" t="s">
        <v>256</v>
      </c>
      <c r="I40" s="53">
        <v>1179.0540540540539</v>
      </c>
      <c r="J40" s="28" t="s">
        <v>68</v>
      </c>
      <c r="K40" s="51">
        <v>46174</v>
      </c>
      <c r="L40" s="72" t="s">
        <v>14</v>
      </c>
      <c r="M40" s="117" t="s">
        <v>311</v>
      </c>
      <c r="N40" s="28">
        <v>2026</v>
      </c>
    </row>
    <row r="41" spans="1:14">
      <c r="A41" s="28">
        <v>40</v>
      </c>
      <c r="B41" s="28" t="s">
        <v>42</v>
      </c>
      <c r="C41" s="51" t="s">
        <v>50</v>
      </c>
      <c r="D41" s="28" t="s">
        <v>60</v>
      </c>
      <c r="E41" s="28" t="s">
        <v>71</v>
      </c>
      <c r="F41" s="28"/>
      <c r="G41" s="28" t="s">
        <v>64</v>
      </c>
      <c r="H41" s="52" t="s">
        <v>256</v>
      </c>
      <c r="I41" s="53">
        <v>1354.7297297297298</v>
      </c>
      <c r="J41" s="28" t="s">
        <v>68</v>
      </c>
      <c r="K41" s="51" t="s">
        <v>375</v>
      </c>
      <c r="L41" s="72" t="s">
        <v>14</v>
      </c>
      <c r="M41" s="117" t="s">
        <v>311</v>
      </c>
      <c r="N41" s="28">
        <v>2026</v>
      </c>
    </row>
    <row r="42" spans="1:14">
      <c r="A42" s="28">
        <v>41</v>
      </c>
      <c r="B42" s="28" t="s">
        <v>42</v>
      </c>
      <c r="C42" s="51" t="s">
        <v>50</v>
      </c>
      <c r="D42" s="28" t="s">
        <v>60</v>
      </c>
      <c r="E42" s="28" t="s">
        <v>71</v>
      </c>
      <c r="F42" s="28"/>
      <c r="G42" s="28" t="s">
        <v>64</v>
      </c>
      <c r="H42" s="52" t="s">
        <v>256</v>
      </c>
      <c r="I42" s="53">
        <v>1013.5135135135135</v>
      </c>
      <c r="J42" s="28" t="s">
        <v>68</v>
      </c>
      <c r="K42" s="51" t="s">
        <v>290</v>
      </c>
      <c r="L42" s="72" t="s">
        <v>14</v>
      </c>
      <c r="M42" s="117" t="s">
        <v>311</v>
      </c>
      <c r="N42" s="28">
        <v>2026</v>
      </c>
    </row>
    <row r="43" spans="1:14">
      <c r="A43" s="28">
        <v>42</v>
      </c>
      <c r="B43" s="28" t="s">
        <v>42</v>
      </c>
      <c r="C43" s="51" t="s">
        <v>50</v>
      </c>
      <c r="D43" s="28" t="s">
        <v>60</v>
      </c>
      <c r="E43" s="28" t="s">
        <v>71</v>
      </c>
      <c r="F43" s="28"/>
      <c r="G43" s="28" t="s">
        <v>64</v>
      </c>
      <c r="H43" s="52" t="s">
        <v>335</v>
      </c>
      <c r="I43" s="53">
        <v>304.05405405405406</v>
      </c>
      <c r="J43" s="28" t="s">
        <v>68</v>
      </c>
      <c r="K43" s="51">
        <v>46113</v>
      </c>
      <c r="L43" s="72" t="s">
        <v>14</v>
      </c>
      <c r="M43" s="117" t="s">
        <v>311</v>
      </c>
      <c r="N43" s="28">
        <v>2026</v>
      </c>
    </row>
    <row r="44" spans="1:14">
      <c r="A44" s="28">
        <v>43</v>
      </c>
      <c r="B44" s="28" t="s">
        <v>42</v>
      </c>
      <c r="C44" s="51" t="s">
        <v>51</v>
      </c>
      <c r="D44" s="28" t="s">
        <v>60</v>
      </c>
      <c r="E44" s="28" t="s">
        <v>71</v>
      </c>
      <c r="F44" s="28"/>
      <c r="G44" s="28" t="s">
        <v>64</v>
      </c>
      <c r="H44" s="52" t="s">
        <v>336</v>
      </c>
      <c r="I44" s="53">
        <v>1134.4594594594594</v>
      </c>
      <c r="J44" s="28" t="s">
        <v>68</v>
      </c>
      <c r="K44" s="51">
        <v>46174</v>
      </c>
      <c r="L44" s="72" t="s">
        <v>14</v>
      </c>
      <c r="M44" s="117" t="s">
        <v>311</v>
      </c>
      <c r="N44" s="28">
        <v>2026</v>
      </c>
    </row>
    <row r="45" spans="1:14">
      <c r="A45" s="28">
        <v>44</v>
      </c>
      <c r="B45" s="28" t="s">
        <v>42</v>
      </c>
      <c r="C45" s="51" t="s">
        <v>73</v>
      </c>
      <c r="D45" s="28" t="s">
        <v>60</v>
      </c>
      <c r="E45" s="28" t="s">
        <v>71</v>
      </c>
      <c r="F45" s="28"/>
      <c r="G45" s="28" t="s">
        <v>64</v>
      </c>
      <c r="H45" s="52" t="s">
        <v>258</v>
      </c>
      <c r="I45" s="53">
        <v>2454.0540540540542</v>
      </c>
      <c r="J45" s="28" t="s">
        <v>68</v>
      </c>
      <c r="K45" s="51" t="s">
        <v>296</v>
      </c>
      <c r="L45" s="72" t="s">
        <v>14</v>
      </c>
      <c r="M45" s="117" t="s">
        <v>311</v>
      </c>
      <c r="N45" s="28">
        <v>2026</v>
      </c>
    </row>
    <row r="46" spans="1:14">
      <c r="A46" s="28">
        <v>45</v>
      </c>
      <c r="B46" s="28" t="s">
        <v>52</v>
      </c>
      <c r="C46" s="51" t="s">
        <v>53</v>
      </c>
      <c r="D46" s="28" t="s">
        <v>60</v>
      </c>
      <c r="E46" s="28" t="s">
        <v>71</v>
      </c>
      <c r="F46" s="28"/>
      <c r="G46" s="28" t="s">
        <v>64</v>
      </c>
      <c r="H46" s="52" t="s">
        <v>337</v>
      </c>
      <c r="I46" s="53">
        <v>1402.7027027027027</v>
      </c>
      <c r="J46" s="28" t="s">
        <v>68</v>
      </c>
      <c r="K46" s="51" t="s">
        <v>376</v>
      </c>
      <c r="L46" s="72" t="s">
        <v>14</v>
      </c>
      <c r="M46" s="117" t="s">
        <v>311</v>
      </c>
      <c r="N46" s="28">
        <v>2026</v>
      </c>
    </row>
    <row r="47" spans="1:14">
      <c r="A47" s="28">
        <v>46</v>
      </c>
      <c r="B47" s="28" t="s">
        <v>52</v>
      </c>
      <c r="C47" s="28" t="s">
        <v>53</v>
      </c>
      <c r="D47" s="28" t="s">
        <v>60</v>
      </c>
      <c r="E47" s="28" t="s">
        <v>71</v>
      </c>
      <c r="F47" s="28"/>
      <c r="G47" s="28" t="s">
        <v>64</v>
      </c>
      <c r="H47" s="28" t="s">
        <v>254</v>
      </c>
      <c r="I47" s="53">
        <v>1712.1621621621621</v>
      </c>
      <c r="J47" s="28" t="s">
        <v>68</v>
      </c>
      <c r="K47" s="51" t="s">
        <v>377</v>
      </c>
      <c r="L47" s="72" t="s">
        <v>14</v>
      </c>
      <c r="M47" s="117" t="s">
        <v>311</v>
      </c>
      <c r="N47" s="28">
        <v>2026</v>
      </c>
    </row>
    <row r="48" spans="1:14">
      <c r="A48" s="28">
        <v>47</v>
      </c>
      <c r="B48" s="28" t="s">
        <v>42</v>
      </c>
      <c r="C48" s="51" t="s">
        <v>44</v>
      </c>
      <c r="D48" s="28" t="s">
        <v>60</v>
      </c>
      <c r="E48" s="28" t="s">
        <v>80</v>
      </c>
      <c r="F48" s="28"/>
      <c r="G48" s="28" t="s">
        <v>64</v>
      </c>
      <c r="H48" s="52" t="s">
        <v>338</v>
      </c>
      <c r="I48" s="53">
        <v>391.89189189189187</v>
      </c>
      <c r="J48" s="28" t="s">
        <v>68</v>
      </c>
      <c r="K48" s="51">
        <v>46143</v>
      </c>
      <c r="L48" s="72" t="s">
        <v>14</v>
      </c>
      <c r="M48" s="117" t="s">
        <v>311</v>
      </c>
      <c r="N48" s="28">
        <v>2026</v>
      </c>
    </row>
    <row r="49" spans="1:14">
      <c r="A49" s="28">
        <v>48</v>
      </c>
      <c r="B49" s="28" t="s">
        <v>58</v>
      </c>
      <c r="C49" s="28" t="s">
        <v>59</v>
      </c>
      <c r="D49" s="28" t="s">
        <v>60</v>
      </c>
      <c r="E49" s="28" t="s">
        <v>56</v>
      </c>
      <c r="F49" s="28"/>
      <c r="G49" s="28" t="s">
        <v>64</v>
      </c>
      <c r="H49" s="28" t="s">
        <v>339</v>
      </c>
      <c r="I49" s="53">
        <v>4275.6756756756758</v>
      </c>
      <c r="J49" s="28">
        <v>250460</v>
      </c>
      <c r="K49" s="51" t="s">
        <v>378</v>
      </c>
      <c r="L49" s="72" t="s">
        <v>14</v>
      </c>
      <c r="M49" s="117" t="s">
        <v>311</v>
      </c>
      <c r="N49" s="28">
        <v>2026</v>
      </c>
    </row>
    <row r="50" spans="1:14">
      <c r="A50" s="28">
        <v>49</v>
      </c>
      <c r="B50" s="28" t="s">
        <v>58</v>
      </c>
      <c r="C50" s="28" t="s">
        <v>52</v>
      </c>
      <c r="D50" s="28" t="s">
        <v>60</v>
      </c>
      <c r="E50" s="28" t="s">
        <v>56</v>
      </c>
      <c r="F50" s="28"/>
      <c r="G50" s="28" t="s">
        <v>64</v>
      </c>
      <c r="H50" s="28" t="s">
        <v>340</v>
      </c>
      <c r="I50" s="53">
        <v>1409.4594594594594</v>
      </c>
      <c r="J50" s="28" t="s">
        <v>68</v>
      </c>
      <c r="K50" s="51" t="s">
        <v>53</v>
      </c>
      <c r="L50" s="72" t="s">
        <v>14</v>
      </c>
      <c r="M50" s="117" t="s">
        <v>311</v>
      </c>
      <c r="N50" s="28">
        <v>2026</v>
      </c>
    </row>
    <row r="51" spans="1:14">
      <c r="A51" s="28">
        <v>50</v>
      </c>
      <c r="B51" s="28" t="s">
        <v>52</v>
      </c>
      <c r="C51" s="28" t="s">
        <v>53</v>
      </c>
      <c r="D51" s="28" t="s">
        <v>60</v>
      </c>
      <c r="E51" s="28" t="s">
        <v>56</v>
      </c>
      <c r="F51" s="28"/>
      <c r="G51" s="28" t="s">
        <v>64</v>
      </c>
      <c r="H51" s="28" t="s">
        <v>341</v>
      </c>
      <c r="I51" s="53">
        <v>1706.081081081081</v>
      </c>
      <c r="J51" s="28" t="s">
        <v>68</v>
      </c>
      <c r="K51" s="51" t="s">
        <v>379</v>
      </c>
      <c r="L51" s="72" t="s">
        <v>14</v>
      </c>
      <c r="M51" s="117" t="s">
        <v>311</v>
      </c>
      <c r="N51" s="28">
        <v>2026</v>
      </c>
    </row>
    <row r="52" spans="1:14">
      <c r="A52" s="28">
        <v>51</v>
      </c>
      <c r="B52" s="28" t="s">
        <v>285</v>
      </c>
      <c r="C52" s="28" t="s">
        <v>286</v>
      </c>
      <c r="D52" s="28" t="s">
        <v>60</v>
      </c>
      <c r="E52" s="28" t="s">
        <v>71</v>
      </c>
      <c r="F52" s="28"/>
      <c r="G52" s="28" t="s">
        <v>64</v>
      </c>
      <c r="H52" s="28" t="s">
        <v>342</v>
      </c>
      <c r="I52" s="53">
        <v>109.45945945945945</v>
      </c>
      <c r="J52" s="28">
        <v>72</v>
      </c>
      <c r="K52" s="51" t="s">
        <v>380</v>
      </c>
      <c r="L52" s="72" t="s">
        <v>14</v>
      </c>
      <c r="M52" s="117" t="s">
        <v>311</v>
      </c>
      <c r="N52" s="28">
        <v>2026</v>
      </c>
    </row>
    <row r="53" spans="1:14">
      <c r="A53" s="28">
        <v>52</v>
      </c>
      <c r="B53" s="28" t="s">
        <v>35</v>
      </c>
      <c r="C53" s="28" t="s">
        <v>38</v>
      </c>
      <c r="D53" s="28" t="s">
        <v>60</v>
      </c>
      <c r="E53" s="28" t="s">
        <v>71</v>
      </c>
      <c r="F53" s="28"/>
      <c r="G53" s="28" t="s">
        <v>64</v>
      </c>
      <c r="H53" s="28" t="s">
        <v>343</v>
      </c>
      <c r="I53" s="53">
        <v>4304.72972972973</v>
      </c>
      <c r="J53" s="28" t="s">
        <v>68</v>
      </c>
      <c r="K53" s="51" t="s">
        <v>377</v>
      </c>
      <c r="L53" s="72" t="s">
        <v>14</v>
      </c>
      <c r="M53" s="117" t="s">
        <v>311</v>
      </c>
      <c r="N53" s="28">
        <v>2026</v>
      </c>
    </row>
    <row r="54" spans="1:14">
      <c r="A54" s="28">
        <v>53</v>
      </c>
      <c r="B54" s="28" t="s">
        <v>42</v>
      </c>
      <c r="C54" s="28" t="s">
        <v>48</v>
      </c>
      <c r="D54" s="28" t="s">
        <v>60</v>
      </c>
      <c r="E54" s="28" t="s">
        <v>71</v>
      </c>
      <c r="F54" s="28"/>
      <c r="G54" s="28" t="s">
        <v>64</v>
      </c>
      <c r="H54" s="52" t="s">
        <v>344</v>
      </c>
      <c r="I54" s="53">
        <v>1110.1351351351352</v>
      </c>
      <c r="J54" s="28" t="s">
        <v>68</v>
      </c>
      <c r="K54" s="51" t="s">
        <v>381</v>
      </c>
      <c r="L54" s="72" t="s">
        <v>14</v>
      </c>
      <c r="M54" s="117" t="s">
        <v>311</v>
      </c>
      <c r="N54" s="28">
        <v>2026</v>
      </c>
    </row>
    <row r="55" spans="1:14">
      <c r="A55" s="28">
        <v>54</v>
      </c>
      <c r="B55" s="28" t="s">
        <v>42</v>
      </c>
      <c r="C55" s="51" t="s">
        <v>73</v>
      </c>
      <c r="D55" s="28" t="s">
        <v>60</v>
      </c>
      <c r="E55" s="28" t="s">
        <v>71</v>
      </c>
      <c r="F55" s="28"/>
      <c r="G55" s="28" t="s">
        <v>64</v>
      </c>
      <c r="H55" s="52" t="s">
        <v>345</v>
      </c>
      <c r="I55" s="53">
        <v>2462.8378378378379</v>
      </c>
      <c r="J55" s="28" t="s">
        <v>68</v>
      </c>
      <c r="K55" s="51" t="s">
        <v>377</v>
      </c>
      <c r="L55" s="72" t="s">
        <v>14</v>
      </c>
      <c r="M55" s="117" t="s">
        <v>311</v>
      </c>
      <c r="N55" s="28">
        <v>2026</v>
      </c>
    </row>
    <row r="56" spans="1:14">
      <c r="A56" s="28">
        <v>55</v>
      </c>
      <c r="B56" s="28" t="s">
        <v>52</v>
      </c>
      <c r="C56" s="28" t="s">
        <v>53</v>
      </c>
      <c r="D56" s="28" t="s">
        <v>60</v>
      </c>
      <c r="E56" s="28" t="s">
        <v>71</v>
      </c>
      <c r="F56" s="28"/>
      <c r="G56" s="28" t="s">
        <v>64</v>
      </c>
      <c r="H56" s="28" t="s">
        <v>298</v>
      </c>
      <c r="I56" s="53">
        <v>1098.3108108108108</v>
      </c>
      <c r="J56" s="28" t="s">
        <v>68</v>
      </c>
      <c r="K56" s="51">
        <v>46204</v>
      </c>
      <c r="L56" s="72" t="s">
        <v>14</v>
      </c>
      <c r="M56" s="117" t="s">
        <v>311</v>
      </c>
      <c r="N56" s="28">
        <v>2026</v>
      </c>
    </row>
    <row r="57" spans="1:14">
      <c r="A57" s="28">
        <v>56</v>
      </c>
      <c r="B57" s="28" t="s">
        <v>52</v>
      </c>
      <c r="C57" s="51" t="s">
        <v>53</v>
      </c>
      <c r="D57" s="28" t="s">
        <v>60</v>
      </c>
      <c r="E57" s="28" t="s">
        <v>71</v>
      </c>
      <c r="F57" s="28"/>
      <c r="G57" s="28" t="s">
        <v>64</v>
      </c>
      <c r="H57" s="52" t="s">
        <v>298</v>
      </c>
      <c r="I57" s="53">
        <v>1070.9459459459461</v>
      </c>
      <c r="J57" s="51" t="s">
        <v>68</v>
      </c>
      <c r="K57" s="51" t="s">
        <v>376</v>
      </c>
      <c r="L57" s="72" t="s">
        <v>14</v>
      </c>
      <c r="M57" s="117" t="s">
        <v>311</v>
      </c>
      <c r="N57" s="28">
        <v>2026</v>
      </c>
    </row>
    <row r="58" spans="1:14">
      <c r="A58" s="28">
        <v>57</v>
      </c>
      <c r="B58" s="28" t="s">
        <v>52</v>
      </c>
      <c r="C58" s="51" t="s">
        <v>53</v>
      </c>
      <c r="D58" s="28" t="s">
        <v>60</v>
      </c>
      <c r="E58" s="28" t="s">
        <v>71</v>
      </c>
      <c r="F58" s="28"/>
      <c r="G58" s="28" t="s">
        <v>64</v>
      </c>
      <c r="H58" s="52" t="s">
        <v>298</v>
      </c>
      <c r="I58" s="53">
        <v>1185.3040540540539</v>
      </c>
      <c r="J58" s="28" t="s">
        <v>68</v>
      </c>
      <c r="K58" s="51" t="s">
        <v>370</v>
      </c>
      <c r="L58" s="72" t="s">
        <v>14</v>
      </c>
      <c r="M58" s="117" t="s">
        <v>311</v>
      </c>
      <c r="N58" s="28">
        <v>2026</v>
      </c>
    </row>
    <row r="59" spans="1:14">
      <c r="A59" s="28">
        <v>58</v>
      </c>
      <c r="B59" s="28" t="s">
        <v>52</v>
      </c>
      <c r="C59" s="51" t="s">
        <v>53</v>
      </c>
      <c r="D59" s="28" t="s">
        <v>60</v>
      </c>
      <c r="E59" s="28" t="s">
        <v>71</v>
      </c>
      <c r="F59" s="28"/>
      <c r="G59" s="28" t="s">
        <v>64</v>
      </c>
      <c r="H59" s="52" t="s">
        <v>298</v>
      </c>
      <c r="I59" s="53">
        <v>400</v>
      </c>
      <c r="J59" s="28" t="s">
        <v>68</v>
      </c>
      <c r="K59" s="51" t="s">
        <v>375</v>
      </c>
      <c r="L59" s="72" t="s">
        <v>14</v>
      </c>
      <c r="M59" s="117" t="s">
        <v>311</v>
      </c>
      <c r="N59" s="28">
        <v>2026</v>
      </c>
    </row>
    <row r="60" spans="1:14">
      <c r="A60" s="28">
        <v>59</v>
      </c>
      <c r="B60" s="28" t="s">
        <v>52</v>
      </c>
      <c r="C60" s="51" t="s">
        <v>53</v>
      </c>
      <c r="D60" s="28" t="s">
        <v>60</v>
      </c>
      <c r="E60" s="28" t="s">
        <v>71</v>
      </c>
      <c r="F60" s="28"/>
      <c r="G60" s="28" t="s">
        <v>64</v>
      </c>
      <c r="H60" s="52" t="s">
        <v>298</v>
      </c>
      <c r="I60" s="53">
        <v>323.64864864864865</v>
      </c>
      <c r="J60" s="28" t="s">
        <v>68</v>
      </c>
      <c r="K60" s="51" t="s">
        <v>373</v>
      </c>
      <c r="L60" s="72" t="s">
        <v>14</v>
      </c>
      <c r="M60" s="117" t="s">
        <v>311</v>
      </c>
      <c r="N60" s="28">
        <v>2026</v>
      </c>
    </row>
    <row r="61" spans="1:14">
      <c r="A61" s="28">
        <v>60</v>
      </c>
      <c r="B61" s="28" t="s">
        <v>52</v>
      </c>
      <c r="C61" s="28" t="s">
        <v>53</v>
      </c>
      <c r="D61" s="28" t="s">
        <v>60</v>
      </c>
      <c r="E61" s="28" t="s">
        <v>71</v>
      </c>
      <c r="F61" s="28"/>
      <c r="G61" s="28" t="s">
        <v>64</v>
      </c>
      <c r="H61" s="28" t="s">
        <v>298</v>
      </c>
      <c r="I61" s="53">
        <v>1114.8648648648648</v>
      </c>
      <c r="J61" s="28" t="s">
        <v>68</v>
      </c>
      <c r="K61" s="51" t="s">
        <v>367</v>
      </c>
      <c r="L61" s="72" t="s">
        <v>14</v>
      </c>
      <c r="M61" s="117" t="s">
        <v>311</v>
      </c>
      <c r="N61" s="28">
        <v>2026</v>
      </c>
    </row>
    <row r="62" spans="1:14">
      <c r="A62" s="28">
        <v>61</v>
      </c>
      <c r="B62" s="28" t="s">
        <v>285</v>
      </c>
      <c r="C62" s="28" t="s">
        <v>286</v>
      </c>
      <c r="D62" s="28" t="s">
        <v>60</v>
      </c>
      <c r="E62" s="28" t="s">
        <v>84</v>
      </c>
      <c r="F62" s="28"/>
      <c r="G62" s="28" t="s">
        <v>64</v>
      </c>
      <c r="H62" s="52" t="s">
        <v>346</v>
      </c>
      <c r="I62" s="53">
        <v>468.91891891891891</v>
      </c>
      <c r="J62" s="28" t="s">
        <v>68</v>
      </c>
      <c r="K62" s="51" t="s">
        <v>380</v>
      </c>
      <c r="L62" s="72" t="s">
        <v>14</v>
      </c>
      <c r="M62" s="117" t="s">
        <v>311</v>
      </c>
      <c r="N62" s="28">
        <v>2026</v>
      </c>
    </row>
    <row r="63" spans="1:14">
      <c r="A63" s="28">
        <v>62</v>
      </c>
      <c r="B63" s="28" t="s">
        <v>285</v>
      </c>
      <c r="C63" s="51" t="s">
        <v>286</v>
      </c>
      <c r="D63" s="28" t="s">
        <v>60</v>
      </c>
      <c r="E63" s="28" t="s">
        <v>84</v>
      </c>
      <c r="F63" s="28"/>
      <c r="G63" s="28" t="s">
        <v>64</v>
      </c>
      <c r="H63" s="52" t="s">
        <v>347</v>
      </c>
      <c r="I63" s="53">
        <v>405.40540540540542</v>
      </c>
      <c r="J63" s="28">
        <v>365</v>
      </c>
      <c r="K63" s="51" t="s">
        <v>367</v>
      </c>
      <c r="L63" s="72" t="s">
        <v>14</v>
      </c>
      <c r="M63" s="117" t="s">
        <v>311</v>
      </c>
      <c r="N63" s="28">
        <v>2026</v>
      </c>
    </row>
    <row r="64" spans="1:14">
      <c r="A64" s="28">
        <v>63</v>
      </c>
      <c r="B64" s="28" t="s">
        <v>42</v>
      </c>
      <c r="C64" s="28" t="s">
        <v>50</v>
      </c>
      <c r="D64" s="28" t="s">
        <v>60</v>
      </c>
      <c r="E64" s="28" t="s">
        <v>71</v>
      </c>
      <c r="F64" s="28"/>
      <c r="G64" s="28" t="s">
        <v>64</v>
      </c>
      <c r="H64" s="28" t="s">
        <v>348</v>
      </c>
      <c r="I64" s="53">
        <v>337.83783783783781</v>
      </c>
      <c r="J64" s="28" t="s">
        <v>68</v>
      </c>
      <c r="K64" s="51">
        <v>46113</v>
      </c>
      <c r="L64" s="72" t="s">
        <v>14</v>
      </c>
      <c r="M64" s="117" t="s">
        <v>311</v>
      </c>
      <c r="N64" s="28">
        <v>2026</v>
      </c>
    </row>
    <row r="65" spans="1:14">
      <c r="A65" s="28">
        <v>64</v>
      </c>
      <c r="B65" s="28" t="s">
        <v>52</v>
      </c>
      <c r="C65" s="51" t="s">
        <v>53</v>
      </c>
      <c r="D65" s="28" t="s">
        <v>60</v>
      </c>
      <c r="E65" s="28" t="s">
        <v>71</v>
      </c>
      <c r="F65" s="28"/>
      <c r="G65" s="28" t="s">
        <v>64</v>
      </c>
      <c r="H65" s="52" t="s">
        <v>349</v>
      </c>
      <c r="I65" s="53">
        <v>649.32432432432438</v>
      </c>
      <c r="J65" s="28" t="s">
        <v>68</v>
      </c>
      <c r="K65" s="51" t="s">
        <v>377</v>
      </c>
      <c r="L65" s="72" t="s">
        <v>14</v>
      </c>
      <c r="M65" s="117" t="s">
        <v>311</v>
      </c>
      <c r="N65" s="28">
        <v>2026</v>
      </c>
    </row>
    <row r="66" spans="1:14">
      <c r="A66" s="28">
        <v>65</v>
      </c>
      <c r="B66" s="28" t="s">
        <v>17</v>
      </c>
      <c r="C66" s="51" t="s">
        <v>24</v>
      </c>
      <c r="D66" s="28" t="s">
        <v>60</v>
      </c>
      <c r="E66" s="28" t="s">
        <v>80</v>
      </c>
      <c r="F66" s="28"/>
      <c r="G66" s="28" t="s">
        <v>64</v>
      </c>
      <c r="H66" s="52" t="s">
        <v>350</v>
      </c>
      <c r="I66" s="53">
        <v>2567.5675675675675</v>
      </c>
      <c r="J66" s="28">
        <v>23300</v>
      </c>
      <c r="K66" s="51">
        <v>46113</v>
      </c>
      <c r="L66" s="72" t="s">
        <v>14</v>
      </c>
      <c r="M66" s="117" t="s">
        <v>311</v>
      </c>
      <c r="N66" s="28">
        <v>2026</v>
      </c>
    </row>
    <row r="67" spans="1:14">
      <c r="A67" s="28">
        <v>66</v>
      </c>
      <c r="B67" s="28" t="s">
        <v>17</v>
      </c>
      <c r="C67" s="51" t="s">
        <v>24</v>
      </c>
      <c r="D67" s="28" t="s">
        <v>60</v>
      </c>
      <c r="E67" s="28" t="s">
        <v>80</v>
      </c>
      <c r="F67" s="28"/>
      <c r="G67" s="28" t="s">
        <v>64</v>
      </c>
      <c r="H67" s="52" t="s">
        <v>350</v>
      </c>
      <c r="I67" s="53">
        <v>1216.2162162162163</v>
      </c>
      <c r="J67" s="28">
        <v>69</v>
      </c>
      <c r="K67" s="51">
        <v>46082</v>
      </c>
      <c r="L67" s="72" t="s">
        <v>14</v>
      </c>
      <c r="M67" s="117" t="s">
        <v>311</v>
      </c>
      <c r="N67" s="28">
        <v>2026</v>
      </c>
    </row>
    <row r="68" spans="1:14">
      <c r="A68" s="28">
        <v>67</v>
      </c>
      <c r="B68" s="28" t="s">
        <v>285</v>
      </c>
      <c r="C68" s="51" t="s">
        <v>286</v>
      </c>
      <c r="D68" s="28" t="s">
        <v>60</v>
      </c>
      <c r="E68" s="28" t="s">
        <v>71</v>
      </c>
      <c r="F68" s="28"/>
      <c r="G68" s="28" t="s">
        <v>64</v>
      </c>
      <c r="H68" s="52" t="s">
        <v>351</v>
      </c>
      <c r="I68" s="53">
        <v>10.135135135135135</v>
      </c>
      <c r="J68" s="28" t="s">
        <v>68</v>
      </c>
      <c r="K68" s="51" t="s">
        <v>380</v>
      </c>
      <c r="L68" s="72" t="s">
        <v>14</v>
      </c>
      <c r="M68" s="117" t="s">
        <v>311</v>
      </c>
      <c r="N68" s="28">
        <v>2026</v>
      </c>
    </row>
    <row r="69" spans="1:14">
      <c r="A69" s="28">
        <v>68</v>
      </c>
      <c r="B69" s="28" t="s">
        <v>58</v>
      </c>
      <c r="C69" s="51" t="s">
        <v>59</v>
      </c>
      <c r="D69" s="28" t="s">
        <v>60</v>
      </c>
      <c r="E69" s="28" t="s">
        <v>99</v>
      </c>
      <c r="F69" s="28"/>
      <c r="G69" s="28" t="s">
        <v>64</v>
      </c>
      <c r="H69" s="52" t="s">
        <v>352</v>
      </c>
      <c r="I69" s="53">
        <v>858.10810810810813</v>
      </c>
      <c r="J69" s="28" t="s">
        <v>68</v>
      </c>
      <c r="K69" s="51" t="s">
        <v>382</v>
      </c>
      <c r="L69" s="72" t="s">
        <v>14</v>
      </c>
      <c r="M69" s="117" t="s">
        <v>311</v>
      </c>
      <c r="N69" s="28">
        <v>2026</v>
      </c>
    </row>
    <row r="70" spans="1:14">
      <c r="A70" s="28">
        <v>69</v>
      </c>
      <c r="B70" s="28" t="s">
        <v>52</v>
      </c>
      <c r="C70" s="51" t="s">
        <v>53</v>
      </c>
      <c r="D70" s="28" t="s">
        <v>60</v>
      </c>
      <c r="E70" s="28" t="s">
        <v>80</v>
      </c>
      <c r="F70" s="28"/>
      <c r="G70" s="28" t="s">
        <v>64</v>
      </c>
      <c r="H70" s="52" t="s">
        <v>353</v>
      </c>
      <c r="I70" s="53">
        <v>213.51351351351352</v>
      </c>
      <c r="J70" s="28" t="s">
        <v>68</v>
      </c>
      <c r="K70" s="51" t="s">
        <v>377</v>
      </c>
      <c r="L70" s="72" t="s">
        <v>14</v>
      </c>
      <c r="M70" s="117" t="s">
        <v>311</v>
      </c>
      <c r="N70" s="28">
        <v>2026</v>
      </c>
    </row>
    <row r="71" spans="1:14">
      <c r="A71" s="28">
        <v>70</v>
      </c>
      <c r="B71" s="28" t="s">
        <v>285</v>
      </c>
      <c r="C71" s="51" t="s">
        <v>286</v>
      </c>
      <c r="D71" s="28" t="s">
        <v>60</v>
      </c>
      <c r="E71" s="28" t="s">
        <v>71</v>
      </c>
      <c r="F71" s="28"/>
      <c r="G71" s="28" t="s">
        <v>64</v>
      </c>
      <c r="H71" s="52" t="s">
        <v>354</v>
      </c>
      <c r="I71" s="53">
        <v>253.37837837837839</v>
      </c>
      <c r="J71" s="28">
        <v>1651</v>
      </c>
      <c r="K71" s="51">
        <v>46047</v>
      </c>
      <c r="L71" s="72" t="s">
        <v>14</v>
      </c>
      <c r="M71" s="117" t="s">
        <v>311</v>
      </c>
      <c r="N71" s="28">
        <v>2026</v>
      </c>
    </row>
    <row r="72" spans="1:14">
      <c r="A72" s="28">
        <v>71</v>
      </c>
      <c r="B72" s="28" t="s">
        <v>285</v>
      </c>
      <c r="C72" s="28" t="s">
        <v>286</v>
      </c>
      <c r="D72" s="28" t="s">
        <v>60</v>
      </c>
      <c r="E72" s="28" t="s">
        <v>80</v>
      </c>
      <c r="F72" s="28"/>
      <c r="G72" s="28" t="s">
        <v>64</v>
      </c>
      <c r="H72" s="52" t="s">
        <v>355</v>
      </c>
      <c r="I72" s="53">
        <v>1182.4324324324325</v>
      </c>
      <c r="J72" s="28" t="s">
        <v>68</v>
      </c>
      <c r="K72" s="51" t="s">
        <v>374</v>
      </c>
      <c r="L72" s="72" t="s">
        <v>14</v>
      </c>
      <c r="M72" s="117" t="s">
        <v>311</v>
      </c>
      <c r="N72" s="28">
        <v>2026</v>
      </c>
    </row>
    <row r="73" spans="1:14">
      <c r="A73" s="28">
        <v>72</v>
      </c>
      <c r="B73" s="28" t="s">
        <v>58</v>
      </c>
      <c r="C73" s="51" t="s">
        <v>59</v>
      </c>
      <c r="D73" s="28" t="s">
        <v>60</v>
      </c>
      <c r="E73" s="28" t="s">
        <v>80</v>
      </c>
      <c r="F73" s="28"/>
      <c r="G73" s="28" t="s">
        <v>64</v>
      </c>
      <c r="H73" s="52" t="s">
        <v>356</v>
      </c>
      <c r="I73" s="53">
        <v>1131.7567567567567</v>
      </c>
      <c r="J73" s="28" t="s">
        <v>68</v>
      </c>
      <c r="K73" s="51">
        <v>46143</v>
      </c>
      <c r="L73" s="72" t="s">
        <v>14</v>
      </c>
      <c r="M73" s="117" t="s">
        <v>311</v>
      </c>
      <c r="N73" s="28">
        <v>2026</v>
      </c>
    </row>
    <row r="74" spans="1:14">
      <c r="A74" s="28">
        <v>73</v>
      </c>
      <c r="B74" s="28" t="s">
        <v>35</v>
      </c>
      <c r="C74" s="51" t="s">
        <v>36</v>
      </c>
      <c r="D74" s="28" t="s">
        <v>60</v>
      </c>
      <c r="E74" s="28" t="s">
        <v>80</v>
      </c>
      <c r="F74" s="28"/>
      <c r="G74" s="28" t="s">
        <v>64</v>
      </c>
      <c r="H74" s="52" t="s">
        <v>357</v>
      </c>
      <c r="I74" s="53">
        <v>1017.5675675675676</v>
      </c>
      <c r="J74" s="28" t="s">
        <v>68</v>
      </c>
      <c r="K74" s="51">
        <v>46296</v>
      </c>
      <c r="L74" s="72" t="s">
        <v>14</v>
      </c>
      <c r="M74" s="117" t="s">
        <v>311</v>
      </c>
      <c r="N74" s="28">
        <v>2026</v>
      </c>
    </row>
    <row r="75" spans="1:14">
      <c r="A75" s="28">
        <v>74</v>
      </c>
      <c r="B75" s="28" t="s">
        <v>35</v>
      </c>
      <c r="C75" s="51" t="s">
        <v>38</v>
      </c>
      <c r="D75" s="28" t="s">
        <v>60</v>
      </c>
      <c r="E75" s="28" t="s">
        <v>80</v>
      </c>
      <c r="F75" s="28"/>
      <c r="G75" s="28" t="s">
        <v>64</v>
      </c>
      <c r="H75" s="52" t="s">
        <v>358</v>
      </c>
      <c r="I75" s="53">
        <v>1013.5135135135135</v>
      </c>
      <c r="J75" s="28" t="s">
        <v>68</v>
      </c>
      <c r="K75" s="51">
        <v>46296</v>
      </c>
      <c r="L75" s="72" t="s">
        <v>14</v>
      </c>
      <c r="M75" s="117" t="s">
        <v>311</v>
      </c>
      <c r="N75" s="28">
        <v>2026</v>
      </c>
    </row>
    <row r="76" spans="1:14">
      <c r="A76" s="28">
        <v>75</v>
      </c>
      <c r="B76" s="28" t="s">
        <v>17</v>
      </c>
      <c r="C76" s="51" t="s">
        <v>18</v>
      </c>
      <c r="D76" s="28" t="s">
        <v>60</v>
      </c>
      <c r="E76" s="28" t="s">
        <v>101</v>
      </c>
      <c r="F76" s="28"/>
      <c r="G76" s="28" t="s">
        <v>64</v>
      </c>
      <c r="H76" s="52" t="s">
        <v>103</v>
      </c>
      <c r="I76" s="53">
        <v>179.05405405405406</v>
      </c>
      <c r="J76" s="28" t="s">
        <v>68</v>
      </c>
      <c r="K76" s="51" t="s">
        <v>383</v>
      </c>
      <c r="L76" s="72" t="s">
        <v>14</v>
      </c>
      <c r="M76" s="117" t="s">
        <v>311</v>
      </c>
      <c r="N76" s="28">
        <v>2026</v>
      </c>
    </row>
    <row r="77" spans="1:14">
      <c r="A77" s="28">
        <v>76</v>
      </c>
      <c r="B77" s="28" t="s">
        <v>17</v>
      </c>
      <c r="C77" s="51" t="s">
        <v>23</v>
      </c>
      <c r="D77" s="28" t="s">
        <v>60</v>
      </c>
      <c r="E77" s="28" t="s">
        <v>101</v>
      </c>
      <c r="F77" s="28"/>
      <c r="G77" s="28" t="s">
        <v>64</v>
      </c>
      <c r="H77" s="52" t="s">
        <v>103</v>
      </c>
      <c r="I77" s="53">
        <v>250.67567567567568</v>
      </c>
      <c r="J77" s="28" t="s">
        <v>68</v>
      </c>
      <c r="K77" s="51" t="s">
        <v>383</v>
      </c>
      <c r="L77" s="72" t="s">
        <v>14</v>
      </c>
      <c r="M77" s="117" t="s">
        <v>311</v>
      </c>
      <c r="N77" s="28">
        <v>2026</v>
      </c>
    </row>
    <row r="78" spans="1:14">
      <c r="A78" s="28">
        <v>77</v>
      </c>
      <c r="B78" s="28" t="s">
        <v>17</v>
      </c>
      <c r="C78" s="51" t="s">
        <v>25</v>
      </c>
      <c r="D78" s="28" t="s">
        <v>60</v>
      </c>
      <c r="E78" s="28" t="s">
        <v>101</v>
      </c>
      <c r="F78" s="28"/>
      <c r="G78" s="28" t="s">
        <v>64</v>
      </c>
      <c r="H78" s="52" t="s">
        <v>103</v>
      </c>
      <c r="I78" s="53">
        <v>519.59459459459458</v>
      </c>
      <c r="J78" s="28" t="s">
        <v>68</v>
      </c>
      <c r="K78" s="51" t="s">
        <v>383</v>
      </c>
      <c r="L78" s="72" t="s">
        <v>14</v>
      </c>
      <c r="M78" s="117" t="s">
        <v>311</v>
      </c>
      <c r="N78" s="28">
        <v>2026</v>
      </c>
    </row>
    <row r="79" spans="1:14">
      <c r="A79" s="28">
        <v>78</v>
      </c>
      <c r="B79" s="28" t="s">
        <v>54</v>
      </c>
      <c r="C79" s="51" t="s">
        <v>55</v>
      </c>
      <c r="D79" s="28" t="s">
        <v>60</v>
      </c>
      <c r="E79" s="28" t="s">
        <v>101</v>
      </c>
      <c r="F79" s="28"/>
      <c r="G79" s="28" t="s">
        <v>64</v>
      </c>
      <c r="H79" s="52" t="s">
        <v>103</v>
      </c>
      <c r="I79" s="53">
        <v>268.91891891891891</v>
      </c>
      <c r="J79" s="28" t="s">
        <v>68</v>
      </c>
      <c r="K79" s="51" t="s">
        <v>383</v>
      </c>
      <c r="L79" s="72" t="s">
        <v>14</v>
      </c>
      <c r="M79" s="117" t="s">
        <v>311</v>
      </c>
      <c r="N79" s="28">
        <v>2026</v>
      </c>
    </row>
    <row r="80" spans="1:14">
      <c r="A80" s="28">
        <v>79</v>
      </c>
      <c r="B80" s="28" t="s">
        <v>58</v>
      </c>
      <c r="C80" s="51" t="s">
        <v>59</v>
      </c>
      <c r="D80" s="28" t="s">
        <v>60</v>
      </c>
      <c r="E80" s="28" t="s">
        <v>101</v>
      </c>
      <c r="F80" s="28"/>
      <c r="G80" s="28" t="s">
        <v>64</v>
      </c>
      <c r="H80" s="52" t="s">
        <v>82</v>
      </c>
      <c r="I80" s="53">
        <v>78.040540540540547</v>
      </c>
      <c r="J80" s="28" t="s">
        <v>68</v>
      </c>
      <c r="K80" s="51" t="s">
        <v>381</v>
      </c>
      <c r="L80" s="72" t="s">
        <v>14</v>
      </c>
      <c r="M80" s="117" t="s">
        <v>311</v>
      </c>
      <c r="N80" s="28">
        <v>2026</v>
      </c>
    </row>
    <row r="81" spans="1:14">
      <c r="A81" s="28">
        <v>80</v>
      </c>
      <c r="B81" s="28" t="s">
        <v>58</v>
      </c>
      <c r="C81" s="51" t="s">
        <v>59</v>
      </c>
      <c r="D81" s="28" t="s">
        <v>60</v>
      </c>
      <c r="E81" s="28" t="s">
        <v>101</v>
      </c>
      <c r="F81" s="28"/>
      <c r="G81" s="28" t="s">
        <v>64</v>
      </c>
      <c r="H81" s="52" t="s">
        <v>301</v>
      </c>
      <c r="I81" s="53">
        <v>734.45945945945948</v>
      </c>
      <c r="J81" s="28" t="s">
        <v>68</v>
      </c>
      <c r="K81" s="51" t="s">
        <v>383</v>
      </c>
      <c r="L81" s="72" t="s">
        <v>14</v>
      </c>
      <c r="M81" s="117" t="s">
        <v>311</v>
      </c>
      <c r="N81" s="28">
        <v>2026</v>
      </c>
    </row>
    <row r="82" spans="1:14">
      <c r="A82" s="28">
        <v>81</v>
      </c>
      <c r="B82" s="28" t="s">
        <v>42</v>
      </c>
      <c r="C82" s="51" t="s">
        <v>70</v>
      </c>
      <c r="D82" s="28" t="s">
        <v>60</v>
      </c>
      <c r="E82" s="28" t="s">
        <v>101</v>
      </c>
      <c r="F82" s="28"/>
      <c r="G82" s="28" t="s">
        <v>64</v>
      </c>
      <c r="H82" s="52" t="s">
        <v>103</v>
      </c>
      <c r="I82" s="53">
        <v>388.51351351351349</v>
      </c>
      <c r="J82" s="28" t="s">
        <v>68</v>
      </c>
      <c r="K82" s="51" t="s">
        <v>383</v>
      </c>
      <c r="L82" s="72" t="s">
        <v>14</v>
      </c>
      <c r="M82" s="117" t="s">
        <v>311</v>
      </c>
      <c r="N82" s="28">
        <v>2026</v>
      </c>
    </row>
    <row r="83" spans="1:14">
      <c r="A83" s="28">
        <v>82</v>
      </c>
      <c r="B83" s="28" t="s">
        <v>42</v>
      </c>
      <c r="C83" s="51" t="s">
        <v>50</v>
      </c>
      <c r="D83" s="28" t="s">
        <v>60</v>
      </c>
      <c r="E83" s="28" t="s">
        <v>101</v>
      </c>
      <c r="F83" s="28"/>
      <c r="G83" s="28" t="s">
        <v>64</v>
      </c>
      <c r="H83" s="52" t="s">
        <v>103</v>
      </c>
      <c r="I83" s="53">
        <v>233.1081081081081</v>
      </c>
      <c r="J83" s="28" t="s">
        <v>68</v>
      </c>
      <c r="K83" s="51" t="s">
        <v>383</v>
      </c>
      <c r="L83" s="72" t="s">
        <v>14</v>
      </c>
      <c r="M83" s="117" t="s">
        <v>311</v>
      </c>
      <c r="N83" s="28">
        <v>2026</v>
      </c>
    </row>
    <row r="84" spans="1:14">
      <c r="A84" s="28">
        <v>83</v>
      </c>
      <c r="B84" s="28" t="s">
        <v>52</v>
      </c>
      <c r="C84" s="51" t="s">
        <v>53</v>
      </c>
      <c r="D84" s="28" t="s">
        <v>60</v>
      </c>
      <c r="E84" s="28" t="s">
        <v>101</v>
      </c>
      <c r="F84" s="28"/>
      <c r="G84" s="28" t="s">
        <v>64</v>
      </c>
      <c r="H84" s="52" t="s">
        <v>301</v>
      </c>
      <c r="I84" s="53">
        <v>107.43243243243244</v>
      </c>
      <c r="J84" s="28" t="s">
        <v>68</v>
      </c>
      <c r="K84" s="51" t="s">
        <v>383</v>
      </c>
      <c r="L84" s="72" t="s">
        <v>14</v>
      </c>
      <c r="M84" s="117" t="s">
        <v>311</v>
      </c>
      <c r="N84" s="28">
        <v>2026</v>
      </c>
    </row>
    <row r="85" spans="1:14">
      <c r="A85" s="28">
        <v>84</v>
      </c>
      <c r="B85" s="28" t="s">
        <v>58</v>
      </c>
      <c r="C85" s="51" t="s">
        <v>59</v>
      </c>
      <c r="D85" s="28" t="s">
        <v>60</v>
      </c>
      <c r="E85" s="28" t="s">
        <v>249</v>
      </c>
      <c r="F85" s="28"/>
      <c r="G85" s="28" t="s">
        <v>64</v>
      </c>
      <c r="H85" s="52" t="s">
        <v>359</v>
      </c>
      <c r="I85" s="53">
        <v>689.18918918918916</v>
      </c>
      <c r="J85" s="28" t="s">
        <v>68</v>
      </c>
      <c r="K85" s="51" t="s">
        <v>384</v>
      </c>
      <c r="L85" s="72" t="s">
        <v>14</v>
      </c>
      <c r="M85" s="117" t="s">
        <v>311</v>
      </c>
      <c r="N85" s="28">
        <v>2026</v>
      </c>
    </row>
    <row r="86" spans="1:14">
      <c r="A86" s="28">
        <v>85</v>
      </c>
      <c r="B86" s="28" t="s">
        <v>58</v>
      </c>
      <c r="C86" s="51" t="s">
        <v>59</v>
      </c>
      <c r="D86" s="28" t="s">
        <v>60</v>
      </c>
      <c r="E86" s="28" t="s">
        <v>249</v>
      </c>
      <c r="F86" s="28"/>
      <c r="G86" s="28" t="s">
        <v>64</v>
      </c>
      <c r="H86" s="52" t="s">
        <v>360</v>
      </c>
      <c r="I86" s="53">
        <v>177.70270270270271</v>
      </c>
      <c r="J86" s="28" t="s">
        <v>68</v>
      </c>
      <c r="K86" s="51" t="s">
        <v>369</v>
      </c>
      <c r="L86" s="72" t="s">
        <v>14</v>
      </c>
      <c r="M86" s="117" t="s">
        <v>311</v>
      </c>
      <c r="N86" s="28">
        <v>2026</v>
      </c>
    </row>
    <row r="87" spans="1:14">
      <c r="A87" s="28">
        <v>86</v>
      </c>
      <c r="B87" s="28" t="s">
        <v>58</v>
      </c>
      <c r="C87" s="28" t="s">
        <v>59</v>
      </c>
      <c r="D87" s="28"/>
      <c r="E87" s="28" t="s">
        <v>249</v>
      </c>
      <c r="F87" s="28"/>
      <c r="G87" s="28" t="s">
        <v>64</v>
      </c>
      <c r="H87" s="28" t="s">
        <v>361</v>
      </c>
      <c r="I87" s="53">
        <v>1479.7297297297298</v>
      </c>
      <c r="J87" s="28" t="s">
        <v>68</v>
      </c>
      <c r="K87" s="51" t="s">
        <v>382</v>
      </c>
      <c r="L87" s="72" t="s">
        <v>14</v>
      </c>
      <c r="M87" s="117" t="s">
        <v>311</v>
      </c>
      <c r="N87" s="28">
        <v>2026</v>
      </c>
    </row>
    <row r="88" spans="1:14">
      <c r="A88" s="28">
        <v>87</v>
      </c>
      <c r="B88" s="28" t="s">
        <v>58</v>
      </c>
      <c r="C88" s="28" t="s">
        <v>59</v>
      </c>
      <c r="D88" s="28"/>
      <c r="E88" s="28" t="s">
        <v>249</v>
      </c>
      <c r="F88" s="28"/>
      <c r="G88" s="28" t="s">
        <v>64</v>
      </c>
      <c r="H88" s="28" t="s">
        <v>362</v>
      </c>
      <c r="I88" s="53">
        <v>689.18918918918916</v>
      </c>
      <c r="J88" s="28" t="s">
        <v>68</v>
      </c>
      <c r="K88" s="51" t="s">
        <v>373</v>
      </c>
      <c r="L88" s="72" t="s">
        <v>14</v>
      </c>
      <c r="M88" s="117" t="s">
        <v>311</v>
      </c>
      <c r="N88" s="28">
        <v>2026</v>
      </c>
    </row>
    <row r="89" spans="1:14">
      <c r="A89" s="28">
        <v>88</v>
      </c>
      <c r="B89" s="28" t="s">
        <v>58</v>
      </c>
      <c r="C89" s="28" t="s">
        <v>59</v>
      </c>
      <c r="D89" s="28"/>
      <c r="E89" s="28" t="s">
        <v>249</v>
      </c>
      <c r="F89" s="28"/>
      <c r="G89" s="28" t="s">
        <v>64</v>
      </c>
      <c r="H89" s="28" t="s">
        <v>363</v>
      </c>
      <c r="I89" s="53">
        <v>449.32432432432432</v>
      </c>
      <c r="J89" s="28" t="s">
        <v>68</v>
      </c>
      <c r="K89" s="51">
        <v>46235</v>
      </c>
      <c r="L89" s="72" t="s">
        <v>14</v>
      </c>
      <c r="M89" s="117" t="s">
        <v>311</v>
      </c>
      <c r="N89" s="28">
        <v>2026</v>
      </c>
    </row>
    <row r="90" spans="1:14">
      <c r="A90" s="28">
        <v>89</v>
      </c>
      <c r="B90" s="28" t="s">
        <v>58</v>
      </c>
      <c r="C90" s="28" t="s">
        <v>59</v>
      </c>
      <c r="D90" s="28"/>
      <c r="E90" s="28" t="s">
        <v>249</v>
      </c>
      <c r="F90" s="28"/>
      <c r="G90" s="28" t="s">
        <v>64</v>
      </c>
      <c r="H90" s="52" t="s">
        <v>364</v>
      </c>
      <c r="I90" s="53">
        <v>202.70270270270271</v>
      </c>
      <c r="J90" s="52" t="s">
        <v>68</v>
      </c>
      <c r="K90" s="51">
        <v>46082</v>
      </c>
      <c r="L90" s="72" t="s">
        <v>14</v>
      </c>
      <c r="M90" s="117" t="s">
        <v>311</v>
      </c>
      <c r="N90" s="28">
        <v>2026</v>
      </c>
    </row>
    <row r="91" spans="1:14">
      <c r="A91" s="28">
        <v>90</v>
      </c>
      <c r="B91" s="28" t="s">
        <v>285</v>
      </c>
      <c r="C91" s="28" t="s">
        <v>286</v>
      </c>
      <c r="D91" s="28"/>
      <c r="E91" s="28" t="s">
        <v>249</v>
      </c>
      <c r="F91" s="28"/>
      <c r="G91" s="28" t="s">
        <v>64</v>
      </c>
      <c r="H91" s="52" t="s">
        <v>365</v>
      </c>
      <c r="I91" s="53">
        <v>337.83783783783781</v>
      </c>
      <c r="J91" s="52">
        <v>2705</v>
      </c>
      <c r="K91" s="51" t="s">
        <v>367</v>
      </c>
      <c r="L91" s="72" t="s">
        <v>14</v>
      </c>
      <c r="M91" s="117" t="s">
        <v>311</v>
      </c>
      <c r="N91" s="28">
        <v>2026</v>
      </c>
    </row>
    <row r="92" spans="1:14">
      <c r="A92" s="28">
        <v>91</v>
      </c>
      <c r="B92" s="28" t="s">
        <v>42</v>
      </c>
      <c r="C92" s="28" t="s">
        <v>48</v>
      </c>
      <c r="D92" s="28"/>
      <c r="E92" s="28" t="s">
        <v>249</v>
      </c>
      <c r="F92" s="28"/>
      <c r="G92" s="28" t="s">
        <v>64</v>
      </c>
      <c r="H92" s="28" t="s">
        <v>366</v>
      </c>
      <c r="I92" s="56">
        <v>1273.6486486486488</v>
      </c>
      <c r="J92" s="28" t="s">
        <v>68</v>
      </c>
      <c r="K92" s="51" t="s">
        <v>385</v>
      </c>
      <c r="L92" s="72" t="s">
        <v>14</v>
      </c>
      <c r="M92" s="117" t="s">
        <v>311</v>
      </c>
      <c r="N92" s="28">
        <v>2026</v>
      </c>
    </row>
    <row r="93" spans="1:14">
      <c r="A93" s="28">
        <v>92</v>
      </c>
      <c r="B93" s="28" t="s">
        <v>58</v>
      </c>
      <c r="C93" s="28" t="s">
        <v>59</v>
      </c>
      <c r="D93" s="28"/>
      <c r="E93" s="28" t="s">
        <v>80</v>
      </c>
      <c r="F93" s="28"/>
      <c r="G93" s="28" t="s">
        <v>64</v>
      </c>
      <c r="H93" s="28" t="s">
        <v>259</v>
      </c>
      <c r="I93" s="56">
        <v>1548.2758620689656</v>
      </c>
      <c r="J93" s="28" t="s">
        <v>68</v>
      </c>
      <c r="K93" s="51" t="s">
        <v>293</v>
      </c>
      <c r="L93" s="72" t="s">
        <v>14</v>
      </c>
      <c r="M93" s="117" t="s">
        <v>311</v>
      </c>
      <c r="N93" s="28">
        <v>2026</v>
      </c>
    </row>
    <row r="94" spans="1:14">
      <c r="A94" s="28">
        <v>93</v>
      </c>
      <c r="B94" s="28" t="s">
        <v>58</v>
      </c>
      <c r="C94" s="28" t="s">
        <v>59</v>
      </c>
      <c r="D94" s="28"/>
      <c r="E94" s="28" t="s">
        <v>80</v>
      </c>
      <c r="F94" s="28"/>
      <c r="G94" s="28" t="s">
        <v>64</v>
      </c>
      <c r="H94" s="28" t="s">
        <v>299</v>
      </c>
      <c r="I94" s="56">
        <v>4055.1724137931033</v>
      </c>
      <c r="J94" s="28" t="s">
        <v>68</v>
      </c>
      <c r="K94" s="51" t="s">
        <v>292</v>
      </c>
      <c r="L94" s="72" t="s">
        <v>14</v>
      </c>
      <c r="M94" s="117" t="s">
        <v>311</v>
      </c>
      <c r="N94" s="28">
        <v>2026</v>
      </c>
    </row>
    <row r="95" spans="1:14">
      <c r="A95" s="28">
        <v>94</v>
      </c>
      <c r="B95" s="28" t="s">
        <v>287</v>
      </c>
      <c r="C95" s="28" t="s">
        <v>287</v>
      </c>
      <c r="D95" s="28"/>
      <c r="E95" s="28" t="s">
        <v>101</v>
      </c>
      <c r="F95" s="28"/>
      <c r="G95" s="28" t="s">
        <v>64</v>
      </c>
      <c r="H95" s="28" t="s">
        <v>300</v>
      </c>
      <c r="I95" s="56">
        <v>155.17241379310346</v>
      </c>
      <c r="J95" s="28" t="s">
        <v>68</v>
      </c>
      <c r="K95" s="51" t="s">
        <v>291</v>
      </c>
      <c r="L95" s="72" t="s">
        <v>14</v>
      </c>
      <c r="M95" s="117" t="s">
        <v>311</v>
      </c>
      <c r="N95" s="28">
        <v>2026</v>
      </c>
    </row>
    <row r="96" spans="1:14">
      <c r="A96" s="28">
        <v>95</v>
      </c>
      <c r="B96" s="28" t="s">
        <v>17</v>
      </c>
      <c r="C96" s="28" t="s">
        <v>18</v>
      </c>
      <c r="D96" s="28"/>
      <c r="E96" s="28" t="s">
        <v>101</v>
      </c>
      <c r="F96" s="28"/>
      <c r="G96" s="28" t="s">
        <v>64</v>
      </c>
      <c r="H96" s="28" t="s">
        <v>103</v>
      </c>
      <c r="I96" s="56">
        <v>621.37931034482756</v>
      </c>
      <c r="J96" s="28" t="s">
        <v>68</v>
      </c>
      <c r="K96" s="51" t="s">
        <v>291</v>
      </c>
      <c r="L96" s="72" t="s">
        <v>14</v>
      </c>
      <c r="M96" s="117" t="s">
        <v>311</v>
      </c>
      <c r="N96" s="28">
        <v>2026</v>
      </c>
    </row>
    <row r="97" spans="1:14">
      <c r="A97" s="28">
        <v>96</v>
      </c>
      <c r="B97" s="28" t="s">
        <v>54</v>
      </c>
      <c r="C97" s="28" t="s">
        <v>55</v>
      </c>
      <c r="D97" s="28"/>
      <c r="E97" s="28" t="s">
        <v>101</v>
      </c>
      <c r="F97" s="28"/>
      <c r="G97" s="28" t="s">
        <v>64</v>
      </c>
      <c r="H97" s="28" t="s">
        <v>301</v>
      </c>
      <c r="I97" s="56">
        <v>377.93103448275861</v>
      </c>
      <c r="J97" s="28" t="s">
        <v>68</v>
      </c>
      <c r="K97" s="51" t="s">
        <v>291</v>
      </c>
      <c r="L97" s="72" t="s">
        <v>14</v>
      </c>
      <c r="M97" s="117" t="s">
        <v>311</v>
      </c>
      <c r="N97" s="28">
        <v>2026</v>
      </c>
    </row>
    <row r="98" spans="1:14">
      <c r="A98" s="28">
        <v>97</v>
      </c>
      <c r="B98" s="28" t="s">
        <v>42</v>
      </c>
      <c r="C98" s="28" t="s">
        <v>70</v>
      </c>
      <c r="D98" s="28"/>
      <c r="E98" s="28" t="s">
        <v>101</v>
      </c>
      <c r="F98" s="28"/>
      <c r="G98" s="28" t="s">
        <v>64</v>
      </c>
      <c r="H98" s="28" t="s">
        <v>103</v>
      </c>
      <c r="I98" s="56">
        <v>1024.1379310344828</v>
      </c>
      <c r="J98" s="28" t="s">
        <v>68</v>
      </c>
      <c r="K98" s="51" t="s">
        <v>291</v>
      </c>
      <c r="L98" s="72" t="s">
        <v>14</v>
      </c>
      <c r="M98" s="117" t="s">
        <v>311</v>
      </c>
      <c r="N98" s="28">
        <v>2026</v>
      </c>
    </row>
    <row r="99" spans="1:14">
      <c r="A99" s="28">
        <v>98</v>
      </c>
      <c r="B99" s="28" t="s">
        <v>35</v>
      </c>
      <c r="C99" s="28" t="s">
        <v>36</v>
      </c>
      <c r="D99" s="28"/>
      <c r="E99" s="28" t="s">
        <v>101</v>
      </c>
      <c r="F99" s="28"/>
      <c r="G99" s="28" t="s">
        <v>64</v>
      </c>
      <c r="H99" s="28" t="s">
        <v>301</v>
      </c>
      <c r="I99" s="56">
        <v>109.65517241379311</v>
      </c>
      <c r="J99" s="28" t="s">
        <v>68</v>
      </c>
      <c r="K99" s="51" t="s">
        <v>291</v>
      </c>
      <c r="L99" s="72" t="s">
        <v>14</v>
      </c>
      <c r="M99" s="117" t="s">
        <v>311</v>
      </c>
      <c r="N99" s="28">
        <v>2026</v>
      </c>
    </row>
    <row r="100" spans="1:14">
      <c r="A100" s="28">
        <v>99</v>
      </c>
      <c r="B100" s="28" t="s">
        <v>42</v>
      </c>
      <c r="C100" s="28" t="s">
        <v>45</v>
      </c>
      <c r="D100" s="28"/>
      <c r="E100" s="28" t="s">
        <v>101</v>
      </c>
      <c r="F100" s="28"/>
      <c r="G100" s="28" t="s">
        <v>64</v>
      </c>
      <c r="H100" s="28" t="s">
        <v>103</v>
      </c>
      <c r="I100" s="56">
        <v>255.86206896551724</v>
      </c>
      <c r="J100" s="28" t="s">
        <v>68</v>
      </c>
      <c r="K100" s="51" t="s">
        <v>291</v>
      </c>
      <c r="L100" s="72" t="s">
        <v>14</v>
      </c>
      <c r="M100" s="117" t="s">
        <v>311</v>
      </c>
      <c r="N100" s="28">
        <v>2026</v>
      </c>
    </row>
    <row r="101" spans="1:14">
      <c r="A101" s="28">
        <v>100</v>
      </c>
      <c r="B101" s="28" t="s">
        <v>33</v>
      </c>
      <c r="C101" s="28" t="s">
        <v>34</v>
      </c>
      <c r="D101" s="28"/>
      <c r="E101" s="28" t="s">
        <v>101</v>
      </c>
      <c r="F101" s="28"/>
      <c r="G101" s="28" t="s">
        <v>64</v>
      </c>
      <c r="H101" s="28" t="s">
        <v>301</v>
      </c>
      <c r="I101" s="56">
        <v>365.51724137931035</v>
      </c>
      <c r="J101" s="28" t="s">
        <v>68</v>
      </c>
      <c r="K101" s="51" t="s">
        <v>291</v>
      </c>
      <c r="L101" s="72" t="s">
        <v>14</v>
      </c>
      <c r="M101" s="117" t="s">
        <v>311</v>
      </c>
      <c r="N101" s="28">
        <v>2026</v>
      </c>
    </row>
    <row r="102" spans="1:14">
      <c r="A102" s="28">
        <v>101</v>
      </c>
      <c r="B102" s="28" t="s">
        <v>52</v>
      </c>
      <c r="C102" s="28" t="s">
        <v>53</v>
      </c>
      <c r="D102" s="28"/>
      <c r="E102" s="28" t="s">
        <v>101</v>
      </c>
      <c r="F102" s="28"/>
      <c r="G102" s="28" t="s">
        <v>64</v>
      </c>
      <c r="H102" s="28" t="s">
        <v>301</v>
      </c>
      <c r="I102" s="56">
        <v>837.24137931034488</v>
      </c>
      <c r="J102" s="28" t="s">
        <v>68</v>
      </c>
      <c r="K102" s="51" t="s">
        <v>291</v>
      </c>
      <c r="L102" s="72" t="s">
        <v>14</v>
      </c>
      <c r="M102" s="117" t="s">
        <v>311</v>
      </c>
      <c r="N102" s="28">
        <v>2026</v>
      </c>
    </row>
    <row r="103" spans="1:14">
      <c r="A103" s="28">
        <v>102</v>
      </c>
      <c r="B103" s="28" t="s">
        <v>58</v>
      </c>
      <c r="C103" s="28" t="s">
        <v>59</v>
      </c>
      <c r="D103" s="28"/>
      <c r="E103" s="28" t="s">
        <v>101</v>
      </c>
      <c r="F103" s="28"/>
      <c r="G103" s="28" t="s">
        <v>64</v>
      </c>
      <c r="H103" s="28" t="s">
        <v>302</v>
      </c>
      <c r="I103" s="56">
        <v>741.37931034482756</v>
      </c>
      <c r="J103" s="28">
        <v>8320</v>
      </c>
      <c r="K103" s="51">
        <v>45942</v>
      </c>
      <c r="L103" s="72" t="s">
        <v>14</v>
      </c>
      <c r="M103" s="117" t="s">
        <v>311</v>
      </c>
      <c r="N103" s="28">
        <v>2026</v>
      </c>
    </row>
    <row r="104" spans="1:14">
      <c r="A104" s="28">
        <v>103</v>
      </c>
      <c r="B104" s="28" t="s">
        <v>58</v>
      </c>
      <c r="C104" s="28" t="s">
        <v>59</v>
      </c>
      <c r="D104" s="28"/>
      <c r="E104" s="28" t="s">
        <v>101</v>
      </c>
      <c r="F104" s="28"/>
      <c r="G104" s="28" t="s">
        <v>64</v>
      </c>
      <c r="H104" s="28" t="s">
        <v>303</v>
      </c>
      <c r="I104" s="56">
        <v>877.24137931034488</v>
      </c>
      <c r="J104" s="28" t="s">
        <v>68</v>
      </c>
      <c r="K104" s="51" t="s">
        <v>291</v>
      </c>
      <c r="L104" s="72" t="s">
        <v>14</v>
      </c>
      <c r="M104" s="117" t="s">
        <v>311</v>
      </c>
      <c r="N104" s="28">
        <v>2026</v>
      </c>
    </row>
    <row r="105" spans="1:14">
      <c r="A105" s="28">
        <v>104</v>
      </c>
      <c r="B105" s="28" t="s">
        <v>58</v>
      </c>
      <c r="C105" s="28" t="s">
        <v>59</v>
      </c>
      <c r="D105" s="28"/>
      <c r="E105" s="28" t="s">
        <v>101</v>
      </c>
      <c r="F105" s="28"/>
      <c r="G105" s="28" t="s">
        <v>64</v>
      </c>
      <c r="H105" s="28" t="s">
        <v>304</v>
      </c>
      <c r="I105" s="56">
        <v>1324.1379310344828</v>
      </c>
      <c r="J105" s="28" t="s">
        <v>68</v>
      </c>
      <c r="K105" s="51" t="s">
        <v>292</v>
      </c>
      <c r="L105" s="72" t="s">
        <v>14</v>
      </c>
      <c r="M105" s="117" t="s">
        <v>311</v>
      </c>
      <c r="N105" s="28">
        <v>2026</v>
      </c>
    </row>
    <row r="106" spans="1:14">
      <c r="A106" s="28">
        <v>105</v>
      </c>
      <c r="B106" s="28" t="s">
        <v>58</v>
      </c>
      <c r="C106" s="28" t="s">
        <v>59</v>
      </c>
      <c r="D106" s="28"/>
      <c r="E106" s="28" t="s">
        <v>101</v>
      </c>
      <c r="F106" s="28"/>
      <c r="G106" s="28" t="s">
        <v>64</v>
      </c>
      <c r="H106" s="28" t="s">
        <v>82</v>
      </c>
      <c r="I106" s="56">
        <v>102.93103448275862</v>
      </c>
      <c r="J106" s="28" t="s">
        <v>68</v>
      </c>
      <c r="K106" s="51" t="s">
        <v>293</v>
      </c>
      <c r="L106" s="72" t="s">
        <v>14</v>
      </c>
      <c r="M106" s="117" t="s">
        <v>311</v>
      </c>
      <c r="N106" s="28">
        <v>2026</v>
      </c>
    </row>
    <row r="107" spans="1:14">
      <c r="A107" s="28">
        <v>106</v>
      </c>
      <c r="B107" s="28" t="s">
        <v>42</v>
      </c>
      <c r="C107" s="28" t="s">
        <v>40</v>
      </c>
      <c r="D107" s="28"/>
      <c r="E107" s="28" t="s">
        <v>101</v>
      </c>
      <c r="F107" s="28"/>
      <c r="G107" s="28" t="s">
        <v>64</v>
      </c>
      <c r="H107" s="28" t="s">
        <v>103</v>
      </c>
      <c r="I107" s="56">
        <v>36.551724137931032</v>
      </c>
      <c r="J107" s="28" t="s">
        <v>68</v>
      </c>
      <c r="K107" s="51" t="s">
        <v>291</v>
      </c>
      <c r="L107" s="72" t="s">
        <v>14</v>
      </c>
      <c r="M107" s="117" t="s">
        <v>311</v>
      </c>
      <c r="N107" s="28">
        <v>2026</v>
      </c>
    </row>
    <row r="108" spans="1:14">
      <c r="A108" s="28">
        <v>107</v>
      </c>
      <c r="B108" s="28" t="s">
        <v>42</v>
      </c>
      <c r="C108" s="28" t="s">
        <v>47</v>
      </c>
      <c r="D108" s="28"/>
      <c r="E108" s="28" t="s">
        <v>101</v>
      </c>
      <c r="F108" s="28"/>
      <c r="G108" s="28" t="s">
        <v>64</v>
      </c>
      <c r="H108" s="28" t="s">
        <v>103</v>
      </c>
      <c r="I108" s="56">
        <v>36.551724137931032</v>
      </c>
      <c r="J108" s="28" t="s">
        <v>68</v>
      </c>
      <c r="K108" s="51" t="s">
        <v>294</v>
      </c>
      <c r="L108" s="72" t="s">
        <v>14</v>
      </c>
      <c r="M108" s="117" t="s">
        <v>311</v>
      </c>
      <c r="N108" s="28">
        <v>2026</v>
      </c>
    </row>
    <row r="109" spans="1:14">
      <c r="A109" s="28">
        <v>108</v>
      </c>
      <c r="B109" s="28" t="s">
        <v>42</v>
      </c>
      <c r="C109" s="28" t="s">
        <v>48</v>
      </c>
      <c r="D109" s="28"/>
      <c r="E109" s="28" t="s">
        <v>101</v>
      </c>
      <c r="F109" s="28"/>
      <c r="G109" s="28" t="s">
        <v>64</v>
      </c>
      <c r="H109" s="28" t="s">
        <v>103</v>
      </c>
      <c r="I109" s="56">
        <v>585.51724137931035</v>
      </c>
      <c r="J109" s="28" t="s">
        <v>68</v>
      </c>
      <c r="K109" s="51" t="s">
        <v>291</v>
      </c>
      <c r="L109" s="72" t="s">
        <v>14</v>
      </c>
      <c r="M109" s="117" t="s">
        <v>311</v>
      </c>
      <c r="N109" s="28">
        <v>2026</v>
      </c>
    </row>
    <row r="110" spans="1:14">
      <c r="A110" s="28">
        <v>109</v>
      </c>
      <c r="B110" s="28" t="s">
        <v>42</v>
      </c>
      <c r="C110" s="28" t="s">
        <v>50</v>
      </c>
      <c r="D110" s="28"/>
      <c r="E110" s="28" t="s">
        <v>101</v>
      </c>
      <c r="F110" s="28"/>
      <c r="G110" s="28" t="s">
        <v>64</v>
      </c>
      <c r="H110" s="28" t="s">
        <v>301</v>
      </c>
      <c r="I110" s="56">
        <v>237.93103448275863</v>
      </c>
      <c r="J110" s="28" t="s">
        <v>68</v>
      </c>
      <c r="K110" s="51" t="s">
        <v>291</v>
      </c>
      <c r="L110" s="72" t="s">
        <v>14</v>
      </c>
      <c r="M110" s="117" t="s">
        <v>311</v>
      </c>
      <c r="N110" s="28">
        <v>2026</v>
      </c>
    </row>
    <row r="111" spans="1:14">
      <c r="A111" s="28">
        <v>110</v>
      </c>
      <c r="B111" s="28" t="s">
        <v>42</v>
      </c>
      <c r="C111" s="28" t="s">
        <v>51</v>
      </c>
      <c r="D111" s="28"/>
      <c r="E111" s="28" t="s">
        <v>101</v>
      </c>
      <c r="F111" s="28"/>
      <c r="G111" s="28" t="s">
        <v>64</v>
      </c>
      <c r="H111" s="28" t="s">
        <v>103</v>
      </c>
      <c r="I111" s="56">
        <v>255.86206896551724</v>
      </c>
      <c r="J111" s="28" t="s">
        <v>68</v>
      </c>
      <c r="K111" s="51" t="s">
        <v>291</v>
      </c>
      <c r="L111" s="72" t="s">
        <v>14</v>
      </c>
      <c r="M111" s="117" t="s">
        <v>311</v>
      </c>
      <c r="N111" s="28">
        <v>2026</v>
      </c>
    </row>
    <row r="112" spans="1:14">
      <c r="A112" s="28">
        <v>111</v>
      </c>
      <c r="B112" s="28" t="s">
        <v>17</v>
      </c>
      <c r="C112" s="28" t="s">
        <v>23</v>
      </c>
      <c r="D112" s="28"/>
      <c r="E112" s="28" t="s">
        <v>101</v>
      </c>
      <c r="F112" s="28"/>
      <c r="G112" s="28" t="s">
        <v>64</v>
      </c>
      <c r="H112" s="28" t="s">
        <v>301</v>
      </c>
      <c r="I112" s="56">
        <v>292.41379310344826</v>
      </c>
      <c r="J112" s="28" t="s">
        <v>68</v>
      </c>
      <c r="K112" s="51" t="s">
        <v>291</v>
      </c>
      <c r="L112" s="72" t="s">
        <v>14</v>
      </c>
      <c r="M112" s="117" t="s">
        <v>311</v>
      </c>
      <c r="N112" s="28">
        <v>2026</v>
      </c>
    </row>
    <row r="113" spans="1:14">
      <c r="A113" s="28">
        <v>112</v>
      </c>
      <c r="B113" s="28" t="s">
        <v>17</v>
      </c>
      <c r="C113" s="28" t="s">
        <v>25</v>
      </c>
      <c r="D113" s="28"/>
      <c r="E113" s="28" t="s">
        <v>101</v>
      </c>
      <c r="F113" s="28"/>
      <c r="G113" s="28" t="s">
        <v>64</v>
      </c>
      <c r="H113" s="28" t="s">
        <v>301</v>
      </c>
      <c r="I113" s="56">
        <v>2354.4827586206898</v>
      </c>
      <c r="J113" s="28" t="s">
        <v>68</v>
      </c>
      <c r="K113" s="51" t="s">
        <v>291</v>
      </c>
      <c r="L113" s="72" t="s">
        <v>14</v>
      </c>
      <c r="M113" s="117" t="s">
        <v>311</v>
      </c>
      <c r="N113" s="28">
        <v>2026</v>
      </c>
    </row>
    <row r="114" spans="1:14">
      <c r="A114" s="28">
        <v>113</v>
      </c>
      <c r="B114" s="28" t="s">
        <v>285</v>
      </c>
      <c r="C114" s="28" t="s">
        <v>286</v>
      </c>
      <c r="D114" s="28"/>
      <c r="E114" s="28" t="s">
        <v>249</v>
      </c>
      <c r="F114" s="28"/>
      <c r="G114" s="28" t="s">
        <v>64</v>
      </c>
      <c r="H114" s="28" t="s">
        <v>305</v>
      </c>
      <c r="I114" s="56">
        <v>412.41379310344826</v>
      </c>
      <c r="J114" s="28" t="s">
        <v>68</v>
      </c>
      <c r="K114" s="51" t="s">
        <v>292</v>
      </c>
      <c r="L114" s="72" t="s">
        <v>14</v>
      </c>
      <c r="M114" s="117" t="s">
        <v>311</v>
      </c>
      <c r="N114" s="28">
        <v>2026</v>
      </c>
    </row>
    <row r="115" spans="1:14">
      <c r="A115" s="28">
        <v>114</v>
      </c>
      <c r="B115" s="28" t="s">
        <v>58</v>
      </c>
      <c r="C115" s="28" t="s">
        <v>59</v>
      </c>
      <c r="D115" s="28"/>
      <c r="E115" s="28" t="s">
        <v>249</v>
      </c>
      <c r="F115" s="28"/>
      <c r="G115" s="28" t="s">
        <v>64</v>
      </c>
      <c r="H115" s="28" t="s">
        <v>153</v>
      </c>
      <c r="I115" s="56">
        <v>2437.9310344827586</v>
      </c>
      <c r="J115" s="28" t="s">
        <v>68</v>
      </c>
      <c r="K115" s="51">
        <v>45728</v>
      </c>
      <c r="L115" s="72" t="s">
        <v>14</v>
      </c>
      <c r="M115" s="117" t="s">
        <v>311</v>
      </c>
      <c r="N115" s="28">
        <v>2026</v>
      </c>
    </row>
    <row r="116" spans="1:14">
      <c r="A116" s="28">
        <v>115</v>
      </c>
      <c r="B116" s="28" t="s">
        <v>58</v>
      </c>
      <c r="C116" s="28" t="s">
        <v>59</v>
      </c>
      <c r="D116" s="28"/>
      <c r="E116" s="28" t="s">
        <v>249</v>
      </c>
      <c r="F116" s="28"/>
      <c r="G116" s="28" t="s">
        <v>64</v>
      </c>
      <c r="H116" s="28" t="s">
        <v>306</v>
      </c>
      <c r="I116" s="56">
        <v>162.06896551724137</v>
      </c>
      <c r="J116" s="28" t="s">
        <v>68</v>
      </c>
      <c r="K116" s="51">
        <v>45881</v>
      </c>
      <c r="L116" s="72" t="s">
        <v>14</v>
      </c>
      <c r="M116" s="117" t="s">
        <v>311</v>
      </c>
      <c r="N116" s="28">
        <v>2026</v>
      </c>
    </row>
    <row r="117" spans="1:14">
      <c r="A117" s="28">
        <v>116</v>
      </c>
      <c r="B117" s="28" t="s">
        <v>58</v>
      </c>
      <c r="C117" s="28" t="s">
        <v>59</v>
      </c>
      <c r="D117" s="28"/>
      <c r="E117" s="28" t="s">
        <v>249</v>
      </c>
      <c r="F117" s="28"/>
      <c r="G117" s="28" t="s">
        <v>64</v>
      </c>
      <c r="H117" s="28" t="s">
        <v>306</v>
      </c>
      <c r="I117" s="56">
        <v>742.24137931034488</v>
      </c>
      <c r="J117" s="28" t="s">
        <v>68</v>
      </c>
      <c r="K117" s="51">
        <v>45942</v>
      </c>
      <c r="L117" s="72" t="s">
        <v>14</v>
      </c>
      <c r="M117" s="117" t="s">
        <v>311</v>
      </c>
      <c r="N117" s="28">
        <v>2026</v>
      </c>
    </row>
    <row r="118" spans="1:14">
      <c r="A118" s="28">
        <v>117</v>
      </c>
      <c r="B118" s="28" t="s">
        <v>58</v>
      </c>
      <c r="C118" s="28" t="s">
        <v>59</v>
      </c>
      <c r="D118" s="28"/>
      <c r="E118" s="28" t="s">
        <v>249</v>
      </c>
      <c r="F118" s="28"/>
      <c r="G118" s="28" t="s">
        <v>64</v>
      </c>
      <c r="H118" s="28" t="s">
        <v>306</v>
      </c>
      <c r="I118" s="56">
        <v>789.65517241379314</v>
      </c>
      <c r="J118" s="28" t="s">
        <v>68</v>
      </c>
      <c r="K118" s="51" t="s">
        <v>296</v>
      </c>
      <c r="L118" s="72" t="s">
        <v>14</v>
      </c>
      <c r="M118" s="117" t="s">
        <v>311</v>
      </c>
      <c r="N118" s="28">
        <v>2026</v>
      </c>
    </row>
    <row r="119" spans="1:14">
      <c r="A119" s="28">
        <v>118</v>
      </c>
      <c r="B119" s="28" t="s">
        <v>58</v>
      </c>
      <c r="C119" s="28" t="s">
        <v>59</v>
      </c>
      <c r="D119" s="28"/>
      <c r="E119" s="28" t="s">
        <v>249</v>
      </c>
      <c r="F119" s="28"/>
      <c r="G119" s="28" t="s">
        <v>64</v>
      </c>
      <c r="H119" s="28" t="s">
        <v>307</v>
      </c>
      <c r="I119" s="56">
        <v>706.20689655172418</v>
      </c>
      <c r="J119" s="28" t="s">
        <v>68</v>
      </c>
      <c r="K119" s="51">
        <v>45850</v>
      </c>
      <c r="L119" s="72" t="s">
        <v>14</v>
      </c>
      <c r="M119" s="117" t="s">
        <v>311</v>
      </c>
      <c r="N119" s="28">
        <v>2026</v>
      </c>
    </row>
    <row r="120" spans="1:14">
      <c r="A120" s="28">
        <v>119</v>
      </c>
      <c r="B120" s="28" t="s">
        <v>58</v>
      </c>
      <c r="C120" s="28" t="s">
        <v>59</v>
      </c>
      <c r="D120" s="28"/>
      <c r="E120" s="28" t="s">
        <v>249</v>
      </c>
      <c r="F120" s="28"/>
      <c r="G120" s="28" t="s">
        <v>64</v>
      </c>
      <c r="H120" s="28" t="s">
        <v>308</v>
      </c>
      <c r="I120" s="56">
        <v>276.55172413793105</v>
      </c>
      <c r="J120" s="28" t="s">
        <v>68</v>
      </c>
      <c r="K120" s="51">
        <v>45850</v>
      </c>
      <c r="L120" s="72" t="s">
        <v>14</v>
      </c>
      <c r="M120" s="117" t="s">
        <v>311</v>
      </c>
      <c r="N120" s="28">
        <v>2026</v>
      </c>
    </row>
    <row r="121" spans="1:14">
      <c r="A121" s="28">
        <v>120</v>
      </c>
      <c r="B121" s="28" t="s">
        <v>58</v>
      </c>
      <c r="C121" s="28" t="s">
        <v>59</v>
      </c>
      <c r="D121" s="28"/>
      <c r="E121" s="28" t="s">
        <v>249</v>
      </c>
      <c r="F121" s="28"/>
      <c r="G121" s="28" t="s">
        <v>64</v>
      </c>
      <c r="H121" s="28" t="s">
        <v>309</v>
      </c>
      <c r="I121" s="56">
        <v>689.65517241379314</v>
      </c>
      <c r="J121" s="28" t="s">
        <v>68</v>
      </c>
      <c r="K121" s="51" t="s">
        <v>295</v>
      </c>
      <c r="L121" s="72" t="s">
        <v>14</v>
      </c>
      <c r="M121" s="117" t="s">
        <v>311</v>
      </c>
      <c r="N121" s="28">
        <v>2026</v>
      </c>
    </row>
    <row r="122" spans="1:14">
      <c r="A122" s="28">
        <v>121</v>
      </c>
      <c r="B122" s="28" t="s">
        <v>58</v>
      </c>
      <c r="C122" s="28" t="s">
        <v>59</v>
      </c>
      <c r="D122" s="28"/>
      <c r="E122" s="28" t="s">
        <v>249</v>
      </c>
      <c r="F122" s="28"/>
      <c r="G122" s="28" t="s">
        <v>64</v>
      </c>
      <c r="H122" s="28" t="s">
        <v>310</v>
      </c>
      <c r="I122" s="56">
        <v>207.58620689655172</v>
      </c>
      <c r="J122" s="28" t="s">
        <v>68</v>
      </c>
      <c r="K122" s="51" t="s">
        <v>292</v>
      </c>
      <c r="L122" s="72" t="s">
        <v>14</v>
      </c>
      <c r="M122" s="117" t="s">
        <v>311</v>
      </c>
      <c r="N122" s="28">
        <v>2026</v>
      </c>
    </row>
    <row r="123" spans="1:14">
      <c r="A123" s="28">
        <v>122</v>
      </c>
      <c r="B123" s="28" t="s">
        <v>58</v>
      </c>
      <c r="C123" s="28" t="s">
        <v>59</v>
      </c>
      <c r="D123" s="28"/>
      <c r="E123" s="28" t="s">
        <v>249</v>
      </c>
      <c r="F123" s="28"/>
      <c r="G123" s="28" t="s">
        <v>64</v>
      </c>
      <c r="H123" s="28" t="s">
        <v>306</v>
      </c>
      <c r="I123" s="56">
        <v>124.13793103448276</v>
      </c>
      <c r="J123" s="28">
        <v>2266</v>
      </c>
      <c r="K123" s="51">
        <v>45700</v>
      </c>
      <c r="L123" s="72" t="s">
        <v>14</v>
      </c>
      <c r="M123" s="117" t="s">
        <v>311</v>
      </c>
      <c r="N123" s="28">
        <v>2026</v>
      </c>
    </row>
  </sheetData>
  <autoFilter ref="A1:N86" xr:uid="{00000000-0009-0000-0000-000004000000}">
    <sortState xmlns:xlrd2="http://schemas.microsoft.com/office/spreadsheetml/2017/richdata2" ref="A2:N86">
      <sortCondition ref="B1:B86"/>
    </sortState>
  </autoFilter>
  <dataValidations count="2">
    <dataValidation type="list" allowBlank="1" showInputMessage="1" showErrorMessage="1" sqref="C2:C31 C34:C71 C73:C91" xr:uid="{00000000-0002-0000-0400-000001000000}">
      <formula1>Level_2</formula1>
    </dataValidation>
    <dataValidation type="list" allowBlank="1" showInputMessage="1" showErrorMessage="1" sqref="C92:C429" xr:uid="{00000000-0002-0000-0400-000002000000}">
      <formula1>INDIRECT(B92)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400-000000000000}">
          <x14:formula1>
            <xm:f>List!$P$2:$P$11</xm:f>
          </x14:formula1>
          <xm:sqref>B92:B429</xm:sqref>
        </x14:dataValidation>
        <x14:dataValidation type="list" allowBlank="1" showInputMessage="1" showErrorMessage="1" xr:uid="{00000000-0002-0000-0400-000003000000}">
          <x14:formula1>
            <xm:f>List!$C$2:$C$3</xm:f>
          </x14:formula1>
          <xm:sqref>D92:D429</xm:sqref>
        </x14:dataValidation>
        <x14:dataValidation type="list" allowBlank="1" showInputMessage="1" showErrorMessage="1" xr:uid="{00000000-0002-0000-0400-000004000000}">
          <x14:formula1>
            <xm:f>List!$E$2:$E$32</xm:f>
          </x14:formula1>
          <xm:sqref>E92:E429</xm:sqref>
        </x14:dataValidation>
        <x14:dataValidation type="list" allowBlank="1" showInputMessage="1" showErrorMessage="1" xr:uid="{00000000-0002-0000-0400-000005000000}">
          <x14:formula1>
            <xm:f>List!$H$2:$H$13</xm:f>
          </x14:formula1>
          <xm:sqref>M124:M429</xm:sqref>
        </x14:dataValidation>
        <x14:dataValidation type="list" allowBlank="1" showInputMessage="1" showErrorMessage="1" xr:uid="{00000000-0002-0000-0400-000006000000}">
          <x14:formula1>
            <xm:f>List!$J$2:$J$4</xm:f>
          </x14:formula1>
          <xm:sqref>N124:N429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39997558519241921"/>
  </sheetPr>
  <dimension ref="A1:N7"/>
  <sheetViews>
    <sheetView workbookViewId="0">
      <selection activeCell="A2" sqref="A2:N7"/>
    </sheetView>
  </sheetViews>
  <sheetFormatPr defaultColWidth="9" defaultRowHeight="14.5"/>
  <cols>
    <col min="1" max="1" width="5.36328125" customWidth="1"/>
    <col min="2" max="2" width="8.6328125" customWidth="1"/>
    <col min="3" max="3" width="9.6328125" customWidth="1"/>
    <col min="4" max="4" width="9" customWidth="1"/>
    <col min="5" max="5" width="14.36328125" customWidth="1"/>
    <col min="6" max="6" width="10.1796875" customWidth="1"/>
    <col min="7" max="7" width="7" customWidth="1"/>
    <col min="8" max="8" width="28.7265625" bestFit="1" customWidth="1"/>
    <col min="9" max="9" width="18.08984375" customWidth="1"/>
    <col min="10" max="10" width="10.08984375" customWidth="1"/>
    <col min="11" max="11" width="11.1796875" customWidth="1"/>
    <col min="12" max="12" width="10.54296875" customWidth="1"/>
    <col min="13" max="13" width="6.54296875" customWidth="1"/>
    <col min="14" max="14" width="4.81640625" customWidth="1"/>
  </cols>
  <sheetData>
    <row r="1" spans="1:14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</row>
    <row r="2" spans="1:14">
      <c r="A2" s="16">
        <v>1</v>
      </c>
      <c r="B2" s="11" t="s">
        <v>54</v>
      </c>
      <c r="C2" s="11" t="s">
        <v>55</v>
      </c>
      <c r="D2" s="102" t="s">
        <v>60</v>
      </c>
      <c r="E2" s="10" t="s">
        <v>81</v>
      </c>
      <c r="F2" s="16"/>
      <c r="G2" s="16" t="s">
        <v>21</v>
      </c>
      <c r="H2" s="24" t="s">
        <v>387</v>
      </c>
      <c r="I2" s="25">
        <f>65000000/1480</f>
        <v>43918.91891891892</v>
      </c>
      <c r="J2" s="16" t="s">
        <v>14</v>
      </c>
      <c r="K2" s="17" t="s">
        <v>14</v>
      </c>
      <c r="L2" s="19" t="s">
        <v>14</v>
      </c>
      <c r="M2" s="102" t="s">
        <v>311</v>
      </c>
      <c r="N2" s="16">
        <v>2026</v>
      </c>
    </row>
    <row r="3" spans="1:14">
      <c r="A3" s="16">
        <v>2</v>
      </c>
      <c r="B3" s="10" t="s">
        <v>42</v>
      </c>
      <c r="C3" s="43" t="s">
        <v>43</v>
      </c>
      <c r="D3" s="16" t="s">
        <v>19</v>
      </c>
      <c r="E3" s="10" t="s">
        <v>81</v>
      </c>
      <c r="F3" s="10"/>
      <c r="G3" s="16" t="s">
        <v>21</v>
      </c>
      <c r="H3" s="24" t="s">
        <v>388</v>
      </c>
      <c r="I3" s="13">
        <f>800000/1430</f>
        <v>559.44055944055947</v>
      </c>
      <c r="J3" s="16" t="s">
        <v>14</v>
      </c>
      <c r="K3" s="17" t="s">
        <v>14</v>
      </c>
      <c r="L3" s="19" t="s">
        <v>14</v>
      </c>
      <c r="M3" s="102" t="s">
        <v>311</v>
      </c>
      <c r="N3" s="16">
        <v>2026</v>
      </c>
    </row>
    <row r="4" spans="1:14">
      <c r="A4" s="74">
        <v>3</v>
      </c>
      <c r="B4" s="75" t="s">
        <v>33</v>
      </c>
      <c r="C4" s="75" t="s">
        <v>34</v>
      </c>
      <c r="D4" s="74" t="s">
        <v>19</v>
      </c>
      <c r="E4" s="76" t="s">
        <v>81</v>
      </c>
      <c r="F4" s="76"/>
      <c r="G4" s="74" t="s">
        <v>21</v>
      </c>
      <c r="H4" s="77" t="s">
        <v>389</v>
      </c>
      <c r="I4" s="78">
        <f>8400000/1450</f>
        <v>5793.1034482758623</v>
      </c>
      <c r="J4" s="74" t="s">
        <v>14</v>
      </c>
      <c r="K4" s="79" t="s">
        <v>14</v>
      </c>
      <c r="L4" s="80" t="s">
        <v>14</v>
      </c>
      <c r="M4" s="103" t="s">
        <v>311</v>
      </c>
      <c r="N4" s="74">
        <v>2026</v>
      </c>
    </row>
    <row r="5" spans="1:14">
      <c r="A5" s="74">
        <v>4</v>
      </c>
      <c r="B5" s="76" t="s">
        <v>52</v>
      </c>
      <c r="C5" s="76" t="s">
        <v>62</v>
      </c>
      <c r="D5" s="74" t="s">
        <v>19</v>
      </c>
      <c r="E5" s="76" t="s">
        <v>81</v>
      </c>
      <c r="F5" s="76"/>
      <c r="G5" s="74" t="s">
        <v>21</v>
      </c>
      <c r="H5" s="77" t="s">
        <v>389</v>
      </c>
      <c r="I5" s="78">
        <f>4100000/1450</f>
        <v>2827.5862068965516</v>
      </c>
      <c r="J5" s="74" t="s">
        <v>14</v>
      </c>
      <c r="K5" s="79" t="s">
        <v>14</v>
      </c>
      <c r="L5" s="80" t="s">
        <v>14</v>
      </c>
      <c r="M5" s="103" t="s">
        <v>311</v>
      </c>
      <c r="N5" s="74">
        <v>2026</v>
      </c>
    </row>
    <row r="6" spans="1:14">
      <c r="A6" s="16">
        <v>5</v>
      </c>
      <c r="B6" s="10" t="s">
        <v>17</v>
      </c>
      <c r="C6" s="10" t="s">
        <v>25</v>
      </c>
      <c r="D6" s="16" t="s">
        <v>19</v>
      </c>
      <c r="E6" s="10" t="s">
        <v>81</v>
      </c>
      <c r="F6" s="10"/>
      <c r="G6" s="16" t="s">
        <v>21</v>
      </c>
      <c r="H6" s="24" t="s">
        <v>388</v>
      </c>
      <c r="I6" s="13">
        <f>3650000/1430</f>
        <v>2552.4475524475524</v>
      </c>
      <c r="J6" s="16" t="s">
        <v>14</v>
      </c>
      <c r="K6" s="17" t="s">
        <v>14</v>
      </c>
      <c r="L6" s="19" t="s">
        <v>14</v>
      </c>
      <c r="M6" s="102" t="s">
        <v>311</v>
      </c>
      <c r="N6" s="16">
        <v>2026</v>
      </c>
    </row>
    <row r="7" spans="1:14">
      <c r="A7" s="16">
        <v>6</v>
      </c>
      <c r="B7" s="10" t="s">
        <v>17</v>
      </c>
      <c r="C7" s="10" t="s">
        <v>22</v>
      </c>
      <c r="D7" s="16" t="s">
        <v>19</v>
      </c>
      <c r="E7" s="10" t="s">
        <v>81</v>
      </c>
      <c r="F7" s="10"/>
      <c r="G7" s="16" t="s">
        <v>21</v>
      </c>
      <c r="H7" s="24" t="s">
        <v>388</v>
      </c>
      <c r="I7" s="13">
        <f>4620000/1430</f>
        <v>3230.7692307692309</v>
      </c>
      <c r="J7" s="16" t="s">
        <v>14</v>
      </c>
      <c r="K7" s="17" t="s">
        <v>14</v>
      </c>
      <c r="L7" s="19" t="s">
        <v>14</v>
      </c>
      <c r="M7" s="102" t="s">
        <v>311</v>
      </c>
      <c r="N7" s="16">
        <v>2026</v>
      </c>
    </row>
  </sheetData>
  <conditionalFormatting sqref="L2:L7">
    <cfRule type="duplicateValues" dxfId="3" priority="1"/>
  </conditionalFormatting>
  <dataValidations count="1">
    <dataValidation type="list" allowBlank="1" showInputMessage="1" showErrorMessage="1" sqref="C2" xr:uid="{00000000-0002-0000-05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List!$P$2:$P$11</xm:f>
          </x14:formula1>
          <xm:sqref>B2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39997558519241921"/>
  </sheetPr>
  <dimension ref="A1:N3"/>
  <sheetViews>
    <sheetView workbookViewId="0">
      <selection activeCell="A2" sqref="A2"/>
    </sheetView>
  </sheetViews>
  <sheetFormatPr defaultColWidth="9" defaultRowHeight="14.5"/>
  <cols>
    <col min="1" max="1" width="5.36328125" customWidth="1"/>
    <col min="2" max="2" width="8.90625" customWidth="1"/>
    <col min="3" max="3" width="9.453125" customWidth="1"/>
    <col min="4" max="4" width="9" customWidth="1"/>
    <col min="5" max="5" width="21.453125" customWidth="1"/>
    <col min="6" max="6" width="10.1796875" customWidth="1"/>
    <col min="7" max="7" width="9.453125" customWidth="1"/>
    <col min="8" max="8" width="21.453125" customWidth="1"/>
    <col min="9" max="9" width="18.08984375" customWidth="1"/>
    <col min="10" max="10" width="10.08984375" customWidth="1"/>
    <col min="11" max="11" width="11.1796875" customWidth="1"/>
    <col min="12" max="12" width="10.54296875" customWidth="1"/>
    <col min="13" max="13" width="6.54296875" customWidth="1"/>
    <col min="14" max="14" width="4.81640625" customWidth="1"/>
  </cols>
  <sheetData>
    <row r="1" spans="1:14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</row>
    <row r="2" spans="1:14">
      <c r="A2" s="16">
        <v>1</v>
      </c>
      <c r="B2" s="102" t="s">
        <v>52</v>
      </c>
      <c r="C2" s="104" t="s">
        <v>62</v>
      </c>
      <c r="D2" s="16" t="s">
        <v>60</v>
      </c>
      <c r="E2" s="16" t="s">
        <v>63</v>
      </c>
      <c r="F2" s="16"/>
      <c r="G2" s="16" t="s">
        <v>21</v>
      </c>
      <c r="H2" s="16" t="s">
        <v>63</v>
      </c>
      <c r="I2" s="23">
        <f>5000000/1480</f>
        <v>3378.3783783783783</v>
      </c>
      <c r="J2" s="17" t="s">
        <v>14</v>
      </c>
      <c r="K2" s="17" t="s">
        <v>14</v>
      </c>
      <c r="L2" s="19" t="s">
        <v>14</v>
      </c>
      <c r="M2" s="120" t="s">
        <v>311</v>
      </c>
      <c r="N2" s="16">
        <v>2026</v>
      </c>
    </row>
    <row r="3" spans="1:14">
      <c r="A3" s="16">
        <v>2</v>
      </c>
      <c r="B3" s="69" t="s">
        <v>27</v>
      </c>
      <c r="C3" s="70" t="s">
        <v>28</v>
      </c>
      <c r="D3" s="16" t="s">
        <v>60</v>
      </c>
      <c r="E3" s="16" t="s">
        <v>63</v>
      </c>
      <c r="F3" s="16"/>
      <c r="G3" s="16" t="s">
        <v>21</v>
      </c>
      <c r="H3" s="16" t="s">
        <v>63</v>
      </c>
      <c r="I3" s="23">
        <f>5840000/1480</f>
        <v>3945.9459459459458</v>
      </c>
      <c r="J3" s="17" t="s">
        <v>14</v>
      </c>
      <c r="K3" s="17" t="s">
        <v>14</v>
      </c>
      <c r="L3" s="19" t="s">
        <v>14</v>
      </c>
      <c r="M3" s="120" t="s">
        <v>311</v>
      </c>
      <c r="N3" s="16">
        <v>2026</v>
      </c>
    </row>
  </sheetData>
  <conditionalFormatting sqref="L2:L3">
    <cfRule type="duplicateValues" dxfId="2" priority="274"/>
  </conditionalFormatting>
  <dataValidations count="1">
    <dataValidation type="list" allowBlank="1" showInputMessage="1" showErrorMessage="1" sqref="C2:C3" xr:uid="{00000000-0002-0000-0600-000000000000}">
      <formula1>Level_2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39997558519241921"/>
  </sheetPr>
  <dimension ref="A1:N8"/>
  <sheetViews>
    <sheetView workbookViewId="0">
      <selection activeCell="A2" sqref="A2"/>
    </sheetView>
  </sheetViews>
  <sheetFormatPr defaultColWidth="9" defaultRowHeight="14.5"/>
  <cols>
    <col min="1" max="1" width="5.54296875" bestFit="1" customWidth="1"/>
    <col min="2" max="2" width="7.1796875" bestFit="1" customWidth="1"/>
    <col min="3" max="3" width="9.54296875" bestFit="1" customWidth="1"/>
    <col min="4" max="4" width="9.1796875" bestFit="1" customWidth="1"/>
    <col min="5" max="5" width="14.54296875" bestFit="1" customWidth="1"/>
    <col min="6" max="6" width="10.54296875" bestFit="1" customWidth="1"/>
    <col min="7" max="7" width="26.36328125" bestFit="1" customWidth="1"/>
    <col min="8" max="8" width="37" bestFit="1" customWidth="1"/>
    <col min="9" max="9" width="18.6328125" bestFit="1" customWidth="1"/>
    <col min="10" max="10" width="11" bestFit="1" customWidth="1"/>
    <col min="11" max="11" width="11.453125" bestFit="1" customWidth="1"/>
    <col min="12" max="12" width="10.81640625" bestFit="1" customWidth="1"/>
    <col min="13" max="13" width="6.81640625" bestFit="1" customWidth="1"/>
    <col min="14" max="14" width="5" bestFit="1" customWidth="1"/>
  </cols>
  <sheetData>
    <row r="1" spans="1:14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</row>
    <row r="2" spans="1:14">
      <c r="A2" s="16">
        <v>1</v>
      </c>
      <c r="B2" s="16" t="s">
        <v>58</v>
      </c>
      <c r="C2" s="17" t="s">
        <v>59</v>
      </c>
      <c r="D2" s="16" t="s">
        <v>60</v>
      </c>
      <c r="E2" s="16" t="s">
        <v>84</v>
      </c>
      <c r="F2" s="16"/>
      <c r="G2" s="16" t="s">
        <v>21</v>
      </c>
      <c r="H2" s="16" t="s">
        <v>393</v>
      </c>
      <c r="I2" s="18">
        <f>3000000/1430</f>
        <v>2097.9020979020979</v>
      </c>
      <c r="J2" s="17" t="s">
        <v>14</v>
      </c>
      <c r="K2" s="17" t="s">
        <v>14</v>
      </c>
      <c r="L2" s="19" t="s">
        <v>14</v>
      </c>
      <c r="M2" s="102" t="s">
        <v>311</v>
      </c>
      <c r="N2" s="16">
        <v>2026</v>
      </c>
    </row>
    <row r="3" spans="1:14">
      <c r="A3" s="16">
        <v>2</v>
      </c>
      <c r="B3" s="16" t="s">
        <v>58</v>
      </c>
      <c r="C3" s="17" t="s">
        <v>59</v>
      </c>
      <c r="D3" s="16" t="s">
        <v>60</v>
      </c>
      <c r="E3" s="16" t="s">
        <v>84</v>
      </c>
      <c r="F3" s="16"/>
      <c r="G3" s="16" t="s">
        <v>21</v>
      </c>
      <c r="H3" s="16" t="s">
        <v>394</v>
      </c>
      <c r="I3" s="18">
        <f>5000000/1430</f>
        <v>3496.5034965034965</v>
      </c>
      <c r="J3" s="17" t="s">
        <v>14</v>
      </c>
      <c r="K3" s="17" t="s">
        <v>14</v>
      </c>
      <c r="L3" s="19" t="s">
        <v>14</v>
      </c>
      <c r="M3" s="102" t="s">
        <v>311</v>
      </c>
      <c r="N3" s="16">
        <v>2026</v>
      </c>
    </row>
    <row r="4" spans="1:14">
      <c r="A4" s="16">
        <v>3</v>
      </c>
      <c r="B4" s="16" t="s">
        <v>58</v>
      </c>
      <c r="C4" s="17" t="s">
        <v>59</v>
      </c>
      <c r="D4" s="16" t="s">
        <v>60</v>
      </c>
      <c r="E4" s="16" t="s">
        <v>84</v>
      </c>
      <c r="F4" s="16"/>
      <c r="G4" s="16" t="s">
        <v>21</v>
      </c>
      <c r="H4" s="16" t="s">
        <v>395</v>
      </c>
      <c r="I4" s="18">
        <v>2000</v>
      </c>
      <c r="J4" s="17" t="s">
        <v>14</v>
      </c>
      <c r="K4" s="17" t="s">
        <v>14</v>
      </c>
      <c r="L4" s="19" t="s">
        <v>14</v>
      </c>
      <c r="M4" s="102" t="s">
        <v>311</v>
      </c>
      <c r="N4" s="16">
        <v>2026</v>
      </c>
    </row>
    <row r="5" spans="1:14">
      <c r="A5" s="16">
        <v>4</v>
      </c>
      <c r="B5" s="16" t="s">
        <v>58</v>
      </c>
      <c r="C5" s="17" t="s">
        <v>59</v>
      </c>
      <c r="D5" s="16" t="s">
        <v>60</v>
      </c>
      <c r="E5" s="16" t="s">
        <v>84</v>
      </c>
      <c r="F5" s="16"/>
      <c r="G5" s="16" t="s">
        <v>21</v>
      </c>
      <c r="H5" s="10" t="s">
        <v>396</v>
      </c>
      <c r="I5" s="20">
        <f>1250000/1430</f>
        <v>874.12587412587413</v>
      </c>
      <c r="J5" s="17" t="s">
        <v>14</v>
      </c>
      <c r="K5" s="17" t="s">
        <v>14</v>
      </c>
      <c r="L5" s="19" t="s">
        <v>14</v>
      </c>
      <c r="M5" s="102" t="s">
        <v>311</v>
      </c>
      <c r="N5" s="16">
        <v>2026</v>
      </c>
    </row>
    <row r="6" spans="1:14">
      <c r="A6" s="16">
        <v>5</v>
      </c>
      <c r="B6" s="16" t="s">
        <v>58</v>
      </c>
      <c r="C6" s="17" t="s">
        <v>59</v>
      </c>
      <c r="D6" s="16" t="s">
        <v>60</v>
      </c>
      <c r="E6" s="16" t="s">
        <v>84</v>
      </c>
      <c r="F6" s="16"/>
      <c r="G6" s="16" t="s">
        <v>21</v>
      </c>
      <c r="H6" s="10" t="s">
        <v>397</v>
      </c>
      <c r="I6" s="20">
        <v>4500</v>
      </c>
      <c r="J6" s="17" t="s">
        <v>14</v>
      </c>
      <c r="K6" s="17" t="s">
        <v>14</v>
      </c>
      <c r="L6" s="19" t="s">
        <v>14</v>
      </c>
      <c r="M6" s="102" t="s">
        <v>311</v>
      </c>
      <c r="N6" s="16">
        <v>2026</v>
      </c>
    </row>
    <row r="7" spans="1:14">
      <c r="A7" s="16">
        <v>6</v>
      </c>
      <c r="B7" s="16" t="s">
        <v>58</v>
      </c>
      <c r="C7" s="17" t="s">
        <v>59</v>
      </c>
      <c r="D7" s="16" t="s">
        <v>60</v>
      </c>
      <c r="E7" s="16" t="s">
        <v>84</v>
      </c>
      <c r="F7" s="16"/>
      <c r="G7" s="16" t="s">
        <v>21</v>
      </c>
      <c r="H7" s="10" t="s">
        <v>398</v>
      </c>
      <c r="I7" s="20">
        <v>6000</v>
      </c>
      <c r="J7" s="17" t="s">
        <v>14</v>
      </c>
      <c r="K7" s="17" t="s">
        <v>14</v>
      </c>
      <c r="L7" s="19" t="s">
        <v>14</v>
      </c>
      <c r="M7" s="102" t="s">
        <v>311</v>
      </c>
      <c r="N7" s="16">
        <v>2026</v>
      </c>
    </row>
    <row r="8" spans="1:14">
      <c r="A8" s="16">
        <v>7</v>
      </c>
      <c r="B8" s="16" t="s">
        <v>58</v>
      </c>
      <c r="C8" s="17" t="s">
        <v>59</v>
      </c>
      <c r="D8" s="16" t="s">
        <v>60</v>
      </c>
      <c r="E8" s="16" t="s">
        <v>84</v>
      </c>
      <c r="F8" s="16"/>
      <c r="G8" s="10" t="s">
        <v>85</v>
      </c>
      <c r="H8" s="10" t="s">
        <v>399</v>
      </c>
      <c r="I8" s="21">
        <v>270</v>
      </c>
      <c r="J8" s="16" t="s">
        <v>392</v>
      </c>
      <c r="K8" s="17">
        <v>46053</v>
      </c>
      <c r="L8" s="19" t="s">
        <v>14</v>
      </c>
      <c r="M8" s="102" t="s">
        <v>311</v>
      </c>
      <c r="N8" s="16">
        <v>2026</v>
      </c>
    </row>
  </sheetData>
  <conditionalFormatting sqref="L2:L8">
    <cfRule type="duplicateValues" dxfId="1" priority="1"/>
  </conditionalFormatting>
  <dataValidations count="1">
    <dataValidation type="list" allowBlank="1" showInputMessage="1" showErrorMessage="1" sqref="C2:C8" xr:uid="{00000000-0002-0000-0700-000000000000}">
      <formula1>Level_2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39997558519241921"/>
  </sheetPr>
  <dimension ref="A1:N434"/>
  <sheetViews>
    <sheetView workbookViewId="0"/>
  </sheetViews>
  <sheetFormatPr defaultColWidth="9" defaultRowHeight="14.5"/>
  <cols>
    <col min="1" max="1" width="7.6328125" customWidth="1"/>
    <col min="2" max="2" width="9.36328125" customWidth="1"/>
    <col min="3" max="3" width="10.6328125" customWidth="1"/>
    <col min="4" max="4" width="11.1796875" customWidth="1"/>
    <col min="5" max="5" width="29" customWidth="1"/>
    <col min="6" max="6" width="12.36328125" customWidth="1"/>
    <col min="7" max="7" width="28.6328125" customWidth="1"/>
    <col min="8" max="8" width="21.08984375" customWidth="1"/>
    <col min="9" max="9" width="20.1796875" style="7" customWidth="1"/>
    <col min="10" max="10" width="12.36328125" customWidth="1"/>
    <col min="11" max="11" width="13.36328125" customWidth="1"/>
    <col min="12" max="12" width="12.81640625" customWidth="1"/>
    <col min="13" max="13" width="8.81640625" customWidth="1"/>
    <col min="14" max="14" width="6.816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4">
        <v>1</v>
      </c>
      <c r="B2" s="4" t="s">
        <v>42</v>
      </c>
      <c r="C2" s="4" t="s">
        <v>51</v>
      </c>
      <c r="D2" s="4" t="s">
        <v>60</v>
      </c>
      <c r="E2" s="4" t="s">
        <v>86</v>
      </c>
      <c r="F2" s="4"/>
      <c r="G2" s="4" t="s">
        <v>92</v>
      </c>
      <c r="H2" s="4" t="s">
        <v>90</v>
      </c>
      <c r="I2" s="35">
        <f>1920000/1450</f>
        <v>1324.1379310344828</v>
      </c>
      <c r="J2" s="115" t="s">
        <v>14</v>
      </c>
      <c r="K2" s="116" t="s">
        <v>14</v>
      </c>
      <c r="L2" s="4" t="s">
        <v>14</v>
      </c>
      <c r="M2" s="95" t="s">
        <v>311</v>
      </c>
      <c r="N2">
        <v>2026</v>
      </c>
    </row>
    <row r="3" spans="1:14">
      <c r="A3" s="4">
        <v>2</v>
      </c>
      <c r="B3" s="32" t="s">
        <v>61</v>
      </c>
      <c r="C3" s="32" t="s">
        <v>62</v>
      </c>
      <c r="D3" s="4" t="s">
        <v>19</v>
      </c>
      <c r="E3" s="4" t="s">
        <v>86</v>
      </c>
      <c r="F3" s="4"/>
      <c r="G3" s="4" t="s">
        <v>93</v>
      </c>
      <c r="H3" s="4" t="s">
        <v>90</v>
      </c>
      <c r="I3" s="6">
        <v>2080</v>
      </c>
      <c r="J3" s="4" t="s">
        <v>14</v>
      </c>
      <c r="K3" s="4" t="s">
        <v>14</v>
      </c>
      <c r="L3" s="4" t="s">
        <v>14</v>
      </c>
      <c r="M3" s="95" t="s">
        <v>311</v>
      </c>
      <c r="N3">
        <v>2026</v>
      </c>
    </row>
    <row r="4" spans="1:14">
      <c r="A4" s="4">
        <v>3</v>
      </c>
      <c r="B4" s="4" t="s">
        <v>17</v>
      </c>
      <c r="C4" s="32" t="s">
        <v>23</v>
      </c>
      <c r="D4" s="4" t="s">
        <v>19</v>
      </c>
      <c r="E4" s="4" t="s">
        <v>86</v>
      </c>
      <c r="F4" s="4"/>
      <c r="G4" s="4" t="s">
        <v>93</v>
      </c>
      <c r="H4" s="4" t="s">
        <v>90</v>
      </c>
      <c r="I4" s="6">
        <v>1620</v>
      </c>
      <c r="J4" s="4" t="s">
        <v>14</v>
      </c>
      <c r="K4" s="4" t="s">
        <v>14</v>
      </c>
      <c r="L4" s="4" t="s">
        <v>14</v>
      </c>
      <c r="M4" s="95" t="s">
        <v>311</v>
      </c>
      <c r="N4">
        <v>2026</v>
      </c>
    </row>
    <row r="5" spans="1:14">
      <c r="A5" s="4">
        <v>4</v>
      </c>
      <c r="B5" s="38" t="s">
        <v>54</v>
      </c>
      <c r="C5" s="4" t="s">
        <v>55</v>
      </c>
      <c r="D5" s="4" t="s">
        <v>19</v>
      </c>
      <c r="E5" s="4" t="s">
        <v>86</v>
      </c>
      <c r="F5" s="4"/>
      <c r="G5" s="95" t="s">
        <v>89</v>
      </c>
      <c r="H5" s="96" t="s">
        <v>412</v>
      </c>
      <c r="I5" s="6">
        <v>18091.216175675676</v>
      </c>
      <c r="J5" s="4" t="s">
        <v>14</v>
      </c>
      <c r="K5" s="4" t="s">
        <v>14</v>
      </c>
      <c r="L5" s="4" t="s">
        <v>14</v>
      </c>
      <c r="M5" s="95" t="s">
        <v>311</v>
      </c>
      <c r="N5">
        <v>2026</v>
      </c>
    </row>
    <row r="6" spans="1:14">
      <c r="A6" s="4">
        <v>5</v>
      </c>
      <c r="B6" s="38" t="s">
        <v>42</v>
      </c>
      <c r="C6" s="4" t="s">
        <v>221</v>
      </c>
      <c r="D6" s="4" t="s">
        <v>19</v>
      </c>
      <c r="E6" s="4" t="s">
        <v>86</v>
      </c>
      <c r="F6" s="4"/>
      <c r="G6" s="95" t="s">
        <v>89</v>
      </c>
      <c r="H6" s="96" t="s">
        <v>412</v>
      </c>
      <c r="I6" s="6">
        <v>6237.0062500000004</v>
      </c>
      <c r="J6" s="4" t="s">
        <v>14</v>
      </c>
      <c r="K6" s="4" t="s">
        <v>14</v>
      </c>
      <c r="L6" s="4" t="s">
        <v>14</v>
      </c>
      <c r="M6" s="95" t="s">
        <v>311</v>
      </c>
      <c r="N6">
        <v>2026</v>
      </c>
    </row>
    <row r="7" spans="1:14">
      <c r="A7" s="4">
        <v>6</v>
      </c>
      <c r="B7" s="38" t="s">
        <v>35</v>
      </c>
      <c r="C7" s="4" t="s">
        <v>36</v>
      </c>
      <c r="D7" s="4" t="s">
        <v>19</v>
      </c>
      <c r="E7" s="4" t="s">
        <v>86</v>
      </c>
      <c r="F7" s="4"/>
      <c r="G7" s="95" t="s">
        <v>89</v>
      </c>
      <c r="H7" s="96" t="s">
        <v>412</v>
      </c>
      <c r="I7" s="6">
        <v>498.96050000000002</v>
      </c>
      <c r="J7" s="4" t="s">
        <v>14</v>
      </c>
      <c r="K7" s="4" t="s">
        <v>14</v>
      </c>
      <c r="L7" s="4" t="s">
        <v>14</v>
      </c>
      <c r="M7" s="95" t="s">
        <v>311</v>
      </c>
      <c r="N7">
        <v>2026</v>
      </c>
    </row>
    <row r="8" spans="1:14">
      <c r="A8" s="4">
        <v>7</v>
      </c>
      <c r="B8" s="38" t="s">
        <v>42</v>
      </c>
      <c r="C8" s="4" t="s">
        <v>45</v>
      </c>
      <c r="D8" s="4" t="s">
        <v>19</v>
      </c>
      <c r="E8" s="4" t="s">
        <v>86</v>
      </c>
      <c r="F8" s="4"/>
      <c r="G8" s="95" t="s">
        <v>89</v>
      </c>
      <c r="H8" s="96" t="s">
        <v>412</v>
      </c>
      <c r="I8" s="6">
        <v>6239.0527567567569</v>
      </c>
      <c r="J8" s="4" t="s">
        <v>14</v>
      </c>
      <c r="K8" s="4" t="s">
        <v>14</v>
      </c>
      <c r="L8" s="4" t="s">
        <v>14</v>
      </c>
      <c r="M8" s="95" t="s">
        <v>311</v>
      </c>
      <c r="N8">
        <v>2026</v>
      </c>
    </row>
    <row r="9" spans="1:14">
      <c r="A9" s="4">
        <v>8</v>
      </c>
      <c r="B9" s="38" t="s">
        <v>33</v>
      </c>
      <c r="C9" s="4" t="s">
        <v>34</v>
      </c>
      <c r="D9" s="4" t="s">
        <v>19</v>
      </c>
      <c r="E9" s="4" t="s">
        <v>86</v>
      </c>
      <c r="F9" s="4"/>
      <c r="G9" s="95" t="s">
        <v>89</v>
      </c>
      <c r="H9" s="96" t="s">
        <v>412</v>
      </c>
      <c r="I9" s="6">
        <v>6626.5593445945942</v>
      </c>
      <c r="J9" s="4" t="s">
        <v>14</v>
      </c>
      <c r="K9" s="4" t="s">
        <v>14</v>
      </c>
      <c r="L9" s="4" t="s">
        <v>14</v>
      </c>
      <c r="M9" s="95" t="s">
        <v>311</v>
      </c>
      <c r="N9">
        <v>2026</v>
      </c>
    </row>
    <row r="10" spans="1:14">
      <c r="A10" s="4">
        <v>9</v>
      </c>
      <c r="B10" s="38" t="s">
        <v>52</v>
      </c>
      <c r="C10" s="4" t="s">
        <v>53</v>
      </c>
      <c r="D10" s="4" t="s">
        <v>19</v>
      </c>
      <c r="E10" s="4" t="s">
        <v>86</v>
      </c>
      <c r="F10" s="4"/>
      <c r="G10" s="95" t="s">
        <v>89</v>
      </c>
      <c r="H10" s="96" t="s">
        <v>412</v>
      </c>
      <c r="I10" s="6">
        <v>26534.855858108109</v>
      </c>
      <c r="J10" s="4" t="s">
        <v>14</v>
      </c>
      <c r="K10" s="4" t="s">
        <v>14</v>
      </c>
      <c r="L10" s="4" t="s">
        <v>14</v>
      </c>
      <c r="M10" s="95" t="s">
        <v>311</v>
      </c>
      <c r="N10">
        <v>2026</v>
      </c>
    </row>
    <row r="11" spans="1:14">
      <c r="A11" s="4">
        <v>10</v>
      </c>
      <c r="B11" s="38" t="s">
        <v>58</v>
      </c>
      <c r="C11" s="4" t="s">
        <v>59</v>
      </c>
      <c r="D11" s="4" t="s">
        <v>19</v>
      </c>
      <c r="E11" s="4" t="s">
        <v>86</v>
      </c>
      <c r="F11" s="4"/>
      <c r="G11" s="95" t="s">
        <v>89</v>
      </c>
      <c r="H11" s="96" t="s">
        <v>412</v>
      </c>
      <c r="I11" s="6">
        <v>1266.8918918918919</v>
      </c>
      <c r="J11" s="4" t="s">
        <v>14</v>
      </c>
      <c r="K11" s="4" t="s">
        <v>14</v>
      </c>
      <c r="L11" s="4" t="s">
        <v>14</v>
      </c>
      <c r="M11" s="95" t="s">
        <v>311</v>
      </c>
      <c r="N11">
        <v>2026</v>
      </c>
    </row>
    <row r="12" spans="1:14">
      <c r="A12" s="4">
        <v>11</v>
      </c>
      <c r="B12" s="38" t="s">
        <v>42</v>
      </c>
      <c r="C12" s="4" t="s">
        <v>50</v>
      </c>
      <c r="D12" s="4" t="s">
        <v>19</v>
      </c>
      <c r="E12" s="4" t="s">
        <v>86</v>
      </c>
      <c r="F12" s="4"/>
      <c r="G12" s="95" t="s">
        <v>89</v>
      </c>
      <c r="H12" s="96" t="s">
        <v>412</v>
      </c>
      <c r="I12" s="6">
        <v>25889.585614864867</v>
      </c>
      <c r="J12" s="4" t="s">
        <v>14</v>
      </c>
      <c r="K12" s="4" t="s">
        <v>14</v>
      </c>
      <c r="L12" s="4" t="s">
        <v>14</v>
      </c>
      <c r="M12" s="95" t="s">
        <v>311</v>
      </c>
      <c r="N12">
        <v>2026</v>
      </c>
    </row>
    <row r="13" spans="1:14">
      <c r="A13" s="4">
        <v>12</v>
      </c>
      <c r="B13" s="38" t="s">
        <v>17</v>
      </c>
      <c r="C13" s="4" t="s">
        <v>18</v>
      </c>
      <c r="D13" s="4" t="s">
        <v>19</v>
      </c>
      <c r="E13" s="4" t="s">
        <v>86</v>
      </c>
      <c r="F13" s="4"/>
      <c r="G13" s="37" t="s">
        <v>88</v>
      </c>
      <c r="H13" s="96" t="s">
        <v>412</v>
      </c>
      <c r="I13" s="6">
        <v>17583.627824324325</v>
      </c>
      <c r="J13" s="4" t="s">
        <v>14</v>
      </c>
      <c r="K13" s="4" t="s">
        <v>14</v>
      </c>
      <c r="L13" s="4" t="s">
        <v>14</v>
      </c>
      <c r="M13" s="95" t="s">
        <v>311</v>
      </c>
      <c r="N13">
        <v>2026</v>
      </c>
    </row>
    <row r="14" spans="1:14">
      <c r="A14" s="4">
        <v>13</v>
      </c>
      <c r="B14" s="38" t="s">
        <v>35</v>
      </c>
      <c r="C14" s="4" t="s">
        <v>36</v>
      </c>
      <c r="D14" s="4" t="s">
        <v>19</v>
      </c>
      <c r="E14" s="4" t="s">
        <v>86</v>
      </c>
      <c r="F14" s="4"/>
      <c r="G14" s="37" t="s">
        <v>88</v>
      </c>
      <c r="H14" s="96" t="s">
        <v>412</v>
      </c>
      <c r="I14" s="6">
        <v>481.41891891891891</v>
      </c>
      <c r="J14" s="4" t="s">
        <v>14</v>
      </c>
      <c r="K14" s="4" t="s">
        <v>14</v>
      </c>
      <c r="L14" s="4" t="s">
        <v>14</v>
      </c>
      <c r="M14" s="95" t="s">
        <v>311</v>
      </c>
      <c r="N14">
        <v>2026</v>
      </c>
    </row>
    <row r="15" spans="1:14">
      <c r="A15" s="4">
        <v>14</v>
      </c>
      <c r="B15" s="38" t="s">
        <v>35</v>
      </c>
      <c r="C15" s="4" t="s">
        <v>37</v>
      </c>
      <c r="D15" s="4" t="s">
        <v>19</v>
      </c>
      <c r="E15" s="4" t="s">
        <v>86</v>
      </c>
      <c r="F15" s="4"/>
      <c r="G15" s="37" t="s">
        <v>88</v>
      </c>
      <c r="H15" s="96" t="s">
        <v>412</v>
      </c>
      <c r="I15" s="6">
        <v>1659.3035135135137</v>
      </c>
      <c r="J15" s="4" t="s">
        <v>14</v>
      </c>
      <c r="K15" s="4" t="s">
        <v>14</v>
      </c>
      <c r="L15" s="4" t="s">
        <v>14</v>
      </c>
      <c r="M15" s="95" t="s">
        <v>311</v>
      </c>
      <c r="N15">
        <v>2026</v>
      </c>
    </row>
    <row r="16" spans="1:14">
      <c r="A16" s="4">
        <v>15</v>
      </c>
      <c r="B16" s="38" t="s">
        <v>42</v>
      </c>
      <c r="C16" s="4" t="s">
        <v>45</v>
      </c>
      <c r="D16" s="4" t="s">
        <v>19</v>
      </c>
      <c r="E16" s="4" t="s">
        <v>86</v>
      </c>
      <c r="F16" s="4"/>
      <c r="G16" s="37" t="s">
        <v>88</v>
      </c>
      <c r="H16" s="96" t="s">
        <v>412</v>
      </c>
      <c r="I16" s="6">
        <v>12672.920925675675</v>
      </c>
      <c r="J16" s="4" t="s">
        <v>14</v>
      </c>
      <c r="K16" s="4" t="s">
        <v>14</v>
      </c>
      <c r="L16" s="4" t="s">
        <v>14</v>
      </c>
      <c r="M16" s="95" t="s">
        <v>311</v>
      </c>
      <c r="N16">
        <v>2026</v>
      </c>
    </row>
    <row r="17" spans="1:14">
      <c r="A17" s="4">
        <v>16</v>
      </c>
      <c r="B17" s="38" t="s">
        <v>33</v>
      </c>
      <c r="C17" s="4" t="s">
        <v>34</v>
      </c>
      <c r="D17" s="4" t="s">
        <v>19</v>
      </c>
      <c r="E17" s="4" t="s">
        <v>86</v>
      </c>
      <c r="F17" s="4"/>
      <c r="G17" s="37" t="s">
        <v>88</v>
      </c>
      <c r="H17" s="96" t="s">
        <v>412</v>
      </c>
      <c r="I17" s="6">
        <v>453.74220270270268</v>
      </c>
      <c r="J17" s="4" t="s">
        <v>14</v>
      </c>
      <c r="K17" s="4" t="s">
        <v>14</v>
      </c>
      <c r="L17" s="4" t="s">
        <v>14</v>
      </c>
      <c r="M17" s="95" t="s">
        <v>311</v>
      </c>
      <c r="N17">
        <v>2026</v>
      </c>
    </row>
    <row r="18" spans="1:14">
      <c r="A18" s="4">
        <v>17</v>
      </c>
      <c r="B18" s="38" t="s">
        <v>52</v>
      </c>
      <c r="C18" s="4" t="s">
        <v>53</v>
      </c>
      <c r="D18" s="4" t="s">
        <v>19</v>
      </c>
      <c r="E18" s="4" t="s">
        <v>86</v>
      </c>
      <c r="F18" s="4"/>
      <c r="G18" s="37" t="s">
        <v>88</v>
      </c>
      <c r="H18" s="96" t="s">
        <v>412</v>
      </c>
      <c r="I18" s="6">
        <v>95886.593939189188</v>
      </c>
      <c r="J18" s="4" t="s">
        <v>14</v>
      </c>
      <c r="K18" s="4" t="s">
        <v>14</v>
      </c>
      <c r="L18" s="4" t="s">
        <v>14</v>
      </c>
      <c r="M18" s="95" t="s">
        <v>311</v>
      </c>
      <c r="N18">
        <v>2026</v>
      </c>
    </row>
    <row r="19" spans="1:14">
      <c r="A19" s="4">
        <v>18</v>
      </c>
      <c r="B19" s="38" t="s">
        <v>17</v>
      </c>
      <c r="C19" s="4" t="s">
        <v>22</v>
      </c>
      <c r="D19" s="4" t="s">
        <v>19</v>
      </c>
      <c r="E19" s="4" t="s">
        <v>86</v>
      </c>
      <c r="F19" s="4"/>
      <c r="G19" s="37" t="s">
        <v>88</v>
      </c>
      <c r="H19" s="96" t="s">
        <v>412</v>
      </c>
      <c r="I19" s="6">
        <v>17682.292081081083</v>
      </c>
      <c r="J19" s="4" t="s">
        <v>14</v>
      </c>
      <c r="K19" s="4" t="s">
        <v>14</v>
      </c>
      <c r="L19" s="4" t="s">
        <v>14</v>
      </c>
      <c r="M19" s="95" t="s">
        <v>311</v>
      </c>
      <c r="N19">
        <v>2026</v>
      </c>
    </row>
    <row r="20" spans="1:14">
      <c r="A20" s="4">
        <v>19</v>
      </c>
      <c r="B20" s="38" t="s">
        <v>42</v>
      </c>
      <c r="C20" s="4" t="s">
        <v>47</v>
      </c>
      <c r="D20" s="4" t="s">
        <v>19</v>
      </c>
      <c r="E20" s="4" t="s">
        <v>86</v>
      </c>
      <c r="F20" s="4"/>
      <c r="G20" s="37" t="s">
        <v>88</v>
      </c>
      <c r="H20" s="96" t="s">
        <v>412</v>
      </c>
      <c r="I20" s="6">
        <v>7479.9895810810813</v>
      </c>
      <c r="J20" s="4" t="s">
        <v>14</v>
      </c>
      <c r="K20" s="4" t="s">
        <v>14</v>
      </c>
      <c r="L20" s="4" t="s">
        <v>14</v>
      </c>
      <c r="M20" s="95" t="s">
        <v>311</v>
      </c>
      <c r="N20">
        <v>2026</v>
      </c>
    </row>
    <row r="21" spans="1:14">
      <c r="A21" s="4">
        <v>20</v>
      </c>
      <c r="B21" s="38" t="s">
        <v>17</v>
      </c>
      <c r="C21" s="4" t="s">
        <v>272</v>
      </c>
      <c r="D21" s="4" t="s">
        <v>19</v>
      </c>
      <c r="E21" s="4" t="s">
        <v>86</v>
      </c>
      <c r="F21" s="4"/>
      <c r="G21" s="37" t="s">
        <v>88</v>
      </c>
      <c r="H21" s="96" t="s">
        <v>412</v>
      </c>
      <c r="I21" s="6">
        <v>14193.866918918919</v>
      </c>
      <c r="J21" s="4" t="s">
        <v>14</v>
      </c>
      <c r="K21" s="4" t="s">
        <v>14</v>
      </c>
      <c r="L21" s="4" t="s">
        <v>14</v>
      </c>
      <c r="M21" s="95" t="s">
        <v>311</v>
      </c>
      <c r="N21">
        <v>2026</v>
      </c>
    </row>
    <row r="22" spans="1:14">
      <c r="A22" s="4">
        <v>21</v>
      </c>
      <c r="B22" s="38" t="s">
        <v>42</v>
      </c>
      <c r="C22" s="4" t="s">
        <v>48</v>
      </c>
      <c r="D22" s="4" t="s">
        <v>19</v>
      </c>
      <c r="E22" s="4" t="s">
        <v>86</v>
      </c>
      <c r="F22" s="4"/>
      <c r="G22" s="37" t="s">
        <v>88</v>
      </c>
      <c r="H22" s="96" t="s">
        <v>412</v>
      </c>
      <c r="I22" s="6">
        <v>2377.4688040540541</v>
      </c>
      <c r="J22" s="4" t="s">
        <v>14</v>
      </c>
      <c r="K22" s="4" t="s">
        <v>14</v>
      </c>
      <c r="L22" s="4" t="s">
        <v>14</v>
      </c>
      <c r="M22" s="95" t="s">
        <v>311</v>
      </c>
      <c r="N22">
        <v>2026</v>
      </c>
    </row>
    <row r="23" spans="1:14">
      <c r="A23" s="4">
        <v>22</v>
      </c>
      <c r="B23" s="38" t="s">
        <v>42</v>
      </c>
      <c r="C23" s="4" t="s">
        <v>50</v>
      </c>
      <c r="D23" s="4" t="s">
        <v>19</v>
      </c>
      <c r="E23" s="4" t="s">
        <v>86</v>
      </c>
      <c r="F23" s="4"/>
      <c r="G23" s="37" t="s">
        <v>88</v>
      </c>
      <c r="H23" s="96" t="s">
        <v>412</v>
      </c>
      <c r="I23" s="6">
        <v>80355.150628378382</v>
      </c>
      <c r="J23" s="4" t="s">
        <v>14</v>
      </c>
      <c r="K23" s="4" t="s">
        <v>14</v>
      </c>
      <c r="L23" s="4" t="s">
        <v>14</v>
      </c>
      <c r="M23" s="95" t="s">
        <v>311</v>
      </c>
      <c r="N23">
        <v>2026</v>
      </c>
    </row>
    <row r="24" spans="1:14">
      <c r="A24" s="4">
        <v>23</v>
      </c>
      <c r="B24" s="38" t="s">
        <v>42</v>
      </c>
      <c r="C24" s="4" t="s">
        <v>49</v>
      </c>
      <c r="D24" s="4" t="s">
        <v>19</v>
      </c>
      <c r="E24" s="4" t="s">
        <v>86</v>
      </c>
      <c r="F24" s="4"/>
      <c r="G24" s="37" t="s">
        <v>88</v>
      </c>
      <c r="H24" s="96" t="s">
        <v>261</v>
      </c>
      <c r="I24" s="6">
        <v>1135.6548851351351</v>
      </c>
      <c r="J24" s="4" t="s">
        <v>14</v>
      </c>
      <c r="K24" s="4" t="s">
        <v>14</v>
      </c>
      <c r="L24" s="4" t="s">
        <v>14</v>
      </c>
      <c r="M24" s="95" t="s">
        <v>311</v>
      </c>
      <c r="N24">
        <v>2026</v>
      </c>
    </row>
    <row r="25" spans="1:14">
      <c r="A25" s="4">
        <v>24</v>
      </c>
      <c r="B25" s="38" t="s">
        <v>17</v>
      </c>
      <c r="C25" s="4" t="s">
        <v>25</v>
      </c>
      <c r="D25" s="4" t="s">
        <v>19</v>
      </c>
      <c r="E25" s="4" t="s">
        <v>86</v>
      </c>
      <c r="F25" s="4"/>
      <c r="G25" s="37" t="s">
        <v>88</v>
      </c>
      <c r="H25" s="96" t="s">
        <v>261</v>
      </c>
      <c r="I25" s="6">
        <v>121335.12950675674</v>
      </c>
      <c r="J25" s="4" t="s">
        <v>14</v>
      </c>
      <c r="K25" s="4" t="s">
        <v>14</v>
      </c>
      <c r="L25" s="4" t="s">
        <v>14</v>
      </c>
      <c r="M25" s="95" t="s">
        <v>311</v>
      </c>
      <c r="N25">
        <v>2026</v>
      </c>
    </row>
    <row r="26" spans="1:14">
      <c r="A26" s="4">
        <v>25</v>
      </c>
      <c r="B26" s="38" t="s">
        <v>17</v>
      </c>
      <c r="C26" s="4" t="s">
        <v>26</v>
      </c>
      <c r="D26" s="4" t="s">
        <v>19</v>
      </c>
      <c r="E26" s="4" t="s">
        <v>86</v>
      </c>
      <c r="F26" s="4"/>
      <c r="G26" s="37" t="s">
        <v>88</v>
      </c>
      <c r="H26" s="96" t="s">
        <v>261</v>
      </c>
      <c r="I26" s="6">
        <v>468.55508783783785</v>
      </c>
      <c r="J26" s="4" t="s">
        <v>14</v>
      </c>
      <c r="K26" s="4" t="s">
        <v>14</v>
      </c>
      <c r="L26" s="4" t="s">
        <v>14</v>
      </c>
      <c r="M26" s="95" t="s">
        <v>311</v>
      </c>
      <c r="N26">
        <v>2026</v>
      </c>
    </row>
    <row r="27" spans="1:14">
      <c r="A27" s="4">
        <v>26</v>
      </c>
      <c r="B27" s="38" t="s">
        <v>17</v>
      </c>
      <c r="C27" s="4" t="s">
        <v>18</v>
      </c>
      <c r="D27" s="4" t="s">
        <v>19</v>
      </c>
      <c r="E27" s="4" t="s">
        <v>86</v>
      </c>
      <c r="F27" s="4"/>
      <c r="G27" s="37" t="s">
        <v>87</v>
      </c>
      <c r="H27" s="96" t="s">
        <v>261</v>
      </c>
      <c r="I27" s="6">
        <v>13138.191135135134</v>
      </c>
      <c r="J27" s="4" t="s">
        <v>14</v>
      </c>
      <c r="K27" s="4" t="s">
        <v>14</v>
      </c>
      <c r="L27" s="4" t="s">
        <v>14</v>
      </c>
      <c r="M27" s="95" t="s">
        <v>311</v>
      </c>
      <c r="N27">
        <v>2026</v>
      </c>
    </row>
    <row r="28" spans="1:14">
      <c r="A28" s="4">
        <v>27</v>
      </c>
      <c r="B28" s="38" t="s">
        <v>54</v>
      </c>
      <c r="C28" s="4" t="s">
        <v>55</v>
      </c>
      <c r="D28" s="4" t="s">
        <v>19</v>
      </c>
      <c r="E28" s="4" t="s">
        <v>86</v>
      </c>
      <c r="F28" s="4"/>
      <c r="G28" s="37" t="s">
        <v>87</v>
      </c>
      <c r="H28" s="96" t="s">
        <v>261</v>
      </c>
      <c r="I28" s="6">
        <v>12859.241081081082</v>
      </c>
      <c r="J28" s="4" t="s">
        <v>14</v>
      </c>
      <c r="K28" s="4" t="s">
        <v>14</v>
      </c>
      <c r="L28" s="4" t="s">
        <v>14</v>
      </c>
      <c r="M28" s="95" t="s">
        <v>311</v>
      </c>
      <c r="N28">
        <v>2026</v>
      </c>
    </row>
    <row r="29" spans="1:14">
      <c r="A29" s="4">
        <v>28</v>
      </c>
      <c r="B29" s="38" t="s">
        <v>42</v>
      </c>
      <c r="C29" s="4" t="s">
        <v>221</v>
      </c>
      <c r="D29" s="4" t="s">
        <v>19</v>
      </c>
      <c r="E29" s="4" t="s">
        <v>86</v>
      </c>
      <c r="F29" s="4"/>
      <c r="G29" s="37" t="s">
        <v>87</v>
      </c>
      <c r="H29" s="96" t="s">
        <v>261</v>
      </c>
      <c r="I29" s="6">
        <v>13529.755574324325</v>
      </c>
      <c r="J29" s="4" t="s">
        <v>14</v>
      </c>
      <c r="K29" s="4" t="s">
        <v>14</v>
      </c>
      <c r="L29" s="4" t="s">
        <v>14</v>
      </c>
      <c r="M29" s="95" t="s">
        <v>311</v>
      </c>
      <c r="N29">
        <v>2026</v>
      </c>
    </row>
    <row r="30" spans="1:14">
      <c r="A30" s="4">
        <v>29</v>
      </c>
      <c r="B30" s="38" t="s">
        <v>35</v>
      </c>
      <c r="C30" s="4" t="s">
        <v>36</v>
      </c>
      <c r="D30" s="4" t="s">
        <v>19</v>
      </c>
      <c r="E30" s="4" t="s">
        <v>86</v>
      </c>
      <c r="F30" s="4"/>
      <c r="G30" s="37" t="s">
        <v>87</v>
      </c>
      <c r="H30" s="96" t="s">
        <v>261</v>
      </c>
      <c r="I30" s="6">
        <v>3070.8086756756757</v>
      </c>
      <c r="J30" s="4" t="s">
        <v>14</v>
      </c>
      <c r="K30" s="4" t="s">
        <v>14</v>
      </c>
      <c r="L30" s="4" t="s">
        <v>14</v>
      </c>
      <c r="M30" s="95" t="s">
        <v>311</v>
      </c>
      <c r="N30">
        <v>2026</v>
      </c>
    </row>
    <row r="31" spans="1:14">
      <c r="A31" s="4">
        <v>30</v>
      </c>
      <c r="B31" s="38" t="s">
        <v>35</v>
      </c>
      <c r="C31" s="4" t="s">
        <v>37</v>
      </c>
      <c r="D31" s="4" t="s">
        <v>19</v>
      </c>
      <c r="E31" s="4" t="s">
        <v>86</v>
      </c>
      <c r="F31" s="4"/>
      <c r="G31" s="37" t="s">
        <v>87</v>
      </c>
      <c r="H31" s="96" t="s">
        <v>261</v>
      </c>
      <c r="I31" s="6">
        <v>28467.983236486485</v>
      </c>
      <c r="J31" s="4" t="s">
        <v>14</v>
      </c>
      <c r="K31" s="4" t="s">
        <v>14</v>
      </c>
      <c r="L31" s="4" t="s">
        <v>14</v>
      </c>
      <c r="M31" s="95" t="s">
        <v>311</v>
      </c>
      <c r="N31">
        <v>2026</v>
      </c>
    </row>
    <row r="32" spans="1:14">
      <c r="A32" s="4">
        <v>31</v>
      </c>
      <c r="B32" s="38" t="s">
        <v>42</v>
      </c>
      <c r="C32" s="4" t="s">
        <v>44</v>
      </c>
      <c r="D32" s="4" t="s">
        <v>19</v>
      </c>
      <c r="E32" s="4" t="s">
        <v>86</v>
      </c>
      <c r="F32" s="4"/>
      <c r="G32" s="37" t="s">
        <v>87</v>
      </c>
      <c r="H32" s="96" t="s">
        <v>261</v>
      </c>
      <c r="I32" s="6">
        <v>25208.809729729728</v>
      </c>
      <c r="J32" s="4" t="s">
        <v>14</v>
      </c>
      <c r="K32" s="4" t="s">
        <v>14</v>
      </c>
      <c r="L32" s="4" t="s">
        <v>14</v>
      </c>
      <c r="M32" s="95" t="s">
        <v>311</v>
      </c>
      <c r="N32">
        <v>2026</v>
      </c>
    </row>
    <row r="33" spans="1:14">
      <c r="A33" s="4">
        <v>32</v>
      </c>
      <c r="B33" s="38" t="s">
        <v>42</v>
      </c>
      <c r="C33" s="4" t="s">
        <v>45</v>
      </c>
      <c r="D33" s="4" t="s">
        <v>19</v>
      </c>
      <c r="E33" s="4" t="s">
        <v>86</v>
      </c>
      <c r="F33" s="4"/>
      <c r="G33" s="37" t="s">
        <v>87</v>
      </c>
      <c r="H33" s="96" t="s">
        <v>261</v>
      </c>
      <c r="I33" s="6">
        <v>44115.817689189193</v>
      </c>
      <c r="J33" s="4" t="s">
        <v>14</v>
      </c>
      <c r="K33" s="4" t="s">
        <v>14</v>
      </c>
      <c r="L33" s="4" t="s">
        <v>14</v>
      </c>
      <c r="M33" s="95" t="s">
        <v>311</v>
      </c>
      <c r="N33">
        <v>2026</v>
      </c>
    </row>
    <row r="34" spans="1:14">
      <c r="A34" s="4">
        <v>33</v>
      </c>
      <c r="B34" s="38" t="s">
        <v>33</v>
      </c>
      <c r="C34" s="4" t="s">
        <v>34</v>
      </c>
      <c r="D34" s="4" t="s">
        <v>19</v>
      </c>
      <c r="E34" s="4" t="s">
        <v>86</v>
      </c>
      <c r="F34" s="4"/>
      <c r="G34" s="37" t="s">
        <v>87</v>
      </c>
      <c r="H34" s="96" t="s">
        <v>261</v>
      </c>
      <c r="I34" s="6">
        <v>19822.629912162163</v>
      </c>
      <c r="J34" s="4" t="s">
        <v>14</v>
      </c>
      <c r="K34" s="4" t="s">
        <v>14</v>
      </c>
      <c r="L34" s="4" t="s">
        <v>14</v>
      </c>
      <c r="M34" s="95" t="s">
        <v>311</v>
      </c>
      <c r="N34">
        <v>2026</v>
      </c>
    </row>
    <row r="35" spans="1:14">
      <c r="A35" s="4">
        <v>34</v>
      </c>
      <c r="B35" s="38" t="s">
        <v>52</v>
      </c>
      <c r="C35" s="4" t="s">
        <v>53</v>
      </c>
      <c r="D35" s="4" t="s">
        <v>19</v>
      </c>
      <c r="E35" s="4" t="s">
        <v>86</v>
      </c>
      <c r="F35" s="4"/>
      <c r="G35" s="37" t="s">
        <v>87</v>
      </c>
      <c r="H35" s="96" t="s">
        <v>261</v>
      </c>
      <c r="I35" s="6">
        <v>164708.73104054053</v>
      </c>
      <c r="J35" s="4" t="s">
        <v>14</v>
      </c>
      <c r="K35" s="4" t="s">
        <v>14</v>
      </c>
      <c r="L35" s="4" t="s">
        <v>14</v>
      </c>
      <c r="M35" s="95" t="s">
        <v>311</v>
      </c>
      <c r="N35">
        <v>2026</v>
      </c>
    </row>
    <row r="36" spans="1:14">
      <c r="A36" s="4">
        <v>35</v>
      </c>
      <c r="B36" s="38" t="s">
        <v>17</v>
      </c>
      <c r="C36" s="4" t="s">
        <v>22</v>
      </c>
      <c r="D36" s="4" t="s">
        <v>19</v>
      </c>
      <c r="E36" s="4" t="s">
        <v>86</v>
      </c>
      <c r="F36" s="4"/>
      <c r="G36" s="37" t="s">
        <v>87</v>
      </c>
      <c r="H36" s="96" t="s">
        <v>261</v>
      </c>
      <c r="I36" s="6">
        <v>2983.3679256756759</v>
      </c>
      <c r="J36" s="4" t="s">
        <v>14</v>
      </c>
      <c r="K36" s="4" t="s">
        <v>14</v>
      </c>
      <c r="L36" s="4" t="s">
        <v>14</v>
      </c>
      <c r="M36" s="95" t="s">
        <v>311</v>
      </c>
      <c r="N36">
        <v>2026</v>
      </c>
    </row>
    <row r="37" spans="1:14">
      <c r="A37" s="4">
        <v>36</v>
      </c>
      <c r="B37" s="38" t="s">
        <v>35</v>
      </c>
      <c r="C37" s="4" t="s">
        <v>41</v>
      </c>
      <c r="D37" s="4" t="s">
        <v>19</v>
      </c>
      <c r="E37" s="4" t="s">
        <v>86</v>
      </c>
      <c r="F37" s="4"/>
      <c r="G37" s="37" t="s">
        <v>87</v>
      </c>
      <c r="H37" s="96" t="s">
        <v>261</v>
      </c>
      <c r="I37" s="6">
        <v>1330.5612972972972</v>
      </c>
      <c r="J37" s="4" t="s">
        <v>14</v>
      </c>
      <c r="K37" s="4" t="s">
        <v>14</v>
      </c>
      <c r="L37" s="4" t="s">
        <v>14</v>
      </c>
      <c r="M37" s="95" t="s">
        <v>311</v>
      </c>
      <c r="N37">
        <v>2026</v>
      </c>
    </row>
    <row r="38" spans="1:14">
      <c r="A38" s="4">
        <v>37</v>
      </c>
      <c r="B38" s="38" t="s">
        <v>42</v>
      </c>
      <c r="C38" s="4" t="s">
        <v>47</v>
      </c>
      <c r="D38" s="4" t="s">
        <v>19</v>
      </c>
      <c r="E38" s="4" t="s">
        <v>86</v>
      </c>
      <c r="F38" s="4"/>
      <c r="G38" s="37" t="s">
        <v>87</v>
      </c>
      <c r="H38" s="96" t="s">
        <v>261</v>
      </c>
      <c r="I38" s="6">
        <v>12288.170445945947</v>
      </c>
      <c r="J38" s="4" t="s">
        <v>14</v>
      </c>
      <c r="K38" s="4" t="s">
        <v>14</v>
      </c>
      <c r="L38" s="4" t="s">
        <v>14</v>
      </c>
      <c r="M38" s="95" t="s">
        <v>311</v>
      </c>
      <c r="N38">
        <v>2026</v>
      </c>
    </row>
    <row r="39" spans="1:14">
      <c r="A39" s="4">
        <v>38</v>
      </c>
      <c r="B39" s="38" t="s">
        <v>17</v>
      </c>
      <c r="C39" s="4" t="s">
        <v>272</v>
      </c>
      <c r="D39" s="4" t="s">
        <v>19</v>
      </c>
      <c r="E39" s="4" t="s">
        <v>86</v>
      </c>
      <c r="F39" s="4"/>
      <c r="G39" s="37" t="s">
        <v>87</v>
      </c>
      <c r="H39" s="96" t="s">
        <v>261</v>
      </c>
      <c r="I39" s="6">
        <v>6891.496837837838</v>
      </c>
      <c r="J39" s="4" t="s">
        <v>14</v>
      </c>
      <c r="K39" s="4" t="s">
        <v>14</v>
      </c>
      <c r="L39" s="4" t="s">
        <v>14</v>
      </c>
      <c r="M39" s="95" t="s">
        <v>311</v>
      </c>
      <c r="N39">
        <v>2026</v>
      </c>
    </row>
    <row r="40" spans="1:14">
      <c r="A40" s="4">
        <v>39</v>
      </c>
      <c r="B40" s="38" t="s">
        <v>42</v>
      </c>
      <c r="C40" s="4" t="s">
        <v>48</v>
      </c>
      <c r="D40" s="4" t="s">
        <v>19</v>
      </c>
      <c r="E40" s="4" t="s">
        <v>86</v>
      </c>
      <c r="F40" s="4"/>
      <c r="G40" s="37" t="s">
        <v>87</v>
      </c>
      <c r="H40" s="96" t="s">
        <v>261</v>
      </c>
      <c r="I40" s="6">
        <v>23516.63202027027</v>
      </c>
      <c r="J40" s="4" t="s">
        <v>14</v>
      </c>
      <c r="K40" s="4" t="s">
        <v>14</v>
      </c>
      <c r="L40" s="4" t="s">
        <v>14</v>
      </c>
      <c r="M40" s="95" t="s">
        <v>311</v>
      </c>
      <c r="N40">
        <v>2026</v>
      </c>
    </row>
    <row r="41" spans="1:14">
      <c r="A41" s="4">
        <v>40</v>
      </c>
      <c r="B41" s="38" t="s">
        <v>42</v>
      </c>
      <c r="C41" s="4" t="s">
        <v>50</v>
      </c>
      <c r="D41" s="4" t="s">
        <v>19</v>
      </c>
      <c r="E41" s="4" t="s">
        <v>86</v>
      </c>
      <c r="F41" s="4"/>
      <c r="G41" s="37" t="s">
        <v>87</v>
      </c>
      <c r="H41" s="96" t="s">
        <v>261</v>
      </c>
      <c r="I41" s="6">
        <v>72389.347540540533</v>
      </c>
      <c r="J41" s="4" t="s">
        <v>14</v>
      </c>
      <c r="K41" s="4" t="s">
        <v>14</v>
      </c>
      <c r="L41" s="4" t="s">
        <v>14</v>
      </c>
      <c r="M41" s="95" t="s">
        <v>311</v>
      </c>
      <c r="N41">
        <v>2026</v>
      </c>
    </row>
    <row r="42" spans="1:14">
      <c r="A42" s="4">
        <v>41</v>
      </c>
      <c r="B42" s="38" t="s">
        <v>42</v>
      </c>
      <c r="C42" s="4" t="s">
        <v>49</v>
      </c>
      <c r="D42" s="4" t="s">
        <v>19</v>
      </c>
      <c r="E42" s="4" t="s">
        <v>86</v>
      </c>
      <c r="F42" s="4"/>
      <c r="G42" s="37" t="s">
        <v>87</v>
      </c>
      <c r="H42" s="96" t="s">
        <v>261</v>
      </c>
      <c r="I42" s="6">
        <v>4171.2474189189188</v>
      </c>
      <c r="J42" s="4" t="s">
        <v>14</v>
      </c>
      <c r="K42" s="4" t="s">
        <v>14</v>
      </c>
      <c r="L42" s="4" t="s">
        <v>14</v>
      </c>
      <c r="M42" s="95" t="s">
        <v>311</v>
      </c>
      <c r="N42">
        <v>2026</v>
      </c>
    </row>
    <row r="43" spans="1:14">
      <c r="A43" s="4">
        <v>42</v>
      </c>
      <c r="B43" s="38" t="s">
        <v>42</v>
      </c>
      <c r="C43" s="4" t="s">
        <v>51</v>
      </c>
      <c r="D43" s="4" t="s">
        <v>19</v>
      </c>
      <c r="E43" s="4" t="s">
        <v>86</v>
      </c>
      <c r="F43" s="4"/>
      <c r="G43" s="37" t="s">
        <v>87</v>
      </c>
      <c r="H43" s="96" t="s">
        <v>261</v>
      </c>
      <c r="I43" s="6">
        <v>12073.430263513514</v>
      </c>
      <c r="J43" s="4" t="s">
        <v>14</v>
      </c>
      <c r="K43" s="4" t="s">
        <v>14</v>
      </c>
      <c r="L43" s="4" t="s">
        <v>14</v>
      </c>
      <c r="M43" s="95" t="s">
        <v>311</v>
      </c>
      <c r="N43">
        <v>2026</v>
      </c>
    </row>
    <row r="44" spans="1:14">
      <c r="A44" s="4">
        <v>43</v>
      </c>
      <c r="B44" s="38" t="s">
        <v>17</v>
      </c>
      <c r="C44" s="4" t="s">
        <v>25</v>
      </c>
      <c r="D44" s="4" t="s">
        <v>19</v>
      </c>
      <c r="E44" s="4" t="s">
        <v>86</v>
      </c>
      <c r="F44" s="4"/>
      <c r="G44" s="37" t="s">
        <v>87</v>
      </c>
      <c r="H44" s="96" t="s">
        <v>261</v>
      </c>
      <c r="I44" s="6">
        <v>22247.141250000001</v>
      </c>
      <c r="J44" s="4" t="s">
        <v>14</v>
      </c>
      <c r="K44" s="4" t="s">
        <v>14</v>
      </c>
      <c r="L44" s="4" t="s">
        <v>14</v>
      </c>
      <c r="M44" s="95" t="s">
        <v>311</v>
      </c>
      <c r="N44">
        <v>2026</v>
      </c>
    </row>
    <row r="45" spans="1:14">
      <c r="A45" s="4">
        <v>44</v>
      </c>
      <c r="B45" s="38" t="s">
        <v>17</v>
      </c>
      <c r="C45" s="4" t="s">
        <v>18</v>
      </c>
      <c r="D45" s="4" t="s">
        <v>19</v>
      </c>
      <c r="E45" s="4" t="s">
        <v>86</v>
      </c>
      <c r="F45" s="4"/>
      <c r="G45" s="95" t="s">
        <v>88</v>
      </c>
      <c r="H45" s="96" t="s">
        <v>90</v>
      </c>
      <c r="I45" s="6">
        <v>19901.577770270273</v>
      </c>
      <c r="J45" s="4" t="s">
        <v>14</v>
      </c>
      <c r="K45" s="4" t="s">
        <v>14</v>
      </c>
      <c r="L45" s="4" t="s">
        <v>14</v>
      </c>
      <c r="M45" s="95" t="s">
        <v>311</v>
      </c>
      <c r="N45">
        <v>2026</v>
      </c>
    </row>
    <row r="46" spans="1:14">
      <c r="A46" s="4">
        <v>45</v>
      </c>
      <c r="B46" s="38" t="s">
        <v>54</v>
      </c>
      <c r="C46" s="4" t="s">
        <v>55</v>
      </c>
      <c r="D46" s="4" t="s">
        <v>19</v>
      </c>
      <c r="E46" s="4" t="s">
        <v>86</v>
      </c>
      <c r="F46" s="4"/>
      <c r="G46" s="95" t="s">
        <v>88</v>
      </c>
      <c r="H46" s="96" t="s">
        <v>90</v>
      </c>
      <c r="I46" s="6">
        <v>7297.2972972972975</v>
      </c>
      <c r="J46" s="4" t="s">
        <v>14</v>
      </c>
      <c r="K46" s="4" t="s">
        <v>14</v>
      </c>
      <c r="L46" s="4" t="s">
        <v>14</v>
      </c>
      <c r="M46" s="95" t="s">
        <v>311</v>
      </c>
      <c r="N46">
        <v>2026</v>
      </c>
    </row>
    <row r="47" spans="1:14">
      <c r="A47" s="4">
        <v>46</v>
      </c>
      <c r="B47" s="4" t="s">
        <v>42</v>
      </c>
      <c r="C47" s="4" t="s">
        <v>43</v>
      </c>
      <c r="D47" s="4" t="s">
        <v>19</v>
      </c>
      <c r="E47" s="4" t="s">
        <v>86</v>
      </c>
      <c r="F47" s="4"/>
      <c r="G47" s="68" t="s">
        <v>88</v>
      </c>
      <c r="H47" s="96" t="s">
        <v>90</v>
      </c>
      <c r="I47" s="6">
        <v>3378.3783783783783</v>
      </c>
      <c r="J47" s="4" t="s">
        <v>14</v>
      </c>
      <c r="K47" s="4" t="s">
        <v>14</v>
      </c>
      <c r="L47" s="4" t="s">
        <v>14</v>
      </c>
      <c r="M47" s="95" t="s">
        <v>311</v>
      </c>
      <c r="N47">
        <v>2026</v>
      </c>
    </row>
    <row r="48" spans="1:14">
      <c r="A48" s="4">
        <v>47</v>
      </c>
      <c r="B48" s="4" t="s">
        <v>35</v>
      </c>
      <c r="C48" s="4" t="s">
        <v>36</v>
      </c>
      <c r="D48" s="4" t="s">
        <v>19</v>
      </c>
      <c r="E48" s="4" t="s">
        <v>86</v>
      </c>
      <c r="F48" s="4"/>
      <c r="G48" s="68" t="s">
        <v>88</v>
      </c>
      <c r="H48" s="96" t="s">
        <v>90</v>
      </c>
      <c r="I48" s="6">
        <v>5202.7027027027025</v>
      </c>
      <c r="J48" s="4" t="s">
        <v>14</v>
      </c>
      <c r="K48" s="4" t="s">
        <v>14</v>
      </c>
      <c r="L48" s="4" t="s">
        <v>14</v>
      </c>
      <c r="M48" s="95" t="s">
        <v>311</v>
      </c>
      <c r="N48">
        <v>2026</v>
      </c>
    </row>
    <row r="49" spans="1:14">
      <c r="A49" s="4">
        <v>48</v>
      </c>
      <c r="B49" s="4" t="s">
        <v>35</v>
      </c>
      <c r="C49" s="4" t="s">
        <v>37</v>
      </c>
      <c r="D49" s="4" t="s">
        <v>19</v>
      </c>
      <c r="E49" s="4" t="s">
        <v>86</v>
      </c>
      <c r="F49" s="4"/>
      <c r="G49" s="68" t="s">
        <v>88</v>
      </c>
      <c r="H49" s="96" t="s">
        <v>90</v>
      </c>
      <c r="I49" s="6">
        <v>6891.8918918918916</v>
      </c>
      <c r="J49" s="4" t="s">
        <v>14</v>
      </c>
      <c r="K49" s="4" t="s">
        <v>14</v>
      </c>
      <c r="L49" s="4" t="s">
        <v>14</v>
      </c>
      <c r="M49" s="95" t="s">
        <v>311</v>
      </c>
      <c r="N49">
        <v>2026</v>
      </c>
    </row>
    <row r="50" spans="1:14">
      <c r="A50" s="4">
        <v>49</v>
      </c>
      <c r="B50" s="4" t="s">
        <v>42</v>
      </c>
      <c r="C50" s="4" t="s">
        <v>45</v>
      </c>
      <c r="D50" s="4" t="s">
        <v>19</v>
      </c>
      <c r="E50" s="4" t="s">
        <v>86</v>
      </c>
      <c r="F50" s="4"/>
      <c r="G50" s="68" t="s">
        <v>88</v>
      </c>
      <c r="H50" s="96" t="s">
        <v>90</v>
      </c>
      <c r="I50" s="6">
        <v>5463.0977770270274</v>
      </c>
      <c r="J50" s="4" t="s">
        <v>14</v>
      </c>
      <c r="K50" s="4" t="s">
        <v>14</v>
      </c>
      <c r="L50" s="4" t="s">
        <v>14</v>
      </c>
      <c r="M50" s="95" t="s">
        <v>311</v>
      </c>
      <c r="N50">
        <v>2026</v>
      </c>
    </row>
    <row r="51" spans="1:14">
      <c r="A51" s="4">
        <v>50</v>
      </c>
      <c r="B51" s="4" t="s">
        <v>33</v>
      </c>
      <c r="C51" s="4" t="s">
        <v>34</v>
      </c>
      <c r="D51" s="4" t="s">
        <v>19</v>
      </c>
      <c r="E51" s="4" t="s">
        <v>86</v>
      </c>
      <c r="F51" s="4"/>
      <c r="G51" s="68" t="s">
        <v>88</v>
      </c>
      <c r="H51" s="96" t="s">
        <v>90</v>
      </c>
      <c r="I51" s="6">
        <v>9566.0083918918917</v>
      </c>
      <c r="J51" s="4" t="s">
        <v>14</v>
      </c>
      <c r="K51" s="4" t="s">
        <v>14</v>
      </c>
      <c r="L51" s="4" t="s">
        <v>14</v>
      </c>
      <c r="M51" s="95" t="s">
        <v>311</v>
      </c>
      <c r="N51">
        <v>2026</v>
      </c>
    </row>
    <row r="52" spans="1:14">
      <c r="A52" s="4">
        <v>51</v>
      </c>
      <c r="B52" s="4" t="s">
        <v>52</v>
      </c>
      <c r="C52" s="4" t="s">
        <v>62</v>
      </c>
      <c r="D52" s="4" t="s">
        <v>19</v>
      </c>
      <c r="E52" s="4" t="s">
        <v>86</v>
      </c>
      <c r="F52" s="4"/>
      <c r="G52" s="68" t="s">
        <v>88</v>
      </c>
      <c r="H52" s="96" t="s">
        <v>90</v>
      </c>
      <c r="I52" s="6">
        <v>34668.338986486488</v>
      </c>
      <c r="J52" s="4" t="s">
        <v>14</v>
      </c>
      <c r="K52" s="4" t="s">
        <v>14</v>
      </c>
      <c r="L52" s="4" t="s">
        <v>14</v>
      </c>
      <c r="M52" s="95" t="s">
        <v>311</v>
      </c>
      <c r="N52">
        <v>2026</v>
      </c>
    </row>
    <row r="53" spans="1:14">
      <c r="A53" s="4">
        <v>52</v>
      </c>
      <c r="B53" s="4" t="s">
        <v>58</v>
      </c>
      <c r="C53" s="4" t="s">
        <v>59</v>
      </c>
      <c r="D53" s="4" t="s">
        <v>19</v>
      </c>
      <c r="E53" s="4" t="s">
        <v>86</v>
      </c>
      <c r="F53" s="4"/>
      <c r="G53" s="68" t="s">
        <v>88</v>
      </c>
      <c r="H53" s="96" t="s">
        <v>90</v>
      </c>
      <c r="I53" s="6">
        <v>1075.8835945945946</v>
      </c>
      <c r="J53" s="4" t="s">
        <v>14</v>
      </c>
      <c r="K53" s="4" t="s">
        <v>14</v>
      </c>
      <c r="L53" s="4" t="s">
        <v>14</v>
      </c>
      <c r="M53" s="95" t="s">
        <v>311</v>
      </c>
      <c r="N53">
        <v>2026</v>
      </c>
    </row>
    <row r="54" spans="1:14">
      <c r="A54" s="4">
        <v>53</v>
      </c>
      <c r="B54" s="4" t="s">
        <v>17</v>
      </c>
      <c r="C54" s="4" t="s">
        <v>22</v>
      </c>
      <c r="D54" s="4" t="s">
        <v>19</v>
      </c>
      <c r="E54" s="4" t="s">
        <v>86</v>
      </c>
      <c r="F54" s="4"/>
      <c r="G54" s="68" t="s">
        <v>88</v>
      </c>
      <c r="H54" s="96" t="s">
        <v>90</v>
      </c>
      <c r="I54" s="6">
        <v>11728.222466216217</v>
      </c>
      <c r="J54" s="4" t="s">
        <v>14</v>
      </c>
      <c r="K54" s="4" t="s">
        <v>14</v>
      </c>
      <c r="L54" s="4" t="s">
        <v>14</v>
      </c>
      <c r="M54" s="95" t="s">
        <v>311</v>
      </c>
      <c r="N54">
        <v>2026</v>
      </c>
    </row>
    <row r="55" spans="1:14">
      <c r="A55" s="4">
        <v>54</v>
      </c>
      <c r="B55" s="4" t="s">
        <v>17</v>
      </c>
      <c r="C55" s="4" t="s">
        <v>91</v>
      </c>
      <c r="D55" s="4" t="s">
        <v>19</v>
      </c>
      <c r="E55" s="4" t="s">
        <v>86</v>
      </c>
      <c r="F55" s="4"/>
      <c r="G55" s="68" t="s">
        <v>88</v>
      </c>
      <c r="H55" s="96" t="s">
        <v>90</v>
      </c>
      <c r="I55" s="6">
        <v>9391.8918918918916</v>
      </c>
      <c r="J55" s="4" t="s">
        <v>14</v>
      </c>
      <c r="K55" s="4" t="s">
        <v>14</v>
      </c>
      <c r="L55" s="4" t="s">
        <v>14</v>
      </c>
      <c r="M55" s="95" t="s">
        <v>311</v>
      </c>
      <c r="N55">
        <v>2026</v>
      </c>
    </row>
    <row r="56" spans="1:14">
      <c r="A56" s="4">
        <v>55</v>
      </c>
      <c r="B56" s="4" t="s">
        <v>42</v>
      </c>
      <c r="C56" s="4" t="s">
        <v>47</v>
      </c>
      <c r="D56" s="4" t="s">
        <v>19</v>
      </c>
      <c r="E56" s="4" t="s">
        <v>86</v>
      </c>
      <c r="F56" s="4"/>
      <c r="G56" s="68" t="s">
        <v>88</v>
      </c>
      <c r="H56" s="96" t="s">
        <v>90</v>
      </c>
      <c r="I56" s="6">
        <v>4189.1891891891892</v>
      </c>
      <c r="J56" s="4" t="s">
        <v>14</v>
      </c>
      <c r="K56" s="4" t="s">
        <v>14</v>
      </c>
      <c r="L56" s="4" t="s">
        <v>14</v>
      </c>
      <c r="M56" s="95" t="s">
        <v>311</v>
      </c>
      <c r="N56">
        <v>2026</v>
      </c>
    </row>
    <row r="57" spans="1:14">
      <c r="A57" s="4">
        <v>56</v>
      </c>
      <c r="B57" s="4" t="s">
        <v>17</v>
      </c>
      <c r="C57" s="4" t="s">
        <v>272</v>
      </c>
      <c r="D57" s="4" t="s">
        <v>19</v>
      </c>
      <c r="E57" s="4" t="s">
        <v>86</v>
      </c>
      <c r="F57" s="4"/>
      <c r="G57" s="68" t="s">
        <v>88</v>
      </c>
      <c r="H57" s="96" t="s">
        <v>90</v>
      </c>
      <c r="I57" s="6">
        <v>6011.970918918918</v>
      </c>
      <c r="J57" s="4" t="s">
        <v>14</v>
      </c>
      <c r="K57" s="4" t="s">
        <v>14</v>
      </c>
      <c r="L57" s="4" t="s">
        <v>14</v>
      </c>
      <c r="M57" s="95" t="s">
        <v>311</v>
      </c>
      <c r="N57">
        <v>2026</v>
      </c>
    </row>
    <row r="58" spans="1:14">
      <c r="A58" s="4">
        <v>57</v>
      </c>
      <c r="B58" s="4" t="s">
        <v>42</v>
      </c>
      <c r="C58" s="4" t="s">
        <v>263</v>
      </c>
      <c r="D58" s="4" t="s">
        <v>19</v>
      </c>
      <c r="E58" s="4" t="s">
        <v>86</v>
      </c>
      <c r="F58" s="4"/>
      <c r="G58" s="68" t="s">
        <v>88</v>
      </c>
      <c r="H58" s="96" t="s">
        <v>90</v>
      </c>
      <c r="I58" s="6">
        <v>7101.3513513513517</v>
      </c>
      <c r="J58" s="4" t="s">
        <v>14</v>
      </c>
      <c r="K58" s="4" t="s">
        <v>14</v>
      </c>
      <c r="L58" s="4" t="s">
        <v>14</v>
      </c>
      <c r="M58" s="95" t="s">
        <v>311</v>
      </c>
      <c r="N58">
        <v>2026</v>
      </c>
    </row>
    <row r="59" spans="1:14">
      <c r="A59" s="4">
        <v>58</v>
      </c>
      <c r="B59" s="4" t="s">
        <v>42</v>
      </c>
      <c r="C59" s="4" t="s">
        <v>50</v>
      </c>
      <c r="D59" s="4" t="s">
        <v>19</v>
      </c>
      <c r="E59" s="4" t="s">
        <v>86</v>
      </c>
      <c r="F59" s="4"/>
      <c r="G59" s="68" t="s">
        <v>88</v>
      </c>
      <c r="H59" s="96" t="s">
        <v>90</v>
      </c>
      <c r="I59" s="6">
        <v>27292.249567567567</v>
      </c>
      <c r="J59" s="4" t="s">
        <v>14</v>
      </c>
      <c r="K59" s="4" t="s">
        <v>14</v>
      </c>
      <c r="L59" s="4" t="s">
        <v>14</v>
      </c>
      <c r="M59" s="95" t="s">
        <v>311</v>
      </c>
      <c r="N59">
        <v>2026</v>
      </c>
    </row>
    <row r="60" spans="1:14">
      <c r="A60" s="4">
        <v>59</v>
      </c>
      <c r="B60" s="4" t="s">
        <v>42</v>
      </c>
      <c r="C60" s="4" t="s">
        <v>49</v>
      </c>
      <c r="D60" s="4" t="s">
        <v>19</v>
      </c>
      <c r="E60" s="4" t="s">
        <v>86</v>
      </c>
      <c r="F60" s="4"/>
      <c r="G60" s="68" t="s">
        <v>88</v>
      </c>
      <c r="H60" s="96" t="s">
        <v>90</v>
      </c>
      <c r="I60" s="6">
        <v>3513.5135135135133</v>
      </c>
      <c r="J60" s="4" t="s">
        <v>14</v>
      </c>
      <c r="K60" s="4" t="s">
        <v>14</v>
      </c>
      <c r="L60" s="4" t="s">
        <v>14</v>
      </c>
      <c r="M60" s="95" t="s">
        <v>311</v>
      </c>
      <c r="N60">
        <v>2026</v>
      </c>
    </row>
    <row r="61" spans="1:14">
      <c r="A61" s="4">
        <v>60</v>
      </c>
      <c r="B61" s="4" t="s">
        <v>17</v>
      </c>
      <c r="C61" s="4" t="s">
        <v>25</v>
      </c>
      <c r="D61" s="4" t="s">
        <v>19</v>
      </c>
      <c r="E61" s="4" t="s">
        <v>86</v>
      </c>
      <c r="F61" s="4"/>
      <c r="G61" s="68" t="s">
        <v>88</v>
      </c>
      <c r="H61" s="96" t="s">
        <v>90</v>
      </c>
      <c r="I61" s="6">
        <v>18674.168412162162</v>
      </c>
      <c r="J61" s="4" t="s">
        <v>14</v>
      </c>
      <c r="K61" s="4" t="s">
        <v>14</v>
      </c>
      <c r="L61" s="4" t="s">
        <v>14</v>
      </c>
      <c r="M61" s="95" t="s">
        <v>311</v>
      </c>
      <c r="N61">
        <v>2026</v>
      </c>
    </row>
    <row r="62" spans="1:14">
      <c r="A62" s="4">
        <v>61</v>
      </c>
      <c r="B62" s="4" t="s">
        <v>17</v>
      </c>
      <c r="C62" s="4" t="s">
        <v>18</v>
      </c>
      <c r="D62" s="4" t="s">
        <v>19</v>
      </c>
      <c r="E62" s="4" t="s">
        <v>86</v>
      </c>
      <c r="F62" s="4"/>
      <c r="G62" s="95" t="s">
        <v>87</v>
      </c>
      <c r="H62" s="96" t="s">
        <v>90</v>
      </c>
      <c r="I62" s="6">
        <v>15181.454905405406</v>
      </c>
      <c r="J62" s="4" t="s">
        <v>14</v>
      </c>
      <c r="K62" s="4" t="s">
        <v>14</v>
      </c>
      <c r="L62" s="4" t="s">
        <v>14</v>
      </c>
      <c r="M62" s="95" t="s">
        <v>311</v>
      </c>
      <c r="N62">
        <v>2026</v>
      </c>
    </row>
    <row r="63" spans="1:14">
      <c r="A63" s="4">
        <v>62</v>
      </c>
      <c r="B63" s="4" t="s">
        <v>54</v>
      </c>
      <c r="C63" s="4" t="s">
        <v>55</v>
      </c>
      <c r="D63" s="4" t="s">
        <v>19</v>
      </c>
      <c r="E63" s="4" t="s">
        <v>86</v>
      </c>
      <c r="F63" s="4"/>
      <c r="G63" s="95" t="s">
        <v>87</v>
      </c>
      <c r="H63" s="96" t="s">
        <v>90</v>
      </c>
      <c r="I63" s="6">
        <v>24947.097783783782</v>
      </c>
      <c r="J63" s="4" t="s">
        <v>14</v>
      </c>
      <c r="K63" s="4" t="s">
        <v>14</v>
      </c>
      <c r="L63" s="4" t="s">
        <v>14</v>
      </c>
      <c r="M63" s="95" t="s">
        <v>311</v>
      </c>
      <c r="N63">
        <v>2026</v>
      </c>
    </row>
    <row r="64" spans="1:14">
      <c r="A64" s="4">
        <v>63</v>
      </c>
      <c r="B64" s="67" t="s">
        <v>42</v>
      </c>
      <c r="C64" s="4" t="s">
        <v>43</v>
      </c>
      <c r="D64" s="4" t="s">
        <v>19</v>
      </c>
      <c r="E64" s="4" t="s">
        <v>86</v>
      </c>
      <c r="F64" s="4"/>
      <c r="G64" s="95" t="s">
        <v>87</v>
      </c>
      <c r="H64" s="96" t="s">
        <v>90</v>
      </c>
      <c r="I64" s="6">
        <v>13724.012500000001</v>
      </c>
      <c r="J64" s="4" t="s">
        <v>14</v>
      </c>
      <c r="K64" s="4" t="s">
        <v>14</v>
      </c>
      <c r="L64" s="4" t="s">
        <v>14</v>
      </c>
      <c r="M64" s="95" t="s">
        <v>311</v>
      </c>
      <c r="N64">
        <v>2026</v>
      </c>
    </row>
    <row r="65" spans="1:14">
      <c r="A65" s="4">
        <v>64</v>
      </c>
      <c r="B65" s="67" t="s">
        <v>35</v>
      </c>
      <c r="C65" s="4" t="s">
        <v>36</v>
      </c>
      <c r="D65" s="4" t="s">
        <v>19</v>
      </c>
      <c r="E65" s="4" t="s">
        <v>86</v>
      </c>
      <c r="F65" s="4"/>
      <c r="G65" s="95" t="s">
        <v>87</v>
      </c>
      <c r="H65" s="96" t="s">
        <v>90</v>
      </c>
      <c r="I65" s="6">
        <v>3445.9459459459458</v>
      </c>
      <c r="J65" s="4" t="s">
        <v>14</v>
      </c>
      <c r="K65" s="4" t="s">
        <v>14</v>
      </c>
      <c r="L65" s="4" t="s">
        <v>14</v>
      </c>
      <c r="M65" s="95" t="s">
        <v>311</v>
      </c>
      <c r="N65">
        <v>2026</v>
      </c>
    </row>
    <row r="66" spans="1:14">
      <c r="A66" s="4">
        <v>65</v>
      </c>
      <c r="B66" s="67" t="s">
        <v>35</v>
      </c>
      <c r="C66" s="4" t="s">
        <v>37</v>
      </c>
      <c r="D66" s="4" t="s">
        <v>19</v>
      </c>
      <c r="E66" s="4" t="s">
        <v>86</v>
      </c>
      <c r="F66" s="4"/>
      <c r="G66" s="95" t="s">
        <v>87</v>
      </c>
      <c r="H66" s="96" t="s">
        <v>90</v>
      </c>
      <c r="I66" s="6">
        <v>16668.918945945945</v>
      </c>
      <c r="J66" s="4" t="s">
        <v>14</v>
      </c>
      <c r="K66" s="4" t="s">
        <v>14</v>
      </c>
      <c r="L66" s="4" t="s">
        <v>14</v>
      </c>
      <c r="M66" s="95" t="s">
        <v>311</v>
      </c>
      <c r="N66">
        <v>2026</v>
      </c>
    </row>
    <row r="67" spans="1:14">
      <c r="A67" s="4">
        <v>66</v>
      </c>
      <c r="B67" s="67" t="s">
        <v>42</v>
      </c>
      <c r="C67" s="4" t="s">
        <v>44</v>
      </c>
      <c r="D67" s="4" t="s">
        <v>19</v>
      </c>
      <c r="E67" s="4" t="s">
        <v>86</v>
      </c>
      <c r="F67" s="4"/>
      <c r="G67" s="95" t="s">
        <v>87</v>
      </c>
      <c r="H67" s="96" t="s">
        <v>90</v>
      </c>
      <c r="I67" s="6">
        <v>12132.016587837838</v>
      </c>
      <c r="J67" s="4" t="s">
        <v>14</v>
      </c>
      <c r="K67" s="4" t="s">
        <v>14</v>
      </c>
      <c r="L67" s="4" t="s">
        <v>14</v>
      </c>
      <c r="M67" s="95" t="s">
        <v>311</v>
      </c>
      <c r="N67">
        <v>2026</v>
      </c>
    </row>
    <row r="68" spans="1:14">
      <c r="A68" s="4">
        <v>67</v>
      </c>
      <c r="B68" s="67" t="s">
        <v>42</v>
      </c>
      <c r="C68" s="4" t="s">
        <v>45</v>
      </c>
      <c r="D68" s="4" t="s">
        <v>19</v>
      </c>
      <c r="E68" s="4" t="s">
        <v>86</v>
      </c>
      <c r="F68" s="4"/>
      <c r="G68" s="95" t="s">
        <v>87</v>
      </c>
      <c r="H68" s="96" t="s">
        <v>90</v>
      </c>
      <c r="I68" s="6">
        <v>21791.320216216216</v>
      </c>
      <c r="J68" s="4" t="s">
        <v>14</v>
      </c>
      <c r="K68" s="4" t="s">
        <v>14</v>
      </c>
      <c r="L68" s="4" t="s">
        <v>14</v>
      </c>
      <c r="M68" s="95" t="s">
        <v>311</v>
      </c>
      <c r="N68">
        <v>2026</v>
      </c>
    </row>
    <row r="69" spans="1:14">
      <c r="A69" s="4">
        <v>68</v>
      </c>
      <c r="B69" s="67" t="s">
        <v>33</v>
      </c>
      <c r="C69" s="67" t="s">
        <v>34</v>
      </c>
      <c r="D69" s="4" t="s">
        <v>19</v>
      </c>
      <c r="E69" s="4" t="s">
        <v>86</v>
      </c>
      <c r="F69" s="4"/>
      <c r="G69" s="95" t="s">
        <v>87</v>
      </c>
      <c r="H69" s="96" t="s">
        <v>90</v>
      </c>
      <c r="I69" s="6">
        <v>23937.162358108108</v>
      </c>
      <c r="J69" s="4" t="s">
        <v>14</v>
      </c>
      <c r="K69" s="4" t="s">
        <v>14</v>
      </c>
      <c r="L69" s="4" t="s">
        <v>14</v>
      </c>
      <c r="M69" s="95" t="s">
        <v>311</v>
      </c>
      <c r="N69">
        <v>2026</v>
      </c>
    </row>
    <row r="70" spans="1:14">
      <c r="A70" s="4">
        <v>69</v>
      </c>
      <c r="B70" s="67" t="s">
        <v>52</v>
      </c>
      <c r="C70" s="4" t="s">
        <v>62</v>
      </c>
      <c r="D70" s="4" t="s">
        <v>19</v>
      </c>
      <c r="E70" s="4" t="s">
        <v>86</v>
      </c>
      <c r="F70" s="4"/>
      <c r="G70" s="95" t="s">
        <v>87</v>
      </c>
      <c r="H70" s="96" t="s">
        <v>90</v>
      </c>
      <c r="I70" s="6">
        <v>91213.77898648649</v>
      </c>
      <c r="J70" s="4" t="s">
        <v>14</v>
      </c>
      <c r="K70" s="4" t="s">
        <v>14</v>
      </c>
      <c r="L70" s="4" t="s">
        <v>14</v>
      </c>
      <c r="M70" s="95" t="s">
        <v>311</v>
      </c>
      <c r="N70">
        <v>2026</v>
      </c>
    </row>
    <row r="71" spans="1:14">
      <c r="A71" s="4">
        <v>70</v>
      </c>
      <c r="B71" s="67" t="s">
        <v>58</v>
      </c>
      <c r="C71" s="4" t="s">
        <v>59</v>
      </c>
      <c r="D71" s="4" t="s">
        <v>19</v>
      </c>
      <c r="E71" s="4" t="s">
        <v>86</v>
      </c>
      <c r="F71" s="4"/>
      <c r="G71" s="95" t="s">
        <v>87</v>
      </c>
      <c r="H71" s="96" t="s">
        <v>90</v>
      </c>
      <c r="I71" s="6">
        <v>4662.1622432432423</v>
      </c>
      <c r="J71" s="4" t="s">
        <v>14</v>
      </c>
      <c r="K71" s="4" t="s">
        <v>14</v>
      </c>
      <c r="L71" s="4" t="s">
        <v>14</v>
      </c>
      <c r="M71" s="95" t="s">
        <v>311</v>
      </c>
      <c r="N71">
        <v>2026</v>
      </c>
    </row>
    <row r="72" spans="1:14">
      <c r="A72" s="4">
        <v>71</v>
      </c>
      <c r="B72" s="67" t="s">
        <v>17</v>
      </c>
      <c r="C72" s="67" t="s">
        <v>22</v>
      </c>
      <c r="D72" s="4" t="s">
        <v>19</v>
      </c>
      <c r="E72" s="4" t="s">
        <v>86</v>
      </c>
      <c r="F72" s="4"/>
      <c r="G72" s="95" t="s">
        <v>87</v>
      </c>
      <c r="H72" s="96" t="s">
        <v>90</v>
      </c>
      <c r="I72" s="6">
        <v>4716.7359864864866</v>
      </c>
      <c r="J72" s="4" t="s">
        <v>14</v>
      </c>
      <c r="K72" s="4" t="s">
        <v>14</v>
      </c>
      <c r="L72" s="4" t="s">
        <v>14</v>
      </c>
      <c r="M72" s="95" t="s">
        <v>311</v>
      </c>
      <c r="N72">
        <v>2026</v>
      </c>
    </row>
    <row r="73" spans="1:14">
      <c r="A73" s="4">
        <v>72</v>
      </c>
      <c r="B73" s="67" t="s">
        <v>42</v>
      </c>
      <c r="C73" s="4" t="s">
        <v>46</v>
      </c>
      <c r="D73" s="4" t="s">
        <v>19</v>
      </c>
      <c r="E73" s="4" t="s">
        <v>86</v>
      </c>
      <c r="F73" s="4"/>
      <c r="G73" s="95" t="s">
        <v>87</v>
      </c>
      <c r="H73" s="96" t="s">
        <v>90</v>
      </c>
      <c r="I73" s="6">
        <v>15007.796310810811</v>
      </c>
      <c r="J73" s="4" t="s">
        <v>14</v>
      </c>
      <c r="K73" s="4" t="s">
        <v>14</v>
      </c>
      <c r="L73" s="4" t="s">
        <v>14</v>
      </c>
      <c r="M73" s="95" t="s">
        <v>311</v>
      </c>
      <c r="N73">
        <v>2026</v>
      </c>
    </row>
    <row r="74" spans="1:14">
      <c r="A74" s="4">
        <v>73</v>
      </c>
      <c r="B74" s="67" t="s">
        <v>35</v>
      </c>
      <c r="C74" s="4" t="s">
        <v>39</v>
      </c>
      <c r="D74" s="4" t="s">
        <v>19</v>
      </c>
      <c r="E74" s="4" t="s">
        <v>86</v>
      </c>
      <c r="F74" s="4"/>
      <c r="G74" s="95" t="s">
        <v>87</v>
      </c>
      <c r="H74" s="96" t="s">
        <v>90</v>
      </c>
      <c r="I74" s="6">
        <v>1689.1891891891892</v>
      </c>
      <c r="J74" s="4" t="s">
        <v>14</v>
      </c>
      <c r="K74" s="4" t="s">
        <v>14</v>
      </c>
      <c r="L74" s="4" t="s">
        <v>14</v>
      </c>
      <c r="M74" s="95" t="s">
        <v>311</v>
      </c>
      <c r="N74">
        <v>2026</v>
      </c>
    </row>
    <row r="75" spans="1:14">
      <c r="A75" s="4">
        <v>74</v>
      </c>
      <c r="B75" s="67" t="s">
        <v>35</v>
      </c>
      <c r="C75" s="4" t="s">
        <v>41</v>
      </c>
      <c r="D75" s="4" t="s">
        <v>19</v>
      </c>
      <c r="E75" s="4" t="s">
        <v>86</v>
      </c>
      <c r="F75" s="4"/>
      <c r="G75" s="95" t="s">
        <v>87</v>
      </c>
      <c r="H75" s="96" t="s">
        <v>90</v>
      </c>
      <c r="I75" s="6">
        <v>1756.7567567567567</v>
      </c>
      <c r="J75" s="4" t="s">
        <v>14</v>
      </c>
      <c r="K75" s="4" t="s">
        <v>14</v>
      </c>
      <c r="L75" s="4" t="s">
        <v>14</v>
      </c>
      <c r="M75" s="95" t="s">
        <v>311</v>
      </c>
      <c r="N75">
        <v>2026</v>
      </c>
    </row>
    <row r="76" spans="1:14">
      <c r="A76" s="4">
        <v>75</v>
      </c>
      <c r="B76" s="67" t="s">
        <v>42</v>
      </c>
      <c r="C76" s="4" t="s">
        <v>47</v>
      </c>
      <c r="D76" s="4" t="s">
        <v>19</v>
      </c>
      <c r="E76" s="4" t="s">
        <v>86</v>
      </c>
      <c r="F76" s="4"/>
      <c r="G76" s="95" t="s">
        <v>87</v>
      </c>
      <c r="H76" s="96" t="s">
        <v>90</v>
      </c>
      <c r="I76" s="6">
        <v>8264.0332972972974</v>
      </c>
      <c r="J76" s="4" t="s">
        <v>14</v>
      </c>
      <c r="K76" s="4" t="s">
        <v>14</v>
      </c>
      <c r="L76" s="4" t="s">
        <v>14</v>
      </c>
      <c r="M76" s="95" t="s">
        <v>311</v>
      </c>
      <c r="N76">
        <v>2026</v>
      </c>
    </row>
    <row r="77" spans="1:14">
      <c r="A77" s="4">
        <v>76</v>
      </c>
      <c r="B77" s="67" t="s">
        <v>17</v>
      </c>
      <c r="C77" s="4" t="s">
        <v>272</v>
      </c>
      <c r="D77" s="4" t="s">
        <v>19</v>
      </c>
      <c r="E77" s="4" t="s">
        <v>86</v>
      </c>
      <c r="F77" s="4"/>
      <c r="G77" s="95" t="s">
        <v>87</v>
      </c>
      <c r="H77" s="96" t="s">
        <v>90</v>
      </c>
      <c r="I77" s="6">
        <v>11464.137243243244</v>
      </c>
      <c r="J77" s="4" t="s">
        <v>14</v>
      </c>
      <c r="K77" s="4" t="s">
        <v>14</v>
      </c>
      <c r="L77" s="4" t="s">
        <v>14</v>
      </c>
      <c r="M77" s="95" t="s">
        <v>311</v>
      </c>
      <c r="N77">
        <v>2026</v>
      </c>
    </row>
    <row r="78" spans="1:14">
      <c r="A78" s="4">
        <v>77</v>
      </c>
      <c r="B78" s="67" t="s">
        <v>42</v>
      </c>
      <c r="C78" s="4" t="s">
        <v>263</v>
      </c>
      <c r="D78" s="4" t="s">
        <v>19</v>
      </c>
      <c r="E78" s="4" t="s">
        <v>86</v>
      </c>
      <c r="F78" s="4"/>
      <c r="G78" s="95" t="s">
        <v>87</v>
      </c>
      <c r="H78" s="96" t="s">
        <v>90</v>
      </c>
      <c r="I78" s="6">
        <v>22871.157918918918</v>
      </c>
      <c r="J78" s="4" t="s">
        <v>14</v>
      </c>
      <c r="K78" s="4" t="s">
        <v>14</v>
      </c>
      <c r="L78" s="4" t="s">
        <v>14</v>
      </c>
      <c r="M78" s="95" t="s">
        <v>311</v>
      </c>
      <c r="N78">
        <v>2026</v>
      </c>
    </row>
    <row r="79" spans="1:14">
      <c r="A79" s="4">
        <v>78</v>
      </c>
      <c r="B79" s="67" t="s">
        <v>42</v>
      </c>
      <c r="C79" s="4" t="s">
        <v>50</v>
      </c>
      <c r="D79" s="4" t="s">
        <v>19</v>
      </c>
      <c r="E79" s="4" t="s">
        <v>86</v>
      </c>
      <c r="F79" s="4"/>
      <c r="G79" s="95" t="s">
        <v>87</v>
      </c>
      <c r="H79" s="96" t="s">
        <v>90</v>
      </c>
      <c r="I79" s="6">
        <v>20392.463655405405</v>
      </c>
      <c r="J79" s="4" t="s">
        <v>14</v>
      </c>
      <c r="K79" s="4" t="s">
        <v>14</v>
      </c>
      <c r="L79" s="4" t="s">
        <v>14</v>
      </c>
      <c r="M79" s="95" t="s">
        <v>311</v>
      </c>
      <c r="N79">
        <v>2026</v>
      </c>
    </row>
    <row r="80" spans="1:14">
      <c r="A80" s="4">
        <v>79</v>
      </c>
      <c r="B80" s="67" t="s">
        <v>42</v>
      </c>
      <c r="C80" s="67" t="s">
        <v>49</v>
      </c>
      <c r="D80" s="4" t="s">
        <v>19</v>
      </c>
      <c r="E80" s="4" t="s">
        <v>86</v>
      </c>
      <c r="F80" s="4"/>
      <c r="G80" s="95" t="s">
        <v>87</v>
      </c>
      <c r="H80" s="96" t="s">
        <v>90</v>
      </c>
      <c r="I80" s="6">
        <v>1756.7567567567567</v>
      </c>
      <c r="J80" s="4" t="s">
        <v>14</v>
      </c>
      <c r="K80" s="4" t="s">
        <v>14</v>
      </c>
      <c r="L80" s="4" t="s">
        <v>14</v>
      </c>
      <c r="M80" s="95" t="s">
        <v>311</v>
      </c>
      <c r="N80">
        <v>2026</v>
      </c>
    </row>
    <row r="81" spans="1:14">
      <c r="A81" s="4">
        <v>80</v>
      </c>
      <c r="B81" s="67" t="s">
        <v>42</v>
      </c>
      <c r="C81" s="4" t="s">
        <v>51</v>
      </c>
      <c r="D81" s="4" t="s">
        <v>19</v>
      </c>
      <c r="E81" s="4" t="s">
        <v>86</v>
      </c>
      <c r="F81" s="4"/>
      <c r="G81" s="95" t="s">
        <v>87</v>
      </c>
      <c r="H81" s="96" t="s">
        <v>90</v>
      </c>
      <c r="I81" s="6">
        <v>1689.1891891891892</v>
      </c>
      <c r="J81" s="4" t="s">
        <v>14</v>
      </c>
      <c r="K81" s="4" t="s">
        <v>14</v>
      </c>
      <c r="L81" s="4" t="s">
        <v>14</v>
      </c>
      <c r="M81" s="95" t="s">
        <v>311</v>
      </c>
      <c r="N81">
        <v>2026</v>
      </c>
    </row>
    <row r="82" spans="1:14">
      <c r="A82" s="4">
        <v>81</v>
      </c>
      <c r="B82" s="67" t="s">
        <v>17</v>
      </c>
      <c r="C82" s="4" t="s">
        <v>25</v>
      </c>
      <c r="D82" s="4" t="s">
        <v>19</v>
      </c>
      <c r="E82" s="4" t="s">
        <v>86</v>
      </c>
      <c r="F82" s="4"/>
      <c r="G82" s="95" t="s">
        <v>87</v>
      </c>
      <c r="H82" s="96" t="s">
        <v>90</v>
      </c>
      <c r="I82" s="6">
        <v>12755.249527027028</v>
      </c>
      <c r="J82" s="4" t="s">
        <v>14</v>
      </c>
      <c r="K82" s="4" t="s">
        <v>14</v>
      </c>
      <c r="L82" s="4" t="s">
        <v>14</v>
      </c>
      <c r="M82" s="95" t="s">
        <v>311</v>
      </c>
      <c r="N82">
        <v>2026</v>
      </c>
    </row>
    <row r="83" spans="1:14">
      <c r="A83" s="4">
        <v>82</v>
      </c>
      <c r="B83" s="67" t="s">
        <v>17</v>
      </c>
      <c r="C83" s="4" t="s">
        <v>26</v>
      </c>
      <c r="D83" s="4" t="s">
        <v>19</v>
      </c>
      <c r="E83" s="4" t="s">
        <v>86</v>
      </c>
      <c r="F83" s="4"/>
      <c r="G83" s="95" t="s">
        <v>87</v>
      </c>
      <c r="H83" s="96" t="s">
        <v>90</v>
      </c>
      <c r="I83" s="6">
        <v>532.74428378378377</v>
      </c>
      <c r="J83" s="4" t="s">
        <v>14</v>
      </c>
      <c r="K83" s="4" t="s">
        <v>14</v>
      </c>
      <c r="L83" s="4" t="s">
        <v>14</v>
      </c>
      <c r="M83" s="95" t="s">
        <v>311</v>
      </c>
      <c r="N83">
        <v>2026</v>
      </c>
    </row>
    <row r="84" spans="1:14">
      <c r="A84" s="4">
        <v>83</v>
      </c>
      <c r="B84" s="4" t="s">
        <v>52</v>
      </c>
      <c r="C84" s="4" t="s">
        <v>62</v>
      </c>
      <c r="D84" s="96" t="s">
        <v>60</v>
      </c>
      <c r="E84" s="4" t="s">
        <v>86</v>
      </c>
      <c r="F84" s="4"/>
      <c r="G84" t="s">
        <v>413</v>
      </c>
      <c r="H84" s="96" t="s">
        <v>261</v>
      </c>
      <c r="I84" s="6">
        <v>4800</v>
      </c>
      <c r="J84" s="4" t="s">
        <v>414</v>
      </c>
      <c r="K84" s="14">
        <v>46040</v>
      </c>
      <c r="L84" s="4" t="s">
        <v>14</v>
      </c>
      <c r="M84" s="95" t="s">
        <v>311</v>
      </c>
      <c r="N84">
        <v>2026</v>
      </c>
    </row>
    <row r="85" spans="1:14">
      <c r="A85" s="4">
        <v>84</v>
      </c>
      <c r="B85" s="4" t="s">
        <v>52</v>
      </c>
      <c r="C85" s="4" t="s">
        <v>62</v>
      </c>
      <c r="D85" s="96" t="s">
        <v>60</v>
      </c>
      <c r="E85" s="4" t="s">
        <v>86</v>
      </c>
      <c r="F85" s="4"/>
      <c r="G85" t="s">
        <v>413</v>
      </c>
      <c r="H85" s="96" t="s">
        <v>261</v>
      </c>
      <c r="I85" s="6">
        <v>5100</v>
      </c>
      <c r="J85" s="4" t="s">
        <v>415</v>
      </c>
      <c r="K85" s="14">
        <v>46040</v>
      </c>
      <c r="L85" s="4" t="s">
        <v>14</v>
      </c>
      <c r="M85" s="95" t="s">
        <v>311</v>
      </c>
      <c r="N85">
        <v>2026</v>
      </c>
    </row>
    <row r="86" spans="1:14">
      <c r="A86" s="4"/>
      <c r="B86" s="4"/>
      <c r="C86" s="4"/>
      <c r="D86" s="4"/>
      <c r="E86" s="4"/>
      <c r="F86" s="4"/>
      <c r="H86" s="4"/>
      <c r="I86" s="6"/>
      <c r="J86" s="4"/>
      <c r="K86" s="4"/>
      <c r="L86" s="4"/>
      <c r="M86" s="4"/>
      <c r="N86" s="4"/>
    </row>
    <row r="87" spans="1:14">
      <c r="A87" s="4"/>
      <c r="B87" s="4"/>
      <c r="C87" s="4"/>
      <c r="D87" s="4"/>
      <c r="E87" s="4"/>
      <c r="F87" s="4"/>
      <c r="H87" s="4"/>
      <c r="I87" s="6"/>
      <c r="J87" s="4"/>
      <c r="K87" s="4"/>
      <c r="L87" s="4"/>
      <c r="M87" s="4"/>
      <c r="N87" s="4"/>
    </row>
    <row r="88" spans="1:14">
      <c r="A88" s="4"/>
      <c r="B88" s="4"/>
      <c r="C88" s="4"/>
      <c r="D88" s="4"/>
      <c r="E88" s="4"/>
      <c r="F88" s="4"/>
      <c r="H88" s="4"/>
      <c r="I88" s="6"/>
      <c r="J88" s="4"/>
      <c r="K88" s="4"/>
      <c r="L88" s="4"/>
      <c r="M88" s="4"/>
      <c r="N88" s="4"/>
    </row>
    <row r="89" spans="1:14">
      <c r="A89" s="4"/>
      <c r="B89" s="4"/>
      <c r="C89" s="4"/>
      <c r="D89" s="4"/>
      <c r="E89" s="4"/>
      <c r="F89" s="4"/>
      <c r="H89" s="4"/>
      <c r="I89" s="6"/>
      <c r="J89" s="4"/>
      <c r="K89" s="4"/>
      <c r="L89" s="4"/>
      <c r="M89" s="4"/>
      <c r="N89" s="4"/>
    </row>
    <row r="90" spans="1:14">
      <c r="A90" s="4"/>
      <c r="B90" s="4"/>
      <c r="C90" s="4"/>
      <c r="D90" s="4"/>
      <c r="E90" s="4"/>
      <c r="F90" s="4"/>
      <c r="H90" s="4"/>
      <c r="I90" s="6"/>
      <c r="J90" s="4"/>
      <c r="K90" s="4"/>
      <c r="L90" s="4"/>
      <c r="M90" s="4"/>
      <c r="N90" s="4"/>
    </row>
    <row r="91" spans="1:14">
      <c r="A91" s="4"/>
      <c r="B91" s="4"/>
      <c r="C91" s="4"/>
      <c r="D91" s="4"/>
      <c r="E91" s="4"/>
      <c r="F91" s="4"/>
      <c r="H91" s="4"/>
      <c r="I91" s="6"/>
      <c r="J91" s="4"/>
      <c r="K91" s="4"/>
      <c r="L91" s="4"/>
      <c r="M91" s="4"/>
      <c r="N91" s="4"/>
    </row>
    <row r="92" spans="1:14">
      <c r="A92" s="4"/>
      <c r="B92" s="4"/>
      <c r="C92" s="4"/>
      <c r="D92" s="4"/>
      <c r="E92" s="4"/>
      <c r="F92" s="4"/>
      <c r="H92" s="4"/>
      <c r="I92" s="6"/>
      <c r="J92" s="4"/>
      <c r="K92" s="4"/>
      <c r="L92" s="4"/>
      <c r="M92" s="4"/>
      <c r="N92" s="4"/>
    </row>
    <row r="93" spans="1:14">
      <c r="A93" s="4"/>
      <c r="B93" s="4"/>
      <c r="C93" s="4"/>
      <c r="D93" s="4"/>
      <c r="E93" s="4"/>
      <c r="F93" s="4"/>
      <c r="H93" s="4"/>
      <c r="I93" s="6"/>
      <c r="J93" s="4"/>
      <c r="K93" s="4"/>
      <c r="L93" s="4"/>
      <c r="M93" s="4"/>
      <c r="N93" s="4"/>
    </row>
    <row r="94" spans="1:14">
      <c r="A94" s="4"/>
      <c r="B94" s="4"/>
      <c r="C94" s="4"/>
      <c r="D94" s="4"/>
      <c r="E94" s="4"/>
      <c r="F94" s="4"/>
      <c r="H94" s="4"/>
      <c r="I94" s="6"/>
      <c r="J94" s="4"/>
      <c r="K94" s="4"/>
      <c r="L94" s="4"/>
      <c r="M94" s="4"/>
      <c r="N94" s="4"/>
    </row>
    <row r="95" spans="1:14">
      <c r="A95" s="4"/>
      <c r="B95" s="4"/>
      <c r="C95" s="4"/>
      <c r="D95" s="4"/>
      <c r="E95" s="4"/>
      <c r="F95" s="4"/>
      <c r="H95" s="4"/>
      <c r="I95" s="6"/>
      <c r="J95" s="4"/>
      <c r="K95" s="4"/>
      <c r="L95" s="4"/>
      <c r="M95" s="4"/>
      <c r="N95" s="4"/>
    </row>
    <row r="96" spans="1:14">
      <c r="A96" s="4"/>
      <c r="B96" s="4"/>
      <c r="C96" s="4"/>
      <c r="D96" s="4"/>
      <c r="E96" s="4"/>
      <c r="F96" s="4"/>
      <c r="H96" s="4"/>
      <c r="I96" s="6"/>
      <c r="J96" s="4"/>
      <c r="K96" s="4"/>
      <c r="L96" s="4"/>
      <c r="M96" s="4"/>
      <c r="N96" s="4"/>
    </row>
    <row r="97" spans="1:14">
      <c r="A97" s="4"/>
      <c r="B97" s="4"/>
      <c r="C97" s="4"/>
      <c r="D97" s="4"/>
      <c r="E97" s="4"/>
      <c r="F97" s="4"/>
      <c r="H97" s="4"/>
      <c r="I97" s="6"/>
      <c r="J97" s="4"/>
      <c r="K97" s="4"/>
      <c r="L97" s="4"/>
      <c r="M97" s="4"/>
      <c r="N97" s="4"/>
    </row>
    <row r="98" spans="1:14">
      <c r="A98" s="4"/>
      <c r="B98" s="4"/>
      <c r="C98" s="4"/>
      <c r="D98" s="4"/>
      <c r="E98" s="4"/>
      <c r="F98" s="4"/>
      <c r="H98" s="4"/>
      <c r="I98" s="6"/>
      <c r="J98" s="4"/>
      <c r="K98" s="4"/>
      <c r="L98" s="4"/>
      <c r="M98" s="4"/>
      <c r="N98" s="4"/>
    </row>
    <row r="99" spans="1:14">
      <c r="A99" s="4"/>
      <c r="B99" s="4"/>
      <c r="C99" s="4"/>
      <c r="D99" s="4"/>
      <c r="E99" s="4"/>
      <c r="F99" s="4"/>
      <c r="H99" s="4"/>
      <c r="I99" s="6"/>
      <c r="J99" s="4"/>
      <c r="K99" s="4"/>
      <c r="L99" s="4"/>
      <c r="M99" s="4"/>
      <c r="N99" s="4"/>
    </row>
    <row r="100" spans="1:14">
      <c r="A100" s="4"/>
      <c r="B100" s="4"/>
      <c r="C100" s="4"/>
      <c r="D100" s="4"/>
      <c r="E100" s="4"/>
      <c r="F100" s="4"/>
      <c r="H100" s="4"/>
      <c r="I100" s="6"/>
      <c r="J100" s="4"/>
      <c r="K100" s="4"/>
      <c r="L100" s="4"/>
      <c r="M100" s="4"/>
      <c r="N100" s="4"/>
    </row>
    <row r="101" spans="1:14">
      <c r="A101" s="4"/>
      <c r="B101" s="4"/>
      <c r="C101" s="4"/>
      <c r="D101" s="4"/>
      <c r="E101" s="4"/>
      <c r="F101" s="4"/>
      <c r="H101" s="4"/>
      <c r="I101" s="6"/>
      <c r="J101" s="4"/>
      <c r="K101" s="4"/>
      <c r="L101" s="4"/>
      <c r="M101" s="4"/>
      <c r="N101" s="4"/>
    </row>
    <row r="102" spans="1:14">
      <c r="A102" s="4"/>
      <c r="B102" s="4"/>
      <c r="C102" s="4"/>
      <c r="D102" s="4"/>
      <c r="E102" s="4"/>
      <c r="F102" s="4"/>
      <c r="H102" s="4"/>
      <c r="I102" s="6"/>
      <c r="J102" s="4"/>
      <c r="K102" s="4"/>
      <c r="L102" s="4"/>
      <c r="M102" s="4"/>
      <c r="N102" s="4"/>
    </row>
    <row r="103" spans="1:14">
      <c r="A103" s="4"/>
      <c r="B103" s="4"/>
      <c r="C103" s="4"/>
      <c r="D103" s="4"/>
      <c r="E103" s="4"/>
      <c r="F103" s="4"/>
      <c r="H103" s="4"/>
      <c r="I103" s="6"/>
      <c r="J103" s="4"/>
      <c r="K103" s="4"/>
      <c r="L103" s="4"/>
      <c r="M103" s="4"/>
      <c r="N103" s="4"/>
    </row>
    <row r="104" spans="1:14">
      <c r="A104" s="4"/>
      <c r="B104" s="4"/>
      <c r="C104" s="4"/>
      <c r="D104" s="4"/>
      <c r="E104" s="4"/>
      <c r="F104" s="4"/>
      <c r="H104" s="4"/>
      <c r="I104" s="6"/>
      <c r="J104" s="4"/>
      <c r="K104" s="4"/>
      <c r="L104" s="4"/>
      <c r="M104" s="4"/>
      <c r="N104" s="4"/>
    </row>
    <row r="105" spans="1:14">
      <c r="A105" s="4"/>
      <c r="B105" s="4"/>
      <c r="C105" s="4"/>
      <c r="D105" s="4"/>
      <c r="E105" s="4"/>
      <c r="F105" s="4"/>
      <c r="H105" s="4"/>
      <c r="I105" s="6"/>
      <c r="J105" s="4"/>
      <c r="K105" s="4"/>
      <c r="L105" s="4"/>
      <c r="M105" s="4"/>
      <c r="N105" s="4"/>
    </row>
    <row r="106" spans="1:14">
      <c r="A106" s="4"/>
      <c r="B106" s="4"/>
      <c r="C106" s="4"/>
      <c r="D106" s="4"/>
      <c r="E106" s="4"/>
      <c r="F106" s="4"/>
      <c r="H106" s="4"/>
      <c r="I106" s="6"/>
      <c r="J106" s="4"/>
      <c r="K106" s="4"/>
      <c r="L106" s="4"/>
      <c r="M106" s="4"/>
      <c r="N106" s="4"/>
    </row>
    <row r="107" spans="1:14">
      <c r="A107" s="4"/>
      <c r="B107" s="4"/>
      <c r="C107" s="4"/>
      <c r="D107" s="4"/>
      <c r="E107" s="4"/>
      <c r="F107" s="4"/>
      <c r="H107" s="4"/>
      <c r="I107" s="6"/>
      <c r="J107" s="4"/>
      <c r="K107" s="4"/>
      <c r="L107" s="4"/>
      <c r="M107" s="4"/>
      <c r="N107" s="4"/>
    </row>
    <row r="108" spans="1:14">
      <c r="A108" s="4"/>
      <c r="B108" s="4"/>
      <c r="C108" s="4"/>
      <c r="D108" s="4"/>
      <c r="E108" s="4"/>
      <c r="F108" s="4"/>
      <c r="H108" s="4"/>
      <c r="I108" s="6"/>
      <c r="J108" s="4"/>
      <c r="K108" s="4"/>
      <c r="L108" s="4"/>
      <c r="M108" s="4"/>
      <c r="N108" s="4"/>
    </row>
    <row r="109" spans="1:14">
      <c r="A109" s="4"/>
      <c r="B109" s="4"/>
      <c r="C109" s="4"/>
      <c r="D109" s="4"/>
      <c r="E109" s="4"/>
      <c r="F109" s="4"/>
      <c r="H109" s="4"/>
      <c r="I109" s="6"/>
      <c r="J109" s="4"/>
      <c r="K109" s="4"/>
      <c r="L109" s="4"/>
      <c r="M109" s="4"/>
      <c r="N109" s="4"/>
    </row>
    <row r="110" spans="1:14">
      <c r="A110" s="4"/>
      <c r="B110" s="4"/>
      <c r="C110" s="4"/>
      <c r="D110" s="4"/>
      <c r="E110" s="4"/>
      <c r="F110" s="4"/>
      <c r="H110" s="4"/>
      <c r="I110" s="6"/>
      <c r="J110" s="4"/>
      <c r="K110" s="4"/>
      <c r="L110" s="4"/>
      <c r="M110" s="4"/>
      <c r="N110" s="4"/>
    </row>
    <row r="111" spans="1:14">
      <c r="A111" s="4"/>
      <c r="B111" s="4"/>
      <c r="C111" s="4"/>
      <c r="D111" s="4"/>
      <c r="E111" s="4"/>
      <c r="F111" s="4"/>
      <c r="H111" s="4"/>
      <c r="I111" s="6"/>
      <c r="J111" s="4"/>
      <c r="K111" s="4"/>
      <c r="L111" s="4"/>
      <c r="M111" s="4"/>
      <c r="N111" s="4"/>
    </row>
    <row r="112" spans="1:14">
      <c r="A112" s="4"/>
      <c r="B112" s="4"/>
      <c r="C112" s="4"/>
      <c r="D112" s="4"/>
      <c r="E112" s="4"/>
      <c r="F112" s="4"/>
      <c r="H112" s="4"/>
      <c r="I112" s="6"/>
      <c r="J112" s="4"/>
      <c r="K112" s="4"/>
      <c r="L112" s="4"/>
      <c r="M112" s="4"/>
      <c r="N112" s="4"/>
    </row>
    <row r="113" spans="1:14">
      <c r="A113" s="4"/>
      <c r="B113" s="4"/>
      <c r="C113" s="4"/>
      <c r="D113" s="4"/>
      <c r="E113" s="4"/>
      <c r="F113" s="4"/>
      <c r="H113" s="4"/>
      <c r="I113" s="6"/>
      <c r="J113" s="4"/>
      <c r="K113" s="4"/>
      <c r="L113" s="4"/>
      <c r="M113" s="4"/>
      <c r="N113" s="4"/>
    </row>
    <row r="114" spans="1:14">
      <c r="A114" s="4"/>
      <c r="B114" s="4"/>
      <c r="C114" s="4"/>
      <c r="D114" s="4"/>
      <c r="E114" s="4"/>
      <c r="F114" s="4"/>
      <c r="H114" s="4"/>
      <c r="I114" s="6"/>
      <c r="J114" s="4"/>
      <c r="K114" s="4"/>
      <c r="L114" s="4"/>
      <c r="M114" s="4"/>
      <c r="N114" s="4"/>
    </row>
    <row r="115" spans="1:14">
      <c r="A115" s="4"/>
      <c r="B115" s="4"/>
      <c r="C115" s="4"/>
      <c r="D115" s="4"/>
      <c r="E115" s="4"/>
      <c r="F115" s="4"/>
      <c r="H115" s="4"/>
      <c r="I115" s="6"/>
      <c r="J115" s="4"/>
      <c r="K115" s="4"/>
      <c r="L115" s="4"/>
      <c r="M115" s="4"/>
      <c r="N115" s="4"/>
    </row>
    <row r="116" spans="1:14">
      <c r="A116" s="4"/>
      <c r="B116" s="4"/>
      <c r="C116" s="4"/>
      <c r="D116" s="4"/>
      <c r="E116" s="4"/>
      <c r="F116" s="4"/>
      <c r="H116" s="4"/>
      <c r="I116" s="6"/>
      <c r="J116" s="4"/>
      <c r="K116" s="4"/>
      <c r="L116" s="4"/>
      <c r="M116" s="4"/>
      <c r="N116" s="4"/>
    </row>
    <row r="117" spans="1:14">
      <c r="A117" s="4"/>
      <c r="B117" s="4"/>
      <c r="C117" s="4"/>
      <c r="D117" s="4"/>
      <c r="E117" s="4"/>
      <c r="F117" s="4"/>
      <c r="H117" s="4"/>
      <c r="I117" s="6"/>
      <c r="J117" s="4"/>
      <c r="K117" s="4"/>
      <c r="L117" s="4"/>
      <c r="M117" s="4"/>
      <c r="N117" s="4"/>
    </row>
    <row r="118" spans="1:14">
      <c r="A118" s="4"/>
      <c r="B118" s="4"/>
      <c r="C118" s="4"/>
      <c r="D118" s="4"/>
      <c r="E118" s="4"/>
      <c r="F118" s="4"/>
      <c r="H118" s="4"/>
      <c r="I118" s="6"/>
      <c r="J118" s="4"/>
      <c r="K118" s="4"/>
      <c r="L118" s="4"/>
      <c r="M118" s="4"/>
      <c r="N118" s="4"/>
    </row>
    <row r="119" spans="1:14">
      <c r="A119" s="4"/>
      <c r="B119" s="4"/>
      <c r="C119" s="4"/>
      <c r="D119" s="4"/>
      <c r="E119" s="4"/>
      <c r="F119" s="4"/>
      <c r="H119" s="4"/>
      <c r="I119" s="6"/>
      <c r="J119" s="4"/>
      <c r="K119" s="4"/>
      <c r="L119" s="4"/>
      <c r="M119" s="4"/>
      <c r="N119" s="4"/>
    </row>
    <row r="120" spans="1:14">
      <c r="A120" s="4"/>
      <c r="B120" s="4"/>
      <c r="C120" s="4"/>
      <c r="D120" s="4"/>
      <c r="E120" s="4"/>
      <c r="F120" s="4"/>
      <c r="H120" s="4"/>
      <c r="I120" s="6"/>
      <c r="J120" s="4"/>
      <c r="K120" s="4"/>
      <c r="L120" s="4"/>
      <c r="M120" s="4"/>
      <c r="N120" s="4"/>
    </row>
    <row r="121" spans="1:14">
      <c r="A121" s="4"/>
      <c r="B121" s="4"/>
      <c r="C121" s="4"/>
      <c r="D121" s="4"/>
      <c r="E121" s="4"/>
      <c r="F121" s="4"/>
      <c r="H121" s="4"/>
      <c r="I121" s="6"/>
      <c r="J121" s="4"/>
      <c r="K121" s="4"/>
      <c r="L121" s="4"/>
      <c r="M121" s="4"/>
      <c r="N121" s="4"/>
    </row>
    <row r="122" spans="1:14">
      <c r="A122" s="4"/>
      <c r="B122" s="4"/>
      <c r="C122" s="4"/>
      <c r="D122" s="4"/>
      <c r="E122" s="4"/>
      <c r="F122" s="4"/>
      <c r="H122" s="4"/>
      <c r="I122" s="6"/>
      <c r="J122" s="4"/>
      <c r="K122" s="4"/>
      <c r="L122" s="4"/>
      <c r="M122" s="4"/>
      <c r="N122" s="4"/>
    </row>
    <row r="123" spans="1:14">
      <c r="A123" s="4"/>
      <c r="B123" s="4"/>
      <c r="C123" s="4"/>
      <c r="D123" s="4"/>
      <c r="E123" s="4"/>
      <c r="F123" s="4"/>
      <c r="H123" s="4"/>
      <c r="I123" s="6"/>
      <c r="J123" s="4"/>
      <c r="K123" s="4"/>
      <c r="L123" s="4"/>
      <c r="M123" s="4"/>
      <c r="N123" s="4"/>
    </row>
    <row r="124" spans="1:14">
      <c r="A124" s="4"/>
      <c r="B124" s="4"/>
      <c r="C124" s="4"/>
      <c r="D124" s="4"/>
      <c r="E124" s="4"/>
      <c r="F124" s="4"/>
      <c r="H124" s="4"/>
      <c r="I124" s="6"/>
      <c r="J124" s="4"/>
      <c r="K124" s="4"/>
      <c r="L124" s="4"/>
      <c r="M124" s="4"/>
      <c r="N124" s="4"/>
    </row>
    <row r="125" spans="1:14">
      <c r="A125" s="4"/>
      <c r="B125" s="4"/>
      <c r="C125" s="4"/>
      <c r="D125" s="4"/>
      <c r="E125" s="4"/>
      <c r="F125" s="4"/>
      <c r="H125" s="4"/>
      <c r="I125" s="6"/>
      <c r="J125" s="4"/>
      <c r="K125" s="4"/>
      <c r="L125" s="4"/>
      <c r="M125" s="4"/>
      <c r="N125" s="4"/>
    </row>
    <row r="126" spans="1:14">
      <c r="A126" s="4"/>
      <c r="B126" s="4"/>
      <c r="C126" s="4"/>
      <c r="D126" s="4"/>
      <c r="E126" s="4"/>
      <c r="F126" s="4"/>
      <c r="H126" s="4"/>
      <c r="I126" s="6"/>
      <c r="J126" s="4"/>
      <c r="K126" s="4"/>
      <c r="L126" s="4"/>
      <c r="M126" s="4"/>
      <c r="N126" s="4"/>
    </row>
    <row r="127" spans="1:14">
      <c r="A127" s="4"/>
      <c r="B127" s="4"/>
      <c r="C127" s="4"/>
      <c r="D127" s="4"/>
      <c r="E127" s="4"/>
      <c r="F127" s="4"/>
      <c r="H127" s="4"/>
      <c r="I127" s="6"/>
      <c r="J127" s="4"/>
      <c r="K127" s="4"/>
      <c r="L127" s="4"/>
      <c r="M127" s="4"/>
      <c r="N127" s="4"/>
    </row>
    <row r="128" spans="1:14">
      <c r="A128" s="4"/>
      <c r="B128" s="4"/>
      <c r="C128" s="4"/>
      <c r="D128" s="4"/>
      <c r="E128" s="4"/>
      <c r="F128" s="4"/>
      <c r="H128" s="4"/>
      <c r="I128" s="6"/>
      <c r="J128" s="4"/>
      <c r="K128" s="4"/>
      <c r="L128" s="4"/>
      <c r="M128" s="4"/>
      <c r="N128" s="4"/>
    </row>
    <row r="129" spans="1:14">
      <c r="A129" s="4"/>
      <c r="B129" s="4"/>
      <c r="C129" s="4"/>
      <c r="D129" s="4"/>
      <c r="E129" s="4"/>
      <c r="F129" s="4"/>
      <c r="H129" s="4"/>
      <c r="I129" s="6"/>
      <c r="J129" s="4"/>
      <c r="K129" s="4"/>
      <c r="L129" s="4"/>
      <c r="M129" s="4"/>
      <c r="N129" s="4"/>
    </row>
    <row r="130" spans="1:14">
      <c r="A130" s="4"/>
      <c r="B130" s="4"/>
      <c r="C130" s="4"/>
      <c r="D130" s="4"/>
      <c r="E130" s="4"/>
      <c r="F130" s="4"/>
      <c r="H130" s="4"/>
      <c r="I130" s="6"/>
      <c r="J130" s="4"/>
      <c r="K130" s="4"/>
      <c r="L130" s="4"/>
      <c r="M130" s="4"/>
      <c r="N130" s="4"/>
    </row>
    <row r="131" spans="1:14">
      <c r="A131" s="4"/>
      <c r="B131" s="4"/>
      <c r="C131" s="4"/>
      <c r="D131" s="4"/>
      <c r="E131" s="4"/>
      <c r="F131" s="4"/>
      <c r="H131" s="4"/>
      <c r="I131" s="6"/>
      <c r="J131" s="4"/>
      <c r="K131" s="4"/>
      <c r="L131" s="4"/>
      <c r="M131" s="4"/>
      <c r="N131" s="4"/>
    </row>
    <row r="132" spans="1:14">
      <c r="A132" s="4"/>
      <c r="B132" s="4"/>
      <c r="C132" s="4"/>
      <c r="D132" s="4"/>
      <c r="E132" s="4"/>
      <c r="F132" s="4"/>
      <c r="H132" s="4"/>
      <c r="I132" s="6"/>
      <c r="J132" s="4"/>
      <c r="K132" s="4"/>
      <c r="L132" s="4"/>
      <c r="M132" s="4"/>
      <c r="N132" s="4"/>
    </row>
    <row r="133" spans="1:14">
      <c r="A133" s="4"/>
      <c r="B133" s="4"/>
      <c r="C133" s="4"/>
      <c r="D133" s="4"/>
      <c r="E133" s="4"/>
      <c r="F133" s="4"/>
      <c r="H133" s="4"/>
      <c r="I133" s="6"/>
      <c r="J133" s="4"/>
      <c r="K133" s="4"/>
      <c r="L133" s="4"/>
      <c r="M133" s="4"/>
      <c r="N133" s="4"/>
    </row>
    <row r="134" spans="1:14">
      <c r="A134" s="4"/>
      <c r="B134" s="4"/>
      <c r="C134" s="4"/>
      <c r="D134" s="4"/>
      <c r="E134" s="4"/>
      <c r="F134" s="4"/>
      <c r="H134" s="4"/>
      <c r="I134" s="6"/>
      <c r="J134" s="4"/>
      <c r="K134" s="4"/>
      <c r="L134" s="4"/>
      <c r="M134" s="4"/>
      <c r="N134" s="4"/>
    </row>
    <row r="135" spans="1:14">
      <c r="A135" s="4"/>
      <c r="B135" s="4"/>
      <c r="C135" s="4"/>
      <c r="D135" s="4"/>
      <c r="E135" s="4"/>
      <c r="F135" s="4"/>
      <c r="H135" s="4"/>
      <c r="I135" s="6"/>
      <c r="J135" s="4"/>
      <c r="K135" s="4"/>
      <c r="L135" s="4"/>
      <c r="M135" s="4"/>
      <c r="N135" s="4"/>
    </row>
    <row r="136" spans="1:14">
      <c r="A136" s="4"/>
      <c r="B136" s="4"/>
      <c r="C136" s="4"/>
      <c r="D136" s="4"/>
      <c r="E136" s="4"/>
      <c r="F136" s="4"/>
      <c r="H136" s="4"/>
      <c r="I136" s="6"/>
      <c r="J136" s="4"/>
      <c r="K136" s="4"/>
      <c r="L136" s="4"/>
      <c r="M136" s="4"/>
      <c r="N136" s="4"/>
    </row>
    <row r="137" spans="1:14">
      <c r="A137" s="4"/>
      <c r="B137" s="4"/>
      <c r="C137" s="4"/>
      <c r="D137" s="4"/>
      <c r="E137" s="4"/>
      <c r="F137" s="4"/>
      <c r="H137" s="4"/>
      <c r="I137" s="6"/>
      <c r="J137" s="4"/>
      <c r="K137" s="4"/>
      <c r="L137" s="4"/>
      <c r="M137" s="4"/>
      <c r="N137" s="4"/>
    </row>
    <row r="138" spans="1:14">
      <c r="A138" s="4"/>
      <c r="B138" s="4"/>
      <c r="C138" s="4"/>
      <c r="D138" s="4"/>
      <c r="E138" s="4"/>
      <c r="F138" s="4"/>
      <c r="H138" s="4"/>
      <c r="I138" s="6"/>
      <c r="J138" s="4"/>
      <c r="K138" s="4"/>
      <c r="L138" s="4"/>
      <c r="M138" s="4"/>
      <c r="N138" s="4"/>
    </row>
    <row r="139" spans="1:14">
      <c r="A139" s="4"/>
      <c r="B139" s="4"/>
      <c r="C139" s="4"/>
      <c r="D139" s="4"/>
      <c r="E139" s="4"/>
      <c r="F139" s="4"/>
      <c r="H139" s="4"/>
      <c r="I139" s="6"/>
      <c r="J139" s="4"/>
      <c r="K139" s="4"/>
      <c r="L139" s="4"/>
      <c r="M139" s="4"/>
      <c r="N139" s="4"/>
    </row>
    <row r="140" spans="1:14">
      <c r="A140" s="4"/>
      <c r="B140" s="4"/>
      <c r="C140" s="4"/>
      <c r="D140" s="4"/>
      <c r="E140" s="4"/>
      <c r="F140" s="4"/>
      <c r="H140" s="4"/>
      <c r="I140" s="6"/>
      <c r="J140" s="4"/>
      <c r="K140" s="4"/>
      <c r="L140" s="4"/>
      <c r="M140" s="4"/>
      <c r="N140" s="4"/>
    </row>
    <row r="141" spans="1:14">
      <c r="A141" s="4"/>
      <c r="B141" s="4"/>
      <c r="C141" s="4"/>
      <c r="D141" s="4"/>
      <c r="E141" s="4"/>
      <c r="F141" s="4"/>
      <c r="H141" s="4"/>
      <c r="I141" s="6"/>
      <c r="J141" s="4"/>
      <c r="K141" s="4"/>
      <c r="L141" s="4"/>
      <c r="M141" s="4"/>
      <c r="N141" s="4"/>
    </row>
    <row r="142" spans="1:14">
      <c r="A142" s="4"/>
      <c r="B142" s="4"/>
      <c r="C142" s="4"/>
      <c r="D142" s="4"/>
      <c r="E142" s="4"/>
      <c r="F142" s="4"/>
      <c r="H142" s="4"/>
      <c r="I142" s="6"/>
      <c r="J142" s="4"/>
      <c r="K142" s="4"/>
      <c r="L142" s="4"/>
      <c r="M142" s="4"/>
      <c r="N142" s="4"/>
    </row>
    <row r="143" spans="1:14">
      <c r="A143" s="4"/>
      <c r="B143" s="4"/>
      <c r="C143" s="4"/>
      <c r="D143" s="4"/>
      <c r="E143" s="4"/>
      <c r="F143" s="4"/>
      <c r="H143" s="4"/>
      <c r="I143" s="6"/>
      <c r="J143" s="4"/>
      <c r="K143" s="4"/>
      <c r="L143" s="4"/>
      <c r="M143" s="4"/>
      <c r="N143" s="4"/>
    </row>
    <row r="144" spans="1:14">
      <c r="A144" s="4"/>
      <c r="B144" s="4"/>
      <c r="C144" s="4"/>
      <c r="D144" s="4"/>
      <c r="E144" s="4"/>
      <c r="F144" s="4"/>
      <c r="H144" s="4"/>
      <c r="I144" s="6"/>
      <c r="J144" s="4"/>
      <c r="K144" s="4"/>
      <c r="L144" s="4"/>
      <c r="M144" s="4"/>
      <c r="N144" s="4"/>
    </row>
    <row r="145" spans="1:14">
      <c r="A145" s="4"/>
      <c r="B145" s="4"/>
      <c r="C145" s="4"/>
      <c r="D145" s="4"/>
      <c r="E145" s="4"/>
      <c r="F145" s="4"/>
      <c r="H145" s="4"/>
      <c r="I145" s="6"/>
      <c r="J145" s="4"/>
      <c r="K145" s="4"/>
      <c r="L145" s="4"/>
      <c r="M145" s="4"/>
      <c r="N145" s="4"/>
    </row>
    <row r="146" spans="1:14">
      <c r="A146" s="4"/>
      <c r="B146" s="4"/>
      <c r="C146" s="4"/>
      <c r="D146" s="4"/>
      <c r="E146" s="4"/>
      <c r="F146" s="4"/>
      <c r="H146" s="4"/>
      <c r="I146" s="6"/>
      <c r="J146" s="4"/>
      <c r="K146" s="4"/>
      <c r="L146" s="4"/>
      <c r="M146" s="4"/>
      <c r="N146" s="4"/>
    </row>
    <row r="147" spans="1:14">
      <c r="A147" s="4"/>
      <c r="B147" s="4"/>
      <c r="C147" s="4"/>
      <c r="D147" s="4"/>
      <c r="E147" s="4"/>
      <c r="F147" s="4"/>
      <c r="H147" s="4"/>
      <c r="I147" s="6"/>
      <c r="J147" s="4"/>
      <c r="K147" s="4"/>
      <c r="L147" s="4"/>
      <c r="M147" s="4"/>
      <c r="N147" s="4"/>
    </row>
    <row r="148" spans="1:14">
      <c r="A148" s="4"/>
      <c r="B148" s="4"/>
      <c r="C148" s="4"/>
      <c r="D148" s="4"/>
      <c r="E148" s="4"/>
      <c r="F148" s="4"/>
      <c r="H148" s="4"/>
      <c r="I148" s="6"/>
      <c r="J148" s="4"/>
      <c r="K148" s="4"/>
      <c r="L148" s="4"/>
      <c r="M148" s="4"/>
      <c r="N148" s="4"/>
    </row>
    <row r="149" spans="1:14">
      <c r="A149" s="4"/>
      <c r="B149" s="4"/>
      <c r="C149" s="4"/>
      <c r="D149" s="4"/>
      <c r="E149" s="4"/>
      <c r="F149" s="4"/>
      <c r="H149" s="4"/>
      <c r="I149" s="6"/>
      <c r="J149" s="4"/>
      <c r="K149" s="4"/>
      <c r="L149" s="4"/>
      <c r="M149" s="4"/>
      <c r="N149" s="4"/>
    </row>
    <row r="150" spans="1:14">
      <c r="A150" s="4"/>
      <c r="B150" s="4"/>
      <c r="C150" s="4"/>
      <c r="D150" s="4"/>
      <c r="E150" s="4"/>
      <c r="F150" s="4"/>
      <c r="H150" s="4"/>
      <c r="I150" s="6"/>
      <c r="J150" s="4"/>
      <c r="K150" s="4"/>
      <c r="L150" s="4"/>
      <c r="M150" s="4"/>
      <c r="N150" s="4"/>
    </row>
    <row r="151" spans="1:14">
      <c r="A151" s="4"/>
      <c r="B151" s="4"/>
      <c r="C151" s="4"/>
      <c r="D151" s="4"/>
      <c r="E151" s="4"/>
      <c r="F151" s="4"/>
      <c r="H151" s="4"/>
      <c r="I151" s="6"/>
      <c r="J151" s="4"/>
      <c r="K151" s="4"/>
      <c r="L151" s="4"/>
      <c r="M151" s="4"/>
      <c r="N151" s="4"/>
    </row>
    <row r="152" spans="1:14">
      <c r="A152" s="4"/>
      <c r="B152" s="4"/>
      <c r="C152" s="4"/>
      <c r="D152" s="4"/>
      <c r="E152" s="4"/>
      <c r="F152" s="4"/>
      <c r="H152" s="4"/>
      <c r="I152" s="6"/>
      <c r="J152" s="4"/>
      <c r="K152" s="4"/>
      <c r="L152" s="4"/>
      <c r="M152" s="4"/>
      <c r="N152" s="4"/>
    </row>
    <row r="153" spans="1:14">
      <c r="A153" s="4"/>
      <c r="B153" s="4"/>
      <c r="C153" s="4"/>
      <c r="D153" s="4"/>
      <c r="E153" s="4"/>
      <c r="F153" s="4"/>
      <c r="H153" s="4"/>
      <c r="I153" s="6"/>
      <c r="J153" s="4"/>
      <c r="K153" s="4"/>
      <c r="L153" s="4"/>
      <c r="M153" s="4"/>
      <c r="N153" s="4"/>
    </row>
    <row r="154" spans="1:14">
      <c r="A154" s="4"/>
      <c r="B154" s="4"/>
      <c r="C154" s="4"/>
      <c r="D154" s="4"/>
      <c r="E154" s="4"/>
      <c r="F154" s="4"/>
      <c r="H154" s="4"/>
      <c r="I154" s="6"/>
      <c r="J154" s="4"/>
      <c r="K154" s="4"/>
      <c r="L154" s="4"/>
      <c r="M154" s="4"/>
      <c r="N154" s="4"/>
    </row>
    <row r="155" spans="1:14">
      <c r="A155" s="4"/>
      <c r="B155" s="4"/>
      <c r="C155" s="4"/>
      <c r="D155" s="4"/>
      <c r="E155" s="4"/>
      <c r="F155" s="4"/>
      <c r="H155" s="4"/>
      <c r="I155" s="6"/>
      <c r="J155" s="4"/>
      <c r="K155" s="4"/>
      <c r="L155" s="4"/>
      <c r="M155" s="4"/>
      <c r="N155" s="4"/>
    </row>
    <row r="156" spans="1:14">
      <c r="A156" s="4"/>
      <c r="B156" s="4"/>
      <c r="C156" s="4"/>
      <c r="D156" s="4"/>
      <c r="E156" s="4"/>
      <c r="F156" s="4"/>
      <c r="H156" s="4"/>
      <c r="I156" s="6"/>
      <c r="J156" s="4"/>
      <c r="K156" s="4"/>
      <c r="L156" s="4"/>
      <c r="M156" s="4"/>
      <c r="N156" s="4"/>
    </row>
    <row r="157" spans="1:14">
      <c r="A157" s="4"/>
      <c r="B157" s="4"/>
      <c r="C157" s="4"/>
      <c r="D157" s="4"/>
      <c r="E157" s="4"/>
      <c r="F157" s="4"/>
      <c r="H157" s="4"/>
      <c r="I157" s="6"/>
      <c r="J157" s="4"/>
      <c r="K157" s="4"/>
      <c r="L157" s="4"/>
      <c r="M157" s="4"/>
      <c r="N157" s="4"/>
    </row>
    <row r="158" spans="1:14">
      <c r="A158" s="4"/>
      <c r="B158" s="4"/>
      <c r="C158" s="4"/>
      <c r="D158" s="4"/>
      <c r="E158" s="4"/>
      <c r="F158" s="4"/>
      <c r="H158" s="4"/>
      <c r="I158" s="6"/>
      <c r="J158" s="4"/>
      <c r="K158" s="4"/>
      <c r="L158" s="4"/>
      <c r="M158" s="4"/>
      <c r="N158" s="4"/>
    </row>
    <row r="159" spans="1:14">
      <c r="A159" s="4"/>
      <c r="B159" s="4"/>
      <c r="C159" s="4"/>
      <c r="D159" s="4"/>
      <c r="E159" s="4"/>
      <c r="F159" s="4"/>
      <c r="H159" s="4"/>
      <c r="I159" s="6"/>
      <c r="J159" s="4"/>
      <c r="K159" s="4"/>
      <c r="L159" s="4"/>
      <c r="M159" s="4"/>
      <c r="N159" s="4"/>
    </row>
    <row r="160" spans="1:14">
      <c r="A160" s="4"/>
      <c r="B160" s="4"/>
      <c r="C160" s="4"/>
      <c r="D160" s="4"/>
      <c r="E160" s="4"/>
      <c r="F160" s="4"/>
      <c r="H160" s="4"/>
      <c r="I160" s="6"/>
      <c r="J160" s="4"/>
      <c r="K160" s="4"/>
      <c r="L160" s="4"/>
      <c r="M160" s="4"/>
      <c r="N160" s="4"/>
    </row>
    <row r="161" spans="1:14">
      <c r="A161" s="4"/>
      <c r="B161" s="4"/>
      <c r="C161" s="4"/>
      <c r="D161" s="4"/>
      <c r="E161" s="4"/>
      <c r="F161" s="4"/>
      <c r="H161" s="4"/>
      <c r="I161" s="6"/>
      <c r="J161" s="4"/>
      <c r="K161" s="4"/>
      <c r="L161" s="4"/>
      <c r="M161" s="4"/>
      <c r="N161" s="4"/>
    </row>
    <row r="162" spans="1:14">
      <c r="A162" s="4"/>
      <c r="B162" s="4"/>
      <c r="C162" s="4"/>
      <c r="D162" s="4"/>
      <c r="E162" s="4"/>
      <c r="F162" s="4"/>
      <c r="H162" s="4"/>
      <c r="I162" s="6"/>
      <c r="J162" s="4"/>
      <c r="K162" s="4"/>
      <c r="L162" s="4"/>
      <c r="M162" s="4"/>
      <c r="N162" s="4"/>
    </row>
    <row r="163" spans="1:14">
      <c r="A163" s="4"/>
      <c r="B163" s="4"/>
      <c r="C163" s="4"/>
      <c r="D163" s="4"/>
      <c r="E163" s="4"/>
      <c r="F163" s="4"/>
      <c r="H163" s="4"/>
      <c r="I163" s="6"/>
      <c r="J163" s="4"/>
      <c r="K163" s="4"/>
      <c r="L163" s="4"/>
      <c r="M163" s="4"/>
      <c r="N163" s="4"/>
    </row>
    <row r="164" spans="1:14">
      <c r="A164" s="4"/>
      <c r="B164" s="4"/>
      <c r="C164" s="4"/>
      <c r="D164" s="4"/>
      <c r="E164" s="4"/>
      <c r="F164" s="4"/>
      <c r="H164" s="4"/>
      <c r="I164" s="6"/>
      <c r="J164" s="4"/>
      <c r="K164" s="4"/>
      <c r="L164" s="4"/>
      <c r="M164" s="4"/>
      <c r="N164" s="4"/>
    </row>
    <row r="165" spans="1:14">
      <c r="A165" s="4"/>
      <c r="B165" s="4"/>
      <c r="C165" s="4"/>
      <c r="D165" s="4"/>
      <c r="E165" s="4"/>
      <c r="F165" s="4"/>
      <c r="H165" s="4"/>
      <c r="I165" s="6"/>
      <c r="J165" s="4"/>
      <c r="K165" s="4"/>
      <c r="L165" s="4"/>
      <c r="M165" s="4"/>
      <c r="N165" s="4"/>
    </row>
    <row r="166" spans="1:14">
      <c r="A166" s="4"/>
      <c r="B166" s="4"/>
      <c r="C166" s="4"/>
      <c r="D166" s="4"/>
      <c r="E166" s="4"/>
      <c r="F166" s="4"/>
      <c r="H166" s="4"/>
      <c r="I166" s="6"/>
      <c r="J166" s="4"/>
      <c r="K166" s="4"/>
      <c r="L166" s="4"/>
      <c r="M166" s="4"/>
      <c r="N166" s="4"/>
    </row>
    <row r="167" spans="1:14">
      <c r="A167" s="4"/>
      <c r="B167" s="4"/>
      <c r="C167" s="4"/>
      <c r="D167" s="4"/>
      <c r="E167" s="4"/>
      <c r="F167" s="4"/>
      <c r="H167" s="4"/>
      <c r="I167" s="6"/>
      <c r="J167" s="4"/>
      <c r="K167" s="4"/>
      <c r="L167" s="4"/>
      <c r="M167" s="4"/>
      <c r="N167" s="4"/>
    </row>
    <row r="168" spans="1:14">
      <c r="A168" s="4"/>
      <c r="B168" s="4"/>
      <c r="C168" s="4"/>
      <c r="D168" s="4"/>
      <c r="E168" s="4"/>
      <c r="F168" s="4"/>
      <c r="H168" s="4"/>
      <c r="I168" s="6"/>
      <c r="J168" s="4"/>
      <c r="K168" s="4"/>
      <c r="L168" s="4"/>
      <c r="M168" s="4"/>
      <c r="N168" s="4"/>
    </row>
    <row r="169" spans="1:14">
      <c r="A169" s="4"/>
      <c r="B169" s="4"/>
      <c r="C169" s="4"/>
      <c r="D169" s="4"/>
      <c r="E169" s="4"/>
      <c r="F169" s="4"/>
      <c r="H169" s="4"/>
      <c r="I169" s="6"/>
      <c r="J169" s="4"/>
      <c r="K169" s="4"/>
      <c r="L169" s="4"/>
      <c r="M169" s="4"/>
      <c r="N169" s="4"/>
    </row>
    <row r="170" spans="1:14">
      <c r="A170" s="4"/>
      <c r="B170" s="4"/>
      <c r="C170" s="4"/>
      <c r="D170" s="4"/>
      <c r="E170" s="4"/>
      <c r="F170" s="4"/>
      <c r="H170" s="4"/>
      <c r="I170" s="6"/>
      <c r="J170" s="4"/>
      <c r="K170" s="4"/>
      <c r="L170" s="4"/>
      <c r="M170" s="4"/>
      <c r="N170" s="4"/>
    </row>
    <row r="171" spans="1:14">
      <c r="A171" s="4"/>
      <c r="B171" s="4"/>
      <c r="C171" s="4"/>
      <c r="D171" s="4"/>
      <c r="E171" s="4"/>
      <c r="F171" s="4"/>
      <c r="H171" s="4"/>
      <c r="I171" s="6"/>
      <c r="J171" s="4"/>
      <c r="K171" s="4"/>
      <c r="L171" s="4"/>
      <c r="M171" s="4"/>
      <c r="N171" s="4"/>
    </row>
    <row r="172" spans="1:14">
      <c r="A172" s="4"/>
      <c r="B172" s="4"/>
      <c r="C172" s="4"/>
      <c r="D172" s="4"/>
      <c r="E172" s="4"/>
      <c r="F172" s="4"/>
      <c r="H172" s="4"/>
      <c r="I172" s="6"/>
      <c r="J172" s="4"/>
      <c r="K172" s="4"/>
      <c r="L172" s="4"/>
      <c r="M172" s="4"/>
      <c r="N172" s="4"/>
    </row>
    <row r="173" spans="1:14">
      <c r="A173" s="4"/>
      <c r="B173" s="4"/>
      <c r="C173" s="4"/>
      <c r="D173" s="4"/>
      <c r="E173" s="4"/>
      <c r="F173" s="4"/>
      <c r="H173" s="4"/>
      <c r="I173" s="6"/>
      <c r="J173" s="4"/>
      <c r="K173" s="4"/>
      <c r="L173" s="4"/>
      <c r="M173" s="4"/>
      <c r="N173" s="4"/>
    </row>
    <row r="174" spans="1:14">
      <c r="A174" s="4"/>
      <c r="B174" s="4"/>
      <c r="C174" s="4"/>
      <c r="D174" s="4"/>
      <c r="E174" s="4"/>
      <c r="F174" s="4"/>
      <c r="H174" s="4"/>
      <c r="I174" s="6"/>
      <c r="J174" s="4"/>
      <c r="K174" s="4"/>
      <c r="L174" s="4"/>
      <c r="M174" s="4"/>
      <c r="N174" s="4"/>
    </row>
    <row r="175" spans="1:14">
      <c r="A175" s="4"/>
      <c r="B175" s="4"/>
      <c r="C175" s="4"/>
      <c r="D175" s="4"/>
      <c r="E175" s="4"/>
      <c r="F175" s="4"/>
      <c r="H175" s="4"/>
      <c r="I175" s="6"/>
      <c r="J175" s="4"/>
      <c r="K175" s="4"/>
      <c r="L175" s="4"/>
      <c r="M175" s="4"/>
      <c r="N175" s="4"/>
    </row>
    <row r="176" spans="1:14">
      <c r="A176" s="4"/>
      <c r="B176" s="4"/>
      <c r="C176" s="4"/>
      <c r="D176" s="4"/>
      <c r="E176" s="4"/>
      <c r="F176" s="4"/>
      <c r="H176" s="4"/>
      <c r="I176" s="6"/>
      <c r="J176" s="4"/>
      <c r="K176" s="4"/>
      <c r="L176" s="4"/>
      <c r="M176" s="4"/>
      <c r="N176" s="4"/>
    </row>
    <row r="177" spans="1:14">
      <c r="A177" s="4"/>
      <c r="B177" s="4"/>
      <c r="C177" s="4"/>
      <c r="D177" s="4"/>
      <c r="E177" s="4"/>
      <c r="F177" s="4"/>
      <c r="H177" s="4"/>
      <c r="I177" s="6"/>
      <c r="J177" s="4"/>
      <c r="K177" s="4"/>
      <c r="L177" s="4"/>
      <c r="M177" s="4"/>
      <c r="N177" s="4"/>
    </row>
    <row r="178" spans="1:14">
      <c r="A178" s="4"/>
      <c r="B178" s="4"/>
      <c r="C178" s="4"/>
      <c r="D178" s="4"/>
      <c r="E178" s="4"/>
      <c r="F178" s="4"/>
      <c r="H178" s="4"/>
      <c r="I178" s="6"/>
      <c r="J178" s="4"/>
      <c r="K178" s="4"/>
      <c r="L178" s="4"/>
      <c r="M178" s="4"/>
      <c r="N178" s="4"/>
    </row>
    <row r="179" spans="1:14">
      <c r="A179" s="4"/>
      <c r="B179" s="4"/>
      <c r="C179" s="4"/>
      <c r="D179" s="4"/>
      <c r="E179" s="4"/>
      <c r="F179" s="4"/>
      <c r="H179" s="4"/>
      <c r="I179" s="6"/>
      <c r="J179" s="4"/>
      <c r="K179" s="4"/>
      <c r="L179" s="4"/>
      <c r="M179" s="4"/>
      <c r="N179" s="4"/>
    </row>
    <row r="180" spans="1:14">
      <c r="A180" s="4"/>
      <c r="B180" s="4"/>
      <c r="C180" s="4"/>
      <c r="D180" s="4"/>
      <c r="E180" s="4"/>
      <c r="F180" s="4"/>
      <c r="H180" s="4"/>
      <c r="I180" s="6"/>
      <c r="J180" s="4"/>
      <c r="K180" s="4"/>
      <c r="L180" s="4"/>
      <c r="M180" s="4"/>
      <c r="N180" s="4"/>
    </row>
    <row r="181" spans="1:14">
      <c r="A181" s="4"/>
      <c r="B181" s="4"/>
      <c r="C181" s="4"/>
      <c r="D181" s="4"/>
      <c r="E181" s="4"/>
      <c r="F181" s="4"/>
      <c r="H181" s="4"/>
      <c r="I181" s="6"/>
      <c r="J181" s="4"/>
      <c r="K181" s="4"/>
      <c r="L181" s="4"/>
      <c r="M181" s="4"/>
      <c r="N181" s="4"/>
    </row>
    <row r="182" spans="1:14">
      <c r="A182" s="4"/>
      <c r="B182" s="4"/>
      <c r="C182" s="4"/>
      <c r="D182" s="4"/>
      <c r="E182" s="4"/>
      <c r="F182" s="4"/>
      <c r="H182" s="4"/>
      <c r="I182" s="6"/>
      <c r="J182" s="4"/>
      <c r="K182" s="4"/>
      <c r="L182" s="4"/>
      <c r="M182" s="4"/>
      <c r="N182" s="4"/>
    </row>
    <row r="183" spans="1:14">
      <c r="A183" s="4"/>
      <c r="B183" s="4"/>
      <c r="C183" s="4"/>
      <c r="D183" s="4"/>
      <c r="E183" s="4"/>
      <c r="F183" s="4"/>
      <c r="H183" s="4"/>
      <c r="I183" s="6"/>
      <c r="J183" s="4"/>
      <c r="K183" s="4"/>
      <c r="L183" s="4"/>
      <c r="M183" s="4"/>
      <c r="N183" s="4"/>
    </row>
    <row r="184" spans="1:14">
      <c r="A184" s="4"/>
      <c r="B184" s="4"/>
      <c r="C184" s="4"/>
      <c r="D184" s="4"/>
      <c r="E184" s="4"/>
      <c r="F184" s="4"/>
      <c r="H184" s="4"/>
      <c r="I184" s="6"/>
      <c r="J184" s="4"/>
      <c r="K184" s="4"/>
      <c r="L184" s="4"/>
      <c r="M184" s="4"/>
      <c r="N184" s="4"/>
    </row>
    <row r="185" spans="1:14">
      <c r="A185" s="4"/>
      <c r="B185" s="4"/>
      <c r="C185" s="4"/>
      <c r="D185" s="4"/>
      <c r="E185" s="4"/>
      <c r="F185" s="4"/>
      <c r="H185" s="4"/>
      <c r="I185" s="6"/>
      <c r="J185" s="4"/>
      <c r="K185" s="4"/>
      <c r="L185" s="4"/>
      <c r="M185" s="4"/>
      <c r="N185" s="4"/>
    </row>
    <row r="186" spans="1:14">
      <c r="A186" s="4"/>
      <c r="B186" s="4"/>
      <c r="C186" s="4"/>
      <c r="D186" s="4"/>
      <c r="E186" s="4"/>
      <c r="F186" s="4"/>
      <c r="H186" s="4"/>
      <c r="I186" s="6"/>
      <c r="J186" s="4"/>
      <c r="K186" s="4"/>
      <c r="L186" s="4"/>
      <c r="M186" s="4"/>
      <c r="N186" s="4"/>
    </row>
    <row r="187" spans="1:14">
      <c r="A187" s="4"/>
      <c r="B187" s="4"/>
      <c r="C187" s="4"/>
      <c r="D187" s="4"/>
      <c r="E187" s="4"/>
      <c r="F187" s="4"/>
      <c r="H187" s="4"/>
      <c r="I187" s="6"/>
      <c r="J187" s="4"/>
      <c r="K187" s="4"/>
      <c r="L187" s="4"/>
      <c r="M187" s="4"/>
      <c r="N187" s="4"/>
    </row>
    <row r="188" spans="1:14">
      <c r="A188" s="4"/>
      <c r="B188" s="4"/>
      <c r="C188" s="4"/>
      <c r="D188" s="4"/>
      <c r="E188" s="4"/>
      <c r="F188" s="4"/>
      <c r="H188" s="4"/>
      <c r="I188" s="6"/>
      <c r="J188" s="4"/>
      <c r="K188" s="4"/>
      <c r="L188" s="4"/>
      <c r="M188" s="4"/>
      <c r="N188" s="4"/>
    </row>
    <row r="189" spans="1:14">
      <c r="A189" s="4"/>
      <c r="B189" s="4"/>
      <c r="C189" s="4"/>
      <c r="D189" s="4"/>
      <c r="E189" s="4"/>
      <c r="F189" s="4"/>
      <c r="H189" s="4"/>
      <c r="I189" s="6"/>
      <c r="J189" s="4"/>
      <c r="K189" s="4"/>
      <c r="L189" s="4"/>
      <c r="M189" s="4"/>
      <c r="N189" s="4"/>
    </row>
    <row r="190" spans="1:14">
      <c r="A190" s="4"/>
      <c r="B190" s="4"/>
      <c r="C190" s="4"/>
      <c r="D190" s="4"/>
      <c r="E190" s="4"/>
      <c r="F190" s="4"/>
      <c r="H190" s="4"/>
      <c r="I190" s="6"/>
      <c r="J190" s="4"/>
      <c r="K190" s="4"/>
      <c r="L190" s="4"/>
      <c r="M190" s="4"/>
      <c r="N190" s="4"/>
    </row>
    <row r="191" spans="1:14">
      <c r="A191" s="4"/>
      <c r="B191" s="4"/>
      <c r="C191" s="4"/>
      <c r="D191" s="4"/>
      <c r="E191" s="4"/>
      <c r="F191" s="4"/>
      <c r="H191" s="4"/>
      <c r="I191" s="6"/>
      <c r="J191" s="4"/>
      <c r="K191" s="4"/>
      <c r="L191" s="4"/>
      <c r="M191" s="4"/>
      <c r="N191" s="4"/>
    </row>
    <row r="192" spans="1:14">
      <c r="A192" s="4"/>
      <c r="B192" s="4"/>
      <c r="C192" s="4"/>
      <c r="D192" s="4"/>
      <c r="E192" s="4"/>
      <c r="F192" s="4"/>
      <c r="H192" s="4"/>
      <c r="I192" s="6"/>
      <c r="J192" s="4"/>
      <c r="K192" s="4"/>
      <c r="L192" s="4"/>
      <c r="M192" s="4"/>
      <c r="N192" s="4"/>
    </row>
    <row r="193" spans="1:14">
      <c r="A193" s="4"/>
      <c r="B193" s="4"/>
      <c r="C193" s="4"/>
      <c r="D193" s="4"/>
      <c r="E193" s="4"/>
      <c r="F193" s="4"/>
      <c r="H193" s="4"/>
      <c r="I193" s="6"/>
      <c r="J193" s="4"/>
      <c r="K193" s="4"/>
      <c r="L193" s="4"/>
      <c r="M193" s="4"/>
      <c r="N193" s="4"/>
    </row>
    <row r="194" spans="1:14">
      <c r="A194" s="4"/>
      <c r="B194" s="4"/>
      <c r="C194" s="4"/>
      <c r="D194" s="4"/>
      <c r="E194" s="4"/>
      <c r="F194" s="4"/>
      <c r="H194" s="4"/>
      <c r="I194" s="6"/>
      <c r="J194" s="4"/>
      <c r="K194" s="4"/>
      <c r="L194" s="4"/>
      <c r="M194" s="4"/>
      <c r="N194" s="4"/>
    </row>
    <row r="195" spans="1:14">
      <c r="A195" s="4"/>
      <c r="B195" s="4"/>
      <c r="C195" s="4"/>
      <c r="D195" s="4"/>
      <c r="E195" s="4"/>
      <c r="F195" s="4"/>
      <c r="H195" s="4"/>
      <c r="I195" s="6"/>
      <c r="J195" s="4"/>
      <c r="K195" s="4"/>
      <c r="L195" s="4"/>
      <c r="M195" s="4"/>
      <c r="N195" s="4"/>
    </row>
    <row r="196" spans="1:14">
      <c r="A196" s="4"/>
      <c r="B196" s="4"/>
      <c r="C196" s="4"/>
      <c r="D196" s="4"/>
      <c r="E196" s="4"/>
      <c r="F196" s="4"/>
      <c r="H196" s="4"/>
      <c r="I196" s="6"/>
      <c r="J196" s="4"/>
      <c r="K196" s="4"/>
      <c r="L196" s="4"/>
      <c r="M196" s="4"/>
      <c r="N196" s="4"/>
    </row>
    <row r="197" spans="1:14">
      <c r="A197" s="4"/>
      <c r="B197" s="4"/>
      <c r="C197" s="4"/>
      <c r="D197" s="4"/>
      <c r="E197" s="4"/>
      <c r="F197" s="4"/>
      <c r="H197" s="4"/>
      <c r="I197" s="6"/>
      <c r="J197" s="4"/>
      <c r="K197" s="4"/>
      <c r="L197" s="4"/>
      <c r="M197" s="4"/>
      <c r="N197" s="4"/>
    </row>
    <row r="198" spans="1:14">
      <c r="A198" s="4"/>
      <c r="B198" s="4"/>
      <c r="C198" s="4"/>
      <c r="D198" s="4"/>
      <c r="E198" s="4"/>
      <c r="F198" s="4"/>
      <c r="H198" s="4"/>
      <c r="I198" s="6"/>
      <c r="J198" s="4"/>
      <c r="K198" s="4"/>
      <c r="L198" s="4"/>
      <c r="M198" s="4"/>
      <c r="N198" s="4"/>
    </row>
    <row r="199" spans="1:14">
      <c r="A199" s="4"/>
      <c r="B199" s="4"/>
      <c r="C199" s="4"/>
      <c r="D199" s="4"/>
      <c r="E199" s="4"/>
      <c r="F199" s="4"/>
      <c r="H199" s="4"/>
      <c r="I199" s="6"/>
      <c r="J199" s="4"/>
      <c r="K199" s="4"/>
      <c r="L199" s="4"/>
      <c r="M199" s="4"/>
      <c r="N199" s="4"/>
    </row>
    <row r="200" spans="1:14">
      <c r="A200" s="4"/>
      <c r="B200" s="4"/>
      <c r="C200" s="4"/>
      <c r="D200" s="4"/>
      <c r="E200" s="4"/>
      <c r="F200" s="4"/>
      <c r="H200" s="4"/>
      <c r="I200" s="6"/>
      <c r="J200" s="4"/>
      <c r="K200" s="4"/>
      <c r="L200" s="4"/>
      <c r="M200" s="4"/>
      <c r="N200" s="4"/>
    </row>
    <row r="201" spans="1:14">
      <c r="A201" s="4"/>
      <c r="B201" s="4"/>
      <c r="C201" s="4"/>
      <c r="D201" s="4"/>
      <c r="E201" s="4"/>
      <c r="F201" s="4"/>
      <c r="H201" s="4"/>
      <c r="I201" s="6"/>
      <c r="J201" s="4"/>
      <c r="K201" s="4"/>
      <c r="L201" s="4"/>
      <c r="M201" s="4"/>
      <c r="N201" s="4"/>
    </row>
    <row r="202" spans="1:14">
      <c r="A202" s="4"/>
      <c r="B202" s="4"/>
      <c r="C202" s="4"/>
      <c r="D202" s="4"/>
      <c r="E202" s="4"/>
      <c r="F202" s="4"/>
      <c r="H202" s="4"/>
      <c r="I202" s="6"/>
      <c r="J202" s="4"/>
      <c r="K202" s="4"/>
      <c r="L202" s="4"/>
      <c r="M202" s="4"/>
      <c r="N202" s="4"/>
    </row>
    <row r="203" spans="1:14">
      <c r="A203" s="4"/>
      <c r="B203" s="4"/>
      <c r="C203" s="4"/>
      <c r="D203" s="4"/>
      <c r="E203" s="4"/>
      <c r="F203" s="4"/>
      <c r="H203" s="4"/>
      <c r="I203" s="6"/>
      <c r="J203" s="4"/>
      <c r="K203" s="4"/>
      <c r="L203" s="4"/>
      <c r="M203" s="4"/>
      <c r="N203" s="4"/>
    </row>
    <row r="204" spans="1:14">
      <c r="A204" s="4"/>
      <c r="B204" s="4"/>
      <c r="C204" s="4"/>
      <c r="D204" s="4"/>
      <c r="E204" s="4"/>
      <c r="F204" s="4"/>
      <c r="H204" s="4"/>
      <c r="I204" s="6"/>
      <c r="J204" s="4"/>
      <c r="K204" s="4"/>
      <c r="L204" s="4"/>
      <c r="M204" s="4"/>
      <c r="N204" s="4"/>
    </row>
    <row r="205" spans="1:14">
      <c r="A205" s="4"/>
      <c r="B205" s="4"/>
      <c r="C205" s="4"/>
      <c r="D205" s="4"/>
      <c r="E205" s="4"/>
      <c r="F205" s="4"/>
      <c r="H205" s="4"/>
      <c r="I205" s="6"/>
      <c r="J205" s="4"/>
      <c r="K205" s="4"/>
      <c r="L205" s="4"/>
      <c r="M205" s="4"/>
      <c r="N205" s="4"/>
    </row>
    <row r="206" spans="1:14">
      <c r="A206" s="4"/>
      <c r="B206" s="4"/>
      <c r="C206" s="4"/>
      <c r="D206" s="4"/>
      <c r="E206" s="4"/>
      <c r="F206" s="4"/>
      <c r="H206" s="4"/>
      <c r="I206" s="6"/>
      <c r="J206" s="4"/>
      <c r="K206" s="4"/>
      <c r="L206" s="4"/>
      <c r="M206" s="4"/>
      <c r="N206" s="4"/>
    </row>
    <row r="207" spans="1:14">
      <c r="A207" s="4"/>
      <c r="B207" s="4"/>
      <c r="C207" s="4"/>
      <c r="D207" s="4"/>
      <c r="E207" s="4"/>
      <c r="F207" s="4"/>
      <c r="H207" s="4"/>
      <c r="I207" s="6"/>
      <c r="J207" s="4"/>
      <c r="K207" s="4"/>
      <c r="L207" s="4"/>
      <c r="M207" s="4"/>
      <c r="N207" s="4"/>
    </row>
    <row r="208" spans="1:14">
      <c r="A208" s="4"/>
      <c r="B208" s="4"/>
      <c r="C208" s="4"/>
      <c r="D208" s="4"/>
      <c r="E208" s="4"/>
      <c r="F208" s="4"/>
      <c r="H208" s="4"/>
      <c r="I208" s="6"/>
      <c r="J208" s="4"/>
      <c r="K208" s="4"/>
      <c r="L208" s="4"/>
      <c r="M208" s="4"/>
      <c r="N208" s="4"/>
    </row>
    <row r="209" spans="1:14">
      <c r="A209" s="4"/>
      <c r="B209" s="4"/>
      <c r="C209" s="4"/>
      <c r="D209" s="4"/>
      <c r="E209" s="4"/>
      <c r="F209" s="4"/>
      <c r="H209" s="4"/>
      <c r="I209" s="6"/>
      <c r="J209" s="4"/>
      <c r="K209" s="4"/>
      <c r="L209" s="4"/>
      <c r="M209" s="4"/>
      <c r="N209" s="4"/>
    </row>
    <row r="210" spans="1:14">
      <c r="A210" s="4"/>
      <c r="B210" s="4"/>
      <c r="C210" s="4"/>
      <c r="D210" s="4"/>
      <c r="E210" s="4"/>
      <c r="F210" s="4"/>
      <c r="H210" s="4"/>
      <c r="I210" s="6"/>
      <c r="J210" s="4"/>
      <c r="K210" s="4"/>
      <c r="L210" s="4"/>
      <c r="M210" s="4"/>
      <c r="N210" s="4"/>
    </row>
    <row r="211" spans="1:14">
      <c r="A211" s="4"/>
      <c r="B211" s="4"/>
      <c r="C211" s="4"/>
      <c r="D211" s="4"/>
      <c r="E211" s="4"/>
      <c r="F211" s="4"/>
      <c r="H211" s="4"/>
      <c r="I211" s="6"/>
      <c r="J211" s="4"/>
      <c r="K211" s="4"/>
      <c r="L211" s="4"/>
      <c r="M211" s="4"/>
      <c r="N211" s="4"/>
    </row>
    <row r="212" spans="1:14">
      <c r="A212" s="4"/>
      <c r="B212" s="4"/>
      <c r="C212" s="4"/>
      <c r="D212" s="4"/>
      <c r="E212" s="4"/>
      <c r="F212" s="4"/>
      <c r="H212" s="4"/>
      <c r="I212" s="6"/>
      <c r="J212" s="4"/>
      <c r="K212" s="4"/>
      <c r="L212" s="4"/>
      <c r="M212" s="4"/>
      <c r="N212" s="4"/>
    </row>
    <row r="213" spans="1:14">
      <c r="A213" s="4"/>
      <c r="B213" s="4"/>
      <c r="C213" s="4"/>
      <c r="D213" s="4"/>
      <c r="E213" s="4"/>
      <c r="F213" s="4"/>
      <c r="H213" s="4"/>
      <c r="I213" s="6"/>
      <c r="J213" s="4"/>
      <c r="K213" s="4"/>
      <c r="L213" s="4"/>
      <c r="M213" s="4"/>
      <c r="N213" s="4"/>
    </row>
    <row r="214" spans="1:14">
      <c r="A214" s="4"/>
      <c r="B214" s="4"/>
      <c r="C214" s="4"/>
      <c r="D214" s="4"/>
      <c r="E214" s="4"/>
      <c r="F214" s="4"/>
      <c r="H214" s="4"/>
      <c r="I214" s="6"/>
      <c r="J214" s="4"/>
      <c r="K214" s="4"/>
      <c r="L214" s="4"/>
      <c r="M214" s="4"/>
      <c r="N214" s="4"/>
    </row>
    <row r="215" spans="1:14">
      <c r="A215" s="4"/>
      <c r="B215" s="4"/>
      <c r="C215" s="4"/>
      <c r="D215" s="4"/>
      <c r="E215" s="4"/>
      <c r="F215" s="4"/>
      <c r="H215" s="4"/>
      <c r="I215" s="6"/>
      <c r="J215" s="4"/>
      <c r="K215" s="4"/>
      <c r="L215" s="4"/>
      <c r="M215" s="4"/>
      <c r="N215" s="4"/>
    </row>
    <row r="216" spans="1:14">
      <c r="A216" s="4"/>
      <c r="B216" s="4"/>
      <c r="C216" s="4"/>
      <c r="D216" s="4"/>
      <c r="E216" s="4"/>
      <c r="F216" s="4"/>
      <c r="H216" s="4"/>
      <c r="I216" s="6"/>
      <c r="J216" s="4"/>
      <c r="K216" s="4"/>
      <c r="L216" s="4"/>
      <c r="M216" s="4"/>
      <c r="N216" s="4"/>
    </row>
    <row r="217" spans="1:14">
      <c r="A217" s="4"/>
      <c r="B217" s="4"/>
      <c r="C217" s="4"/>
      <c r="D217" s="4"/>
      <c r="E217" s="4"/>
      <c r="F217" s="4"/>
      <c r="H217" s="4"/>
      <c r="I217" s="6"/>
      <c r="J217" s="4"/>
      <c r="K217" s="4"/>
      <c r="L217" s="4"/>
      <c r="M217" s="4"/>
      <c r="N217" s="4"/>
    </row>
    <row r="218" spans="1:14">
      <c r="A218" s="4"/>
      <c r="B218" s="4"/>
      <c r="C218" s="4"/>
      <c r="D218" s="4"/>
      <c r="E218" s="4"/>
      <c r="F218" s="4"/>
      <c r="H218" s="4"/>
      <c r="I218" s="6"/>
      <c r="J218" s="4"/>
      <c r="K218" s="4"/>
      <c r="L218" s="4"/>
      <c r="M218" s="4"/>
      <c r="N218" s="4"/>
    </row>
    <row r="219" spans="1:14">
      <c r="A219" s="4"/>
      <c r="B219" s="4"/>
      <c r="C219" s="4"/>
      <c r="D219" s="4"/>
      <c r="E219" s="4"/>
      <c r="F219" s="4"/>
      <c r="H219" s="4"/>
      <c r="I219" s="6"/>
      <c r="J219" s="4"/>
      <c r="K219" s="4"/>
      <c r="L219" s="4"/>
      <c r="M219" s="4"/>
      <c r="N219" s="4"/>
    </row>
    <row r="220" spans="1:14">
      <c r="A220" s="4"/>
      <c r="B220" s="4"/>
      <c r="C220" s="4"/>
      <c r="D220" s="4"/>
      <c r="E220" s="4"/>
      <c r="F220" s="4"/>
      <c r="H220" s="4"/>
      <c r="I220" s="6"/>
      <c r="J220" s="4"/>
      <c r="K220" s="4"/>
      <c r="L220" s="4"/>
      <c r="M220" s="4"/>
      <c r="N220" s="4"/>
    </row>
    <row r="221" spans="1:14">
      <c r="A221" s="4"/>
      <c r="B221" s="4"/>
      <c r="C221" s="4"/>
      <c r="D221" s="4"/>
      <c r="E221" s="4"/>
      <c r="F221" s="4"/>
      <c r="H221" s="4"/>
      <c r="I221" s="6"/>
      <c r="J221" s="4"/>
      <c r="K221" s="4"/>
      <c r="L221" s="4"/>
      <c r="M221" s="4"/>
      <c r="N221" s="4"/>
    </row>
    <row r="222" spans="1:14">
      <c r="A222" s="4"/>
      <c r="B222" s="4"/>
      <c r="C222" s="4"/>
      <c r="D222" s="4"/>
      <c r="E222" s="4"/>
      <c r="F222" s="4"/>
      <c r="H222" s="4"/>
      <c r="I222" s="6"/>
      <c r="J222" s="4"/>
      <c r="K222" s="4"/>
      <c r="L222" s="4"/>
      <c r="M222" s="4"/>
      <c r="N222" s="4"/>
    </row>
    <row r="223" spans="1:14">
      <c r="A223" s="4"/>
      <c r="B223" s="4"/>
      <c r="C223" s="4"/>
      <c r="D223" s="4"/>
      <c r="E223" s="4"/>
      <c r="F223" s="4"/>
      <c r="H223" s="4"/>
      <c r="I223" s="6"/>
      <c r="J223" s="4"/>
      <c r="K223" s="4"/>
      <c r="L223" s="4"/>
      <c r="M223" s="4"/>
      <c r="N223" s="4"/>
    </row>
    <row r="224" spans="1:14">
      <c r="A224" s="4"/>
      <c r="B224" s="4"/>
      <c r="C224" s="4"/>
      <c r="D224" s="4"/>
      <c r="E224" s="4"/>
      <c r="F224" s="4"/>
      <c r="H224" s="4"/>
      <c r="I224" s="6"/>
      <c r="J224" s="4"/>
      <c r="K224" s="4"/>
      <c r="L224" s="4"/>
      <c r="M224" s="4"/>
      <c r="N224" s="4"/>
    </row>
    <row r="225" spans="1:14">
      <c r="A225" s="4"/>
      <c r="B225" s="4"/>
      <c r="C225" s="4"/>
      <c r="D225" s="4"/>
      <c r="E225" s="4"/>
      <c r="F225" s="4"/>
      <c r="H225" s="4"/>
      <c r="I225" s="6"/>
      <c r="J225" s="4"/>
      <c r="K225" s="4"/>
      <c r="L225" s="4"/>
      <c r="M225" s="4"/>
      <c r="N225" s="4"/>
    </row>
    <row r="226" spans="1:14">
      <c r="A226" s="4"/>
      <c r="B226" s="4"/>
      <c r="C226" s="4"/>
      <c r="D226" s="4"/>
      <c r="E226" s="4"/>
      <c r="F226" s="4"/>
      <c r="H226" s="4"/>
      <c r="I226" s="6"/>
      <c r="J226" s="4"/>
      <c r="K226" s="4"/>
      <c r="L226" s="4"/>
      <c r="M226" s="4"/>
      <c r="N226" s="4"/>
    </row>
    <row r="227" spans="1:14">
      <c r="A227" s="4"/>
      <c r="B227" s="4"/>
      <c r="C227" s="4"/>
      <c r="D227" s="4"/>
      <c r="E227" s="4"/>
      <c r="F227" s="4"/>
      <c r="H227" s="4"/>
      <c r="I227" s="6"/>
      <c r="J227" s="4"/>
      <c r="K227" s="4"/>
      <c r="L227" s="4"/>
      <c r="M227" s="4"/>
      <c r="N227" s="4"/>
    </row>
    <row r="228" spans="1:14">
      <c r="A228" s="4"/>
      <c r="B228" s="4"/>
      <c r="C228" s="4"/>
      <c r="D228" s="4"/>
      <c r="E228" s="4"/>
      <c r="F228" s="4"/>
      <c r="H228" s="4"/>
      <c r="I228" s="6"/>
      <c r="J228" s="4"/>
      <c r="K228" s="4"/>
      <c r="L228" s="4"/>
      <c r="M228" s="4"/>
      <c r="N228" s="4"/>
    </row>
    <row r="229" spans="1:14">
      <c r="A229" s="4"/>
      <c r="B229" s="4"/>
      <c r="C229" s="4"/>
      <c r="D229" s="4"/>
      <c r="E229" s="4"/>
      <c r="F229" s="4"/>
      <c r="H229" s="4"/>
      <c r="I229" s="6"/>
      <c r="J229" s="4"/>
      <c r="K229" s="4"/>
      <c r="L229" s="4"/>
      <c r="M229" s="4"/>
      <c r="N229" s="4"/>
    </row>
    <row r="230" spans="1:14">
      <c r="A230" s="4"/>
      <c r="B230" s="4"/>
      <c r="C230" s="4"/>
      <c r="D230" s="4"/>
      <c r="E230" s="4"/>
      <c r="F230" s="4"/>
      <c r="H230" s="4"/>
      <c r="I230" s="6"/>
      <c r="J230" s="4"/>
      <c r="K230" s="4"/>
      <c r="L230" s="4"/>
      <c r="M230" s="4"/>
      <c r="N230" s="4"/>
    </row>
    <row r="231" spans="1:14">
      <c r="A231" s="4"/>
      <c r="B231" s="4"/>
      <c r="C231" s="4"/>
      <c r="D231" s="4"/>
      <c r="E231" s="4"/>
      <c r="F231" s="4"/>
      <c r="H231" s="4"/>
      <c r="I231" s="6"/>
      <c r="J231" s="4"/>
      <c r="K231" s="4"/>
      <c r="L231" s="4"/>
      <c r="M231" s="4"/>
      <c r="N231" s="4"/>
    </row>
    <row r="232" spans="1:14">
      <c r="A232" s="4"/>
      <c r="B232" s="4"/>
      <c r="C232" s="4"/>
      <c r="D232" s="4"/>
      <c r="E232" s="4"/>
      <c r="F232" s="4"/>
      <c r="H232" s="4"/>
      <c r="I232" s="6"/>
      <c r="J232" s="4"/>
      <c r="K232" s="4"/>
      <c r="L232" s="4"/>
      <c r="M232" s="4"/>
      <c r="N232" s="4"/>
    </row>
    <row r="233" spans="1:14">
      <c r="A233" s="4"/>
      <c r="B233" s="4"/>
      <c r="C233" s="4"/>
      <c r="D233" s="4"/>
      <c r="E233" s="4"/>
      <c r="F233" s="4"/>
      <c r="H233" s="4"/>
      <c r="I233" s="6"/>
      <c r="J233" s="4"/>
      <c r="K233" s="4"/>
      <c r="L233" s="4"/>
      <c r="M233" s="4"/>
      <c r="N233" s="4"/>
    </row>
    <row r="234" spans="1:14">
      <c r="A234" s="4"/>
      <c r="B234" s="4"/>
      <c r="C234" s="4"/>
      <c r="D234" s="4"/>
      <c r="E234" s="4"/>
      <c r="F234" s="4"/>
      <c r="H234" s="4"/>
      <c r="I234" s="6"/>
      <c r="J234" s="4"/>
      <c r="K234" s="4"/>
      <c r="L234" s="4"/>
      <c r="M234" s="4"/>
      <c r="N234" s="4"/>
    </row>
    <row r="235" spans="1:14">
      <c r="A235" s="4"/>
      <c r="B235" s="4"/>
      <c r="C235" s="4"/>
      <c r="D235" s="4"/>
      <c r="E235" s="4"/>
      <c r="F235" s="4"/>
      <c r="H235" s="4"/>
      <c r="I235" s="6"/>
      <c r="J235" s="4"/>
      <c r="K235" s="4"/>
      <c r="L235" s="4"/>
      <c r="M235" s="4"/>
      <c r="N235" s="4"/>
    </row>
    <row r="236" spans="1:14">
      <c r="A236" s="4"/>
      <c r="B236" s="4"/>
      <c r="C236" s="4"/>
      <c r="D236" s="4"/>
      <c r="E236" s="4"/>
      <c r="F236" s="4"/>
      <c r="H236" s="4"/>
      <c r="I236" s="6"/>
      <c r="J236" s="4"/>
      <c r="K236" s="4"/>
      <c r="L236" s="4"/>
      <c r="M236" s="4"/>
      <c r="N236" s="4"/>
    </row>
    <row r="237" spans="1:14">
      <c r="A237" s="4"/>
      <c r="B237" s="4"/>
      <c r="C237" s="4"/>
      <c r="D237" s="4"/>
      <c r="E237" s="4"/>
      <c r="F237" s="4"/>
      <c r="H237" s="4"/>
      <c r="I237" s="6"/>
      <c r="J237" s="4"/>
      <c r="K237" s="4"/>
      <c r="L237" s="4"/>
      <c r="M237" s="4"/>
      <c r="N237" s="4"/>
    </row>
    <row r="238" spans="1:14">
      <c r="A238" s="4"/>
      <c r="B238" s="4"/>
      <c r="C238" s="4"/>
      <c r="D238" s="4"/>
      <c r="E238" s="4"/>
      <c r="F238" s="4"/>
      <c r="H238" s="4"/>
      <c r="I238" s="6"/>
      <c r="J238" s="4"/>
      <c r="K238" s="4"/>
      <c r="L238" s="4"/>
      <c r="M238" s="4"/>
      <c r="N238" s="4"/>
    </row>
    <row r="239" spans="1:14">
      <c r="A239" s="4"/>
      <c r="B239" s="4"/>
      <c r="C239" s="4"/>
      <c r="D239" s="4"/>
      <c r="E239" s="4"/>
      <c r="F239" s="4"/>
      <c r="H239" s="4"/>
      <c r="I239" s="6"/>
      <c r="J239" s="4"/>
      <c r="K239" s="4"/>
      <c r="L239" s="4"/>
      <c r="M239" s="4"/>
      <c r="N239" s="4"/>
    </row>
    <row r="240" spans="1:14">
      <c r="A240" s="4"/>
      <c r="B240" s="4"/>
      <c r="C240" s="4"/>
      <c r="D240" s="4"/>
      <c r="E240" s="4"/>
      <c r="F240" s="4"/>
      <c r="H240" s="4"/>
      <c r="I240" s="6"/>
      <c r="J240" s="4"/>
      <c r="K240" s="4"/>
      <c r="L240" s="4"/>
      <c r="M240" s="4"/>
      <c r="N240" s="4"/>
    </row>
    <row r="241" spans="1:14">
      <c r="A241" s="4"/>
      <c r="B241" s="4"/>
      <c r="C241" s="4"/>
      <c r="D241" s="4"/>
      <c r="E241" s="4"/>
      <c r="F241" s="4"/>
      <c r="H241" s="4"/>
      <c r="I241" s="6"/>
      <c r="J241" s="4"/>
      <c r="K241" s="4"/>
      <c r="L241" s="4"/>
      <c r="M241" s="4"/>
      <c r="N241" s="4"/>
    </row>
    <row r="242" spans="1:14">
      <c r="A242" s="4"/>
      <c r="B242" s="4"/>
      <c r="C242" s="4"/>
      <c r="D242" s="4"/>
      <c r="E242" s="4"/>
      <c r="F242" s="4"/>
      <c r="H242" s="4"/>
      <c r="I242" s="6"/>
      <c r="J242" s="4"/>
      <c r="K242" s="4"/>
      <c r="L242" s="4"/>
      <c r="M242" s="4"/>
      <c r="N242" s="4"/>
    </row>
    <row r="243" spans="1:14">
      <c r="A243" s="4"/>
      <c r="B243" s="4"/>
      <c r="C243" s="4"/>
      <c r="D243" s="4"/>
      <c r="E243" s="4"/>
      <c r="F243" s="4"/>
      <c r="H243" s="4"/>
      <c r="I243" s="6"/>
      <c r="J243" s="4"/>
      <c r="K243" s="4"/>
      <c r="L243" s="4"/>
      <c r="M243" s="4"/>
      <c r="N243" s="4"/>
    </row>
    <row r="244" spans="1:14">
      <c r="A244" s="4"/>
      <c r="B244" s="4"/>
      <c r="C244" s="4"/>
      <c r="D244" s="4"/>
      <c r="E244" s="4"/>
      <c r="F244" s="4"/>
      <c r="H244" s="4"/>
      <c r="I244" s="6"/>
      <c r="J244" s="4"/>
      <c r="K244" s="4"/>
      <c r="L244" s="4"/>
      <c r="M244" s="4"/>
      <c r="N244" s="4"/>
    </row>
    <row r="245" spans="1:14">
      <c r="A245" s="4"/>
      <c r="B245" s="4"/>
      <c r="C245" s="4"/>
      <c r="D245" s="4"/>
      <c r="E245" s="4"/>
      <c r="F245" s="4"/>
      <c r="H245" s="4"/>
      <c r="I245" s="6"/>
      <c r="J245" s="4"/>
      <c r="K245" s="4"/>
      <c r="L245" s="4"/>
      <c r="M245" s="4"/>
      <c r="N245" s="4"/>
    </row>
    <row r="246" spans="1:14">
      <c r="A246" s="4"/>
      <c r="B246" s="4"/>
      <c r="C246" s="4"/>
      <c r="D246" s="4"/>
      <c r="E246" s="4"/>
      <c r="F246" s="4"/>
      <c r="H246" s="4"/>
      <c r="I246" s="6"/>
      <c r="J246" s="4"/>
      <c r="K246" s="4"/>
      <c r="L246" s="4"/>
      <c r="M246" s="4"/>
      <c r="N246" s="4"/>
    </row>
    <row r="247" spans="1:14">
      <c r="A247" s="4"/>
      <c r="B247" s="4"/>
      <c r="C247" s="4"/>
      <c r="D247" s="4"/>
      <c r="E247" s="4"/>
      <c r="F247" s="4"/>
      <c r="H247" s="4"/>
      <c r="I247" s="6"/>
      <c r="J247" s="4"/>
      <c r="K247" s="4"/>
      <c r="L247" s="4"/>
      <c r="M247" s="4"/>
      <c r="N247" s="4"/>
    </row>
    <row r="248" spans="1:14">
      <c r="A248" s="4"/>
      <c r="B248" s="4"/>
      <c r="C248" s="4"/>
      <c r="D248" s="4"/>
      <c r="E248" s="4"/>
      <c r="F248" s="4"/>
      <c r="H248" s="4"/>
      <c r="I248" s="6"/>
      <c r="J248" s="4"/>
      <c r="K248" s="4"/>
      <c r="L248" s="4"/>
      <c r="M248" s="4"/>
      <c r="N248" s="4"/>
    </row>
    <row r="249" spans="1:14">
      <c r="A249" s="4"/>
      <c r="B249" s="4"/>
      <c r="C249" s="4"/>
      <c r="D249" s="4"/>
      <c r="E249" s="4"/>
      <c r="F249" s="4"/>
      <c r="H249" s="4"/>
      <c r="I249" s="6"/>
      <c r="J249" s="4"/>
      <c r="K249" s="4"/>
      <c r="L249" s="4"/>
      <c r="M249" s="4"/>
      <c r="N249" s="4"/>
    </row>
    <row r="250" spans="1:14">
      <c r="A250" s="4"/>
      <c r="B250" s="4"/>
      <c r="C250" s="4"/>
      <c r="D250" s="4"/>
      <c r="E250" s="4"/>
      <c r="F250" s="4"/>
      <c r="H250" s="4"/>
      <c r="I250" s="6"/>
      <c r="J250" s="4"/>
      <c r="K250" s="4"/>
      <c r="L250" s="4"/>
      <c r="M250" s="4"/>
      <c r="N250" s="4"/>
    </row>
    <row r="251" spans="1:14">
      <c r="A251" s="4"/>
      <c r="B251" s="4"/>
      <c r="C251" s="4"/>
      <c r="D251" s="4"/>
      <c r="E251" s="4"/>
      <c r="F251" s="4"/>
      <c r="H251" s="4"/>
      <c r="I251" s="6"/>
      <c r="J251" s="4"/>
      <c r="K251" s="4"/>
      <c r="L251" s="4"/>
      <c r="M251" s="4"/>
      <c r="N251" s="4"/>
    </row>
    <row r="252" spans="1:14">
      <c r="A252" s="4"/>
      <c r="B252" s="4"/>
      <c r="C252" s="4"/>
      <c r="D252" s="4"/>
      <c r="E252" s="4"/>
      <c r="F252" s="4"/>
      <c r="H252" s="4"/>
      <c r="I252" s="6"/>
      <c r="J252" s="4"/>
      <c r="K252" s="4"/>
      <c r="L252" s="4"/>
      <c r="M252" s="4"/>
      <c r="N252" s="4"/>
    </row>
    <row r="253" spans="1:14">
      <c r="A253" s="4"/>
      <c r="B253" s="4"/>
      <c r="C253" s="4"/>
      <c r="D253" s="4"/>
      <c r="E253" s="4"/>
      <c r="F253" s="4"/>
      <c r="H253" s="4"/>
      <c r="I253" s="6"/>
      <c r="J253" s="4"/>
      <c r="K253" s="4"/>
      <c r="L253" s="4"/>
      <c r="M253" s="4"/>
      <c r="N253" s="4"/>
    </row>
    <row r="254" spans="1:14">
      <c r="A254" s="4"/>
      <c r="B254" s="4"/>
      <c r="C254" s="4"/>
      <c r="D254" s="4"/>
      <c r="E254" s="4"/>
      <c r="F254" s="4"/>
      <c r="H254" s="4"/>
      <c r="I254" s="6"/>
      <c r="J254" s="4"/>
      <c r="K254" s="4"/>
      <c r="L254" s="4"/>
      <c r="M254" s="4"/>
      <c r="N254" s="4"/>
    </row>
    <row r="255" spans="1:14">
      <c r="A255" s="4"/>
      <c r="B255" s="4"/>
      <c r="C255" s="4"/>
      <c r="D255" s="4"/>
      <c r="E255" s="4"/>
      <c r="F255" s="4"/>
      <c r="H255" s="4"/>
      <c r="I255" s="6"/>
      <c r="J255" s="4"/>
      <c r="K255" s="4"/>
      <c r="L255" s="4"/>
      <c r="M255" s="4"/>
      <c r="N255" s="4"/>
    </row>
    <row r="256" spans="1:14">
      <c r="A256" s="4"/>
      <c r="B256" s="4"/>
      <c r="C256" s="4"/>
      <c r="D256" s="4"/>
      <c r="E256" s="4"/>
      <c r="F256" s="4"/>
      <c r="H256" s="4"/>
      <c r="I256" s="6"/>
      <c r="J256" s="4"/>
      <c r="K256" s="4"/>
      <c r="L256" s="4"/>
      <c r="M256" s="4"/>
      <c r="N256" s="4"/>
    </row>
    <row r="257" spans="1:14">
      <c r="A257" s="4"/>
      <c r="B257" s="4"/>
      <c r="C257" s="4"/>
      <c r="D257" s="4"/>
      <c r="E257" s="4"/>
      <c r="F257" s="4"/>
      <c r="H257" s="4"/>
      <c r="I257" s="6"/>
      <c r="J257" s="4"/>
      <c r="K257" s="4"/>
      <c r="L257" s="4"/>
      <c r="M257" s="4"/>
      <c r="N257" s="4"/>
    </row>
    <row r="258" spans="1:14">
      <c r="A258" s="4"/>
      <c r="B258" s="4"/>
      <c r="C258" s="4"/>
      <c r="D258" s="4"/>
      <c r="E258" s="4"/>
      <c r="F258" s="4"/>
      <c r="H258" s="4"/>
      <c r="I258" s="6"/>
      <c r="J258" s="4"/>
      <c r="K258" s="4"/>
      <c r="L258" s="4"/>
      <c r="M258" s="4"/>
      <c r="N258" s="4"/>
    </row>
    <row r="259" spans="1:14">
      <c r="A259" s="4"/>
      <c r="B259" s="4"/>
      <c r="C259" s="4"/>
      <c r="D259" s="4"/>
      <c r="E259" s="4"/>
      <c r="F259" s="4"/>
      <c r="H259" s="4"/>
      <c r="I259" s="6"/>
      <c r="J259" s="4"/>
      <c r="K259" s="4"/>
      <c r="L259" s="4"/>
      <c r="M259" s="4"/>
      <c r="N259" s="4"/>
    </row>
    <row r="260" spans="1:14">
      <c r="A260" s="4"/>
      <c r="B260" s="4"/>
      <c r="C260" s="4"/>
      <c r="D260" s="4"/>
      <c r="E260" s="4"/>
      <c r="F260" s="4"/>
      <c r="H260" s="4"/>
      <c r="I260" s="6"/>
      <c r="J260" s="4"/>
      <c r="K260" s="4"/>
      <c r="L260" s="4"/>
      <c r="M260" s="4"/>
      <c r="N260" s="4"/>
    </row>
    <row r="261" spans="1:14">
      <c r="A261" s="4"/>
      <c r="B261" s="4"/>
      <c r="C261" s="4"/>
      <c r="D261" s="4"/>
      <c r="E261" s="4"/>
      <c r="F261" s="4"/>
      <c r="H261" s="4"/>
      <c r="I261" s="6"/>
      <c r="J261" s="4"/>
      <c r="K261" s="4"/>
      <c r="L261" s="4"/>
      <c r="M261" s="4"/>
      <c r="N261" s="4"/>
    </row>
    <row r="262" spans="1:14">
      <c r="A262" s="4"/>
      <c r="B262" s="4"/>
      <c r="C262" s="4"/>
      <c r="D262" s="4"/>
      <c r="E262" s="4"/>
      <c r="F262" s="4"/>
      <c r="H262" s="4"/>
      <c r="I262" s="6"/>
      <c r="J262" s="4"/>
      <c r="K262" s="4"/>
      <c r="L262" s="4"/>
      <c r="M262" s="4"/>
      <c r="N262" s="4"/>
    </row>
    <row r="263" spans="1:14">
      <c r="A263" s="4"/>
      <c r="B263" s="4"/>
      <c r="C263" s="4"/>
      <c r="D263" s="4"/>
      <c r="E263" s="4"/>
      <c r="F263" s="4"/>
      <c r="H263" s="4"/>
      <c r="I263" s="6"/>
      <c r="J263" s="4"/>
      <c r="K263" s="4"/>
      <c r="L263" s="4"/>
      <c r="M263" s="4"/>
      <c r="N263" s="4"/>
    </row>
    <row r="264" spans="1:14">
      <c r="A264" s="4"/>
      <c r="B264" s="4"/>
      <c r="C264" s="4"/>
      <c r="D264" s="4"/>
      <c r="E264" s="4"/>
      <c r="F264" s="4"/>
      <c r="H264" s="4"/>
      <c r="I264" s="6"/>
      <c r="J264" s="4"/>
      <c r="K264" s="4"/>
      <c r="L264" s="4"/>
      <c r="M264" s="4"/>
      <c r="N264" s="4"/>
    </row>
    <row r="265" spans="1:14">
      <c r="A265" s="4"/>
      <c r="B265" s="4"/>
      <c r="C265" s="4"/>
      <c r="D265" s="4"/>
      <c r="E265" s="4"/>
      <c r="F265" s="4"/>
      <c r="H265" s="4"/>
      <c r="I265" s="6"/>
      <c r="J265" s="4"/>
      <c r="K265" s="4"/>
      <c r="L265" s="4"/>
      <c r="M265" s="4"/>
      <c r="N265" s="4"/>
    </row>
    <row r="266" spans="1:14">
      <c r="A266" s="4"/>
      <c r="B266" s="4"/>
      <c r="C266" s="4"/>
      <c r="D266" s="4"/>
      <c r="E266" s="4"/>
      <c r="F266" s="4"/>
      <c r="H266" s="4"/>
      <c r="I266" s="6"/>
      <c r="J266" s="4"/>
      <c r="K266" s="4"/>
      <c r="L266" s="4"/>
      <c r="M266" s="4"/>
      <c r="N266" s="4"/>
    </row>
    <row r="267" spans="1:14">
      <c r="A267" s="4"/>
      <c r="B267" s="4"/>
      <c r="C267" s="4"/>
      <c r="D267" s="4"/>
      <c r="E267" s="4"/>
      <c r="F267" s="4"/>
      <c r="H267" s="4"/>
      <c r="I267" s="6"/>
      <c r="J267" s="4"/>
      <c r="K267" s="4"/>
      <c r="L267" s="4"/>
      <c r="M267" s="4"/>
      <c r="N267" s="4"/>
    </row>
    <row r="268" spans="1:14">
      <c r="A268" s="4"/>
      <c r="B268" s="4"/>
      <c r="C268" s="4"/>
      <c r="D268" s="4"/>
      <c r="E268" s="4"/>
      <c r="F268" s="4"/>
      <c r="H268" s="4"/>
      <c r="I268" s="6"/>
      <c r="J268" s="4"/>
      <c r="K268" s="4"/>
      <c r="L268" s="4"/>
      <c r="M268" s="4"/>
      <c r="N268" s="4"/>
    </row>
    <row r="269" spans="1:14">
      <c r="A269" s="4"/>
      <c r="B269" s="4"/>
      <c r="C269" s="4"/>
      <c r="D269" s="4"/>
      <c r="E269" s="4"/>
      <c r="F269" s="4"/>
      <c r="H269" s="4"/>
      <c r="I269" s="6"/>
      <c r="J269" s="4"/>
      <c r="K269" s="4"/>
      <c r="L269" s="4"/>
      <c r="M269" s="4"/>
      <c r="N269" s="4"/>
    </row>
    <row r="270" spans="1:14">
      <c r="A270" s="4"/>
      <c r="B270" s="4"/>
      <c r="C270" s="4"/>
      <c r="D270" s="4"/>
      <c r="E270" s="4"/>
      <c r="F270" s="4"/>
      <c r="H270" s="4"/>
      <c r="I270" s="6"/>
      <c r="J270" s="4"/>
      <c r="K270" s="4"/>
      <c r="L270" s="4"/>
      <c r="M270" s="4"/>
      <c r="N270" s="4"/>
    </row>
    <row r="271" spans="1:14">
      <c r="A271" s="4"/>
      <c r="B271" s="4"/>
      <c r="C271" s="4"/>
      <c r="D271" s="4"/>
      <c r="E271" s="4"/>
      <c r="F271" s="4"/>
      <c r="H271" s="4"/>
      <c r="I271" s="6"/>
      <c r="J271" s="4"/>
      <c r="K271" s="4"/>
      <c r="L271" s="4"/>
      <c r="M271" s="4"/>
      <c r="N271" s="4"/>
    </row>
    <row r="272" spans="1:14">
      <c r="A272" s="4"/>
      <c r="B272" s="4"/>
      <c r="C272" s="4"/>
      <c r="D272" s="4"/>
      <c r="E272" s="4"/>
      <c r="F272" s="4"/>
      <c r="H272" s="4"/>
      <c r="I272" s="6"/>
      <c r="J272" s="4"/>
      <c r="K272" s="4"/>
      <c r="L272" s="4"/>
      <c r="M272" s="4"/>
      <c r="N272" s="4"/>
    </row>
    <row r="273" spans="1:14">
      <c r="A273" s="4"/>
      <c r="B273" s="4"/>
      <c r="C273" s="4"/>
      <c r="D273" s="4"/>
      <c r="E273" s="4"/>
      <c r="F273" s="4"/>
      <c r="H273" s="4"/>
      <c r="I273" s="6"/>
      <c r="J273" s="4"/>
      <c r="K273" s="4"/>
      <c r="L273" s="4"/>
      <c r="M273" s="4"/>
      <c r="N273" s="4"/>
    </row>
    <row r="274" spans="1:14">
      <c r="A274" s="4"/>
      <c r="B274" s="4"/>
      <c r="C274" s="4"/>
      <c r="D274" s="4"/>
      <c r="E274" s="4"/>
      <c r="F274" s="4"/>
      <c r="H274" s="4"/>
      <c r="I274" s="6"/>
      <c r="J274" s="4"/>
      <c r="K274" s="4"/>
      <c r="L274" s="4"/>
      <c r="M274" s="4"/>
      <c r="N274" s="4"/>
    </row>
    <row r="275" spans="1:14">
      <c r="A275" s="4"/>
      <c r="B275" s="4"/>
      <c r="C275" s="4"/>
      <c r="D275" s="4"/>
      <c r="E275" s="4"/>
      <c r="F275" s="4"/>
      <c r="H275" s="4"/>
      <c r="I275" s="6"/>
      <c r="J275" s="4"/>
      <c r="K275" s="4"/>
      <c r="L275" s="4"/>
      <c r="M275" s="4"/>
      <c r="N275" s="4"/>
    </row>
    <row r="276" spans="1:14">
      <c r="A276" s="4"/>
      <c r="B276" s="4"/>
      <c r="C276" s="4"/>
      <c r="D276" s="4"/>
      <c r="E276" s="4"/>
      <c r="F276" s="4"/>
      <c r="H276" s="4"/>
      <c r="I276" s="6"/>
      <c r="J276" s="4"/>
      <c r="K276" s="4"/>
      <c r="L276" s="4"/>
      <c r="M276" s="4"/>
      <c r="N276" s="4"/>
    </row>
    <row r="277" spans="1:14">
      <c r="A277" s="4"/>
      <c r="B277" s="4"/>
      <c r="C277" s="4"/>
      <c r="D277" s="4"/>
      <c r="E277" s="4"/>
      <c r="F277" s="4"/>
      <c r="H277" s="4"/>
      <c r="I277" s="6"/>
      <c r="J277" s="4"/>
      <c r="K277" s="4"/>
      <c r="L277" s="4"/>
      <c r="M277" s="4"/>
      <c r="N277" s="4"/>
    </row>
    <row r="278" spans="1:14">
      <c r="A278" s="4"/>
      <c r="B278" s="4"/>
      <c r="C278" s="4"/>
      <c r="D278" s="4"/>
      <c r="E278" s="4"/>
      <c r="F278" s="4"/>
      <c r="H278" s="4"/>
      <c r="I278" s="6"/>
      <c r="J278" s="4"/>
      <c r="K278" s="4"/>
      <c r="L278" s="4"/>
      <c r="M278" s="4"/>
      <c r="N278" s="4"/>
    </row>
    <row r="279" spans="1:14">
      <c r="A279" s="4"/>
      <c r="B279" s="4"/>
      <c r="C279" s="4"/>
      <c r="D279" s="4"/>
      <c r="E279" s="4"/>
      <c r="F279" s="4"/>
      <c r="H279" s="4"/>
      <c r="I279" s="6"/>
      <c r="J279" s="4"/>
      <c r="K279" s="4"/>
      <c r="L279" s="4"/>
      <c r="M279" s="4"/>
      <c r="N279" s="4"/>
    </row>
    <row r="280" spans="1:14">
      <c r="A280" s="4"/>
      <c r="B280" s="4"/>
      <c r="C280" s="4"/>
      <c r="D280" s="4"/>
      <c r="E280" s="4"/>
      <c r="F280" s="4"/>
      <c r="H280" s="4"/>
      <c r="I280" s="6"/>
      <c r="J280" s="4"/>
      <c r="K280" s="4"/>
      <c r="L280" s="4"/>
      <c r="M280" s="4"/>
      <c r="N280" s="4"/>
    </row>
    <row r="281" spans="1:14">
      <c r="A281" s="4"/>
      <c r="B281" s="4"/>
      <c r="C281" s="4"/>
      <c r="D281" s="4"/>
      <c r="E281" s="4"/>
      <c r="F281" s="4"/>
      <c r="H281" s="4"/>
      <c r="I281" s="6"/>
      <c r="J281" s="4"/>
      <c r="K281" s="4"/>
      <c r="L281" s="4"/>
      <c r="M281" s="4"/>
      <c r="N281" s="4"/>
    </row>
    <row r="282" spans="1:14">
      <c r="A282" s="4"/>
      <c r="B282" s="4"/>
      <c r="C282" s="4"/>
      <c r="D282" s="4"/>
      <c r="E282" s="4"/>
      <c r="F282" s="4"/>
      <c r="H282" s="4"/>
      <c r="I282" s="6"/>
      <c r="J282" s="4"/>
      <c r="K282" s="4"/>
      <c r="L282" s="4"/>
      <c r="M282" s="4"/>
      <c r="N282" s="4"/>
    </row>
    <row r="283" spans="1:14">
      <c r="A283" s="4"/>
      <c r="B283" s="4"/>
      <c r="C283" s="4"/>
      <c r="D283" s="4"/>
      <c r="E283" s="4"/>
      <c r="F283" s="4"/>
      <c r="H283" s="4"/>
      <c r="I283" s="6"/>
      <c r="J283" s="4"/>
      <c r="K283" s="4"/>
      <c r="L283" s="4"/>
      <c r="M283" s="4"/>
      <c r="N283" s="4"/>
    </row>
    <row r="284" spans="1:14">
      <c r="A284" s="4"/>
      <c r="B284" s="4"/>
      <c r="C284" s="4"/>
      <c r="D284" s="4"/>
      <c r="E284" s="4"/>
      <c r="F284" s="4"/>
      <c r="H284" s="4"/>
      <c r="I284" s="6"/>
      <c r="J284" s="4"/>
      <c r="K284" s="4"/>
      <c r="L284" s="4"/>
      <c r="M284" s="4"/>
      <c r="N284" s="4"/>
    </row>
    <row r="285" spans="1:14">
      <c r="A285" s="4"/>
      <c r="B285" s="4"/>
      <c r="C285" s="4"/>
      <c r="D285" s="4"/>
      <c r="E285" s="4"/>
      <c r="F285" s="4"/>
      <c r="H285" s="4"/>
      <c r="I285" s="6"/>
      <c r="J285" s="4"/>
      <c r="K285" s="4"/>
      <c r="L285" s="4"/>
      <c r="M285" s="4"/>
      <c r="N285" s="4"/>
    </row>
    <row r="286" spans="1:14">
      <c r="A286" s="4"/>
      <c r="B286" s="4"/>
      <c r="C286" s="4"/>
      <c r="D286" s="4"/>
      <c r="E286" s="4"/>
      <c r="F286" s="4"/>
      <c r="H286" s="4"/>
      <c r="I286" s="6"/>
      <c r="J286" s="4"/>
      <c r="K286" s="4"/>
      <c r="L286" s="4"/>
      <c r="M286" s="4"/>
      <c r="N286" s="4"/>
    </row>
    <row r="287" spans="1:14">
      <c r="A287" s="4"/>
      <c r="B287" s="4"/>
      <c r="C287" s="4"/>
      <c r="D287" s="4"/>
      <c r="E287" s="4"/>
      <c r="F287" s="4"/>
      <c r="H287" s="4"/>
      <c r="I287" s="6"/>
      <c r="J287" s="4"/>
      <c r="K287" s="4"/>
      <c r="L287" s="4"/>
      <c r="M287" s="4"/>
      <c r="N287" s="4"/>
    </row>
    <row r="288" spans="1:14">
      <c r="A288" s="4"/>
      <c r="B288" s="4"/>
      <c r="C288" s="4"/>
      <c r="D288" s="4"/>
      <c r="E288" s="4"/>
      <c r="F288" s="4"/>
      <c r="H288" s="4"/>
      <c r="I288" s="6"/>
      <c r="J288" s="4"/>
      <c r="K288" s="4"/>
      <c r="L288" s="4"/>
      <c r="M288" s="4"/>
      <c r="N288" s="4"/>
    </row>
    <row r="289" spans="1:14">
      <c r="A289" s="4"/>
      <c r="B289" s="4"/>
      <c r="C289" s="4"/>
      <c r="D289" s="4"/>
      <c r="E289" s="4"/>
      <c r="F289" s="4"/>
      <c r="H289" s="4"/>
      <c r="I289" s="6"/>
      <c r="J289" s="4"/>
      <c r="K289" s="4"/>
      <c r="L289" s="4"/>
      <c r="M289" s="4"/>
      <c r="N289" s="4"/>
    </row>
    <row r="290" spans="1:14">
      <c r="A290" s="4"/>
      <c r="B290" s="4"/>
      <c r="C290" s="4"/>
      <c r="D290" s="4"/>
      <c r="E290" s="4"/>
      <c r="F290" s="4"/>
      <c r="H290" s="4"/>
      <c r="I290" s="6"/>
      <c r="J290" s="4"/>
      <c r="K290" s="4"/>
      <c r="L290" s="4"/>
      <c r="M290" s="4"/>
      <c r="N290" s="4"/>
    </row>
    <row r="291" spans="1:14">
      <c r="A291" s="4"/>
      <c r="B291" s="4"/>
      <c r="C291" s="4"/>
      <c r="D291" s="4"/>
      <c r="E291" s="4"/>
      <c r="F291" s="4"/>
      <c r="H291" s="4"/>
      <c r="I291" s="6"/>
      <c r="J291" s="4"/>
      <c r="K291" s="4"/>
      <c r="L291" s="4"/>
      <c r="M291" s="4"/>
      <c r="N291" s="4"/>
    </row>
    <row r="292" spans="1:14">
      <c r="A292" s="4"/>
      <c r="B292" s="4"/>
      <c r="C292" s="4"/>
      <c r="D292" s="4"/>
      <c r="E292" s="4"/>
      <c r="F292" s="4"/>
      <c r="H292" s="4"/>
      <c r="I292" s="6"/>
      <c r="J292" s="4"/>
      <c r="K292" s="4"/>
      <c r="L292" s="4"/>
      <c r="M292" s="4"/>
      <c r="N292" s="4"/>
    </row>
    <row r="293" spans="1:14">
      <c r="A293" s="4"/>
      <c r="B293" s="4"/>
      <c r="C293" s="4"/>
      <c r="D293" s="4"/>
      <c r="E293" s="4"/>
      <c r="F293" s="4"/>
      <c r="H293" s="4"/>
      <c r="I293" s="6"/>
      <c r="J293" s="4"/>
      <c r="K293" s="4"/>
      <c r="L293" s="4"/>
      <c r="M293" s="4"/>
      <c r="N293" s="4"/>
    </row>
    <row r="294" spans="1:14">
      <c r="A294" s="4"/>
      <c r="B294" s="4"/>
      <c r="C294" s="4"/>
      <c r="D294" s="4"/>
      <c r="E294" s="4"/>
      <c r="F294" s="4"/>
      <c r="H294" s="4"/>
      <c r="I294" s="6"/>
      <c r="J294" s="4"/>
      <c r="K294" s="4"/>
      <c r="L294" s="4"/>
      <c r="M294" s="4"/>
      <c r="N294" s="4"/>
    </row>
    <row r="295" spans="1:14">
      <c r="A295" s="4"/>
      <c r="B295" s="4"/>
      <c r="C295" s="4"/>
      <c r="D295" s="4"/>
      <c r="E295" s="4"/>
      <c r="F295" s="4"/>
      <c r="H295" s="4"/>
      <c r="I295" s="6"/>
      <c r="J295" s="4"/>
      <c r="K295" s="4"/>
      <c r="L295" s="4"/>
      <c r="M295" s="4"/>
      <c r="N295" s="4"/>
    </row>
    <row r="296" spans="1:14">
      <c r="A296" s="4"/>
      <c r="B296" s="4"/>
      <c r="C296" s="4"/>
      <c r="D296" s="4"/>
      <c r="E296" s="4"/>
      <c r="F296" s="4"/>
      <c r="H296" s="4"/>
      <c r="I296" s="6"/>
      <c r="J296" s="4"/>
      <c r="K296" s="4"/>
      <c r="L296" s="4"/>
      <c r="M296" s="4"/>
      <c r="N296" s="4"/>
    </row>
    <row r="297" spans="1:14">
      <c r="A297" s="4"/>
      <c r="B297" s="4"/>
      <c r="C297" s="4"/>
      <c r="D297" s="4"/>
      <c r="E297" s="4"/>
      <c r="F297" s="4"/>
      <c r="H297" s="4"/>
      <c r="I297" s="6"/>
      <c r="J297" s="4"/>
      <c r="K297" s="4"/>
      <c r="L297" s="4"/>
      <c r="M297" s="4"/>
      <c r="N297" s="4"/>
    </row>
    <row r="298" spans="1:14">
      <c r="A298" s="4"/>
      <c r="B298" s="4"/>
      <c r="C298" s="4"/>
      <c r="D298" s="4"/>
      <c r="E298" s="4"/>
      <c r="F298" s="4"/>
      <c r="H298" s="4"/>
      <c r="I298" s="6"/>
      <c r="J298" s="4"/>
      <c r="K298" s="4"/>
      <c r="L298" s="4"/>
      <c r="M298" s="4"/>
      <c r="N298" s="4"/>
    </row>
    <row r="299" spans="1:14">
      <c r="A299" s="4"/>
      <c r="B299" s="4"/>
      <c r="C299" s="4"/>
      <c r="D299" s="4"/>
      <c r="E299" s="4"/>
      <c r="F299" s="4"/>
      <c r="H299" s="4"/>
      <c r="I299" s="6"/>
      <c r="J299" s="4"/>
      <c r="K299" s="4"/>
      <c r="L299" s="4"/>
      <c r="M299" s="4"/>
      <c r="N299" s="4"/>
    </row>
    <row r="300" spans="1:14">
      <c r="A300" s="4"/>
      <c r="B300" s="4"/>
      <c r="C300" s="4"/>
      <c r="D300" s="4"/>
      <c r="E300" s="4"/>
      <c r="F300" s="4"/>
      <c r="H300" s="4"/>
      <c r="I300" s="6"/>
      <c r="J300" s="4"/>
      <c r="K300" s="4"/>
      <c r="L300" s="4"/>
      <c r="M300" s="4"/>
      <c r="N300" s="4"/>
    </row>
    <row r="301" spans="1:14">
      <c r="A301" s="4"/>
      <c r="B301" s="4"/>
      <c r="C301" s="4"/>
      <c r="D301" s="4"/>
      <c r="E301" s="4"/>
      <c r="F301" s="4"/>
      <c r="H301" s="4"/>
      <c r="I301" s="6"/>
      <c r="J301" s="4"/>
      <c r="K301" s="4"/>
      <c r="L301" s="4"/>
      <c r="M301" s="4"/>
      <c r="N301" s="4"/>
    </row>
    <row r="302" spans="1:14">
      <c r="A302" s="4"/>
      <c r="B302" s="4"/>
      <c r="C302" s="4"/>
      <c r="D302" s="4"/>
      <c r="E302" s="4"/>
      <c r="F302" s="4"/>
      <c r="H302" s="4"/>
      <c r="I302" s="6"/>
      <c r="J302" s="4"/>
      <c r="K302" s="4"/>
      <c r="L302" s="4"/>
      <c r="M302" s="4"/>
      <c r="N302" s="4"/>
    </row>
    <row r="303" spans="1:14">
      <c r="A303" s="4"/>
      <c r="B303" s="4"/>
      <c r="C303" s="4"/>
      <c r="D303" s="4"/>
      <c r="E303" s="4"/>
      <c r="F303" s="4"/>
      <c r="H303" s="4"/>
      <c r="I303" s="6"/>
      <c r="J303" s="4"/>
      <c r="K303" s="4"/>
      <c r="L303" s="4"/>
      <c r="M303" s="4"/>
      <c r="N303" s="4"/>
    </row>
    <row r="304" spans="1:14">
      <c r="A304" s="4"/>
      <c r="B304" s="4"/>
      <c r="C304" s="4"/>
      <c r="D304" s="4"/>
      <c r="E304" s="4"/>
      <c r="F304" s="4"/>
      <c r="H304" s="4"/>
      <c r="I304" s="6"/>
      <c r="J304" s="4"/>
      <c r="K304" s="4"/>
      <c r="L304" s="4"/>
      <c r="M304" s="4"/>
      <c r="N304" s="4"/>
    </row>
    <row r="305" spans="1:14">
      <c r="A305" s="4"/>
      <c r="B305" s="4"/>
      <c r="C305" s="4"/>
      <c r="D305" s="4"/>
      <c r="E305" s="4"/>
      <c r="F305" s="4"/>
      <c r="H305" s="4"/>
      <c r="I305" s="6"/>
      <c r="J305" s="4"/>
      <c r="K305" s="4"/>
      <c r="L305" s="4"/>
      <c r="M305" s="4"/>
      <c r="N305" s="4"/>
    </row>
    <row r="306" spans="1:14">
      <c r="A306" s="4"/>
      <c r="B306" s="4"/>
      <c r="C306" s="4"/>
      <c r="D306" s="4"/>
      <c r="E306" s="4"/>
      <c r="F306" s="4"/>
      <c r="H306" s="4"/>
      <c r="I306" s="6"/>
      <c r="J306" s="4"/>
      <c r="K306" s="4"/>
      <c r="L306" s="4"/>
      <c r="M306" s="4"/>
      <c r="N306" s="4"/>
    </row>
    <row r="307" spans="1:14">
      <c r="A307" s="4"/>
      <c r="B307" s="4"/>
      <c r="C307" s="4"/>
      <c r="D307" s="4"/>
      <c r="E307" s="4"/>
      <c r="F307" s="4"/>
      <c r="H307" s="4"/>
      <c r="I307" s="6"/>
      <c r="J307" s="4"/>
      <c r="K307" s="4"/>
      <c r="L307" s="4"/>
      <c r="M307" s="4"/>
      <c r="N307" s="4"/>
    </row>
    <row r="308" spans="1:14">
      <c r="A308" s="4"/>
      <c r="B308" s="4"/>
      <c r="C308" s="4"/>
      <c r="D308" s="4"/>
      <c r="E308" s="4"/>
      <c r="F308" s="4"/>
      <c r="H308" s="4"/>
      <c r="I308" s="6"/>
      <c r="J308" s="4"/>
      <c r="K308" s="4"/>
      <c r="L308" s="4"/>
      <c r="M308" s="4"/>
      <c r="N308" s="4"/>
    </row>
    <row r="309" spans="1:14">
      <c r="A309" s="4"/>
      <c r="B309" s="4"/>
      <c r="C309" s="4"/>
      <c r="D309" s="4"/>
      <c r="E309" s="4"/>
      <c r="F309" s="4"/>
      <c r="H309" s="4"/>
      <c r="I309" s="6"/>
      <c r="J309" s="4"/>
      <c r="K309" s="4"/>
      <c r="L309" s="4"/>
      <c r="M309" s="4"/>
      <c r="N309" s="4"/>
    </row>
    <row r="310" spans="1:14">
      <c r="A310" s="4"/>
      <c r="B310" s="4"/>
      <c r="C310" s="4"/>
      <c r="D310" s="4"/>
      <c r="E310" s="4"/>
      <c r="F310" s="4"/>
      <c r="H310" s="4"/>
      <c r="I310" s="6"/>
      <c r="J310" s="4"/>
      <c r="K310" s="4"/>
      <c r="L310" s="4"/>
      <c r="M310" s="4"/>
      <c r="N310" s="4"/>
    </row>
    <row r="311" spans="1:14">
      <c r="A311" s="4"/>
      <c r="B311" s="4"/>
      <c r="C311" s="4"/>
      <c r="D311" s="4"/>
      <c r="E311" s="4"/>
      <c r="F311" s="4"/>
      <c r="H311" s="4"/>
      <c r="I311" s="6"/>
      <c r="J311" s="4"/>
      <c r="K311" s="4"/>
      <c r="L311" s="4"/>
      <c r="M311" s="4"/>
      <c r="N311" s="4"/>
    </row>
    <row r="312" spans="1:14">
      <c r="A312" s="4"/>
      <c r="B312" s="4"/>
      <c r="C312" s="4"/>
      <c r="D312" s="4"/>
      <c r="E312" s="4"/>
      <c r="F312" s="4"/>
      <c r="H312" s="4"/>
      <c r="I312" s="6"/>
      <c r="J312" s="4"/>
      <c r="K312" s="4"/>
      <c r="L312" s="4"/>
      <c r="M312" s="4"/>
      <c r="N312" s="4"/>
    </row>
    <row r="313" spans="1:14">
      <c r="A313" s="4"/>
      <c r="B313" s="4"/>
      <c r="C313" s="4"/>
      <c r="D313" s="4"/>
      <c r="E313" s="4"/>
      <c r="F313" s="4"/>
      <c r="H313" s="4"/>
      <c r="I313" s="6"/>
      <c r="J313" s="4"/>
      <c r="K313" s="4"/>
      <c r="L313" s="4"/>
      <c r="M313" s="4"/>
      <c r="N313" s="4"/>
    </row>
    <row r="314" spans="1:14">
      <c r="A314" s="4"/>
      <c r="B314" s="4"/>
      <c r="C314" s="4"/>
      <c r="D314" s="4"/>
      <c r="E314" s="4"/>
      <c r="F314" s="4"/>
      <c r="H314" s="4"/>
      <c r="I314" s="6"/>
      <c r="J314" s="4"/>
      <c r="K314" s="4"/>
      <c r="L314" s="4"/>
      <c r="M314" s="4"/>
      <c r="N314" s="4"/>
    </row>
    <row r="315" spans="1:14">
      <c r="A315" s="4"/>
      <c r="B315" s="4"/>
      <c r="C315" s="4"/>
      <c r="D315" s="4"/>
      <c r="E315" s="4"/>
      <c r="F315" s="4"/>
      <c r="H315" s="4"/>
      <c r="I315" s="6"/>
      <c r="J315" s="4"/>
      <c r="K315" s="4"/>
      <c r="L315" s="4"/>
      <c r="M315" s="4"/>
      <c r="N315" s="4"/>
    </row>
    <row r="316" spans="1:14">
      <c r="A316" s="4"/>
      <c r="B316" s="4"/>
      <c r="C316" s="4"/>
      <c r="D316" s="4"/>
      <c r="E316" s="4"/>
      <c r="F316" s="4"/>
      <c r="H316" s="4"/>
      <c r="I316" s="6"/>
      <c r="J316" s="4"/>
      <c r="K316" s="4"/>
      <c r="L316" s="4"/>
      <c r="M316" s="4"/>
      <c r="N316" s="4"/>
    </row>
    <row r="317" spans="1:14">
      <c r="A317" s="4"/>
      <c r="B317" s="4"/>
      <c r="C317" s="4"/>
      <c r="D317" s="4"/>
      <c r="E317" s="4"/>
      <c r="F317" s="4"/>
      <c r="H317" s="4"/>
      <c r="I317" s="6"/>
      <c r="J317" s="4"/>
      <c r="K317" s="4"/>
      <c r="L317" s="4"/>
      <c r="M317" s="4"/>
      <c r="N317" s="4"/>
    </row>
    <row r="318" spans="1:14">
      <c r="A318" s="4"/>
      <c r="B318" s="4"/>
      <c r="C318" s="4"/>
      <c r="D318" s="4"/>
      <c r="E318" s="4"/>
      <c r="F318" s="4"/>
      <c r="H318" s="4"/>
      <c r="I318" s="6"/>
      <c r="J318" s="4"/>
      <c r="K318" s="4"/>
      <c r="L318" s="4"/>
      <c r="M318" s="4"/>
      <c r="N318" s="4"/>
    </row>
    <row r="319" spans="1:14">
      <c r="A319" s="4"/>
      <c r="B319" s="4"/>
      <c r="C319" s="4"/>
      <c r="D319" s="4"/>
      <c r="E319" s="4"/>
      <c r="F319" s="4"/>
      <c r="H319" s="4"/>
      <c r="I319" s="6"/>
      <c r="J319" s="4"/>
      <c r="K319" s="4"/>
      <c r="L319" s="4"/>
      <c r="M319" s="4"/>
      <c r="N319" s="4"/>
    </row>
    <row r="320" spans="1:14">
      <c r="A320" s="4"/>
      <c r="B320" s="4"/>
      <c r="C320" s="4"/>
      <c r="D320" s="4"/>
      <c r="E320" s="4"/>
      <c r="F320" s="4"/>
      <c r="H320" s="4"/>
      <c r="I320" s="6"/>
      <c r="J320" s="4"/>
      <c r="K320" s="4"/>
      <c r="L320" s="4"/>
      <c r="M320" s="4"/>
      <c r="N320" s="4"/>
    </row>
    <row r="321" spans="1:14">
      <c r="A321" s="4"/>
      <c r="B321" s="4"/>
      <c r="C321" s="4"/>
      <c r="D321" s="4"/>
      <c r="E321" s="4"/>
      <c r="F321" s="4"/>
      <c r="H321" s="4"/>
      <c r="I321" s="6"/>
      <c r="J321" s="4"/>
      <c r="K321" s="4"/>
      <c r="L321" s="4"/>
      <c r="M321" s="4"/>
      <c r="N321" s="4"/>
    </row>
    <row r="322" spans="1:14">
      <c r="A322" s="4"/>
      <c r="B322" s="4"/>
      <c r="C322" s="4"/>
      <c r="D322" s="4"/>
      <c r="E322" s="4"/>
      <c r="F322" s="4"/>
      <c r="H322" s="4"/>
      <c r="I322" s="6"/>
      <c r="J322" s="4"/>
      <c r="K322" s="4"/>
      <c r="L322" s="4"/>
      <c r="M322" s="4"/>
      <c r="N322" s="4"/>
    </row>
    <row r="323" spans="1:14">
      <c r="A323" s="4"/>
      <c r="B323" s="4"/>
      <c r="C323" s="4"/>
      <c r="D323" s="4"/>
      <c r="E323" s="4"/>
      <c r="F323" s="4"/>
      <c r="H323" s="4"/>
      <c r="I323" s="6"/>
      <c r="J323" s="4"/>
      <c r="K323" s="4"/>
      <c r="L323" s="4"/>
      <c r="M323" s="4"/>
      <c r="N323" s="4"/>
    </row>
    <row r="324" spans="1:14">
      <c r="A324" s="4"/>
      <c r="B324" s="4"/>
      <c r="C324" s="4"/>
      <c r="D324" s="4"/>
      <c r="E324" s="4"/>
      <c r="F324" s="4"/>
      <c r="H324" s="4"/>
      <c r="I324" s="6"/>
      <c r="J324" s="4"/>
      <c r="K324" s="4"/>
      <c r="L324" s="4"/>
      <c r="M324" s="4"/>
      <c r="N324" s="4"/>
    </row>
    <row r="325" spans="1:14">
      <c r="A325" s="4"/>
      <c r="B325" s="4"/>
      <c r="C325" s="4"/>
      <c r="D325" s="4"/>
      <c r="E325" s="4"/>
      <c r="F325" s="4"/>
      <c r="H325" s="4"/>
      <c r="I325" s="6"/>
      <c r="J325" s="4"/>
      <c r="K325" s="4"/>
      <c r="L325" s="4"/>
      <c r="M325" s="4"/>
      <c r="N325" s="4"/>
    </row>
    <row r="326" spans="1:14">
      <c r="A326" s="4"/>
      <c r="B326" s="4"/>
      <c r="C326" s="4"/>
      <c r="D326" s="4"/>
      <c r="E326" s="4"/>
      <c r="F326" s="4"/>
      <c r="H326" s="4"/>
      <c r="I326" s="6"/>
      <c r="J326" s="4"/>
      <c r="K326" s="4"/>
      <c r="L326" s="4"/>
      <c r="M326" s="4"/>
      <c r="N326" s="4"/>
    </row>
    <row r="327" spans="1:14">
      <c r="A327" s="4"/>
      <c r="B327" s="4"/>
      <c r="C327" s="4"/>
      <c r="D327" s="4"/>
      <c r="E327" s="4"/>
      <c r="F327" s="4"/>
      <c r="H327" s="4"/>
      <c r="I327" s="6"/>
      <c r="J327" s="4"/>
      <c r="K327" s="4"/>
      <c r="L327" s="4"/>
      <c r="M327" s="4"/>
      <c r="N327" s="4"/>
    </row>
    <row r="328" spans="1:14">
      <c r="A328" s="4"/>
      <c r="B328" s="4"/>
      <c r="C328" s="4"/>
      <c r="D328" s="4"/>
      <c r="E328" s="4"/>
      <c r="F328" s="4"/>
      <c r="H328" s="4"/>
      <c r="I328" s="6"/>
      <c r="J328" s="4"/>
      <c r="K328" s="4"/>
      <c r="L328" s="4"/>
      <c r="M328" s="4"/>
      <c r="N328" s="4"/>
    </row>
    <row r="329" spans="1:14">
      <c r="A329" s="4"/>
      <c r="B329" s="4"/>
      <c r="C329" s="4"/>
      <c r="D329" s="4"/>
      <c r="E329" s="4"/>
      <c r="F329" s="4"/>
      <c r="H329" s="4"/>
      <c r="I329" s="6"/>
      <c r="J329" s="4"/>
      <c r="K329" s="4"/>
      <c r="L329" s="4"/>
      <c r="M329" s="4"/>
      <c r="N329" s="4"/>
    </row>
    <row r="330" spans="1:14">
      <c r="A330" s="4"/>
      <c r="B330" s="4"/>
      <c r="C330" s="4"/>
      <c r="D330" s="4"/>
      <c r="E330" s="4"/>
      <c r="F330" s="4"/>
      <c r="H330" s="4"/>
      <c r="I330" s="6"/>
      <c r="J330" s="4"/>
      <c r="K330" s="4"/>
      <c r="L330" s="4"/>
      <c r="M330" s="4"/>
      <c r="N330" s="4"/>
    </row>
    <row r="331" spans="1:14">
      <c r="A331" s="4"/>
      <c r="B331" s="4"/>
      <c r="C331" s="4"/>
      <c r="D331" s="4"/>
      <c r="E331" s="4"/>
      <c r="F331" s="4"/>
      <c r="H331" s="4"/>
      <c r="I331" s="6"/>
      <c r="J331" s="4"/>
      <c r="K331" s="4"/>
      <c r="L331" s="4"/>
      <c r="M331" s="4"/>
      <c r="N331" s="4"/>
    </row>
    <row r="332" spans="1:14">
      <c r="A332" s="4"/>
      <c r="B332" s="4"/>
      <c r="C332" s="4"/>
      <c r="D332" s="4"/>
      <c r="E332" s="4"/>
      <c r="F332" s="4"/>
      <c r="H332" s="4"/>
      <c r="I332" s="6"/>
      <c r="J332" s="4"/>
      <c r="K332" s="4"/>
      <c r="L332" s="4"/>
      <c r="M332" s="4"/>
      <c r="N332" s="4"/>
    </row>
    <row r="333" spans="1:14">
      <c r="A333" s="4"/>
      <c r="B333" s="4"/>
      <c r="C333" s="4"/>
      <c r="D333" s="4"/>
      <c r="E333" s="4"/>
      <c r="F333" s="4"/>
      <c r="H333" s="4"/>
      <c r="I333" s="6"/>
      <c r="J333" s="4"/>
      <c r="K333" s="4"/>
      <c r="L333" s="4"/>
      <c r="M333" s="4"/>
      <c r="N333" s="4"/>
    </row>
    <row r="334" spans="1:14">
      <c r="A334" s="4"/>
      <c r="B334" s="4"/>
      <c r="C334" s="4"/>
      <c r="D334" s="4"/>
      <c r="E334" s="4"/>
      <c r="F334" s="4"/>
      <c r="H334" s="4"/>
      <c r="I334" s="6"/>
      <c r="J334" s="4"/>
      <c r="K334" s="4"/>
      <c r="L334" s="4"/>
      <c r="M334" s="4"/>
      <c r="N334" s="4"/>
    </row>
    <row r="335" spans="1:14">
      <c r="A335" s="4"/>
      <c r="B335" s="4"/>
      <c r="C335" s="4"/>
      <c r="D335" s="4"/>
      <c r="E335" s="4"/>
      <c r="F335" s="4"/>
      <c r="H335" s="4"/>
      <c r="I335" s="6"/>
      <c r="J335" s="4"/>
      <c r="K335" s="4"/>
      <c r="L335" s="4"/>
      <c r="M335" s="4"/>
      <c r="N335" s="4"/>
    </row>
    <row r="336" spans="1:14">
      <c r="A336" s="4"/>
      <c r="B336" s="4"/>
      <c r="C336" s="4"/>
      <c r="D336" s="4"/>
      <c r="E336" s="4"/>
      <c r="F336" s="4"/>
      <c r="H336" s="4"/>
      <c r="I336" s="6"/>
      <c r="J336" s="4"/>
      <c r="K336" s="4"/>
      <c r="L336" s="4"/>
      <c r="M336" s="4"/>
      <c r="N336" s="4"/>
    </row>
    <row r="337" spans="1:14">
      <c r="A337" s="4"/>
      <c r="B337" s="4"/>
      <c r="C337" s="4"/>
      <c r="D337" s="4"/>
      <c r="E337" s="4"/>
      <c r="F337" s="4"/>
      <c r="H337" s="4"/>
      <c r="I337" s="6"/>
      <c r="J337" s="4"/>
      <c r="K337" s="4"/>
      <c r="L337" s="4"/>
      <c r="M337" s="4"/>
      <c r="N337" s="4"/>
    </row>
    <row r="338" spans="1:14">
      <c r="A338" s="4"/>
      <c r="B338" s="4"/>
      <c r="C338" s="4"/>
      <c r="D338" s="4"/>
      <c r="E338" s="4"/>
      <c r="F338" s="4"/>
      <c r="H338" s="4"/>
      <c r="I338" s="6"/>
      <c r="J338" s="4"/>
      <c r="K338" s="4"/>
      <c r="L338" s="4"/>
      <c r="M338" s="4"/>
      <c r="N338" s="4"/>
    </row>
    <row r="339" spans="1:14">
      <c r="A339" s="4"/>
      <c r="B339" s="4"/>
      <c r="C339" s="4"/>
      <c r="D339" s="4"/>
      <c r="E339" s="4"/>
      <c r="F339" s="4"/>
      <c r="H339" s="4"/>
      <c r="I339" s="6"/>
      <c r="J339" s="4"/>
      <c r="K339" s="4"/>
      <c r="L339" s="4"/>
      <c r="M339" s="4"/>
      <c r="N339" s="4"/>
    </row>
    <row r="340" spans="1:14">
      <c r="A340" s="4"/>
      <c r="B340" s="4"/>
      <c r="C340" s="4"/>
      <c r="D340" s="4"/>
      <c r="E340" s="4"/>
      <c r="F340" s="4"/>
      <c r="H340" s="4"/>
      <c r="I340" s="6"/>
      <c r="J340" s="4"/>
      <c r="K340" s="4"/>
      <c r="L340" s="4"/>
      <c r="M340" s="4"/>
      <c r="N340" s="4"/>
    </row>
    <row r="341" spans="1:14">
      <c r="A341" s="4"/>
      <c r="B341" s="4"/>
      <c r="C341" s="4"/>
      <c r="D341" s="4"/>
      <c r="E341" s="4"/>
      <c r="F341" s="4"/>
      <c r="H341" s="4"/>
      <c r="I341" s="6"/>
      <c r="J341" s="4"/>
      <c r="K341" s="4"/>
      <c r="L341" s="4"/>
      <c r="M341" s="4"/>
      <c r="N341" s="4"/>
    </row>
    <row r="342" spans="1:14">
      <c r="A342" s="4"/>
      <c r="B342" s="4"/>
      <c r="C342" s="4"/>
      <c r="D342" s="4"/>
      <c r="E342" s="4"/>
      <c r="F342" s="4"/>
      <c r="H342" s="4"/>
      <c r="I342" s="6"/>
      <c r="J342" s="4"/>
      <c r="K342" s="4"/>
      <c r="L342" s="4"/>
      <c r="M342" s="4"/>
      <c r="N342" s="4"/>
    </row>
    <row r="343" spans="1:14">
      <c r="A343" s="4"/>
      <c r="B343" s="4"/>
      <c r="C343" s="4"/>
      <c r="D343" s="4"/>
      <c r="E343" s="4"/>
      <c r="F343" s="4"/>
      <c r="H343" s="4"/>
      <c r="I343" s="6"/>
      <c r="J343" s="4"/>
      <c r="K343" s="4"/>
      <c r="L343" s="4"/>
      <c r="M343" s="4"/>
      <c r="N343" s="4"/>
    </row>
    <row r="344" spans="1:14">
      <c r="A344" s="4"/>
      <c r="B344" s="4"/>
      <c r="C344" s="4"/>
      <c r="D344" s="4"/>
      <c r="E344" s="4"/>
      <c r="F344" s="4"/>
      <c r="H344" s="4"/>
      <c r="I344" s="6"/>
      <c r="J344" s="4"/>
      <c r="K344" s="4"/>
      <c r="L344" s="4"/>
      <c r="M344" s="4"/>
      <c r="N344" s="4"/>
    </row>
    <row r="345" spans="1:14">
      <c r="A345" s="4"/>
      <c r="B345" s="4"/>
      <c r="C345" s="4"/>
      <c r="D345" s="4"/>
      <c r="E345" s="4"/>
      <c r="F345" s="4"/>
      <c r="H345" s="4"/>
      <c r="I345" s="6"/>
      <c r="J345" s="4"/>
      <c r="K345" s="4"/>
      <c r="L345" s="4"/>
      <c r="M345" s="4"/>
      <c r="N345" s="4"/>
    </row>
    <row r="346" spans="1:14">
      <c r="A346" s="4"/>
      <c r="B346" s="4"/>
      <c r="C346" s="4"/>
      <c r="D346" s="4"/>
      <c r="E346" s="4"/>
      <c r="F346" s="4"/>
      <c r="H346" s="4"/>
      <c r="I346" s="6"/>
      <c r="J346" s="4"/>
      <c r="K346" s="4"/>
      <c r="L346" s="4"/>
      <c r="M346" s="4"/>
      <c r="N346" s="4"/>
    </row>
    <row r="347" spans="1:14">
      <c r="A347" s="4"/>
      <c r="B347" s="4"/>
      <c r="C347" s="4"/>
      <c r="D347" s="4"/>
      <c r="E347" s="4"/>
      <c r="F347" s="4"/>
      <c r="H347" s="4"/>
      <c r="I347" s="6"/>
      <c r="J347" s="4"/>
      <c r="K347" s="4"/>
      <c r="L347" s="4"/>
      <c r="M347" s="4"/>
      <c r="N347" s="4"/>
    </row>
    <row r="348" spans="1:14">
      <c r="A348" s="4"/>
      <c r="B348" s="4"/>
      <c r="C348" s="4"/>
      <c r="D348" s="4"/>
      <c r="E348" s="4"/>
      <c r="F348" s="4"/>
      <c r="H348" s="4"/>
      <c r="I348" s="6"/>
      <c r="J348" s="4"/>
      <c r="K348" s="4"/>
      <c r="L348" s="4"/>
      <c r="M348" s="4"/>
      <c r="N348" s="4"/>
    </row>
    <row r="349" spans="1:14">
      <c r="A349" s="4"/>
      <c r="B349" s="4"/>
      <c r="C349" s="4"/>
      <c r="D349" s="4"/>
      <c r="E349" s="4"/>
      <c r="F349" s="4"/>
      <c r="H349" s="4"/>
      <c r="I349" s="6"/>
      <c r="J349" s="4"/>
      <c r="K349" s="4"/>
      <c r="L349" s="4"/>
      <c r="M349" s="4"/>
      <c r="N349" s="4"/>
    </row>
    <row r="350" spans="1:14">
      <c r="A350" s="4"/>
      <c r="B350" s="4"/>
      <c r="C350" s="4"/>
      <c r="D350" s="4"/>
      <c r="E350" s="4"/>
      <c r="F350" s="4"/>
      <c r="H350" s="4"/>
      <c r="I350" s="6"/>
      <c r="J350" s="4"/>
      <c r="K350" s="4"/>
      <c r="L350" s="4"/>
      <c r="M350" s="4"/>
      <c r="N350" s="4"/>
    </row>
    <row r="351" spans="1:14">
      <c r="A351" s="4"/>
      <c r="B351" s="4"/>
      <c r="C351" s="4"/>
      <c r="D351" s="4"/>
      <c r="E351" s="4"/>
      <c r="F351" s="4"/>
      <c r="H351" s="4"/>
      <c r="I351" s="6"/>
      <c r="J351" s="4"/>
      <c r="K351" s="4"/>
      <c r="L351" s="4"/>
      <c r="M351" s="4"/>
      <c r="N351" s="4"/>
    </row>
    <row r="352" spans="1:14">
      <c r="A352" s="4"/>
      <c r="B352" s="4"/>
      <c r="C352" s="4"/>
      <c r="D352" s="4"/>
      <c r="E352" s="4"/>
      <c r="F352" s="4"/>
      <c r="H352" s="4"/>
      <c r="I352" s="6"/>
      <c r="J352" s="4"/>
      <c r="K352" s="4"/>
      <c r="L352" s="4"/>
      <c r="M352" s="4"/>
      <c r="N352" s="4"/>
    </row>
    <row r="353" spans="1:14">
      <c r="A353" s="4"/>
      <c r="B353" s="4"/>
      <c r="C353" s="4"/>
      <c r="D353" s="4"/>
      <c r="E353" s="4"/>
      <c r="F353" s="4"/>
      <c r="H353" s="4"/>
      <c r="I353" s="6"/>
      <c r="J353" s="4"/>
      <c r="K353" s="4"/>
      <c r="L353" s="4"/>
      <c r="M353" s="4"/>
      <c r="N353" s="4"/>
    </row>
    <row r="354" spans="1:14">
      <c r="A354" s="4"/>
      <c r="B354" s="4"/>
      <c r="C354" s="4"/>
      <c r="D354" s="4"/>
      <c r="E354" s="4"/>
      <c r="F354" s="4"/>
      <c r="H354" s="4"/>
      <c r="I354" s="6"/>
      <c r="J354" s="4"/>
      <c r="K354" s="4"/>
      <c r="L354" s="4"/>
      <c r="M354" s="4"/>
      <c r="N354" s="4"/>
    </row>
    <row r="355" spans="1:14">
      <c r="A355" s="4"/>
      <c r="B355" s="4"/>
      <c r="C355" s="4"/>
      <c r="D355" s="4"/>
      <c r="E355" s="4"/>
      <c r="F355" s="4"/>
      <c r="H355" s="4"/>
      <c r="I355" s="6"/>
      <c r="J355" s="4"/>
      <c r="K355" s="4"/>
      <c r="L355" s="4"/>
      <c r="M355" s="4"/>
      <c r="N355" s="4"/>
    </row>
    <row r="356" spans="1:14">
      <c r="A356" s="4"/>
      <c r="B356" s="4"/>
      <c r="C356" s="4"/>
      <c r="D356" s="4"/>
      <c r="E356" s="4"/>
      <c r="F356" s="4"/>
      <c r="H356" s="4"/>
      <c r="I356" s="6"/>
      <c r="J356" s="4"/>
      <c r="K356" s="4"/>
      <c r="L356" s="4"/>
      <c r="M356" s="4"/>
      <c r="N356" s="4"/>
    </row>
    <row r="357" spans="1:14">
      <c r="A357" s="4"/>
      <c r="B357" s="4"/>
      <c r="C357" s="4"/>
      <c r="D357" s="4"/>
      <c r="E357" s="4"/>
      <c r="F357" s="4"/>
      <c r="H357" s="4"/>
      <c r="I357" s="6"/>
      <c r="J357" s="4"/>
      <c r="K357" s="4"/>
      <c r="L357" s="4"/>
      <c r="M357" s="4"/>
      <c r="N357" s="4"/>
    </row>
    <row r="358" spans="1:14">
      <c r="A358" s="4"/>
      <c r="B358" s="4"/>
      <c r="C358" s="4"/>
      <c r="D358" s="4"/>
      <c r="E358" s="4"/>
      <c r="F358" s="4"/>
      <c r="H358" s="4"/>
      <c r="I358" s="6"/>
      <c r="J358" s="4"/>
      <c r="K358" s="4"/>
      <c r="L358" s="4"/>
      <c r="M358" s="4"/>
      <c r="N358" s="4"/>
    </row>
    <row r="359" spans="1:14">
      <c r="A359" s="4"/>
      <c r="B359" s="4"/>
      <c r="C359" s="4"/>
      <c r="D359" s="4"/>
      <c r="E359" s="4"/>
      <c r="F359" s="4"/>
      <c r="H359" s="4"/>
      <c r="I359" s="6"/>
      <c r="J359" s="4"/>
      <c r="K359" s="4"/>
      <c r="L359" s="4"/>
      <c r="M359" s="4"/>
      <c r="N359" s="4"/>
    </row>
    <row r="360" spans="1:14">
      <c r="A360" s="4"/>
      <c r="B360" s="4"/>
      <c r="C360" s="4"/>
      <c r="D360" s="4"/>
      <c r="E360" s="4"/>
      <c r="F360" s="4"/>
      <c r="H360" s="4"/>
      <c r="I360" s="6"/>
      <c r="J360" s="4"/>
      <c r="K360" s="4"/>
      <c r="L360" s="4"/>
      <c r="M360" s="4"/>
      <c r="N360" s="4"/>
    </row>
    <row r="361" spans="1:14">
      <c r="A361" s="4"/>
      <c r="B361" s="4"/>
      <c r="C361" s="4"/>
      <c r="D361" s="4"/>
      <c r="E361" s="4"/>
      <c r="F361" s="4"/>
      <c r="H361" s="4"/>
      <c r="I361" s="6"/>
      <c r="J361" s="4"/>
      <c r="K361" s="4"/>
      <c r="L361" s="4"/>
      <c r="M361" s="4"/>
      <c r="N361" s="4"/>
    </row>
    <row r="362" spans="1:14">
      <c r="A362" s="4"/>
      <c r="B362" s="4"/>
      <c r="C362" s="4"/>
      <c r="D362" s="4"/>
      <c r="E362" s="4"/>
      <c r="F362" s="4"/>
      <c r="H362" s="4"/>
      <c r="I362" s="6"/>
      <c r="J362" s="4"/>
      <c r="K362" s="4"/>
      <c r="L362" s="4"/>
      <c r="M362" s="4"/>
      <c r="N362" s="4"/>
    </row>
    <row r="363" spans="1:14">
      <c r="A363" s="4"/>
      <c r="B363" s="4"/>
      <c r="C363" s="4"/>
      <c r="D363" s="4"/>
      <c r="E363" s="4"/>
      <c r="F363" s="4"/>
      <c r="H363" s="4"/>
      <c r="I363" s="6"/>
      <c r="J363" s="4"/>
      <c r="K363" s="4"/>
      <c r="L363" s="4"/>
      <c r="M363" s="4"/>
      <c r="N363" s="4"/>
    </row>
    <row r="364" spans="1:14">
      <c r="A364" s="4"/>
      <c r="B364" s="4"/>
      <c r="C364" s="4"/>
      <c r="D364" s="4"/>
      <c r="E364" s="4"/>
      <c r="F364" s="4"/>
      <c r="H364" s="4"/>
      <c r="I364" s="6"/>
      <c r="J364" s="4"/>
      <c r="K364" s="4"/>
      <c r="L364" s="4"/>
      <c r="M364" s="4"/>
      <c r="N364" s="4"/>
    </row>
    <row r="365" spans="1:14">
      <c r="A365" s="4"/>
      <c r="B365" s="4"/>
      <c r="C365" s="4"/>
      <c r="D365" s="4"/>
      <c r="E365" s="4"/>
      <c r="F365" s="4"/>
      <c r="H365" s="4"/>
      <c r="I365" s="6"/>
      <c r="J365" s="4"/>
      <c r="K365" s="4"/>
      <c r="L365" s="4"/>
      <c r="M365" s="4"/>
      <c r="N365" s="4"/>
    </row>
    <row r="366" spans="1:14">
      <c r="A366" s="4"/>
      <c r="B366" s="4"/>
      <c r="C366" s="4"/>
      <c r="D366" s="4"/>
      <c r="E366" s="4"/>
      <c r="F366" s="4"/>
      <c r="H366" s="4"/>
      <c r="I366" s="6"/>
      <c r="J366" s="4"/>
      <c r="K366" s="4"/>
      <c r="L366" s="4"/>
      <c r="M366" s="4"/>
      <c r="N366" s="4"/>
    </row>
    <row r="367" spans="1:14">
      <c r="A367" s="4"/>
      <c r="B367" s="4"/>
      <c r="C367" s="4"/>
      <c r="D367" s="4"/>
      <c r="E367" s="4"/>
      <c r="F367" s="4"/>
      <c r="H367" s="4"/>
      <c r="I367" s="6"/>
      <c r="J367" s="4"/>
      <c r="K367" s="4"/>
      <c r="L367" s="4"/>
      <c r="M367" s="4"/>
      <c r="N367" s="4"/>
    </row>
    <row r="368" spans="1:14">
      <c r="A368" s="4"/>
      <c r="B368" s="4"/>
      <c r="C368" s="4"/>
      <c r="D368" s="4"/>
      <c r="E368" s="4"/>
      <c r="F368" s="4"/>
      <c r="H368" s="4"/>
      <c r="I368" s="6"/>
      <c r="J368" s="4"/>
      <c r="K368" s="4"/>
      <c r="L368" s="4"/>
      <c r="M368" s="4"/>
      <c r="N368" s="4"/>
    </row>
    <row r="369" spans="1:14">
      <c r="A369" s="4"/>
      <c r="B369" s="4"/>
      <c r="C369" s="4"/>
      <c r="D369" s="4"/>
      <c r="E369" s="4"/>
      <c r="F369" s="4"/>
      <c r="H369" s="4"/>
      <c r="I369" s="6"/>
      <c r="J369" s="4"/>
      <c r="K369" s="4"/>
      <c r="L369" s="4"/>
      <c r="M369" s="4"/>
      <c r="N369" s="4"/>
    </row>
    <row r="370" spans="1:14">
      <c r="A370" s="4"/>
      <c r="B370" s="4"/>
      <c r="C370" s="4"/>
      <c r="D370" s="4"/>
      <c r="E370" s="4"/>
      <c r="F370" s="4"/>
      <c r="H370" s="4"/>
      <c r="I370" s="6"/>
      <c r="J370" s="4"/>
      <c r="K370" s="4"/>
      <c r="L370" s="4"/>
      <c r="M370" s="4"/>
      <c r="N370" s="4"/>
    </row>
    <row r="371" spans="1:14">
      <c r="A371" s="4"/>
      <c r="B371" s="4"/>
      <c r="C371" s="4"/>
      <c r="D371" s="4"/>
      <c r="E371" s="4"/>
      <c r="F371" s="4"/>
      <c r="H371" s="4"/>
      <c r="I371" s="6"/>
      <c r="J371" s="4"/>
      <c r="K371" s="4"/>
      <c r="L371" s="4"/>
      <c r="M371" s="4"/>
      <c r="N371" s="4"/>
    </row>
    <row r="372" spans="1:14">
      <c r="A372" s="4"/>
      <c r="B372" s="4"/>
      <c r="C372" s="4"/>
      <c r="D372" s="4"/>
      <c r="E372" s="4"/>
      <c r="F372" s="4"/>
      <c r="H372" s="4"/>
      <c r="I372" s="6"/>
      <c r="J372" s="4"/>
      <c r="K372" s="4"/>
      <c r="L372" s="4"/>
      <c r="M372" s="4"/>
      <c r="N372" s="4"/>
    </row>
    <row r="373" spans="1:14">
      <c r="A373" s="4"/>
      <c r="B373" s="4"/>
      <c r="C373" s="4"/>
      <c r="D373" s="4"/>
      <c r="E373" s="4"/>
      <c r="F373" s="4"/>
      <c r="H373" s="4"/>
      <c r="I373" s="6"/>
      <c r="J373" s="4"/>
      <c r="K373" s="4"/>
      <c r="L373" s="4"/>
      <c r="M373" s="4"/>
      <c r="N373" s="4"/>
    </row>
    <row r="374" spans="1:14">
      <c r="A374" s="4"/>
      <c r="B374" s="4"/>
      <c r="C374" s="4"/>
      <c r="D374" s="4"/>
      <c r="E374" s="4"/>
      <c r="F374" s="4"/>
      <c r="H374" s="4"/>
      <c r="I374" s="6"/>
      <c r="J374" s="4"/>
      <c r="K374" s="4"/>
      <c r="L374" s="4"/>
      <c r="M374" s="4"/>
      <c r="N374" s="4"/>
    </row>
    <row r="375" spans="1:14">
      <c r="A375" s="4"/>
      <c r="B375" s="4"/>
      <c r="C375" s="4"/>
      <c r="D375" s="4"/>
      <c r="E375" s="4"/>
      <c r="F375" s="4"/>
      <c r="H375" s="4"/>
      <c r="I375" s="6"/>
      <c r="J375" s="4"/>
      <c r="K375" s="4"/>
      <c r="L375" s="4"/>
      <c r="M375" s="4"/>
      <c r="N375" s="4"/>
    </row>
    <row r="376" spans="1:14">
      <c r="A376" s="4"/>
      <c r="B376" s="4"/>
      <c r="C376" s="4"/>
      <c r="D376" s="4"/>
      <c r="E376" s="4"/>
      <c r="F376" s="4"/>
      <c r="H376" s="4"/>
      <c r="I376" s="6"/>
      <c r="J376" s="4"/>
      <c r="K376" s="4"/>
      <c r="L376" s="4"/>
      <c r="M376" s="4"/>
      <c r="N376" s="4"/>
    </row>
    <row r="377" spans="1:14">
      <c r="A377" s="4"/>
      <c r="B377" s="4"/>
      <c r="C377" s="4"/>
      <c r="D377" s="4"/>
      <c r="E377" s="4"/>
      <c r="F377" s="4"/>
      <c r="H377" s="4"/>
      <c r="I377" s="6"/>
      <c r="J377" s="4"/>
      <c r="K377" s="4"/>
      <c r="L377" s="4"/>
      <c r="M377" s="4"/>
      <c r="N377" s="4"/>
    </row>
    <row r="378" spans="1:14">
      <c r="A378" s="4"/>
      <c r="B378" s="4"/>
      <c r="C378" s="4"/>
      <c r="D378" s="4"/>
      <c r="E378" s="4"/>
      <c r="F378" s="4"/>
      <c r="H378" s="4"/>
      <c r="I378" s="6"/>
      <c r="J378" s="4"/>
      <c r="K378" s="4"/>
      <c r="L378" s="4"/>
      <c r="M378" s="4"/>
      <c r="N378" s="4"/>
    </row>
    <row r="379" spans="1:14">
      <c r="A379" s="4"/>
      <c r="B379" s="4"/>
      <c r="C379" s="4"/>
      <c r="D379" s="4"/>
      <c r="E379" s="4"/>
      <c r="F379" s="4"/>
      <c r="H379" s="4"/>
      <c r="I379" s="6"/>
      <c r="J379" s="4"/>
      <c r="K379" s="4"/>
      <c r="L379" s="4"/>
      <c r="M379" s="4"/>
      <c r="N379" s="4"/>
    </row>
    <row r="380" spans="1:14">
      <c r="A380" s="4"/>
      <c r="B380" s="4"/>
      <c r="C380" s="4"/>
      <c r="D380" s="4"/>
      <c r="E380" s="4"/>
      <c r="F380" s="4"/>
      <c r="H380" s="4"/>
      <c r="I380" s="6"/>
      <c r="J380" s="4"/>
      <c r="K380" s="4"/>
      <c r="L380" s="4"/>
      <c r="M380" s="4"/>
      <c r="N380" s="4"/>
    </row>
    <row r="381" spans="1:14">
      <c r="A381" s="4"/>
      <c r="B381" s="4"/>
      <c r="C381" s="4"/>
      <c r="D381" s="4"/>
      <c r="E381" s="4"/>
      <c r="F381" s="4"/>
      <c r="H381" s="4"/>
      <c r="I381" s="6"/>
      <c r="J381" s="4"/>
      <c r="K381" s="4"/>
      <c r="L381" s="4"/>
      <c r="M381" s="4"/>
      <c r="N381" s="4"/>
    </row>
    <row r="382" spans="1:14">
      <c r="A382" s="4"/>
      <c r="B382" s="4"/>
      <c r="C382" s="4"/>
      <c r="D382" s="4"/>
      <c r="E382" s="4"/>
      <c r="F382" s="4"/>
      <c r="H382" s="4"/>
      <c r="I382" s="6"/>
      <c r="J382" s="4"/>
      <c r="K382" s="4"/>
      <c r="L382" s="4"/>
      <c r="M382" s="4"/>
      <c r="N382" s="4"/>
    </row>
    <row r="383" spans="1:14">
      <c r="A383" s="4"/>
      <c r="B383" s="4"/>
      <c r="C383" s="4"/>
      <c r="D383" s="4"/>
      <c r="E383" s="4"/>
      <c r="F383" s="4"/>
      <c r="H383" s="4"/>
      <c r="I383" s="6"/>
      <c r="J383" s="4"/>
      <c r="K383" s="4"/>
      <c r="L383" s="4"/>
      <c r="M383" s="4"/>
      <c r="N383" s="4"/>
    </row>
    <row r="384" spans="1:14">
      <c r="A384" s="4"/>
      <c r="B384" s="4"/>
      <c r="C384" s="4"/>
      <c r="D384" s="4"/>
      <c r="E384" s="4"/>
      <c r="F384" s="4"/>
      <c r="H384" s="4"/>
      <c r="I384" s="6"/>
      <c r="J384" s="4"/>
      <c r="K384" s="4"/>
      <c r="L384" s="4"/>
      <c r="M384" s="4"/>
      <c r="N384" s="4"/>
    </row>
    <row r="385" spans="1:14">
      <c r="A385" s="4"/>
      <c r="B385" s="4"/>
      <c r="C385" s="4"/>
      <c r="D385" s="4"/>
      <c r="E385" s="4"/>
      <c r="F385" s="4"/>
      <c r="H385" s="4"/>
      <c r="I385" s="6"/>
      <c r="J385" s="4"/>
      <c r="K385" s="4"/>
      <c r="L385" s="4"/>
      <c r="M385" s="4"/>
      <c r="N385" s="4"/>
    </row>
    <row r="386" spans="1:14">
      <c r="A386" s="4"/>
      <c r="B386" s="4"/>
      <c r="C386" s="4"/>
      <c r="D386" s="4"/>
      <c r="E386" s="4"/>
      <c r="F386" s="4"/>
      <c r="H386" s="4"/>
      <c r="I386" s="6"/>
      <c r="J386" s="4"/>
      <c r="K386" s="4"/>
      <c r="L386" s="4"/>
      <c r="M386" s="4"/>
      <c r="N386" s="4"/>
    </row>
    <row r="387" spans="1:14">
      <c r="A387" s="4"/>
      <c r="B387" s="4"/>
      <c r="C387" s="4"/>
      <c r="D387" s="4"/>
      <c r="E387" s="4"/>
      <c r="F387" s="4"/>
      <c r="H387" s="4"/>
      <c r="I387" s="6"/>
      <c r="J387" s="4"/>
      <c r="K387" s="4"/>
      <c r="L387" s="4"/>
      <c r="M387" s="4"/>
      <c r="N387" s="4"/>
    </row>
    <row r="388" spans="1:14">
      <c r="A388" s="4"/>
      <c r="B388" s="4"/>
      <c r="C388" s="4"/>
      <c r="D388" s="4"/>
      <c r="E388" s="4"/>
      <c r="F388" s="4"/>
      <c r="H388" s="4"/>
      <c r="I388" s="6"/>
      <c r="J388" s="4"/>
      <c r="K388" s="4"/>
      <c r="L388" s="4"/>
      <c r="M388" s="4"/>
      <c r="N388" s="4"/>
    </row>
    <row r="389" spans="1:14">
      <c r="A389" s="4"/>
      <c r="B389" s="4"/>
      <c r="C389" s="4"/>
      <c r="D389" s="4"/>
      <c r="E389" s="4"/>
      <c r="F389" s="4"/>
      <c r="H389" s="4"/>
      <c r="I389" s="6"/>
      <c r="J389" s="4"/>
      <c r="K389" s="4"/>
      <c r="L389" s="4"/>
      <c r="M389" s="4"/>
      <c r="N389" s="4"/>
    </row>
    <row r="390" spans="1:14">
      <c r="A390" s="4"/>
      <c r="B390" s="4"/>
      <c r="C390" s="4"/>
      <c r="D390" s="4"/>
      <c r="E390" s="4"/>
      <c r="F390" s="4"/>
      <c r="H390" s="4"/>
      <c r="I390" s="6"/>
      <c r="J390" s="4"/>
      <c r="K390" s="4"/>
      <c r="L390" s="4"/>
      <c r="M390" s="4"/>
      <c r="N390" s="4"/>
    </row>
    <row r="391" spans="1:14">
      <c r="A391" s="4"/>
      <c r="B391" s="4"/>
      <c r="C391" s="4"/>
      <c r="D391" s="4"/>
      <c r="E391" s="4"/>
      <c r="F391" s="4"/>
      <c r="H391" s="4"/>
      <c r="I391" s="6"/>
      <c r="J391" s="4"/>
      <c r="K391" s="4"/>
      <c r="L391" s="4"/>
      <c r="M391" s="4"/>
      <c r="N391" s="4"/>
    </row>
    <row r="392" spans="1:14">
      <c r="A392" s="4"/>
      <c r="B392" s="4"/>
      <c r="C392" s="4"/>
      <c r="D392" s="4"/>
      <c r="E392" s="4"/>
      <c r="F392" s="4"/>
      <c r="H392" s="4"/>
      <c r="I392" s="6"/>
      <c r="J392" s="4"/>
      <c r="K392" s="4"/>
      <c r="L392" s="4"/>
      <c r="M392" s="4"/>
      <c r="N392" s="4"/>
    </row>
    <row r="393" spans="1:14">
      <c r="A393" s="4"/>
      <c r="B393" s="4"/>
      <c r="C393" s="4"/>
      <c r="D393" s="4"/>
      <c r="E393" s="4"/>
      <c r="F393" s="4"/>
      <c r="H393" s="4"/>
      <c r="I393" s="6"/>
      <c r="J393" s="4"/>
      <c r="K393" s="4"/>
      <c r="L393" s="4"/>
      <c r="M393" s="4"/>
      <c r="N393" s="4"/>
    </row>
    <row r="394" spans="1:14">
      <c r="A394" s="4"/>
      <c r="B394" s="4"/>
      <c r="C394" s="4"/>
      <c r="D394" s="4"/>
      <c r="E394" s="4"/>
      <c r="F394" s="4"/>
      <c r="H394" s="4"/>
      <c r="I394" s="6"/>
      <c r="J394" s="4"/>
      <c r="K394" s="4"/>
      <c r="L394" s="4"/>
      <c r="M394" s="4"/>
      <c r="N394" s="4"/>
    </row>
    <row r="395" spans="1:14">
      <c r="A395" s="4"/>
      <c r="B395" s="4"/>
      <c r="C395" s="4"/>
      <c r="D395" s="4"/>
      <c r="E395" s="4"/>
      <c r="F395" s="4"/>
      <c r="H395" s="4"/>
      <c r="I395" s="6"/>
      <c r="J395" s="4"/>
      <c r="K395" s="4"/>
      <c r="L395" s="4"/>
      <c r="M395" s="4"/>
      <c r="N395" s="4"/>
    </row>
    <row r="396" spans="1:14">
      <c r="A396" s="4"/>
      <c r="B396" s="4"/>
      <c r="C396" s="4"/>
      <c r="D396" s="4"/>
      <c r="E396" s="4"/>
      <c r="F396" s="4"/>
      <c r="H396" s="4"/>
      <c r="I396" s="6"/>
      <c r="J396" s="4"/>
      <c r="K396" s="4"/>
      <c r="L396" s="4"/>
      <c r="M396" s="4"/>
      <c r="N396" s="4"/>
    </row>
    <row r="397" spans="1:14">
      <c r="A397" s="4"/>
      <c r="B397" s="4"/>
      <c r="C397" s="4"/>
      <c r="D397" s="4"/>
      <c r="E397" s="4"/>
      <c r="F397" s="4"/>
      <c r="H397" s="4"/>
      <c r="I397" s="6"/>
      <c r="J397" s="4"/>
      <c r="K397" s="4"/>
      <c r="L397" s="4"/>
      <c r="M397" s="4"/>
      <c r="N397" s="4"/>
    </row>
    <row r="398" spans="1:14">
      <c r="A398" s="4"/>
      <c r="B398" s="4"/>
      <c r="C398" s="4"/>
      <c r="D398" s="4"/>
      <c r="E398" s="4"/>
      <c r="F398" s="4"/>
      <c r="H398" s="4"/>
      <c r="I398" s="6"/>
      <c r="J398" s="4"/>
      <c r="K398" s="4"/>
      <c r="L398" s="4"/>
      <c r="M398" s="4"/>
      <c r="N398" s="4"/>
    </row>
    <row r="399" spans="1:14">
      <c r="A399" s="4"/>
      <c r="B399" s="4"/>
      <c r="C399" s="4"/>
      <c r="D399" s="4"/>
      <c r="E399" s="4"/>
      <c r="F399" s="4"/>
      <c r="H399" s="4"/>
      <c r="I399" s="6"/>
      <c r="J399" s="4"/>
      <c r="K399" s="4"/>
      <c r="L399" s="4"/>
      <c r="M399" s="4"/>
      <c r="N399" s="4"/>
    </row>
    <row r="400" spans="1:14">
      <c r="A400" s="4"/>
      <c r="B400" s="4"/>
      <c r="C400" s="4"/>
      <c r="D400" s="4"/>
      <c r="E400" s="4"/>
      <c r="F400" s="4"/>
      <c r="H400" s="4"/>
      <c r="I400" s="6"/>
      <c r="J400" s="4"/>
      <c r="K400" s="4"/>
      <c r="L400" s="4"/>
      <c r="M400" s="4"/>
      <c r="N400" s="4"/>
    </row>
    <row r="401" spans="1:14">
      <c r="A401" s="4"/>
      <c r="B401" s="4"/>
      <c r="C401" s="4"/>
      <c r="D401" s="4"/>
      <c r="E401" s="4"/>
      <c r="F401" s="4"/>
      <c r="H401" s="4"/>
      <c r="I401" s="6"/>
      <c r="J401" s="4"/>
      <c r="K401" s="4"/>
      <c r="L401" s="4"/>
      <c r="M401" s="4"/>
      <c r="N401" s="4"/>
    </row>
    <row r="402" spans="1:14">
      <c r="A402" s="4"/>
      <c r="B402" s="4"/>
      <c r="C402" s="4"/>
      <c r="D402" s="4"/>
      <c r="E402" s="4"/>
      <c r="F402" s="4"/>
      <c r="H402" s="4"/>
      <c r="I402" s="6"/>
      <c r="J402" s="4"/>
      <c r="K402" s="4"/>
      <c r="L402" s="4"/>
      <c r="M402" s="4"/>
      <c r="N402" s="4"/>
    </row>
    <row r="403" spans="1:14">
      <c r="A403" s="4"/>
      <c r="B403" s="4"/>
      <c r="C403" s="4"/>
      <c r="D403" s="4"/>
      <c r="E403" s="4"/>
      <c r="F403" s="4"/>
      <c r="H403" s="4"/>
      <c r="I403" s="6"/>
      <c r="J403" s="4"/>
      <c r="K403" s="4"/>
      <c r="L403" s="4"/>
      <c r="M403" s="4"/>
      <c r="N403" s="4"/>
    </row>
    <row r="404" spans="1:14">
      <c r="A404" s="4"/>
      <c r="B404" s="4"/>
      <c r="C404" s="4"/>
      <c r="D404" s="4"/>
      <c r="E404" s="4"/>
      <c r="F404" s="4"/>
      <c r="H404" s="4"/>
      <c r="I404" s="6"/>
      <c r="J404" s="4"/>
      <c r="K404" s="4"/>
      <c r="L404" s="4"/>
      <c r="M404" s="4"/>
      <c r="N404" s="4"/>
    </row>
    <row r="405" spans="1:14">
      <c r="A405" s="4"/>
      <c r="B405" s="4"/>
      <c r="C405" s="4"/>
      <c r="D405" s="4"/>
      <c r="E405" s="4"/>
      <c r="F405" s="4"/>
      <c r="H405" s="4"/>
      <c r="I405" s="6"/>
      <c r="J405" s="4"/>
      <c r="K405" s="4"/>
      <c r="L405" s="4"/>
      <c r="M405" s="4"/>
      <c r="N405" s="4"/>
    </row>
    <row r="406" spans="1:14">
      <c r="A406" s="4"/>
      <c r="B406" s="4"/>
      <c r="C406" s="4"/>
      <c r="D406" s="4"/>
      <c r="E406" s="4"/>
      <c r="F406" s="4"/>
      <c r="H406" s="4"/>
      <c r="I406" s="6"/>
      <c r="J406" s="4"/>
      <c r="K406" s="4"/>
      <c r="L406" s="4"/>
      <c r="M406" s="4"/>
      <c r="N406" s="4"/>
    </row>
    <row r="407" spans="1:14">
      <c r="A407" s="4"/>
      <c r="B407" s="4"/>
      <c r="C407" s="4"/>
      <c r="D407" s="4"/>
      <c r="E407" s="4"/>
      <c r="F407" s="4"/>
      <c r="H407" s="4"/>
      <c r="I407" s="6"/>
      <c r="J407" s="4"/>
      <c r="K407" s="4"/>
      <c r="L407" s="4"/>
      <c r="M407" s="4"/>
      <c r="N407" s="4"/>
    </row>
    <row r="408" spans="1:14">
      <c r="A408" s="4"/>
      <c r="B408" s="4"/>
      <c r="C408" s="4"/>
      <c r="D408" s="4"/>
      <c r="E408" s="4"/>
      <c r="F408" s="4"/>
      <c r="H408" s="4"/>
      <c r="I408" s="6"/>
      <c r="J408" s="4"/>
      <c r="K408" s="4"/>
      <c r="L408" s="4"/>
      <c r="M408" s="4"/>
      <c r="N408" s="4"/>
    </row>
    <row r="409" spans="1:14">
      <c r="A409" s="4"/>
      <c r="B409" s="4"/>
      <c r="C409" s="4"/>
      <c r="D409" s="4"/>
      <c r="E409" s="4"/>
      <c r="F409" s="4"/>
      <c r="H409" s="4"/>
      <c r="I409" s="6"/>
      <c r="J409" s="4"/>
      <c r="K409" s="4"/>
      <c r="L409" s="4"/>
      <c r="M409" s="4"/>
      <c r="N409" s="4"/>
    </row>
    <row r="410" spans="1:14">
      <c r="A410" s="4"/>
      <c r="B410" s="4"/>
      <c r="C410" s="4"/>
      <c r="D410" s="4"/>
      <c r="E410" s="4"/>
      <c r="F410" s="4"/>
      <c r="H410" s="4"/>
      <c r="I410" s="6"/>
      <c r="J410" s="4"/>
      <c r="K410" s="4"/>
      <c r="L410" s="4"/>
      <c r="M410" s="4"/>
      <c r="N410" s="4"/>
    </row>
    <row r="411" spans="1:14">
      <c r="A411" s="4"/>
      <c r="B411" s="4"/>
      <c r="C411" s="4"/>
      <c r="D411" s="4"/>
      <c r="E411" s="4"/>
      <c r="F411" s="4"/>
      <c r="H411" s="4"/>
      <c r="I411" s="6"/>
      <c r="J411" s="4"/>
      <c r="K411" s="4"/>
      <c r="L411" s="4"/>
      <c r="M411" s="4"/>
      <c r="N411" s="4"/>
    </row>
    <row r="412" spans="1:14">
      <c r="A412" s="4"/>
      <c r="B412" s="4"/>
      <c r="C412" s="4"/>
      <c r="D412" s="4"/>
      <c r="E412" s="4"/>
      <c r="F412" s="4"/>
      <c r="H412" s="4"/>
      <c r="I412" s="6"/>
      <c r="J412" s="4"/>
      <c r="K412" s="4"/>
      <c r="L412" s="4"/>
      <c r="M412" s="4"/>
      <c r="N412" s="4"/>
    </row>
    <row r="413" spans="1:14">
      <c r="A413" s="4"/>
      <c r="B413" s="4"/>
      <c r="C413" s="4"/>
      <c r="D413" s="4"/>
      <c r="E413" s="4"/>
      <c r="F413" s="4"/>
      <c r="H413" s="4"/>
      <c r="I413" s="6"/>
      <c r="J413" s="4"/>
      <c r="K413" s="4"/>
      <c r="L413" s="4"/>
      <c r="M413" s="4"/>
      <c r="N413" s="4"/>
    </row>
    <row r="414" spans="1:14">
      <c r="A414" s="4"/>
      <c r="B414" s="4"/>
      <c r="C414" s="4"/>
      <c r="D414" s="4"/>
      <c r="E414" s="4"/>
      <c r="F414" s="4"/>
      <c r="H414" s="4"/>
      <c r="I414" s="6"/>
      <c r="J414" s="4"/>
      <c r="K414" s="4"/>
      <c r="L414" s="4"/>
      <c r="M414" s="4"/>
      <c r="N414" s="4"/>
    </row>
    <row r="415" spans="1:14">
      <c r="A415" s="4"/>
      <c r="B415" s="4"/>
      <c r="C415" s="4"/>
      <c r="D415" s="4"/>
      <c r="E415" s="4"/>
      <c r="F415" s="4"/>
      <c r="H415" s="4"/>
      <c r="I415" s="6"/>
      <c r="J415" s="4"/>
      <c r="K415" s="4"/>
      <c r="L415" s="4"/>
      <c r="M415" s="4"/>
      <c r="N415" s="4"/>
    </row>
    <row r="416" spans="1:14">
      <c r="A416" s="4"/>
      <c r="B416" s="4"/>
      <c r="C416" s="4"/>
      <c r="D416" s="4"/>
      <c r="E416" s="4"/>
      <c r="F416" s="4"/>
      <c r="H416" s="4"/>
      <c r="I416" s="6"/>
      <c r="J416" s="4"/>
      <c r="K416" s="4"/>
      <c r="L416" s="4"/>
      <c r="M416" s="4"/>
      <c r="N416" s="4"/>
    </row>
    <row r="417" spans="1:14">
      <c r="A417" s="4"/>
      <c r="B417" s="4"/>
      <c r="C417" s="4"/>
      <c r="D417" s="4"/>
      <c r="E417" s="4"/>
      <c r="F417" s="4"/>
      <c r="H417" s="4"/>
      <c r="I417" s="6"/>
      <c r="J417" s="4"/>
      <c r="K417" s="4"/>
      <c r="L417" s="4"/>
      <c r="M417" s="4"/>
      <c r="N417" s="4"/>
    </row>
    <row r="418" spans="1:14">
      <c r="A418" s="4"/>
      <c r="B418" s="4"/>
      <c r="C418" s="4"/>
      <c r="D418" s="4"/>
      <c r="E418" s="4"/>
      <c r="F418" s="4"/>
      <c r="H418" s="4"/>
      <c r="I418" s="6"/>
      <c r="J418" s="4"/>
      <c r="K418" s="4"/>
      <c r="L418" s="4"/>
      <c r="M418" s="4"/>
      <c r="N418" s="4"/>
    </row>
    <row r="419" spans="1:14">
      <c r="A419" s="4"/>
      <c r="B419" s="4"/>
      <c r="C419" s="4"/>
      <c r="D419" s="4"/>
      <c r="E419" s="4"/>
      <c r="F419" s="4"/>
      <c r="H419" s="4"/>
      <c r="I419" s="6"/>
      <c r="J419" s="4"/>
      <c r="K419" s="4"/>
      <c r="L419" s="4"/>
      <c r="M419" s="4"/>
      <c r="N419" s="4"/>
    </row>
    <row r="420" spans="1:14">
      <c r="A420" s="4"/>
      <c r="B420" s="4"/>
      <c r="C420" s="4"/>
      <c r="D420" s="4"/>
      <c r="E420" s="4"/>
      <c r="F420" s="4"/>
      <c r="H420" s="4"/>
      <c r="I420" s="6"/>
      <c r="J420" s="4"/>
      <c r="K420" s="4"/>
      <c r="L420" s="4"/>
      <c r="M420" s="4"/>
      <c r="N420" s="4"/>
    </row>
    <row r="421" spans="1:14">
      <c r="A421" s="4"/>
      <c r="B421" s="4"/>
      <c r="C421" s="4"/>
      <c r="D421" s="4"/>
      <c r="E421" s="4"/>
      <c r="F421" s="4"/>
      <c r="H421" s="4"/>
      <c r="I421" s="6"/>
      <c r="J421" s="4"/>
      <c r="K421" s="4"/>
      <c r="L421" s="4"/>
      <c r="M421" s="4"/>
      <c r="N421" s="4"/>
    </row>
    <row r="422" spans="1:14">
      <c r="A422" s="4"/>
      <c r="B422" s="4"/>
      <c r="C422" s="4"/>
      <c r="D422" s="4"/>
      <c r="E422" s="4"/>
      <c r="F422" s="4"/>
      <c r="H422" s="4"/>
      <c r="I422" s="6"/>
      <c r="J422" s="4"/>
      <c r="K422" s="4"/>
      <c r="L422" s="4"/>
      <c r="M422" s="4"/>
      <c r="N422" s="4"/>
    </row>
    <row r="423" spans="1:14">
      <c r="A423" s="4"/>
      <c r="B423" s="4"/>
      <c r="C423" s="4"/>
      <c r="D423" s="4"/>
      <c r="E423" s="4"/>
      <c r="F423" s="4"/>
      <c r="H423" s="4"/>
      <c r="I423" s="6"/>
      <c r="J423" s="4"/>
      <c r="K423" s="4"/>
      <c r="L423" s="4"/>
      <c r="M423" s="4"/>
      <c r="N423" s="4"/>
    </row>
    <row r="424" spans="1:14">
      <c r="A424" s="4"/>
      <c r="B424" s="4"/>
      <c r="C424" s="4"/>
      <c r="D424" s="4"/>
      <c r="E424" s="4"/>
      <c r="F424" s="4"/>
      <c r="H424" s="4"/>
      <c r="I424" s="6"/>
      <c r="J424" s="4"/>
      <c r="K424" s="4"/>
      <c r="L424" s="4"/>
      <c r="M424" s="4"/>
      <c r="N424" s="4"/>
    </row>
    <row r="425" spans="1:14">
      <c r="A425" s="4"/>
      <c r="B425" s="4"/>
      <c r="C425" s="4"/>
      <c r="D425" s="4"/>
      <c r="E425" s="4"/>
      <c r="F425" s="4"/>
      <c r="H425" s="4"/>
      <c r="I425" s="6"/>
      <c r="J425" s="4"/>
      <c r="K425" s="4"/>
      <c r="L425" s="4"/>
      <c r="M425" s="4"/>
      <c r="N425" s="4"/>
    </row>
    <row r="426" spans="1:14">
      <c r="A426" s="4"/>
      <c r="B426" s="4"/>
      <c r="C426" s="4"/>
      <c r="D426" s="4"/>
      <c r="E426" s="4"/>
      <c r="F426" s="4"/>
      <c r="H426" s="4"/>
      <c r="I426" s="6"/>
      <c r="J426" s="4"/>
      <c r="K426" s="4"/>
      <c r="L426" s="4"/>
      <c r="M426" s="4"/>
      <c r="N426" s="4"/>
    </row>
    <row r="427" spans="1:14">
      <c r="A427" s="4"/>
      <c r="B427" s="4"/>
      <c r="C427" s="4"/>
      <c r="D427" s="4"/>
      <c r="E427" s="4"/>
      <c r="F427" s="4"/>
      <c r="H427" s="4"/>
      <c r="I427" s="6"/>
      <c r="J427" s="4"/>
      <c r="K427" s="4"/>
      <c r="L427" s="4"/>
      <c r="M427" s="4"/>
      <c r="N427" s="4"/>
    </row>
    <row r="428" spans="1:14">
      <c r="A428" s="4"/>
      <c r="B428" s="4"/>
      <c r="C428" s="4"/>
      <c r="D428" s="4"/>
      <c r="E428" s="4"/>
      <c r="F428" s="4"/>
      <c r="H428" s="4"/>
      <c r="I428" s="6"/>
      <c r="J428" s="4"/>
      <c r="K428" s="4"/>
      <c r="L428" s="4"/>
      <c r="M428" s="4"/>
      <c r="N428" s="4"/>
    </row>
    <row r="429" spans="1:14">
      <c r="A429" s="4"/>
      <c r="B429" s="4"/>
      <c r="C429" s="4"/>
      <c r="D429" s="4"/>
      <c r="E429" s="4"/>
      <c r="F429" s="4"/>
      <c r="H429" s="4"/>
      <c r="I429" s="6"/>
      <c r="J429" s="4"/>
      <c r="K429" s="4"/>
      <c r="L429" s="4"/>
      <c r="M429" s="4"/>
      <c r="N429" s="4"/>
    </row>
    <row r="430" spans="1:14">
      <c r="A430" s="4"/>
      <c r="B430" s="4"/>
      <c r="C430" s="4"/>
      <c r="D430" s="4"/>
      <c r="E430" s="4"/>
      <c r="F430" s="4"/>
      <c r="H430" s="4"/>
      <c r="I430" s="6"/>
      <c r="J430" s="4"/>
      <c r="K430" s="4"/>
      <c r="L430" s="4"/>
      <c r="M430" s="4"/>
      <c r="N430" s="4"/>
    </row>
    <row r="431" spans="1:14">
      <c r="A431" s="4"/>
      <c r="B431" s="4"/>
      <c r="C431" s="4"/>
      <c r="D431" s="4"/>
      <c r="E431" s="4"/>
      <c r="F431" s="4"/>
      <c r="H431" s="4"/>
      <c r="I431" s="6"/>
      <c r="J431" s="4"/>
      <c r="K431" s="4"/>
      <c r="L431" s="4"/>
      <c r="M431" s="4"/>
      <c r="N431" s="4"/>
    </row>
    <row r="432" spans="1:14">
      <c r="A432" s="4"/>
      <c r="B432" s="4"/>
      <c r="C432" s="4"/>
      <c r="D432" s="4"/>
      <c r="E432" s="4"/>
      <c r="F432" s="4"/>
      <c r="H432" s="4"/>
      <c r="I432" s="6"/>
      <c r="J432" s="4"/>
      <c r="K432" s="4"/>
      <c r="L432" s="4"/>
      <c r="M432" s="4"/>
      <c r="N432" s="4"/>
    </row>
    <row r="433" spans="1:14">
      <c r="A433" s="4"/>
      <c r="B433" s="4"/>
      <c r="C433" s="4"/>
      <c r="D433" s="4"/>
      <c r="E433" s="4"/>
      <c r="F433" s="4"/>
      <c r="H433" s="4"/>
      <c r="I433" s="6"/>
      <c r="J433" s="4"/>
      <c r="K433" s="4"/>
      <c r="L433" s="4"/>
      <c r="M433" s="4"/>
      <c r="N433" s="4"/>
    </row>
    <row r="434" spans="1:14">
      <c r="A434" s="4"/>
      <c r="B434" s="4"/>
      <c r="C434" s="4"/>
      <c r="D434" s="4"/>
      <c r="E434" s="4"/>
      <c r="F434" s="4"/>
      <c r="H434" s="4"/>
      <c r="I434" s="6"/>
      <c r="J434" s="4"/>
      <c r="K434" s="4"/>
      <c r="L434" s="4"/>
      <c r="M434" s="4"/>
      <c r="N434" s="4"/>
    </row>
  </sheetData>
  <autoFilter ref="A1:N83" xr:uid="{00000000-0009-0000-0000-000008000000}">
    <sortState xmlns:xlrd2="http://schemas.microsoft.com/office/spreadsheetml/2017/richdata2" ref="A2:N51">
      <sortCondition ref="G1:G2"/>
    </sortState>
  </autoFilter>
  <dataValidations count="1">
    <dataValidation type="list" allowBlank="1" showInputMessage="1" showErrorMessage="1" sqref="C2:C68 C70:C434" xr:uid="{00000000-0002-0000-08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800-000000000000}">
          <x14:formula1>
            <xm:f>List!$P$2:$P$11</xm:f>
          </x14:formula1>
          <xm:sqref>B14:B15 B17:B31 B33:B35 B37:B68 B2:B12 B70:B434</xm:sqref>
        </x14:dataValidation>
        <x14:dataValidation type="list" allowBlank="1" showInputMessage="1" showErrorMessage="1" xr:uid="{00000000-0002-0000-0800-000002000000}">
          <x14:formula1>
            <xm:f>List!$C$2:$C$3</xm:f>
          </x14:formula1>
          <xm:sqref>D2:D434</xm:sqref>
        </x14:dataValidation>
        <x14:dataValidation type="list" allowBlank="1" showInputMessage="1" showErrorMessage="1" xr:uid="{00000000-0002-0000-0800-000003000000}">
          <x14:formula1>
            <xm:f>List!$E$2:$E$32</xm:f>
          </x14:formula1>
          <xm:sqref>E2:E434</xm:sqref>
        </x14:dataValidation>
        <x14:dataValidation type="list" allowBlank="1" showInputMessage="1" showErrorMessage="1" xr:uid="{00000000-0002-0000-0800-000004000000}">
          <x14:formula1>
            <xm:f>List!$H$2:$H$13</xm:f>
          </x14:formula1>
          <xm:sqref>M86:M434</xm:sqref>
        </x14:dataValidation>
        <x14:dataValidation type="list" allowBlank="1" showInputMessage="1" showErrorMessage="1" xr:uid="{00000000-0002-0000-0800-000005000000}">
          <x14:formula1>
            <xm:f>List!$J$2:$J$4</xm:f>
          </x14:formula1>
          <xm:sqref>N86:N434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0.39997558519241921"/>
  </sheetPr>
  <dimension ref="A1:N12"/>
  <sheetViews>
    <sheetView workbookViewId="0">
      <selection activeCell="A2" sqref="A2"/>
    </sheetView>
  </sheetViews>
  <sheetFormatPr defaultColWidth="9" defaultRowHeight="14.5"/>
  <cols>
    <col min="1" max="1" width="5.36328125" customWidth="1"/>
    <col min="2" max="2" width="8.6328125" customWidth="1"/>
    <col min="3" max="3" width="10.1796875" bestFit="1" customWidth="1"/>
    <col min="4" max="4" width="8.90625" customWidth="1"/>
    <col min="5" max="5" width="8.1796875" customWidth="1"/>
    <col min="6" max="6" width="10.08984375" customWidth="1"/>
    <col min="7" max="7" width="41.1796875" customWidth="1"/>
    <col min="8" max="8" width="21.08984375" customWidth="1"/>
    <col min="9" max="9" width="18" customWidth="1"/>
    <col min="10" max="10" width="10.08984375" customWidth="1"/>
    <col min="11" max="11" width="11.08984375" customWidth="1"/>
    <col min="12" max="12" width="10.453125" customWidth="1"/>
    <col min="13" max="13" width="6.453125" customWidth="1"/>
    <col min="14" max="14" width="4.816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4">
        <v>1</v>
      </c>
      <c r="B2" t="s">
        <v>42</v>
      </c>
      <c r="C2" t="s">
        <v>51</v>
      </c>
      <c r="D2" s="4" t="s">
        <v>60</v>
      </c>
      <c r="E2" s="4" t="s">
        <v>95</v>
      </c>
      <c r="F2" s="4"/>
      <c r="G2" t="s">
        <v>92</v>
      </c>
      <c r="H2" s="4" t="s">
        <v>97</v>
      </c>
      <c r="I2" s="30">
        <f>2000000/1480</f>
        <v>1351.3513513513512</v>
      </c>
      <c r="J2" s="4" t="s">
        <v>273</v>
      </c>
      <c r="K2" s="114" t="s">
        <v>14</v>
      </c>
      <c r="L2" s="4" t="s">
        <v>14</v>
      </c>
      <c r="M2" s="95" t="s">
        <v>311</v>
      </c>
      <c r="N2">
        <v>2026</v>
      </c>
    </row>
    <row r="3" spans="1:14">
      <c r="A3" s="4">
        <v>2</v>
      </c>
      <c r="B3" t="s">
        <v>52</v>
      </c>
      <c r="C3" t="s">
        <v>62</v>
      </c>
      <c r="D3" s="4" t="s">
        <v>60</v>
      </c>
      <c r="E3" s="4" t="s">
        <v>95</v>
      </c>
      <c r="F3" s="4"/>
      <c r="G3" t="s">
        <v>248</v>
      </c>
      <c r="H3" s="4" t="s">
        <v>97</v>
      </c>
      <c r="I3" s="30">
        <v>21168.04</v>
      </c>
      <c r="J3" s="4" t="s">
        <v>404</v>
      </c>
      <c r="K3" s="34">
        <v>46053</v>
      </c>
      <c r="L3" s="4" t="s">
        <v>14</v>
      </c>
      <c r="M3" s="95" t="s">
        <v>311</v>
      </c>
      <c r="N3">
        <v>2026</v>
      </c>
    </row>
    <row r="4" spans="1:14">
      <c r="A4" s="4">
        <v>3</v>
      </c>
      <c r="B4" t="s">
        <v>33</v>
      </c>
      <c r="C4" t="s">
        <v>34</v>
      </c>
      <c r="D4" s="4" t="s">
        <v>60</v>
      </c>
      <c r="E4" s="4" t="s">
        <v>95</v>
      </c>
      <c r="G4" t="s">
        <v>96</v>
      </c>
      <c r="H4" s="4" t="s">
        <v>97</v>
      </c>
      <c r="I4" s="30">
        <v>4740</v>
      </c>
      <c r="J4" s="4" t="s">
        <v>405</v>
      </c>
      <c r="K4" s="34">
        <v>46053</v>
      </c>
      <c r="L4" s="4" t="s">
        <v>14</v>
      </c>
      <c r="M4" s="95" t="s">
        <v>311</v>
      </c>
      <c r="N4">
        <v>2026</v>
      </c>
    </row>
    <row r="5" spans="1:14">
      <c r="A5" s="4">
        <v>4</v>
      </c>
      <c r="B5" t="s">
        <v>42</v>
      </c>
      <c r="C5" t="s">
        <v>51</v>
      </c>
      <c r="D5" s="4" t="s">
        <v>60</v>
      </c>
      <c r="E5" s="4" t="s">
        <v>95</v>
      </c>
      <c r="G5" t="s">
        <v>96</v>
      </c>
      <c r="H5" s="4" t="s">
        <v>97</v>
      </c>
      <c r="I5" s="30">
        <v>12500</v>
      </c>
      <c r="J5" s="4" t="s">
        <v>406</v>
      </c>
      <c r="K5" s="34">
        <v>46053</v>
      </c>
      <c r="L5" s="4" t="s">
        <v>14</v>
      </c>
      <c r="M5" s="95" t="s">
        <v>311</v>
      </c>
      <c r="N5">
        <v>2026</v>
      </c>
    </row>
    <row r="6" spans="1:14">
      <c r="A6" s="4">
        <v>5</v>
      </c>
      <c r="B6" t="s">
        <v>33</v>
      </c>
      <c r="C6" t="s">
        <v>34</v>
      </c>
      <c r="D6" s="4" t="s">
        <v>60</v>
      </c>
      <c r="E6" s="4" t="s">
        <v>95</v>
      </c>
      <c r="G6" t="s">
        <v>96</v>
      </c>
      <c r="H6" s="4" t="s">
        <v>97</v>
      </c>
      <c r="I6" s="30">
        <v>13020</v>
      </c>
      <c r="J6" s="4" t="s">
        <v>407</v>
      </c>
      <c r="K6" s="34">
        <v>46053</v>
      </c>
      <c r="L6" s="4" t="s">
        <v>14</v>
      </c>
      <c r="M6" s="95" t="s">
        <v>311</v>
      </c>
      <c r="N6">
        <v>2026</v>
      </c>
    </row>
    <row r="7" spans="1:14">
      <c r="A7" s="4">
        <v>6</v>
      </c>
      <c r="B7" t="s">
        <v>17</v>
      </c>
      <c r="C7" t="s">
        <v>25</v>
      </c>
      <c r="D7" s="4" t="s">
        <v>60</v>
      </c>
      <c r="E7" s="4" t="s">
        <v>95</v>
      </c>
      <c r="G7" t="s">
        <v>96</v>
      </c>
      <c r="H7" s="4" t="s">
        <v>97</v>
      </c>
      <c r="I7" s="30">
        <v>3720</v>
      </c>
      <c r="J7" s="4" t="s">
        <v>408</v>
      </c>
      <c r="K7" s="34">
        <v>46053</v>
      </c>
      <c r="L7" s="4" t="s">
        <v>14</v>
      </c>
      <c r="M7" s="95" t="s">
        <v>311</v>
      </c>
      <c r="N7">
        <v>2026</v>
      </c>
    </row>
    <row r="8" spans="1:14">
      <c r="A8" s="4">
        <v>7</v>
      </c>
      <c r="B8" t="s">
        <v>17</v>
      </c>
      <c r="C8" t="s">
        <v>25</v>
      </c>
      <c r="D8" s="4" t="s">
        <v>60</v>
      </c>
      <c r="E8" s="4" t="s">
        <v>95</v>
      </c>
      <c r="G8" t="s">
        <v>96</v>
      </c>
      <c r="H8" s="4" t="s">
        <v>247</v>
      </c>
      <c r="I8" s="33">
        <v>15500</v>
      </c>
      <c r="J8" s="4" t="s">
        <v>409</v>
      </c>
      <c r="K8" s="34">
        <v>46053</v>
      </c>
      <c r="L8" s="4" t="s">
        <v>14</v>
      </c>
      <c r="M8" s="95" t="s">
        <v>311</v>
      </c>
      <c r="N8">
        <v>2026</v>
      </c>
    </row>
    <row r="9" spans="1:14">
      <c r="A9" s="4">
        <v>8</v>
      </c>
      <c r="B9" t="s">
        <v>54</v>
      </c>
      <c r="C9" t="s">
        <v>55</v>
      </c>
      <c r="D9" s="4" t="s">
        <v>60</v>
      </c>
      <c r="E9" s="4" t="s">
        <v>95</v>
      </c>
      <c r="G9" t="s">
        <v>98</v>
      </c>
      <c r="H9" t="s">
        <v>97</v>
      </c>
      <c r="I9" s="30">
        <v>11520</v>
      </c>
      <c r="J9" t="s">
        <v>410</v>
      </c>
      <c r="K9" s="34">
        <v>46052</v>
      </c>
      <c r="L9" s="4" t="s">
        <v>14</v>
      </c>
      <c r="M9" s="95" t="s">
        <v>311</v>
      </c>
      <c r="N9">
        <v>2026</v>
      </c>
    </row>
    <row r="10" spans="1:14">
      <c r="A10" s="4">
        <v>9</v>
      </c>
      <c r="B10" t="s">
        <v>17</v>
      </c>
      <c r="C10" t="s">
        <v>23</v>
      </c>
      <c r="D10" s="4" t="s">
        <v>60</v>
      </c>
      <c r="E10" s="4" t="s">
        <v>95</v>
      </c>
      <c r="G10" t="s">
        <v>98</v>
      </c>
      <c r="H10" t="s">
        <v>97</v>
      </c>
      <c r="I10" s="30">
        <v>4500</v>
      </c>
      <c r="J10" t="s">
        <v>410</v>
      </c>
      <c r="K10" s="34">
        <v>46052</v>
      </c>
      <c r="L10" s="4" t="s">
        <v>14</v>
      </c>
      <c r="M10" s="95" t="s">
        <v>311</v>
      </c>
      <c r="N10">
        <v>2026</v>
      </c>
    </row>
    <row r="11" spans="1:14">
      <c r="A11" s="4">
        <v>10</v>
      </c>
      <c r="B11" t="s">
        <v>17</v>
      </c>
      <c r="C11" t="s">
        <v>23</v>
      </c>
      <c r="D11" s="4" t="s">
        <v>60</v>
      </c>
      <c r="E11" s="4" t="s">
        <v>95</v>
      </c>
      <c r="G11" t="s">
        <v>98</v>
      </c>
      <c r="H11" t="s">
        <v>97</v>
      </c>
      <c r="I11" s="30">
        <v>1000</v>
      </c>
      <c r="J11" t="s">
        <v>410</v>
      </c>
      <c r="K11" s="39">
        <v>46052</v>
      </c>
      <c r="L11" s="4" t="s">
        <v>14</v>
      </c>
      <c r="M11" s="95" t="s">
        <v>311</v>
      </c>
      <c r="N11">
        <v>2026</v>
      </c>
    </row>
    <row r="12" spans="1:14">
      <c r="A12" s="4">
        <v>11</v>
      </c>
      <c r="B12" t="s">
        <v>42</v>
      </c>
      <c r="C12" t="s">
        <v>70</v>
      </c>
      <c r="D12" s="4" t="s">
        <v>60</v>
      </c>
      <c r="E12" s="4" t="s">
        <v>95</v>
      </c>
      <c r="G12" t="s">
        <v>96</v>
      </c>
      <c r="H12" t="s">
        <v>247</v>
      </c>
      <c r="I12" s="30">
        <v>12500</v>
      </c>
      <c r="J12" t="s">
        <v>411</v>
      </c>
      <c r="K12" s="39">
        <v>46053</v>
      </c>
      <c r="L12" s="4" t="s">
        <v>14</v>
      </c>
      <c r="M12" s="95" t="s">
        <v>311</v>
      </c>
      <c r="N12">
        <v>2026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900-000002000000}">
          <x14:formula1>
            <xm:f>List!$C$2:$C$3</xm:f>
          </x14:formula1>
          <xm:sqref>D2:D12</xm:sqref>
        </x14:dataValidation>
        <x14:dataValidation type="list" allowBlank="1" showInputMessage="1" showErrorMessage="1" xr:uid="{00000000-0002-0000-0900-000003000000}">
          <x14:formula1>
            <xm:f>List!$E$2:$E$32</xm:f>
          </x14:formula1>
          <xm:sqref>E2:E12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 tint="0.39997558519241921"/>
  </sheetPr>
  <dimension ref="A1:N5"/>
  <sheetViews>
    <sheetView workbookViewId="0">
      <selection activeCell="A2" sqref="A2"/>
    </sheetView>
  </sheetViews>
  <sheetFormatPr defaultColWidth="9" defaultRowHeight="14.5"/>
  <cols>
    <col min="1" max="1" width="5.36328125" customWidth="1"/>
    <col min="2" max="2" width="9.36328125" bestFit="1" customWidth="1"/>
    <col min="3" max="3" width="9.6328125" bestFit="1" customWidth="1"/>
    <col min="4" max="4" width="8.90625" customWidth="1"/>
    <col min="5" max="5" width="11.54296875" bestFit="1" customWidth="1"/>
    <col min="6" max="6" width="10.08984375" customWidth="1"/>
    <col min="7" max="7" width="48.1796875" bestFit="1" customWidth="1"/>
    <col min="8" max="8" width="17.1796875" bestFit="1" customWidth="1"/>
    <col min="9" max="9" width="18" customWidth="1"/>
    <col min="10" max="10" width="10.08984375" customWidth="1"/>
    <col min="11" max="11" width="11.08984375" customWidth="1"/>
    <col min="12" max="12" width="10.81640625" bestFit="1" customWidth="1"/>
    <col min="13" max="13" width="6.453125" customWidth="1"/>
    <col min="14" max="14" width="4.816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09">
        <v>1</v>
      </c>
      <c r="B2" s="110" t="s">
        <v>52</v>
      </c>
      <c r="C2" s="110" t="s">
        <v>62</v>
      </c>
      <c r="D2" s="4" t="s">
        <v>19</v>
      </c>
      <c r="E2" s="4" t="s">
        <v>99</v>
      </c>
      <c r="F2" s="4"/>
      <c r="G2" t="s">
        <v>21</v>
      </c>
      <c r="H2" s="4" t="s">
        <v>99</v>
      </c>
      <c r="I2" s="6">
        <v>4000</v>
      </c>
      <c r="J2" s="4" t="s">
        <v>14</v>
      </c>
      <c r="K2" s="14" t="s">
        <v>14</v>
      </c>
      <c r="L2" s="4" t="s">
        <v>14</v>
      </c>
      <c r="M2" s="95" t="s">
        <v>311</v>
      </c>
      <c r="N2">
        <v>2026</v>
      </c>
    </row>
    <row r="3" spans="1:14">
      <c r="A3" s="109">
        <v>2</v>
      </c>
      <c r="B3" s="110" t="s">
        <v>42</v>
      </c>
      <c r="C3" s="110" t="s">
        <v>45</v>
      </c>
      <c r="D3" s="4" t="s">
        <v>19</v>
      </c>
      <c r="E3" s="4" t="s">
        <v>99</v>
      </c>
      <c r="G3" s="4" t="s">
        <v>239</v>
      </c>
      <c r="H3" s="4" t="s">
        <v>99</v>
      </c>
      <c r="I3" s="7">
        <v>4000</v>
      </c>
      <c r="J3" s="4" t="s">
        <v>14</v>
      </c>
      <c r="K3" s="14" t="s">
        <v>14</v>
      </c>
      <c r="L3" s="4" t="s">
        <v>14</v>
      </c>
      <c r="M3" s="95" t="s">
        <v>311</v>
      </c>
      <c r="N3">
        <v>2026</v>
      </c>
    </row>
    <row r="4" spans="1:14">
      <c r="A4" s="109">
        <v>3</v>
      </c>
      <c r="B4" t="s">
        <v>17</v>
      </c>
      <c r="C4" t="s">
        <v>25</v>
      </c>
      <c r="D4" s="4" t="s">
        <v>19</v>
      </c>
      <c r="E4" s="4" t="s">
        <v>99</v>
      </c>
      <c r="G4" s="4" t="s">
        <v>239</v>
      </c>
      <c r="H4" s="4" t="s">
        <v>99</v>
      </c>
      <c r="I4" s="7">
        <v>4500</v>
      </c>
      <c r="J4" s="4" t="s">
        <v>14</v>
      </c>
      <c r="K4" s="14" t="s">
        <v>14</v>
      </c>
      <c r="L4" s="4" t="s">
        <v>14</v>
      </c>
      <c r="M4" s="95" t="s">
        <v>311</v>
      </c>
      <c r="N4">
        <v>2026</v>
      </c>
    </row>
    <row r="5" spans="1:14">
      <c r="A5" s="109">
        <v>4</v>
      </c>
      <c r="B5" s="109" t="s">
        <v>54</v>
      </c>
      <c r="C5" s="109" t="s">
        <v>55</v>
      </c>
      <c r="D5" s="4" t="s">
        <v>60</v>
      </c>
      <c r="E5" s="4" t="s">
        <v>99</v>
      </c>
      <c r="G5" t="s">
        <v>21</v>
      </c>
      <c r="H5" s="4" t="s">
        <v>100</v>
      </c>
      <c r="I5" s="111">
        <v>4000</v>
      </c>
      <c r="J5" s="4" t="s">
        <v>14</v>
      </c>
      <c r="K5" s="14" t="s">
        <v>14</v>
      </c>
      <c r="L5" s="4" t="s">
        <v>14</v>
      </c>
      <c r="M5" s="95" t="s">
        <v>311</v>
      </c>
      <c r="N5">
        <v>2026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A00-000002000000}">
          <x14:formula1>
            <xm:f>List!$C$2:$C$3</xm:f>
          </x14:formula1>
          <xm:sqref>D2:D5</xm:sqref>
        </x14:dataValidation>
        <x14:dataValidation type="list" allowBlank="1" showInputMessage="1" showErrorMessage="1" xr:uid="{00000000-0002-0000-0A00-000003000000}">
          <x14:formula1>
            <xm:f>List!$E$2:$E$32</xm:f>
          </x14:formula1>
          <xm:sqref>E2:E5 H2:H4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0.39997558519241921"/>
  </sheetPr>
  <dimension ref="A1:P20"/>
  <sheetViews>
    <sheetView workbookViewId="0">
      <selection activeCell="B15" sqref="B15"/>
    </sheetView>
  </sheetViews>
  <sheetFormatPr defaultColWidth="9" defaultRowHeight="14.5"/>
  <cols>
    <col min="1" max="1" width="5.453125" bestFit="1" customWidth="1"/>
    <col min="2" max="2" width="9.36328125" bestFit="1" customWidth="1"/>
    <col min="3" max="3" width="10.6328125" bestFit="1" customWidth="1"/>
    <col min="4" max="4" width="9" bestFit="1" customWidth="1"/>
    <col min="5" max="5" width="22.90625" bestFit="1" customWidth="1"/>
    <col min="6" max="6" width="10.1796875" bestFit="1" customWidth="1"/>
    <col min="7" max="7" width="13.81640625" bestFit="1" customWidth="1"/>
    <col min="8" max="8" width="19" customWidth="1"/>
    <col min="9" max="9" width="17.90625" bestFit="1" customWidth="1"/>
    <col min="10" max="10" width="11.90625" bestFit="1" customWidth="1"/>
    <col min="11" max="11" width="11.1796875" bestFit="1" customWidth="1"/>
    <col min="12" max="12" width="10.36328125" bestFit="1" customWidth="1"/>
    <col min="13" max="13" width="6.453125" customWidth="1"/>
    <col min="14" max="14" width="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6">
      <c r="A2" s="4">
        <v>1</v>
      </c>
      <c r="B2" s="4" t="s">
        <v>17</v>
      </c>
      <c r="C2" s="4" t="s">
        <v>22</v>
      </c>
      <c r="D2" s="4" t="s">
        <v>60</v>
      </c>
      <c r="E2" s="4" t="s">
        <v>101</v>
      </c>
      <c r="F2" s="4"/>
      <c r="G2" t="s">
        <v>102</v>
      </c>
      <c r="H2" s="4" t="s">
        <v>103</v>
      </c>
      <c r="I2" s="6">
        <f>1683000/1480</f>
        <v>1137.1621621621621</v>
      </c>
      <c r="J2" s="108" t="s">
        <v>400</v>
      </c>
      <c r="K2" s="14">
        <v>46023</v>
      </c>
      <c r="L2" s="4" t="s">
        <v>14</v>
      </c>
      <c r="M2" s="95" t="s">
        <v>311</v>
      </c>
      <c r="N2">
        <v>2026</v>
      </c>
    </row>
    <row r="3" spans="1:16">
      <c r="A3" s="4">
        <v>4</v>
      </c>
      <c r="B3" t="s">
        <v>29</v>
      </c>
      <c r="C3" s="4" t="s">
        <v>30</v>
      </c>
      <c r="D3" s="4" t="s">
        <v>60</v>
      </c>
      <c r="E3" s="4" t="s">
        <v>101</v>
      </c>
      <c r="G3" t="s">
        <v>104</v>
      </c>
      <c r="H3" s="4" t="s">
        <v>105</v>
      </c>
      <c r="I3" s="7">
        <v>1.4722505533320887</v>
      </c>
      <c r="J3" s="4">
        <v>63</v>
      </c>
      <c r="K3" s="14">
        <v>46025</v>
      </c>
      <c r="L3" s="4" t="s">
        <v>14</v>
      </c>
      <c r="M3" s="95" t="s">
        <v>311</v>
      </c>
      <c r="N3">
        <v>2026</v>
      </c>
    </row>
    <row r="4" spans="1:16">
      <c r="A4" s="4">
        <v>5</v>
      </c>
      <c r="B4" t="s">
        <v>17</v>
      </c>
      <c r="C4" t="s">
        <v>244</v>
      </c>
      <c r="D4" s="4" t="s">
        <v>60</v>
      </c>
      <c r="E4" s="4" t="s">
        <v>101</v>
      </c>
      <c r="G4" t="s">
        <v>104</v>
      </c>
      <c r="H4" s="4" t="s">
        <v>105</v>
      </c>
      <c r="I4" s="7">
        <v>1684.4673664634231</v>
      </c>
      <c r="J4" s="4">
        <v>63</v>
      </c>
      <c r="K4" s="14">
        <v>46025</v>
      </c>
      <c r="L4" s="4" t="s">
        <v>14</v>
      </c>
      <c r="M4" s="95" t="s">
        <v>311</v>
      </c>
      <c r="N4">
        <v>2026</v>
      </c>
    </row>
    <row r="5" spans="1:16">
      <c r="A5" s="4">
        <v>6</v>
      </c>
      <c r="B5" t="s">
        <v>58</v>
      </c>
      <c r="C5" t="s">
        <v>59</v>
      </c>
      <c r="D5" s="4" t="s">
        <v>60</v>
      </c>
      <c r="E5" s="4" t="s">
        <v>101</v>
      </c>
      <c r="G5" t="s">
        <v>104</v>
      </c>
      <c r="H5" s="4" t="s">
        <v>105</v>
      </c>
      <c r="I5" s="7">
        <v>32.078853799667073</v>
      </c>
      <c r="J5" s="4">
        <v>63</v>
      </c>
      <c r="K5" s="14">
        <v>46025</v>
      </c>
      <c r="L5" s="4" t="s">
        <v>14</v>
      </c>
      <c r="M5" s="95" t="s">
        <v>311</v>
      </c>
      <c r="N5">
        <v>2026</v>
      </c>
    </row>
    <row r="6" spans="1:16">
      <c r="A6" s="4">
        <v>7</v>
      </c>
      <c r="B6" t="s">
        <v>33</v>
      </c>
      <c r="C6" t="s">
        <v>245</v>
      </c>
      <c r="D6" s="4" t="s">
        <v>60</v>
      </c>
      <c r="E6" s="4" t="s">
        <v>101</v>
      </c>
      <c r="G6" t="s">
        <v>104</v>
      </c>
      <c r="H6" s="4" t="s">
        <v>105</v>
      </c>
      <c r="I6" s="30">
        <v>194.55655993425449</v>
      </c>
      <c r="J6" s="4">
        <v>63</v>
      </c>
      <c r="K6" s="14">
        <v>46025</v>
      </c>
      <c r="L6" s="4" t="s">
        <v>14</v>
      </c>
      <c r="M6" s="95" t="s">
        <v>311</v>
      </c>
      <c r="N6">
        <v>2026</v>
      </c>
    </row>
    <row r="7" spans="1:16">
      <c r="A7" s="4">
        <v>8</v>
      </c>
      <c r="B7" t="s">
        <v>35</v>
      </c>
      <c r="C7" t="s">
        <v>35</v>
      </c>
      <c r="D7" s="4" t="s">
        <v>60</v>
      </c>
      <c r="E7" s="4" t="s">
        <v>101</v>
      </c>
      <c r="G7" t="s">
        <v>104</v>
      </c>
      <c r="H7" s="4" t="s">
        <v>105</v>
      </c>
      <c r="I7" s="30">
        <v>595.7313288314383</v>
      </c>
      <c r="J7" s="4">
        <v>63</v>
      </c>
      <c r="K7" s="14">
        <v>46025</v>
      </c>
      <c r="L7" s="4" t="s">
        <v>14</v>
      </c>
      <c r="M7" s="95" t="s">
        <v>311</v>
      </c>
      <c r="N7">
        <v>2026</v>
      </c>
    </row>
    <row r="8" spans="1:16">
      <c r="A8" s="4">
        <v>9</v>
      </c>
      <c r="B8" t="s">
        <v>42</v>
      </c>
      <c r="C8" t="s">
        <v>42</v>
      </c>
      <c r="D8" s="4" t="s">
        <v>60</v>
      </c>
      <c r="E8" s="4" t="s">
        <v>101</v>
      </c>
      <c r="G8" t="s">
        <v>104</v>
      </c>
      <c r="H8" s="4" t="s">
        <v>105</v>
      </c>
      <c r="I8" s="30">
        <v>1893.7599388168089</v>
      </c>
      <c r="J8" s="4">
        <v>63</v>
      </c>
      <c r="K8" s="14">
        <v>46025</v>
      </c>
      <c r="L8" s="4" t="s">
        <v>14</v>
      </c>
      <c r="M8" s="95" t="s">
        <v>311</v>
      </c>
      <c r="N8">
        <v>2026</v>
      </c>
    </row>
    <row r="9" spans="1:16">
      <c r="A9" s="4">
        <v>10</v>
      </c>
      <c r="B9" t="s">
        <v>52</v>
      </c>
      <c r="C9" t="s">
        <v>62</v>
      </c>
      <c r="D9" s="4" t="s">
        <v>60</v>
      </c>
      <c r="E9" s="4" t="s">
        <v>101</v>
      </c>
      <c r="G9" t="s">
        <v>104</v>
      </c>
      <c r="H9" s="4" t="s">
        <v>105</v>
      </c>
      <c r="I9" s="30">
        <v>1222.9337016010761</v>
      </c>
      <c r="J9" s="4">
        <v>63</v>
      </c>
      <c r="K9" s="14">
        <v>46025</v>
      </c>
      <c r="L9" s="4" t="s">
        <v>14</v>
      </c>
      <c r="M9" s="95" t="s">
        <v>311</v>
      </c>
      <c r="N9">
        <v>2026</v>
      </c>
    </row>
    <row r="10" spans="1:16">
      <c r="I10" s="7"/>
    </row>
    <row r="11" spans="1:16">
      <c r="I11" s="30"/>
      <c r="J11" s="30"/>
      <c r="K11" s="41"/>
      <c r="L11" s="107"/>
    </row>
    <row r="12" spans="1:16">
      <c r="G12" s="105"/>
      <c r="J12" s="30"/>
      <c r="K12" s="41"/>
      <c r="L12" s="107"/>
    </row>
    <row r="13" spans="1:16">
      <c r="G13" s="107"/>
      <c r="J13" s="30"/>
      <c r="K13" s="41"/>
      <c r="L13" s="107"/>
    </row>
    <row r="14" spans="1:16">
      <c r="H14" s="41"/>
      <c r="I14" s="6"/>
      <c r="J14" s="30"/>
      <c r="K14" s="41"/>
      <c r="L14" s="107"/>
      <c r="M14" s="30"/>
      <c r="N14" s="30"/>
      <c r="O14" s="30"/>
      <c r="P14" s="30"/>
    </row>
    <row r="15" spans="1:16">
      <c r="H15" s="41"/>
      <c r="I15" s="6"/>
      <c r="J15" s="106"/>
      <c r="K15" s="41"/>
      <c r="L15" s="107"/>
      <c r="M15" s="40"/>
      <c r="N15" s="40"/>
      <c r="O15" s="40"/>
      <c r="P15" s="40"/>
    </row>
    <row r="16" spans="1:16">
      <c r="H16" s="41"/>
      <c r="I16" s="6"/>
      <c r="J16" s="30"/>
      <c r="K16" s="41"/>
      <c r="L16" s="107"/>
    </row>
    <row r="17" spans="8:12">
      <c r="H17" s="41"/>
      <c r="I17" s="6"/>
      <c r="J17" s="30"/>
      <c r="K17" s="41"/>
      <c r="L17" s="107"/>
    </row>
    <row r="18" spans="8:12">
      <c r="H18" s="41"/>
      <c r="I18" s="6"/>
    </row>
    <row r="19" spans="8:12">
      <c r="H19" s="41"/>
      <c r="I19" s="6"/>
    </row>
    <row r="20" spans="8:12">
      <c r="H20" s="41"/>
      <c r="I20" s="6"/>
    </row>
  </sheetData>
  <dataValidations count="1">
    <dataValidation type="list" allowBlank="1" showInputMessage="1" showErrorMessage="1" sqref="C2:C3" xr:uid="{00000000-0002-0000-0B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B00-000000000000}">
          <x14:formula1>
            <xm:f>List!$P$2:$P$11</xm:f>
          </x14:formula1>
          <xm:sqref>B2</xm:sqref>
        </x14:dataValidation>
        <x14:dataValidation type="list" allowBlank="1" showInputMessage="1" showErrorMessage="1" xr:uid="{00000000-0002-0000-0B00-000002000000}">
          <x14:formula1>
            <xm:f>List!$C$2:$C$3</xm:f>
          </x14:formula1>
          <xm:sqref>D2:D9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4" tint="0.39997558519241921"/>
  </sheetPr>
  <dimension ref="A1:N2"/>
  <sheetViews>
    <sheetView workbookViewId="0">
      <selection activeCell="A2" sqref="A2:N2"/>
    </sheetView>
  </sheetViews>
  <sheetFormatPr defaultColWidth="9" defaultRowHeight="14.5"/>
  <cols>
    <col min="1" max="1" width="5.36328125" customWidth="1"/>
    <col min="2" max="2" width="6.90625" customWidth="1"/>
    <col min="3" max="3" width="9.36328125" customWidth="1"/>
    <col min="4" max="4" width="8.90625" customWidth="1"/>
    <col min="5" max="5" width="12.453125" customWidth="1"/>
    <col min="6" max="6" width="10.08984375" customWidth="1"/>
    <col min="7" max="7" width="13.90625" customWidth="1"/>
    <col min="8" max="8" width="12.453125" customWidth="1"/>
    <col min="9" max="9" width="18" customWidth="1"/>
    <col min="10" max="10" width="10.08984375" customWidth="1"/>
    <col min="11" max="11" width="11.08984375" customWidth="1"/>
    <col min="12" max="12" width="10.453125" customWidth="1"/>
    <col min="13" max="13" width="6.453125" customWidth="1"/>
    <col min="14" max="14" width="4.816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4">
        <v>1</v>
      </c>
      <c r="B2" s="4" t="s">
        <v>58</v>
      </c>
      <c r="C2" t="s">
        <v>106</v>
      </c>
      <c r="D2" s="4" t="s">
        <v>19</v>
      </c>
      <c r="E2" s="4" t="s">
        <v>107</v>
      </c>
      <c r="F2" s="4"/>
      <c r="G2" t="s">
        <v>21</v>
      </c>
      <c r="H2" s="4" t="s">
        <v>107</v>
      </c>
      <c r="I2" s="6">
        <v>25000</v>
      </c>
      <c r="J2" s="4" t="s">
        <v>14</v>
      </c>
      <c r="K2" s="4" t="s">
        <v>14</v>
      </c>
      <c r="L2" s="4" t="s">
        <v>14</v>
      </c>
      <c r="M2" s="95" t="s">
        <v>311</v>
      </c>
      <c r="N2">
        <v>2026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C00-000000000000}">
          <x14:formula1>
            <xm:f>List!$P$2:$P$11</xm:f>
          </x14:formula1>
          <xm:sqref>B2</xm:sqref>
        </x14:dataValidation>
        <x14:dataValidation type="list" allowBlank="1" showInputMessage="1" showErrorMessage="1" xr:uid="{00000000-0002-0000-0C00-000001000000}">
          <x14:formula1>
            <xm:f>List!$C$2:$C$3</xm:f>
          </x14:formula1>
          <xm:sqref>D2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0.39997558519241921"/>
  </sheetPr>
  <dimension ref="A1:N2"/>
  <sheetViews>
    <sheetView workbookViewId="0">
      <selection activeCell="A2" sqref="A2:N2"/>
    </sheetView>
  </sheetViews>
  <sheetFormatPr defaultColWidth="9" defaultRowHeight="14.5"/>
  <cols>
    <col min="1" max="1" width="5.36328125" bestFit="1" customWidth="1"/>
    <col min="2" max="2" width="6.90625" bestFit="1" customWidth="1"/>
    <col min="3" max="3" width="9.453125" bestFit="1" customWidth="1"/>
    <col min="5" max="5" width="15.6328125" bestFit="1" customWidth="1"/>
    <col min="6" max="6" width="10.1796875" bestFit="1" customWidth="1"/>
    <col min="7" max="7" width="7" bestFit="1" customWidth="1"/>
    <col min="8" max="8" width="15.6328125" bestFit="1" customWidth="1"/>
    <col min="9" max="9" width="18.08984375" bestFit="1" customWidth="1"/>
    <col min="10" max="10" width="10.08984375" bestFit="1" customWidth="1"/>
    <col min="11" max="11" width="11.1796875" bestFit="1" customWidth="1"/>
    <col min="12" max="12" width="10.54296875" bestFit="1" customWidth="1"/>
    <col min="13" max="13" width="6.54296875" bestFit="1" customWidth="1"/>
    <col min="14" max="14" width="4.81640625" bestFit="1" customWidth="1"/>
  </cols>
  <sheetData>
    <row r="1" spans="1:1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>
      <c r="A2" s="10">
        <v>1</v>
      </c>
      <c r="B2" s="27" t="s">
        <v>58</v>
      </c>
      <c r="C2" s="27" t="s">
        <v>59</v>
      </c>
      <c r="D2" s="11" t="s">
        <v>60</v>
      </c>
      <c r="E2" s="27" t="s">
        <v>225</v>
      </c>
      <c r="F2" s="10"/>
      <c r="G2" s="27" t="s">
        <v>21</v>
      </c>
      <c r="H2" s="27" t="s">
        <v>225</v>
      </c>
      <c r="I2" s="12">
        <v>496674</v>
      </c>
      <c r="J2" s="10" t="s">
        <v>14</v>
      </c>
      <c r="K2" s="10" t="s">
        <v>14</v>
      </c>
      <c r="L2" s="10" t="s">
        <v>14</v>
      </c>
      <c r="M2" s="112" t="s">
        <v>311</v>
      </c>
      <c r="N2" s="10">
        <v>2026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9FE03FE-EB31-4FBB-B774-9F848699ADB8}">
          <x14:formula1>
            <xm:f>List!$C$2:$C$3</xm:f>
          </x14:formula1>
          <xm:sqref>D2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E26F-881C-4843-AB25-DB1EA872EC94}">
  <sheetPr>
    <tabColor theme="4" tint="0.39997558519241921"/>
  </sheetPr>
  <dimension ref="A1:N5"/>
  <sheetViews>
    <sheetView workbookViewId="0">
      <selection activeCell="A4" sqref="A4"/>
    </sheetView>
  </sheetViews>
  <sheetFormatPr defaultRowHeight="14.5"/>
  <cols>
    <col min="1" max="1" width="5.36328125" bestFit="1" customWidth="1"/>
    <col min="2" max="2" width="11.90625" bestFit="1" customWidth="1"/>
    <col min="3" max="3" width="12.08984375" bestFit="1" customWidth="1"/>
    <col min="4" max="4" width="9" bestFit="1" customWidth="1"/>
    <col min="5" max="5" width="15.6328125" bestFit="1" customWidth="1"/>
    <col min="6" max="6" width="10.1796875" bestFit="1" customWidth="1"/>
    <col min="7" max="7" width="14.54296875" bestFit="1" customWidth="1"/>
    <col min="8" max="8" width="15.6328125" bestFit="1" customWidth="1"/>
    <col min="9" max="9" width="18.08984375" bestFit="1" customWidth="1"/>
    <col min="10" max="10" width="10.08984375" bestFit="1" customWidth="1"/>
    <col min="11" max="11" width="11.1796875" bestFit="1" customWidth="1"/>
    <col min="12" max="12" width="10.54296875" bestFit="1" customWidth="1"/>
    <col min="13" max="13" width="6.54296875" bestFit="1" customWidth="1"/>
    <col min="14" max="14" width="4.81640625" bestFit="1" customWidth="1"/>
  </cols>
  <sheetData>
    <row r="1" spans="1:1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>
      <c r="A2" s="10">
        <v>1</v>
      </c>
      <c r="B2" s="27" t="s">
        <v>285</v>
      </c>
      <c r="C2" s="27" t="s">
        <v>286</v>
      </c>
      <c r="D2" s="113" t="s">
        <v>60</v>
      </c>
      <c r="E2" s="27" t="s">
        <v>128</v>
      </c>
      <c r="F2" s="10"/>
      <c r="G2" s="27" t="s">
        <v>226</v>
      </c>
      <c r="H2" s="27" t="s">
        <v>128</v>
      </c>
      <c r="I2" s="31">
        <f>3471000/1480</f>
        <v>2345.2702702702704</v>
      </c>
      <c r="J2" s="71" t="s">
        <v>14</v>
      </c>
      <c r="K2" s="73" t="s">
        <v>14</v>
      </c>
      <c r="L2" s="10" t="s">
        <v>14</v>
      </c>
      <c r="M2" s="112" t="s">
        <v>311</v>
      </c>
      <c r="N2" s="10">
        <v>2026</v>
      </c>
    </row>
    <row r="3" spans="1:14">
      <c r="A3" s="10">
        <v>2</v>
      </c>
      <c r="B3" s="112" t="s">
        <v>401</v>
      </c>
      <c r="C3" s="112" t="s">
        <v>401</v>
      </c>
      <c r="D3" s="113" t="s">
        <v>60</v>
      </c>
      <c r="E3" s="27" t="s">
        <v>128</v>
      </c>
      <c r="F3" s="10"/>
      <c r="G3" s="27" t="s">
        <v>226</v>
      </c>
      <c r="H3" s="27" t="s">
        <v>128</v>
      </c>
      <c r="I3" s="31">
        <f>1085000/1480</f>
        <v>733.10810810810813</v>
      </c>
      <c r="J3" s="71" t="s">
        <v>14</v>
      </c>
      <c r="K3" s="73" t="s">
        <v>14</v>
      </c>
      <c r="L3" s="10" t="s">
        <v>14</v>
      </c>
      <c r="M3" s="112" t="s">
        <v>311</v>
      </c>
      <c r="N3" s="10">
        <v>2026</v>
      </c>
    </row>
    <row r="4" spans="1:14">
      <c r="A4" s="10">
        <v>3</v>
      </c>
      <c r="B4" s="112" t="s">
        <v>401</v>
      </c>
      <c r="C4" s="112" t="s">
        <v>401</v>
      </c>
      <c r="D4" s="113" t="s">
        <v>60</v>
      </c>
      <c r="E4" s="27" t="s">
        <v>128</v>
      </c>
      <c r="F4" s="10"/>
      <c r="G4" s="27" t="s">
        <v>226</v>
      </c>
      <c r="H4" s="27" t="s">
        <v>128</v>
      </c>
      <c r="I4" s="31">
        <f>1140+550</f>
        <v>1690</v>
      </c>
      <c r="J4" s="71" t="s">
        <v>14</v>
      </c>
      <c r="K4" s="73" t="s">
        <v>14</v>
      </c>
      <c r="L4" s="10" t="s">
        <v>14</v>
      </c>
      <c r="M4" s="112" t="s">
        <v>311</v>
      </c>
      <c r="N4" s="10">
        <v>2026</v>
      </c>
    </row>
    <row r="5" spans="1:14">
      <c r="A5" s="10">
        <v>4</v>
      </c>
      <c r="B5" s="112" t="s">
        <v>33</v>
      </c>
      <c r="C5" s="112" t="s">
        <v>34</v>
      </c>
      <c r="D5" s="113" t="s">
        <v>60</v>
      </c>
      <c r="E5" s="27" t="s">
        <v>128</v>
      </c>
      <c r="F5" s="10"/>
      <c r="G5" s="27" t="s">
        <v>226</v>
      </c>
      <c r="H5" s="27" t="s">
        <v>128</v>
      </c>
      <c r="I5" s="31">
        <v>2500</v>
      </c>
      <c r="J5" s="71" t="s">
        <v>14</v>
      </c>
      <c r="K5" s="73" t="s">
        <v>14</v>
      </c>
      <c r="L5" s="10" t="s">
        <v>14</v>
      </c>
      <c r="M5" s="112" t="s">
        <v>311</v>
      </c>
      <c r="N5" s="10">
        <v>2026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B243F6-E0BD-4811-A841-949721841676}">
          <x14:formula1>
            <xm:f>List!$C$2:$C$3</xm:f>
          </x14:formula1>
          <xm:sqref>D2:D5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0.39997558519241921"/>
  </sheetPr>
  <dimension ref="A1:N317"/>
  <sheetViews>
    <sheetView workbookViewId="0">
      <selection activeCell="A3" sqref="A3"/>
    </sheetView>
  </sheetViews>
  <sheetFormatPr defaultColWidth="9" defaultRowHeight="14.5"/>
  <cols>
    <col min="1" max="1" width="5.36328125" style="130" customWidth="1"/>
    <col min="2" max="4" width="18.453125" style="130" customWidth="1"/>
    <col min="5" max="5" width="33.6328125" style="130" customWidth="1"/>
    <col min="6" max="6" width="10.6328125" style="130" customWidth="1"/>
    <col min="7" max="7" width="44.36328125" style="130" customWidth="1"/>
    <col min="8" max="8" width="23.1796875" style="130" bestFit="1" customWidth="1"/>
    <col min="9" max="9" width="18.453125" style="153" customWidth="1"/>
    <col min="10" max="13" width="18.453125" style="130" customWidth="1"/>
    <col min="14" max="14" width="10.36328125" style="130" customWidth="1"/>
    <col min="15" max="16384" width="9" style="130"/>
  </cols>
  <sheetData>
    <row r="1" spans="1:14">
      <c r="A1" s="129" t="s">
        <v>0</v>
      </c>
      <c r="B1" s="129" t="s">
        <v>1</v>
      </c>
      <c r="C1" s="129" t="s">
        <v>2</v>
      </c>
      <c r="D1" s="129" t="s">
        <v>3</v>
      </c>
      <c r="E1" s="129" t="s">
        <v>4</v>
      </c>
      <c r="F1" s="129" t="s">
        <v>5</v>
      </c>
      <c r="G1" s="129" t="s">
        <v>6</v>
      </c>
      <c r="H1" s="129" t="s">
        <v>7</v>
      </c>
      <c r="I1" s="152" t="s">
        <v>8</v>
      </c>
      <c r="J1" s="129" t="s">
        <v>9</v>
      </c>
      <c r="K1" s="129" t="s">
        <v>10</v>
      </c>
      <c r="L1" s="129" t="s">
        <v>11</v>
      </c>
      <c r="M1" s="129" t="s">
        <v>12</v>
      </c>
      <c r="N1" s="129" t="s">
        <v>13</v>
      </c>
    </row>
    <row r="2" spans="1:14">
      <c r="A2" s="130">
        <v>1</v>
      </c>
      <c r="B2" s="130" t="s">
        <v>54</v>
      </c>
      <c r="C2" s="130" t="s">
        <v>94</v>
      </c>
      <c r="D2" s="130" t="s">
        <v>60</v>
      </c>
      <c r="E2" s="130" t="s">
        <v>71</v>
      </c>
      <c r="G2" s="130" t="s">
        <v>123</v>
      </c>
      <c r="H2" s="150" t="s">
        <v>116</v>
      </c>
      <c r="I2" s="153">
        <v>168</v>
      </c>
      <c r="J2" s="130" t="s">
        <v>460</v>
      </c>
      <c r="K2" s="133">
        <v>46026</v>
      </c>
      <c r="L2" s="130">
        <v>2025404825</v>
      </c>
      <c r="M2" s="137" t="s">
        <v>311</v>
      </c>
      <c r="N2" s="130">
        <v>2026</v>
      </c>
    </row>
    <row r="3" spans="1:14">
      <c r="A3" s="130">
        <v>2</v>
      </c>
      <c r="B3" s="130" t="s">
        <v>17</v>
      </c>
      <c r="C3" s="130" t="s">
        <v>25</v>
      </c>
      <c r="D3" s="130" t="s">
        <v>60</v>
      </c>
      <c r="E3" s="130" t="s">
        <v>71</v>
      </c>
      <c r="G3" s="130" t="s">
        <v>123</v>
      </c>
      <c r="H3" s="150" t="s">
        <v>116</v>
      </c>
      <c r="I3" s="153">
        <v>3245</v>
      </c>
      <c r="J3" s="130" t="s">
        <v>461</v>
      </c>
      <c r="K3" s="133">
        <v>46026</v>
      </c>
      <c r="L3" s="130">
        <v>2025404767</v>
      </c>
      <c r="M3" s="137" t="s">
        <v>311</v>
      </c>
      <c r="N3" s="130">
        <v>2026</v>
      </c>
    </row>
    <row r="4" spans="1:14">
      <c r="A4" s="130">
        <v>3</v>
      </c>
      <c r="B4" s="130" t="s">
        <v>52</v>
      </c>
      <c r="C4" s="130" t="s">
        <v>62</v>
      </c>
      <c r="D4" s="130" t="s">
        <v>60</v>
      </c>
      <c r="E4" s="130" t="s">
        <v>71</v>
      </c>
      <c r="G4" s="130" t="s">
        <v>123</v>
      </c>
      <c r="H4" s="130" t="s">
        <v>246</v>
      </c>
      <c r="I4" s="153">
        <v>3154.9</v>
      </c>
      <c r="J4" s="130" t="s">
        <v>462</v>
      </c>
      <c r="K4" s="133">
        <v>46026</v>
      </c>
      <c r="L4" s="130">
        <v>2025404785</v>
      </c>
      <c r="M4" s="137" t="s">
        <v>311</v>
      </c>
      <c r="N4" s="130">
        <v>2026</v>
      </c>
    </row>
    <row r="5" spans="1:14">
      <c r="A5" s="130">
        <v>4</v>
      </c>
      <c r="B5" s="130" t="s">
        <v>42</v>
      </c>
      <c r="C5" s="130" t="s">
        <v>263</v>
      </c>
      <c r="D5" s="130" t="s">
        <v>60</v>
      </c>
      <c r="E5" s="154" t="s">
        <v>71</v>
      </c>
      <c r="G5" s="130" t="s">
        <v>123</v>
      </c>
      <c r="H5" s="130" t="s">
        <v>246</v>
      </c>
      <c r="I5" s="153">
        <v>1760</v>
      </c>
      <c r="J5" s="130" t="s">
        <v>463</v>
      </c>
      <c r="K5" s="133">
        <v>46026</v>
      </c>
      <c r="L5" s="130">
        <v>2025404794</v>
      </c>
      <c r="M5" s="137" t="s">
        <v>311</v>
      </c>
      <c r="N5" s="130">
        <v>2026</v>
      </c>
    </row>
    <row r="6" spans="1:14">
      <c r="A6" s="130">
        <v>5</v>
      </c>
      <c r="B6" s="130" t="s">
        <v>42</v>
      </c>
      <c r="C6" s="130" t="s">
        <v>47</v>
      </c>
      <c r="D6" s="130" t="s">
        <v>60</v>
      </c>
      <c r="E6" s="154" t="s">
        <v>71</v>
      </c>
      <c r="G6" s="130" t="s">
        <v>123</v>
      </c>
      <c r="H6" s="130" t="s">
        <v>117</v>
      </c>
      <c r="I6" s="153">
        <v>255</v>
      </c>
      <c r="J6" s="130" t="s">
        <v>464</v>
      </c>
      <c r="K6" s="133">
        <v>46026</v>
      </c>
      <c r="L6" s="130">
        <v>2025404793</v>
      </c>
      <c r="M6" s="137" t="s">
        <v>311</v>
      </c>
      <c r="N6" s="130">
        <v>2026</v>
      </c>
    </row>
    <row r="7" spans="1:14">
      <c r="A7" s="130">
        <v>6</v>
      </c>
      <c r="B7" s="130" t="s">
        <v>17</v>
      </c>
      <c r="C7" s="130" t="s">
        <v>25</v>
      </c>
      <c r="D7" s="130" t="s">
        <v>60</v>
      </c>
      <c r="E7" s="154" t="s">
        <v>71</v>
      </c>
      <c r="G7" s="130" t="s">
        <v>118</v>
      </c>
      <c r="H7" s="130" t="s">
        <v>117</v>
      </c>
      <c r="I7" s="153">
        <v>1474.5</v>
      </c>
      <c r="J7" s="130" t="s">
        <v>465</v>
      </c>
      <c r="K7" s="155">
        <v>46384</v>
      </c>
      <c r="L7" s="130">
        <v>2025404777</v>
      </c>
      <c r="M7" s="137" t="s">
        <v>311</v>
      </c>
      <c r="N7" s="130">
        <v>2026</v>
      </c>
    </row>
    <row r="8" spans="1:14">
      <c r="A8" s="130">
        <v>7</v>
      </c>
      <c r="B8" s="130" t="s">
        <v>17</v>
      </c>
      <c r="C8" s="130" t="s">
        <v>25</v>
      </c>
      <c r="D8" s="130" t="s">
        <v>60</v>
      </c>
      <c r="E8" s="130" t="s">
        <v>71</v>
      </c>
      <c r="G8" s="130" t="s">
        <v>118</v>
      </c>
      <c r="H8" s="150" t="s">
        <v>281</v>
      </c>
      <c r="I8" s="153">
        <v>620.79999999999995</v>
      </c>
      <c r="J8" s="130" t="s">
        <v>466</v>
      </c>
      <c r="K8" s="133">
        <v>46026</v>
      </c>
      <c r="L8" s="130">
        <v>2025404861</v>
      </c>
      <c r="M8" s="137" t="s">
        <v>311</v>
      </c>
      <c r="N8" s="130">
        <v>2026</v>
      </c>
    </row>
    <row r="9" spans="1:14">
      <c r="A9" s="130">
        <v>8</v>
      </c>
      <c r="B9" s="130" t="s">
        <v>35</v>
      </c>
      <c r="C9" s="130" t="s">
        <v>41</v>
      </c>
      <c r="D9" s="130" t="s">
        <v>60</v>
      </c>
      <c r="E9" s="130" t="s">
        <v>71</v>
      </c>
      <c r="G9" s="130" t="s">
        <v>123</v>
      </c>
      <c r="H9" s="150" t="s">
        <v>281</v>
      </c>
      <c r="I9" s="153">
        <v>235</v>
      </c>
      <c r="J9" s="130" t="s">
        <v>467</v>
      </c>
      <c r="K9" s="133">
        <v>46026</v>
      </c>
      <c r="L9" s="130">
        <v>2025404795</v>
      </c>
      <c r="M9" s="137" t="s">
        <v>311</v>
      </c>
      <c r="N9" s="130">
        <v>2026</v>
      </c>
    </row>
    <row r="10" spans="1:14">
      <c r="A10" s="130">
        <v>9</v>
      </c>
      <c r="B10" s="130" t="s">
        <v>42</v>
      </c>
      <c r="C10" s="130" t="s">
        <v>50</v>
      </c>
      <c r="D10" s="130" t="s">
        <v>60</v>
      </c>
      <c r="E10" s="154" t="s">
        <v>71</v>
      </c>
      <c r="G10" s="130" t="s">
        <v>229</v>
      </c>
      <c r="H10" s="150" t="s">
        <v>281</v>
      </c>
      <c r="I10" s="153">
        <v>6338</v>
      </c>
      <c r="J10" s="130" t="s">
        <v>468</v>
      </c>
      <c r="K10" s="133">
        <v>46026</v>
      </c>
      <c r="L10" s="130">
        <v>2025404088</v>
      </c>
      <c r="M10" s="137" t="s">
        <v>311</v>
      </c>
      <c r="N10" s="130">
        <v>2026</v>
      </c>
    </row>
    <row r="11" spans="1:14">
      <c r="A11" s="130">
        <v>10</v>
      </c>
      <c r="B11" s="130" t="s">
        <v>42</v>
      </c>
      <c r="C11" s="130" t="s">
        <v>263</v>
      </c>
      <c r="D11" s="130" t="s">
        <v>60</v>
      </c>
      <c r="E11" s="154" t="s">
        <v>71</v>
      </c>
      <c r="G11" s="130" t="s">
        <v>118</v>
      </c>
      <c r="H11" s="150" t="s">
        <v>281</v>
      </c>
      <c r="I11" s="153">
        <v>44950</v>
      </c>
      <c r="J11" s="130" t="s">
        <v>469</v>
      </c>
      <c r="K11" s="133">
        <v>46027</v>
      </c>
      <c r="L11" s="130">
        <v>2025404800</v>
      </c>
      <c r="M11" s="137" t="s">
        <v>311</v>
      </c>
      <c r="N11" s="130">
        <v>2026</v>
      </c>
    </row>
    <row r="12" spans="1:14">
      <c r="A12" s="130">
        <v>11</v>
      </c>
      <c r="B12" s="130" t="s">
        <v>27</v>
      </c>
      <c r="C12" s="130" t="s">
        <v>28</v>
      </c>
      <c r="D12" s="130" t="s">
        <v>60</v>
      </c>
      <c r="E12" s="154" t="s">
        <v>71</v>
      </c>
      <c r="G12" s="130" t="s">
        <v>455</v>
      </c>
      <c r="H12" s="150" t="s">
        <v>281</v>
      </c>
      <c r="I12" s="153">
        <v>2849.25</v>
      </c>
      <c r="J12" s="130" t="s">
        <v>470</v>
      </c>
      <c r="K12" s="133">
        <v>46027</v>
      </c>
      <c r="L12" s="130">
        <v>2025404843</v>
      </c>
      <c r="M12" s="137" t="s">
        <v>311</v>
      </c>
      <c r="N12" s="130">
        <v>2026</v>
      </c>
    </row>
    <row r="13" spans="1:14">
      <c r="A13" s="130">
        <v>12</v>
      </c>
      <c r="B13" s="130" t="s">
        <v>52</v>
      </c>
      <c r="C13" s="130" t="s">
        <v>62</v>
      </c>
      <c r="D13" s="130" t="s">
        <v>60</v>
      </c>
      <c r="E13" s="154" t="s">
        <v>71</v>
      </c>
      <c r="G13" s="130" t="s">
        <v>118</v>
      </c>
      <c r="H13" s="150" t="s">
        <v>281</v>
      </c>
      <c r="I13" s="153">
        <v>3402</v>
      </c>
      <c r="J13" s="130" t="s">
        <v>471</v>
      </c>
      <c r="K13" s="133">
        <v>46027</v>
      </c>
      <c r="L13" s="130">
        <v>2025404836</v>
      </c>
      <c r="M13" s="137" t="s">
        <v>311</v>
      </c>
      <c r="N13" s="130">
        <v>2026</v>
      </c>
    </row>
    <row r="14" spans="1:14">
      <c r="A14" s="130">
        <v>13</v>
      </c>
      <c r="B14" s="130" t="s">
        <v>52</v>
      </c>
      <c r="C14" s="130" t="s">
        <v>62</v>
      </c>
      <c r="D14" s="130" t="s">
        <v>60</v>
      </c>
      <c r="E14" s="154" t="s">
        <v>71</v>
      </c>
      <c r="G14" s="130" t="s">
        <v>118</v>
      </c>
      <c r="H14" s="150" t="s">
        <v>281</v>
      </c>
      <c r="I14" s="153">
        <v>2430</v>
      </c>
      <c r="J14" s="130" t="s">
        <v>472</v>
      </c>
      <c r="K14" s="133">
        <v>46027</v>
      </c>
      <c r="L14" s="130">
        <v>2025404833</v>
      </c>
      <c r="M14" s="137" t="s">
        <v>311</v>
      </c>
      <c r="N14" s="130">
        <v>2026</v>
      </c>
    </row>
    <row r="15" spans="1:14">
      <c r="A15" s="130">
        <v>14</v>
      </c>
      <c r="B15" s="130" t="s">
        <v>52</v>
      </c>
      <c r="C15" s="130" t="s">
        <v>62</v>
      </c>
      <c r="D15" s="130" t="s">
        <v>60</v>
      </c>
      <c r="E15" s="154" t="s">
        <v>71</v>
      </c>
      <c r="G15" s="130" t="s">
        <v>118</v>
      </c>
      <c r="H15" s="150" t="s">
        <v>281</v>
      </c>
      <c r="I15" s="153">
        <v>5020.3</v>
      </c>
      <c r="J15" s="130" t="s">
        <v>473</v>
      </c>
      <c r="K15" s="133">
        <v>46027</v>
      </c>
      <c r="L15" s="130">
        <v>2025404831</v>
      </c>
      <c r="M15" s="137" t="s">
        <v>311</v>
      </c>
      <c r="N15" s="130">
        <v>2026</v>
      </c>
    </row>
    <row r="16" spans="1:14">
      <c r="A16" s="130">
        <v>15</v>
      </c>
      <c r="B16" s="130" t="s">
        <v>42</v>
      </c>
      <c r="C16" s="130" t="s">
        <v>50</v>
      </c>
      <c r="D16" s="130" t="s">
        <v>60</v>
      </c>
      <c r="E16" s="154" t="s">
        <v>71</v>
      </c>
      <c r="G16" s="130" t="s">
        <v>229</v>
      </c>
      <c r="H16" s="150" t="s">
        <v>281</v>
      </c>
      <c r="I16" s="153">
        <v>29224</v>
      </c>
      <c r="J16" s="130" t="s">
        <v>474</v>
      </c>
      <c r="K16" s="133">
        <v>46026</v>
      </c>
      <c r="L16" s="130">
        <v>2025404181</v>
      </c>
      <c r="M16" s="137" t="s">
        <v>311</v>
      </c>
      <c r="N16" s="130">
        <v>2026</v>
      </c>
    </row>
    <row r="17" spans="1:14">
      <c r="A17" s="130">
        <v>16</v>
      </c>
      <c r="B17" s="130" t="s">
        <v>42</v>
      </c>
      <c r="C17" s="130" t="s">
        <v>50</v>
      </c>
      <c r="D17" s="130" t="s">
        <v>60</v>
      </c>
      <c r="E17" s="154" t="s">
        <v>71</v>
      </c>
      <c r="G17" s="130" t="s">
        <v>432</v>
      </c>
      <c r="H17" s="150" t="s">
        <v>281</v>
      </c>
      <c r="I17" s="153">
        <v>1500</v>
      </c>
      <c r="J17" s="130" t="s">
        <v>475</v>
      </c>
      <c r="K17" s="133">
        <v>46028</v>
      </c>
      <c r="L17" s="130">
        <v>2025404884</v>
      </c>
      <c r="M17" s="137" t="s">
        <v>311</v>
      </c>
      <c r="N17" s="130">
        <v>2026</v>
      </c>
    </row>
    <row r="18" spans="1:14">
      <c r="A18" s="130">
        <v>17</v>
      </c>
      <c r="B18" s="130" t="s">
        <v>35</v>
      </c>
      <c r="C18" s="130" t="s">
        <v>37</v>
      </c>
      <c r="D18" s="130" t="s">
        <v>60</v>
      </c>
      <c r="E18" s="154" t="s">
        <v>71</v>
      </c>
      <c r="G18" s="130" t="s">
        <v>432</v>
      </c>
      <c r="H18" s="150" t="s">
        <v>281</v>
      </c>
      <c r="I18" s="153">
        <v>3000</v>
      </c>
      <c r="J18" s="130" t="s">
        <v>476</v>
      </c>
      <c r="K18" s="133">
        <v>46028</v>
      </c>
      <c r="L18" s="130">
        <v>2025404885</v>
      </c>
      <c r="M18" s="137" t="s">
        <v>311</v>
      </c>
      <c r="N18" s="130">
        <v>2026</v>
      </c>
    </row>
    <row r="19" spans="1:14">
      <c r="A19" s="130">
        <v>18</v>
      </c>
      <c r="B19" s="130" t="s">
        <v>52</v>
      </c>
      <c r="C19" s="130" t="s">
        <v>62</v>
      </c>
      <c r="D19" s="130" t="s">
        <v>60</v>
      </c>
      <c r="E19" s="154" t="s">
        <v>71</v>
      </c>
      <c r="G19" s="130" t="s">
        <v>118</v>
      </c>
      <c r="H19" s="150" t="s">
        <v>281</v>
      </c>
      <c r="I19" s="153">
        <v>33820</v>
      </c>
      <c r="J19" s="130" t="s">
        <v>477</v>
      </c>
      <c r="K19" s="133">
        <v>46029</v>
      </c>
      <c r="L19" s="130">
        <v>2025404294</v>
      </c>
      <c r="M19" s="137" t="s">
        <v>311</v>
      </c>
      <c r="N19" s="130">
        <v>2026</v>
      </c>
    </row>
    <row r="20" spans="1:14">
      <c r="A20" s="130">
        <v>19</v>
      </c>
      <c r="B20" s="130" t="s">
        <v>54</v>
      </c>
      <c r="C20" s="130" t="s">
        <v>94</v>
      </c>
      <c r="D20" s="130" t="s">
        <v>60</v>
      </c>
      <c r="E20" s="154" t="s">
        <v>71</v>
      </c>
      <c r="G20" s="130" t="s">
        <v>230</v>
      </c>
      <c r="H20" s="150" t="s">
        <v>281</v>
      </c>
      <c r="I20" s="153">
        <v>9407.9599999999991</v>
      </c>
      <c r="J20" s="130" t="s">
        <v>478</v>
      </c>
      <c r="K20" s="133">
        <v>46020</v>
      </c>
      <c r="L20" s="130">
        <v>2025404842</v>
      </c>
      <c r="M20" s="137" t="s">
        <v>311</v>
      </c>
      <c r="N20" s="130">
        <v>2026</v>
      </c>
    </row>
    <row r="21" spans="1:14">
      <c r="A21" s="130">
        <v>20</v>
      </c>
      <c r="B21" s="130" t="s">
        <v>52</v>
      </c>
      <c r="C21" s="130" t="s">
        <v>62</v>
      </c>
      <c r="D21" s="130" t="s">
        <v>60</v>
      </c>
      <c r="E21" s="154" t="s">
        <v>71</v>
      </c>
      <c r="G21" s="130" t="s">
        <v>118</v>
      </c>
      <c r="H21" s="150" t="s">
        <v>281</v>
      </c>
      <c r="I21" s="153">
        <v>501.8</v>
      </c>
      <c r="J21" s="130" t="s">
        <v>479</v>
      </c>
      <c r="K21" s="133">
        <v>46030</v>
      </c>
      <c r="L21" s="130">
        <v>2025404936</v>
      </c>
      <c r="M21" s="137" t="s">
        <v>311</v>
      </c>
      <c r="N21" s="130">
        <v>2026</v>
      </c>
    </row>
    <row r="22" spans="1:14">
      <c r="A22" s="130">
        <v>21</v>
      </c>
      <c r="B22" s="130" t="s">
        <v>54</v>
      </c>
      <c r="C22" s="130" t="s">
        <v>55</v>
      </c>
      <c r="D22" s="130" t="s">
        <v>60</v>
      </c>
      <c r="E22" s="154" t="s">
        <v>71</v>
      </c>
      <c r="G22" s="130" t="s">
        <v>229</v>
      </c>
      <c r="H22" s="150" t="s">
        <v>281</v>
      </c>
      <c r="I22" s="153">
        <v>1260</v>
      </c>
      <c r="J22" s="130" t="s">
        <v>480</v>
      </c>
      <c r="K22" s="133">
        <v>46030</v>
      </c>
      <c r="L22" s="130">
        <v>2025404856</v>
      </c>
      <c r="M22" s="137" t="s">
        <v>311</v>
      </c>
      <c r="N22" s="130">
        <v>2026</v>
      </c>
    </row>
    <row r="23" spans="1:14">
      <c r="A23" s="130">
        <v>22</v>
      </c>
      <c r="B23" s="130" t="s">
        <v>42</v>
      </c>
      <c r="C23" s="130" t="s">
        <v>47</v>
      </c>
      <c r="D23" s="130" t="s">
        <v>60</v>
      </c>
      <c r="E23" s="154" t="s">
        <v>71</v>
      </c>
      <c r="G23" s="130" t="s">
        <v>456</v>
      </c>
      <c r="H23" s="150" t="s">
        <v>281</v>
      </c>
      <c r="I23" s="153">
        <v>460</v>
      </c>
      <c r="J23" s="130" t="s">
        <v>481</v>
      </c>
      <c r="K23" s="133">
        <v>46033</v>
      </c>
      <c r="L23" s="130">
        <v>2026400008</v>
      </c>
      <c r="M23" s="137" t="s">
        <v>311</v>
      </c>
      <c r="N23" s="130">
        <v>2026</v>
      </c>
    </row>
    <row r="24" spans="1:14">
      <c r="A24" s="130">
        <v>23</v>
      </c>
      <c r="B24" s="130" t="s">
        <v>54</v>
      </c>
      <c r="C24" s="130" t="s">
        <v>55</v>
      </c>
      <c r="D24" s="130" t="s">
        <v>60</v>
      </c>
      <c r="E24" s="154" t="s">
        <v>71</v>
      </c>
      <c r="G24" s="130" t="s">
        <v>123</v>
      </c>
      <c r="H24" s="150" t="s">
        <v>281</v>
      </c>
      <c r="I24" s="153">
        <v>900</v>
      </c>
      <c r="J24" s="130" t="s">
        <v>482</v>
      </c>
      <c r="K24" s="133">
        <v>46030</v>
      </c>
      <c r="L24" s="130">
        <v>2025404849</v>
      </c>
      <c r="M24" s="137" t="s">
        <v>311</v>
      </c>
      <c r="N24" s="130">
        <v>2026</v>
      </c>
    </row>
    <row r="25" spans="1:14">
      <c r="A25" s="130">
        <v>24</v>
      </c>
      <c r="B25" s="130" t="s">
        <v>17</v>
      </c>
      <c r="C25" s="130" t="s">
        <v>24</v>
      </c>
      <c r="D25" s="130" t="s">
        <v>60</v>
      </c>
      <c r="E25" s="154" t="s">
        <v>71</v>
      </c>
      <c r="G25" s="130" t="s">
        <v>457</v>
      </c>
      <c r="H25" s="150" t="s">
        <v>282</v>
      </c>
      <c r="I25" s="153">
        <v>4544</v>
      </c>
      <c r="J25" s="130" t="s">
        <v>483</v>
      </c>
      <c r="K25" s="133">
        <v>46032</v>
      </c>
      <c r="L25" s="130">
        <v>2026400027</v>
      </c>
      <c r="M25" s="137" t="s">
        <v>311</v>
      </c>
      <c r="N25" s="130">
        <v>2026</v>
      </c>
    </row>
    <row r="26" spans="1:14">
      <c r="A26" s="130">
        <v>25</v>
      </c>
      <c r="B26" s="130" t="s">
        <v>42</v>
      </c>
      <c r="C26" s="130" t="s">
        <v>44</v>
      </c>
      <c r="D26" s="130" t="s">
        <v>60</v>
      </c>
      <c r="E26" s="130" t="s">
        <v>71</v>
      </c>
      <c r="G26" s="130" t="s">
        <v>123</v>
      </c>
      <c r="H26" s="130" t="s">
        <v>117</v>
      </c>
      <c r="I26" s="153">
        <v>260</v>
      </c>
      <c r="J26" s="130" t="s">
        <v>484</v>
      </c>
      <c r="K26" s="133">
        <v>46032</v>
      </c>
      <c r="L26" s="130">
        <v>2025404880</v>
      </c>
      <c r="M26" s="137" t="s">
        <v>311</v>
      </c>
      <c r="N26" s="130">
        <v>2026</v>
      </c>
    </row>
    <row r="27" spans="1:14">
      <c r="A27" s="130">
        <v>26</v>
      </c>
      <c r="B27" s="130" t="s">
        <v>54</v>
      </c>
      <c r="C27" s="130" t="s">
        <v>94</v>
      </c>
      <c r="D27" s="130" t="s">
        <v>60</v>
      </c>
      <c r="E27" s="154" t="s">
        <v>71</v>
      </c>
      <c r="G27" s="130" t="s">
        <v>123</v>
      </c>
      <c r="H27" s="130" t="s">
        <v>117</v>
      </c>
      <c r="I27" s="153">
        <v>70</v>
      </c>
      <c r="J27" s="130" t="s">
        <v>485</v>
      </c>
      <c r="K27" s="133">
        <v>46032</v>
      </c>
      <c r="L27" s="130">
        <v>2025404874</v>
      </c>
      <c r="M27" s="137" t="s">
        <v>311</v>
      </c>
      <c r="N27" s="130">
        <v>2026</v>
      </c>
    </row>
    <row r="28" spans="1:14">
      <c r="A28" s="130">
        <v>27</v>
      </c>
      <c r="B28" s="130" t="s">
        <v>42</v>
      </c>
      <c r="C28" s="130" t="s">
        <v>50</v>
      </c>
      <c r="D28" s="130" t="s">
        <v>60</v>
      </c>
      <c r="E28" s="130" t="s">
        <v>71</v>
      </c>
      <c r="G28" s="130" t="s">
        <v>123</v>
      </c>
      <c r="H28" s="130" t="s">
        <v>117</v>
      </c>
      <c r="I28" s="153">
        <v>1200</v>
      </c>
      <c r="J28" s="130" t="s">
        <v>486</v>
      </c>
      <c r="K28" s="133">
        <v>46032</v>
      </c>
      <c r="L28" s="130">
        <v>2025404846</v>
      </c>
      <c r="M28" s="137" t="s">
        <v>311</v>
      </c>
      <c r="N28" s="130">
        <v>2026</v>
      </c>
    </row>
    <row r="29" spans="1:14">
      <c r="A29" s="130">
        <v>28</v>
      </c>
      <c r="B29" s="130" t="s">
        <v>42</v>
      </c>
      <c r="C29" s="130" t="s">
        <v>44</v>
      </c>
      <c r="D29" s="130" t="s">
        <v>60</v>
      </c>
      <c r="E29" s="130" t="s">
        <v>71</v>
      </c>
      <c r="G29" s="130" t="s">
        <v>123</v>
      </c>
      <c r="H29" s="130" t="s">
        <v>117</v>
      </c>
      <c r="I29" s="153">
        <v>775.4</v>
      </c>
      <c r="J29" s="130" t="s">
        <v>487</v>
      </c>
      <c r="K29" s="133">
        <v>46032</v>
      </c>
      <c r="L29" s="130">
        <v>2026400007</v>
      </c>
      <c r="M29" s="137" t="s">
        <v>311</v>
      </c>
      <c r="N29" s="130">
        <v>2026</v>
      </c>
    </row>
    <row r="30" spans="1:14">
      <c r="A30" s="130">
        <v>29</v>
      </c>
      <c r="B30" s="130" t="s">
        <v>42</v>
      </c>
      <c r="C30" s="130" t="s">
        <v>50</v>
      </c>
      <c r="D30" s="130" t="s">
        <v>60</v>
      </c>
      <c r="E30" s="154" t="s">
        <v>71</v>
      </c>
      <c r="G30" s="130" t="s">
        <v>123</v>
      </c>
      <c r="H30" s="130" t="s">
        <v>117</v>
      </c>
      <c r="I30" s="153">
        <v>1380</v>
      </c>
      <c r="J30" s="130" t="s">
        <v>488</v>
      </c>
      <c r="K30" s="133">
        <v>46032</v>
      </c>
      <c r="L30" s="130">
        <v>2025404882</v>
      </c>
      <c r="M30" s="137" t="s">
        <v>311</v>
      </c>
      <c r="N30" s="130">
        <v>2026</v>
      </c>
    </row>
    <row r="31" spans="1:14">
      <c r="A31" s="130">
        <v>30</v>
      </c>
      <c r="B31" s="130" t="s">
        <v>42</v>
      </c>
      <c r="C31" s="130" t="s">
        <v>50</v>
      </c>
      <c r="D31" s="130" t="s">
        <v>60</v>
      </c>
      <c r="E31" s="154" t="s">
        <v>71</v>
      </c>
      <c r="G31" s="130" t="s">
        <v>123</v>
      </c>
      <c r="H31" s="130" t="s">
        <v>117</v>
      </c>
      <c r="I31" s="153">
        <v>432</v>
      </c>
      <c r="J31" s="130" t="s">
        <v>489</v>
      </c>
      <c r="K31" s="133">
        <v>46032</v>
      </c>
      <c r="L31" s="130">
        <v>2025404881</v>
      </c>
      <c r="M31" s="137" t="s">
        <v>311</v>
      </c>
      <c r="N31" s="130">
        <v>2026</v>
      </c>
    </row>
    <row r="32" spans="1:14">
      <c r="A32" s="130">
        <v>31</v>
      </c>
      <c r="B32" s="130" t="s">
        <v>42</v>
      </c>
      <c r="C32" s="130" t="s">
        <v>263</v>
      </c>
      <c r="D32" s="130" t="s">
        <v>60</v>
      </c>
      <c r="E32" s="154" t="s">
        <v>71</v>
      </c>
      <c r="G32" s="130" t="s">
        <v>123</v>
      </c>
      <c r="H32" s="150" t="s">
        <v>237</v>
      </c>
      <c r="I32" s="153">
        <v>633.5</v>
      </c>
      <c r="J32" s="130" t="s">
        <v>490</v>
      </c>
      <c r="K32" s="133">
        <v>46032</v>
      </c>
      <c r="L32" s="130">
        <v>2026400014</v>
      </c>
      <c r="M32" s="137" t="s">
        <v>311</v>
      </c>
      <c r="N32" s="130">
        <v>2026</v>
      </c>
    </row>
    <row r="33" spans="1:14">
      <c r="A33" s="130">
        <v>32</v>
      </c>
      <c r="B33" s="130" t="s">
        <v>42</v>
      </c>
      <c r="C33" s="130" t="s">
        <v>50</v>
      </c>
      <c r="D33" s="130" t="s">
        <v>60</v>
      </c>
      <c r="E33" s="154" t="s">
        <v>71</v>
      </c>
      <c r="G33" s="156" t="s">
        <v>123</v>
      </c>
      <c r="H33" s="150" t="s">
        <v>237</v>
      </c>
      <c r="I33" s="153">
        <v>890.5</v>
      </c>
      <c r="J33" s="156" t="s">
        <v>491</v>
      </c>
      <c r="K33" s="133">
        <v>46032</v>
      </c>
      <c r="L33" s="156">
        <v>2025404879</v>
      </c>
      <c r="M33" s="137" t="s">
        <v>311</v>
      </c>
      <c r="N33" s="130">
        <v>2026</v>
      </c>
    </row>
    <row r="34" spans="1:14">
      <c r="A34" s="130">
        <v>33</v>
      </c>
      <c r="B34" s="130" t="s">
        <v>42</v>
      </c>
      <c r="C34" s="130" t="s">
        <v>263</v>
      </c>
      <c r="D34" s="130" t="s">
        <v>60</v>
      </c>
      <c r="E34" s="154" t="s">
        <v>71</v>
      </c>
      <c r="G34" s="130" t="s">
        <v>123</v>
      </c>
      <c r="H34" s="150" t="s">
        <v>237</v>
      </c>
      <c r="I34" s="153">
        <v>800</v>
      </c>
      <c r="J34" s="130" t="s">
        <v>492</v>
      </c>
      <c r="K34" s="133">
        <v>46033</v>
      </c>
      <c r="L34" s="130">
        <v>2025404883</v>
      </c>
      <c r="M34" s="137" t="s">
        <v>311</v>
      </c>
      <c r="N34" s="130">
        <v>2026</v>
      </c>
    </row>
    <row r="35" spans="1:14">
      <c r="A35" s="130">
        <v>34</v>
      </c>
      <c r="B35" s="130" t="s">
        <v>42</v>
      </c>
      <c r="C35" s="130" t="s">
        <v>49</v>
      </c>
      <c r="D35" s="130" t="s">
        <v>60</v>
      </c>
      <c r="E35" s="154" t="s">
        <v>71</v>
      </c>
      <c r="G35" s="130" t="s">
        <v>123</v>
      </c>
      <c r="H35" s="150" t="s">
        <v>237</v>
      </c>
      <c r="I35" s="153">
        <v>256</v>
      </c>
      <c r="J35" s="130" t="s">
        <v>493</v>
      </c>
      <c r="K35" s="133">
        <v>46032</v>
      </c>
      <c r="L35" s="130">
        <v>2025404862</v>
      </c>
      <c r="M35" s="137" t="s">
        <v>311</v>
      </c>
      <c r="N35" s="130">
        <v>2026</v>
      </c>
    </row>
    <row r="36" spans="1:14">
      <c r="A36" s="130">
        <v>35</v>
      </c>
      <c r="B36" s="130" t="s">
        <v>42</v>
      </c>
      <c r="C36" s="130" t="s">
        <v>50</v>
      </c>
      <c r="D36" s="130" t="s">
        <v>60</v>
      </c>
      <c r="E36" s="154" t="s">
        <v>71</v>
      </c>
      <c r="G36" s="130" t="s">
        <v>458</v>
      </c>
      <c r="H36" s="150" t="s">
        <v>237</v>
      </c>
      <c r="I36" s="153">
        <v>727.5</v>
      </c>
      <c r="J36" s="130" t="s">
        <v>494</v>
      </c>
      <c r="K36" s="133">
        <v>46021</v>
      </c>
      <c r="L36" s="130">
        <v>2026400063</v>
      </c>
      <c r="M36" s="137" t="s">
        <v>311</v>
      </c>
      <c r="N36" s="130">
        <v>2026</v>
      </c>
    </row>
    <row r="37" spans="1:14">
      <c r="A37" s="130">
        <v>36</v>
      </c>
      <c r="B37" s="130" t="s">
        <v>42</v>
      </c>
      <c r="C37" s="130" t="s">
        <v>44</v>
      </c>
      <c r="D37" s="130" t="s">
        <v>60</v>
      </c>
      <c r="E37" s="154" t="s">
        <v>71</v>
      </c>
      <c r="G37" s="130" t="s">
        <v>118</v>
      </c>
      <c r="H37" s="150" t="s">
        <v>237</v>
      </c>
      <c r="I37" s="153">
        <v>20150</v>
      </c>
      <c r="J37" s="130" t="s">
        <v>495</v>
      </c>
      <c r="K37" s="133">
        <v>46033</v>
      </c>
      <c r="L37" s="130">
        <v>2025404552</v>
      </c>
      <c r="M37" s="137" t="s">
        <v>311</v>
      </c>
      <c r="N37" s="130">
        <v>2026</v>
      </c>
    </row>
    <row r="38" spans="1:14">
      <c r="A38" s="130">
        <v>37</v>
      </c>
      <c r="B38" s="130" t="s">
        <v>35</v>
      </c>
      <c r="C38" s="130" t="s">
        <v>36</v>
      </c>
      <c r="D38" s="130" t="s">
        <v>60</v>
      </c>
      <c r="E38" s="154" t="s">
        <v>71</v>
      </c>
      <c r="G38" s="130" t="s">
        <v>458</v>
      </c>
      <c r="H38" s="130" t="s">
        <v>117</v>
      </c>
      <c r="I38" s="153">
        <v>620.79999999999995</v>
      </c>
      <c r="J38" s="130" t="s">
        <v>496</v>
      </c>
      <c r="K38" s="133">
        <v>46021</v>
      </c>
      <c r="L38" s="130">
        <v>2026400066</v>
      </c>
      <c r="M38" s="137" t="s">
        <v>311</v>
      </c>
      <c r="N38" s="130">
        <v>2026</v>
      </c>
    </row>
    <row r="39" spans="1:14">
      <c r="A39" s="130">
        <v>38</v>
      </c>
      <c r="B39" s="130" t="s">
        <v>52</v>
      </c>
      <c r="C39" s="130" t="s">
        <v>62</v>
      </c>
      <c r="D39" s="130" t="s">
        <v>60</v>
      </c>
      <c r="E39" s="154" t="s">
        <v>71</v>
      </c>
      <c r="G39" s="130" t="s">
        <v>123</v>
      </c>
      <c r="H39" s="150" t="s">
        <v>238</v>
      </c>
      <c r="I39" s="153">
        <v>124</v>
      </c>
      <c r="J39" s="130" t="s">
        <v>497</v>
      </c>
      <c r="K39" s="133">
        <v>46033</v>
      </c>
      <c r="L39" s="130">
        <v>2025404877</v>
      </c>
      <c r="M39" s="137" t="s">
        <v>311</v>
      </c>
      <c r="N39" s="130">
        <v>2026</v>
      </c>
    </row>
    <row r="40" spans="1:14">
      <c r="A40" s="130">
        <v>39</v>
      </c>
      <c r="B40" s="130" t="s">
        <v>42</v>
      </c>
      <c r="C40" s="130" t="s">
        <v>44</v>
      </c>
      <c r="D40" s="130" t="s">
        <v>60</v>
      </c>
      <c r="E40" s="154" t="s">
        <v>71</v>
      </c>
      <c r="G40" s="130" t="s">
        <v>123</v>
      </c>
      <c r="H40" s="150" t="s">
        <v>238</v>
      </c>
      <c r="I40" s="153">
        <v>440</v>
      </c>
      <c r="J40" s="130" t="s">
        <v>498</v>
      </c>
      <c r="K40" s="133">
        <v>46033</v>
      </c>
      <c r="L40" s="130">
        <v>2025404865</v>
      </c>
      <c r="M40" s="137" t="s">
        <v>311</v>
      </c>
      <c r="N40" s="130">
        <v>2026</v>
      </c>
    </row>
    <row r="41" spans="1:14">
      <c r="A41" s="130">
        <v>40</v>
      </c>
      <c r="B41" s="130" t="s">
        <v>54</v>
      </c>
      <c r="C41" s="130" t="s">
        <v>94</v>
      </c>
      <c r="D41" s="130" t="s">
        <v>60</v>
      </c>
      <c r="E41" s="130" t="s">
        <v>71</v>
      </c>
      <c r="G41" s="130" t="s">
        <v>123</v>
      </c>
      <c r="H41" s="150" t="s">
        <v>238</v>
      </c>
      <c r="I41" s="153">
        <v>620</v>
      </c>
      <c r="J41" s="130" t="s">
        <v>499</v>
      </c>
      <c r="K41" s="133">
        <v>46033</v>
      </c>
      <c r="L41" s="130">
        <v>2025404873</v>
      </c>
      <c r="M41" s="137" t="s">
        <v>311</v>
      </c>
      <c r="N41" s="130">
        <v>2026</v>
      </c>
    </row>
    <row r="42" spans="1:14">
      <c r="A42" s="130">
        <v>41</v>
      </c>
      <c r="B42" s="130" t="s">
        <v>35</v>
      </c>
      <c r="C42" s="130" t="s">
        <v>41</v>
      </c>
      <c r="D42" s="130" t="s">
        <v>60</v>
      </c>
      <c r="E42" s="154" t="s">
        <v>71</v>
      </c>
      <c r="G42" s="130" t="s">
        <v>123</v>
      </c>
      <c r="H42" s="130" t="s">
        <v>117</v>
      </c>
      <c r="I42" s="153">
        <v>1000.4</v>
      </c>
      <c r="J42" s="130" t="s">
        <v>500</v>
      </c>
      <c r="K42" s="133">
        <v>46033</v>
      </c>
      <c r="L42" s="130">
        <v>2026400003</v>
      </c>
      <c r="M42" s="137" t="s">
        <v>311</v>
      </c>
      <c r="N42" s="130">
        <v>2026</v>
      </c>
    </row>
    <row r="43" spans="1:14">
      <c r="A43" s="130">
        <v>42</v>
      </c>
      <c r="B43" s="130" t="s">
        <v>17</v>
      </c>
      <c r="C43" s="130" t="s">
        <v>25</v>
      </c>
      <c r="D43" s="130" t="s">
        <v>60</v>
      </c>
      <c r="E43" s="154" t="s">
        <v>71</v>
      </c>
      <c r="G43" s="130" t="s">
        <v>123</v>
      </c>
      <c r="H43" s="130" t="s">
        <v>117</v>
      </c>
      <c r="I43" s="153">
        <v>1151.5</v>
      </c>
      <c r="J43" s="130" t="s">
        <v>501</v>
      </c>
      <c r="K43" s="133">
        <v>46033</v>
      </c>
      <c r="L43" s="130">
        <v>2025404774</v>
      </c>
      <c r="M43" s="137" t="s">
        <v>311</v>
      </c>
      <c r="N43" s="130">
        <v>2026</v>
      </c>
    </row>
    <row r="44" spans="1:14">
      <c r="A44" s="130">
        <v>43</v>
      </c>
      <c r="B44" s="130" t="s">
        <v>54</v>
      </c>
      <c r="C44" s="130" t="s">
        <v>94</v>
      </c>
      <c r="D44" s="130" t="s">
        <v>60</v>
      </c>
      <c r="E44" s="154" t="s">
        <v>71</v>
      </c>
      <c r="G44" s="130" t="s">
        <v>123</v>
      </c>
      <c r="H44" s="130" t="s">
        <v>117</v>
      </c>
      <c r="I44" s="153">
        <v>760</v>
      </c>
      <c r="J44" s="130" t="s">
        <v>502</v>
      </c>
      <c r="K44" s="133">
        <v>46022</v>
      </c>
      <c r="L44" s="130">
        <v>2025404701</v>
      </c>
      <c r="M44" s="137" t="s">
        <v>311</v>
      </c>
      <c r="N44" s="130">
        <v>2026</v>
      </c>
    </row>
    <row r="45" spans="1:14">
      <c r="A45" s="130">
        <v>44</v>
      </c>
      <c r="B45" s="130" t="s">
        <v>17</v>
      </c>
      <c r="C45" s="130" t="s">
        <v>24</v>
      </c>
      <c r="D45" s="130" t="s">
        <v>60</v>
      </c>
      <c r="E45" s="154" t="s">
        <v>71</v>
      </c>
      <c r="G45" s="130" t="s">
        <v>123</v>
      </c>
      <c r="H45" s="130" t="s">
        <v>117</v>
      </c>
      <c r="I45" s="153">
        <v>850</v>
      </c>
      <c r="J45" s="130" t="s">
        <v>503</v>
      </c>
      <c r="K45" s="133">
        <v>46030</v>
      </c>
      <c r="L45" s="130">
        <v>2025404848</v>
      </c>
      <c r="M45" s="137" t="s">
        <v>311</v>
      </c>
      <c r="N45" s="130">
        <v>2026</v>
      </c>
    </row>
    <row r="46" spans="1:14">
      <c r="A46" s="130">
        <v>45</v>
      </c>
      <c r="B46" s="130" t="s">
        <v>17</v>
      </c>
      <c r="C46" s="130" t="s">
        <v>25</v>
      </c>
      <c r="D46" s="130" t="s">
        <v>60</v>
      </c>
      <c r="E46" s="130" t="s">
        <v>71</v>
      </c>
      <c r="G46" s="130" t="s">
        <v>118</v>
      </c>
      <c r="H46" s="130" t="s">
        <v>117</v>
      </c>
      <c r="I46" s="153">
        <v>3100</v>
      </c>
      <c r="J46" s="130" t="s">
        <v>504</v>
      </c>
      <c r="K46" s="133">
        <v>46030</v>
      </c>
      <c r="L46" s="130">
        <v>2025404934</v>
      </c>
      <c r="M46" s="137" t="s">
        <v>311</v>
      </c>
      <c r="N46" s="130">
        <v>2026</v>
      </c>
    </row>
    <row r="47" spans="1:14">
      <c r="A47" s="130">
        <v>46</v>
      </c>
      <c r="B47" s="130" t="s">
        <v>17</v>
      </c>
      <c r="C47" s="130" t="s">
        <v>25</v>
      </c>
      <c r="D47" s="130" t="s">
        <v>60</v>
      </c>
      <c r="E47" s="154" t="s">
        <v>71</v>
      </c>
      <c r="G47" s="130" t="s">
        <v>230</v>
      </c>
      <c r="H47" s="130" t="s">
        <v>117</v>
      </c>
      <c r="I47" s="153">
        <v>7600</v>
      </c>
      <c r="J47" s="130" t="s">
        <v>505</v>
      </c>
      <c r="K47" s="133">
        <v>46028</v>
      </c>
      <c r="L47" s="130">
        <v>2026400056</v>
      </c>
      <c r="M47" s="137" t="s">
        <v>311</v>
      </c>
      <c r="N47" s="130">
        <v>2026</v>
      </c>
    </row>
    <row r="48" spans="1:14">
      <c r="A48" s="130">
        <v>47</v>
      </c>
      <c r="B48" s="130" t="s">
        <v>42</v>
      </c>
      <c r="C48" s="130" t="s">
        <v>50</v>
      </c>
      <c r="D48" s="130" t="s">
        <v>60</v>
      </c>
      <c r="E48" s="154" t="s">
        <v>71</v>
      </c>
      <c r="G48" s="130" t="s">
        <v>458</v>
      </c>
      <c r="H48" s="130" t="s">
        <v>117</v>
      </c>
      <c r="I48" s="153">
        <v>2793.6</v>
      </c>
      <c r="J48" s="130" t="s">
        <v>235</v>
      </c>
      <c r="K48" s="133">
        <v>46033</v>
      </c>
      <c r="L48" s="130">
        <v>2026400101</v>
      </c>
      <c r="M48" s="137" t="s">
        <v>311</v>
      </c>
      <c r="N48" s="130">
        <v>2026</v>
      </c>
    </row>
    <row r="49" spans="1:14">
      <c r="A49" s="130">
        <v>48</v>
      </c>
      <c r="B49" s="130" t="s">
        <v>17</v>
      </c>
      <c r="C49" s="130" t="s">
        <v>25</v>
      </c>
      <c r="D49" s="130" t="s">
        <v>60</v>
      </c>
      <c r="E49" s="154" t="s">
        <v>71</v>
      </c>
      <c r="G49" s="130" t="s">
        <v>229</v>
      </c>
      <c r="H49" s="130" t="s">
        <v>117</v>
      </c>
      <c r="I49" s="153">
        <v>3944</v>
      </c>
      <c r="J49" s="130" t="s">
        <v>506</v>
      </c>
      <c r="K49" s="133">
        <v>46036</v>
      </c>
      <c r="L49" s="130">
        <v>2025404917</v>
      </c>
      <c r="M49" s="137" t="s">
        <v>311</v>
      </c>
      <c r="N49" s="130">
        <v>2026</v>
      </c>
    </row>
    <row r="50" spans="1:14">
      <c r="A50" s="130">
        <v>49</v>
      </c>
      <c r="B50" s="130" t="s">
        <v>42</v>
      </c>
      <c r="C50" s="130" t="s">
        <v>49</v>
      </c>
      <c r="D50" s="130" t="s">
        <v>60</v>
      </c>
      <c r="E50" s="154" t="s">
        <v>71</v>
      </c>
      <c r="G50" s="130" t="s">
        <v>229</v>
      </c>
      <c r="H50" s="130" t="s">
        <v>117</v>
      </c>
      <c r="I50" s="153">
        <v>890</v>
      </c>
      <c r="J50" s="130" t="s">
        <v>507</v>
      </c>
      <c r="K50" s="133">
        <v>46036</v>
      </c>
      <c r="L50" s="130">
        <v>2025404162</v>
      </c>
      <c r="M50" s="137" t="s">
        <v>311</v>
      </c>
      <c r="N50" s="130">
        <v>2026</v>
      </c>
    </row>
    <row r="51" spans="1:14">
      <c r="A51" s="130">
        <v>50</v>
      </c>
      <c r="B51" s="130" t="s">
        <v>52</v>
      </c>
      <c r="C51" s="130" t="s">
        <v>62</v>
      </c>
      <c r="D51" s="130" t="s">
        <v>60</v>
      </c>
      <c r="E51" s="154" t="s">
        <v>71</v>
      </c>
      <c r="G51" s="130" t="s">
        <v>123</v>
      </c>
      <c r="H51" s="130" t="s">
        <v>117</v>
      </c>
      <c r="I51" s="153">
        <v>1850</v>
      </c>
      <c r="J51" s="130" t="s">
        <v>508</v>
      </c>
      <c r="K51" s="133">
        <v>46036</v>
      </c>
      <c r="L51" s="130">
        <v>2025404935</v>
      </c>
      <c r="M51" s="137" t="s">
        <v>311</v>
      </c>
      <c r="N51" s="130">
        <v>2026</v>
      </c>
    </row>
    <row r="52" spans="1:14">
      <c r="A52" s="130">
        <v>51</v>
      </c>
      <c r="B52" s="154" t="s">
        <v>17</v>
      </c>
      <c r="C52" s="154" t="s">
        <v>22</v>
      </c>
      <c r="D52" s="130" t="s">
        <v>60</v>
      </c>
      <c r="E52" s="154" t="s">
        <v>71</v>
      </c>
      <c r="G52" s="154" t="s">
        <v>123</v>
      </c>
      <c r="H52" s="130" t="s">
        <v>117</v>
      </c>
      <c r="I52" s="153">
        <v>2161.5</v>
      </c>
      <c r="J52" s="130" t="s">
        <v>509</v>
      </c>
      <c r="K52" s="133">
        <v>46036</v>
      </c>
      <c r="L52" s="130">
        <v>2025404914</v>
      </c>
      <c r="M52" s="137" t="s">
        <v>311</v>
      </c>
      <c r="N52" s="130">
        <v>2026</v>
      </c>
    </row>
    <row r="53" spans="1:14">
      <c r="A53" s="130">
        <v>52</v>
      </c>
      <c r="B53" s="130" t="s">
        <v>17</v>
      </c>
      <c r="C53" s="130" t="s">
        <v>24</v>
      </c>
      <c r="D53" s="130" t="s">
        <v>60</v>
      </c>
      <c r="E53" s="154" t="s">
        <v>71</v>
      </c>
      <c r="G53" s="130" t="s">
        <v>229</v>
      </c>
      <c r="H53" s="130" t="s">
        <v>117</v>
      </c>
      <c r="I53" s="153">
        <v>1538.4</v>
      </c>
      <c r="J53" s="130" t="s">
        <v>510</v>
      </c>
      <c r="K53" s="133">
        <v>46037</v>
      </c>
      <c r="L53" s="130">
        <v>2026400165</v>
      </c>
      <c r="M53" s="137" t="s">
        <v>311</v>
      </c>
      <c r="N53" s="130">
        <v>2026</v>
      </c>
    </row>
    <row r="54" spans="1:14">
      <c r="A54" s="130">
        <v>53</v>
      </c>
      <c r="B54" s="130" t="s">
        <v>42</v>
      </c>
      <c r="C54" s="130" t="s">
        <v>50</v>
      </c>
      <c r="D54" s="130" t="s">
        <v>60</v>
      </c>
      <c r="E54" s="130" t="s">
        <v>71</v>
      </c>
      <c r="G54" s="130" t="s">
        <v>123</v>
      </c>
      <c r="H54" s="130" t="s">
        <v>117</v>
      </c>
      <c r="I54" s="153">
        <v>1093.4000000000001</v>
      </c>
      <c r="J54" s="130" t="s">
        <v>511</v>
      </c>
      <c r="K54" s="133">
        <v>46037</v>
      </c>
      <c r="L54" s="130">
        <v>2026400071</v>
      </c>
      <c r="M54" s="137" t="s">
        <v>311</v>
      </c>
      <c r="N54" s="130">
        <v>2026</v>
      </c>
    </row>
    <row r="55" spans="1:14">
      <c r="A55" s="130">
        <v>54</v>
      </c>
      <c r="B55" s="130" t="s">
        <v>52</v>
      </c>
      <c r="C55" s="130" t="s">
        <v>62</v>
      </c>
      <c r="D55" s="130" t="s">
        <v>60</v>
      </c>
      <c r="E55" s="154" t="s">
        <v>71</v>
      </c>
      <c r="G55" s="130" t="s">
        <v>229</v>
      </c>
      <c r="H55" s="130" t="s">
        <v>117</v>
      </c>
      <c r="I55" s="153">
        <v>15000</v>
      </c>
      <c r="J55" s="130" t="s">
        <v>512</v>
      </c>
      <c r="K55" s="133">
        <v>46039</v>
      </c>
      <c r="L55" s="130">
        <v>2025404941</v>
      </c>
      <c r="M55" s="137" t="s">
        <v>311</v>
      </c>
      <c r="N55" s="130">
        <v>2026</v>
      </c>
    </row>
    <row r="56" spans="1:14">
      <c r="A56" s="130">
        <v>55</v>
      </c>
      <c r="B56" s="130" t="s">
        <v>42</v>
      </c>
      <c r="C56" s="130" t="s">
        <v>47</v>
      </c>
      <c r="D56" s="130" t="s">
        <v>60</v>
      </c>
      <c r="E56" s="154" t="s">
        <v>71</v>
      </c>
      <c r="G56" s="130" t="s">
        <v>123</v>
      </c>
      <c r="H56" s="130" t="s">
        <v>117</v>
      </c>
      <c r="I56" s="153">
        <v>30</v>
      </c>
      <c r="J56" s="130" t="s">
        <v>513</v>
      </c>
      <c r="K56" s="133">
        <v>46040</v>
      </c>
      <c r="L56" s="130">
        <v>2026400105</v>
      </c>
      <c r="M56" s="137" t="s">
        <v>311</v>
      </c>
      <c r="N56" s="130">
        <v>2026</v>
      </c>
    </row>
    <row r="57" spans="1:14">
      <c r="A57" s="130">
        <v>56</v>
      </c>
      <c r="B57" s="130" t="s">
        <v>42</v>
      </c>
      <c r="C57" s="130" t="s">
        <v>44</v>
      </c>
      <c r="D57" s="130" t="s">
        <v>60</v>
      </c>
      <c r="E57" s="154" t="s">
        <v>71</v>
      </c>
      <c r="G57" s="130" t="s">
        <v>123</v>
      </c>
      <c r="H57" s="130" t="s">
        <v>117</v>
      </c>
      <c r="I57" s="153">
        <v>661.5</v>
      </c>
      <c r="J57" s="130" t="s">
        <v>514</v>
      </c>
      <c r="K57" s="133">
        <v>46040</v>
      </c>
      <c r="L57" s="130">
        <v>2026400109</v>
      </c>
      <c r="M57" s="137" t="s">
        <v>311</v>
      </c>
      <c r="N57" s="130">
        <v>2026</v>
      </c>
    </row>
    <row r="58" spans="1:14">
      <c r="A58" s="130">
        <v>57</v>
      </c>
      <c r="B58" s="154" t="s">
        <v>17</v>
      </c>
      <c r="C58" s="154" t="s">
        <v>25</v>
      </c>
      <c r="D58" s="130" t="s">
        <v>60</v>
      </c>
      <c r="E58" s="154" t="s">
        <v>71</v>
      </c>
      <c r="G58" s="154" t="s">
        <v>230</v>
      </c>
      <c r="H58" s="130" t="s">
        <v>117</v>
      </c>
      <c r="I58" s="153">
        <v>640</v>
      </c>
      <c r="J58" s="130" t="s">
        <v>515</v>
      </c>
      <c r="K58" s="133">
        <v>46027</v>
      </c>
      <c r="L58" s="130">
        <v>2026400054</v>
      </c>
      <c r="M58" s="137" t="s">
        <v>311</v>
      </c>
      <c r="N58" s="130">
        <v>2026</v>
      </c>
    </row>
    <row r="59" spans="1:14">
      <c r="A59" s="130">
        <v>58</v>
      </c>
      <c r="B59" s="130" t="s">
        <v>17</v>
      </c>
      <c r="C59" s="130" t="s">
        <v>24</v>
      </c>
      <c r="D59" s="130" t="s">
        <v>60</v>
      </c>
      <c r="E59" s="154" t="s">
        <v>71</v>
      </c>
      <c r="G59" s="130" t="s">
        <v>229</v>
      </c>
      <c r="H59" s="130" t="s">
        <v>117</v>
      </c>
      <c r="I59" s="153">
        <v>3560</v>
      </c>
      <c r="J59" s="130" t="s">
        <v>516</v>
      </c>
      <c r="K59" s="133">
        <v>46032</v>
      </c>
      <c r="L59" s="130">
        <v>2026400062</v>
      </c>
      <c r="M59" s="137" t="s">
        <v>311</v>
      </c>
      <c r="N59" s="130">
        <v>2026</v>
      </c>
    </row>
    <row r="60" spans="1:14">
      <c r="A60" s="130">
        <v>59</v>
      </c>
      <c r="B60" s="130" t="s">
        <v>17</v>
      </c>
      <c r="C60" s="130" t="s">
        <v>24</v>
      </c>
      <c r="D60" s="130" t="s">
        <v>60</v>
      </c>
      <c r="E60" s="154" t="s">
        <v>71</v>
      </c>
      <c r="G60" s="130" t="s">
        <v>230</v>
      </c>
      <c r="H60" s="130" t="s">
        <v>117</v>
      </c>
      <c r="I60" s="153">
        <v>315</v>
      </c>
      <c r="J60" s="130" t="s">
        <v>517</v>
      </c>
      <c r="K60" s="133">
        <v>46020</v>
      </c>
      <c r="L60" s="130">
        <v>2026400175</v>
      </c>
      <c r="M60" s="137" t="s">
        <v>311</v>
      </c>
      <c r="N60" s="130">
        <v>2026</v>
      </c>
    </row>
    <row r="61" spans="1:14">
      <c r="A61" s="130">
        <v>60</v>
      </c>
      <c r="B61" s="130" t="s">
        <v>42</v>
      </c>
      <c r="C61" s="130" t="s">
        <v>263</v>
      </c>
      <c r="D61" s="130" t="s">
        <v>60</v>
      </c>
      <c r="E61" s="154" t="s">
        <v>71</v>
      </c>
      <c r="G61" s="130" t="s">
        <v>123</v>
      </c>
      <c r="H61" s="130" t="s">
        <v>117</v>
      </c>
      <c r="I61" s="153">
        <v>390</v>
      </c>
      <c r="J61" s="130" t="s">
        <v>518</v>
      </c>
      <c r="K61" s="133">
        <v>46037</v>
      </c>
      <c r="L61" s="130">
        <v>2026400064</v>
      </c>
      <c r="M61" s="137" t="s">
        <v>311</v>
      </c>
      <c r="N61" s="130">
        <v>2026</v>
      </c>
    </row>
    <row r="62" spans="1:14">
      <c r="A62" s="130">
        <v>61</v>
      </c>
      <c r="B62" s="130" t="s">
        <v>54</v>
      </c>
      <c r="C62" s="130" t="s">
        <v>94</v>
      </c>
      <c r="D62" s="130" t="s">
        <v>60</v>
      </c>
      <c r="E62" s="154" t="s">
        <v>71</v>
      </c>
      <c r="G62" s="130" t="s">
        <v>123</v>
      </c>
      <c r="H62" s="150" t="s">
        <v>283</v>
      </c>
      <c r="I62" s="153">
        <v>45</v>
      </c>
      <c r="J62" s="130" t="s">
        <v>519</v>
      </c>
      <c r="K62" s="133">
        <v>46037</v>
      </c>
      <c r="L62" s="130">
        <v>2026400057</v>
      </c>
      <c r="M62" s="137" t="s">
        <v>311</v>
      </c>
      <c r="N62" s="130">
        <v>2026</v>
      </c>
    </row>
    <row r="63" spans="1:14">
      <c r="A63" s="130">
        <v>62</v>
      </c>
      <c r="B63" s="130" t="s">
        <v>17</v>
      </c>
      <c r="C63" s="130" t="s">
        <v>24</v>
      </c>
      <c r="D63" s="130" t="s">
        <v>60</v>
      </c>
      <c r="E63" s="130" t="s">
        <v>71</v>
      </c>
      <c r="G63" s="130" t="s">
        <v>123</v>
      </c>
      <c r="H63" s="130" t="s">
        <v>117</v>
      </c>
      <c r="I63" s="153">
        <v>36</v>
      </c>
      <c r="J63" s="130" t="s">
        <v>520</v>
      </c>
      <c r="K63" s="133">
        <v>46037</v>
      </c>
      <c r="L63" s="130">
        <v>2025404928</v>
      </c>
      <c r="M63" s="137" t="s">
        <v>311</v>
      </c>
      <c r="N63" s="130">
        <v>2026</v>
      </c>
    </row>
    <row r="64" spans="1:14">
      <c r="A64" s="130">
        <v>63</v>
      </c>
      <c r="B64" s="130" t="s">
        <v>52</v>
      </c>
      <c r="C64" s="130" t="s">
        <v>62</v>
      </c>
      <c r="D64" s="130" t="s">
        <v>60</v>
      </c>
      <c r="E64" s="130" t="s">
        <v>71</v>
      </c>
      <c r="G64" s="130" t="s">
        <v>123</v>
      </c>
      <c r="H64" s="130" t="s">
        <v>117</v>
      </c>
      <c r="I64" s="153">
        <v>1185</v>
      </c>
      <c r="J64" s="130" t="s">
        <v>521</v>
      </c>
      <c r="K64" s="133">
        <v>46037</v>
      </c>
      <c r="L64" s="130">
        <v>2025404858</v>
      </c>
      <c r="M64" s="137" t="s">
        <v>311</v>
      </c>
      <c r="N64" s="130">
        <v>2026</v>
      </c>
    </row>
    <row r="65" spans="1:14">
      <c r="A65" s="130">
        <v>64</v>
      </c>
      <c r="B65" s="130" t="s">
        <v>17</v>
      </c>
      <c r="C65" s="130" t="s">
        <v>18</v>
      </c>
      <c r="D65" s="130" t="s">
        <v>60</v>
      </c>
      <c r="E65" s="154" t="s">
        <v>71</v>
      </c>
      <c r="G65" s="130" t="s">
        <v>123</v>
      </c>
      <c r="H65" s="130" t="s">
        <v>117</v>
      </c>
      <c r="I65" s="153">
        <v>208.6</v>
      </c>
      <c r="J65" s="130" t="s">
        <v>522</v>
      </c>
      <c r="K65" s="133">
        <v>46036</v>
      </c>
      <c r="L65" s="130">
        <v>2026400060</v>
      </c>
      <c r="M65" s="137" t="s">
        <v>311</v>
      </c>
      <c r="N65" s="130">
        <v>2026</v>
      </c>
    </row>
    <row r="66" spans="1:14">
      <c r="A66" s="130">
        <v>65</v>
      </c>
      <c r="B66" s="130" t="s">
        <v>17</v>
      </c>
      <c r="C66" s="130" t="s">
        <v>25</v>
      </c>
      <c r="D66" s="130" t="s">
        <v>60</v>
      </c>
      <c r="E66" s="154" t="s">
        <v>71</v>
      </c>
      <c r="G66" s="156" t="s">
        <v>123</v>
      </c>
      <c r="H66" s="130" t="s">
        <v>117</v>
      </c>
      <c r="I66" s="153">
        <v>1199</v>
      </c>
      <c r="J66" s="156" t="s">
        <v>523</v>
      </c>
      <c r="K66" s="155">
        <v>46037</v>
      </c>
      <c r="L66" s="156">
        <v>2025404929</v>
      </c>
      <c r="M66" s="137" t="s">
        <v>311</v>
      </c>
      <c r="N66" s="130">
        <v>2026</v>
      </c>
    </row>
    <row r="67" spans="1:14">
      <c r="A67" s="130">
        <v>66</v>
      </c>
      <c r="B67" s="130" t="s">
        <v>42</v>
      </c>
      <c r="C67" s="130" t="s">
        <v>47</v>
      </c>
      <c r="D67" s="130" t="s">
        <v>60</v>
      </c>
      <c r="E67" s="130" t="s">
        <v>71</v>
      </c>
      <c r="G67" s="130" t="s">
        <v>123</v>
      </c>
      <c r="H67" s="130" t="s">
        <v>117</v>
      </c>
      <c r="I67" s="153">
        <v>66</v>
      </c>
      <c r="J67" s="130" t="s">
        <v>524</v>
      </c>
      <c r="K67" s="133">
        <v>46037</v>
      </c>
      <c r="L67" s="130">
        <v>2026400073</v>
      </c>
      <c r="M67" s="137" t="s">
        <v>311</v>
      </c>
      <c r="N67" s="130">
        <v>2026</v>
      </c>
    </row>
    <row r="68" spans="1:14">
      <c r="A68" s="130">
        <v>67</v>
      </c>
      <c r="B68" s="130" t="s">
        <v>17</v>
      </c>
      <c r="C68" s="130" t="s">
        <v>25</v>
      </c>
      <c r="D68" s="130" t="s">
        <v>60</v>
      </c>
      <c r="E68" s="154" t="s">
        <v>71</v>
      </c>
      <c r="G68" s="130" t="s">
        <v>123</v>
      </c>
      <c r="H68" s="130" t="s">
        <v>117</v>
      </c>
      <c r="I68" s="153">
        <v>1058.8</v>
      </c>
      <c r="J68" s="130" t="s">
        <v>525</v>
      </c>
      <c r="K68" s="133">
        <v>46036</v>
      </c>
      <c r="L68" s="130">
        <v>2026400070</v>
      </c>
      <c r="M68" s="137" t="s">
        <v>311</v>
      </c>
      <c r="N68" s="130">
        <v>2026</v>
      </c>
    </row>
    <row r="69" spans="1:14">
      <c r="A69" s="130">
        <v>68</v>
      </c>
      <c r="B69" s="130" t="s">
        <v>42</v>
      </c>
      <c r="C69" s="130" t="s">
        <v>263</v>
      </c>
      <c r="D69" s="130" t="s">
        <v>60</v>
      </c>
      <c r="E69" s="154" t="s">
        <v>71</v>
      </c>
      <c r="G69" s="130" t="s">
        <v>123</v>
      </c>
      <c r="H69" s="130" t="s">
        <v>117</v>
      </c>
      <c r="I69" s="153">
        <v>300</v>
      </c>
      <c r="J69" s="130" t="s">
        <v>526</v>
      </c>
      <c r="K69" s="133">
        <v>46037</v>
      </c>
      <c r="L69" s="130">
        <v>2026400074</v>
      </c>
      <c r="M69" s="137" t="s">
        <v>311</v>
      </c>
      <c r="N69" s="130">
        <v>2026</v>
      </c>
    </row>
    <row r="70" spans="1:14">
      <c r="A70" s="130">
        <v>69</v>
      </c>
      <c r="B70" s="154" t="s">
        <v>42</v>
      </c>
      <c r="C70" s="154" t="s">
        <v>50</v>
      </c>
      <c r="D70" s="130" t="s">
        <v>60</v>
      </c>
      <c r="E70" s="154" t="s">
        <v>71</v>
      </c>
      <c r="G70" s="154" t="s">
        <v>123</v>
      </c>
      <c r="H70" s="130" t="s">
        <v>117</v>
      </c>
      <c r="I70" s="153">
        <v>1279.7</v>
      </c>
      <c r="J70" s="130" t="s">
        <v>527</v>
      </c>
      <c r="K70" s="133">
        <v>46036</v>
      </c>
      <c r="L70" s="130">
        <v>2025404869</v>
      </c>
      <c r="M70" s="137" t="s">
        <v>311</v>
      </c>
      <c r="N70" s="130">
        <v>2026</v>
      </c>
    </row>
    <row r="71" spans="1:14">
      <c r="A71" s="130">
        <v>70</v>
      </c>
      <c r="B71" s="130" t="s">
        <v>42</v>
      </c>
      <c r="C71" s="130" t="s">
        <v>263</v>
      </c>
      <c r="D71" s="130" t="s">
        <v>60</v>
      </c>
      <c r="E71" s="130" t="s">
        <v>71</v>
      </c>
      <c r="G71" s="130" t="s">
        <v>123</v>
      </c>
      <c r="H71" s="130" t="s">
        <v>117</v>
      </c>
      <c r="I71" s="153">
        <v>650</v>
      </c>
      <c r="J71" s="130" t="s">
        <v>528</v>
      </c>
      <c r="K71" s="133">
        <v>46037</v>
      </c>
      <c r="L71" s="130">
        <v>2026400065</v>
      </c>
      <c r="M71" s="137" t="s">
        <v>311</v>
      </c>
      <c r="N71" s="130">
        <v>2026</v>
      </c>
    </row>
    <row r="72" spans="1:14">
      <c r="A72" s="130">
        <v>71</v>
      </c>
      <c r="B72" s="130" t="s">
        <v>42</v>
      </c>
      <c r="C72" s="130" t="s">
        <v>49</v>
      </c>
      <c r="D72" s="130" t="s">
        <v>60</v>
      </c>
      <c r="E72" s="130" t="s">
        <v>71</v>
      </c>
      <c r="G72" s="130" t="s">
        <v>123</v>
      </c>
      <c r="H72" s="130" t="s">
        <v>117</v>
      </c>
      <c r="I72" s="153">
        <v>150</v>
      </c>
      <c r="J72" s="130" t="s">
        <v>529</v>
      </c>
      <c r="K72" s="133">
        <v>46037</v>
      </c>
      <c r="L72" s="130">
        <v>2025404870</v>
      </c>
      <c r="M72" s="137" t="s">
        <v>311</v>
      </c>
      <c r="N72" s="130">
        <v>2026</v>
      </c>
    </row>
    <row r="73" spans="1:14">
      <c r="A73" s="130">
        <v>72</v>
      </c>
      <c r="B73" s="154" t="s">
        <v>35</v>
      </c>
      <c r="C73" s="154" t="s">
        <v>37</v>
      </c>
      <c r="D73" s="130" t="s">
        <v>60</v>
      </c>
      <c r="E73" s="130" t="s">
        <v>71</v>
      </c>
      <c r="G73" s="130" t="s">
        <v>123</v>
      </c>
      <c r="H73" s="130" t="s">
        <v>117</v>
      </c>
      <c r="I73" s="153">
        <v>583.4</v>
      </c>
      <c r="J73" s="130" t="s">
        <v>530</v>
      </c>
      <c r="K73" s="133">
        <v>46036</v>
      </c>
      <c r="L73" s="130">
        <v>2026400019</v>
      </c>
      <c r="M73" s="137" t="s">
        <v>311</v>
      </c>
      <c r="N73" s="130">
        <v>2026</v>
      </c>
    </row>
    <row r="74" spans="1:14">
      <c r="A74" s="130">
        <v>73</v>
      </c>
      <c r="B74" s="130" t="s">
        <v>17</v>
      </c>
      <c r="C74" s="130" t="s">
        <v>23</v>
      </c>
      <c r="D74" s="130" t="s">
        <v>60</v>
      </c>
      <c r="E74" s="154" t="s">
        <v>71</v>
      </c>
      <c r="G74" s="130" t="s">
        <v>123</v>
      </c>
      <c r="H74" s="130" t="s">
        <v>117</v>
      </c>
      <c r="I74" s="153">
        <v>300</v>
      </c>
      <c r="J74" s="130" t="s">
        <v>531</v>
      </c>
      <c r="K74" s="133">
        <v>46037</v>
      </c>
      <c r="L74" s="130">
        <v>2026400043</v>
      </c>
      <c r="M74" s="137" t="s">
        <v>311</v>
      </c>
      <c r="N74" s="130">
        <v>2026</v>
      </c>
    </row>
    <row r="75" spans="1:14">
      <c r="A75" s="130">
        <v>74</v>
      </c>
      <c r="B75" s="130" t="s">
        <v>52</v>
      </c>
      <c r="C75" s="130" t="s">
        <v>62</v>
      </c>
      <c r="D75" s="130" t="s">
        <v>60</v>
      </c>
      <c r="E75" s="130" t="s">
        <v>71</v>
      </c>
      <c r="G75" s="130" t="s">
        <v>123</v>
      </c>
      <c r="H75" s="130" t="s">
        <v>117</v>
      </c>
      <c r="I75" s="153">
        <v>232</v>
      </c>
      <c r="J75" s="130" t="s">
        <v>532</v>
      </c>
      <c r="K75" s="133">
        <v>46036</v>
      </c>
      <c r="L75" s="130">
        <v>2025404930</v>
      </c>
      <c r="M75" s="137" t="s">
        <v>311</v>
      </c>
      <c r="N75" s="130">
        <v>2026</v>
      </c>
    </row>
    <row r="76" spans="1:14">
      <c r="A76" s="130">
        <v>75</v>
      </c>
      <c r="B76" s="130" t="s">
        <v>42</v>
      </c>
      <c r="C76" s="130" t="s">
        <v>263</v>
      </c>
      <c r="D76" s="130" t="s">
        <v>60</v>
      </c>
      <c r="E76" s="154" t="s">
        <v>71</v>
      </c>
      <c r="G76" s="130" t="s">
        <v>123</v>
      </c>
      <c r="H76" s="130" t="s">
        <v>117</v>
      </c>
      <c r="I76" s="153">
        <v>1090</v>
      </c>
      <c r="J76" s="130" t="s">
        <v>533</v>
      </c>
      <c r="K76" s="133">
        <v>46036</v>
      </c>
      <c r="L76" s="130">
        <v>2025404924</v>
      </c>
      <c r="M76" s="137" t="s">
        <v>311</v>
      </c>
      <c r="N76" s="130">
        <v>2026</v>
      </c>
    </row>
    <row r="77" spans="1:14">
      <c r="A77" s="130">
        <v>76</v>
      </c>
      <c r="B77" s="130" t="s">
        <v>52</v>
      </c>
      <c r="C77" s="130" t="s">
        <v>62</v>
      </c>
      <c r="D77" s="130" t="s">
        <v>60</v>
      </c>
      <c r="E77" s="154" t="s">
        <v>71</v>
      </c>
      <c r="G77" s="130" t="s">
        <v>123</v>
      </c>
      <c r="H77" s="130" t="s">
        <v>117</v>
      </c>
      <c r="I77" s="153">
        <v>400</v>
      </c>
      <c r="J77" s="130" t="s">
        <v>534</v>
      </c>
      <c r="K77" s="133">
        <v>46037</v>
      </c>
      <c r="L77" s="130">
        <v>2025404932</v>
      </c>
      <c r="M77" s="137" t="s">
        <v>311</v>
      </c>
      <c r="N77" s="130">
        <v>2026</v>
      </c>
    </row>
    <row r="78" spans="1:14">
      <c r="A78" s="130">
        <v>77</v>
      </c>
      <c r="B78" s="130" t="s">
        <v>42</v>
      </c>
      <c r="C78" s="130" t="s">
        <v>73</v>
      </c>
      <c r="D78" s="130" t="s">
        <v>60</v>
      </c>
      <c r="E78" s="154" t="s">
        <v>71</v>
      </c>
      <c r="G78" s="130" t="s">
        <v>123</v>
      </c>
      <c r="H78" s="130" t="s">
        <v>117</v>
      </c>
      <c r="I78" s="153">
        <v>247.4</v>
      </c>
      <c r="J78" s="130" t="s">
        <v>535</v>
      </c>
      <c r="K78" s="133">
        <v>46036</v>
      </c>
      <c r="L78" s="130">
        <v>2025404878</v>
      </c>
      <c r="M78" s="137" t="s">
        <v>311</v>
      </c>
      <c r="N78" s="130">
        <v>2026</v>
      </c>
    </row>
    <row r="79" spans="1:14">
      <c r="A79" s="130">
        <v>78</v>
      </c>
      <c r="B79" s="130" t="s">
        <v>52</v>
      </c>
      <c r="C79" s="130" t="s">
        <v>62</v>
      </c>
      <c r="D79" s="130" t="s">
        <v>60</v>
      </c>
      <c r="E79" s="154" t="s">
        <v>71</v>
      </c>
      <c r="G79" s="130" t="s">
        <v>123</v>
      </c>
      <c r="H79" s="130" t="s">
        <v>117</v>
      </c>
      <c r="I79" s="153">
        <v>180</v>
      </c>
      <c r="J79" s="130" t="s">
        <v>536</v>
      </c>
      <c r="K79" s="133">
        <v>46037</v>
      </c>
      <c r="L79" s="130">
        <v>2025404931</v>
      </c>
      <c r="M79" s="137" t="s">
        <v>311</v>
      </c>
      <c r="N79" s="130">
        <v>2026</v>
      </c>
    </row>
    <row r="80" spans="1:14">
      <c r="A80" s="130">
        <v>79</v>
      </c>
      <c r="B80" s="130" t="s">
        <v>42</v>
      </c>
      <c r="C80" s="130" t="s">
        <v>263</v>
      </c>
      <c r="D80" s="130" t="s">
        <v>60</v>
      </c>
      <c r="E80" s="130" t="s">
        <v>71</v>
      </c>
      <c r="G80" s="130" t="s">
        <v>123</v>
      </c>
      <c r="H80" s="130" t="s">
        <v>117</v>
      </c>
      <c r="I80" s="153">
        <v>449</v>
      </c>
      <c r="J80" s="130" t="s">
        <v>537</v>
      </c>
      <c r="K80" s="133">
        <v>46037</v>
      </c>
      <c r="L80" s="130">
        <v>2026400061</v>
      </c>
      <c r="M80" s="137" t="s">
        <v>311</v>
      </c>
      <c r="N80" s="130">
        <v>2026</v>
      </c>
    </row>
    <row r="81" spans="1:14">
      <c r="A81" s="130">
        <v>80</v>
      </c>
      <c r="B81" s="130" t="s">
        <v>42</v>
      </c>
      <c r="C81" s="130" t="s">
        <v>263</v>
      </c>
      <c r="D81" s="130" t="s">
        <v>60</v>
      </c>
      <c r="E81" s="154" t="s">
        <v>71</v>
      </c>
      <c r="G81" s="130" t="s">
        <v>230</v>
      </c>
      <c r="H81" s="130" t="s">
        <v>117</v>
      </c>
      <c r="I81" s="153">
        <v>968</v>
      </c>
      <c r="J81" s="130" t="s">
        <v>538</v>
      </c>
      <c r="K81" s="133">
        <v>46037</v>
      </c>
      <c r="L81" s="130">
        <v>2026400203</v>
      </c>
      <c r="M81" s="137" t="s">
        <v>311</v>
      </c>
      <c r="N81" s="130">
        <v>2026</v>
      </c>
    </row>
    <row r="82" spans="1:14">
      <c r="A82" s="130">
        <v>81</v>
      </c>
      <c r="B82" s="130" t="s">
        <v>42</v>
      </c>
      <c r="C82" s="130" t="s">
        <v>50</v>
      </c>
      <c r="D82" s="130" t="s">
        <v>60</v>
      </c>
      <c r="E82" s="154" t="s">
        <v>71</v>
      </c>
      <c r="G82" s="130" t="s">
        <v>123</v>
      </c>
      <c r="H82" s="130" t="s">
        <v>117</v>
      </c>
      <c r="I82" s="153">
        <v>442.2</v>
      </c>
      <c r="J82" s="130" t="s">
        <v>539</v>
      </c>
      <c r="K82" s="133">
        <v>46040</v>
      </c>
      <c r="L82" s="130">
        <v>2026400093</v>
      </c>
      <c r="M82" s="137" t="s">
        <v>311</v>
      </c>
      <c r="N82" s="130">
        <v>2026</v>
      </c>
    </row>
    <row r="83" spans="1:14">
      <c r="A83" s="130">
        <v>82</v>
      </c>
      <c r="B83" s="130" t="s">
        <v>42</v>
      </c>
      <c r="C83" s="130" t="s">
        <v>263</v>
      </c>
      <c r="D83" s="130" t="s">
        <v>60</v>
      </c>
      <c r="E83" s="154" t="s">
        <v>71</v>
      </c>
      <c r="G83" s="130" t="s">
        <v>123</v>
      </c>
      <c r="H83" s="130" t="s">
        <v>117</v>
      </c>
      <c r="I83" s="153">
        <v>1087</v>
      </c>
      <c r="J83" s="130" t="s">
        <v>540</v>
      </c>
      <c r="K83" s="133">
        <v>46040</v>
      </c>
      <c r="L83" s="130">
        <v>2026400092</v>
      </c>
      <c r="M83" s="137" t="s">
        <v>311</v>
      </c>
      <c r="N83" s="130">
        <v>2026</v>
      </c>
    </row>
    <row r="84" spans="1:14">
      <c r="A84" s="130">
        <v>83</v>
      </c>
      <c r="B84" s="130" t="s">
        <v>17</v>
      </c>
      <c r="C84" s="130" t="s">
        <v>18</v>
      </c>
      <c r="D84" s="130" t="s">
        <v>60</v>
      </c>
      <c r="E84" s="154" t="s">
        <v>71</v>
      </c>
      <c r="G84" s="130" t="s">
        <v>123</v>
      </c>
      <c r="H84" s="130" t="s">
        <v>117</v>
      </c>
      <c r="I84" s="153">
        <v>90</v>
      </c>
      <c r="J84" s="130" t="s">
        <v>541</v>
      </c>
      <c r="K84" s="133">
        <v>46040</v>
      </c>
      <c r="L84" s="130">
        <v>2026400097</v>
      </c>
      <c r="M84" s="137" t="s">
        <v>311</v>
      </c>
      <c r="N84" s="130">
        <v>2026</v>
      </c>
    </row>
    <row r="85" spans="1:14">
      <c r="A85" s="130">
        <v>84</v>
      </c>
      <c r="B85" s="130" t="s">
        <v>42</v>
      </c>
      <c r="C85" s="130" t="s">
        <v>50</v>
      </c>
      <c r="D85" s="130" t="s">
        <v>60</v>
      </c>
      <c r="E85" s="154" t="s">
        <v>71</v>
      </c>
      <c r="G85" s="130" t="s">
        <v>123</v>
      </c>
      <c r="H85" s="130" t="s">
        <v>117</v>
      </c>
      <c r="I85" s="153">
        <v>750</v>
      </c>
      <c r="J85" s="130" t="s">
        <v>542</v>
      </c>
      <c r="K85" s="133">
        <v>46040</v>
      </c>
      <c r="L85" s="130">
        <v>2026400090</v>
      </c>
      <c r="M85" s="137" t="s">
        <v>311</v>
      </c>
      <c r="N85" s="130">
        <v>2026</v>
      </c>
    </row>
    <row r="86" spans="1:14">
      <c r="A86" s="130">
        <v>85</v>
      </c>
      <c r="B86" s="130" t="s">
        <v>17</v>
      </c>
      <c r="C86" s="130" t="s">
        <v>25</v>
      </c>
      <c r="D86" s="130" t="s">
        <v>60</v>
      </c>
      <c r="E86" s="154" t="s">
        <v>71</v>
      </c>
      <c r="G86" s="130" t="s">
        <v>123</v>
      </c>
      <c r="H86" s="130" t="s">
        <v>117</v>
      </c>
      <c r="I86" s="153">
        <v>270</v>
      </c>
      <c r="J86" s="130" t="s">
        <v>543</v>
      </c>
      <c r="K86" s="133">
        <v>46040</v>
      </c>
      <c r="L86" s="130">
        <v>2026400058</v>
      </c>
      <c r="M86" s="137" t="s">
        <v>311</v>
      </c>
      <c r="N86" s="130">
        <v>2026</v>
      </c>
    </row>
    <row r="87" spans="1:14">
      <c r="A87" s="130">
        <v>86</v>
      </c>
      <c r="B87" s="130" t="s">
        <v>52</v>
      </c>
      <c r="C87" s="130" t="s">
        <v>62</v>
      </c>
      <c r="D87" s="130" t="s">
        <v>60</v>
      </c>
      <c r="E87" s="154" t="s">
        <v>71</v>
      </c>
      <c r="G87" s="130" t="s">
        <v>123</v>
      </c>
      <c r="H87" s="130" t="s">
        <v>117</v>
      </c>
      <c r="I87" s="153">
        <v>299.60000000000002</v>
      </c>
      <c r="J87" s="130" t="s">
        <v>544</v>
      </c>
      <c r="K87" s="133">
        <v>46040</v>
      </c>
      <c r="L87" s="130">
        <v>2026400017</v>
      </c>
      <c r="M87" s="137" t="s">
        <v>311</v>
      </c>
      <c r="N87" s="130">
        <v>2026</v>
      </c>
    </row>
    <row r="88" spans="1:14">
      <c r="A88" s="130">
        <v>87</v>
      </c>
      <c r="B88" s="130" t="s">
        <v>17</v>
      </c>
      <c r="C88" s="130" t="s">
        <v>24</v>
      </c>
      <c r="D88" s="130" t="s">
        <v>60</v>
      </c>
      <c r="E88" s="154" t="s">
        <v>71</v>
      </c>
      <c r="G88" s="130" t="s">
        <v>230</v>
      </c>
      <c r="H88" s="130" t="s">
        <v>117</v>
      </c>
      <c r="I88" s="153">
        <v>4560</v>
      </c>
      <c r="J88" s="130" t="s">
        <v>545</v>
      </c>
      <c r="K88" s="133">
        <v>46039</v>
      </c>
      <c r="L88" s="130">
        <v>2026400197</v>
      </c>
      <c r="M88" s="137" t="s">
        <v>311</v>
      </c>
      <c r="N88" s="130">
        <v>2026</v>
      </c>
    </row>
    <row r="89" spans="1:14">
      <c r="A89" s="130">
        <v>88</v>
      </c>
      <c r="B89" s="130" t="s">
        <v>35</v>
      </c>
      <c r="C89" s="130" t="s">
        <v>41</v>
      </c>
      <c r="D89" s="130" t="s">
        <v>60</v>
      </c>
      <c r="E89" s="154" t="s">
        <v>71</v>
      </c>
      <c r="G89" s="130" t="s">
        <v>123</v>
      </c>
      <c r="H89" s="130" t="s">
        <v>117</v>
      </c>
      <c r="I89" s="153">
        <v>56</v>
      </c>
      <c r="J89" s="130" t="s">
        <v>546</v>
      </c>
      <c r="K89" s="133">
        <v>46022</v>
      </c>
      <c r="L89" s="130">
        <v>2025404779</v>
      </c>
      <c r="M89" s="137" t="s">
        <v>311</v>
      </c>
      <c r="N89" s="130">
        <v>2026</v>
      </c>
    </row>
    <row r="90" spans="1:14">
      <c r="A90" s="130">
        <v>89</v>
      </c>
      <c r="B90" s="130" t="s">
        <v>52</v>
      </c>
      <c r="C90" s="130" t="s">
        <v>62</v>
      </c>
      <c r="D90" s="130" t="s">
        <v>60</v>
      </c>
      <c r="E90" s="154" t="s">
        <v>71</v>
      </c>
      <c r="G90" s="130" t="s">
        <v>123</v>
      </c>
      <c r="H90" s="130" t="s">
        <v>117</v>
      </c>
      <c r="I90" s="153">
        <v>1142.9000000000001</v>
      </c>
      <c r="J90" s="130" t="s">
        <v>547</v>
      </c>
      <c r="K90" s="133">
        <v>46041</v>
      </c>
      <c r="L90" s="130">
        <v>2026400117</v>
      </c>
      <c r="M90" s="137" t="s">
        <v>311</v>
      </c>
      <c r="N90" s="130">
        <v>2026</v>
      </c>
    </row>
    <row r="91" spans="1:14">
      <c r="A91" s="130">
        <v>90</v>
      </c>
      <c r="B91" s="130" t="s">
        <v>35</v>
      </c>
      <c r="C91" s="130" t="s">
        <v>36</v>
      </c>
      <c r="D91" s="130" t="s">
        <v>60</v>
      </c>
      <c r="E91" s="154" t="s">
        <v>71</v>
      </c>
      <c r="G91" s="130" t="s">
        <v>123</v>
      </c>
      <c r="H91" s="130" t="s">
        <v>117</v>
      </c>
      <c r="I91" s="153">
        <v>95.2</v>
      </c>
      <c r="J91" s="130" t="s">
        <v>548</v>
      </c>
      <c r="K91" s="133">
        <v>46041</v>
      </c>
      <c r="L91" s="130">
        <v>2026400125</v>
      </c>
      <c r="M91" s="137" t="s">
        <v>311</v>
      </c>
      <c r="N91" s="130">
        <v>2026</v>
      </c>
    </row>
    <row r="92" spans="1:14">
      <c r="A92" s="130">
        <v>91</v>
      </c>
      <c r="B92" s="130" t="s">
        <v>42</v>
      </c>
      <c r="C92" s="130" t="s">
        <v>263</v>
      </c>
      <c r="D92" s="130" t="s">
        <v>60</v>
      </c>
      <c r="E92" s="154" t="s">
        <v>71</v>
      </c>
      <c r="G92" s="130" t="s">
        <v>123</v>
      </c>
      <c r="H92" s="130" t="s">
        <v>117</v>
      </c>
      <c r="I92" s="153">
        <v>244</v>
      </c>
      <c r="J92" s="130" t="s">
        <v>549</v>
      </c>
      <c r="K92" s="133">
        <v>46041</v>
      </c>
      <c r="L92" s="130">
        <v>2026400124</v>
      </c>
      <c r="M92" s="137" t="s">
        <v>311</v>
      </c>
      <c r="N92" s="130">
        <v>2026</v>
      </c>
    </row>
    <row r="93" spans="1:14">
      <c r="A93" s="130">
        <v>92</v>
      </c>
      <c r="B93" s="130" t="s">
        <v>42</v>
      </c>
      <c r="C93" s="130" t="s">
        <v>263</v>
      </c>
      <c r="D93" s="130" t="s">
        <v>60</v>
      </c>
      <c r="E93" s="154" t="s">
        <v>71</v>
      </c>
      <c r="G93" s="130" t="s">
        <v>123</v>
      </c>
      <c r="H93" s="130" t="s">
        <v>117</v>
      </c>
      <c r="I93" s="153">
        <v>80</v>
      </c>
      <c r="J93" s="130" t="s">
        <v>550</v>
      </c>
      <c r="K93" s="133">
        <v>46041</v>
      </c>
      <c r="L93" s="130">
        <v>2026400123</v>
      </c>
      <c r="M93" s="137" t="s">
        <v>311</v>
      </c>
      <c r="N93" s="130">
        <v>2026</v>
      </c>
    </row>
    <row r="94" spans="1:14">
      <c r="A94" s="130">
        <v>93</v>
      </c>
      <c r="B94" s="130" t="s">
        <v>42</v>
      </c>
      <c r="C94" s="130" t="s">
        <v>263</v>
      </c>
      <c r="D94" s="130" t="s">
        <v>60</v>
      </c>
      <c r="E94" s="154" t="s">
        <v>71</v>
      </c>
      <c r="G94" s="130" t="s">
        <v>123</v>
      </c>
      <c r="H94" s="130" t="s">
        <v>117</v>
      </c>
      <c r="I94" s="153">
        <v>200</v>
      </c>
      <c r="J94" s="130" t="s">
        <v>551</v>
      </c>
      <c r="K94" s="133">
        <v>46041</v>
      </c>
      <c r="L94" s="130">
        <v>2026400122</v>
      </c>
      <c r="M94" s="137" t="s">
        <v>311</v>
      </c>
      <c r="N94" s="130">
        <v>2026</v>
      </c>
    </row>
    <row r="95" spans="1:14">
      <c r="A95" s="130">
        <v>94</v>
      </c>
      <c r="B95" s="130" t="s">
        <v>42</v>
      </c>
      <c r="C95" s="130" t="s">
        <v>47</v>
      </c>
      <c r="D95" s="130" t="s">
        <v>60</v>
      </c>
      <c r="E95" s="154" t="s">
        <v>71</v>
      </c>
      <c r="G95" s="130" t="s">
        <v>229</v>
      </c>
      <c r="H95" s="130" t="s">
        <v>117</v>
      </c>
      <c r="I95" s="153">
        <v>3366</v>
      </c>
      <c r="J95" s="130" t="s">
        <v>552</v>
      </c>
      <c r="K95" s="133">
        <v>46036</v>
      </c>
      <c r="L95" s="130">
        <v>2026400005</v>
      </c>
      <c r="M95" s="137" t="s">
        <v>311</v>
      </c>
      <c r="N95" s="130">
        <v>2026</v>
      </c>
    </row>
    <row r="96" spans="1:14">
      <c r="A96" s="130">
        <v>95</v>
      </c>
      <c r="B96" s="130" t="s">
        <v>42</v>
      </c>
      <c r="C96" s="130" t="s">
        <v>45</v>
      </c>
      <c r="D96" s="130" t="s">
        <v>60</v>
      </c>
      <c r="E96" s="154" t="s">
        <v>71</v>
      </c>
      <c r="G96" s="130" t="s">
        <v>123</v>
      </c>
      <c r="H96" s="130" t="s">
        <v>117</v>
      </c>
      <c r="I96" s="153">
        <v>141.30000000000001</v>
      </c>
      <c r="J96" s="130" t="s">
        <v>553</v>
      </c>
      <c r="K96" s="133">
        <v>46041</v>
      </c>
      <c r="L96" s="130">
        <v>2026400166</v>
      </c>
      <c r="M96" s="137" t="s">
        <v>311</v>
      </c>
      <c r="N96" s="130">
        <v>2026</v>
      </c>
    </row>
    <row r="97" spans="1:14">
      <c r="A97" s="130">
        <v>96</v>
      </c>
      <c r="B97" s="130" t="s">
        <v>42</v>
      </c>
      <c r="C97" s="130" t="s">
        <v>44</v>
      </c>
      <c r="D97" s="130" t="s">
        <v>60</v>
      </c>
      <c r="E97" s="154" t="s">
        <v>71</v>
      </c>
      <c r="G97" s="130" t="s">
        <v>123</v>
      </c>
      <c r="H97" s="130" t="s">
        <v>117</v>
      </c>
      <c r="I97" s="153">
        <v>38</v>
      </c>
      <c r="J97" s="130" t="s">
        <v>554</v>
      </c>
      <c r="K97" s="133">
        <v>46032</v>
      </c>
      <c r="L97" s="130">
        <v>2026400015</v>
      </c>
      <c r="M97" s="137" t="s">
        <v>311</v>
      </c>
      <c r="N97" s="130">
        <v>2026</v>
      </c>
    </row>
    <row r="98" spans="1:14">
      <c r="A98" s="130">
        <v>97</v>
      </c>
      <c r="B98" s="130" t="s">
        <v>42</v>
      </c>
      <c r="C98" s="130" t="s">
        <v>263</v>
      </c>
      <c r="D98" s="130" t="s">
        <v>60</v>
      </c>
      <c r="E98" s="154" t="s">
        <v>71</v>
      </c>
      <c r="G98" s="130" t="s">
        <v>123</v>
      </c>
      <c r="H98" s="130" t="s">
        <v>117</v>
      </c>
      <c r="I98" s="153">
        <v>1040</v>
      </c>
      <c r="J98" s="130" t="s">
        <v>555</v>
      </c>
      <c r="K98" s="133">
        <v>46043</v>
      </c>
      <c r="L98" s="130">
        <v>2026400169</v>
      </c>
      <c r="M98" s="137" t="s">
        <v>311</v>
      </c>
      <c r="N98" s="130">
        <v>2026</v>
      </c>
    </row>
    <row r="99" spans="1:14">
      <c r="A99" s="130">
        <v>98</v>
      </c>
      <c r="B99" s="130" t="s">
        <v>42</v>
      </c>
      <c r="C99" s="130" t="s">
        <v>263</v>
      </c>
      <c r="D99" s="130" t="s">
        <v>60</v>
      </c>
      <c r="E99" s="154" t="s">
        <v>71</v>
      </c>
      <c r="G99" s="130" t="s">
        <v>123</v>
      </c>
      <c r="H99" s="130" t="s">
        <v>117</v>
      </c>
      <c r="I99" s="153">
        <v>1156</v>
      </c>
      <c r="J99" s="130" t="s">
        <v>556</v>
      </c>
      <c r="K99" s="133">
        <v>46043</v>
      </c>
      <c r="L99" s="130">
        <v>2026400112</v>
      </c>
      <c r="M99" s="137" t="s">
        <v>311</v>
      </c>
      <c r="N99" s="130">
        <v>2026</v>
      </c>
    </row>
    <row r="100" spans="1:14">
      <c r="A100" s="130">
        <v>99</v>
      </c>
      <c r="B100" s="130" t="s">
        <v>54</v>
      </c>
      <c r="C100" s="130" t="s">
        <v>94</v>
      </c>
      <c r="D100" s="130" t="s">
        <v>60</v>
      </c>
      <c r="E100" s="154" t="s">
        <v>71</v>
      </c>
      <c r="G100" s="130" t="s">
        <v>123</v>
      </c>
      <c r="H100" s="130" t="s">
        <v>117</v>
      </c>
      <c r="I100" s="153">
        <v>280</v>
      </c>
      <c r="J100" s="130" t="s">
        <v>557</v>
      </c>
      <c r="K100" s="133">
        <v>46043</v>
      </c>
      <c r="L100" s="130">
        <v>2026400151</v>
      </c>
      <c r="M100" s="137" t="s">
        <v>311</v>
      </c>
      <c r="N100" s="130">
        <v>2026</v>
      </c>
    </row>
    <row r="101" spans="1:14">
      <c r="A101" s="130">
        <v>100</v>
      </c>
      <c r="B101" s="130" t="s">
        <v>17</v>
      </c>
      <c r="C101" s="130" t="s">
        <v>22</v>
      </c>
      <c r="D101" s="130" t="s">
        <v>60</v>
      </c>
      <c r="E101" s="154" t="s">
        <v>71</v>
      </c>
      <c r="G101" s="130" t="s">
        <v>123</v>
      </c>
      <c r="H101" s="130" t="s">
        <v>117</v>
      </c>
      <c r="I101" s="153">
        <v>410.2</v>
      </c>
      <c r="J101" s="130" t="s">
        <v>558</v>
      </c>
      <c r="K101" s="133">
        <v>46043</v>
      </c>
      <c r="L101" s="130">
        <v>2026400158</v>
      </c>
      <c r="M101" s="137" t="s">
        <v>311</v>
      </c>
      <c r="N101" s="130">
        <v>2026</v>
      </c>
    </row>
    <row r="102" spans="1:14">
      <c r="A102" s="130">
        <v>101</v>
      </c>
      <c r="B102" s="130" t="s">
        <v>17</v>
      </c>
      <c r="C102" s="130" t="s">
        <v>25</v>
      </c>
      <c r="D102" s="130" t="s">
        <v>60</v>
      </c>
      <c r="E102" s="154" t="s">
        <v>71</v>
      </c>
      <c r="G102" s="130" t="s">
        <v>123</v>
      </c>
      <c r="H102" s="130" t="s">
        <v>117</v>
      </c>
      <c r="I102" s="153">
        <v>1080</v>
      </c>
      <c r="J102" s="130" t="s">
        <v>559</v>
      </c>
      <c r="K102" s="133">
        <v>46043</v>
      </c>
      <c r="L102" s="130">
        <v>2026400171</v>
      </c>
      <c r="M102" s="137" t="s">
        <v>311</v>
      </c>
      <c r="N102" s="130">
        <v>2026</v>
      </c>
    </row>
    <row r="103" spans="1:14">
      <c r="A103" s="130">
        <v>102</v>
      </c>
      <c r="B103" s="130" t="s">
        <v>42</v>
      </c>
      <c r="C103" s="130" t="s">
        <v>45</v>
      </c>
      <c r="D103" s="130" t="s">
        <v>60</v>
      </c>
      <c r="E103" s="154" t="s">
        <v>71</v>
      </c>
      <c r="G103" s="130" t="s">
        <v>123</v>
      </c>
      <c r="H103" s="130" t="s">
        <v>117</v>
      </c>
      <c r="I103" s="153">
        <v>738</v>
      </c>
      <c r="J103" s="130" t="s">
        <v>560</v>
      </c>
      <c r="K103" s="133">
        <v>46043</v>
      </c>
      <c r="L103" s="130">
        <v>2026400167</v>
      </c>
      <c r="M103" s="137" t="s">
        <v>311</v>
      </c>
      <c r="N103" s="130">
        <v>2026</v>
      </c>
    </row>
    <row r="104" spans="1:14">
      <c r="A104" s="130">
        <v>103</v>
      </c>
      <c r="B104" s="130" t="s">
        <v>42</v>
      </c>
      <c r="C104" s="130" t="s">
        <v>50</v>
      </c>
      <c r="D104" s="130" t="s">
        <v>60</v>
      </c>
      <c r="E104" s="154" t="s">
        <v>71</v>
      </c>
      <c r="G104" s="130" t="s">
        <v>123</v>
      </c>
      <c r="H104" s="130" t="s">
        <v>117</v>
      </c>
      <c r="I104" s="153">
        <v>260</v>
      </c>
      <c r="J104" s="130" t="s">
        <v>561</v>
      </c>
      <c r="K104" s="133">
        <v>46043</v>
      </c>
      <c r="L104" s="130">
        <v>2026400147</v>
      </c>
      <c r="M104" s="137" t="s">
        <v>311</v>
      </c>
      <c r="N104" s="130">
        <v>2026</v>
      </c>
    </row>
    <row r="105" spans="1:14">
      <c r="A105" s="130">
        <v>104</v>
      </c>
      <c r="B105" s="130" t="s">
        <v>52</v>
      </c>
      <c r="C105" s="130" t="s">
        <v>62</v>
      </c>
      <c r="D105" s="130" t="s">
        <v>60</v>
      </c>
      <c r="E105" s="154" t="s">
        <v>71</v>
      </c>
      <c r="G105" s="130" t="s">
        <v>123</v>
      </c>
      <c r="H105" s="130" t="s">
        <v>117</v>
      </c>
      <c r="I105" s="153">
        <v>320</v>
      </c>
      <c r="J105" s="130" t="s">
        <v>562</v>
      </c>
      <c r="K105" s="133">
        <v>46043</v>
      </c>
      <c r="L105" s="130">
        <v>2026400141</v>
      </c>
      <c r="M105" s="137" t="s">
        <v>311</v>
      </c>
      <c r="N105" s="130">
        <v>2026</v>
      </c>
    </row>
    <row r="106" spans="1:14">
      <c r="A106" s="130">
        <v>105</v>
      </c>
      <c r="B106" s="130" t="s">
        <v>52</v>
      </c>
      <c r="C106" s="130" t="s">
        <v>62</v>
      </c>
      <c r="D106" s="130" t="s">
        <v>60</v>
      </c>
      <c r="E106" s="154" t="s">
        <v>71</v>
      </c>
      <c r="G106" s="130" t="s">
        <v>123</v>
      </c>
      <c r="H106" s="130" t="s">
        <v>117</v>
      </c>
      <c r="I106" s="153">
        <v>160</v>
      </c>
      <c r="J106" s="130" t="s">
        <v>563</v>
      </c>
      <c r="K106" s="133">
        <v>46043</v>
      </c>
      <c r="L106" s="130">
        <v>2026400140</v>
      </c>
      <c r="M106" s="137" t="s">
        <v>311</v>
      </c>
      <c r="N106" s="130">
        <v>2026</v>
      </c>
    </row>
    <row r="107" spans="1:14">
      <c r="A107" s="130">
        <v>106</v>
      </c>
      <c r="B107" s="130" t="s">
        <v>52</v>
      </c>
      <c r="C107" s="130" t="s">
        <v>62</v>
      </c>
      <c r="D107" s="130" t="s">
        <v>60</v>
      </c>
      <c r="E107" s="154" t="s">
        <v>71</v>
      </c>
      <c r="G107" s="130" t="s">
        <v>123</v>
      </c>
      <c r="H107" s="130" t="s">
        <v>117</v>
      </c>
      <c r="I107" s="153">
        <v>1190</v>
      </c>
      <c r="J107" s="130" t="s">
        <v>564</v>
      </c>
      <c r="K107" s="133">
        <v>46043</v>
      </c>
      <c r="L107" s="130">
        <v>2026400139</v>
      </c>
      <c r="M107" s="137" t="s">
        <v>311</v>
      </c>
      <c r="N107" s="130">
        <v>2026</v>
      </c>
    </row>
    <row r="108" spans="1:14">
      <c r="A108" s="130">
        <v>107</v>
      </c>
      <c r="B108" s="130" t="s">
        <v>52</v>
      </c>
      <c r="C108" s="130" t="s">
        <v>62</v>
      </c>
      <c r="D108" s="130" t="s">
        <v>60</v>
      </c>
      <c r="E108" s="154" t="s">
        <v>71</v>
      </c>
      <c r="G108" s="130" t="s">
        <v>123</v>
      </c>
      <c r="H108" s="130" t="s">
        <v>117</v>
      </c>
      <c r="I108" s="153">
        <v>440</v>
      </c>
      <c r="J108" s="130" t="s">
        <v>565</v>
      </c>
      <c r="K108" s="133">
        <v>46043</v>
      </c>
      <c r="L108" s="130">
        <v>2026400138</v>
      </c>
      <c r="M108" s="137" t="s">
        <v>311</v>
      </c>
      <c r="N108" s="130">
        <v>2026</v>
      </c>
    </row>
    <row r="109" spans="1:14">
      <c r="A109" s="130">
        <v>108</v>
      </c>
      <c r="B109" s="130" t="s">
        <v>42</v>
      </c>
      <c r="C109" s="130" t="s">
        <v>47</v>
      </c>
      <c r="D109" s="130" t="s">
        <v>60</v>
      </c>
      <c r="E109" s="154" t="s">
        <v>71</v>
      </c>
      <c r="G109" s="130" t="s">
        <v>123</v>
      </c>
      <c r="H109" s="130" t="s">
        <v>117</v>
      </c>
      <c r="I109" s="153">
        <v>980</v>
      </c>
      <c r="J109" s="130" t="s">
        <v>566</v>
      </c>
      <c r="K109" s="133">
        <v>46043</v>
      </c>
      <c r="L109" s="130">
        <v>2026400148</v>
      </c>
      <c r="M109" s="137" t="s">
        <v>311</v>
      </c>
      <c r="N109" s="130">
        <v>2026</v>
      </c>
    </row>
    <row r="110" spans="1:14">
      <c r="A110" s="130">
        <v>109</v>
      </c>
      <c r="B110" s="154" t="s">
        <v>54</v>
      </c>
      <c r="C110" s="154" t="s">
        <v>94</v>
      </c>
      <c r="D110" s="130" t="s">
        <v>60</v>
      </c>
      <c r="E110" s="154" t="s">
        <v>71</v>
      </c>
      <c r="G110" s="154" t="s">
        <v>123</v>
      </c>
      <c r="H110" s="130" t="s">
        <v>117</v>
      </c>
      <c r="I110" s="153">
        <v>550</v>
      </c>
      <c r="J110" s="130" t="s">
        <v>567</v>
      </c>
      <c r="K110" s="133">
        <v>46043</v>
      </c>
      <c r="L110" s="130">
        <v>2026400150</v>
      </c>
      <c r="M110" s="137" t="s">
        <v>311</v>
      </c>
      <c r="N110" s="130">
        <v>2026</v>
      </c>
    </row>
    <row r="111" spans="1:14">
      <c r="A111" s="130">
        <v>110</v>
      </c>
      <c r="B111" s="130" t="s">
        <v>54</v>
      </c>
      <c r="C111" s="130" t="s">
        <v>94</v>
      </c>
      <c r="D111" s="130" t="s">
        <v>60</v>
      </c>
      <c r="E111" s="154" t="s">
        <v>71</v>
      </c>
      <c r="G111" s="130" t="s">
        <v>123</v>
      </c>
      <c r="H111" s="130" t="s">
        <v>117</v>
      </c>
      <c r="I111" s="153">
        <v>2177.8000000000002</v>
      </c>
      <c r="J111" s="130" t="s">
        <v>568</v>
      </c>
      <c r="K111" s="133">
        <v>46043</v>
      </c>
      <c r="L111" s="130">
        <v>2026400153</v>
      </c>
      <c r="M111" s="137" t="s">
        <v>311</v>
      </c>
      <c r="N111" s="130">
        <v>2026</v>
      </c>
    </row>
    <row r="112" spans="1:14">
      <c r="A112" s="130">
        <v>111</v>
      </c>
      <c r="B112" s="130" t="s">
        <v>54</v>
      </c>
      <c r="C112" s="130" t="s">
        <v>94</v>
      </c>
      <c r="D112" s="130" t="s">
        <v>60</v>
      </c>
      <c r="E112" s="154" t="s">
        <v>71</v>
      </c>
      <c r="G112" s="130" t="s">
        <v>123</v>
      </c>
      <c r="H112" s="130" t="s">
        <v>117</v>
      </c>
      <c r="I112" s="153">
        <v>280</v>
      </c>
      <c r="J112" s="130" t="s">
        <v>569</v>
      </c>
      <c r="K112" s="133">
        <v>46043</v>
      </c>
      <c r="L112" s="130">
        <v>2026400152</v>
      </c>
      <c r="M112" s="137" t="s">
        <v>311</v>
      </c>
      <c r="N112" s="130">
        <v>2026</v>
      </c>
    </row>
    <row r="113" spans="1:14">
      <c r="A113" s="130">
        <v>112</v>
      </c>
      <c r="B113" s="130" t="s">
        <v>54</v>
      </c>
      <c r="C113" s="130" t="s">
        <v>55</v>
      </c>
      <c r="D113" s="130" t="s">
        <v>60</v>
      </c>
      <c r="E113" s="154" t="s">
        <v>71</v>
      </c>
      <c r="G113" s="130" t="s">
        <v>457</v>
      </c>
      <c r="H113" s="130" t="s">
        <v>117</v>
      </c>
      <c r="I113" s="153">
        <v>510</v>
      </c>
      <c r="J113" s="130" t="s">
        <v>570</v>
      </c>
      <c r="K113" s="133">
        <v>46044</v>
      </c>
      <c r="L113" s="130">
        <v>2026400134</v>
      </c>
      <c r="M113" s="137" t="s">
        <v>311</v>
      </c>
      <c r="N113" s="130">
        <v>2026</v>
      </c>
    </row>
    <row r="114" spans="1:14">
      <c r="A114" s="130">
        <v>113</v>
      </c>
      <c r="B114" s="130" t="s">
        <v>52</v>
      </c>
      <c r="C114" s="130" t="s">
        <v>62</v>
      </c>
      <c r="D114" s="130" t="s">
        <v>60</v>
      </c>
      <c r="E114" s="154" t="s">
        <v>71</v>
      </c>
      <c r="G114" s="130" t="s">
        <v>278</v>
      </c>
      <c r="H114" s="130" t="s">
        <v>117</v>
      </c>
      <c r="I114" s="153">
        <v>8736.5122615803812</v>
      </c>
      <c r="J114" s="130" t="s">
        <v>571</v>
      </c>
      <c r="K114" s="133">
        <v>46035</v>
      </c>
      <c r="L114" s="130">
        <v>2026400213</v>
      </c>
      <c r="M114" s="137" t="s">
        <v>311</v>
      </c>
      <c r="N114" s="130">
        <v>2026</v>
      </c>
    </row>
    <row r="115" spans="1:14">
      <c r="A115" s="130">
        <v>114</v>
      </c>
      <c r="B115" s="130" t="s">
        <v>42</v>
      </c>
      <c r="C115" s="130" t="s">
        <v>45</v>
      </c>
      <c r="D115" s="130" t="s">
        <v>60</v>
      </c>
      <c r="E115" s="154" t="s">
        <v>71</v>
      </c>
      <c r="G115" s="130" t="s">
        <v>118</v>
      </c>
      <c r="H115" s="150" t="s">
        <v>281</v>
      </c>
      <c r="I115" s="153">
        <v>13550</v>
      </c>
      <c r="J115" s="130" t="s">
        <v>572</v>
      </c>
      <c r="K115" s="133">
        <v>46046</v>
      </c>
      <c r="L115" s="130">
        <v>2026400262</v>
      </c>
      <c r="M115" s="137" t="s">
        <v>311</v>
      </c>
      <c r="N115" s="130">
        <v>2026</v>
      </c>
    </row>
    <row r="116" spans="1:14">
      <c r="A116" s="130">
        <v>115</v>
      </c>
      <c r="B116" s="130" t="s">
        <v>42</v>
      </c>
      <c r="C116" s="130" t="s">
        <v>263</v>
      </c>
      <c r="D116" s="130" t="s">
        <v>60</v>
      </c>
      <c r="E116" s="154" t="s">
        <v>71</v>
      </c>
      <c r="G116" s="130" t="s">
        <v>123</v>
      </c>
      <c r="H116" s="150" t="s">
        <v>281</v>
      </c>
      <c r="I116" s="153">
        <v>560</v>
      </c>
      <c r="J116" s="130" t="s">
        <v>573</v>
      </c>
      <c r="K116" s="133">
        <v>46046</v>
      </c>
      <c r="L116" s="130">
        <v>2026400190</v>
      </c>
      <c r="M116" s="137" t="s">
        <v>311</v>
      </c>
      <c r="N116" s="130">
        <v>2026</v>
      </c>
    </row>
    <row r="117" spans="1:14">
      <c r="A117" s="130">
        <v>116</v>
      </c>
      <c r="B117" s="130" t="s">
        <v>42</v>
      </c>
      <c r="C117" s="130" t="s">
        <v>263</v>
      </c>
      <c r="D117" s="130" t="s">
        <v>60</v>
      </c>
      <c r="E117" s="154" t="s">
        <v>71</v>
      </c>
      <c r="G117" s="130" t="s">
        <v>120</v>
      </c>
      <c r="H117" s="150" t="s">
        <v>281</v>
      </c>
      <c r="I117" s="153">
        <v>578.78</v>
      </c>
      <c r="J117" s="130" t="s">
        <v>574</v>
      </c>
      <c r="K117" s="133">
        <v>46046</v>
      </c>
      <c r="L117" s="130">
        <v>2026400259</v>
      </c>
      <c r="M117" s="137" t="s">
        <v>311</v>
      </c>
      <c r="N117" s="130">
        <v>2026</v>
      </c>
    </row>
    <row r="118" spans="1:14">
      <c r="A118" s="130">
        <v>117</v>
      </c>
      <c r="B118" s="130" t="s">
        <v>42</v>
      </c>
      <c r="C118" s="130" t="s">
        <v>263</v>
      </c>
      <c r="D118" s="130" t="s">
        <v>60</v>
      </c>
      <c r="E118" s="154" t="s">
        <v>71</v>
      </c>
      <c r="G118" s="130" t="s">
        <v>123</v>
      </c>
      <c r="H118" s="150" t="s">
        <v>281</v>
      </c>
      <c r="I118" s="153">
        <v>206</v>
      </c>
      <c r="J118" s="130" t="s">
        <v>575</v>
      </c>
      <c r="K118" s="133">
        <v>46047</v>
      </c>
      <c r="L118" s="130">
        <v>2026400198</v>
      </c>
      <c r="M118" s="137" t="s">
        <v>311</v>
      </c>
      <c r="N118" s="130">
        <v>2026</v>
      </c>
    </row>
    <row r="119" spans="1:14">
      <c r="A119" s="130">
        <v>118</v>
      </c>
      <c r="B119" s="130" t="s">
        <v>42</v>
      </c>
      <c r="C119" s="130" t="s">
        <v>50</v>
      </c>
      <c r="D119" s="130" t="s">
        <v>60</v>
      </c>
      <c r="E119" s="154" t="s">
        <v>71</v>
      </c>
      <c r="G119" s="130" t="s">
        <v>121</v>
      </c>
      <c r="H119" s="150" t="s">
        <v>281</v>
      </c>
      <c r="I119" s="153">
        <v>1290.56</v>
      </c>
      <c r="J119" s="130" t="s">
        <v>576</v>
      </c>
      <c r="K119" s="133">
        <v>46032</v>
      </c>
      <c r="L119" s="130">
        <v>2026400232</v>
      </c>
      <c r="M119" s="137" t="s">
        <v>311</v>
      </c>
      <c r="N119" s="130">
        <v>2026</v>
      </c>
    </row>
    <row r="120" spans="1:14">
      <c r="A120" s="130">
        <v>119</v>
      </c>
      <c r="B120" s="130" t="s">
        <v>17</v>
      </c>
      <c r="C120" s="130" t="s">
        <v>657</v>
      </c>
      <c r="D120" s="130" t="s">
        <v>60</v>
      </c>
      <c r="E120" s="154" t="s">
        <v>71</v>
      </c>
      <c r="G120" s="130" t="s">
        <v>121</v>
      </c>
      <c r="H120" s="150" t="s">
        <v>281</v>
      </c>
      <c r="I120" s="153">
        <v>1262.8</v>
      </c>
      <c r="J120" s="130" t="s">
        <v>577</v>
      </c>
      <c r="K120" s="133">
        <v>46029</v>
      </c>
      <c r="L120" s="130">
        <v>2026400234</v>
      </c>
      <c r="M120" s="137" t="s">
        <v>311</v>
      </c>
      <c r="N120" s="130">
        <v>2026</v>
      </c>
    </row>
    <row r="121" spans="1:14">
      <c r="A121" s="130">
        <v>120</v>
      </c>
      <c r="B121" s="130" t="s">
        <v>42</v>
      </c>
      <c r="C121" s="130" t="s">
        <v>73</v>
      </c>
      <c r="D121" s="130" t="s">
        <v>60</v>
      </c>
      <c r="E121" s="154" t="s">
        <v>71</v>
      </c>
      <c r="G121" s="130" t="s">
        <v>123</v>
      </c>
      <c r="H121" s="150" t="s">
        <v>281</v>
      </c>
      <c r="I121" s="153">
        <v>2808.8</v>
      </c>
      <c r="J121" s="130" t="s">
        <v>578</v>
      </c>
      <c r="K121" s="133">
        <v>46046</v>
      </c>
      <c r="L121" s="130">
        <v>2025403509</v>
      </c>
      <c r="M121" s="137" t="s">
        <v>311</v>
      </c>
      <c r="N121" s="130">
        <v>2026</v>
      </c>
    </row>
    <row r="122" spans="1:14">
      <c r="A122" s="130">
        <v>121</v>
      </c>
      <c r="B122" s="130" t="s">
        <v>17</v>
      </c>
      <c r="C122" s="130" t="s">
        <v>25</v>
      </c>
      <c r="D122" s="130" t="s">
        <v>60</v>
      </c>
      <c r="E122" s="154" t="s">
        <v>71</v>
      </c>
      <c r="G122" s="130" t="s">
        <v>123</v>
      </c>
      <c r="H122" s="150" t="s">
        <v>281</v>
      </c>
      <c r="I122" s="153">
        <v>386.5</v>
      </c>
      <c r="J122" s="130" t="s">
        <v>579</v>
      </c>
      <c r="K122" s="133">
        <v>46043</v>
      </c>
      <c r="L122" s="130">
        <v>2026400160</v>
      </c>
      <c r="M122" s="137" t="s">
        <v>311</v>
      </c>
      <c r="N122" s="130">
        <v>2026</v>
      </c>
    </row>
    <row r="123" spans="1:14">
      <c r="A123" s="130">
        <v>122</v>
      </c>
      <c r="B123" s="130" t="s">
        <v>17</v>
      </c>
      <c r="C123" s="130" t="s">
        <v>24</v>
      </c>
      <c r="D123" s="130" t="s">
        <v>60</v>
      </c>
      <c r="E123" s="154" t="s">
        <v>71</v>
      </c>
      <c r="G123" s="130" t="s">
        <v>123</v>
      </c>
      <c r="H123" s="150" t="s">
        <v>281</v>
      </c>
      <c r="I123" s="153">
        <v>299.60000000000002</v>
      </c>
      <c r="J123" s="130" t="s">
        <v>580</v>
      </c>
      <c r="K123" s="133">
        <v>46040</v>
      </c>
      <c r="L123" s="130">
        <v>2026400104</v>
      </c>
      <c r="M123" s="137" t="s">
        <v>311</v>
      </c>
      <c r="N123" s="130">
        <v>2026</v>
      </c>
    </row>
    <row r="124" spans="1:14">
      <c r="A124" s="130">
        <v>123</v>
      </c>
      <c r="B124" s="130" t="s">
        <v>42</v>
      </c>
      <c r="C124" s="130" t="s">
        <v>263</v>
      </c>
      <c r="D124" s="130" t="s">
        <v>60</v>
      </c>
      <c r="E124" s="154" t="s">
        <v>71</v>
      </c>
      <c r="G124" s="130" t="s">
        <v>123</v>
      </c>
      <c r="H124" s="130" t="s">
        <v>117</v>
      </c>
      <c r="I124" s="153">
        <v>751.4</v>
      </c>
      <c r="J124" s="130" t="s">
        <v>581</v>
      </c>
      <c r="K124" s="133">
        <v>46046</v>
      </c>
      <c r="L124" s="130">
        <v>2026400201</v>
      </c>
      <c r="M124" s="137" t="s">
        <v>311</v>
      </c>
      <c r="N124" s="130">
        <v>2026</v>
      </c>
    </row>
    <row r="125" spans="1:14">
      <c r="A125" s="130">
        <v>124</v>
      </c>
      <c r="B125" s="130" t="s">
        <v>54</v>
      </c>
      <c r="C125" s="130" t="s">
        <v>94</v>
      </c>
      <c r="D125" s="130" t="s">
        <v>60</v>
      </c>
      <c r="E125" s="130" t="s">
        <v>71</v>
      </c>
      <c r="G125" s="130" t="s">
        <v>123</v>
      </c>
      <c r="H125" s="130" t="s">
        <v>117</v>
      </c>
      <c r="I125" s="153">
        <v>250</v>
      </c>
      <c r="J125" s="130" t="s">
        <v>582</v>
      </c>
      <c r="K125" s="133">
        <v>46046</v>
      </c>
      <c r="L125" s="130">
        <v>2026400191</v>
      </c>
      <c r="M125" s="137" t="s">
        <v>311</v>
      </c>
      <c r="N125" s="130">
        <v>2026</v>
      </c>
    </row>
    <row r="126" spans="1:14">
      <c r="A126" s="130">
        <v>125</v>
      </c>
      <c r="B126" s="130" t="s">
        <v>42</v>
      </c>
      <c r="C126" s="130" t="s">
        <v>50</v>
      </c>
      <c r="D126" s="130" t="s">
        <v>60</v>
      </c>
      <c r="E126" s="154" t="s">
        <v>71</v>
      </c>
      <c r="G126" s="130" t="s">
        <v>123</v>
      </c>
      <c r="H126" s="130" t="s">
        <v>117</v>
      </c>
      <c r="I126" s="153">
        <v>940</v>
      </c>
      <c r="J126" s="130" t="s">
        <v>583</v>
      </c>
      <c r="K126" s="133">
        <v>46046</v>
      </c>
      <c r="L126" s="130">
        <v>2026400189</v>
      </c>
      <c r="M126" s="137" t="s">
        <v>311</v>
      </c>
      <c r="N126" s="130">
        <v>2026</v>
      </c>
    </row>
    <row r="127" spans="1:14">
      <c r="A127" s="130">
        <v>126</v>
      </c>
      <c r="B127" s="130" t="s">
        <v>42</v>
      </c>
      <c r="C127" s="130" t="s">
        <v>50</v>
      </c>
      <c r="D127" s="130" t="s">
        <v>60</v>
      </c>
      <c r="E127" s="154" t="s">
        <v>71</v>
      </c>
      <c r="G127" s="130" t="s">
        <v>123</v>
      </c>
      <c r="H127" s="130" t="s">
        <v>117</v>
      </c>
      <c r="I127" s="153">
        <v>1080</v>
      </c>
      <c r="J127" s="130" t="s">
        <v>584</v>
      </c>
      <c r="K127" s="133">
        <v>46047</v>
      </c>
      <c r="L127" s="130">
        <v>2026400188</v>
      </c>
      <c r="M127" s="137" t="s">
        <v>311</v>
      </c>
      <c r="N127" s="130">
        <v>2026</v>
      </c>
    </row>
    <row r="128" spans="1:14">
      <c r="A128" s="130">
        <v>127</v>
      </c>
      <c r="B128" s="130" t="s">
        <v>42</v>
      </c>
      <c r="C128" s="130" t="s">
        <v>50</v>
      </c>
      <c r="D128" s="130" t="s">
        <v>60</v>
      </c>
      <c r="E128" s="154" t="s">
        <v>71</v>
      </c>
      <c r="G128" s="156" t="s">
        <v>123</v>
      </c>
      <c r="H128" s="150" t="s">
        <v>236</v>
      </c>
      <c r="I128" s="153">
        <v>550</v>
      </c>
      <c r="J128" s="156" t="s">
        <v>585</v>
      </c>
      <c r="K128" s="133">
        <v>46046</v>
      </c>
      <c r="L128" s="156">
        <v>2026400187</v>
      </c>
      <c r="M128" s="137" t="s">
        <v>311</v>
      </c>
      <c r="N128" s="130">
        <v>2026</v>
      </c>
    </row>
    <row r="129" spans="1:14">
      <c r="A129" s="130">
        <v>128</v>
      </c>
      <c r="B129" s="130" t="s">
        <v>42</v>
      </c>
      <c r="C129" s="130" t="s">
        <v>50</v>
      </c>
      <c r="D129" s="130" t="s">
        <v>60</v>
      </c>
      <c r="E129" s="154" t="s">
        <v>71</v>
      </c>
      <c r="G129" s="130" t="s">
        <v>123</v>
      </c>
      <c r="H129" s="150" t="s">
        <v>236</v>
      </c>
      <c r="I129" s="153">
        <v>625</v>
      </c>
      <c r="J129" s="130" t="s">
        <v>586</v>
      </c>
      <c r="K129" s="133">
        <v>46046</v>
      </c>
      <c r="L129" s="130">
        <v>2026400186</v>
      </c>
      <c r="M129" s="137" t="s">
        <v>311</v>
      </c>
      <c r="N129" s="130">
        <v>2026</v>
      </c>
    </row>
    <row r="130" spans="1:14">
      <c r="A130" s="130">
        <v>129</v>
      </c>
      <c r="B130" s="130" t="s">
        <v>35</v>
      </c>
      <c r="C130" s="130" t="s">
        <v>36</v>
      </c>
      <c r="D130" s="130" t="s">
        <v>60</v>
      </c>
      <c r="E130" s="154" t="s">
        <v>71</v>
      </c>
      <c r="G130" s="130" t="s">
        <v>123</v>
      </c>
      <c r="H130" s="150" t="s">
        <v>236</v>
      </c>
      <c r="I130" s="153">
        <v>2744</v>
      </c>
      <c r="J130" s="130" t="s">
        <v>587</v>
      </c>
      <c r="K130" s="133">
        <v>46046</v>
      </c>
      <c r="L130" s="130">
        <v>2026400185</v>
      </c>
      <c r="M130" s="137" t="s">
        <v>311</v>
      </c>
      <c r="N130" s="130">
        <v>2026</v>
      </c>
    </row>
    <row r="131" spans="1:14">
      <c r="A131" s="130">
        <v>130</v>
      </c>
      <c r="B131" s="130" t="s">
        <v>52</v>
      </c>
      <c r="C131" s="130" t="s">
        <v>62</v>
      </c>
      <c r="D131" s="130" t="s">
        <v>60</v>
      </c>
      <c r="E131" s="154" t="s">
        <v>71</v>
      </c>
      <c r="G131" s="130" t="s">
        <v>123</v>
      </c>
      <c r="H131" s="150" t="s">
        <v>236</v>
      </c>
      <c r="I131" s="153">
        <v>656.4</v>
      </c>
      <c r="J131" s="130" t="s">
        <v>588</v>
      </c>
      <c r="K131" s="133">
        <v>46047</v>
      </c>
      <c r="L131" s="130">
        <v>2026400182</v>
      </c>
      <c r="M131" s="137" t="s">
        <v>311</v>
      </c>
      <c r="N131" s="130">
        <v>2026</v>
      </c>
    </row>
    <row r="132" spans="1:14">
      <c r="A132" s="130">
        <v>131</v>
      </c>
      <c r="B132" s="154" t="s">
        <v>52</v>
      </c>
      <c r="C132" s="154" t="s">
        <v>62</v>
      </c>
      <c r="D132" s="130" t="s">
        <v>60</v>
      </c>
      <c r="E132" s="130" t="s">
        <v>71</v>
      </c>
      <c r="G132" s="130" t="s">
        <v>123</v>
      </c>
      <c r="H132" s="150" t="s">
        <v>236</v>
      </c>
      <c r="I132" s="153">
        <v>825</v>
      </c>
      <c r="J132" s="130" t="s">
        <v>589</v>
      </c>
      <c r="K132" s="133">
        <v>46046</v>
      </c>
      <c r="L132" s="130">
        <v>2026400181</v>
      </c>
      <c r="M132" s="137" t="s">
        <v>311</v>
      </c>
      <c r="N132" s="130">
        <v>2026</v>
      </c>
    </row>
    <row r="133" spans="1:14">
      <c r="A133" s="130">
        <v>132</v>
      </c>
      <c r="B133" s="130" t="s">
        <v>58</v>
      </c>
      <c r="C133" s="130" t="s">
        <v>59</v>
      </c>
      <c r="D133" s="130" t="s">
        <v>60</v>
      </c>
      <c r="E133" s="130" t="s">
        <v>71</v>
      </c>
      <c r="G133" s="130" t="s">
        <v>123</v>
      </c>
      <c r="H133" s="150" t="s">
        <v>236</v>
      </c>
      <c r="I133" s="153">
        <v>1020</v>
      </c>
      <c r="J133" s="130" t="s">
        <v>590</v>
      </c>
      <c r="K133" s="133">
        <v>46047</v>
      </c>
      <c r="L133" s="130">
        <v>2026400180</v>
      </c>
      <c r="M133" s="137" t="s">
        <v>311</v>
      </c>
      <c r="N133" s="130">
        <v>2026</v>
      </c>
    </row>
    <row r="134" spans="1:14">
      <c r="A134" s="130">
        <v>133</v>
      </c>
      <c r="B134" s="130" t="s">
        <v>17</v>
      </c>
      <c r="C134" s="130" t="s">
        <v>22</v>
      </c>
      <c r="D134" s="130" t="s">
        <v>60</v>
      </c>
      <c r="E134" s="154" t="s">
        <v>71</v>
      </c>
      <c r="G134" s="130" t="s">
        <v>123</v>
      </c>
      <c r="H134" s="130" t="s">
        <v>117</v>
      </c>
      <c r="I134" s="153">
        <v>546</v>
      </c>
      <c r="J134" s="130" t="s">
        <v>591</v>
      </c>
      <c r="K134" s="133">
        <v>46044</v>
      </c>
      <c r="L134" s="130">
        <v>2026400157</v>
      </c>
      <c r="M134" s="137" t="s">
        <v>311</v>
      </c>
      <c r="N134" s="130">
        <v>2026</v>
      </c>
    </row>
    <row r="135" spans="1:14">
      <c r="A135" s="130">
        <v>134</v>
      </c>
      <c r="B135" s="130" t="s">
        <v>17</v>
      </c>
      <c r="C135" s="130" t="s">
        <v>25</v>
      </c>
      <c r="D135" s="130" t="s">
        <v>60</v>
      </c>
      <c r="E135" s="154" t="s">
        <v>71</v>
      </c>
      <c r="G135" s="130" t="s">
        <v>123</v>
      </c>
      <c r="H135" s="130" t="s">
        <v>117</v>
      </c>
      <c r="I135" s="153">
        <v>2376.6</v>
      </c>
      <c r="J135" s="130" t="s">
        <v>592</v>
      </c>
      <c r="K135" s="133">
        <v>46046</v>
      </c>
      <c r="L135" s="130">
        <v>2026400156</v>
      </c>
      <c r="M135" s="137" t="s">
        <v>311</v>
      </c>
      <c r="N135" s="130">
        <v>2026</v>
      </c>
    </row>
    <row r="136" spans="1:14">
      <c r="A136" s="130">
        <v>135</v>
      </c>
      <c r="B136" s="130" t="s">
        <v>54</v>
      </c>
      <c r="C136" s="130" t="s">
        <v>94</v>
      </c>
      <c r="D136" s="130" t="s">
        <v>60</v>
      </c>
      <c r="E136" s="130" t="s">
        <v>71</v>
      </c>
      <c r="G136" s="130" t="s">
        <v>123</v>
      </c>
      <c r="H136" s="130" t="s">
        <v>117</v>
      </c>
      <c r="I136" s="153">
        <v>2891.6</v>
      </c>
      <c r="J136" s="130" t="s">
        <v>593</v>
      </c>
      <c r="K136" s="133">
        <v>46044</v>
      </c>
      <c r="L136" s="130">
        <v>2026400154</v>
      </c>
      <c r="M136" s="137" t="s">
        <v>311</v>
      </c>
      <c r="N136" s="130">
        <v>2026</v>
      </c>
    </row>
    <row r="137" spans="1:14">
      <c r="A137" s="130">
        <v>136</v>
      </c>
      <c r="B137" s="130" t="s">
        <v>52</v>
      </c>
      <c r="C137" s="130" t="s">
        <v>62</v>
      </c>
      <c r="D137" s="130" t="s">
        <v>60</v>
      </c>
      <c r="E137" s="130" t="s">
        <v>71</v>
      </c>
      <c r="G137" s="130" t="s">
        <v>123</v>
      </c>
      <c r="H137" s="130" t="s">
        <v>117</v>
      </c>
      <c r="I137" s="153">
        <v>2267.6999999999998</v>
      </c>
      <c r="J137" s="130" t="s">
        <v>594</v>
      </c>
      <c r="K137" s="133">
        <v>46041</v>
      </c>
      <c r="L137" s="130">
        <v>2026400137</v>
      </c>
      <c r="M137" s="137" t="s">
        <v>311</v>
      </c>
      <c r="N137" s="130">
        <v>2026</v>
      </c>
    </row>
    <row r="138" spans="1:14">
      <c r="A138" s="130">
        <v>137</v>
      </c>
      <c r="B138" s="130" t="s">
        <v>52</v>
      </c>
      <c r="C138" s="130" t="s">
        <v>62</v>
      </c>
      <c r="D138" s="130" t="s">
        <v>60</v>
      </c>
      <c r="E138" s="154" t="s">
        <v>71</v>
      </c>
      <c r="G138" s="130" t="s">
        <v>123</v>
      </c>
      <c r="H138" s="130" t="s">
        <v>117</v>
      </c>
      <c r="I138" s="153">
        <v>1020</v>
      </c>
      <c r="J138" s="130" t="s">
        <v>595</v>
      </c>
      <c r="K138" s="133">
        <v>46046</v>
      </c>
      <c r="L138" s="130">
        <v>2026400116</v>
      </c>
      <c r="M138" s="137" t="s">
        <v>311</v>
      </c>
      <c r="N138" s="130">
        <v>2026</v>
      </c>
    </row>
    <row r="139" spans="1:14">
      <c r="A139" s="130">
        <v>138</v>
      </c>
      <c r="B139" s="130" t="s">
        <v>35</v>
      </c>
      <c r="C139" s="130" t="s">
        <v>38</v>
      </c>
      <c r="D139" s="130" t="s">
        <v>60</v>
      </c>
      <c r="E139" s="130" t="s">
        <v>71</v>
      </c>
      <c r="G139" s="130" t="s">
        <v>123</v>
      </c>
      <c r="H139" s="130" t="s">
        <v>117</v>
      </c>
      <c r="I139" s="153">
        <v>2061.6</v>
      </c>
      <c r="J139" s="130" t="s">
        <v>596</v>
      </c>
      <c r="K139" s="133">
        <v>46046</v>
      </c>
      <c r="L139" s="130">
        <v>2026400114</v>
      </c>
      <c r="M139" s="137" t="s">
        <v>311</v>
      </c>
      <c r="N139" s="130">
        <v>2026</v>
      </c>
    </row>
    <row r="140" spans="1:14">
      <c r="A140" s="130">
        <v>139</v>
      </c>
      <c r="B140" s="130" t="s">
        <v>42</v>
      </c>
      <c r="C140" s="130" t="s">
        <v>50</v>
      </c>
      <c r="D140" s="130" t="s">
        <v>60</v>
      </c>
      <c r="E140" s="130" t="s">
        <v>71</v>
      </c>
      <c r="G140" s="130" t="s">
        <v>123</v>
      </c>
      <c r="H140" s="130" t="s">
        <v>117</v>
      </c>
      <c r="I140" s="153">
        <v>2378</v>
      </c>
      <c r="J140" s="130" t="s">
        <v>597</v>
      </c>
      <c r="K140" s="133">
        <v>46043</v>
      </c>
      <c r="L140" s="130">
        <v>2026400107</v>
      </c>
      <c r="M140" s="137" t="s">
        <v>311</v>
      </c>
      <c r="N140" s="130">
        <v>2026</v>
      </c>
    </row>
    <row r="141" spans="1:14">
      <c r="A141" s="130">
        <v>140</v>
      </c>
      <c r="B141" s="154" t="s">
        <v>52</v>
      </c>
      <c r="C141" s="154" t="s">
        <v>62</v>
      </c>
      <c r="D141" s="130" t="s">
        <v>60</v>
      </c>
      <c r="E141" s="130" t="s">
        <v>71</v>
      </c>
      <c r="G141" s="130" t="s">
        <v>123</v>
      </c>
      <c r="H141" s="130" t="s">
        <v>117</v>
      </c>
      <c r="I141" s="153">
        <v>651</v>
      </c>
      <c r="J141" s="130" t="s">
        <v>598</v>
      </c>
      <c r="K141" s="133">
        <v>46043</v>
      </c>
      <c r="L141" s="130">
        <v>2026400106</v>
      </c>
      <c r="M141" s="137" t="s">
        <v>311</v>
      </c>
      <c r="N141" s="130">
        <v>2026</v>
      </c>
    </row>
    <row r="142" spans="1:14">
      <c r="A142" s="130">
        <v>141</v>
      </c>
      <c r="B142" s="130" t="s">
        <v>42</v>
      </c>
      <c r="C142" s="130" t="s">
        <v>45</v>
      </c>
      <c r="D142" s="130" t="s">
        <v>60</v>
      </c>
      <c r="E142" s="154" t="s">
        <v>71</v>
      </c>
      <c r="G142" s="130" t="s">
        <v>123</v>
      </c>
      <c r="H142" s="130" t="s">
        <v>117</v>
      </c>
      <c r="I142" s="153">
        <v>1565.1</v>
      </c>
      <c r="J142" s="130" t="s">
        <v>599</v>
      </c>
      <c r="K142" s="133">
        <v>46046</v>
      </c>
      <c r="L142" s="130">
        <v>2026400098</v>
      </c>
      <c r="M142" s="137" t="s">
        <v>311</v>
      </c>
      <c r="N142" s="130">
        <v>2026</v>
      </c>
    </row>
    <row r="143" spans="1:14">
      <c r="A143" s="130">
        <v>142</v>
      </c>
      <c r="B143" s="130" t="s">
        <v>58</v>
      </c>
      <c r="C143" s="130" t="s">
        <v>59</v>
      </c>
      <c r="D143" s="130" t="s">
        <v>60</v>
      </c>
      <c r="E143" s="154" t="s">
        <v>71</v>
      </c>
      <c r="G143" s="130" t="s">
        <v>123</v>
      </c>
      <c r="H143" s="130" t="s">
        <v>117</v>
      </c>
      <c r="I143" s="153">
        <v>876</v>
      </c>
      <c r="J143" s="130" t="s">
        <v>600</v>
      </c>
      <c r="K143" s="133">
        <v>46046</v>
      </c>
      <c r="L143" s="130">
        <v>2026400052</v>
      </c>
      <c r="M143" s="137" t="s">
        <v>311</v>
      </c>
      <c r="N143" s="130">
        <v>2026</v>
      </c>
    </row>
    <row r="144" spans="1:14">
      <c r="A144" s="130">
        <v>143</v>
      </c>
      <c r="B144" s="130" t="s">
        <v>52</v>
      </c>
      <c r="C144" s="130" t="s">
        <v>62</v>
      </c>
      <c r="D144" s="130" t="s">
        <v>60</v>
      </c>
      <c r="E144" s="154" t="s">
        <v>71</v>
      </c>
      <c r="G144" s="130" t="s">
        <v>123</v>
      </c>
      <c r="H144" s="130" t="s">
        <v>117</v>
      </c>
      <c r="I144" s="153">
        <v>3000</v>
      </c>
      <c r="J144" s="130" t="s">
        <v>601</v>
      </c>
      <c r="K144" s="133">
        <v>46046</v>
      </c>
      <c r="L144" s="130">
        <v>2026400035</v>
      </c>
      <c r="M144" s="137" t="s">
        <v>311</v>
      </c>
      <c r="N144" s="130">
        <v>2026</v>
      </c>
    </row>
    <row r="145" spans="1:14">
      <c r="A145" s="130">
        <v>144</v>
      </c>
      <c r="B145" s="130" t="s">
        <v>52</v>
      </c>
      <c r="C145" s="130" t="s">
        <v>62</v>
      </c>
      <c r="D145" s="130" t="s">
        <v>60</v>
      </c>
      <c r="E145" s="154" t="s">
        <v>71</v>
      </c>
      <c r="G145" s="130" t="s">
        <v>123</v>
      </c>
      <c r="H145" s="130" t="s">
        <v>117</v>
      </c>
      <c r="I145" s="153">
        <v>920</v>
      </c>
      <c r="J145" s="130" t="s">
        <v>602</v>
      </c>
      <c r="K145" s="133">
        <v>46046</v>
      </c>
      <c r="L145" s="130">
        <v>2026400032</v>
      </c>
      <c r="M145" s="137" t="s">
        <v>311</v>
      </c>
      <c r="N145" s="130">
        <v>2026</v>
      </c>
    </row>
    <row r="146" spans="1:14">
      <c r="A146" s="130">
        <v>145</v>
      </c>
      <c r="B146" s="130" t="s">
        <v>52</v>
      </c>
      <c r="C146" s="130" t="s">
        <v>62</v>
      </c>
      <c r="D146" s="130" t="s">
        <v>60</v>
      </c>
      <c r="E146" s="154" t="s">
        <v>71</v>
      </c>
      <c r="G146" s="130" t="s">
        <v>123</v>
      </c>
      <c r="H146" s="130" t="s">
        <v>117</v>
      </c>
      <c r="I146" s="153">
        <v>2246</v>
      </c>
      <c r="J146" s="130" t="s">
        <v>603</v>
      </c>
      <c r="K146" s="133">
        <v>46046</v>
      </c>
      <c r="L146" s="130">
        <v>2025404832</v>
      </c>
      <c r="M146" s="137" t="s">
        <v>311</v>
      </c>
      <c r="N146" s="130">
        <v>2026</v>
      </c>
    </row>
    <row r="147" spans="1:14">
      <c r="A147" s="130">
        <v>146</v>
      </c>
      <c r="B147" s="130" t="s">
        <v>42</v>
      </c>
      <c r="C147" s="130" t="s">
        <v>263</v>
      </c>
      <c r="D147" s="130" t="s">
        <v>60</v>
      </c>
      <c r="E147" s="130" t="s">
        <v>71</v>
      </c>
      <c r="G147" s="130" t="s">
        <v>123</v>
      </c>
      <c r="H147" s="130" t="s">
        <v>117</v>
      </c>
      <c r="I147" s="153">
        <v>449.5</v>
      </c>
      <c r="J147" s="130" t="s">
        <v>604</v>
      </c>
      <c r="K147" s="133">
        <v>46043</v>
      </c>
      <c r="L147" s="130">
        <v>2026400168</v>
      </c>
      <c r="M147" s="137" t="s">
        <v>311</v>
      </c>
      <c r="N147" s="130">
        <v>2026</v>
      </c>
    </row>
    <row r="148" spans="1:14">
      <c r="A148" s="130">
        <v>147</v>
      </c>
      <c r="B148" s="130" t="s">
        <v>42</v>
      </c>
      <c r="C148" s="130" t="s">
        <v>263</v>
      </c>
      <c r="D148" s="130" t="s">
        <v>60</v>
      </c>
      <c r="E148" s="154" t="s">
        <v>71</v>
      </c>
      <c r="G148" s="130" t="s">
        <v>121</v>
      </c>
      <c r="H148" s="130" t="s">
        <v>117</v>
      </c>
      <c r="I148" s="153">
        <v>473</v>
      </c>
      <c r="J148" s="130" t="s">
        <v>605</v>
      </c>
      <c r="K148" s="133">
        <v>46049</v>
      </c>
      <c r="L148" s="130">
        <v>2026400034</v>
      </c>
      <c r="M148" s="137" t="s">
        <v>311</v>
      </c>
      <c r="N148" s="130">
        <v>2026</v>
      </c>
    </row>
    <row r="149" spans="1:14">
      <c r="A149" s="130">
        <v>148</v>
      </c>
      <c r="B149" s="130" t="s">
        <v>52</v>
      </c>
      <c r="C149" s="130" t="s">
        <v>62</v>
      </c>
      <c r="D149" s="130" t="s">
        <v>60</v>
      </c>
      <c r="E149" s="154" t="s">
        <v>71</v>
      </c>
      <c r="G149" s="130" t="s">
        <v>121</v>
      </c>
      <c r="H149" s="130" t="s">
        <v>117</v>
      </c>
      <c r="I149" s="153">
        <v>1661</v>
      </c>
      <c r="J149" s="130" t="s">
        <v>606</v>
      </c>
      <c r="K149" s="133">
        <v>46049</v>
      </c>
      <c r="L149" s="130">
        <v>2026400233</v>
      </c>
      <c r="M149" s="137" t="s">
        <v>311</v>
      </c>
      <c r="N149" s="130">
        <v>2026</v>
      </c>
    </row>
    <row r="150" spans="1:14">
      <c r="A150" s="130">
        <v>149</v>
      </c>
      <c r="B150" s="130" t="s">
        <v>54</v>
      </c>
      <c r="C150" s="130" t="s">
        <v>94</v>
      </c>
      <c r="D150" s="130" t="s">
        <v>60</v>
      </c>
      <c r="E150" s="154" t="s">
        <v>71</v>
      </c>
      <c r="G150" s="130" t="s">
        <v>120</v>
      </c>
      <c r="H150" s="130" t="s">
        <v>117</v>
      </c>
      <c r="I150" s="153">
        <v>1100</v>
      </c>
      <c r="J150" s="130" t="s">
        <v>607</v>
      </c>
      <c r="K150" s="133">
        <v>46039</v>
      </c>
      <c r="L150" s="130">
        <v>2026400086</v>
      </c>
      <c r="M150" s="137" t="s">
        <v>311</v>
      </c>
      <c r="N150" s="130">
        <v>2026</v>
      </c>
    </row>
    <row r="151" spans="1:14">
      <c r="A151" s="130">
        <v>150</v>
      </c>
      <c r="B151" s="130" t="s">
        <v>54</v>
      </c>
      <c r="C151" s="130" t="s">
        <v>94</v>
      </c>
      <c r="D151" s="130" t="s">
        <v>60</v>
      </c>
      <c r="E151" s="154" t="s">
        <v>71</v>
      </c>
      <c r="G151" s="130" t="s">
        <v>123</v>
      </c>
      <c r="H151" s="130" t="s">
        <v>117</v>
      </c>
      <c r="I151" s="153">
        <v>2031.2</v>
      </c>
      <c r="J151" s="130" t="s">
        <v>608</v>
      </c>
      <c r="K151" s="133">
        <v>46040</v>
      </c>
      <c r="L151" s="130">
        <v>2026400094</v>
      </c>
      <c r="M151" s="137" t="s">
        <v>311</v>
      </c>
      <c r="N151" s="130">
        <v>2026</v>
      </c>
    </row>
    <row r="152" spans="1:14">
      <c r="A152" s="130">
        <v>151</v>
      </c>
      <c r="B152" s="130" t="s">
        <v>17</v>
      </c>
      <c r="C152" s="130" t="s">
        <v>657</v>
      </c>
      <c r="D152" s="130" t="s">
        <v>60</v>
      </c>
      <c r="E152" s="154" t="s">
        <v>71</v>
      </c>
      <c r="G152" s="130" t="s">
        <v>121</v>
      </c>
      <c r="H152" s="130" t="s">
        <v>117</v>
      </c>
      <c r="I152" s="153">
        <v>165.26</v>
      </c>
      <c r="J152" s="130" t="s">
        <v>609</v>
      </c>
      <c r="K152" s="133">
        <v>46029</v>
      </c>
      <c r="L152" s="130">
        <v>2026400237</v>
      </c>
      <c r="M152" s="137" t="s">
        <v>311</v>
      </c>
      <c r="N152" s="130">
        <v>2026</v>
      </c>
    </row>
    <row r="153" spans="1:14">
      <c r="A153" s="130">
        <v>152</v>
      </c>
      <c r="B153" s="130" t="s">
        <v>42</v>
      </c>
      <c r="C153" s="130" t="s">
        <v>44</v>
      </c>
      <c r="D153" s="130" t="s">
        <v>60</v>
      </c>
      <c r="E153" s="154" t="s">
        <v>71</v>
      </c>
      <c r="G153" s="130" t="s">
        <v>230</v>
      </c>
      <c r="H153" s="130" t="s">
        <v>117</v>
      </c>
      <c r="I153" s="153">
        <v>4560</v>
      </c>
      <c r="J153" s="130" t="s">
        <v>545</v>
      </c>
      <c r="K153" s="133">
        <v>46039</v>
      </c>
      <c r="L153" s="130" t="s">
        <v>656</v>
      </c>
      <c r="M153" s="137" t="s">
        <v>311</v>
      </c>
      <c r="N153" s="130">
        <v>2026</v>
      </c>
    </row>
    <row r="154" spans="1:14">
      <c r="A154" s="130">
        <v>153</v>
      </c>
      <c r="B154" s="130" t="s">
        <v>42</v>
      </c>
      <c r="C154" s="130" t="s">
        <v>263</v>
      </c>
      <c r="D154" s="130" t="s">
        <v>60</v>
      </c>
      <c r="E154" s="154" t="s">
        <v>71</v>
      </c>
      <c r="G154" s="130" t="s">
        <v>230</v>
      </c>
      <c r="H154" s="130" t="s">
        <v>117</v>
      </c>
      <c r="I154" s="153">
        <v>480</v>
      </c>
      <c r="J154" s="130" t="s">
        <v>610</v>
      </c>
      <c r="K154" s="155">
        <v>46039</v>
      </c>
      <c r="L154" s="130">
        <v>2026400202</v>
      </c>
      <c r="M154" s="137" t="s">
        <v>311</v>
      </c>
      <c r="N154" s="130">
        <v>2026</v>
      </c>
    </row>
    <row r="155" spans="1:14">
      <c r="A155" s="130">
        <v>154</v>
      </c>
      <c r="B155" s="154" t="s">
        <v>17</v>
      </c>
      <c r="C155" s="154" t="s">
        <v>22</v>
      </c>
      <c r="D155" s="130" t="s">
        <v>60</v>
      </c>
      <c r="E155" s="154" t="s">
        <v>71</v>
      </c>
      <c r="G155" s="154" t="s">
        <v>123</v>
      </c>
      <c r="H155" s="130" t="s">
        <v>117</v>
      </c>
      <c r="I155" s="153">
        <v>160</v>
      </c>
      <c r="J155" s="130" t="s">
        <v>611</v>
      </c>
      <c r="K155" s="133">
        <v>46033</v>
      </c>
      <c r="L155" s="130">
        <v>2025404872</v>
      </c>
      <c r="M155" s="137" t="s">
        <v>311</v>
      </c>
      <c r="N155" s="130">
        <v>2026</v>
      </c>
    </row>
    <row r="156" spans="1:14">
      <c r="A156" s="130">
        <v>155</v>
      </c>
      <c r="B156" s="130" t="s">
        <v>54</v>
      </c>
      <c r="C156" s="130" t="s">
        <v>55</v>
      </c>
      <c r="D156" s="130" t="s">
        <v>60</v>
      </c>
      <c r="E156" s="130" t="s">
        <v>71</v>
      </c>
      <c r="G156" s="130" t="s">
        <v>123</v>
      </c>
      <c r="H156" s="130" t="s">
        <v>117</v>
      </c>
      <c r="I156" s="153">
        <v>300</v>
      </c>
      <c r="J156" s="130" t="s">
        <v>612</v>
      </c>
      <c r="K156" s="133">
        <v>46050</v>
      </c>
      <c r="L156" s="130">
        <v>2026400252</v>
      </c>
      <c r="M156" s="137" t="s">
        <v>311</v>
      </c>
      <c r="N156" s="130">
        <v>2026</v>
      </c>
    </row>
    <row r="157" spans="1:14">
      <c r="A157" s="130">
        <v>156</v>
      </c>
      <c r="B157" s="154" t="s">
        <v>17</v>
      </c>
      <c r="C157" s="154" t="s">
        <v>18</v>
      </c>
      <c r="D157" s="130" t="s">
        <v>60</v>
      </c>
      <c r="E157" s="130" t="s">
        <v>71</v>
      </c>
      <c r="G157" s="130" t="s">
        <v>123</v>
      </c>
      <c r="H157" s="130" t="s">
        <v>117</v>
      </c>
      <c r="I157" s="153">
        <v>1110</v>
      </c>
      <c r="J157" s="130" t="s">
        <v>613</v>
      </c>
      <c r="K157" s="133">
        <v>46050</v>
      </c>
      <c r="L157" s="130">
        <v>2026400250</v>
      </c>
      <c r="M157" s="137" t="s">
        <v>311</v>
      </c>
      <c r="N157" s="130">
        <v>2026</v>
      </c>
    </row>
    <row r="158" spans="1:14">
      <c r="A158" s="130">
        <v>157</v>
      </c>
      <c r="B158" s="130" t="s">
        <v>35</v>
      </c>
      <c r="C158" s="130" t="s">
        <v>36</v>
      </c>
      <c r="D158" s="130" t="s">
        <v>60</v>
      </c>
      <c r="E158" s="154" t="s">
        <v>71</v>
      </c>
      <c r="G158" s="130" t="s">
        <v>230</v>
      </c>
      <c r="H158" s="130" t="s">
        <v>117</v>
      </c>
      <c r="I158" s="153">
        <v>1425</v>
      </c>
      <c r="J158" s="130" t="s">
        <v>614</v>
      </c>
      <c r="K158" s="133">
        <v>46039</v>
      </c>
      <c r="L158" s="130">
        <v>2026400196</v>
      </c>
      <c r="M158" s="137" t="s">
        <v>311</v>
      </c>
      <c r="N158" s="130">
        <v>2026</v>
      </c>
    </row>
    <row r="159" spans="1:14">
      <c r="A159" s="130">
        <v>158</v>
      </c>
      <c r="B159" s="130" t="s">
        <v>42</v>
      </c>
      <c r="C159" s="130" t="s">
        <v>263</v>
      </c>
      <c r="D159" s="130" t="s">
        <v>60</v>
      </c>
      <c r="E159" s="154" t="s">
        <v>71</v>
      </c>
      <c r="G159" s="130" t="s">
        <v>123</v>
      </c>
      <c r="H159" s="130" t="s">
        <v>117</v>
      </c>
      <c r="I159" s="153">
        <v>80</v>
      </c>
      <c r="J159" s="130" t="s">
        <v>615</v>
      </c>
      <c r="K159" s="133">
        <v>46047</v>
      </c>
      <c r="L159" s="130">
        <v>2026400199</v>
      </c>
      <c r="M159" s="137" t="s">
        <v>311</v>
      </c>
      <c r="N159" s="130">
        <v>2026</v>
      </c>
    </row>
    <row r="160" spans="1:14">
      <c r="A160" s="130">
        <v>159</v>
      </c>
      <c r="B160" s="154" t="s">
        <v>35</v>
      </c>
      <c r="C160" s="154" t="s">
        <v>37</v>
      </c>
      <c r="D160" s="130" t="s">
        <v>60</v>
      </c>
      <c r="E160" s="154" t="s">
        <v>71</v>
      </c>
      <c r="G160" s="154" t="s">
        <v>123</v>
      </c>
      <c r="H160" s="130" t="s">
        <v>117</v>
      </c>
      <c r="I160" s="153">
        <v>262</v>
      </c>
      <c r="J160" s="130" t="s">
        <v>616</v>
      </c>
      <c r="K160" s="133">
        <v>46050</v>
      </c>
      <c r="L160" s="130">
        <v>2026400227</v>
      </c>
      <c r="M160" s="137" t="s">
        <v>311</v>
      </c>
      <c r="N160" s="130">
        <v>2026</v>
      </c>
    </row>
    <row r="161" spans="1:14">
      <c r="A161" s="130">
        <v>160</v>
      </c>
      <c r="B161" s="130" t="s">
        <v>17</v>
      </c>
      <c r="C161" s="130" t="s">
        <v>26</v>
      </c>
      <c r="D161" s="130" t="s">
        <v>60</v>
      </c>
      <c r="E161" s="154" t="s">
        <v>71</v>
      </c>
      <c r="G161" s="130" t="s">
        <v>123</v>
      </c>
      <c r="H161" s="130" t="s">
        <v>117</v>
      </c>
      <c r="I161" s="153">
        <v>592</v>
      </c>
      <c r="J161" s="130" t="s">
        <v>617</v>
      </c>
      <c r="K161" s="133">
        <v>46050</v>
      </c>
      <c r="L161" s="130">
        <v>2026400226</v>
      </c>
      <c r="M161" s="137" t="s">
        <v>311</v>
      </c>
      <c r="N161" s="130">
        <v>2026</v>
      </c>
    </row>
    <row r="162" spans="1:14">
      <c r="A162" s="130">
        <v>161</v>
      </c>
      <c r="B162" s="130" t="s">
        <v>17</v>
      </c>
      <c r="C162" s="130" t="s">
        <v>22</v>
      </c>
      <c r="D162" s="130" t="s">
        <v>60</v>
      </c>
      <c r="E162" s="154" t="s">
        <v>71</v>
      </c>
      <c r="G162" s="130" t="s">
        <v>123</v>
      </c>
      <c r="H162" s="130" t="s">
        <v>117</v>
      </c>
      <c r="I162" s="153">
        <v>1063.5999999999999</v>
      </c>
      <c r="J162" s="130" t="s">
        <v>618</v>
      </c>
      <c r="K162" s="133">
        <v>46050</v>
      </c>
      <c r="L162" s="130">
        <v>2026400245</v>
      </c>
      <c r="M162" s="137" t="s">
        <v>311</v>
      </c>
      <c r="N162" s="130">
        <v>2026</v>
      </c>
    </row>
    <row r="163" spans="1:14">
      <c r="A163" s="130">
        <v>162</v>
      </c>
      <c r="B163" s="130" t="s">
        <v>17</v>
      </c>
      <c r="C163" s="130" t="s">
        <v>22</v>
      </c>
      <c r="D163" s="130" t="s">
        <v>60</v>
      </c>
      <c r="E163" s="154" t="s">
        <v>71</v>
      </c>
      <c r="G163" s="130" t="s">
        <v>123</v>
      </c>
      <c r="H163" s="130" t="s">
        <v>117</v>
      </c>
      <c r="I163" s="153">
        <v>652.29999999999995</v>
      </c>
      <c r="J163" s="130" t="s">
        <v>619</v>
      </c>
      <c r="K163" s="133">
        <v>46050</v>
      </c>
      <c r="L163" s="130">
        <v>2026400247</v>
      </c>
      <c r="M163" s="137" t="s">
        <v>311</v>
      </c>
      <c r="N163" s="130">
        <v>2026</v>
      </c>
    </row>
    <row r="164" spans="1:14">
      <c r="A164" s="130">
        <v>163</v>
      </c>
      <c r="B164" s="154" t="s">
        <v>17</v>
      </c>
      <c r="C164" s="154" t="s">
        <v>18</v>
      </c>
      <c r="D164" s="130" t="s">
        <v>60</v>
      </c>
      <c r="E164" s="154" t="s">
        <v>71</v>
      </c>
      <c r="G164" s="154" t="s">
        <v>123</v>
      </c>
      <c r="H164" s="130" t="s">
        <v>117</v>
      </c>
      <c r="I164" s="153">
        <v>987</v>
      </c>
      <c r="J164" s="130" t="s">
        <v>620</v>
      </c>
      <c r="K164" s="133">
        <v>46050</v>
      </c>
      <c r="L164" s="130">
        <v>2026400251</v>
      </c>
      <c r="M164" s="137" t="s">
        <v>311</v>
      </c>
      <c r="N164" s="130">
        <v>2026</v>
      </c>
    </row>
    <row r="165" spans="1:14">
      <c r="A165" s="130">
        <v>164</v>
      </c>
      <c r="B165" s="130" t="s">
        <v>42</v>
      </c>
      <c r="C165" s="130" t="s">
        <v>50</v>
      </c>
      <c r="D165" s="130" t="s">
        <v>60</v>
      </c>
      <c r="E165" s="130" t="s">
        <v>71</v>
      </c>
      <c r="G165" s="130" t="s">
        <v>123</v>
      </c>
      <c r="H165" s="130" t="s">
        <v>117</v>
      </c>
      <c r="I165" s="153">
        <v>350</v>
      </c>
      <c r="J165" s="130" t="s">
        <v>621</v>
      </c>
      <c r="K165" s="133">
        <v>46050</v>
      </c>
      <c r="L165" s="130">
        <v>2026400248</v>
      </c>
      <c r="M165" s="137" t="s">
        <v>311</v>
      </c>
      <c r="N165" s="130">
        <v>2026</v>
      </c>
    </row>
    <row r="166" spans="1:14">
      <c r="A166" s="130">
        <v>165</v>
      </c>
      <c r="B166" s="130" t="s">
        <v>42</v>
      </c>
      <c r="C166" s="130" t="s">
        <v>263</v>
      </c>
      <c r="D166" s="130" t="s">
        <v>60</v>
      </c>
      <c r="E166" s="154" t="s">
        <v>71</v>
      </c>
      <c r="G166" s="130" t="s">
        <v>123</v>
      </c>
      <c r="H166" s="130" t="s">
        <v>117</v>
      </c>
      <c r="I166" s="153">
        <v>123.4</v>
      </c>
      <c r="J166" s="130" t="s">
        <v>622</v>
      </c>
      <c r="K166" s="133">
        <v>46050</v>
      </c>
      <c r="L166" s="130">
        <v>2026400249</v>
      </c>
      <c r="M166" s="137" t="s">
        <v>311</v>
      </c>
      <c r="N166" s="130">
        <v>2026</v>
      </c>
    </row>
    <row r="167" spans="1:14">
      <c r="A167" s="130">
        <v>166</v>
      </c>
      <c r="B167" s="130" t="s">
        <v>17</v>
      </c>
      <c r="C167" s="130" t="s">
        <v>18</v>
      </c>
      <c r="D167" s="130" t="s">
        <v>60</v>
      </c>
      <c r="E167" s="154" t="s">
        <v>71</v>
      </c>
      <c r="G167" s="130" t="s">
        <v>123</v>
      </c>
      <c r="H167" s="130" t="s">
        <v>117</v>
      </c>
      <c r="I167" s="153">
        <v>325</v>
      </c>
      <c r="J167" s="130" t="s">
        <v>623</v>
      </c>
      <c r="K167" s="133">
        <v>46050</v>
      </c>
      <c r="L167" s="130">
        <v>2026400231</v>
      </c>
      <c r="M167" s="137" t="s">
        <v>311</v>
      </c>
      <c r="N167" s="130">
        <v>2026</v>
      </c>
    </row>
    <row r="168" spans="1:14">
      <c r="A168" s="130">
        <v>167</v>
      </c>
      <c r="B168" s="130" t="s">
        <v>35</v>
      </c>
      <c r="C168" s="130" t="s">
        <v>37</v>
      </c>
      <c r="D168" s="130" t="s">
        <v>60</v>
      </c>
      <c r="E168" s="154" t="s">
        <v>71</v>
      </c>
      <c r="G168" s="130" t="s">
        <v>123</v>
      </c>
      <c r="H168" s="130" t="s">
        <v>117</v>
      </c>
      <c r="I168" s="153">
        <v>240</v>
      </c>
      <c r="J168" s="130" t="s">
        <v>624</v>
      </c>
      <c r="K168" s="133">
        <v>46050</v>
      </c>
      <c r="L168" s="130">
        <v>2026400228</v>
      </c>
      <c r="M168" s="137" t="s">
        <v>311</v>
      </c>
      <c r="N168" s="130">
        <v>2026</v>
      </c>
    </row>
    <row r="169" spans="1:14">
      <c r="A169" s="130">
        <v>168</v>
      </c>
      <c r="B169" s="154" t="s">
        <v>35</v>
      </c>
      <c r="C169" s="154" t="s">
        <v>38</v>
      </c>
      <c r="D169" s="130" t="s">
        <v>60</v>
      </c>
      <c r="E169" s="130" t="s">
        <v>71</v>
      </c>
      <c r="G169" s="130" t="s">
        <v>123</v>
      </c>
      <c r="H169" s="130" t="s">
        <v>117</v>
      </c>
      <c r="I169" s="153">
        <v>1252</v>
      </c>
      <c r="J169" s="130" t="s">
        <v>625</v>
      </c>
      <c r="K169" s="133">
        <v>46050</v>
      </c>
      <c r="L169" s="130">
        <v>2026400235</v>
      </c>
      <c r="M169" s="137" t="s">
        <v>311</v>
      </c>
      <c r="N169" s="130">
        <v>2026</v>
      </c>
    </row>
    <row r="170" spans="1:14">
      <c r="A170" s="130">
        <v>169</v>
      </c>
      <c r="B170" s="130" t="s">
        <v>17</v>
      </c>
      <c r="C170" s="130" t="s">
        <v>25</v>
      </c>
      <c r="D170" s="130" t="s">
        <v>60</v>
      </c>
      <c r="E170" s="130" t="s">
        <v>71</v>
      </c>
      <c r="G170" s="130" t="s">
        <v>123</v>
      </c>
      <c r="H170" s="130" t="s">
        <v>117</v>
      </c>
      <c r="I170" s="153">
        <v>638.79999999999995</v>
      </c>
      <c r="J170" s="130" t="s">
        <v>626</v>
      </c>
      <c r="K170" s="133">
        <v>46050</v>
      </c>
      <c r="L170" s="130">
        <v>2026400257</v>
      </c>
      <c r="M170" s="137" t="s">
        <v>311</v>
      </c>
      <c r="N170" s="130">
        <v>2026</v>
      </c>
    </row>
    <row r="171" spans="1:14">
      <c r="A171" s="130">
        <v>170</v>
      </c>
      <c r="B171" s="130" t="s">
        <v>17</v>
      </c>
      <c r="C171" s="130" t="s">
        <v>18</v>
      </c>
      <c r="D171" s="130" t="s">
        <v>60</v>
      </c>
      <c r="E171" s="154" t="s">
        <v>71</v>
      </c>
      <c r="G171" s="130" t="s">
        <v>123</v>
      </c>
      <c r="H171" s="130" t="s">
        <v>117</v>
      </c>
      <c r="I171" s="153">
        <v>1058.3</v>
      </c>
      <c r="J171" s="130" t="s">
        <v>627</v>
      </c>
      <c r="K171" s="133">
        <v>46050</v>
      </c>
      <c r="L171" s="130">
        <v>2026400242</v>
      </c>
      <c r="M171" s="137" t="s">
        <v>311</v>
      </c>
      <c r="N171" s="130">
        <v>2026</v>
      </c>
    </row>
    <row r="172" spans="1:14">
      <c r="A172" s="130">
        <v>171</v>
      </c>
      <c r="B172" s="130" t="s">
        <v>17</v>
      </c>
      <c r="C172" s="130" t="s">
        <v>657</v>
      </c>
      <c r="D172" s="130" t="s">
        <v>60</v>
      </c>
      <c r="E172" s="154" t="s">
        <v>71</v>
      </c>
      <c r="G172" s="130" t="s">
        <v>123</v>
      </c>
      <c r="H172" s="130" t="s">
        <v>117</v>
      </c>
      <c r="I172" s="153">
        <v>220</v>
      </c>
      <c r="J172" s="130" t="s">
        <v>628</v>
      </c>
      <c r="K172" s="133">
        <v>46050</v>
      </c>
      <c r="L172" s="130">
        <v>2026400230</v>
      </c>
      <c r="M172" s="137" t="s">
        <v>311</v>
      </c>
      <c r="N172" s="130">
        <v>2026</v>
      </c>
    </row>
    <row r="173" spans="1:14">
      <c r="A173" s="130">
        <v>172</v>
      </c>
      <c r="B173" s="130" t="s">
        <v>17</v>
      </c>
      <c r="C173" s="130" t="s">
        <v>22</v>
      </c>
      <c r="D173" s="130" t="s">
        <v>60</v>
      </c>
      <c r="E173" s="154" t="s">
        <v>71</v>
      </c>
      <c r="G173" s="130" t="s">
        <v>123</v>
      </c>
      <c r="H173" s="130" t="s">
        <v>117</v>
      </c>
      <c r="I173" s="153">
        <v>90</v>
      </c>
      <c r="J173" s="130" t="s">
        <v>629</v>
      </c>
      <c r="K173" s="133">
        <v>46050</v>
      </c>
      <c r="L173" s="130">
        <v>2026400236</v>
      </c>
      <c r="M173" s="137" t="s">
        <v>311</v>
      </c>
      <c r="N173" s="130">
        <v>2026</v>
      </c>
    </row>
    <row r="174" spans="1:14">
      <c r="A174" s="130">
        <v>173</v>
      </c>
      <c r="B174" s="130" t="s">
        <v>17</v>
      </c>
      <c r="C174" s="130" t="s">
        <v>18</v>
      </c>
      <c r="D174" s="130" t="s">
        <v>60</v>
      </c>
      <c r="E174" s="154" t="s">
        <v>71</v>
      </c>
      <c r="G174" s="130" t="s">
        <v>123</v>
      </c>
      <c r="H174" s="130" t="s">
        <v>117</v>
      </c>
      <c r="I174" s="153">
        <v>185</v>
      </c>
      <c r="J174" s="130" t="s">
        <v>630</v>
      </c>
      <c r="K174" s="155">
        <v>46050</v>
      </c>
      <c r="L174" s="130">
        <v>2026400239</v>
      </c>
      <c r="M174" s="137" t="s">
        <v>311</v>
      </c>
      <c r="N174" s="130">
        <v>2026</v>
      </c>
    </row>
    <row r="175" spans="1:14">
      <c r="A175" s="130">
        <v>174</v>
      </c>
      <c r="B175" s="130" t="s">
        <v>17</v>
      </c>
      <c r="C175" s="130" t="s">
        <v>18</v>
      </c>
      <c r="D175" s="130" t="s">
        <v>60</v>
      </c>
      <c r="E175" s="154" t="s">
        <v>71</v>
      </c>
      <c r="G175" s="156" t="s">
        <v>123</v>
      </c>
      <c r="H175" s="130" t="s">
        <v>117</v>
      </c>
      <c r="I175" s="153">
        <v>445</v>
      </c>
      <c r="J175" s="156" t="s">
        <v>631</v>
      </c>
      <c r="K175" s="133">
        <v>46050</v>
      </c>
      <c r="L175" s="156">
        <v>2026400241</v>
      </c>
      <c r="M175" s="137" t="s">
        <v>311</v>
      </c>
      <c r="N175" s="130">
        <v>2026</v>
      </c>
    </row>
    <row r="176" spans="1:14">
      <c r="A176" s="130">
        <v>175</v>
      </c>
      <c r="B176" s="130" t="s">
        <v>17</v>
      </c>
      <c r="C176" s="130" t="s">
        <v>25</v>
      </c>
      <c r="D176" s="130" t="s">
        <v>60</v>
      </c>
      <c r="E176" s="154" t="s">
        <v>71</v>
      </c>
      <c r="G176" s="130" t="s">
        <v>230</v>
      </c>
      <c r="H176" s="130" t="s">
        <v>117</v>
      </c>
      <c r="I176" s="153">
        <v>5940</v>
      </c>
      <c r="J176" s="130" t="s">
        <v>632</v>
      </c>
      <c r="K176" s="133">
        <v>46042</v>
      </c>
      <c r="L176" s="130">
        <v>2026400348</v>
      </c>
      <c r="M176" s="137" t="s">
        <v>311</v>
      </c>
      <c r="N176" s="130">
        <v>2026</v>
      </c>
    </row>
    <row r="177" spans="1:14">
      <c r="A177" s="130">
        <v>176</v>
      </c>
      <c r="B177" s="130" t="s">
        <v>42</v>
      </c>
      <c r="C177" s="130" t="s">
        <v>50</v>
      </c>
      <c r="D177" s="130" t="s">
        <v>60</v>
      </c>
      <c r="E177" s="154" t="s">
        <v>71</v>
      </c>
      <c r="G177" s="130" t="s">
        <v>229</v>
      </c>
      <c r="H177" s="130" t="s">
        <v>117</v>
      </c>
      <c r="I177" s="153">
        <v>4924</v>
      </c>
      <c r="J177" s="130" t="s">
        <v>633</v>
      </c>
      <c r="K177" s="133">
        <v>46042</v>
      </c>
      <c r="L177" s="130">
        <v>2026400223</v>
      </c>
      <c r="M177" s="137" t="s">
        <v>311</v>
      </c>
      <c r="N177" s="130">
        <v>2026</v>
      </c>
    </row>
    <row r="178" spans="1:14">
      <c r="A178" s="130">
        <v>177</v>
      </c>
      <c r="B178" s="130" t="s">
        <v>58</v>
      </c>
      <c r="C178" s="130" t="s">
        <v>59</v>
      </c>
      <c r="D178" s="130" t="s">
        <v>60</v>
      </c>
      <c r="E178" s="154" t="s">
        <v>71</v>
      </c>
      <c r="G178" s="130" t="s">
        <v>459</v>
      </c>
      <c r="H178" s="130" t="s">
        <v>117</v>
      </c>
      <c r="I178" s="153">
        <v>3100</v>
      </c>
      <c r="J178" s="130" t="s">
        <v>634</v>
      </c>
      <c r="K178" s="133">
        <v>46026</v>
      </c>
      <c r="L178" s="130">
        <v>2026400322</v>
      </c>
      <c r="M178" s="137" t="s">
        <v>311</v>
      </c>
      <c r="N178" s="130">
        <v>2026</v>
      </c>
    </row>
    <row r="179" spans="1:14">
      <c r="A179" s="130">
        <v>178</v>
      </c>
      <c r="B179" s="130" t="s">
        <v>42</v>
      </c>
      <c r="C179" s="130" t="s">
        <v>50</v>
      </c>
      <c r="D179" s="130" t="s">
        <v>60</v>
      </c>
      <c r="E179" s="154" t="s">
        <v>71</v>
      </c>
      <c r="G179" s="130" t="s">
        <v>121</v>
      </c>
      <c r="H179" s="130" t="s">
        <v>117</v>
      </c>
      <c r="I179" s="153">
        <v>996.9</v>
      </c>
      <c r="J179" s="130" t="s">
        <v>635</v>
      </c>
      <c r="K179" s="133">
        <v>46031</v>
      </c>
      <c r="L179" s="130">
        <v>2026400283</v>
      </c>
      <c r="M179" s="137" t="s">
        <v>311</v>
      </c>
      <c r="N179" s="130">
        <v>2026</v>
      </c>
    </row>
    <row r="180" spans="1:14">
      <c r="A180" s="130">
        <v>179</v>
      </c>
      <c r="B180" s="130" t="s">
        <v>42</v>
      </c>
      <c r="C180" s="130" t="s">
        <v>47</v>
      </c>
      <c r="D180" s="130" t="s">
        <v>60</v>
      </c>
      <c r="E180" s="154" t="s">
        <v>71</v>
      </c>
      <c r="G180" s="130" t="s">
        <v>121</v>
      </c>
      <c r="H180" s="130" t="s">
        <v>117</v>
      </c>
      <c r="I180" s="153">
        <v>105.21</v>
      </c>
      <c r="J180" s="130" t="s">
        <v>636</v>
      </c>
      <c r="K180" s="133">
        <v>46029</v>
      </c>
      <c r="L180" s="156">
        <v>2026400284</v>
      </c>
      <c r="M180" s="137" t="s">
        <v>311</v>
      </c>
      <c r="N180" s="130">
        <v>2026</v>
      </c>
    </row>
    <row r="181" spans="1:14">
      <c r="A181" s="130">
        <v>180</v>
      </c>
      <c r="B181" s="130" t="s">
        <v>42</v>
      </c>
      <c r="C181" s="130" t="s">
        <v>45</v>
      </c>
      <c r="D181" s="130" t="s">
        <v>60</v>
      </c>
      <c r="E181" s="154" t="s">
        <v>71</v>
      </c>
      <c r="G181" s="130" t="s">
        <v>121</v>
      </c>
      <c r="H181" s="130" t="s">
        <v>117</v>
      </c>
      <c r="I181" s="153">
        <v>2100</v>
      </c>
      <c r="J181" s="130" t="s">
        <v>637</v>
      </c>
      <c r="K181" s="133">
        <v>46023</v>
      </c>
      <c r="L181" s="130">
        <v>2026400285</v>
      </c>
      <c r="M181" s="137" t="s">
        <v>311</v>
      </c>
      <c r="N181" s="130">
        <v>2026</v>
      </c>
    </row>
    <row r="182" spans="1:14">
      <c r="A182" s="130">
        <v>181</v>
      </c>
      <c r="B182" s="130" t="s">
        <v>17</v>
      </c>
      <c r="C182" s="130" t="s">
        <v>25</v>
      </c>
      <c r="D182" s="130" t="s">
        <v>60</v>
      </c>
      <c r="E182" s="154" t="s">
        <v>71</v>
      </c>
      <c r="G182" s="130" t="s">
        <v>121</v>
      </c>
      <c r="H182" s="130" t="s">
        <v>117</v>
      </c>
      <c r="I182" s="153">
        <v>238</v>
      </c>
      <c r="J182" s="130" t="s">
        <v>638</v>
      </c>
      <c r="K182" s="133">
        <v>46031</v>
      </c>
      <c r="L182" s="130">
        <v>2026400286</v>
      </c>
      <c r="M182" s="137" t="s">
        <v>311</v>
      </c>
      <c r="N182" s="130">
        <v>2026</v>
      </c>
    </row>
    <row r="183" spans="1:14">
      <c r="A183" s="130">
        <v>182</v>
      </c>
      <c r="B183" s="130" t="s">
        <v>52</v>
      </c>
      <c r="C183" s="130" t="s">
        <v>62</v>
      </c>
      <c r="D183" s="130" t="s">
        <v>60</v>
      </c>
      <c r="E183" s="154" t="s">
        <v>71</v>
      </c>
      <c r="G183" s="130" t="s">
        <v>121</v>
      </c>
      <c r="H183" s="130" t="s">
        <v>117</v>
      </c>
      <c r="I183" s="153">
        <v>921.2</v>
      </c>
      <c r="J183" s="130" t="s">
        <v>639</v>
      </c>
      <c r="K183" s="133">
        <v>46023</v>
      </c>
      <c r="L183" s="130">
        <v>2026400287</v>
      </c>
      <c r="M183" s="137" t="s">
        <v>311</v>
      </c>
      <c r="N183" s="130">
        <v>2026</v>
      </c>
    </row>
    <row r="184" spans="1:14">
      <c r="A184" s="130">
        <v>183</v>
      </c>
      <c r="B184" s="130" t="s">
        <v>35</v>
      </c>
      <c r="C184" s="130" t="s">
        <v>37</v>
      </c>
      <c r="D184" s="130" t="s">
        <v>60</v>
      </c>
      <c r="E184" s="154" t="s">
        <v>71</v>
      </c>
      <c r="G184" s="130" t="s">
        <v>121</v>
      </c>
      <c r="H184" s="130" t="s">
        <v>117</v>
      </c>
      <c r="I184" s="153">
        <v>55.4</v>
      </c>
      <c r="J184" s="130" t="s">
        <v>640</v>
      </c>
      <c r="K184" s="133">
        <v>46031</v>
      </c>
      <c r="L184" s="130">
        <v>2026400311</v>
      </c>
      <c r="M184" s="137" t="s">
        <v>311</v>
      </c>
      <c r="N184" s="130">
        <v>2026</v>
      </c>
    </row>
    <row r="185" spans="1:14">
      <c r="A185" s="130">
        <v>184</v>
      </c>
      <c r="B185" s="130" t="s">
        <v>54</v>
      </c>
      <c r="C185" s="130" t="s">
        <v>94</v>
      </c>
      <c r="D185" s="130" t="s">
        <v>60</v>
      </c>
      <c r="E185" s="154" t="s">
        <v>71</v>
      </c>
      <c r="G185" s="130" t="s">
        <v>121</v>
      </c>
      <c r="H185" s="130" t="s">
        <v>117</v>
      </c>
      <c r="I185" s="153">
        <v>276.92</v>
      </c>
      <c r="J185" s="130" t="s">
        <v>641</v>
      </c>
      <c r="K185" s="133">
        <v>46029</v>
      </c>
      <c r="L185" s="130">
        <v>2026400323</v>
      </c>
      <c r="M185" s="137" t="s">
        <v>311</v>
      </c>
      <c r="N185" s="130">
        <v>2026</v>
      </c>
    </row>
    <row r="186" spans="1:14">
      <c r="A186" s="130">
        <v>185</v>
      </c>
      <c r="B186" s="130" t="s">
        <v>52</v>
      </c>
      <c r="C186" s="130" t="s">
        <v>62</v>
      </c>
      <c r="D186" s="130" t="s">
        <v>60</v>
      </c>
      <c r="E186" s="154" t="s">
        <v>71</v>
      </c>
      <c r="G186" s="130" t="s">
        <v>121</v>
      </c>
      <c r="H186" s="130" t="s">
        <v>117</v>
      </c>
      <c r="I186" s="153">
        <v>507.9</v>
      </c>
      <c r="J186" s="130" t="s">
        <v>642</v>
      </c>
      <c r="K186" s="133">
        <v>46029</v>
      </c>
      <c r="L186" s="130">
        <v>2026400325</v>
      </c>
      <c r="M186" s="137" t="s">
        <v>311</v>
      </c>
      <c r="N186" s="130">
        <v>2026</v>
      </c>
    </row>
    <row r="187" spans="1:14">
      <c r="A187" s="130">
        <v>186</v>
      </c>
      <c r="B187" s="130" t="s">
        <v>42</v>
      </c>
      <c r="C187" s="130" t="s">
        <v>47</v>
      </c>
      <c r="D187" s="130" t="s">
        <v>60</v>
      </c>
      <c r="E187" s="154" t="s">
        <v>71</v>
      </c>
      <c r="G187" s="130" t="s">
        <v>121</v>
      </c>
      <c r="H187" s="130" t="s">
        <v>117</v>
      </c>
      <c r="I187" s="153">
        <v>180.94</v>
      </c>
      <c r="J187" s="130" t="s">
        <v>643</v>
      </c>
      <c r="K187" s="133">
        <v>46023</v>
      </c>
      <c r="L187" s="130">
        <v>2026400330</v>
      </c>
      <c r="M187" s="137" t="s">
        <v>311</v>
      </c>
      <c r="N187" s="130">
        <v>2026</v>
      </c>
    </row>
    <row r="188" spans="1:14">
      <c r="A188" s="130">
        <v>187</v>
      </c>
      <c r="B188" s="130" t="s">
        <v>52</v>
      </c>
      <c r="C188" s="130" t="s">
        <v>62</v>
      </c>
      <c r="D188" s="130" t="s">
        <v>60</v>
      </c>
      <c r="E188" s="154" t="s">
        <v>71</v>
      </c>
      <c r="G188" s="130" t="s">
        <v>121</v>
      </c>
      <c r="H188" s="130" t="s">
        <v>117</v>
      </c>
      <c r="I188" s="153">
        <v>1152.99</v>
      </c>
      <c r="J188" s="130" t="s">
        <v>644</v>
      </c>
      <c r="K188" s="133">
        <v>46029</v>
      </c>
      <c r="L188" s="130">
        <v>2026400332</v>
      </c>
      <c r="M188" s="137" t="s">
        <v>311</v>
      </c>
      <c r="N188" s="130">
        <v>2026</v>
      </c>
    </row>
    <row r="189" spans="1:14">
      <c r="A189" s="130">
        <v>188</v>
      </c>
      <c r="B189" s="130" t="s">
        <v>52</v>
      </c>
      <c r="C189" s="130" t="s">
        <v>62</v>
      </c>
      <c r="D189" s="130" t="s">
        <v>60</v>
      </c>
      <c r="E189" s="154" t="s">
        <v>71</v>
      </c>
      <c r="G189" s="130" t="s">
        <v>121</v>
      </c>
      <c r="H189" s="130" t="s">
        <v>117</v>
      </c>
      <c r="I189" s="153">
        <v>1495.26</v>
      </c>
      <c r="J189" s="130" t="s">
        <v>645</v>
      </c>
      <c r="K189" s="133">
        <v>46029</v>
      </c>
      <c r="L189" s="130">
        <v>2026400333</v>
      </c>
      <c r="M189" s="137" t="s">
        <v>311</v>
      </c>
      <c r="N189" s="130">
        <v>2026</v>
      </c>
    </row>
    <row r="190" spans="1:14">
      <c r="A190" s="130">
        <v>189</v>
      </c>
      <c r="B190" s="130" t="s">
        <v>52</v>
      </c>
      <c r="C190" s="130" t="s">
        <v>62</v>
      </c>
      <c r="D190" s="130" t="s">
        <v>60</v>
      </c>
      <c r="E190" s="154" t="s">
        <v>71</v>
      </c>
      <c r="G190" s="130" t="s">
        <v>121</v>
      </c>
      <c r="H190" s="130" t="s">
        <v>117</v>
      </c>
      <c r="I190" s="153">
        <v>262.33</v>
      </c>
      <c r="J190" s="130" t="s">
        <v>646</v>
      </c>
      <c r="K190" s="133">
        <v>46029</v>
      </c>
      <c r="L190" s="130">
        <v>2026400334</v>
      </c>
      <c r="M190" s="137" t="s">
        <v>311</v>
      </c>
      <c r="N190" s="130">
        <v>2026</v>
      </c>
    </row>
    <row r="191" spans="1:14">
      <c r="A191" s="130">
        <v>190</v>
      </c>
      <c r="B191" s="130" t="s">
        <v>17</v>
      </c>
      <c r="C191" s="130" t="s">
        <v>22</v>
      </c>
      <c r="D191" s="130" t="s">
        <v>60</v>
      </c>
      <c r="E191" s="154" t="s">
        <v>71</v>
      </c>
      <c r="G191" s="130" t="s">
        <v>121</v>
      </c>
      <c r="H191" s="130" t="s">
        <v>117</v>
      </c>
      <c r="I191" s="153">
        <v>230.75</v>
      </c>
      <c r="J191" s="130" t="s">
        <v>647</v>
      </c>
      <c r="K191" s="133">
        <v>46031</v>
      </c>
      <c r="L191" s="130">
        <v>2026400356</v>
      </c>
      <c r="M191" s="137" t="s">
        <v>311</v>
      </c>
      <c r="N191" s="130">
        <v>2026</v>
      </c>
    </row>
    <row r="192" spans="1:14">
      <c r="A192" s="130">
        <v>191</v>
      </c>
      <c r="B192" s="130" t="s">
        <v>17</v>
      </c>
      <c r="C192" s="130" t="s">
        <v>657</v>
      </c>
      <c r="D192" s="130" t="s">
        <v>60</v>
      </c>
      <c r="E192" s="154" t="s">
        <v>71</v>
      </c>
      <c r="G192" s="130" t="s">
        <v>121</v>
      </c>
      <c r="H192" s="130" t="s">
        <v>117</v>
      </c>
      <c r="I192" s="153">
        <v>89.34</v>
      </c>
      <c r="J192" s="130" t="s">
        <v>648</v>
      </c>
      <c r="K192" s="155">
        <v>46031</v>
      </c>
      <c r="L192" s="130">
        <v>2026400357</v>
      </c>
      <c r="M192" s="137" t="s">
        <v>311</v>
      </c>
      <c r="N192" s="130">
        <v>2026</v>
      </c>
    </row>
    <row r="193" spans="1:14">
      <c r="A193" s="130">
        <v>192</v>
      </c>
      <c r="B193" s="130" t="s">
        <v>42</v>
      </c>
      <c r="C193" s="130" t="s">
        <v>50</v>
      </c>
      <c r="D193" s="130" t="s">
        <v>60</v>
      </c>
      <c r="E193" s="154" t="s">
        <v>71</v>
      </c>
      <c r="G193" s="156" t="s">
        <v>121</v>
      </c>
      <c r="H193" s="130" t="s">
        <v>117</v>
      </c>
      <c r="I193" s="153">
        <v>253.85</v>
      </c>
      <c r="J193" s="156" t="s">
        <v>649</v>
      </c>
      <c r="K193" s="133">
        <v>46031</v>
      </c>
      <c r="L193" s="156">
        <v>2026400294</v>
      </c>
      <c r="M193" s="137" t="s">
        <v>311</v>
      </c>
      <c r="N193" s="130">
        <v>2026</v>
      </c>
    </row>
    <row r="194" spans="1:14">
      <c r="A194" s="130">
        <v>193</v>
      </c>
      <c r="B194" s="130" t="s">
        <v>42</v>
      </c>
      <c r="C194" s="130" t="s">
        <v>50</v>
      </c>
      <c r="D194" s="130" t="s">
        <v>60</v>
      </c>
      <c r="E194" s="154" t="s">
        <v>71</v>
      </c>
      <c r="G194" s="130" t="s">
        <v>121</v>
      </c>
      <c r="H194" s="130" t="s">
        <v>117</v>
      </c>
      <c r="I194" s="153">
        <v>462</v>
      </c>
      <c r="J194" s="130" t="s">
        <v>650</v>
      </c>
      <c r="K194" s="133">
        <v>46031</v>
      </c>
      <c r="L194" s="130">
        <v>2026400326</v>
      </c>
      <c r="M194" s="137" t="s">
        <v>311</v>
      </c>
      <c r="N194" s="130">
        <v>2026</v>
      </c>
    </row>
    <row r="195" spans="1:14">
      <c r="A195" s="130">
        <v>194</v>
      </c>
      <c r="B195" s="130" t="s">
        <v>42</v>
      </c>
      <c r="C195" s="130" t="s">
        <v>50</v>
      </c>
      <c r="D195" s="130" t="s">
        <v>60</v>
      </c>
      <c r="E195" s="154" t="s">
        <v>71</v>
      </c>
      <c r="G195" s="130" t="s">
        <v>121</v>
      </c>
      <c r="H195" s="130" t="s">
        <v>117</v>
      </c>
      <c r="I195" s="153">
        <v>558.46</v>
      </c>
      <c r="J195" s="130" t="s">
        <v>651</v>
      </c>
      <c r="K195" s="133">
        <v>46031</v>
      </c>
      <c r="L195" s="130">
        <v>2026400327</v>
      </c>
      <c r="M195" s="137" t="s">
        <v>311</v>
      </c>
      <c r="N195" s="130">
        <v>2026</v>
      </c>
    </row>
    <row r="196" spans="1:14">
      <c r="A196" s="130">
        <v>195</v>
      </c>
      <c r="B196" s="130" t="s">
        <v>42</v>
      </c>
      <c r="C196" s="130" t="s">
        <v>50</v>
      </c>
      <c r="D196" s="130" t="s">
        <v>60</v>
      </c>
      <c r="E196" s="130" t="s">
        <v>71</v>
      </c>
      <c r="G196" s="130" t="s">
        <v>121</v>
      </c>
      <c r="H196" s="130" t="s">
        <v>117</v>
      </c>
      <c r="I196" s="153">
        <v>157</v>
      </c>
      <c r="J196" s="130" t="s">
        <v>652</v>
      </c>
      <c r="K196" s="133">
        <v>46031</v>
      </c>
      <c r="L196" s="130">
        <v>2026400328</v>
      </c>
      <c r="M196" s="137" t="s">
        <v>311</v>
      </c>
      <c r="N196" s="130">
        <v>2026</v>
      </c>
    </row>
    <row r="197" spans="1:14">
      <c r="A197" s="130">
        <v>196</v>
      </c>
      <c r="B197" s="130" t="s">
        <v>42</v>
      </c>
      <c r="C197" s="130" t="s">
        <v>50</v>
      </c>
      <c r="D197" s="130" t="s">
        <v>60</v>
      </c>
      <c r="E197" s="154" t="s">
        <v>71</v>
      </c>
      <c r="G197" s="130" t="s">
        <v>123</v>
      </c>
      <c r="H197" s="130" t="s">
        <v>117</v>
      </c>
      <c r="I197" s="153">
        <v>1034.7</v>
      </c>
      <c r="J197" s="130" t="s">
        <v>280</v>
      </c>
      <c r="K197" s="133">
        <v>46030</v>
      </c>
      <c r="L197" s="130">
        <v>2025404786</v>
      </c>
      <c r="M197" s="137" t="s">
        <v>311</v>
      </c>
      <c r="N197" s="130">
        <v>2026</v>
      </c>
    </row>
    <row r="198" spans="1:14">
      <c r="A198" s="130">
        <v>197</v>
      </c>
      <c r="B198" s="130" t="s">
        <v>17</v>
      </c>
      <c r="C198" s="130" t="s">
        <v>22</v>
      </c>
      <c r="D198" s="130" t="s">
        <v>60</v>
      </c>
      <c r="E198" s="154" t="s">
        <v>71</v>
      </c>
      <c r="G198" s="130" t="s">
        <v>123</v>
      </c>
      <c r="H198" s="130" t="s">
        <v>117</v>
      </c>
      <c r="I198" s="153">
        <v>786.1</v>
      </c>
      <c r="J198" s="130" t="s">
        <v>653</v>
      </c>
      <c r="K198" s="133">
        <v>46055</v>
      </c>
      <c r="L198" s="130">
        <v>2026400077</v>
      </c>
      <c r="M198" s="137" t="s">
        <v>311</v>
      </c>
      <c r="N198" s="130">
        <v>2026</v>
      </c>
    </row>
    <row r="199" spans="1:14">
      <c r="A199" s="130">
        <v>198</v>
      </c>
      <c r="B199" s="130" t="s">
        <v>42</v>
      </c>
      <c r="C199" s="130" t="s">
        <v>47</v>
      </c>
      <c r="D199" s="130" t="s">
        <v>60</v>
      </c>
      <c r="E199" s="130" t="s">
        <v>71</v>
      </c>
      <c r="G199" s="130" t="s">
        <v>118</v>
      </c>
      <c r="H199" s="130" t="s">
        <v>117</v>
      </c>
      <c r="I199" s="153">
        <v>687.82</v>
      </c>
      <c r="J199" s="130" t="s">
        <v>654</v>
      </c>
      <c r="K199" s="133">
        <v>46041</v>
      </c>
      <c r="L199" s="130">
        <v>2026400205</v>
      </c>
      <c r="M199" s="137" t="s">
        <v>311</v>
      </c>
      <c r="N199" s="130">
        <v>2026</v>
      </c>
    </row>
    <row r="200" spans="1:14">
      <c r="A200" s="130">
        <v>199</v>
      </c>
      <c r="B200" s="130" t="s">
        <v>17</v>
      </c>
      <c r="C200" s="130" t="s">
        <v>657</v>
      </c>
      <c r="D200" s="130" t="s">
        <v>60</v>
      </c>
      <c r="E200" s="154" t="s">
        <v>71</v>
      </c>
      <c r="G200" s="130" t="s">
        <v>123</v>
      </c>
      <c r="H200" s="130" t="s">
        <v>117</v>
      </c>
      <c r="I200" s="153">
        <v>135</v>
      </c>
      <c r="J200" s="130" t="s">
        <v>655</v>
      </c>
      <c r="K200" s="133">
        <v>46051</v>
      </c>
      <c r="L200" s="130">
        <v>2026400244</v>
      </c>
      <c r="M200" s="137" t="s">
        <v>311</v>
      </c>
      <c r="N200" s="130">
        <v>2026</v>
      </c>
    </row>
    <row r="201" spans="1:14">
      <c r="A201" s="130">
        <v>200</v>
      </c>
      <c r="B201" s="130" t="s">
        <v>54</v>
      </c>
      <c r="C201" s="130" t="s">
        <v>55</v>
      </c>
      <c r="D201" s="130" t="s">
        <v>60</v>
      </c>
      <c r="E201" s="154" t="s">
        <v>71</v>
      </c>
      <c r="G201" s="130" t="s">
        <v>234</v>
      </c>
      <c r="H201" s="130" t="s">
        <v>117</v>
      </c>
      <c r="I201" s="153">
        <v>5481.0810810810808</v>
      </c>
      <c r="J201" s="130" t="s">
        <v>672</v>
      </c>
      <c r="K201" s="133">
        <v>46021</v>
      </c>
      <c r="L201" s="130">
        <v>2025404847</v>
      </c>
      <c r="M201" s="137" t="s">
        <v>311</v>
      </c>
      <c r="N201" s="130">
        <v>2026</v>
      </c>
    </row>
    <row r="202" spans="1:14">
      <c r="A202" s="130">
        <v>201</v>
      </c>
      <c r="B202" s="130" t="s">
        <v>17</v>
      </c>
      <c r="C202" s="130" t="s">
        <v>22</v>
      </c>
      <c r="D202" s="130" t="s">
        <v>60</v>
      </c>
      <c r="E202" s="154" t="s">
        <v>71</v>
      </c>
      <c r="G202" s="130" t="s">
        <v>119</v>
      </c>
      <c r="H202" s="130" t="s">
        <v>117</v>
      </c>
      <c r="I202" s="153">
        <v>101.35135135135135</v>
      </c>
      <c r="J202" s="130" t="s">
        <v>673</v>
      </c>
      <c r="K202" s="133">
        <v>46018</v>
      </c>
      <c r="L202" s="130">
        <v>2026400011</v>
      </c>
      <c r="M202" s="137" t="s">
        <v>311</v>
      </c>
      <c r="N202" s="130">
        <v>2026</v>
      </c>
    </row>
    <row r="203" spans="1:14">
      <c r="A203" s="130">
        <v>202</v>
      </c>
      <c r="B203" s="130" t="s">
        <v>42</v>
      </c>
      <c r="C203" s="130" t="s">
        <v>50</v>
      </c>
      <c r="D203" s="130" t="s">
        <v>60</v>
      </c>
      <c r="E203" s="154" t="s">
        <v>71</v>
      </c>
      <c r="G203" s="130" t="s">
        <v>231</v>
      </c>
      <c r="H203" s="130" t="s">
        <v>117</v>
      </c>
      <c r="I203" s="153">
        <v>563.51351351351354</v>
      </c>
      <c r="J203" s="130" t="s">
        <v>674</v>
      </c>
      <c r="K203" s="133">
        <v>46027</v>
      </c>
      <c r="L203" s="130">
        <v>2025404850</v>
      </c>
      <c r="M203" s="137" t="s">
        <v>311</v>
      </c>
      <c r="N203" s="130">
        <v>2026</v>
      </c>
    </row>
    <row r="204" spans="1:14">
      <c r="A204" s="130">
        <v>203</v>
      </c>
      <c r="B204" s="130" t="s">
        <v>52</v>
      </c>
      <c r="C204" s="130" t="s">
        <v>62</v>
      </c>
      <c r="D204" s="130" t="s">
        <v>60</v>
      </c>
      <c r="E204" s="154" t="s">
        <v>71</v>
      </c>
      <c r="G204" s="130" t="s">
        <v>234</v>
      </c>
      <c r="H204" s="130" t="s">
        <v>117</v>
      </c>
      <c r="I204" s="153">
        <v>5481.0810810810808</v>
      </c>
      <c r="J204" s="130" t="s">
        <v>675</v>
      </c>
      <c r="K204" s="133">
        <v>46025</v>
      </c>
      <c r="L204" s="130">
        <v>2025404796</v>
      </c>
      <c r="M204" s="137" t="s">
        <v>311</v>
      </c>
      <c r="N204" s="130">
        <v>2026</v>
      </c>
    </row>
    <row r="205" spans="1:14">
      <c r="A205" s="130">
        <v>204</v>
      </c>
      <c r="B205" s="130" t="s">
        <v>52</v>
      </c>
      <c r="C205" s="130" t="s">
        <v>62</v>
      </c>
      <c r="D205" s="130" t="s">
        <v>60</v>
      </c>
      <c r="E205" s="154" t="s">
        <v>71</v>
      </c>
      <c r="G205" s="130" t="s">
        <v>274</v>
      </c>
      <c r="H205" s="130" t="s">
        <v>117</v>
      </c>
      <c r="I205" s="153">
        <v>641.89189189189187</v>
      </c>
      <c r="J205" s="130" t="s">
        <v>676</v>
      </c>
      <c r="K205" s="133">
        <v>46027</v>
      </c>
      <c r="L205" s="130">
        <v>2025404852</v>
      </c>
      <c r="M205" s="137" t="s">
        <v>311</v>
      </c>
      <c r="N205" s="130">
        <v>2026</v>
      </c>
    </row>
    <row r="206" spans="1:14">
      <c r="A206" s="130">
        <v>205</v>
      </c>
      <c r="B206" s="130" t="s">
        <v>17</v>
      </c>
      <c r="C206" s="130" t="s">
        <v>22</v>
      </c>
      <c r="D206" s="130" t="s">
        <v>60</v>
      </c>
      <c r="E206" s="154" t="s">
        <v>71</v>
      </c>
      <c r="G206" s="130" t="s">
        <v>115</v>
      </c>
      <c r="H206" s="130" t="s">
        <v>117</v>
      </c>
      <c r="I206" s="153">
        <v>1898.6486486486488</v>
      </c>
      <c r="J206" s="130" t="s">
        <v>677</v>
      </c>
      <c r="K206" s="133">
        <v>46021</v>
      </c>
      <c r="L206" s="130">
        <v>2026400028</v>
      </c>
      <c r="M206" s="137" t="s">
        <v>311</v>
      </c>
      <c r="N206" s="130">
        <v>2026</v>
      </c>
    </row>
    <row r="207" spans="1:14">
      <c r="A207" s="130">
        <v>206</v>
      </c>
      <c r="B207" s="130" t="s">
        <v>17</v>
      </c>
      <c r="C207" s="130" t="s">
        <v>22</v>
      </c>
      <c r="D207" s="130" t="s">
        <v>60</v>
      </c>
      <c r="E207" s="154" t="s">
        <v>71</v>
      </c>
      <c r="G207" s="130" t="s">
        <v>260</v>
      </c>
      <c r="H207" s="130" t="s">
        <v>117</v>
      </c>
      <c r="I207" s="153">
        <v>3648.6486486486488</v>
      </c>
      <c r="J207" s="130" t="s">
        <v>678</v>
      </c>
      <c r="K207" s="133">
        <v>46029</v>
      </c>
      <c r="L207" s="130">
        <v>2026400084</v>
      </c>
      <c r="M207" s="137" t="s">
        <v>311</v>
      </c>
      <c r="N207" s="130">
        <v>2026</v>
      </c>
    </row>
    <row r="208" spans="1:14">
      <c r="A208" s="130">
        <v>207</v>
      </c>
      <c r="B208" s="130" t="s">
        <v>42</v>
      </c>
      <c r="C208" s="130" t="s">
        <v>263</v>
      </c>
      <c r="D208" s="130" t="s">
        <v>60</v>
      </c>
      <c r="E208" s="154" t="s">
        <v>71</v>
      </c>
      <c r="G208" s="130" t="s">
        <v>274</v>
      </c>
      <c r="H208" s="130" t="s">
        <v>117</v>
      </c>
      <c r="I208" s="153">
        <v>3175.6756756756758</v>
      </c>
      <c r="J208" s="130" t="s">
        <v>679</v>
      </c>
      <c r="K208" s="133">
        <v>46027</v>
      </c>
      <c r="L208" s="130">
        <v>2025404854</v>
      </c>
      <c r="M208" s="137" t="s">
        <v>311</v>
      </c>
      <c r="N208" s="130">
        <v>2026</v>
      </c>
    </row>
    <row r="209" spans="1:14">
      <c r="A209" s="130">
        <v>208</v>
      </c>
      <c r="B209" s="130" t="s">
        <v>52</v>
      </c>
      <c r="C209" s="130" t="s">
        <v>62</v>
      </c>
      <c r="D209" s="130" t="s">
        <v>60</v>
      </c>
      <c r="E209" s="154" t="s">
        <v>71</v>
      </c>
      <c r="G209" s="130" t="s">
        <v>274</v>
      </c>
      <c r="H209" s="130" t="s">
        <v>117</v>
      </c>
      <c r="I209" s="153">
        <v>6722.9729729729734</v>
      </c>
      <c r="J209" s="130" t="s">
        <v>680</v>
      </c>
      <c r="K209" s="133">
        <v>46034</v>
      </c>
      <c r="L209" s="130">
        <v>2025404926</v>
      </c>
      <c r="M209" s="137" t="s">
        <v>311</v>
      </c>
      <c r="N209" s="130">
        <v>2026</v>
      </c>
    </row>
    <row r="210" spans="1:14">
      <c r="A210" s="130">
        <v>209</v>
      </c>
      <c r="B210" s="130" t="s">
        <v>42</v>
      </c>
      <c r="C210" s="130" t="s">
        <v>263</v>
      </c>
      <c r="D210" s="130" t="s">
        <v>60</v>
      </c>
      <c r="E210" s="154" t="s">
        <v>71</v>
      </c>
      <c r="G210" s="130" t="s">
        <v>658</v>
      </c>
      <c r="H210" s="130" t="s">
        <v>117</v>
      </c>
      <c r="I210" s="153">
        <v>1418.918918918919</v>
      </c>
      <c r="J210" s="130" t="s">
        <v>681</v>
      </c>
      <c r="K210" s="133">
        <v>46034</v>
      </c>
      <c r="L210" s="130">
        <v>2026400016</v>
      </c>
      <c r="M210" s="137" t="s">
        <v>311</v>
      </c>
      <c r="N210" s="130">
        <v>2026</v>
      </c>
    </row>
    <row r="211" spans="1:14">
      <c r="A211" s="130">
        <v>210</v>
      </c>
      <c r="B211" s="130" t="s">
        <v>42</v>
      </c>
      <c r="C211" s="130" t="s">
        <v>263</v>
      </c>
      <c r="D211" s="130" t="s">
        <v>60</v>
      </c>
      <c r="E211" s="154" t="s">
        <v>71</v>
      </c>
      <c r="G211" s="130" t="s">
        <v>659</v>
      </c>
      <c r="H211" s="130" t="s">
        <v>117</v>
      </c>
      <c r="I211" s="153">
        <v>1081.081081081081</v>
      </c>
      <c r="J211" s="130" t="s">
        <v>235</v>
      </c>
      <c r="K211" s="133">
        <v>46035</v>
      </c>
      <c r="L211" s="130">
        <v>2026400020</v>
      </c>
      <c r="M211" s="137" t="s">
        <v>311</v>
      </c>
      <c r="N211" s="130">
        <v>2026</v>
      </c>
    </row>
    <row r="212" spans="1:14">
      <c r="A212" s="130">
        <v>211</v>
      </c>
      <c r="B212" s="130" t="s">
        <v>17</v>
      </c>
      <c r="C212" s="130" t="s">
        <v>22</v>
      </c>
      <c r="D212" s="130" t="s">
        <v>60</v>
      </c>
      <c r="E212" s="154" t="s">
        <v>71</v>
      </c>
      <c r="G212" s="130" t="s">
        <v>260</v>
      </c>
      <c r="H212" s="130" t="s">
        <v>117</v>
      </c>
      <c r="I212" s="153">
        <v>506.75675675675677</v>
      </c>
      <c r="J212" s="130" t="s">
        <v>682</v>
      </c>
      <c r="K212" s="133">
        <v>46029</v>
      </c>
      <c r="L212" s="130">
        <v>2026400113</v>
      </c>
      <c r="M212" s="137" t="s">
        <v>311</v>
      </c>
      <c r="N212" s="130">
        <v>2026</v>
      </c>
    </row>
    <row r="213" spans="1:14">
      <c r="A213" s="130">
        <v>212</v>
      </c>
      <c r="B213" s="130" t="s">
        <v>17</v>
      </c>
      <c r="C213" s="130" t="s">
        <v>22</v>
      </c>
      <c r="D213" s="130" t="s">
        <v>60</v>
      </c>
      <c r="E213" s="154" t="s">
        <v>71</v>
      </c>
      <c r="G213" s="130" t="s">
        <v>660</v>
      </c>
      <c r="H213" s="130" t="s">
        <v>117</v>
      </c>
      <c r="I213" s="153">
        <v>9222.9729729729734</v>
      </c>
      <c r="J213" s="130" t="s">
        <v>683</v>
      </c>
      <c r="K213" s="133">
        <v>46028</v>
      </c>
      <c r="L213" s="130">
        <v>2026400095</v>
      </c>
      <c r="M213" s="137" t="s">
        <v>311</v>
      </c>
      <c r="N213" s="130">
        <v>2026</v>
      </c>
    </row>
    <row r="214" spans="1:14">
      <c r="A214" s="130">
        <v>213</v>
      </c>
      <c r="B214" s="130" t="s">
        <v>17</v>
      </c>
      <c r="C214" s="130" t="s">
        <v>25</v>
      </c>
      <c r="D214" s="130" t="s">
        <v>60</v>
      </c>
      <c r="E214" s="154" t="s">
        <v>71</v>
      </c>
      <c r="G214" s="130" t="s">
        <v>234</v>
      </c>
      <c r="H214" s="130" t="s">
        <v>117</v>
      </c>
      <c r="I214" s="153">
        <v>3952.7027027027025</v>
      </c>
      <c r="J214" s="130" t="s">
        <v>684</v>
      </c>
      <c r="K214" s="133">
        <v>46022</v>
      </c>
      <c r="L214" s="130">
        <v>2025404918</v>
      </c>
      <c r="M214" s="137" t="s">
        <v>311</v>
      </c>
      <c r="N214" s="130">
        <v>2026</v>
      </c>
    </row>
    <row r="215" spans="1:14">
      <c r="A215" s="130">
        <v>214</v>
      </c>
      <c r="B215" s="130" t="s">
        <v>42</v>
      </c>
      <c r="C215" s="130" t="s">
        <v>45</v>
      </c>
      <c r="D215" s="130" t="s">
        <v>60</v>
      </c>
      <c r="E215" s="154" t="s">
        <v>71</v>
      </c>
      <c r="G215" s="130" t="s">
        <v>661</v>
      </c>
      <c r="H215" s="130" t="s">
        <v>117</v>
      </c>
      <c r="I215" s="153">
        <v>3581.0810810810813</v>
      </c>
      <c r="J215" s="130" t="s">
        <v>685</v>
      </c>
      <c r="K215" s="133">
        <v>46036</v>
      </c>
      <c r="L215" s="130">
        <v>2026400085</v>
      </c>
      <c r="M215" s="137" t="s">
        <v>311</v>
      </c>
      <c r="N215" s="130">
        <v>2026</v>
      </c>
    </row>
    <row r="216" spans="1:14">
      <c r="A216" s="130">
        <v>215</v>
      </c>
      <c r="B216" s="130" t="s">
        <v>35</v>
      </c>
      <c r="C216" s="130" t="s">
        <v>36</v>
      </c>
      <c r="D216" s="130" t="s">
        <v>60</v>
      </c>
      <c r="E216" s="154" t="s">
        <v>71</v>
      </c>
      <c r="G216" s="130" t="s">
        <v>119</v>
      </c>
      <c r="H216" s="130" t="s">
        <v>117</v>
      </c>
      <c r="I216" s="153">
        <v>58.783783783783782</v>
      </c>
      <c r="J216" s="130" t="s">
        <v>686</v>
      </c>
      <c r="K216" s="133">
        <v>46035</v>
      </c>
      <c r="L216" s="130">
        <v>2026400130</v>
      </c>
      <c r="M216" s="137" t="s">
        <v>311</v>
      </c>
      <c r="N216" s="130">
        <v>2026</v>
      </c>
    </row>
    <row r="217" spans="1:14">
      <c r="A217" s="130">
        <v>216</v>
      </c>
      <c r="B217" s="130" t="s">
        <v>17</v>
      </c>
      <c r="C217" s="130" t="s">
        <v>22</v>
      </c>
      <c r="D217" s="130" t="s">
        <v>60</v>
      </c>
      <c r="E217" s="154" t="s">
        <v>71</v>
      </c>
      <c r="G217" s="130" t="s">
        <v>276</v>
      </c>
      <c r="H217" s="130" t="s">
        <v>117</v>
      </c>
      <c r="I217" s="153">
        <v>202.70270270270271</v>
      </c>
      <c r="J217" s="130" t="s">
        <v>687</v>
      </c>
      <c r="K217" s="133">
        <v>46021</v>
      </c>
      <c r="L217" s="130">
        <v>2026400029</v>
      </c>
      <c r="M217" s="137" t="s">
        <v>311</v>
      </c>
      <c r="N217" s="130">
        <v>2026</v>
      </c>
    </row>
    <row r="218" spans="1:14">
      <c r="A218" s="130">
        <v>217</v>
      </c>
      <c r="B218" s="130" t="s">
        <v>52</v>
      </c>
      <c r="C218" s="130" t="s">
        <v>62</v>
      </c>
      <c r="D218" s="130" t="s">
        <v>60</v>
      </c>
      <c r="E218" s="154" t="s">
        <v>71</v>
      </c>
      <c r="G218" s="130" t="s">
        <v>276</v>
      </c>
      <c r="H218" s="130" t="s">
        <v>117</v>
      </c>
      <c r="I218" s="153">
        <v>1270.2702702702702</v>
      </c>
      <c r="J218" s="130" t="s">
        <v>688</v>
      </c>
      <c r="K218" s="133">
        <v>46037</v>
      </c>
      <c r="L218" s="130">
        <v>2026400018</v>
      </c>
      <c r="M218" s="137" t="s">
        <v>311</v>
      </c>
      <c r="N218" s="130">
        <v>2026</v>
      </c>
    </row>
    <row r="219" spans="1:14">
      <c r="A219" s="130">
        <v>218</v>
      </c>
      <c r="B219" s="130" t="s">
        <v>54</v>
      </c>
      <c r="C219" s="130" t="s">
        <v>55</v>
      </c>
      <c r="D219" s="130" t="s">
        <v>60</v>
      </c>
      <c r="E219" s="154" t="s">
        <v>71</v>
      </c>
      <c r="G219" s="130" t="s">
        <v>234</v>
      </c>
      <c r="H219" s="130" t="s">
        <v>117</v>
      </c>
      <c r="I219" s="153">
        <v>5481.0810810810808</v>
      </c>
      <c r="J219" s="130" t="s">
        <v>689</v>
      </c>
      <c r="K219" s="133">
        <v>46034</v>
      </c>
      <c r="L219" s="130">
        <v>2026400135</v>
      </c>
      <c r="M219" s="137" t="s">
        <v>311</v>
      </c>
      <c r="N219" s="130">
        <v>2026</v>
      </c>
    </row>
    <row r="220" spans="1:14">
      <c r="A220" s="130">
        <v>219</v>
      </c>
      <c r="B220" s="130" t="s">
        <v>17</v>
      </c>
      <c r="C220" s="130" t="s">
        <v>22</v>
      </c>
      <c r="D220" s="130" t="s">
        <v>60</v>
      </c>
      <c r="E220" s="154" t="s">
        <v>71</v>
      </c>
      <c r="G220" s="130" t="s">
        <v>275</v>
      </c>
      <c r="H220" s="130" t="s">
        <v>117</v>
      </c>
      <c r="I220" s="153">
        <v>9081.0810810810817</v>
      </c>
      <c r="J220" s="130" t="s">
        <v>690</v>
      </c>
      <c r="K220" s="133">
        <v>46042</v>
      </c>
      <c r="L220" s="130">
        <v>2025404913</v>
      </c>
      <c r="M220" s="137" t="s">
        <v>311</v>
      </c>
      <c r="N220" s="130">
        <v>2026</v>
      </c>
    </row>
    <row r="221" spans="1:14">
      <c r="A221" s="130">
        <v>220</v>
      </c>
      <c r="B221" s="130" t="s">
        <v>17</v>
      </c>
      <c r="C221" s="130" t="s">
        <v>18</v>
      </c>
      <c r="D221" s="130" t="s">
        <v>60</v>
      </c>
      <c r="E221" s="154" t="s">
        <v>71</v>
      </c>
      <c r="G221" s="130" t="s">
        <v>234</v>
      </c>
      <c r="H221" s="130" t="s">
        <v>117</v>
      </c>
      <c r="I221" s="153">
        <v>3040.5405405405404</v>
      </c>
      <c r="J221" s="130" t="s">
        <v>691</v>
      </c>
      <c r="K221" s="133">
        <v>46032</v>
      </c>
      <c r="L221" s="130">
        <v>2026400184</v>
      </c>
      <c r="M221" s="137" t="s">
        <v>311</v>
      </c>
      <c r="N221" s="130">
        <v>2026</v>
      </c>
    </row>
    <row r="222" spans="1:14">
      <c r="A222" s="130">
        <v>221</v>
      </c>
      <c r="B222" s="130" t="s">
        <v>17</v>
      </c>
      <c r="C222" s="130" t="s">
        <v>25</v>
      </c>
      <c r="D222" s="130" t="s">
        <v>60</v>
      </c>
      <c r="E222" s="154" t="s">
        <v>71</v>
      </c>
      <c r="G222" s="130" t="s">
        <v>279</v>
      </c>
      <c r="H222" s="130" t="s">
        <v>117</v>
      </c>
      <c r="I222" s="153">
        <v>6216.2162162162158</v>
      </c>
      <c r="J222" s="130" t="s">
        <v>692</v>
      </c>
      <c r="K222" s="133">
        <v>46041</v>
      </c>
      <c r="L222" s="130">
        <v>2026400164</v>
      </c>
      <c r="M222" s="137" t="s">
        <v>311</v>
      </c>
      <c r="N222" s="130">
        <v>2026</v>
      </c>
    </row>
    <row r="223" spans="1:14">
      <c r="A223" s="130">
        <v>222</v>
      </c>
      <c r="B223" s="130" t="s">
        <v>42</v>
      </c>
      <c r="C223" s="130" t="s">
        <v>50</v>
      </c>
      <c r="D223" s="130" t="s">
        <v>60</v>
      </c>
      <c r="E223" s="154" t="s">
        <v>71</v>
      </c>
      <c r="G223" s="130" t="s">
        <v>234</v>
      </c>
      <c r="H223" s="130" t="s">
        <v>117</v>
      </c>
      <c r="I223" s="153">
        <v>3952.7027027027025</v>
      </c>
      <c r="J223" s="130" t="s">
        <v>693</v>
      </c>
      <c r="K223" s="133">
        <v>46040</v>
      </c>
      <c r="L223" s="130">
        <v>2026400222</v>
      </c>
      <c r="M223" s="137" t="s">
        <v>311</v>
      </c>
      <c r="N223" s="130">
        <v>2026</v>
      </c>
    </row>
    <row r="224" spans="1:14">
      <c r="A224" s="130">
        <v>223</v>
      </c>
      <c r="B224" s="130" t="s">
        <v>42</v>
      </c>
      <c r="C224" s="130" t="s">
        <v>50</v>
      </c>
      <c r="D224" s="130" t="s">
        <v>60</v>
      </c>
      <c r="E224" s="154" t="s">
        <v>71</v>
      </c>
      <c r="G224" s="130" t="s">
        <v>115</v>
      </c>
      <c r="H224" s="130" t="s">
        <v>117</v>
      </c>
      <c r="I224" s="153">
        <v>405.40540540540542</v>
      </c>
      <c r="J224" s="130" t="s">
        <v>694</v>
      </c>
      <c r="K224" s="133">
        <v>46020</v>
      </c>
      <c r="L224" s="130">
        <v>2026400217</v>
      </c>
      <c r="M224" s="137" t="s">
        <v>311</v>
      </c>
      <c r="N224" s="130">
        <v>2026</v>
      </c>
    </row>
    <row r="225" spans="1:14">
      <c r="A225" s="130">
        <v>224</v>
      </c>
      <c r="B225" s="130" t="s">
        <v>42</v>
      </c>
      <c r="C225" s="130" t="s">
        <v>45</v>
      </c>
      <c r="D225" s="130" t="s">
        <v>60</v>
      </c>
      <c r="E225" s="154" t="s">
        <v>71</v>
      </c>
      <c r="G225" s="130" t="s">
        <v>119</v>
      </c>
      <c r="H225" s="130" t="s">
        <v>117</v>
      </c>
      <c r="I225" s="153">
        <v>168.91891891891891</v>
      </c>
      <c r="J225" s="130" t="s">
        <v>695</v>
      </c>
      <c r="K225" s="133">
        <v>46035</v>
      </c>
      <c r="L225" s="130">
        <v>2026400129</v>
      </c>
      <c r="M225" s="137" t="s">
        <v>311</v>
      </c>
      <c r="N225" s="130">
        <v>2026</v>
      </c>
    </row>
    <row r="226" spans="1:14">
      <c r="A226" s="130">
        <v>225</v>
      </c>
      <c r="B226" s="130" t="s">
        <v>42</v>
      </c>
      <c r="C226" s="130" t="s">
        <v>50</v>
      </c>
      <c r="D226" s="130" t="s">
        <v>60</v>
      </c>
      <c r="E226" s="154" t="s">
        <v>71</v>
      </c>
      <c r="G226" s="130" t="s">
        <v>119</v>
      </c>
      <c r="H226" s="130" t="s">
        <v>117</v>
      </c>
      <c r="I226" s="153">
        <v>1385.1351351351352</v>
      </c>
      <c r="J226" s="130" t="s">
        <v>696</v>
      </c>
      <c r="K226" s="133">
        <v>46020</v>
      </c>
      <c r="L226" s="130">
        <v>2025404837</v>
      </c>
      <c r="M226" s="137" t="s">
        <v>311</v>
      </c>
      <c r="N226" s="130">
        <v>2026</v>
      </c>
    </row>
    <row r="227" spans="1:14">
      <c r="A227" s="130">
        <v>226</v>
      </c>
      <c r="B227" s="130" t="s">
        <v>17</v>
      </c>
      <c r="C227" s="130" t="s">
        <v>22</v>
      </c>
      <c r="D227" s="130" t="s">
        <v>60</v>
      </c>
      <c r="E227" s="154" t="s">
        <v>71</v>
      </c>
      <c r="G227" s="130" t="s">
        <v>662</v>
      </c>
      <c r="H227" s="130" t="s">
        <v>117</v>
      </c>
      <c r="I227" s="153">
        <v>7432.4324324324325</v>
      </c>
      <c r="J227" s="130" t="s">
        <v>697</v>
      </c>
      <c r="K227" s="133">
        <v>46034</v>
      </c>
      <c r="L227" s="130">
        <v>2026400144</v>
      </c>
      <c r="M227" s="137" t="s">
        <v>311</v>
      </c>
      <c r="N227" s="130">
        <v>2026</v>
      </c>
    </row>
    <row r="228" spans="1:14">
      <c r="A228" s="130">
        <v>227</v>
      </c>
      <c r="B228" s="130" t="s">
        <v>42</v>
      </c>
      <c r="C228" s="130" t="s">
        <v>50</v>
      </c>
      <c r="D228" s="130" t="s">
        <v>60</v>
      </c>
      <c r="E228" s="154" t="s">
        <v>71</v>
      </c>
      <c r="G228" s="130" t="s">
        <v>276</v>
      </c>
      <c r="H228" s="130" t="s">
        <v>117</v>
      </c>
      <c r="I228" s="153">
        <v>1114.8648648648648</v>
      </c>
      <c r="J228" s="130" t="s">
        <v>235</v>
      </c>
      <c r="K228" s="133">
        <v>46033</v>
      </c>
      <c r="L228" s="130">
        <v>2026400111</v>
      </c>
      <c r="M228" s="137" t="s">
        <v>311</v>
      </c>
      <c r="N228" s="130">
        <v>2026</v>
      </c>
    </row>
    <row r="229" spans="1:14">
      <c r="A229" s="130">
        <v>228</v>
      </c>
      <c r="B229" s="130" t="s">
        <v>54</v>
      </c>
      <c r="C229" s="130" t="s">
        <v>55</v>
      </c>
      <c r="D229" s="130" t="s">
        <v>60</v>
      </c>
      <c r="E229" s="154" t="s">
        <v>71</v>
      </c>
      <c r="G229" s="130" t="s">
        <v>233</v>
      </c>
      <c r="H229" s="130" t="s">
        <v>117</v>
      </c>
      <c r="I229" s="153">
        <v>320.94594594594594</v>
      </c>
      <c r="J229" s="130" t="s">
        <v>698</v>
      </c>
      <c r="K229" s="133">
        <v>46042</v>
      </c>
      <c r="L229" s="130">
        <v>2026400263</v>
      </c>
      <c r="M229" s="137" t="s">
        <v>311</v>
      </c>
      <c r="N229" s="130">
        <v>2026</v>
      </c>
    </row>
    <row r="230" spans="1:14">
      <c r="A230" s="130">
        <v>229</v>
      </c>
      <c r="B230" s="130" t="s">
        <v>54</v>
      </c>
      <c r="C230" s="130" t="s">
        <v>94</v>
      </c>
      <c r="D230" s="130" t="s">
        <v>60</v>
      </c>
      <c r="E230" s="154" t="s">
        <v>71</v>
      </c>
      <c r="G230" s="130" t="s">
        <v>122</v>
      </c>
      <c r="H230" s="130" t="s">
        <v>117</v>
      </c>
      <c r="I230" s="153">
        <v>13513.513513513513</v>
      </c>
      <c r="J230" s="130" t="s">
        <v>699</v>
      </c>
      <c r="K230" s="133">
        <v>46028</v>
      </c>
      <c r="L230" s="130">
        <v>2025404322</v>
      </c>
      <c r="M230" s="137" t="s">
        <v>311</v>
      </c>
      <c r="N230" s="130">
        <v>2026</v>
      </c>
    </row>
    <row r="231" spans="1:14">
      <c r="A231" s="130">
        <v>230</v>
      </c>
      <c r="B231" s="130" t="s">
        <v>17</v>
      </c>
      <c r="C231" s="130" t="s">
        <v>22</v>
      </c>
      <c r="D231" s="130" t="s">
        <v>60</v>
      </c>
      <c r="E231" s="154" t="s">
        <v>71</v>
      </c>
      <c r="G231" s="130" t="s">
        <v>232</v>
      </c>
      <c r="H231" s="130" t="s">
        <v>117</v>
      </c>
      <c r="I231" s="153">
        <v>1358.1081081081081</v>
      </c>
      <c r="J231" s="130" t="s">
        <v>700</v>
      </c>
      <c r="K231" s="133">
        <v>46037</v>
      </c>
      <c r="L231" s="130">
        <v>2026400193</v>
      </c>
      <c r="M231" s="137" t="s">
        <v>311</v>
      </c>
      <c r="N231" s="130">
        <v>2026</v>
      </c>
    </row>
    <row r="232" spans="1:14">
      <c r="A232" s="130">
        <v>231</v>
      </c>
      <c r="B232" s="130" t="s">
        <v>42</v>
      </c>
      <c r="C232" s="130" t="s">
        <v>263</v>
      </c>
      <c r="D232" s="130" t="s">
        <v>60</v>
      </c>
      <c r="E232" s="154" t="s">
        <v>71</v>
      </c>
      <c r="G232" s="130" t="s">
        <v>119</v>
      </c>
      <c r="H232" s="130" t="s">
        <v>117</v>
      </c>
      <c r="I232" s="153">
        <v>1162.1621621621621</v>
      </c>
      <c r="J232" s="130" t="s">
        <v>701</v>
      </c>
      <c r="K232" s="133">
        <v>46035</v>
      </c>
      <c r="L232" s="130">
        <v>2026400132</v>
      </c>
      <c r="M232" s="137" t="s">
        <v>311</v>
      </c>
      <c r="N232" s="130">
        <v>2026</v>
      </c>
    </row>
    <row r="233" spans="1:14">
      <c r="A233" s="130">
        <v>232</v>
      </c>
      <c r="B233" s="130" t="s">
        <v>42</v>
      </c>
      <c r="C233" s="130" t="s">
        <v>263</v>
      </c>
      <c r="D233" s="130" t="s">
        <v>60</v>
      </c>
      <c r="E233" s="154" t="s">
        <v>71</v>
      </c>
      <c r="G233" s="130" t="s">
        <v>119</v>
      </c>
      <c r="H233" s="130" t="s">
        <v>117</v>
      </c>
      <c r="I233" s="153">
        <v>1222.9729729729729</v>
      </c>
      <c r="J233" s="130" t="s">
        <v>702</v>
      </c>
      <c r="K233" s="133">
        <v>46033</v>
      </c>
      <c r="L233" s="130">
        <v>2026400100</v>
      </c>
      <c r="M233" s="137" t="s">
        <v>311</v>
      </c>
      <c r="N233" s="130">
        <v>2026</v>
      </c>
    </row>
    <row r="234" spans="1:14">
      <c r="A234" s="130">
        <v>233</v>
      </c>
      <c r="B234" s="130" t="s">
        <v>17</v>
      </c>
      <c r="C234" s="130" t="s">
        <v>22</v>
      </c>
      <c r="D234" s="130" t="s">
        <v>60</v>
      </c>
      <c r="E234" s="154" t="s">
        <v>71</v>
      </c>
      <c r="G234" s="130" t="s">
        <v>268</v>
      </c>
      <c r="H234" s="130" t="s">
        <v>117</v>
      </c>
      <c r="I234" s="153">
        <v>10135.135135135135</v>
      </c>
      <c r="J234" s="130" t="s">
        <v>703</v>
      </c>
      <c r="K234" s="133">
        <v>46034</v>
      </c>
      <c r="L234" s="130">
        <v>2026400293</v>
      </c>
      <c r="M234" s="137" t="s">
        <v>311</v>
      </c>
      <c r="N234" s="130">
        <v>2026</v>
      </c>
    </row>
    <row r="235" spans="1:14">
      <c r="A235" s="130">
        <v>234</v>
      </c>
      <c r="B235" s="130" t="s">
        <v>35</v>
      </c>
      <c r="C235" s="130" t="s">
        <v>37</v>
      </c>
      <c r="D235" s="130" t="s">
        <v>60</v>
      </c>
      <c r="E235" s="154" t="s">
        <v>71</v>
      </c>
      <c r="G235" s="130" t="s">
        <v>663</v>
      </c>
      <c r="H235" s="130" t="s">
        <v>117</v>
      </c>
      <c r="I235" s="153">
        <v>6486.4864864864867</v>
      </c>
      <c r="J235" s="130" t="s">
        <v>704</v>
      </c>
      <c r="K235" s="133">
        <v>46042</v>
      </c>
      <c r="L235" s="130">
        <v>2026400291</v>
      </c>
      <c r="M235" s="137" t="s">
        <v>311</v>
      </c>
      <c r="N235" s="130">
        <v>2026</v>
      </c>
    </row>
    <row r="236" spans="1:14">
      <c r="A236" s="130">
        <v>235</v>
      </c>
      <c r="B236" s="130" t="s">
        <v>17</v>
      </c>
      <c r="C236" s="130" t="s">
        <v>24</v>
      </c>
      <c r="D236" s="130" t="s">
        <v>60</v>
      </c>
      <c r="E236" s="154" t="s">
        <v>71</v>
      </c>
      <c r="G236" s="130" t="s">
        <v>419</v>
      </c>
      <c r="H236" s="130" t="s">
        <v>117</v>
      </c>
      <c r="I236" s="153">
        <v>2280.4054054054054</v>
      </c>
      <c r="J236" s="130" t="s">
        <v>705</v>
      </c>
      <c r="K236" s="133">
        <v>46053</v>
      </c>
      <c r="L236" s="130">
        <v>2026400110</v>
      </c>
      <c r="M236" s="137" t="s">
        <v>311</v>
      </c>
      <c r="N236" s="130">
        <v>2026</v>
      </c>
    </row>
    <row r="237" spans="1:14">
      <c r="A237" s="130">
        <v>236</v>
      </c>
      <c r="B237" s="130" t="s">
        <v>52</v>
      </c>
      <c r="C237" s="130" t="s">
        <v>62</v>
      </c>
      <c r="D237" s="130" t="s">
        <v>60</v>
      </c>
      <c r="E237" s="154" t="s">
        <v>71</v>
      </c>
      <c r="G237" s="130" t="s">
        <v>234</v>
      </c>
      <c r="H237" s="130" t="s">
        <v>117</v>
      </c>
      <c r="I237" s="153">
        <v>5481.0810810810808</v>
      </c>
      <c r="J237" s="130" t="s">
        <v>706</v>
      </c>
      <c r="K237" s="133">
        <v>46046</v>
      </c>
      <c r="L237" s="130">
        <v>2026400273</v>
      </c>
      <c r="M237" s="137" t="s">
        <v>311</v>
      </c>
      <c r="N237" s="130">
        <v>2026</v>
      </c>
    </row>
    <row r="238" spans="1:14">
      <c r="A238" s="130">
        <v>237</v>
      </c>
      <c r="B238" s="130" t="s">
        <v>54</v>
      </c>
      <c r="C238" s="130" t="s">
        <v>55</v>
      </c>
      <c r="D238" s="130" t="s">
        <v>60</v>
      </c>
      <c r="E238" s="154" t="s">
        <v>71</v>
      </c>
      <c r="G238" s="130" t="s">
        <v>234</v>
      </c>
      <c r="H238" s="130" t="s">
        <v>117</v>
      </c>
      <c r="I238" s="153">
        <v>6666.8918918918916</v>
      </c>
      <c r="J238" s="130" t="s">
        <v>707</v>
      </c>
      <c r="K238" s="133">
        <v>46042</v>
      </c>
      <c r="L238" s="130">
        <v>2026400299</v>
      </c>
      <c r="M238" s="137" t="s">
        <v>311</v>
      </c>
      <c r="N238" s="130">
        <v>2026</v>
      </c>
    </row>
    <row r="239" spans="1:14">
      <c r="A239" s="130">
        <v>238</v>
      </c>
      <c r="B239" s="130" t="s">
        <v>17</v>
      </c>
      <c r="C239" s="130" t="s">
        <v>18</v>
      </c>
      <c r="D239" s="130" t="s">
        <v>60</v>
      </c>
      <c r="E239" s="154" t="s">
        <v>71</v>
      </c>
      <c r="G239" s="130" t="s">
        <v>231</v>
      </c>
      <c r="H239" s="130" t="s">
        <v>117</v>
      </c>
      <c r="I239" s="153">
        <v>1013.5135135135135</v>
      </c>
      <c r="J239" s="130" t="s">
        <v>708</v>
      </c>
      <c r="K239" s="133">
        <v>46046</v>
      </c>
      <c r="L239" s="130">
        <v>2026400253</v>
      </c>
      <c r="M239" s="137" t="s">
        <v>311</v>
      </c>
      <c r="N239" s="130">
        <v>2026</v>
      </c>
    </row>
    <row r="240" spans="1:14">
      <c r="A240" s="130">
        <v>239</v>
      </c>
      <c r="B240" s="130" t="s">
        <v>54</v>
      </c>
      <c r="C240" s="130" t="s">
        <v>55</v>
      </c>
      <c r="D240" s="130" t="s">
        <v>60</v>
      </c>
      <c r="E240" s="154" t="s">
        <v>71</v>
      </c>
      <c r="G240" s="130" t="s">
        <v>231</v>
      </c>
      <c r="H240" s="130" t="s">
        <v>117</v>
      </c>
      <c r="I240" s="153">
        <v>2452.7027027027025</v>
      </c>
      <c r="J240" s="130" t="s">
        <v>709</v>
      </c>
      <c r="K240" s="133">
        <v>46046</v>
      </c>
      <c r="L240" s="130">
        <v>2026400136</v>
      </c>
      <c r="M240" s="137" t="s">
        <v>311</v>
      </c>
      <c r="N240" s="130">
        <v>2026</v>
      </c>
    </row>
    <row r="241" spans="1:14">
      <c r="A241" s="130">
        <v>240</v>
      </c>
      <c r="B241" s="130" t="s">
        <v>42</v>
      </c>
      <c r="C241" s="130" t="s">
        <v>50</v>
      </c>
      <c r="D241" s="130" t="s">
        <v>60</v>
      </c>
      <c r="E241" s="154" t="s">
        <v>71</v>
      </c>
      <c r="G241" s="130" t="s">
        <v>231</v>
      </c>
      <c r="H241" s="130" t="s">
        <v>117</v>
      </c>
      <c r="I241" s="153">
        <v>1770.2702702702702</v>
      </c>
      <c r="J241" s="130" t="s">
        <v>710</v>
      </c>
      <c r="K241" s="133">
        <v>46046</v>
      </c>
      <c r="L241" s="130">
        <v>2026400170</v>
      </c>
      <c r="M241" s="137" t="s">
        <v>311</v>
      </c>
      <c r="N241" s="130">
        <v>2026</v>
      </c>
    </row>
    <row r="242" spans="1:14">
      <c r="A242" s="130">
        <v>241</v>
      </c>
      <c r="B242" s="130" t="s">
        <v>52</v>
      </c>
      <c r="C242" s="130" t="s">
        <v>62</v>
      </c>
      <c r="D242" s="130" t="s">
        <v>60</v>
      </c>
      <c r="E242" s="154" t="s">
        <v>71</v>
      </c>
      <c r="G242" s="130" t="s">
        <v>664</v>
      </c>
      <c r="H242" s="130" t="s">
        <v>117</v>
      </c>
      <c r="I242" s="153">
        <v>2810.8108108108108</v>
      </c>
      <c r="J242" s="130" t="s">
        <v>711</v>
      </c>
      <c r="K242" s="133">
        <v>46039</v>
      </c>
      <c r="L242" s="130">
        <v>2026400335</v>
      </c>
      <c r="M242" s="137" t="s">
        <v>311</v>
      </c>
      <c r="N242" s="130">
        <v>2026</v>
      </c>
    </row>
    <row r="243" spans="1:14">
      <c r="A243" s="130">
        <v>242</v>
      </c>
      <c r="B243" s="130" t="s">
        <v>17</v>
      </c>
      <c r="C243" s="130" t="s">
        <v>25</v>
      </c>
      <c r="D243" s="130" t="s">
        <v>60</v>
      </c>
      <c r="E243" s="154" t="s">
        <v>71</v>
      </c>
      <c r="G243" s="130" t="s">
        <v>665</v>
      </c>
      <c r="H243" s="130" t="s">
        <v>117</v>
      </c>
      <c r="I243" s="153">
        <v>5591.2162162162158</v>
      </c>
      <c r="J243" s="130" t="s">
        <v>712</v>
      </c>
      <c r="K243" s="133">
        <v>46024</v>
      </c>
      <c r="L243" s="130">
        <v>2025404919</v>
      </c>
      <c r="M243" s="137" t="s">
        <v>311</v>
      </c>
      <c r="N243" s="130">
        <v>2026</v>
      </c>
    </row>
    <row r="244" spans="1:14">
      <c r="A244" s="130">
        <v>243</v>
      </c>
      <c r="B244" s="130" t="s">
        <v>42</v>
      </c>
      <c r="C244" s="130" t="s">
        <v>44</v>
      </c>
      <c r="D244" s="130" t="s">
        <v>60</v>
      </c>
      <c r="E244" s="154" t="s">
        <v>71</v>
      </c>
      <c r="G244" s="130" t="s">
        <v>119</v>
      </c>
      <c r="H244" s="130" t="s">
        <v>117</v>
      </c>
      <c r="I244" s="153">
        <v>205.40540540540542</v>
      </c>
      <c r="J244" s="130" t="s">
        <v>713</v>
      </c>
      <c r="K244" s="133">
        <v>46035</v>
      </c>
      <c r="L244" s="130">
        <v>2026400128</v>
      </c>
      <c r="M244" s="137" t="s">
        <v>311</v>
      </c>
      <c r="N244" s="130">
        <v>2026</v>
      </c>
    </row>
    <row r="245" spans="1:14">
      <c r="A245" s="130">
        <v>244</v>
      </c>
      <c r="B245" s="130" t="s">
        <v>42</v>
      </c>
      <c r="C245" s="130" t="s">
        <v>48</v>
      </c>
      <c r="D245" s="130" t="s">
        <v>60</v>
      </c>
      <c r="E245" s="154" t="s">
        <v>71</v>
      </c>
      <c r="G245" s="130" t="s">
        <v>232</v>
      </c>
      <c r="H245" s="130" t="s">
        <v>117</v>
      </c>
      <c r="I245" s="153">
        <v>2533.7837837837837</v>
      </c>
      <c r="J245" s="130" t="s">
        <v>714</v>
      </c>
      <c r="K245" s="133">
        <v>46037</v>
      </c>
      <c r="L245" s="130">
        <v>2026400195</v>
      </c>
      <c r="M245" s="137" t="s">
        <v>311</v>
      </c>
      <c r="N245" s="130">
        <v>2026</v>
      </c>
    </row>
    <row r="246" spans="1:14">
      <c r="A246" s="130">
        <v>245</v>
      </c>
      <c r="B246" s="130" t="s">
        <v>42</v>
      </c>
      <c r="C246" s="130" t="s">
        <v>48</v>
      </c>
      <c r="D246" s="130" t="s">
        <v>60</v>
      </c>
      <c r="E246" s="154" t="s">
        <v>71</v>
      </c>
      <c r="G246" s="130" t="s">
        <v>232</v>
      </c>
      <c r="H246" s="130" t="s">
        <v>117</v>
      </c>
      <c r="I246" s="153">
        <v>3175.6756756756758</v>
      </c>
      <c r="J246" s="130" t="s">
        <v>715</v>
      </c>
      <c r="K246" s="133">
        <v>46039</v>
      </c>
      <c r="L246" s="130">
        <v>2026400200</v>
      </c>
      <c r="M246" s="137" t="s">
        <v>311</v>
      </c>
      <c r="N246" s="130">
        <v>2026</v>
      </c>
    </row>
    <row r="247" spans="1:14">
      <c r="A247" s="130">
        <v>246</v>
      </c>
      <c r="B247" s="130" t="s">
        <v>285</v>
      </c>
      <c r="C247" s="130" t="s">
        <v>286</v>
      </c>
      <c r="D247" s="130" t="s">
        <v>60</v>
      </c>
      <c r="E247" s="154" t="s">
        <v>71</v>
      </c>
      <c r="G247" s="130" t="s">
        <v>666</v>
      </c>
      <c r="H247" s="130" t="s">
        <v>117</v>
      </c>
      <c r="I247" s="153">
        <v>878.37837837837833</v>
      </c>
      <c r="J247" s="130" t="s">
        <v>716</v>
      </c>
      <c r="K247" s="133">
        <v>46047</v>
      </c>
      <c r="L247" s="130">
        <v>2026400365</v>
      </c>
      <c r="M247" s="137" t="s">
        <v>311</v>
      </c>
      <c r="N247" s="130">
        <v>2026</v>
      </c>
    </row>
    <row r="248" spans="1:14">
      <c r="A248" s="130">
        <v>247</v>
      </c>
      <c r="B248" s="130" t="s">
        <v>285</v>
      </c>
      <c r="C248" s="130" t="s">
        <v>286</v>
      </c>
      <c r="D248" s="130" t="s">
        <v>60</v>
      </c>
      <c r="E248" s="154" t="s">
        <v>71</v>
      </c>
      <c r="G248" s="130" t="s">
        <v>667</v>
      </c>
      <c r="H248" s="130" t="s">
        <v>117</v>
      </c>
      <c r="I248" s="153">
        <v>287.16216216216219</v>
      </c>
      <c r="J248" s="130" t="s">
        <v>717</v>
      </c>
      <c r="K248" s="133">
        <v>46047</v>
      </c>
      <c r="L248" s="130">
        <v>2026400366</v>
      </c>
      <c r="M248" s="137" t="s">
        <v>311</v>
      </c>
      <c r="N248" s="130">
        <v>2026</v>
      </c>
    </row>
    <row r="249" spans="1:14">
      <c r="A249" s="130">
        <v>248</v>
      </c>
      <c r="B249" s="130" t="s">
        <v>285</v>
      </c>
      <c r="C249" s="130" t="s">
        <v>286</v>
      </c>
      <c r="D249" s="130" t="s">
        <v>60</v>
      </c>
      <c r="E249" s="154" t="s">
        <v>71</v>
      </c>
      <c r="G249" s="130" t="s">
        <v>668</v>
      </c>
      <c r="H249" s="130" t="s">
        <v>117</v>
      </c>
      <c r="I249" s="153">
        <v>367.56756756756755</v>
      </c>
      <c r="J249" s="130" t="s">
        <v>718</v>
      </c>
      <c r="K249" s="133">
        <v>46047</v>
      </c>
      <c r="L249" s="130">
        <v>2026400367</v>
      </c>
      <c r="M249" s="137" t="s">
        <v>311</v>
      </c>
      <c r="N249" s="130">
        <v>2026</v>
      </c>
    </row>
    <row r="250" spans="1:14">
      <c r="A250" s="130">
        <v>249</v>
      </c>
      <c r="B250" s="130" t="s">
        <v>35</v>
      </c>
      <c r="C250" s="130" t="s">
        <v>38</v>
      </c>
      <c r="D250" s="130" t="s">
        <v>60</v>
      </c>
      <c r="E250" s="154" t="s">
        <v>71</v>
      </c>
      <c r="G250" s="130" t="s">
        <v>119</v>
      </c>
      <c r="H250" s="130" t="s">
        <v>117</v>
      </c>
      <c r="I250" s="153">
        <v>68.918918918918919</v>
      </c>
      <c r="J250" s="130" t="s">
        <v>719</v>
      </c>
      <c r="K250" s="133">
        <v>46033</v>
      </c>
      <c r="L250" s="130">
        <v>2026400387</v>
      </c>
      <c r="M250" s="137" t="s">
        <v>311</v>
      </c>
      <c r="N250" s="130">
        <v>2026</v>
      </c>
    </row>
    <row r="251" spans="1:14">
      <c r="A251" s="130">
        <v>250</v>
      </c>
      <c r="B251" s="130" t="s">
        <v>17</v>
      </c>
      <c r="C251" s="130" t="s">
        <v>25</v>
      </c>
      <c r="D251" s="130" t="s">
        <v>60</v>
      </c>
      <c r="E251" s="154" t="s">
        <v>71</v>
      </c>
      <c r="G251" s="130" t="s">
        <v>122</v>
      </c>
      <c r="H251" s="130" t="s">
        <v>117</v>
      </c>
      <c r="I251" s="153">
        <v>3665.5405405405404</v>
      </c>
      <c r="J251" s="130" t="s">
        <v>720</v>
      </c>
      <c r="K251" s="133">
        <v>46044</v>
      </c>
      <c r="L251" s="130">
        <v>2026400383</v>
      </c>
      <c r="M251" s="137" t="s">
        <v>311</v>
      </c>
      <c r="N251" s="130">
        <v>2026</v>
      </c>
    </row>
    <row r="252" spans="1:14">
      <c r="A252" s="130">
        <v>251</v>
      </c>
      <c r="B252" s="130" t="s">
        <v>17</v>
      </c>
      <c r="C252" s="130" t="s">
        <v>25</v>
      </c>
      <c r="D252" s="130" t="s">
        <v>60</v>
      </c>
      <c r="E252" s="154" t="s">
        <v>71</v>
      </c>
      <c r="G252" s="130" t="s">
        <v>277</v>
      </c>
      <c r="H252" s="130" t="s">
        <v>117</v>
      </c>
      <c r="I252" s="153">
        <v>1991.5540540540539</v>
      </c>
      <c r="J252" s="130" t="s">
        <v>721</v>
      </c>
      <c r="K252" s="133">
        <v>46044</v>
      </c>
      <c r="L252" s="130">
        <v>2026400393</v>
      </c>
      <c r="M252" s="137" t="s">
        <v>311</v>
      </c>
      <c r="N252" s="130">
        <v>2026</v>
      </c>
    </row>
    <row r="253" spans="1:14">
      <c r="A253" s="130">
        <v>252</v>
      </c>
      <c r="B253" s="130" t="s">
        <v>52</v>
      </c>
      <c r="C253" s="130" t="s">
        <v>62</v>
      </c>
      <c r="D253" s="130" t="s">
        <v>60</v>
      </c>
      <c r="E253" s="154" t="s">
        <v>71</v>
      </c>
      <c r="G253" s="130" t="s">
        <v>669</v>
      </c>
      <c r="H253" s="130" t="s">
        <v>117</v>
      </c>
      <c r="I253" s="153">
        <v>2027.0270270270271</v>
      </c>
      <c r="J253" s="130" t="s">
        <v>722</v>
      </c>
      <c r="K253" s="133">
        <v>46039</v>
      </c>
      <c r="L253" s="130">
        <v>2026400379</v>
      </c>
      <c r="M253" s="137" t="s">
        <v>311</v>
      </c>
      <c r="N253" s="130">
        <v>2026</v>
      </c>
    </row>
    <row r="254" spans="1:14">
      <c r="A254" s="130">
        <v>253</v>
      </c>
      <c r="B254" s="130" t="s">
        <v>42</v>
      </c>
      <c r="C254" s="130" t="s">
        <v>49</v>
      </c>
      <c r="D254" s="130" t="s">
        <v>60</v>
      </c>
      <c r="E254" s="154" t="s">
        <v>71</v>
      </c>
      <c r="G254" s="130" t="s">
        <v>670</v>
      </c>
      <c r="H254" s="130" t="s">
        <v>117</v>
      </c>
      <c r="I254" s="153">
        <v>5067.5675675675675</v>
      </c>
      <c r="J254" s="130" t="s">
        <v>723</v>
      </c>
      <c r="K254" s="133">
        <v>46044</v>
      </c>
      <c r="L254" s="130">
        <v>2026400377</v>
      </c>
      <c r="M254" s="137" t="s">
        <v>311</v>
      </c>
      <c r="N254" s="130">
        <v>2026</v>
      </c>
    </row>
    <row r="255" spans="1:14">
      <c r="A255" s="130">
        <v>254</v>
      </c>
      <c r="B255" s="130" t="s">
        <v>54</v>
      </c>
      <c r="C255" s="130" t="s">
        <v>55</v>
      </c>
      <c r="D255" s="130" t="s">
        <v>60</v>
      </c>
      <c r="E255" s="154" t="s">
        <v>71</v>
      </c>
      <c r="G255" s="130" t="s">
        <v>671</v>
      </c>
      <c r="H255" s="130" t="s">
        <v>117</v>
      </c>
      <c r="I255" s="153">
        <v>1385.1351351351352</v>
      </c>
      <c r="J255" s="130" t="s">
        <v>724</v>
      </c>
      <c r="K255" s="133">
        <v>46032</v>
      </c>
      <c r="L255" s="130">
        <v>2026400243</v>
      </c>
      <c r="M255" s="137" t="s">
        <v>311</v>
      </c>
      <c r="N255" s="130">
        <v>2026</v>
      </c>
    </row>
    <row r="256" spans="1:14">
      <c r="A256" s="130">
        <v>255</v>
      </c>
      <c r="B256" s="130" t="s">
        <v>54</v>
      </c>
      <c r="C256" s="130" t="s">
        <v>55</v>
      </c>
      <c r="D256" s="130" t="s">
        <v>60</v>
      </c>
      <c r="E256" s="154" t="s">
        <v>71</v>
      </c>
      <c r="G256" s="130" t="s">
        <v>671</v>
      </c>
      <c r="H256" s="130" t="s">
        <v>117</v>
      </c>
      <c r="I256" s="153">
        <v>94.594594594594597</v>
      </c>
      <c r="J256" s="130" t="s">
        <v>725</v>
      </c>
      <c r="K256" s="133">
        <v>46032</v>
      </c>
      <c r="L256" s="130">
        <v>2026400243</v>
      </c>
      <c r="M256" s="137" t="s">
        <v>311</v>
      </c>
      <c r="N256" s="130">
        <v>2026</v>
      </c>
    </row>
    <row r="262" spans="11:11">
      <c r="K262" s="131"/>
    </row>
    <row r="263" spans="11:11">
      <c r="K263" s="131"/>
    </row>
    <row r="264" spans="11:11">
      <c r="K264" s="131"/>
    </row>
    <row r="265" spans="11:11">
      <c r="K265" s="131"/>
    </row>
    <row r="266" spans="11:11">
      <c r="K266" s="131"/>
    </row>
    <row r="267" spans="11:11">
      <c r="K267" s="131"/>
    </row>
    <row r="268" spans="11:11">
      <c r="K268" s="131"/>
    </row>
    <row r="269" spans="11:11">
      <c r="K269" s="131"/>
    </row>
    <row r="270" spans="11:11">
      <c r="K270" s="131"/>
    </row>
    <row r="271" spans="11:11">
      <c r="K271" s="131"/>
    </row>
    <row r="272" spans="11:11">
      <c r="K272" s="131"/>
    </row>
    <row r="273" spans="11:11">
      <c r="K273" s="131"/>
    </row>
    <row r="274" spans="11:11">
      <c r="K274" s="131"/>
    </row>
    <row r="275" spans="11:11">
      <c r="K275" s="131"/>
    </row>
    <row r="276" spans="11:11">
      <c r="K276" s="131"/>
    </row>
    <row r="277" spans="11:11">
      <c r="K277" s="131"/>
    </row>
    <row r="278" spans="11:11">
      <c r="K278" s="131"/>
    </row>
    <row r="279" spans="11:11">
      <c r="K279" s="131"/>
    </row>
    <row r="280" spans="11:11">
      <c r="K280" s="131"/>
    </row>
    <row r="281" spans="11:11">
      <c r="K281" s="131"/>
    </row>
    <row r="282" spans="11:11">
      <c r="K282" s="131"/>
    </row>
    <row r="283" spans="11:11">
      <c r="K283" s="131"/>
    </row>
    <row r="284" spans="11:11">
      <c r="K284" s="131"/>
    </row>
    <row r="285" spans="11:11">
      <c r="K285" s="131"/>
    </row>
    <row r="286" spans="11:11">
      <c r="K286" s="131"/>
    </row>
    <row r="287" spans="11:11">
      <c r="K287" s="131"/>
    </row>
    <row r="288" spans="11:11">
      <c r="K288" s="131"/>
    </row>
    <row r="289" spans="11:11">
      <c r="K289" s="131"/>
    </row>
    <row r="290" spans="11:11">
      <c r="K290" s="131"/>
    </row>
    <row r="291" spans="11:11">
      <c r="K291" s="131"/>
    </row>
    <row r="292" spans="11:11">
      <c r="K292" s="131"/>
    </row>
    <row r="293" spans="11:11">
      <c r="K293" s="131"/>
    </row>
    <row r="294" spans="11:11">
      <c r="K294" s="131"/>
    </row>
    <row r="295" spans="11:11">
      <c r="K295" s="131"/>
    </row>
    <row r="296" spans="11:11">
      <c r="K296" s="131"/>
    </row>
    <row r="297" spans="11:11">
      <c r="K297" s="131"/>
    </row>
    <row r="298" spans="11:11">
      <c r="K298" s="131"/>
    </row>
    <row r="299" spans="11:11">
      <c r="K299" s="131"/>
    </row>
    <row r="300" spans="11:11">
      <c r="K300" s="131"/>
    </row>
    <row r="301" spans="11:11">
      <c r="K301" s="131"/>
    </row>
    <row r="302" spans="11:11">
      <c r="K302" s="131"/>
    </row>
    <row r="303" spans="11:11">
      <c r="K303" s="131"/>
    </row>
    <row r="304" spans="11:11">
      <c r="K304" s="131"/>
    </row>
    <row r="305" spans="11:11">
      <c r="K305" s="131"/>
    </row>
    <row r="306" spans="11:11">
      <c r="K306" s="131"/>
    </row>
    <row r="307" spans="11:11">
      <c r="K307" s="131"/>
    </row>
    <row r="308" spans="11:11">
      <c r="K308" s="131"/>
    </row>
    <row r="309" spans="11:11">
      <c r="K309" s="131"/>
    </row>
    <row r="310" spans="11:11">
      <c r="K310" s="131"/>
    </row>
    <row r="311" spans="11:11">
      <c r="K311" s="131"/>
    </row>
    <row r="312" spans="11:11">
      <c r="K312" s="131"/>
    </row>
    <row r="313" spans="11:11">
      <c r="K313" s="131"/>
    </row>
    <row r="314" spans="11:11">
      <c r="K314" s="131"/>
    </row>
    <row r="315" spans="11:11">
      <c r="K315" s="131"/>
    </row>
    <row r="316" spans="11:11">
      <c r="K316" s="131"/>
    </row>
    <row r="317" spans="11:11">
      <c r="K317" s="131"/>
    </row>
  </sheetData>
  <autoFilter ref="A1:N187" xr:uid="{00000000-0009-0000-0000-000011000000}">
    <sortState xmlns:xlrd2="http://schemas.microsoft.com/office/spreadsheetml/2017/richdata2" ref="A2:N271">
      <sortCondition ref="G1:G187"/>
    </sortState>
  </autoFilter>
  <conditionalFormatting sqref="L1:L1048576">
    <cfRule type="duplicateValues" dxfId="0" priority="1"/>
  </conditionalFormatting>
  <dataValidations count="1">
    <dataValidation type="list" allowBlank="1" showInputMessage="1" showErrorMessage="1" sqref="C2:C67 I2:I187" xr:uid="{00000000-0002-0000-11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100-000000000000}">
          <x14:formula1>
            <xm:f>List!$P$2:$P$11</xm:f>
          </x14:formula1>
          <xm:sqref>B2:B67</xm:sqref>
        </x14:dataValidation>
        <x14:dataValidation type="list" allowBlank="1" showInputMessage="1" showErrorMessage="1" xr:uid="{00000000-0002-0000-1100-000002000000}">
          <x14:formula1>
            <xm:f>List!$C$2:$C$3</xm:f>
          </x14:formula1>
          <xm:sqref>D2:D256</xm:sqref>
        </x14:dataValidation>
        <x14:dataValidation type="list" allowBlank="1" showInputMessage="1" showErrorMessage="1" xr:uid="{00000000-0002-0000-1100-000003000000}">
          <x14:formula1>
            <xm:f>List!$E$2:$E$32</xm:f>
          </x14:formula1>
          <xm:sqref>E2:E256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0.39997558519241921"/>
  </sheetPr>
  <dimension ref="A1:O63"/>
  <sheetViews>
    <sheetView topLeftCell="A14" workbookViewId="0">
      <selection activeCell="D20" sqref="D20"/>
    </sheetView>
  </sheetViews>
  <sheetFormatPr defaultColWidth="9" defaultRowHeight="14.5"/>
  <cols>
    <col min="1" max="1" width="5.36328125" style="130" customWidth="1"/>
    <col min="2" max="2" width="9.36328125" style="130" customWidth="1"/>
    <col min="3" max="3" width="15.08984375" style="130" customWidth="1"/>
    <col min="4" max="4" width="9" style="130" customWidth="1"/>
    <col min="5" max="5" width="25.453125" style="130" customWidth="1"/>
    <col min="6" max="6" width="10.1796875" style="130" customWidth="1"/>
    <col min="7" max="7" width="51.81640625" style="130" customWidth="1"/>
    <col min="8" max="8" width="26.81640625" style="130" customWidth="1"/>
    <col min="9" max="9" width="18.08984375" style="135" customWidth="1"/>
    <col min="10" max="10" width="20.1796875" style="130" bestFit="1" customWidth="1"/>
    <col min="11" max="11" width="11.1796875" style="130" customWidth="1"/>
    <col min="12" max="12" width="10.81640625" style="130" customWidth="1"/>
    <col min="13" max="13" width="6.54296875" style="130" customWidth="1"/>
    <col min="14" max="14" width="4.81640625" style="130" customWidth="1"/>
    <col min="15" max="16384" width="9" style="130"/>
  </cols>
  <sheetData>
    <row r="1" spans="1:15">
      <c r="A1" s="129" t="s">
        <v>0</v>
      </c>
      <c r="B1" s="129" t="s">
        <v>1</v>
      </c>
      <c r="C1" s="129" t="s">
        <v>2</v>
      </c>
      <c r="D1" s="129" t="s">
        <v>3</v>
      </c>
      <c r="E1" s="129" t="s">
        <v>4</v>
      </c>
      <c r="F1" s="129" t="s">
        <v>5</v>
      </c>
      <c r="G1" s="129" t="s">
        <v>6</v>
      </c>
      <c r="H1" s="129" t="s">
        <v>7</v>
      </c>
      <c r="I1" s="129" t="s">
        <v>8</v>
      </c>
      <c r="J1" s="129" t="s">
        <v>9</v>
      </c>
      <c r="K1" s="129" t="s">
        <v>10</v>
      </c>
      <c r="L1" s="129" t="s">
        <v>11</v>
      </c>
      <c r="M1" s="129" t="s">
        <v>12</v>
      </c>
      <c r="N1" s="129" t="s">
        <v>13</v>
      </c>
    </row>
    <row r="2" spans="1:15">
      <c r="A2" s="130">
        <v>1</v>
      </c>
      <c r="B2" s="130" t="s">
        <v>52</v>
      </c>
      <c r="C2" s="130" t="s">
        <v>62</v>
      </c>
      <c r="D2" s="130" t="s">
        <v>60</v>
      </c>
      <c r="E2" s="130" t="s">
        <v>110</v>
      </c>
      <c r="G2" s="130" t="s">
        <v>265</v>
      </c>
      <c r="H2" s="130" t="s">
        <v>450</v>
      </c>
      <c r="I2" s="135">
        <v>480</v>
      </c>
      <c r="J2" s="135" t="s">
        <v>428</v>
      </c>
      <c r="K2" s="133">
        <v>46020</v>
      </c>
      <c r="L2" s="130">
        <v>2026400179</v>
      </c>
      <c r="M2" s="132" t="s">
        <v>311</v>
      </c>
      <c r="N2" s="130">
        <v>2026</v>
      </c>
      <c r="O2" s="132"/>
    </row>
    <row r="3" spans="1:15">
      <c r="A3" s="130">
        <v>2</v>
      </c>
      <c r="B3" s="130" t="s">
        <v>42</v>
      </c>
      <c r="C3" s="130" t="s">
        <v>263</v>
      </c>
      <c r="D3" s="130" t="s">
        <v>60</v>
      </c>
      <c r="E3" s="130" t="s">
        <v>110</v>
      </c>
      <c r="G3" s="130" t="s">
        <v>192</v>
      </c>
      <c r="H3" s="130" t="s">
        <v>450</v>
      </c>
      <c r="I3" s="135">
        <v>1200</v>
      </c>
      <c r="J3" s="135" t="s">
        <v>429</v>
      </c>
      <c r="K3" s="133">
        <v>46043</v>
      </c>
      <c r="L3" s="130">
        <v>2026400176</v>
      </c>
      <c r="M3" s="132" t="s">
        <v>311</v>
      </c>
      <c r="N3" s="130">
        <v>2026</v>
      </c>
    </row>
    <row r="4" spans="1:15">
      <c r="A4" s="130">
        <v>3</v>
      </c>
      <c r="B4" s="130" t="s">
        <v>58</v>
      </c>
      <c r="C4" s="130" t="s">
        <v>59</v>
      </c>
      <c r="D4" s="130" t="s">
        <v>60</v>
      </c>
      <c r="E4" s="130" t="s">
        <v>110</v>
      </c>
      <c r="G4" s="130" t="s">
        <v>227</v>
      </c>
      <c r="H4" s="130" t="s">
        <v>451</v>
      </c>
      <c r="I4" s="135">
        <v>13666.62</v>
      </c>
      <c r="J4" s="135" t="s">
        <v>430</v>
      </c>
      <c r="K4" s="133">
        <v>46024</v>
      </c>
      <c r="L4" s="130" t="s">
        <v>14</v>
      </c>
      <c r="M4" s="132" t="s">
        <v>311</v>
      </c>
      <c r="N4" s="130">
        <v>2026</v>
      </c>
    </row>
    <row r="5" spans="1:15">
      <c r="A5" s="130">
        <v>4</v>
      </c>
      <c r="B5" s="130" t="s">
        <v>58</v>
      </c>
      <c r="C5" s="130" t="s">
        <v>59</v>
      </c>
      <c r="D5" s="130" t="s">
        <v>60</v>
      </c>
      <c r="E5" s="130" t="s">
        <v>110</v>
      </c>
      <c r="G5" s="130" t="s">
        <v>227</v>
      </c>
      <c r="H5" s="130" t="s">
        <v>451</v>
      </c>
      <c r="I5" s="135">
        <v>1306</v>
      </c>
      <c r="J5" s="135" t="s">
        <v>431</v>
      </c>
      <c r="K5" s="133">
        <v>46024</v>
      </c>
      <c r="L5" s="130" t="s">
        <v>14</v>
      </c>
      <c r="M5" s="132" t="s">
        <v>311</v>
      </c>
      <c r="N5" s="130">
        <v>2026</v>
      </c>
    </row>
    <row r="6" spans="1:15">
      <c r="A6" s="130">
        <v>5</v>
      </c>
      <c r="B6" s="150" t="s">
        <v>58</v>
      </c>
      <c r="C6" s="130" t="s">
        <v>59</v>
      </c>
      <c r="D6" s="130" t="s">
        <v>60</v>
      </c>
      <c r="E6" s="130" t="s">
        <v>110</v>
      </c>
      <c r="G6" s="130" t="s">
        <v>227</v>
      </c>
      <c r="H6" s="130" t="s">
        <v>451</v>
      </c>
      <c r="I6" s="135">
        <v>1306</v>
      </c>
      <c r="J6" s="135" t="s">
        <v>431</v>
      </c>
      <c r="K6" s="133">
        <v>46024</v>
      </c>
      <c r="L6" s="130" t="s">
        <v>14</v>
      </c>
      <c r="M6" s="132" t="s">
        <v>311</v>
      </c>
      <c r="N6" s="130">
        <v>2026</v>
      </c>
    </row>
    <row r="7" spans="1:15">
      <c r="A7" s="130">
        <v>6</v>
      </c>
      <c r="B7" s="130" t="s">
        <v>58</v>
      </c>
      <c r="C7" s="130" t="s">
        <v>59</v>
      </c>
      <c r="D7" s="130" t="s">
        <v>60</v>
      </c>
      <c r="E7" s="130" t="s">
        <v>110</v>
      </c>
      <c r="G7" s="130" t="s">
        <v>227</v>
      </c>
      <c r="H7" s="130" t="s">
        <v>451</v>
      </c>
      <c r="I7" s="135">
        <v>1306</v>
      </c>
      <c r="J7" s="135" t="s">
        <v>431</v>
      </c>
      <c r="K7" s="133">
        <v>46024</v>
      </c>
      <c r="L7" s="130" t="s">
        <v>14</v>
      </c>
      <c r="M7" s="132" t="s">
        <v>311</v>
      </c>
      <c r="N7" s="130">
        <v>2026</v>
      </c>
    </row>
    <row r="8" spans="1:15">
      <c r="A8" s="130">
        <v>7</v>
      </c>
      <c r="B8" s="130" t="s">
        <v>42</v>
      </c>
      <c r="C8" s="130" t="s">
        <v>263</v>
      </c>
      <c r="D8" s="130" t="s">
        <v>60</v>
      </c>
      <c r="E8" s="130" t="s">
        <v>110</v>
      </c>
      <c r="G8" s="130" t="s">
        <v>260</v>
      </c>
      <c r="H8" s="130" t="s">
        <v>450</v>
      </c>
      <c r="I8" s="135">
        <v>1554.0540540540539</v>
      </c>
      <c r="J8" s="130" t="s">
        <v>435</v>
      </c>
      <c r="K8" s="133">
        <v>46025</v>
      </c>
      <c r="L8" s="130">
        <v>2026400024</v>
      </c>
      <c r="M8" s="132" t="s">
        <v>311</v>
      </c>
      <c r="N8" s="130">
        <v>2026</v>
      </c>
    </row>
    <row r="9" spans="1:15">
      <c r="A9" s="130">
        <v>8</v>
      </c>
      <c r="B9" s="130" t="s">
        <v>42</v>
      </c>
      <c r="C9" s="130" t="s">
        <v>45</v>
      </c>
      <c r="D9" s="130" t="s">
        <v>60</v>
      </c>
      <c r="E9" s="130" t="s">
        <v>110</v>
      </c>
      <c r="G9" s="130" t="s">
        <v>264</v>
      </c>
      <c r="H9" s="130" t="s">
        <v>450</v>
      </c>
      <c r="I9" s="135">
        <v>1097.9729729729729</v>
      </c>
      <c r="J9" s="130" t="s">
        <v>436</v>
      </c>
      <c r="K9" s="133">
        <v>46014</v>
      </c>
      <c r="L9" s="130">
        <v>2026400080</v>
      </c>
      <c r="M9" s="132" t="s">
        <v>311</v>
      </c>
      <c r="N9" s="130">
        <v>2026</v>
      </c>
    </row>
    <row r="10" spans="1:15">
      <c r="A10" s="130">
        <v>9</v>
      </c>
      <c r="B10" s="130" t="s">
        <v>54</v>
      </c>
      <c r="C10" s="130" t="s">
        <v>55</v>
      </c>
      <c r="D10" s="130" t="s">
        <v>60</v>
      </c>
      <c r="E10" s="130" t="s">
        <v>110</v>
      </c>
      <c r="G10" s="130" t="s">
        <v>228</v>
      </c>
      <c r="H10" s="130" t="s">
        <v>450</v>
      </c>
      <c r="I10" s="135">
        <v>6283.7837837837842</v>
      </c>
      <c r="J10" s="130" t="s">
        <v>437</v>
      </c>
      <c r="K10" s="133">
        <v>46024</v>
      </c>
      <c r="L10" s="130">
        <v>2026400256</v>
      </c>
      <c r="M10" s="132" t="s">
        <v>311</v>
      </c>
      <c r="N10" s="130">
        <v>2026</v>
      </c>
    </row>
    <row r="11" spans="1:15">
      <c r="A11" s="130">
        <v>10</v>
      </c>
      <c r="B11" s="130" t="s">
        <v>17</v>
      </c>
      <c r="C11" s="130" t="s">
        <v>18</v>
      </c>
      <c r="D11" s="130" t="s">
        <v>60</v>
      </c>
      <c r="E11" s="130" t="s">
        <v>110</v>
      </c>
      <c r="G11" s="130" t="s">
        <v>284</v>
      </c>
      <c r="H11" s="130" t="s">
        <v>450</v>
      </c>
      <c r="I11" s="135">
        <v>925.67567567567562</v>
      </c>
      <c r="J11" s="130" t="s">
        <v>438</v>
      </c>
      <c r="K11" s="133">
        <v>46011</v>
      </c>
      <c r="L11" s="130">
        <v>2026400254</v>
      </c>
      <c r="M11" s="132" t="s">
        <v>311</v>
      </c>
      <c r="N11" s="130">
        <v>2026</v>
      </c>
    </row>
    <row r="12" spans="1:15">
      <c r="A12" s="130">
        <v>11</v>
      </c>
      <c r="B12" s="130" t="s">
        <v>42</v>
      </c>
      <c r="C12" s="130" t="s">
        <v>50</v>
      </c>
      <c r="D12" s="130" t="s">
        <v>60</v>
      </c>
      <c r="E12" s="130" t="s">
        <v>110</v>
      </c>
      <c r="G12" s="130" t="s">
        <v>265</v>
      </c>
      <c r="H12" s="130" t="s">
        <v>450</v>
      </c>
      <c r="I12" s="135">
        <v>405.40540540540542</v>
      </c>
      <c r="J12" s="130" t="s">
        <v>439</v>
      </c>
      <c r="K12" s="133">
        <v>46043</v>
      </c>
      <c r="L12" s="130">
        <v>2026400178</v>
      </c>
      <c r="M12" s="132" t="s">
        <v>311</v>
      </c>
      <c r="N12" s="130">
        <v>2026</v>
      </c>
    </row>
    <row r="13" spans="1:15">
      <c r="A13" s="130">
        <v>12</v>
      </c>
      <c r="B13" s="130" t="s">
        <v>17</v>
      </c>
      <c r="C13" s="130" t="s">
        <v>18</v>
      </c>
      <c r="D13" s="130" t="s">
        <v>60</v>
      </c>
      <c r="E13" s="130" t="s">
        <v>110</v>
      </c>
      <c r="G13" s="130" t="s">
        <v>432</v>
      </c>
      <c r="H13" s="130" t="s">
        <v>450</v>
      </c>
      <c r="I13" s="135">
        <v>236.48648648648648</v>
      </c>
      <c r="J13" s="130" t="s">
        <v>440</v>
      </c>
      <c r="K13" s="133">
        <v>46044</v>
      </c>
      <c r="L13" s="130">
        <v>2026400255</v>
      </c>
      <c r="M13" s="132" t="s">
        <v>311</v>
      </c>
      <c r="N13" s="130">
        <v>2026</v>
      </c>
    </row>
    <row r="14" spans="1:15">
      <c r="A14" s="130">
        <v>13</v>
      </c>
      <c r="B14" s="130" t="s">
        <v>54</v>
      </c>
      <c r="C14" s="130" t="s">
        <v>55</v>
      </c>
      <c r="D14" s="130" t="s">
        <v>60</v>
      </c>
      <c r="E14" s="130" t="s">
        <v>110</v>
      </c>
      <c r="G14" s="130" t="s">
        <v>111</v>
      </c>
      <c r="H14" s="130" t="s">
        <v>450</v>
      </c>
      <c r="I14" s="135">
        <v>3492.9054054054054</v>
      </c>
      <c r="J14" s="130" t="s">
        <v>441</v>
      </c>
      <c r="K14" s="133">
        <v>46027</v>
      </c>
      <c r="L14" s="130">
        <v>2026400278</v>
      </c>
      <c r="M14" s="132" t="s">
        <v>311</v>
      </c>
      <c r="N14" s="130">
        <v>2026</v>
      </c>
    </row>
    <row r="15" spans="1:15">
      <c r="A15" s="130">
        <v>14</v>
      </c>
      <c r="B15" s="130" t="s">
        <v>52</v>
      </c>
      <c r="C15" s="130" t="s">
        <v>62</v>
      </c>
      <c r="D15" s="130" t="s">
        <v>60</v>
      </c>
      <c r="E15" s="130" t="s">
        <v>110</v>
      </c>
      <c r="G15" s="130" t="s">
        <v>433</v>
      </c>
      <c r="H15" s="130" t="s">
        <v>450</v>
      </c>
      <c r="I15" s="135">
        <v>929.72972972972968</v>
      </c>
      <c r="J15" s="130" t="s">
        <v>442</v>
      </c>
      <c r="K15" s="133">
        <v>46035</v>
      </c>
      <c r="L15" s="130">
        <v>2026400321</v>
      </c>
      <c r="M15" s="132" t="s">
        <v>311</v>
      </c>
      <c r="N15" s="130">
        <v>2026</v>
      </c>
    </row>
    <row r="16" spans="1:15">
      <c r="A16" s="130">
        <v>15</v>
      </c>
      <c r="B16" s="130" t="s">
        <v>54</v>
      </c>
      <c r="C16" s="130" t="s">
        <v>55</v>
      </c>
      <c r="D16" s="130" t="s">
        <v>60</v>
      </c>
      <c r="E16" s="130" t="s">
        <v>110</v>
      </c>
      <c r="G16" s="130" t="s">
        <v>111</v>
      </c>
      <c r="H16" s="130" t="s">
        <v>450</v>
      </c>
      <c r="I16" s="135">
        <v>2415.7094594594596</v>
      </c>
      <c r="J16" s="130" t="s">
        <v>443</v>
      </c>
      <c r="K16" s="133">
        <v>46042</v>
      </c>
      <c r="L16" s="130">
        <v>2026400320</v>
      </c>
      <c r="M16" s="132" t="s">
        <v>311</v>
      </c>
      <c r="N16" s="130">
        <v>2026</v>
      </c>
    </row>
    <row r="17" spans="1:14">
      <c r="A17" s="130">
        <v>16</v>
      </c>
      <c r="B17" s="130" t="s">
        <v>52</v>
      </c>
      <c r="C17" s="130" t="s">
        <v>62</v>
      </c>
      <c r="D17" s="130" t="s">
        <v>60</v>
      </c>
      <c r="E17" s="130" t="s">
        <v>110</v>
      </c>
      <c r="G17" s="130" t="s">
        <v>434</v>
      </c>
      <c r="H17" s="130" t="s">
        <v>452</v>
      </c>
      <c r="I17" s="135">
        <v>2027.0270270270271</v>
      </c>
      <c r="J17" s="130" t="s">
        <v>444</v>
      </c>
      <c r="K17" s="133">
        <v>46034</v>
      </c>
      <c r="L17" s="130" t="s">
        <v>14</v>
      </c>
      <c r="M17" s="132" t="s">
        <v>311</v>
      </c>
      <c r="N17" s="130">
        <v>2026</v>
      </c>
    </row>
    <row r="18" spans="1:14">
      <c r="A18" s="130">
        <v>17</v>
      </c>
      <c r="B18" s="130" t="s">
        <v>27</v>
      </c>
      <c r="C18" s="130" t="s">
        <v>28</v>
      </c>
      <c r="D18" s="130" t="s">
        <v>60</v>
      </c>
      <c r="E18" s="130" t="s">
        <v>110</v>
      </c>
      <c r="G18" s="130" t="s">
        <v>434</v>
      </c>
      <c r="H18" s="130" t="s">
        <v>452</v>
      </c>
      <c r="I18" s="135">
        <v>15608.108108108108</v>
      </c>
      <c r="J18" s="130" t="s">
        <v>445</v>
      </c>
      <c r="K18" s="133">
        <v>46044</v>
      </c>
      <c r="L18" s="130" t="s">
        <v>14</v>
      </c>
      <c r="M18" s="132" t="s">
        <v>311</v>
      </c>
      <c r="N18" s="130">
        <v>2026</v>
      </c>
    </row>
    <row r="19" spans="1:14">
      <c r="A19" s="130">
        <v>18</v>
      </c>
      <c r="B19" s="130" t="s">
        <v>17</v>
      </c>
      <c r="C19" s="130" t="s">
        <v>18</v>
      </c>
      <c r="D19" s="130" t="s">
        <v>60</v>
      </c>
      <c r="E19" s="130" t="s">
        <v>110</v>
      </c>
      <c r="G19" s="130" t="s">
        <v>190</v>
      </c>
      <c r="H19" s="130" t="s">
        <v>450</v>
      </c>
      <c r="I19" s="135">
        <v>236.48648648648648</v>
      </c>
      <c r="J19" s="130" t="s">
        <v>446</v>
      </c>
      <c r="K19" s="133">
        <v>46037</v>
      </c>
      <c r="L19" s="130">
        <v>2026400317</v>
      </c>
      <c r="M19" s="132" t="s">
        <v>311</v>
      </c>
      <c r="N19" s="130">
        <v>2026</v>
      </c>
    </row>
    <row r="20" spans="1:14">
      <c r="A20" s="130">
        <v>19</v>
      </c>
      <c r="B20" s="130" t="s">
        <v>17</v>
      </c>
      <c r="C20" s="130" t="s">
        <v>22</v>
      </c>
      <c r="D20" s="130" t="s">
        <v>60</v>
      </c>
      <c r="E20" s="130" t="s">
        <v>110</v>
      </c>
      <c r="G20" s="130" t="s">
        <v>260</v>
      </c>
      <c r="H20" s="130" t="s">
        <v>450</v>
      </c>
      <c r="I20" s="135">
        <v>1189.1891891891892</v>
      </c>
      <c r="J20" s="130" t="s">
        <v>447</v>
      </c>
      <c r="K20" s="133">
        <v>46043</v>
      </c>
      <c r="L20" s="130">
        <v>2026400415</v>
      </c>
      <c r="M20" s="132" t="s">
        <v>311</v>
      </c>
      <c r="N20" s="130">
        <v>2026</v>
      </c>
    </row>
    <row r="21" spans="1:14">
      <c r="A21" s="130">
        <v>20</v>
      </c>
      <c r="B21" s="130" t="s">
        <v>52</v>
      </c>
      <c r="C21" s="130" t="s">
        <v>62</v>
      </c>
      <c r="D21" s="130" t="s">
        <v>19</v>
      </c>
      <c r="E21" s="130" t="s">
        <v>110</v>
      </c>
      <c r="G21" s="130" t="s">
        <v>89</v>
      </c>
      <c r="H21" s="130" t="s">
        <v>453</v>
      </c>
      <c r="I21" s="135">
        <v>186721.41891891891</v>
      </c>
      <c r="J21" s="130" t="s">
        <v>14</v>
      </c>
      <c r="K21" s="133" t="s">
        <v>14</v>
      </c>
      <c r="L21" s="130" t="s">
        <v>14</v>
      </c>
      <c r="M21" s="132" t="s">
        <v>311</v>
      </c>
      <c r="N21" s="130">
        <v>2026</v>
      </c>
    </row>
    <row r="22" spans="1:14">
      <c r="A22" s="130">
        <v>21</v>
      </c>
      <c r="B22" s="130" t="s">
        <v>17</v>
      </c>
      <c r="C22" s="130" t="s">
        <v>22</v>
      </c>
      <c r="D22" s="130" t="s">
        <v>19</v>
      </c>
      <c r="E22" s="130" t="s">
        <v>110</v>
      </c>
      <c r="G22" s="130" t="s">
        <v>89</v>
      </c>
      <c r="H22" s="130" t="s">
        <v>449</v>
      </c>
      <c r="I22" s="135">
        <v>17180.93918918919</v>
      </c>
      <c r="J22" s="130" t="s">
        <v>14</v>
      </c>
      <c r="K22" s="133" t="s">
        <v>14</v>
      </c>
      <c r="L22" s="130" t="s">
        <v>14</v>
      </c>
      <c r="M22" s="132" t="s">
        <v>311</v>
      </c>
      <c r="N22" s="130">
        <v>2026</v>
      </c>
    </row>
    <row r="23" spans="1:14">
      <c r="A23" s="130">
        <v>22</v>
      </c>
      <c r="B23" s="130" t="s">
        <v>17</v>
      </c>
      <c r="C23" s="130" t="s">
        <v>18</v>
      </c>
      <c r="D23" s="130" t="s">
        <v>19</v>
      </c>
      <c r="E23" s="130" t="s">
        <v>110</v>
      </c>
      <c r="G23" s="130" t="s">
        <v>89</v>
      </c>
      <c r="H23" s="130" t="s">
        <v>449</v>
      </c>
      <c r="I23" s="135">
        <v>29118.952702702703</v>
      </c>
      <c r="J23" s="130" t="s">
        <v>14</v>
      </c>
      <c r="K23" s="133" t="s">
        <v>14</v>
      </c>
      <c r="L23" s="130" t="s">
        <v>14</v>
      </c>
      <c r="M23" s="132" t="s">
        <v>311</v>
      </c>
      <c r="N23" s="130">
        <v>2026</v>
      </c>
    </row>
    <row r="24" spans="1:14">
      <c r="A24" s="130">
        <v>23</v>
      </c>
      <c r="B24" s="130" t="s">
        <v>42</v>
      </c>
      <c r="C24" s="130" t="s">
        <v>448</v>
      </c>
      <c r="D24" s="130" t="s">
        <v>19</v>
      </c>
      <c r="E24" s="130" t="s">
        <v>110</v>
      </c>
      <c r="G24" s="130" t="s">
        <v>89</v>
      </c>
      <c r="H24" s="130" t="s">
        <v>449</v>
      </c>
      <c r="I24" s="135">
        <v>14777.027027027027</v>
      </c>
      <c r="J24" s="130" t="s">
        <v>14</v>
      </c>
      <c r="K24" s="133" t="s">
        <v>14</v>
      </c>
      <c r="L24" s="130" t="s">
        <v>14</v>
      </c>
      <c r="M24" s="132" t="s">
        <v>311</v>
      </c>
      <c r="N24" s="130">
        <v>2026</v>
      </c>
    </row>
    <row r="25" spans="1:14">
      <c r="A25" s="130">
        <v>24</v>
      </c>
      <c r="B25" s="130" t="s">
        <v>52</v>
      </c>
      <c r="C25" s="130" t="s">
        <v>62</v>
      </c>
      <c r="D25" s="130" t="s">
        <v>19</v>
      </c>
      <c r="E25" s="130" t="s">
        <v>110</v>
      </c>
      <c r="G25" s="130" t="s">
        <v>89</v>
      </c>
      <c r="H25" s="130" t="s">
        <v>454</v>
      </c>
      <c r="I25" s="135">
        <v>3998.0067567567567</v>
      </c>
      <c r="J25" s="130" t="s">
        <v>14</v>
      </c>
      <c r="K25" s="133" t="s">
        <v>14</v>
      </c>
      <c r="L25" s="130" t="s">
        <v>14</v>
      </c>
      <c r="M25" s="132" t="s">
        <v>311</v>
      </c>
      <c r="N25" s="130">
        <v>2026</v>
      </c>
    </row>
    <row r="26" spans="1:14">
      <c r="A26" s="130">
        <v>25</v>
      </c>
      <c r="B26" s="130" t="s">
        <v>17</v>
      </c>
      <c r="C26" s="130" t="s">
        <v>24</v>
      </c>
      <c r="D26" s="130" t="s">
        <v>19</v>
      </c>
      <c r="E26" s="130" t="s">
        <v>110</v>
      </c>
      <c r="G26" s="130" t="s">
        <v>89</v>
      </c>
      <c r="H26" s="130" t="s">
        <v>449</v>
      </c>
      <c r="I26" s="135">
        <v>4433.1081081081084</v>
      </c>
      <c r="J26" s="130" t="s">
        <v>14</v>
      </c>
      <c r="K26" s="133" t="s">
        <v>14</v>
      </c>
      <c r="L26" s="130" t="s">
        <v>14</v>
      </c>
      <c r="M26" s="132" t="s">
        <v>311</v>
      </c>
      <c r="N26" s="130">
        <v>2026</v>
      </c>
    </row>
    <row r="27" spans="1:14">
      <c r="A27" s="130">
        <v>26</v>
      </c>
      <c r="B27" s="130" t="s">
        <v>17</v>
      </c>
      <c r="C27" s="130" t="s">
        <v>25</v>
      </c>
      <c r="D27" s="130" t="s">
        <v>19</v>
      </c>
      <c r="E27" s="130" t="s">
        <v>110</v>
      </c>
      <c r="G27" s="130" t="s">
        <v>89</v>
      </c>
      <c r="H27" s="130" t="s">
        <v>449</v>
      </c>
      <c r="I27" s="135">
        <v>4613.7162162162158</v>
      </c>
      <c r="J27" s="130" t="s">
        <v>14</v>
      </c>
      <c r="K27" s="133" t="s">
        <v>14</v>
      </c>
      <c r="L27" s="130" t="s">
        <v>14</v>
      </c>
      <c r="M27" s="132" t="s">
        <v>311</v>
      </c>
      <c r="N27" s="130">
        <v>2026</v>
      </c>
    </row>
    <row r="28" spans="1:14">
      <c r="A28" s="130">
        <v>27</v>
      </c>
      <c r="B28" s="130" t="s">
        <v>42</v>
      </c>
      <c r="C28" s="130" t="s">
        <v>45</v>
      </c>
      <c r="D28" s="130" t="s">
        <v>19</v>
      </c>
      <c r="E28" s="130" t="s">
        <v>110</v>
      </c>
      <c r="G28" s="130" t="s">
        <v>89</v>
      </c>
      <c r="H28" s="130" t="s">
        <v>449</v>
      </c>
      <c r="I28" s="135">
        <v>2791.2162162162163</v>
      </c>
      <c r="J28" s="130" t="s">
        <v>14</v>
      </c>
      <c r="K28" s="133" t="s">
        <v>14</v>
      </c>
      <c r="L28" s="130" t="s">
        <v>14</v>
      </c>
      <c r="M28" s="132" t="s">
        <v>311</v>
      </c>
      <c r="N28" s="130">
        <v>2026</v>
      </c>
    </row>
    <row r="29" spans="1:14">
      <c r="A29" s="130">
        <v>28</v>
      </c>
      <c r="B29" s="130" t="s">
        <v>52</v>
      </c>
      <c r="C29" s="130" t="s">
        <v>62</v>
      </c>
      <c r="D29" s="130" t="s">
        <v>19</v>
      </c>
      <c r="E29" s="130" t="s">
        <v>110</v>
      </c>
      <c r="G29" s="130" t="s">
        <v>729</v>
      </c>
      <c r="H29" s="130" t="s">
        <v>450</v>
      </c>
      <c r="I29" s="135">
        <v>41156</v>
      </c>
      <c r="J29" s="130" t="s">
        <v>14</v>
      </c>
      <c r="K29" s="133" t="s">
        <v>14</v>
      </c>
      <c r="L29" s="130" t="s">
        <v>14</v>
      </c>
      <c r="M29" s="132" t="s">
        <v>311</v>
      </c>
      <c r="N29" s="130">
        <v>2026</v>
      </c>
    </row>
    <row r="30" spans="1:14">
      <c r="K30" s="133"/>
      <c r="M30" s="132"/>
    </row>
    <row r="31" spans="1:14">
      <c r="K31" s="133"/>
      <c r="M31" s="132"/>
    </row>
    <row r="32" spans="1:14">
      <c r="K32" s="133"/>
      <c r="M32" s="132"/>
    </row>
    <row r="33" spans="1:13">
      <c r="K33" s="133"/>
      <c r="M33" s="132"/>
    </row>
    <row r="34" spans="1:13">
      <c r="K34" s="133"/>
      <c r="M34" s="132"/>
    </row>
    <row r="35" spans="1:13">
      <c r="A35" s="130">
        <v>4</v>
      </c>
      <c r="B35" s="151"/>
      <c r="C35" s="151"/>
      <c r="K35" s="133"/>
      <c r="M35" s="132"/>
    </row>
    <row r="36" spans="1:13">
      <c r="K36" s="133"/>
      <c r="M36" s="132"/>
    </row>
    <row r="37" spans="1:13">
      <c r="K37" s="133"/>
      <c r="M37" s="132"/>
    </row>
    <row r="38" spans="1:13">
      <c r="K38" s="133"/>
      <c r="M38" s="132"/>
    </row>
    <row r="39" spans="1:13">
      <c r="K39" s="133"/>
      <c r="M39" s="132"/>
    </row>
    <row r="40" spans="1:13">
      <c r="K40" s="133"/>
      <c r="M40" s="132"/>
    </row>
    <row r="41" spans="1:13">
      <c r="K41" s="133"/>
      <c r="M41" s="132"/>
    </row>
    <row r="42" spans="1:13">
      <c r="K42" s="133"/>
      <c r="M42" s="132"/>
    </row>
    <row r="43" spans="1:13">
      <c r="K43" s="133"/>
      <c r="M43" s="132"/>
    </row>
    <row r="44" spans="1:13">
      <c r="K44" s="133"/>
      <c r="M44" s="132"/>
    </row>
    <row r="45" spans="1:13">
      <c r="K45" s="133"/>
      <c r="M45" s="132"/>
    </row>
    <row r="46" spans="1:13">
      <c r="K46" s="133"/>
      <c r="M46" s="132"/>
    </row>
    <row r="47" spans="1:13">
      <c r="K47" s="133"/>
      <c r="M47" s="132"/>
    </row>
    <row r="48" spans="1:13">
      <c r="K48" s="133"/>
      <c r="M48" s="132"/>
    </row>
    <row r="49" spans="11:13">
      <c r="K49" s="133"/>
      <c r="M49" s="132"/>
    </row>
    <row r="50" spans="11:13">
      <c r="K50" s="133"/>
      <c r="M50" s="132"/>
    </row>
    <row r="51" spans="11:13">
      <c r="K51" s="133"/>
      <c r="M51" s="132"/>
    </row>
    <row r="52" spans="11:13">
      <c r="K52" s="133"/>
      <c r="M52" s="132"/>
    </row>
    <row r="53" spans="11:13">
      <c r="K53" s="133"/>
      <c r="M53" s="132"/>
    </row>
    <row r="54" spans="11:13">
      <c r="K54" s="133"/>
      <c r="M54" s="132"/>
    </row>
    <row r="55" spans="11:13">
      <c r="K55" s="133"/>
      <c r="M55" s="132"/>
    </row>
    <row r="56" spans="11:13">
      <c r="K56" s="133"/>
      <c r="M56" s="132"/>
    </row>
    <row r="57" spans="11:13">
      <c r="K57" s="133"/>
      <c r="M57" s="132"/>
    </row>
    <row r="58" spans="11:13">
      <c r="K58" s="133"/>
      <c r="M58" s="132"/>
    </row>
    <row r="59" spans="11:13">
      <c r="K59" s="133"/>
      <c r="M59" s="132"/>
    </row>
    <row r="60" spans="11:13">
      <c r="K60" s="133"/>
      <c r="M60" s="132"/>
    </row>
    <row r="61" spans="11:13">
      <c r="K61" s="133"/>
      <c r="M61" s="132"/>
    </row>
    <row r="62" spans="11:13">
      <c r="K62" s="133"/>
      <c r="M62" s="132"/>
    </row>
    <row r="63" spans="11:13">
      <c r="K63" s="133"/>
      <c r="M63" s="132"/>
    </row>
  </sheetData>
  <autoFilter ref="A1:N1" xr:uid="{00000000-0009-0000-0000-00000F000000}"/>
  <dataValidations count="1">
    <dataValidation type="list" allowBlank="1" showInputMessage="1" showErrorMessage="1" sqref="C36:C522 C2:C34" xr:uid="{00000000-0002-0000-0F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F00-000000000000}">
          <x14:formula1>
            <xm:f>List!$P$2:$P$11</xm:f>
          </x14:formula1>
          <xm:sqref>B36:B522 B2:B34</xm:sqref>
        </x14:dataValidation>
        <x14:dataValidation type="list" allowBlank="1" showInputMessage="1" showErrorMessage="1" xr:uid="{00000000-0002-0000-0F00-000003000000}">
          <x14:formula1>
            <xm:f>List!$E$2:$E$32</xm:f>
          </x14:formula1>
          <xm:sqref>E64:E522</xm:sqref>
        </x14:dataValidation>
        <x14:dataValidation type="list" allowBlank="1" showInputMessage="1" showErrorMessage="1" xr:uid="{00000000-0002-0000-0F00-000002000000}">
          <x14:formula1>
            <xm:f>List!$C$2:$C$3</xm:f>
          </x14:formula1>
          <xm:sqref>D2:D522</xm:sqref>
        </x14:dataValidation>
        <x14:dataValidation type="list" allowBlank="1" showInputMessage="1" showErrorMessage="1" xr:uid="{00000000-0002-0000-0F00-000004000000}">
          <x14:formula1>
            <xm:f>List!$H$2:$H$13</xm:f>
          </x14:formula1>
          <xm:sqref>M64:M522</xm:sqref>
        </x14:dataValidation>
        <x14:dataValidation type="list" allowBlank="1" showInputMessage="1" showErrorMessage="1" xr:uid="{00000000-0002-0000-0F00-000005000000}">
          <x14:formula1>
            <xm:f>List!$J$2:$J$4</xm:f>
          </x14:formula1>
          <xm:sqref>N64:N522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0.39997558519241921"/>
  </sheetPr>
  <dimension ref="A1:N1048480"/>
  <sheetViews>
    <sheetView workbookViewId="0">
      <selection sqref="A1:XFD1048576"/>
    </sheetView>
  </sheetViews>
  <sheetFormatPr defaultColWidth="9" defaultRowHeight="14.5"/>
  <cols>
    <col min="1" max="1" width="5.36328125" style="130" customWidth="1"/>
    <col min="2" max="2" width="9.36328125" style="130" customWidth="1"/>
    <col min="3" max="3" width="10.6328125" style="130" bestFit="1" customWidth="1"/>
    <col min="4" max="4" width="9" style="130" customWidth="1"/>
    <col min="5" max="5" width="19.81640625" style="130" customWidth="1"/>
    <col min="6" max="6" width="10.1796875" style="130" customWidth="1"/>
    <col min="7" max="7" width="19.90625" style="130" bestFit="1" customWidth="1"/>
    <col min="8" max="8" width="19.81640625" style="130" bestFit="1" customWidth="1"/>
    <col min="9" max="9" width="18.08984375" style="130" customWidth="1"/>
    <col min="10" max="10" width="10.08984375" style="130" customWidth="1"/>
    <col min="11" max="11" width="11.1796875" style="130" customWidth="1"/>
    <col min="12" max="12" width="10.54296875" style="130" customWidth="1"/>
    <col min="13" max="13" width="6.54296875" style="130" customWidth="1"/>
    <col min="14" max="14" width="4.81640625" style="130" customWidth="1"/>
    <col min="15" max="16384" width="9" style="130"/>
  </cols>
  <sheetData>
    <row r="1" spans="1:14">
      <c r="A1" s="146" t="s">
        <v>0</v>
      </c>
      <c r="B1" s="146" t="s">
        <v>1</v>
      </c>
      <c r="C1" s="146" t="s">
        <v>2</v>
      </c>
      <c r="D1" s="146" t="s">
        <v>3</v>
      </c>
      <c r="E1" s="146" t="s">
        <v>4</v>
      </c>
      <c r="F1" s="146" t="s">
        <v>5</v>
      </c>
      <c r="G1" s="146" t="s">
        <v>6</v>
      </c>
      <c r="H1" s="146" t="s">
        <v>7</v>
      </c>
      <c r="I1" s="146" t="s">
        <v>8</v>
      </c>
      <c r="J1" s="146" t="s">
        <v>9</v>
      </c>
      <c r="K1" s="146" t="s">
        <v>10</v>
      </c>
      <c r="L1" s="146" t="s">
        <v>11</v>
      </c>
      <c r="M1" s="146" t="s">
        <v>12</v>
      </c>
      <c r="N1" s="146" t="s">
        <v>13</v>
      </c>
    </row>
    <row r="2" spans="1:14">
      <c r="A2" s="143">
        <v>1</v>
      </c>
      <c r="B2" s="142" t="s">
        <v>33</v>
      </c>
      <c r="C2" s="143" t="s">
        <v>34</v>
      </c>
      <c r="D2" s="143" t="s">
        <v>19</v>
      </c>
      <c r="E2" s="143" t="s">
        <v>108</v>
      </c>
      <c r="F2" s="143"/>
      <c r="G2" s="143" t="s">
        <v>87</v>
      </c>
      <c r="H2" s="143" t="s">
        <v>109</v>
      </c>
      <c r="I2" s="144">
        <v>808.10810810810813</v>
      </c>
      <c r="J2" s="143" t="s">
        <v>14</v>
      </c>
      <c r="K2" s="143" t="s">
        <v>14</v>
      </c>
      <c r="L2" s="143" t="s">
        <v>14</v>
      </c>
      <c r="M2" s="147" t="s">
        <v>311</v>
      </c>
      <c r="N2" s="143">
        <v>2026</v>
      </c>
    </row>
    <row r="3" spans="1:14">
      <c r="A3" s="143">
        <v>2</v>
      </c>
      <c r="B3" s="142" t="s">
        <v>33</v>
      </c>
      <c r="C3" s="143" t="s">
        <v>34</v>
      </c>
      <c r="D3" s="143" t="s">
        <v>19</v>
      </c>
      <c r="E3" s="143" t="s">
        <v>108</v>
      </c>
      <c r="F3" s="143"/>
      <c r="G3" s="143" t="s">
        <v>87</v>
      </c>
      <c r="H3" s="143" t="s">
        <v>109</v>
      </c>
      <c r="I3" s="144">
        <v>1581.081081081081</v>
      </c>
      <c r="J3" s="143" t="s">
        <v>14</v>
      </c>
      <c r="K3" s="143" t="s">
        <v>14</v>
      </c>
      <c r="L3" s="143" t="s">
        <v>14</v>
      </c>
      <c r="M3" s="147" t="s">
        <v>311</v>
      </c>
      <c r="N3" s="143">
        <v>2026</v>
      </c>
    </row>
    <row r="4" spans="1:14">
      <c r="A4" s="143">
        <v>3</v>
      </c>
      <c r="B4" s="142" t="s">
        <v>42</v>
      </c>
      <c r="C4" s="143" t="s">
        <v>48</v>
      </c>
      <c r="D4" s="143" t="s">
        <v>19</v>
      </c>
      <c r="E4" s="143" t="s">
        <v>108</v>
      </c>
      <c r="F4" s="143"/>
      <c r="G4" s="143" t="s">
        <v>87</v>
      </c>
      <c r="H4" s="143" t="s">
        <v>109</v>
      </c>
      <c r="I4" s="144">
        <v>772.97297297297303</v>
      </c>
      <c r="J4" s="143" t="s">
        <v>14</v>
      </c>
      <c r="K4" s="143" t="s">
        <v>14</v>
      </c>
      <c r="L4" s="143" t="s">
        <v>14</v>
      </c>
      <c r="M4" s="147" t="s">
        <v>311</v>
      </c>
      <c r="N4" s="143">
        <v>2026</v>
      </c>
    </row>
    <row r="5" spans="1:14">
      <c r="A5" s="143">
        <v>4</v>
      </c>
      <c r="B5" s="142" t="s">
        <v>35</v>
      </c>
      <c r="C5" s="143" t="s">
        <v>36</v>
      </c>
      <c r="D5" s="143" t="s">
        <v>19</v>
      </c>
      <c r="E5" s="143" t="s">
        <v>108</v>
      </c>
      <c r="F5" s="143"/>
      <c r="G5" s="143" t="s">
        <v>87</v>
      </c>
      <c r="H5" s="143" t="s">
        <v>109</v>
      </c>
      <c r="I5" s="144">
        <v>808.10810810810813</v>
      </c>
      <c r="J5" s="143" t="s">
        <v>14</v>
      </c>
      <c r="K5" s="143" t="s">
        <v>14</v>
      </c>
      <c r="L5" s="143" t="s">
        <v>14</v>
      </c>
      <c r="M5" s="147" t="s">
        <v>311</v>
      </c>
      <c r="N5" s="143">
        <v>2026</v>
      </c>
    </row>
    <row r="6" spans="1:14">
      <c r="A6" s="143">
        <v>5</v>
      </c>
      <c r="B6" s="143" t="s">
        <v>17</v>
      </c>
      <c r="C6" s="143" t="s">
        <v>22</v>
      </c>
      <c r="D6" s="143" t="s">
        <v>19</v>
      </c>
      <c r="E6" s="143" t="s">
        <v>108</v>
      </c>
      <c r="F6" s="143"/>
      <c r="G6" s="143" t="s">
        <v>87</v>
      </c>
      <c r="H6" s="143" t="s">
        <v>109</v>
      </c>
      <c r="I6" s="144">
        <v>3970.2702702702704</v>
      </c>
      <c r="J6" s="143" t="s">
        <v>14</v>
      </c>
      <c r="K6" s="143" t="s">
        <v>14</v>
      </c>
      <c r="L6" s="143" t="s">
        <v>14</v>
      </c>
      <c r="M6" s="147" t="s">
        <v>311</v>
      </c>
      <c r="N6" s="143">
        <v>2026</v>
      </c>
    </row>
    <row r="7" spans="1:14">
      <c r="A7" s="143">
        <v>6</v>
      </c>
      <c r="B7" s="143" t="s">
        <v>17</v>
      </c>
      <c r="C7" s="143" t="s">
        <v>24</v>
      </c>
      <c r="D7" s="143" t="s">
        <v>19</v>
      </c>
      <c r="E7" s="143" t="s">
        <v>108</v>
      </c>
      <c r="F7" s="143"/>
      <c r="G7" s="143" t="s">
        <v>87</v>
      </c>
      <c r="H7" s="143" t="s">
        <v>109</v>
      </c>
      <c r="I7" s="144">
        <v>2108.1081081081079</v>
      </c>
      <c r="J7" s="143" t="s">
        <v>14</v>
      </c>
      <c r="K7" s="143" t="s">
        <v>14</v>
      </c>
      <c r="L7" s="143" t="s">
        <v>14</v>
      </c>
      <c r="M7" s="147" t="s">
        <v>311</v>
      </c>
      <c r="N7" s="143">
        <v>2026</v>
      </c>
    </row>
    <row r="8" spans="1:14">
      <c r="A8" s="143">
        <v>7</v>
      </c>
      <c r="B8" s="143" t="s">
        <v>17</v>
      </c>
      <c r="C8" s="143" t="s">
        <v>25</v>
      </c>
      <c r="D8" s="143" t="s">
        <v>19</v>
      </c>
      <c r="E8" s="143" t="s">
        <v>108</v>
      </c>
      <c r="F8" s="143"/>
      <c r="G8" s="143" t="s">
        <v>87</v>
      </c>
      <c r="H8" s="143" t="s">
        <v>109</v>
      </c>
      <c r="I8" s="145">
        <v>10505.405405405405</v>
      </c>
      <c r="J8" s="143" t="s">
        <v>14</v>
      </c>
      <c r="K8" s="143" t="s">
        <v>14</v>
      </c>
      <c r="L8" s="143" t="s">
        <v>14</v>
      </c>
      <c r="M8" s="147" t="s">
        <v>311</v>
      </c>
      <c r="N8" s="143">
        <v>2026</v>
      </c>
    </row>
    <row r="9" spans="1:14">
      <c r="A9" s="143">
        <v>29</v>
      </c>
      <c r="B9" s="143" t="s">
        <v>42</v>
      </c>
      <c r="C9" s="143" t="s">
        <v>45</v>
      </c>
      <c r="D9" s="143" t="s">
        <v>60</v>
      </c>
      <c r="E9" s="143" t="s">
        <v>108</v>
      </c>
      <c r="F9" s="143"/>
      <c r="G9" s="143" t="s">
        <v>92</v>
      </c>
      <c r="H9" s="143" t="s">
        <v>109</v>
      </c>
      <c r="I9" s="145">
        <f>3800000/1450</f>
        <v>2620.6896551724139</v>
      </c>
      <c r="J9" s="148" t="s">
        <v>14</v>
      </c>
      <c r="K9" s="149" t="s">
        <v>14</v>
      </c>
      <c r="L9" s="143" t="s">
        <v>14</v>
      </c>
      <c r="M9" s="147" t="s">
        <v>311</v>
      </c>
      <c r="N9" s="143">
        <v>2026</v>
      </c>
    </row>
    <row r="1048480" spans="8:8">
      <c r="H1048480" s="143"/>
    </row>
  </sheetData>
  <autoFilter ref="A1:N9" xr:uid="{00000000-0001-0000-0D00-000000000000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0.59999389629810485"/>
  </sheetPr>
  <dimension ref="A1:N10"/>
  <sheetViews>
    <sheetView workbookViewId="0">
      <selection activeCell="E11" sqref="E11"/>
    </sheetView>
  </sheetViews>
  <sheetFormatPr defaultColWidth="9" defaultRowHeight="14.5"/>
  <cols>
    <col min="1" max="1" width="5.36328125" style="46" customWidth="1"/>
    <col min="2" max="2" width="9.36328125" style="46" customWidth="1"/>
    <col min="3" max="3" width="9.453125" style="46" customWidth="1"/>
    <col min="4" max="4" width="8.90625" style="46" customWidth="1"/>
    <col min="5" max="5" width="29" style="46" customWidth="1"/>
    <col min="6" max="6" width="10.08984375" style="46" customWidth="1"/>
    <col min="7" max="7" width="28.6328125" style="46" customWidth="1"/>
    <col min="8" max="8" width="23.54296875" style="46" bestFit="1" customWidth="1"/>
    <col min="9" max="9" width="15.453125" style="138" customWidth="1"/>
    <col min="10" max="10" width="10.08984375" style="46" customWidth="1"/>
    <col min="11" max="11" width="11.08984375" style="46" customWidth="1"/>
    <col min="12" max="12" width="10.81640625" style="46" customWidth="1"/>
    <col min="13" max="13" width="6.453125" style="46" customWidth="1"/>
    <col min="14" max="14" width="4.81640625" style="46" customWidth="1"/>
    <col min="15" max="16384" width="9" style="46"/>
  </cols>
  <sheetData>
    <row r="1" spans="1:14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  <c r="G1" s="97" t="s">
        <v>6</v>
      </c>
      <c r="H1" s="97" t="s">
        <v>7</v>
      </c>
      <c r="I1" s="97" t="s">
        <v>16</v>
      </c>
      <c r="J1" s="97" t="s">
        <v>9</v>
      </c>
      <c r="K1" s="97" t="s">
        <v>10</v>
      </c>
      <c r="L1" s="97" t="s">
        <v>11</v>
      </c>
      <c r="M1" s="97" t="s">
        <v>12</v>
      </c>
      <c r="N1" s="97" t="s">
        <v>13</v>
      </c>
    </row>
    <row r="2" spans="1:14">
      <c r="A2" s="46">
        <v>1</v>
      </c>
      <c r="B2" s="134" t="s">
        <v>52</v>
      </c>
      <c r="C2" s="134" t="s">
        <v>62</v>
      </c>
      <c r="D2" s="46" t="s">
        <v>19</v>
      </c>
      <c r="E2" s="46" t="s">
        <v>112</v>
      </c>
      <c r="G2" s="46" t="s">
        <v>239</v>
      </c>
      <c r="H2" s="46" t="s">
        <v>113</v>
      </c>
      <c r="I2" s="138">
        <v>480957</v>
      </c>
      <c r="J2" s="46" t="s">
        <v>14</v>
      </c>
      <c r="K2" s="46" t="s">
        <v>14</v>
      </c>
      <c r="L2" s="46" t="s">
        <v>14</v>
      </c>
      <c r="M2" s="98" t="s">
        <v>311</v>
      </c>
      <c r="N2" s="46">
        <v>2026</v>
      </c>
    </row>
    <row r="3" spans="1:14">
      <c r="A3" s="46">
        <v>2</v>
      </c>
      <c r="B3" s="46" t="s">
        <v>42</v>
      </c>
      <c r="C3" s="46" t="s">
        <v>45</v>
      </c>
      <c r="D3" s="46" t="s">
        <v>19</v>
      </c>
      <c r="E3" s="46" t="s">
        <v>112</v>
      </c>
      <c r="G3" s="46" t="s">
        <v>239</v>
      </c>
      <c r="H3" s="46" t="s">
        <v>113</v>
      </c>
      <c r="I3" s="138">
        <v>153000</v>
      </c>
      <c r="J3" s="98" t="s">
        <v>14</v>
      </c>
      <c r="K3" s="136" t="s">
        <v>14</v>
      </c>
      <c r="L3" s="98" t="s">
        <v>14</v>
      </c>
      <c r="M3" s="98" t="s">
        <v>311</v>
      </c>
      <c r="N3" s="46">
        <v>2026</v>
      </c>
    </row>
    <row r="4" spans="1:14">
      <c r="A4" s="46">
        <v>3</v>
      </c>
      <c r="B4" s="98" t="s">
        <v>17</v>
      </c>
      <c r="C4" s="98" t="s">
        <v>25</v>
      </c>
      <c r="D4" s="46" t="s">
        <v>60</v>
      </c>
      <c r="E4" s="46" t="s">
        <v>112</v>
      </c>
      <c r="G4" s="46" t="s">
        <v>413</v>
      </c>
      <c r="H4" s="46" t="s">
        <v>113</v>
      </c>
      <c r="I4" s="138">
        <v>45000</v>
      </c>
      <c r="J4" s="140" t="s">
        <v>427</v>
      </c>
      <c r="K4" s="141">
        <v>46044</v>
      </c>
      <c r="L4" s="98" t="s">
        <v>14</v>
      </c>
      <c r="M4" s="98" t="s">
        <v>311</v>
      </c>
      <c r="N4" s="46">
        <v>2026</v>
      </c>
    </row>
    <row r="5" spans="1:14">
      <c r="A5" s="46">
        <v>4</v>
      </c>
      <c r="B5" s="46" t="s">
        <v>54</v>
      </c>
      <c r="C5" s="46" t="s">
        <v>55</v>
      </c>
      <c r="D5" s="46" t="s">
        <v>19</v>
      </c>
      <c r="E5" s="46" t="s">
        <v>112</v>
      </c>
      <c r="G5" s="46" t="s">
        <v>726</v>
      </c>
      <c r="H5" s="46" t="s">
        <v>113</v>
      </c>
      <c r="I5" s="138">
        <v>90000</v>
      </c>
      <c r="J5" s="46" t="s">
        <v>14</v>
      </c>
      <c r="K5" s="46" t="s">
        <v>14</v>
      </c>
      <c r="L5" s="46" t="s">
        <v>14</v>
      </c>
      <c r="M5" s="127" t="s">
        <v>311</v>
      </c>
      <c r="N5" s="46">
        <v>2026</v>
      </c>
    </row>
    <row r="6" spans="1:14">
      <c r="A6" s="46">
        <v>5</v>
      </c>
      <c r="B6" s="127" t="s">
        <v>42</v>
      </c>
      <c r="C6" s="127" t="s">
        <v>50</v>
      </c>
      <c r="D6" s="46" t="s">
        <v>19</v>
      </c>
      <c r="E6" s="46" t="s">
        <v>112</v>
      </c>
      <c r="G6" s="46" t="s">
        <v>727</v>
      </c>
      <c r="H6" s="127" t="s">
        <v>728</v>
      </c>
      <c r="I6" s="139">
        <f>44321045.4/1480</f>
        <v>29946.652297297296</v>
      </c>
      <c r="J6" s="127" t="s">
        <v>14</v>
      </c>
      <c r="K6" s="127" t="s">
        <v>14</v>
      </c>
      <c r="L6" s="127" t="s">
        <v>14</v>
      </c>
      <c r="M6" s="127" t="s">
        <v>311</v>
      </c>
      <c r="N6" s="46">
        <v>2026</v>
      </c>
    </row>
    <row r="7" spans="1:14">
      <c r="A7" s="46">
        <v>6</v>
      </c>
      <c r="B7" s="127" t="s">
        <v>42</v>
      </c>
      <c r="C7" s="127" t="s">
        <v>44</v>
      </c>
      <c r="D7" s="46" t="s">
        <v>19</v>
      </c>
      <c r="E7" s="46" t="s">
        <v>112</v>
      </c>
      <c r="G7" s="46" t="s">
        <v>727</v>
      </c>
      <c r="H7" s="127" t="s">
        <v>728</v>
      </c>
      <c r="I7" s="139">
        <f>79520000/1480</f>
        <v>53729.729729729726</v>
      </c>
      <c r="J7" s="127" t="s">
        <v>14</v>
      </c>
      <c r="K7" s="127" t="s">
        <v>14</v>
      </c>
      <c r="L7" s="127" t="s">
        <v>14</v>
      </c>
      <c r="M7" s="127" t="s">
        <v>311</v>
      </c>
      <c r="N7" s="46">
        <v>2026</v>
      </c>
    </row>
    <row r="8" spans="1:14">
      <c r="A8" s="46">
        <v>7</v>
      </c>
      <c r="B8" s="134" t="s">
        <v>52</v>
      </c>
      <c r="C8" s="134" t="s">
        <v>62</v>
      </c>
      <c r="D8" s="46" t="s">
        <v>19</v>
      </c>
      <c r="E8" s="46" t="s">
        <v>112</v>
      </c>
      <c r="G8" s="46" t="s">
        <v>114</v>
      </c>
      <c r="H8" s="127" t="s">
        <v>728</v>
      </c>
      <c r="I8" s="138">
        <v>88087</v>
      </c>
      <c r="J8" s="127" t="s">
        <v>14</v>
      </c>
      <c r="K8" s="127" t="s">
        <v>14</v>
      </c>
      <c r="L8" s="127" t="s">
        <v>14</v>
      </c>
      <c r="M8" s="127" t="s">
        <v>311</v>
      </c>
      <c r="N8" s="46">
        <v>2026</v>
      </c>
    </row>
    <row r="9" spans="1:14">
      <c r="A9" s="46">
        <v>8</v>
      </c>
      <c r="B9" s="134" t="s">
        <v>52</v>
      </c>
      <c r="C9" s="134" t="s">
        <v>62</v>
      </c>
      <c r="D9" s="46" t="s">
        <v>19</v>
      </c>
      <c r="E9" s="46" t="s">
        <v>112</v>
      </c>
      <c r="G9" s="46" t="s">
        <v>87</v>
      </c>
      <c r="H9" s="127" t="s">
        <v>728</v>
      </c>
      <c r="I9" s="138">
        <v>24925.599999999999</v>
      </c>
      <c r="J9" s="127" t="s">
        <v>14</v>
      </c>
      <c r="K9" s="127" t="s">
        <v>14</v>
      </c>
      <c r="L9" s="127" t="s">
        <v>14</v>
      </c>
      <c r="M9" s="127" t="s">
        <v>311</v>
      </c>
      <c r="N9" s="46">
        <v>2026</v>
      </c>
    </row>
    <row r="10" spans="1:14">
      <c r="A10" s="46">
        <v>9</v>
      </c>
      <c r="B10" s="134" t="s">
        <v>52</v>
      </c>
      <c r="C10" s="134" t="s">
        <v>62</v>
      </c>
      <c r="D10" s="46" t="s">
        <v>19</v>
      </c>
      <c r="E10" s="46" t="s">
        <v>112</v>
      </c>
      <c r="G10" s="46" t="s">
        <v>114</v>
      </c>
      <c r="H10" s="127" t="s">
        <v>730</v>
      </c>
      <c r="I10" s="138">
        <v>20506.84</v>
      </c>
      <c r="J10" s="127" t="s">
        <v>14</v>
      </c>
      <c r="K10" s="127" t="s">
        <v>14</v>
      </c>
      <c r="L10" s="127" t="s">
        <v>14</v>
      </c>
      <c r="M10" s="127" t="s">
        <v>311</v>
      </c>
      <c r="N10" s="46">
        <v>2026</v>
      </c>
    </row>
  </sheetData>
  <phoneticPr fontId="19" type="noConversion"/>
  <dataValidations count="1">
    <dataValidation type="list" allowBlank="1" showInputMessage="1" showErrorMessage="1" sqref="C3 C6:C7 C11:C661" xr:uid="{00000000-0002-0000-1000-000001000000}">
      <formula1>INDIRECT(B3)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1000-000000000000}">
          <x14:formula1>
            <xm:f>List!$P$2:$P$11</xm:f>
          </x14:formula1>
          <xm:sqref>B3 B6:B7 B11:B661</xm:sqref>
        </x14:dataValidation>
        <x14:dataValidation type="list" allowBlank="1" showInputMessage="1" showErrorMessage="1" xr:uid="{00000000-0002-0000-1000-000002000000}">
          <x14:formula1>
            <xm:f>List!$C$2:$C$3</xm:f>
          </x14:formula1>
          <xm:sqref>D2:D661</xm:sqref>
        </x14:dataValidation>
        <x14:dataValidation type="list" allowBlank="1" showInputMessage="1" showErrorMessage="1" xr:uid="{00000000-0002-0000-1000-000003000000}">
          <x14:formula1>
            <xm:f>List!$E$2:$E$32</xm:f>
          </x14:formula1>
          <xm:sqref>E2:E661</xm:sqref>
        </x14:dataValidation>
        <x14:dataValidation type="list" allowBlank="1" showInputMessage="1" showErrorMessage="1" xr:uid="{00000000-0002-0000-1000-000004000000}">
          <x14:formula1>
            <xm:f>List!$H$2:$H$13</xm:f>
          </x14:formula1>
          <xm:sqref>M11:M661</xm:sqref>
        </x14:dataValidation>
        <x14:dataValidation type="list" allowBlank="1" showInputMessage="1" showErrorMessage="1" xr:uid="{00000000-0002-0000-1000-000005000000}">
          <x14:formula1>
            <xm:f>List!$J$2:$J$4</xm:f>
          </x14:formula1>
          <xm:sqref>N11:N661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539"/>
  <sheetViews>
    <sheetView workbookViewId="0">
      <selection activeCell="F1" sqref="F1"/>
    </sheetView>
  </sheetViews>
  <sheetFormatPr defaultColWidth="9" defaultRowHeight="14.5"/>
  <cols>
    <col min="1" max="1" width="5.36328125" customWidth="1"/>
    <col min="2" max="2" width="6.90625" customWidth="1"/>
    <col min="3" max="3" width="6.453125" customWidth="1"/>
    <col min="4" max="4" width="11.453125" customWidth="1"/>
    <col min="5" max="5" width="8.90625" customWidth="1"/>
    <col min="6" max="6" width="8.1796875" customWidth="1"/>
    <col min="7" max="7" width="10.08984375" customWidth="1"/>
    <col min="8" max="8" width="6.90625" customWidth="1"/>
    <col min="9" max="9" width="10.1796875" customWidth="1"/>
    <col min="10" max="10" width="10.08984375" customWidth="1"/>
    <col min="11" max="11" width="11.08984375" customWidth="1"/>
    <col min="12" max="12" width="10.453125" customWidth="1"/>
    <col min="13" max="13" width="6.453125" customWidth="1"/>
    <col min="14" max="14" width="4.54296875" customWidth="1"/>
  </cols>
  <sheetData>
    <row r="1" spans="1:14">
      <c r="A1" t="s">
        <v>0</v>
      </c>
      <c r="B1" t="s">
        <v>1</v>
      </c>
      <c r="C1" t="s">
        <v>2</v>
      </c>
      <c r="D1" t="s">
        <v>16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4"/>
      <c r="B2" s="4"/>
      <c r="C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>
      <c r="A3" s="4"/>
      <c r="B3" s="4"/>
      <c r="C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>
      <c r="A4" s="4"/>
      <c r="B4" s="4"/>
      <c r="C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>
      <c r="A5" s="4"/>
      <c r="B5" s="4"/>
      <c r="C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4"/>
      <c r="B6" s="4"/>
      <c r="C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4"/>
      <c r="B7" s="4"/>
      <c r="C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>
      <c r="A8" s="4"/>
      <c r="B8" s="4"/>
      <c r="C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>
      <c r="A9" s="4"/>
      <c r="B9" s="4"/>
      <c r="C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>
      <c r="A10" s="4"/>
      <c r="B10" s="4"/>
      <c r="C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>
      <c r="A11" s="4"/>
      <c r="B11" s="4"/>
      <c r="C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>
      <c r="A12" s="4"/>
      <c r="B12" s="4"/>
      <c r="C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4"/>
      <c r="B13" s="4"/>
      <c r="C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4"/>
      <c r="B14" s="4"/>
      <c r="C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>
      <c r="A15" s="4"/>
      <c r="B15" s="4"/>
      <c r="C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A16" s="4"/>
      <c r="B16" s="4"/>
      <c r="C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>
      <c r="A17" s="4"/>
      <c r="B17" s="4"/>
      <c r="C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>
      <c r="A18" s="4"/>
      <c r="B18" s="4"/>
      <c r="C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>
      <c r="A19" s="4"/>
      <c r="B19" s="4"/>
      <c r="C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4"/>
      <c r="B20" s="4"/>
      <c r="C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4"/>
      <c r="B21" s="4"/>
      <c r="C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s="4"/>
      <c r="B22" s="4"/>
      <c r="C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4"/>
      <c r="B23" s="4"/>
      <c r="C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4"/>
      <c r="B24" s="4"/>
      <c r="C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>
      <c r="A25" s="4"/>
      <c r="B25" s="4"/>
      <c r="C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>
      <c r="A26" s="4"/>
      <c r="B26" s="4"/>
      <c r="C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>
      <c r="A27" s="4"/>
      <c r="B27" s="4"/>
      <c r="C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>
      <c r="A28" s="4"/>
      <c r="B28" s="4"/>
      <c r="C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>
      <c r="A29" s="4"/>
      <c r="B29" s="4"/>
      <c r="C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>
      <c r="A30" s="4"/>
      <c r="B30" s="4"/>
      <c r="C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>
      <c r="A31" s="4"/>
      <c r="B31" s="4"/>
      <c r="C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>
      <c r="A32" s="4"/>
      <c r="B32" s="4"/>
      <c r="C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>
      <c r="A33" s="4"/>
      <c r="B33" s="4"/>
      <c r="C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>
      <c r="A34" s="4"/>
      <c r="B34" s="4"/>
      <c r="C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>
      <c r="A35" s="4"/>
      <c r="B35" s="4"/>
      <c r="C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>
      <c r="A36" s="4"/>
      <c r="B36" s="4"/>
      <c r="C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 s="4"/>
      <c r="B37" s="4"/>
      <c r="C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>
      <c r="A38" s="4"/>
      <c r="B38" s="4"/>
      <c r="C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>
      <c r="A39" s="4"/>
      <c r="B39" s="4"/>
      <c r="C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>
      <c r="A40" s="4"/>
      <c r="B40" s="4"/>
      <c r="C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>
      <c r="A41" s="4"/>
      <c r="B41" s="4"/>
      <c r="C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>
      <c r="A42" s="4"/>
      <c r="B42" s="4"/>
      <c r="C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>
      <c r="A43" s="4"/>
      <c r="B43" s="4"/>
      <c r="C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>
      <c r="A44" s="4"/>
      <c r="B44" s="4"/>
      <c r="C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>
      <c r="A45" s="4"/>
      <c r="B45" s="4"/>
      <c r="C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>
      <c r="A46" s="4"/>
      <c r="B46" s="4"/>
      <c r="C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>
      <c r="A47" s="4"/>
      <c r="B47" s="4"/>
      <c r="C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>
      <c r="A48" s="4"/>
      <c r="B48" s="4"/>
      <c r="C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>
      <c r="A49" s="4"/>
      <c r="B49" s="4"/>
      <c r="C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>
      <c r="A50" s="4"/>
      <c r="B50" s="4"/>
      <c r="C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>
      <c r="A51" s="4"/>
      <c r="B51" s="4"/>
      <c r="C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>
      <c r="A52" s="4"/>
      <c r="B52" s="4"/>
      <c r="C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>
      <c r="A53" s="4"/>
      <c r="B53" s="4"/>
      <c r="C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>
      <c r="A54" s="4"/>
      <c r="B54" s="4"/>
      <c r="C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>
      <c r="A55" s="4"/>
      <c r="B55" s="4"/>
      <c r="C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>
      <c r="A56" s="4"/>
      <c r="B56" s="4"/>
      <c r="C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>
      <c r="A57" s="4"/>
      <c r="B57" s="4"/>
      <c r="C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>
      <c r="A58" s="4"/>
      <c r="B58" s="4"/>
      <c r="C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>
      <c r="A59" s="4"/>
      <c r="B59" s="4"/>
      <c r="C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>
      <c r="A60" s="4"/>
      <c r="B60" s="4"/>
      <c r="C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>
      <c r="A61" s="4"/>
      <c r="B61" s="4"/>
      <c r="C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>
      <c r="A62" s="4"/>
      <c r="B62" s="4"/>
      <c r="C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>
      <c r="A63" s="4"/>
      <c r="B63" s="4"/>
      <c r="C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>
      <c r="A64" s="4"/>
      <c r="B64" s="4"/>
      <c r="C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>
      <c r="A65" s="4"/>
      <c r="B65" s="4"/>
      <c r="C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>
      <c r="A66" s="4"/>
      <c r="B66" s="4"/>
      <c r="C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>
      <c r="A67" s="4"/>
      <c r="B67" s="4"/>
      <c r="C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4"/>
      <c r="B68" s="4"/>
      <c r="C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>
      <c r="A69" s="4"/>
      <c r="B69" s="4"/>
      <c r="C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>
      <c r="A70" s="4"/>
      <c r="B70" s="4"/>
      <c r="C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>
      <c r="A71" s="4"/>
      <c r="B71" s="4"/>
      <c r="C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>
      <c r="A72" s="4"/>
      <c r="B72" s="4"/>
      <c r="C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>
      <c r="A73" s="4"/>
      <c r="B73" s="4"/>
      <c r="C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4"/>
      <c r="B74" s="4"/>
      <c r="C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>
      <c r="A75" s="4"/>
      <c r="B75" s="4"/>
      <c r="C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>
      <c r="A76" s="4"/>
      <c r="B76" s="4"/>
      <c r="C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spans="1:14">
      <c r="A77" s="4"/>
      <c r="B77" s="4"/>
      <c r="C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spans="1:14">
      <c r="A78" s="4"/>
      <c r="B78" s="4"/>
      <c r="C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4">
      <c r="A79" s="4"/>
      <c r="B79" s="4"/>
      <c r="C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1:14">
      <c r="A80" s="4"/>
      <c r="B80" s="4"/>
      <c r="C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1:14">
      <c r="A81" s="4"/>
      <c r="B81" s="4"/>
      <c r="C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1:14">
      <c r="A82" s="4"/>
      <c r="B82" s="4"/>
      <c r="C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spans="1:14">
      <c r="A83" s="4"/>
      <c r="B83" s="4"/>
      <c r="C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1:14">
      <c r="A84" s="4"/>
      <c r="B84" s="4"/>
      <c r="C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spans="1:14">
      <c r="A85" s="4"/>
      <c r="B85" s="4"/>
      <c r="C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1:14">
      <c r="A86" s="4"/>
      <c r="B86" s="4"/>
      <c r="C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14">
      <c r="A87" s="4"/>
      <c r="B87" s="4"/>
      <c r="C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spans="1:14">
      <c r="A88" s="4"/>
      <c r="B88" s="4"/>
      <c r="C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>
      <c r="A89" s="4"/>
      <c r="B89" s="4"/>
      <c r="C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spans="1:14">
      <c r="A90" s="4"/>
      <c r="B90" s="4"/>
      <c r="C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spans="1:14">
      <c r="A91" s="4"/>
      <c r="B91" s="4"/>
      <c r="C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4">
      <c r="A92" s="4"/>
      <c r="B92" s="4"/>
      <c r="C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spans="1:14">
      <c r="A93" s="4"/>
      <c r="B93" s="4"/>
      <c r="C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spans="1:14">
      <c r="A94" s="4"/>
      <c r="B94" s="4"/>
      <c r="C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spans="1:14">
      <c r="A95" s="4"/>
      <c r="B95" s="4"/>
      <c r="C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spans="1:14">
      <c r="A96" s="4"/>
      <c r="B96" s="4"/>
      <c r="C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spans="1:14">
      <c r="A97" s="4"/>
      <c r="B97" s="4"/>
      <c r="C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spans="1:14">
      <c r="A98" s="4"/>
      <c r="B98" s="4"/>
      <c r="C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spans="1:14">
      <c r="A99" s="4"/>
      <c r="B99" s="4"/>
      <c r="C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spans="1:14">
      <c r="A100" s="4"/>
      <c r="B100" s="4"/>
      <c r="C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spans="1:14">
      <c r="A101" s="4"/>
      <c r="B101" s="4"/>
      <c r="C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1:14">
      <c r="A102" s="4"/>
      <c r="B102" s="4"/>
      <c r="C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spans="1:14">
      <c r="A103" s="4"/>
      <c r="B103" s="4"/>
      <c r="C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spans="1:14">
      <c r="A104" s="4"/>
      <c r="B104" s="4"/>
      <c r="C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>
      <c r="A105" s="4"/>
      <c r="B105" s="4"/>
      <c r="C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>
      <c r="A106" s="4"/>
      <c r="B106" s="4"/>
      <c r="C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spans="1:14">
      <c r="A107" s="4"/>
      <c r="B107" s="4"/>
      <c r="C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spans="1:14">
      <c r="A108" s="4"/>
      <c r="B108" s="4"/>
      <c r="C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spans="1:14">
      <c r="A109" s="4"/>
      <c r="B109" s="4"/>
      <c r="C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spans="1:14">
      <c r="A110" s="4"/>
      <c r="B110" s="4"/>
      <c r="C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spans="1:14">
      <c r="A111" s="4"/>
      <c r="B111" s="4"/>
      <c r="C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spans="1:14">
      <c r="A112" s="4"/>
      <c r="B112" s="4"/>
      <c r="C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spans="1:14">
      <c r="A113" s="4"/>
      <c r="B113" s="4"/>
      <c r="C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spans="1:14">
      <c r="A114" s="4"/>
      <c r="B114" s="4"/>
      <c r="C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spans="1:14">
      <c r="A115" s="4"/>
      <c r="B115" s="4"/>
      <c r="C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spans="1:14">
      <c r="A116" s="4"/>
      <c r="B116" s="4"/>
      <c r="C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spans="1:14">
      <c r="A117" s="4"/>
      <c r="B117" s="4"/>
      <c r="C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spans="1:14">
      <c r="A118" s="4"/>
      <c r="B118" s="4"/>
      <c r="C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spans="1:14">
      <c r="A119" s="4"/>
      <c r="B119" s="4"/>
      <c r="C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spans="1:14">
      <c r="A120" s="4"/>
      <c r="B120" s="4"/>
      <c r="C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spans="1:14">
      <c r="A121" s="4"/>
      <c r="B121" s="4"/>
      <c r="C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>
      <c r="A122" s="4"/>
      <c r="B122" s="4"/>
      <c r="C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spans="1:14">
      <c r="A123" s="4"/>
      <c r="B123" s="4"/>
      <c r="C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spans="1:14">
      <c r="A124" s="4"/>
      <c r="B124" s="4"/>
      <c r="C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spans="1:14">
      <c r="A125" s="4"/>
      <c r="B125" s="4"/>
      <c r="C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spans="1:14">
      <c r="A126" s="4"/>
      <c r="B126" s="4"/>
      <c r="C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spans="1:14">
      <c r="A127" s="4"/>
      <c r="B127" s="4"/>
      <c r="C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spans="1:14">
      <c r="A128" s="4"/>
      <c r="B128" s="4"/>
      <c r="C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spans="1:14">
      <c r="A129" s="4"/>
      <c r="B129" s="4"/>
      <c r="C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spans="1:14">
      <c r="A130" s="4"/>
      <c r="B130" s="4"/>
      <c r="C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spans="1:14">
      <c r="A131" s="4"/>
      <c r="B131" s="4"/>
      <c r="C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4">
      <c r="A132" s="4"/>
      <c r="B132" s="4"/>
      <c r="C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spans="1:14">
      <c r="A133" s="4"/>
      <c r="B133" s="4"/>
      <c r="C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spans="1:14">
      <c r="A134" s="4"/>
      <c r="B134" s="4"/>
      <c r="C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spans="1:14">
      <c r="A135" s="4"/>
      <c r="B135" s="4"/>
      <c r="C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spans="1:14">
      <c r="A136" s="4"/>
      <c r="B136" s="4"/>
      <c r="C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spans="1:14">
      <c r="A137" s="4"/>
      <c r="B137" s="4"/>
      <c r="C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>
      <c r="A138" s="4"/>
      <c r="B138" s="4"/>
      <c r="C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spans="1:14">
      <c r="A139" s="4"/>
      <c r="B139" s="4"/>
      <c r="C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>
      <c r="A140" s="4"/>
      <c r="B140" s="4"/>
      <c r="C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>
      <c r="A141" s="4"/>
      <c r="B141" s="4"/>
      <c r="C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>
      <c r="A142" s="4"/>
      <c r="B142" s="4"/>
      <c r="C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4">
      <c r="A143" s="4"/>
      <c r="B143" s="4"/>
      <c r="C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>
      <c r="A144" s="4"/>
      <c r="B144" s="4"/>
      <c r="C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>
      <c r="A145" s="4"/>
      <c r="B145" s="4"/>
      <c r="C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spans="1:14">
      <c r="A146" s="4"/>
      <c r="B146" s="4"/>
      <c r="C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>
      <c r="A147" s="4"/>
      <c r="B147" s="4"/>
      <c r="C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>
      <c r="A148" s="4"/>
      <c r="B148" s="4"/>
      <c r="C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>
      <c r="A149" s="4"/>
      <c r="B149" s="4"/>
      <c r="C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>
      <c r="A150" s="4"/>
      <c r="B150" s="4"/>
      <c r="C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>
      <c r="A151" s="4"/>
      <c r="B151" s="4"/>
      <c r="C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>
      <c r="A152" s="4"/>
      <c r="B152" s="4"/>
      <c r="C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4">
      <c r="A153" s="4"/>
      <c r="B153" s="4"/>
      <c r="C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>
      <c r="A154" s="4"/>
      <c r="B154" s="4"/>
      <c r="C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>
      <c r="A155" s="4"/>
      <c r="B155" s="4"/>
      <c r="C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>
      <c r="A156" s="4"/>
      <c r="B156" s="4"/>
      <c r="C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>
      <c r="A157" s="4"/>
      <c r="B157" s="4"/>
      <c r="C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>
      <c r="A158" s="4"/>
      <c r="B158" s="4"/>
      <c r="C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>
      <c r="A159" s="4"/>
      <c r="B159" s="4"/>
      <c r="C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>
      <c r="A160" s="4"/>
      <c r="B160" s="4"/>
      <c r="C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14">
      <c r="A161" s="4"/>
      <c r="B161" s="4"/>
      <c r="C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>
      <c r="A162" s="4"/>
      <c r="B162" s="4"/>
      <c r="C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1:14">
      <c r="A163" s="4"/>
      <c r="B163" s="4"/>
      <c r="C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>
      <c r="A164" s="4"/>
      <c r="B164" s="4"/>
      <c r="C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4">
      <c r="A165" s="4"/>
      <c r="B165" s="4"/>
      <c r="C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>
      <c r="A166" s="4"/>
      <c r="B166" s="4"/>
      <c r="C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1:14">
      <c r="A167" s="4"/>
      <c r="B167" s="4"/>
      <c r="C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1:14">
      <c r="A168" s="4"/>
      <c r="B168" s="4"/>
      <c r="C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1:14">
      <c r="A169" s="4"/>
      <c r="B169" s="4"/>
      <c r="C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>
      <c r="A170" s="4"/>
      <c r="B170" s="4"/>
      <c r="C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4">
      <c r="A171" s="4"/>
      <c r="B171" s="4"/>
      <c r="C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>
      <c r="A172" s="4"/>
      <c r="B172" s="4"/>
      <c r="C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4">
      <c r="A173" s="4"/>
      <c r="B173" s="4"/>
      <c r="C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>
      <c r="A174" s="4"/>
      <c r="B174" s="4"/>
      <c r="C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1:14">
      <c r="A175" s="4"/>
      <c r="B175" s="4"/>
      <c r="C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>
      <c r="A176" s="4"/>
      <c r="B176" s="4"/>
      <c r="C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1:14">
      <c r="A177" s="4"/>
      <c r="B177" s="4"/>
      <c r="C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1:14">
      <c r="A178" s="4"/>
      <c r="B178" s="4"/>
      <c r="C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1:14">
      <c r="A179" s="4"/>
      <c r="B179" s="4"/>
      <c r="C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4">
      <c r="A180" s="4"/>
      <c r="B180" s="4"/>
      <c r="C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1:14">
      <c r="A181" s="4"/>
      <c r="B181" s="4"/>
      <c r="C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4">
      <c r="A182" s="4"/>
      <c r="B182" s="4"/>
      <c r="C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4">
      <c r="A183" s="4"/>
      <c r="B183" s="4"/>
      <c r="C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>
      <c r="A184" s="4"/>
      <c r="B184" s="4"/>
      <c r="C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1:14">
      <c r="A185" s="4"/>
      <c r="B185" s="4"/>
      <c r="C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>
      <c r="A186" s="4"/>
      <c r="B186" s="4"/>
      <c r="C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1:14">
      <c r="A187" s="4"/>
      <c r="B187" s="4"/>
      <c r="C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>
      <c r="A188" s="4"/>
      <c r="B188" s="4"/>
      <c r="C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>
      <c r="A189" s="4"/>
      <c r="B189" s="4"/>
      <c r="C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>
      <c r="A190" s="4"/>
      <c r="B190" s="4"/>
      <c r="C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4">
      <c r="A191" s="4"/>
      <c r="B191" s="4"/>
      <c r="C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>
      <c r="A192" s="4"/>
      <c r="B192" s="4"/>
      <c r="C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4">
      <c r="A193" s="4"/>
      <c r="B193" s="4"/>
      <c r="C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>
      <c r="A194" s="4"/>
      <c r="B194" s="4"/>
      <c r="C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4">
      <c r="A195" s="4"/>
      <c r="B195" s="4"/>
      <c r="C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>
      <c r="A196" s="4"/>
      <c r="B196" s="4"/>
      <c r="C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>
      <c r="A197" s="4"/>
      <c r="B197" s="4"/>
      <c r="C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4">
      <c r="A198" s="4"/>
      <c r="B198" s="4"/>
      <c r="C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>
      <c r="A199" s="4"/>
      <c r="B199" s="4"/>
      <c r="C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>
      <c r="A200" s="4"/>
      <c r="B200" s="4"/>
      <c r="C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4">
      <c r="A201" s="4"/>
      <c r="B201" s="4"/>
      <c r="C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>
      <c r="A202" s="4"/>
      <c r="B202" s="4"/>
      <c r="C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>
      <c r="A203" s="4"/>
      <c r="B203" s="4"/>
      <c r="C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4">
      <c r="A204" s="4"/>
      <c r="B204" s="4"/>
      <c r="C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1:14">
      <c r="A205" s="4"/>
      <c r="B205" s="4"/>
      <c r="C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4">
      <c r="A206" s="4"/>
      <c r="B206" s="4"/>
      <c r="C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4">
      <c r="A207" s="4"/>
      <c r="B207" s="4"/>
      <c r="C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4">
      <c r="A208" s="4"/>
      <c r="B208" s="4"/>
      <c r="C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4">
      <c r="A209" s="4"/>
      <c r="B209" s="4"/>
      <c r="C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1:14">
      <c r="A210" s="4"/>
      <c r="B210" s="4"/>
      <c r="C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1:14">
      <c r="A211" s="4"/>
      <c r="B211" s="4"/>
      <c r="C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4">
      <c r="A212" s="4"/>
      <c r="B212" s="4"/>
      <c r="C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1:14">
      <c r="A213" s="4"/>
      <c r="B213" s="4"/>
      <c r="C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1:14">
      <c r="A214" s="4"/>
      <c r="B214" s="4"/>
      <c r="C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1:14">
      <c r="A215" s="4"/>
      <c r="B215" s="4"/>
      <c r="C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1:14">
      <c r="A216" s="4"/>
      <c r="B216" s="4"/>
      <c r="C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1:14">
      <c r="A217" s="4"/>
      <c r="B217" s="4"/>
      <c r="C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1:14">
      <c r="A218" s="4"/>
      <c r="B218" s="4"/>
      <c r="C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1:14">
      <c r="A219" s="4"/>
      <c r="B219" s="4"/>
      <c r="C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1:14">
      <c r="A220" s="4"/>
      <c r="B220" s="4"/>
      <c r="C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1:14">
      <c r="A221" s="4"/>
      <c r="B221" s="4"/>
      <c r="C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1:14">
      <c r="A222" s="4"/>
      <c r="B222" s="4"/>
      <c r="C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1:14">
      <c r="A223" s="4"/>
      <c r="B223" s="4"/>
      <c r="C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1:14">
      <c r="A224" s="4"/>
      <c r="B224" s="4"/>
      <c r="C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1:14">
      <c r="A225" s="4"/>
      <c r="B225" s="4"/>
      <c r="C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1:14">
      <c r="A226" s="4"/>
      <c r="B226" s="4"/>
      <c r="C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1:14">
      <c r="A227" s="4"/>
      <c r="B227" s="4"/>
      <c r="C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1:14">
      <c r="A228" s="4"/>
      <c r="B228" s="4"/>
      <c r="C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1:14">
      <c r="A229" s="4"/>
      <c r="B229" s="4"/>
      <c r="C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1:14">
      <c r="A230" s="4"/>
      <c r="B230" s="4"/>
      <c r="C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1:14">
      <c r="A231" s="4"/>
      <c r="B231" s="4"/>
      <c r="C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1:14">
      <c r="A232" s="4"/>
      <c r="B232" s="4"/>
      <c r="C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1:14">
      <c r="A233" s="4"/>
      <c r="B233" s="4"/>
      <c r="C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1:14">
      <c r="A234" s="4"/>
      <c r="B234" s="4"/>
      <c r="C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1:14">
      <c r="A235" s="4"/>
      <c r="B235" s="4"/>
      <c r="C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1:14">
      <c r="A236" s="4"/>
      <c r="B236" s="4"/>
      <c r="C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1:14">
      <c r="A237" s="4"/>
      <c r="B237" s="4"/>
      <c r="C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1:14">
      <c r="A238" s="4"/>
      <c r="B238" s="4"/>
      <c r="C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1:14">
      <c r="A239" s="4"/>
      <c r="B239" s="4"/>
      <c r="C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1:14">
      <c r="A240" s="4"/>
      <c r="B240" s="4"/>
      <c r="C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1:14">
      <c r="A241" s="4"/>
      <c r="B241" s="4"/>
      <c r="C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1:14">
      <c r="A242" s="4"/>
      <c r="B242" s="4"/>
      <c r="C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1:14">
      <c r="A243" s="4"/>
      <c r="B243" s="4"/>
      <c r="C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1:14">
      <c r="A244" s="4"/>
      <c r="B244" s="4"/>
      <c r="C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1:14">
      <c r="A245" s="4"/>
      <c r="B245" s="4"/>
      <c r="C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1:14">
      <c r="A246" s="4"/>
      <c r="B246" s="4"/>
      <c r="C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1:14">
      <c r="A247" s="4"/>
      <c r="B247" s="4"/>
      <c r="C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1:14">
      <c r="A248" s="4"/>
      <c r="B248" s="4"/>
      <c r="C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1:14">
      <c r="A249" s="4"/>
      <c r="B249" s="4"/>
      <c r="C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1:14">
      <c r="A250" s="4"/>
      <c r="B250" s="4"/>
      <c r="C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1:14">
      <c r="A251" s="4"/>
      <c r="B251" s="4"/>
      <c r="C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1:14">
      <c r="A252" s="4"/>
      <c r="B252" s="4"/>
      <c r="C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1:14">
      <c r="A253" s="4"/>
      <c r="B253" s="4"/>
      <c r="C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1:14">
      <c r="A254" s="4"/>
      <c r="B254" s="4"/>
      <c r="C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1:14">
      <c r="A255" s="4"/>
      <c r="B255" s="4"/>
      <c r="C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1:14">
      <c r="A256" s="4"/>
      <c r="B256" s="4"/>
      <c r="C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1:14">
      <c r="A257" s="4"/>
      <c r="B257" s="4"/>
      <c r="C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1:14">
      <c r="A258" s="4"/>
      <c r="B258" s="4"/>
      <c r="C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1:14">
      <c r="A259" s="4"/>
      <c r="B259" s="4"/>
      <c r="C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1:14">
      <c r="A260" s="4"/>
      <c r="B260" s="4"/>
      <c r="C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1:14">
      <c r="A261" s="4"/>
      <c r="B261" s="4"/>
      <c r="C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1:14">
      <c r="A262" s="4"/>
      <c r="B262" s="4"/>
      <c r="C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1:14">
      <c r="A263" s="4"/>
      <c r="B263" s="4"/>
      <c r="C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1:14">
      <c r="A264" s="4"/>
      <c r="B264" s="4"/>
      <c r="C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1:14">
      <c r="A265" s="4"/>
      <c r="B265" s="4"/>
      <c r="C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1:14">
      <c r="A266" s="4"/>
      <c r="B266" s="4"/>
      <c r="C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1:14">
      <c r="A267" s="4"/>
      <c r="B267" s="4"/>
      <c r="C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1:14">
      <c r="A268" s="4"/>
      <c r="B268" s="4"/>
      <c r="C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1:14">
      <c r="A269" s="4"/>
      <c r="B269" s="4"/>
      <c r="C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1:14">
      <c r="A270" s="4"/>
      <c r="B270" s="4"/>
      <c r="C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1:14">
      <c r="A271" s="4"/>
      <c r="B271" s="4"/>
      <c r="C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1:14">
      <c r="A272" s="4"/>
      <c r="B272" s="4"/>
      <c r="C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1:14">
      <c r="A273" s="4"/>
      <c r="B273" s="4"/>
      <c r="C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1:14">
      <c r="A274" s="4"/>
      <c r="B274" s="4"/>
      <c r="C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1:14">
      <c r="A275" s="4"/>
      <c r="B275" s="4"/>
      <c r="C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1:14">
      <c r="A276" s="4"/>
      <c r="B276" s="4"/>
      <c r="C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1:14">
      <c r="A277" s="4"/>
      <c r="B277" s="4"/>
      <c r="C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1:14">
      <c r="A278" s="4"/>
      <c r="B278" s="4"/>
      <c r="C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1:14">
      <c r="A279" s="4"/>
      <c r="B279" s="4"/>
      <c r="C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1:14">
      <c r="A280" s="4"/>
      <c r="B280" s="4"/>
      <c r="C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1:14">
      <c r="A281" s="4"/>
      <c r="B281" s="4"/>
      <c r="C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1:14">
      <c r="A282" s="4"/>
      <c r="B282" s="4"/>
      <c r="C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1:14">
      <c r="A283" s="4"/>
      <c r="B283" s="4"/>
      <c r="C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1:14">
      <c r="A284" s="4"/>
      <c r="B284" s="4"/>
      <c r="C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1:14">
      <c r="A285" s="4"/>
      <c r="B285" s="4"/>
      <c r="C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1:14">
      <c r="A286" s="4"/>
      <c r="B286" s="4"/>
      <c r="C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1:14">
      <c r="A287" s="4"/>
      <c r="B287" s="4"/>
      <c r="C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1:14">
      <c r="A288" s="4"/>
      <c r="B288" s="4"/>
      <c r="C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1:14">
      <c r="A289" s="4"/>
      <c r="B289" s="4"/>
      <c r="C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1:14">
      <c r="A290" s="4"/>
      <c r="B290" s="4"/>
      <c r="C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1:14">
      <c r="A291" s="4"/>
      <c r="B291" s="4"/>
      <c r="C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1:14">
      <c r="A292" s="4"/>
      <c r="B292" s="4"/>
      <c r="C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1:14">
      <c r="A293" s="4"/>
      <c r="B293" s="4"/>
      <c r="C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1:14">
      <c r="A294" s="4"/>
      <c r="B294" s="4"/>
      <c r="C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1:14">
      <c r="A295" s="4"/>
      <c r="B295" s="4"/>
      <c r="C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1:14">
      <c r="A296" s="4"/>
      <c r="B296" s="4"/>
      <c r="C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1:14">
      <c r="A297" s="4"/>
      <c r="B297" s="4"/>
      <c r="C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1:14">
      <c r="A298" s="4"/>
      <c r="B298" s="4"/>
      <c r="C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1:14">
      <c r="A299" s="4"/>
      <c r="B299" s="4"/>
      <c r="C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1:14">
      <c r="A300" s="4"/>
      <c r="B300" s="4"/>
      <c r="C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1:14">
      <c r="A301" s="4"/>
      <c r="B301" s="4"/>
      <c r="C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1:14">
      <c r="A302" s="4"/>
      <c r="B302" s="4"/>
      <c r="C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1:14">
      <c r="A303" s="4"/>
      <c r="B303" s="4"/>
      <c r="C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1:14">
      <c r="A304" s="4"/>
      <c r="B304" s="4"/>
      <c r="C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1:14">
      <c r="A305" s="4"/>
      <c r="B305" s="4"/>
      <c r="C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1:14">
      <c r="A306" s="4"/>
      <c r="B306" s="4"/>
      <c r="C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1:14">
      <c r="A307" s="4"/>
      <c r="B307" s="4"/>
      <c r="C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1:14">
      <c r="A308" s="4"/>
      <c r="B308" s="4"/>
      <c r="C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1:14">
      <c r="A309" s="4"/>
      <c r="B309" s="4"/>
      <c r="C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1:14">
      <c r="A310" s="4"/>
      <c r="B310" s="4"/>
      <c r="C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1:14">
      <c r="A311" s="4"/>
      <c r="B311" s="4"/>
      <c r="C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1:14">
      <c r="A312" s="4"/>
      <c r="B312" s="4"/>
      <c r="C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1:14">
      <c r="A313" s="4"/>
      <c r="B313" s="4"/>
      <c r="C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1:14">
      <c r="A314" s="4"/>
      <c r="B314" s="4"/>
      <c r="C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1:14">
      <c r="A315" s="4"/>
      <c r="B315" s="4"/>
      <c r="C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1:14">
      <c r="A316" s="4"/>
      <c r="B316" s="4"/>
      <c r="C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1:14">
      <c r="A317" s="4"/>
      <c r="B317" s="4"/>
      <c r="C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1:14">
      <c r="A318" s="4"/>
      <c r="B318" s="4"/>
      <c r="C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1:14">
      <c r="A319" s="4"/>
      <c r="B319" s="4"/>
      <c r="C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1:14">
      <c r="A320" s="4"/>
      <c r="B320" s="4"/>
      <c r="C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1:14">
      <c r="A321" s="4"/>
      <c r="B321" s="4"/>
      <c r="C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1:14">
      <c r="A322" s="4"/>
      <c r="B322" s="4"/>
      <c r="C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1:14">
      <c r="A323" s="4"/>
      <c r="B323" s="4"/>
      <c r="C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1:14">
      <c r="A324" s="4"/>
      <c r="B324" s="4"/>
      <c r="C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1:14">
      <c r="A325" s="4"/>
      <c r="B325" s="4"/>
      <c r="C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spans="1:14">
      <c r="A326" s="4"/>
      <c r="B326" s="4"/>
      <c r="C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spans="1:14">
      <c r="A327" s="4"/>
      <c r="B327" s="4"/>
      <c r="C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spans="1:14">
      <c r="A328" s="4"/>
      <c r="B328" s="4"/>
      <c r="C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spans="1:14">
      <c r="A329" s="4"/>
      <c r="B329" s="4"/>
      <c r="C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spans="1:14">
      <c r="A330" s="4"/>
      <c r="B330" s="4"/>
      <c r="C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spans="1:14">
      <c r="A331" s="4"/>
      <c r="B331" s="4"/>
      <c r="C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spans="1:14">
      <c r="A332" s="4"/>
      <c r="B332" s="4"/>
      <c r="C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spans="1:14">
      <c r="A333" s="4"/>
      <c r="B333" s="4"/>
      <c r="C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spans="1:14">
      <c r="A334" s="4"/>
      <c r="B334" s="4"/>
      <c r="C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spans="1:14">
      <c r="A335" s="4"/>
      <c r="B335" s="4"/>
      <c r="C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spans="1:14">
      <c r="A336" s="4"/>
      <c r="B336" s="4"/>
      <c r="C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spans="1:14">
      <c r="A337" s="4"/>
      <c r="B337" s="4"/>
      <c r="C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spans="1:14">
      <c r="A338" s="4"/>
      <c r="B338" s="4"/>
      <c r="C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spans="1:14">
      <c r="A339" s="4"/>
      <c r="B339" s="4"/>
      <c r="C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spans="1:14">
      <c r="A340" s="4"/>
      <c r="B340" s="4"/>
      <c r="C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spans="1:14">
      <c r="A341" s="4"/>
      <c r="B341" s="4"/>
      <c r="C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spans="1:14">
      <c r="A342" s="4"/>
      <c r="B342" s="4"/>
      <c r="C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spans="1:14">
      <c r="A343" s="4"/>
      <c r="B343" s="4"/>
      <c r="C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spans="1:14">
      <c r="A344" s="4"/>
      <c r="B344" s="4"/>
      <c r="C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spans="1:14">
      <c r="A345" s="4"/>
      <c r="B345" s="4"/>
      <c r="C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spans="1:14">
      <c r="A346" s="4"/>
      <c r="B346" s="4"/>
      <c r="C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spans="1:14">
      <c r="A347" s="4"/>
      <c r="B347" s="4"/>
      <c r="C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spans="1:14">
      <c r="A348" s="4"/>
      <c r="B348" s="4"/>
      <c r="C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spans="1:14">
      <c r="A349" s="4"/>
      <c r="B349" s="4"/>
      <c r="C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spans="1:14">
      <c r="A350" s="4"/>
      <c r="B350" s="4"/>
      <c r="C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spans="1:14">
      <c r="A351" s="4"/>
      <c r="B351" s="4"/>
      <c r="C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spans="1:14">
      <c r="A352" s="4"/>
      <c r="B352" s="4"/>
      <c r="C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spans="1:14">
      <c r="A353" s="4"/>
      <c r="B353" s="4"/>
      <c r="C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spans="1:14">
      <c r="A354" s="4"/>
      <c r="B354" s="4"/>
      <c r="C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spans="1:14">
      <c r="A355" s="4"/>
      <c r="B355" s="4"/>
      <c r="C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spans="1:14">
      <c r="A356" s="4"/>
      <c r="B356" s="4"/>
      <c r="C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spans="1:14">
      <c r="A357" s="4"/>
      <c r="B357" s="4"/>
      <c r="C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spans="1:14">
      <c r="A358" s="4"/>
      <c r="B358" s="4"/>
      <c r="C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spans="1:14">
      <c r="A359" s="4"/>
      <c r="B359" s="4"/>
      <c r="C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spans="1:14">
      <c r="A360" s="4"/>
      <c r="B360" s="4"/>
      <c r="C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spans="1:14">
      <c r="A361" s="4"/>
      <c r="B361" s="4"/>
      <c r="C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spans="1:14">
      <c r="A362" s="4"/>
      <c r="B362" s="4"/>
      <c r="C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spans="1:14">
      <c r="A363" s="4"/>
      <c r="B363" s="4"/>
      <c r="C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spans="1:14">
      <c r="A364" s="4"/>
      <c r="B364" s="4"/>
      <c r="C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spans="1:14">
      <c r="A365" s="4"/>
      <c r="B365" s="4"/>
      <c r="C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spans="1:14">
      <c r="A366" s="4"/>
      <c r="B366" s="4"/>
      <c r="C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spans="1:14">
      <c r="A367" s="4"/>
      <c r="B367" s="4"/>
      <c r="C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spans="1:14">
      <c r="A368" s="4"/>
      <c r="B368" s="4"/>
      <c r="C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spans="1:14">
      <c r="A369" s="4"/>
      <c r="B369" s="4"/>
      <c r="C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spans="1:14">
      <c r="A370" s="4"/>
      <c r="B370" s="4"/>
      <c r="C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spans="1:14">
      <c r="A371" s="4"/>
      <c r="B371" s="4"/>
      <c r="C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spans="1:14">
      <c r="A372" s="4"/>
      <c r="B372" s="4"/>
      <c r="C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spans="1:14">
      <c r="A373" s="4"/>
      <c r="B373" s="4"/>
      <c r="C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spans="1:14">
      <c r="A374" s="4"/>
      <c r="B374" s="4"/>
      <c r="C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spans="1:14">
      <c r="A375" s="4"/>
      <c r="B375" s="4"/>
      <c r="C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spans="1:14">
      <c r="A376" s="4"/>
      <c r="B376" s="4"/>
      <c r="C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spans="1:14">
      <c r="A377" s="4"/>
      <c r="B377" s="4"/>
      <c r="C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spans="1:14">
      <c r="A378" s="4"/>
      <c r="B378" s="4"/>
      <c r="C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spans="1:14">
      <c r="A379" s="4"/>
      <c r="B379" s="4"/>
      <c r="C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spans="1:14">
      <c r="A380" s="4"/>
      <c r="B380" s="4"/>
      <c r="C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spans="1:14">
      <c r="A381" s="4"/>
      <c r="B381" s="4"/>
      <c r="C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spans="1:14">
      <c r="A382" s="4"/>
      <c r="B382" s="4"/>
      <c r="C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spans="1:14">
      <c r="A383" s="4"/>
      <c r="B383" s="4"/>
      <c r="C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spans="1:14">
      <c r="A384" s="4"/>
      <c r="B384" s="4"/>
      <c r="C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spans="1:14">
      <c r="A385" s="4"/>
      <c r="B385" s="4"/>
      <c r="C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spans="1:14">
      <c r="A386" s="4"/>
      <c r="B386" s="4"/>
      <c r="C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spans="1:14">
      <c r="A387" s="4"/>
      <c r="B387" s="4"/>
      <c r="C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spans="1:14">
      <c r="A388" s="4"/>
      <c r="B388" s="4"/>
      <c r="C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spans="1:14">
      <c r="A389" s="4"/>
      <c r="B389" s="4"/>
      <c r="C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spans="1:14">
      <c r="A390" s="4"/>
      <c r="B390" s="4"/>
      <c r="C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spans="1:14">
      <c r="A391" s="4"/>
      <c r="B391" s="4"/>
      <c r="C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spans="1:14">
      <c r="A392" s="4"/>
      <c r="B392" s="4"/>
      <c r="C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spans="1:14">
      <c r="A393" s="4"/>
      <c r="B393" s="4"/>
      <c r="C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spans="1:14">
      <c r="A394" s="4"/>
      <c r="B394" s="4"/>
      <c r="C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spans="1:14">
      <c r="A395" s="4"/>
      <c r="B395" s="4"/>
      <c r="C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spans="1:14">
      <c r="A396" s="4"/>
      <c r="B396" s="4"/>
      <c r="C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spans="1:14">
      <c r="A397" s="4"/>
      <c r="B397" s="4"/>
      <c r="C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spans="1:14">
      <c r="A398" s="4"/>
      <c r="B398" s="4"/>
      <c r="C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spans="1:14">
      <c r="A399" s="4"/>
      <c r="B399" s="4"/>
      <c r="C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spans="1:14">
      <c r="A400" s="4"/>
      <c r="B400" s="4"/>
      <c r="C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spans="1:14">
      <c r="A401" s="4"/>
      <c r="B401" s="4"/>
      <c r="C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spans="1:14">
      <c r="A402" s="4"/>
      <c r="B402" s="4"/>
      <c r="C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spans="1:14">
      <c r="A403" s="4"/>
      <c r="B403" s="4"/>
      <c r="C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spans="1:14">
      <c r="A404" s="4"/>
      <c r="B404" s="4"/>
      <c r="C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spans="1:14">
      <c r="A405" s="4"/>
      <c r="B405" s="4"/>
      <c r="C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spans="1:14">
      <c r="A406" s="4"/>
      <c r="B406" s="4"/>
      <c r="C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spans="1:14">
      <c r="A407" s="4"/>
      <c r="B407" s="4"/>
      <c r="C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spans="1:14">
      <c r="A408" s="4"/>
      <c r="B408" s="4"/>
      <c r="C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spans="1:14">
      <c r="A409" s="4"/>
      <c r="B409" s="4"/>
      <c r="C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spans="1:14">
      <c r="A410" s="4"/>
      <c r="B410" s="4"/>
      <c r="C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spans="1:14">
      <c r="A411" s="4"/>
      <c r="B411" s="4"/>
      <c r="C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spans="1:14">
      <c r="A412" s="4"/>
      <c r="B412" s="4"/>
      <c r="C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spans="1:14">
      <c r="A413" s="4"/>
      <c r="B413" s="4"/>
      <c r="C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spans="1:14">
      <c r="A414" s="4"/>
      <c r="B414" s="4"/>
      <c r="C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spans="1:14">
      <c r="A415" s="4"/>
      <c r="B415" s="4"/>
      <c r="C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spans="1:14">
      <c r="A416" s="4"/>
      <c r="B416" s="4"/>
      <c r="C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spans="1:14">
      <c r="A417" s="4"/>
      <c r="B417" s="4"/>
      <c r="C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spans="1:14">
      <c r="A418" s="4"/>
      <c r="B418" s="4"/>
      <c r="C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spans="1:14">
      <c r="A419" s="4"/>
      <c r="B419" s="4"/>
      <c r="C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spans="1:14">
      <c r="A420" s="4"/>
      <c r="B420" s="4"/>
      <c r="C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spans="1:14">
      <c r="A421" s="4"/>
      <c r="B421" s="4"/>
      <c r="C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spans="1:14">
      <c r="A422" s="4"/>
      <c r="B422" s="4"/>
      <c r="C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spans="1:14">
      <c r="A423" s="4"/>
      <c r="B423" s="4"/>
      <c r="C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spans="1:14">
      <c r="A424" s="4"/>
      <c r="B424" s="4"/>
      <c r="C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spans="1:14">
      <c r="A425" s="4"/>
      <c r="B425" s="4"/>
      <c r="C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spans="1:14">
      <c r="A426" s="4"/>
      <c r="B426" s="4"/>
      <c r="C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spans="1:14">
      <c r="A427" s="4"/>
      <c r="B427" s="4"/>
      <c r="C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spans="1:14">
      <c r="A428" s="4"/>
      <c r="B428" s="4"/>
      <c r="C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spans="1:14">
      <c r="A429" s="4"/>
      <c r="B429" s="4"/>
      <c r="C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spans="1:14">
      <c r="A430" s="4"/>
      <c r="B430" s="4"/>
      <c r="C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spans="1:14">
      <c r="A431" s="4"/>
      <c r="B431" s="4"/>
      <c r="C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spans="1:14">
      <c r="A432" s="4"/>
      <c r="B432" s="4"/>
      <c r="C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spans="1:14">
      <c r="A433" s="4"/>
      <c r="B433" s="4"/>
      <c r="C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spans="1:14">
      <c r="A434" s="4"/>
      <c r="B434" s="4"/>
      <c r="C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spans="1:14">
      <c r="A435" s="4"/>
      <c r="B435" s="4"/>
      <c r="C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spans="1:14">
      <c r="A436" s="4"/>
      <c r="B436" s="4"/>
      <c r="C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spans="1:14">
      <c r="A437" s="4"/>
      <c r="B437" s="4"/>
      <c r="C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spans="1:14">
      <c r="A438" s="4"/>
      <c r="B438" s="4"/>
      <c r="C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spans="1:14">
      <c r="A439" s="4"/>
      <c r="B439" s="4"/>
      <c r="C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spans="1:14">
      <c r="A440" s="4"/>
      <c r="B440" s="4"/>
      <c r="C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spans="1:14">
      <c r="A441" s="4"/>
      <c r="B441" s="4"/>
      <c r="C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spans="1:14">
      <c r="A442" s="4"/>
      <c r="B442" s="4"/>
      <c r="C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spans="1:14">
      <c r="A443" s="4"/>
      <c r="B443" s="4"/>
      <c r="C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spans="1:14">
      <c r="A444" s="4"/>
      <c r="B444" s="4"/>
      <c r="C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spans="1:14">
      <c r="A445" s="4"/>
      <c r="B445" s="4"/>
      <c r="C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spans="1:14">
      <c r="A446" s="4"/>
      <c r="B446" s="4"/>
      <c r="C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spans="1:14">
      <c r="A447" s="4"/>
      <c r="B447" s="4"/>
      <c r="C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spans="1:14">
      <c r="A448" s="4"/>
      <c r="B448" s="4"/>
      <c r="C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spans="1:14">
      <c r="A449" s="4"/>
      <c r="B449" s="4"/>
      <c r="C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spans="1:14">
      <c r="A450" s="4"/>
      <c r="B450" s="4"/>
      <c r="C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spans="1:14">
      <c r="A451" s="4"/>
      <c r="B451" s="4"/>
      <c r="C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spans="1:14">
      <c r="A452" s="4"/>
      <c r="B452" s="4"/>
      <c r="C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spans="1:14">
      <c r="A453" s="4"/>
      <c r="B453" s="4"/>
      <c r="C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spans="1:14">
      <c r="A454" s="4"/>
      <c r="B454" s="4"/>
      <c r="C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spans="1:14">
      <c r="A455" s="4"/>
      <c r="B455" s="4"/>
      <c r="C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spans="1:14">
      <c r="A456" s="4"/>
      <c r="B456" s="4"/>
      <c r="C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spans="1:14">
      <c r="A457" s="4"/>
      <c r="B457" s="4"/>
      <c r="C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spans="1:14">
      <c r="A458" s="4"/>
      <c r="B458" s="4"/>
      <c r="C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spans="1:14">
      <c r="A459" s="4"/>
      <c r="B459" s="4"/>
      <c r="C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spans="1:14">
      <c r="A460" s="4"/>
      <c r="B460" s="4"/>
      <c r="C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spans="1:14">
      <c r="A461" s="4"/>
      <c r="B461" s="4"/>
      <c r="C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spans="1:14">
      <c r="A462" s="4"/>
      <c r="B462" s="4"/>
      <c r="C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spans="1:14">
      <c r="A463" s="4"/>
      <c r="B463" s="4"/>
      <c r="C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spans="1:14">
      <c r="A464" s="4"/>
      <c r="B464" s="4"/>
      <c r="C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spans="1:14">
      <c r="A465" s="4"/>
      <c r="B465" s="4"/>
      <c r="C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spans="1:14">
      <c r="A466" s="4"/>
      <c r="B466" s="4"/>
      <c r="C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spans="1:14">
      <c r="A467" s="4"/>
      <c r="B467" s="4"/>
      <c r="C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spans="1:14">
      <c r="A468" s="4"/>
      <c r="B468" s="4"/>
      <c r="C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spans="1:14">
      <c r="A469" s="4"/>
      <c r="B469" s="4"/>
      <c r="C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spans="1:14">
      <c r="A470" s="4"/>
      <c r="B470" s="4"/>
      <c r="C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spans="1:14">
      <c r="A471" s="4"/>
      <c r="B471" s="4"/>
      <c r="C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spans="1:14">
      <c r="A472" s="4"/>
      <c r="B472" s="4"/>
      <c r="C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spans="1:14">
      <c r="A473" s="4"/>
      <c r="B473" s="4"/>
      <c r="C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spans="1:14">
      <c r="A474" s="4"/>
      <c r="B474" s="4"/>
      <c r="C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spans="1:14">
      <c r="A475" s="4"/>
      <c r="B475" s="4"/>
      <c r="C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spans="1:14">
      <c r="A476" s="4"/>
      <c r="B476" s="4"/>
      <c r="C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spans="1:14">
      <c r="A477" s="4"/>
      <c r="B477" s="4"/>
      <c r="C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spans="1:14">
      <c r="A478" s="4"/>
      <c r="B478" s="4"/>
      <c r="C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spans="1:14">
      <c r="A479" s="4"/>
      <c r="B479" s="4"/>
      <c r="C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spans="1:14">
      <c r="A480" s="4"/>
      <c r="B480" s="4"/>
      <c r="C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spans="1:14">
      <c r="A481" s="4"/>
      <c r="B481" s="4"/>
      <c r="C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spans="1:14">
      <c r="A482" s="4"/>
      <c r="B482" s="4"/>
      <c r="C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spans="1:14">
      <c r="A483" s="4"/>
      <c r="B483" s="4"/>
      <c r="C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spans="1:14">
      <c r="A484" s="4"/>
      <c r="B484" s="4"/>
      <c r="C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spans="1:14">
      <c r="A485" s="4"/>
      <c r="B485" s="4"/>
      <c r="C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spans="1:14">
      <c r="A486" s="4"/>
      <c r="B486" s="4"/>
      <c r="C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spans="1:14">
      <c r="A487" s="4"/>
      <c r="B487" s="4"/>
      <c r="C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spans="1:14">
      <c r="A488" s="4"/>
      <c r="B488" s="4"/>
      <c r="C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spans="1:14">
      <c r="A489" s="4"/>
      <c r="B489" s="4"/>
      <c r="C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spans="1:14">
      <c r="A490" s="4"/>
      <c r="B490" s="4"/>
      <c r="C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spans="1:14">
      <c r="A491" s="4"/>
      <c r="B491" s="4"/>
      <c r="C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spans="1:14">
      <c r="A492" s="4"/>
      <c r="B492" s="4"/>
      <c r="C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spans="1:14">
      <c r="A493" s="4"/>
      <c r="B493" s="4"/>
      <c r="C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spans="1:14">
      <c r="A494" s="4"/>
      <c r="B494" s="4"/>
      <c r="C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spans="1:14">
      <c r="A495" s="4"/>
      <c r="B495" s="4"/>
      <c r="C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spans="1:14">
      <c r="A496" s="4"/>
      <c r="B496" s="4"/>
      <c r="C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spans="1:14">
      <c r="A497" s="4"/>
      <c r="B497" s="4"/>
      <c r="C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spans="1:14">
      <c r="A498" s="4"/>
      <c r="B498" s="4"/>
      <c r="C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spans="1:14">
      <c r="A499" s="4"/>
      <c r="B499" s="4"/>
      <c r="C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spans="1:14">
      <c r="A500" s="4"/>
      <c r="B500" s="4"/>
      <c r="C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spans="1:14">
      <c r="A501" s="4"/>
      <c r="B501" s="4"/>
      <c r="C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spans="1:14">
      <c r="A502" s="4"/>
      <c r="B502" s="4"/>
      <c r="C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spans="1:14">
      <c r="A503" s="4"/>
      <c r="B503" s="4"/>
      <c r="C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spans="1:14">
      <c r="A504" s="4"/>
      <c r="B504" s="4"/>
      <c r="C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spans="1:14">
      <c r="A505" s="4"/>
      <c r="B505" s="4"/>
      <c r="C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spans="1:14">
      <c r="A506" s="4"/>
      <c r="B506" s="4"/>
      <c r="C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spans="1:14">
      <c r="A507" s="4"/>
      <c r="B507" s="4"/>
      <c r="C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spans="1:14">
      <c r="A508" s="4"/>
      <c r="B508" s="4"/>
      <c r="C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spans="1:14">
      <c r="A509" s="4"/>
      <c r="B509" s="4"/>
      <c r="C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spans="1:14">
      <c r="A510" s="4"/>
      <c r="B510" s="4"/>
      <c r="C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spans="1:14">
      <c r="A511" s="4"/>
      <c r="B511" s="4"/>
      <c r="C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spans="1:14">
      <c r="A512" s="4"/>
      <c r="B512" s="4"/>
      <c r="C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spans="1:14">
      <c r="A513" s="4"/>
      <c r="B513" s="4"/>
      <c r="C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spans="1:14">
      <c r="A514" s="4"/>
      <c r="B514" s="4"/>
      <c r="C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spans="1:14">
      <c r="A515" s="4"/>
      <c r="B515" s="4"/>
      <c r="C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spans="1:14">
      <c r="A516" s="4"/>
      <c r="B516" s="4"/>
      <c r="C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spans="1:14">
      <c r="A517" s="4"/>
      <c r="B517" s="4"/>
      <c r="C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spans="1:14">
      <c r="A518" s="4"/>
      <c r="B518" s="4"/>
      <c r="C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spans="1:14">
      <c r="A519" s="4"/>
      <c r="B519" s="4"/>
      <c r="C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spans="1:14">
      <c r="A520" s="4"/>
      <c r="B520" s="4"/>
      <c r="C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spans="1:14">
      <c r="A521" s="4"/>
      <c r="B521" s="4"/>
      <c r="C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spans="1:14">
      <c r="A522" s="4"/>
      <c r="B522" s="4"/>
      <c r="C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spans="1:14">
      <c r="A523" s="4"/>
      <c r="B523" s="4"/>
      <c r="C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spans="1:14">
      <c r="A524" s="4"/>
      <c r="B524" s="4"/>
      <c r="C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spans="1:14">
      <c r="A525" s="4"/>
      <c r="B525" s="4"/>
      <c r="C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spans="1:14">
      <c r="A526" s="4"/>
      <c r="B526" s="4"/>
      <c r="C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spans="1:14">
      <c r="A527" s="4"/>
      <c r="B527" s="4"/>
      <c r="C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spans="1:14">
      <c r="A528" s="4"/>
      <c r="B528" s="4"/>
      <c r="C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spans="1:14">
      <c r="A529" s="4"/>
      <c r="B529" s="4"/>
      <c r="C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spans="1:14">
      <c r="A530" s="4"/>
      <c r="B530" s="4"/>
      <c r="C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spans="1:14">
      <c r="A531" s="4"/>
      <c r="B531" s="4"/>
      <c r="C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spans="1:14">
      <c r="A532" s="4"/>
      <c r="B532" s="4"/>
      <c r="C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spans="1:14">
      <c r="A533" s="4"/>
      <c r="B533" s="4"/>
      <c r="C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spans="1:14">
      <c r="A534" s="4"/>
      <c r="B534" s="4"/>
      <c r="C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spans="1:14">
      <c r="A535" s="4"/>
      <c r="B535" s="4"/>
      <c r="C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spans="1:14">
      <c r="A536" s="4"/>
      <c r="B536" s="4"/>
      <c r="C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spans="1:14">
      <c r="A537" s="4"/>
      <c r="B537" s="4"/>
      <c r="C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spans="1:14">
      <c r="A538" s="4"/>
      <c r="B538" s="4"/>
      <c r="C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spans="1:14">
      <c r="A539" s="4"/>
      <c r="B539" s="4"/>
      <c r="C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</sheetData>
  <dataValidations count="1">
    <dataValidation type="list" allowBlank="1" showInputMessage="1" showErrorMessage="1" sqref="C2:C539" xr:uid="{00000000-0002-0000-12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1200-000000000000}">
          <x14:formula1>
            <xm:f>List!$P$2:$P$11</xm:f>
          </x14:formula1>
          <xm:sqref>B2:B539</xm:sqref>
        </x14:dataValidation>
        <x14:dataValidation type="list" allowBlank="1" showInputMessage="1" showErrorMessage="1" xr:uid="{00000000-0002-0000-1200-000002000000}">
          <x14:formula1>
            <xm:f>List!$C$2:$C$3</xm:f>
          </x14:formula1>
          <xm:sqref>E2:E539</xm:sqref>
        </x14:dataValidation>
        <x14:dataValidation type="list" allowBlank="1" showInputMessage="1" showErrorMessage="1" xr:uid="{00000000-0002-0000-1200-000003000000}">
          <x14:formula1>
            <xm:f>List!$E$2:$E$32</xm:f>
          </x14:formula1>
          <xm:sqref>F2:F539</xm:sqref>
        </x14:dataValidation>
        <x14:dataValidation type="list" allowBlank="1" showInputMessage="1" showErrorMessage="1" xr:uid="{00000000-0002-0000-1200-000004000000}">
          <x14:formula1>
            <xm:f>List!$H$2:$H$13</xm:f>
          </x14:formula1>
          <xm:sqref>M2:M539</xm:sqref>
        </x14:dataValidation>
        <x14:dataValidation type="list" allowBlank="1" showInputMessage="1" showErrorMessage="1" xr:uid="{00000000-0002-0000-1200-000005000000}">
          <x14:formula1>
            <xm:f>List!$J$2:$J$4</xm:f>
          </x14:formula1>
          <xm:sqref>N2:N539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DCD97-F4B2-4ECC-B366-4EE797476A02}">
  <sheetPr>
    <tabColor theme="4" tint="0.39997558519241921"/>
  </sheetPr>
  <dimension ref="A1:N11"/>
  <sheetViews>
    <sheetView workbookViewId="0">
      <selection sqref="A1:XFD1048576"/>
    </sheetView>
  </sheetViews>
  <sheetFormatPr defaultRowHeight="14.5"/>
  <cols>
    <col min="1" max="1" width="5.36328125" style="46" bestFit="1" customWidth="1"/>
    <col min="2" max="2" width="8.6328125" style="46" bestFit="1" customWidth="1"/>
    <col min="3" max="3" width="9.6328125" style="46" bestFit="1" customWidth="1"/>
    <col min="4" max="4" width="9" style="46" bestFit="1" customWidth="1"/>
    <col min="5" max="5" width="10.90625" style="46" bestFit="1" customWidth="1"/>
    <col min="6" max="6" width="10.1796875" style="46" bestFit="1" customWidth="1"/>
    <col min="7" max="7" width="35" style="46" bestFit="1" customWidth="1"/>
    <col min="8" max="8" width="15.1796875" style="46" bestFit="1" customWidth="1"/>
    <col min="9" max="9" width="11.54296875" style="46" bestFit="1" customWidth="1"/>
    <col min="10" max="10" width="14.453125" style="46" bestFit="1" customWidth="1"/>
    <col min="11" max="11" width="11.1796875" style="46" bestFit="1" customWidth="1"/>
    <col min="12" max="12" width="10.81640625" style="46" bestFit="1" customWidth="1"/>
    <col min="13" max="13" width="6.54296875" style="46" bestFit="1" customWidth="1"/>
    <col min="14" max="14" width="4.81640625" style="46" bestFit="1" customWidth="1"/>
    <col min="15" max="16384" width="8.7265625" style="46"/>
  </cols>
  <sheetData>
    <row r="1" spans="1:14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  <c r="G1" s="97" t="s">
        <v>6</v>
      </c>
      <c r="H1" s="97" t="s">
        <v>7</v>
      </c>
      <c r="I1" s="97" t="s">
        <v>16</v>
      </c>
      <c r="J1" s="97" t="s">
        <v>9</v>
      </c>
      <c r="K1" s="97" t="s">
        <v>10</v>
      </c>
      <c r="L1" s="97" t="s">
        <v>11</v>
      </c>
      <c r="M1" s="97" t="s">
        <v>12</v>
      </c>
      <c r="N1" s="97" t="s">
        <v>13</v>
      </c>
    </row>
    <row r="2" spans="1:14">
      <c r="A2" s="46">
        <v>1</v>
      </c>
      <c r="B2" s="46" t="s">
        <v>54</v>
      </c>
      <c r="C2" s="46" t="s">
        <v>55</v>
      </c>
      <c r="D2" s="46" t="s">
        <v>60</v>
      </c>
      <c r="E2" s="46" t="s">
        <v>267</v>
      </c>
      <c r="G2" s="98" t="s">
        <v>21</v>
      </c>
      <c r="H2" s="98" t="s">
        <v>391</v>
      </c>
      <c r="I2" s="64">
        <v>82000</v>
      </c>
      <c r="J2" s="98" t="s">
        <v>14</v>
      </c>
      <c r="K2" s="98" t="s">
        <v>14</v>
      </c>
      <c r="L2" s="98" t="s">
        <v>14</v>
      </c>
      <c r="M2" s="98" t="s">
        <v>311</v>
      </c>
      <c r="N2" s="46">
        <v>2026</v>
      </c>
    </row>
    <row r="3" spans="1:14">
      <c r="A3" s="46">
        <v>2</v>
      </c>
      <c r="B3" s="46" t="s">
        <v>54</v>
      </c>
      <c r="C3" s="46" t="s">
        <v>55</v>
      </c>
      <c r="D3" s="46" t="s">
        <v>60</v>
      </c>
      <c r="E3" s="46" t="s">
        <v>267</v>
      </c>
      <c r="G3" s="98" t="s">
        <v>21</v>
      </c>
      <c r="H3" s="98" t="s">
        <v>391</v>
      </c>
      <c r="I3" s="64">
        <v>82000</v>
      </c>
      <c r="J3" s="98" t="s">
        <v>14</v>
      </c>
      <c r="K3" s="98" t="s">
        <v>14</v>
      </c>
      <c r="L3" s="98" t="s">
        <v>14</v>
      </c>
      <c r="M3" s="98" t="s">
        <v>311</v>
      </c>
      <c r="N3" s="46">
        <v>2026</v>
      </c>
    </row>
    <row r="4" spans="1:14">
      <c r="A4" s="46">
        <v>3</v>
      </c>
      <c r="B4" s="46" t="s">
        <v>54</v>
      </c>
      <c r="C4" s="46" t="s">
        <v>55</v>
      </c>
      <c r="D4" s="46" t="s">
        <v>60</v>
      </c>
      <c r="E4" s="46" t="s">
        <v>267</v>
      </c>
      <c r="G4" s="46" t="s">
        <v>123</v>
      </c>
      <c r="H4" s="46" t="s">
        <v>267</v>
      </c>
      <c r="I4" s="64">
        <v>642.9</v>
      </c>
      <c r="J4" s="46" t="s">
        <v>420</v>
      </c>
      <c r="K4" s="65">
        <v>46026</v>
      </c>
      <c r="L4" s="46">
        <v>2025404667</v>
      </c>
      <c r="M4" s="98" t="s">
        <v>311</v>
      </c>
      <c r="N4" s="46">
        <v>2026</v>
      </c>
    </row>
    <row r="5" spans="1:14">
      <c r="A5" s="46">
        <v>4</v>
      </c>
      <c r="B5" s="46" t="s">
        <v>54</v>
      </c>
      <c r="C5" s="46" t="s">
        <v>55</v>
      </c>
      <c r="D5" s="46" t="s">
        <v>60</v>
      </c>
      <c r="E5" s="46" t="s">
        <v>267</v>
      </c>
      <c r="G5" s="46" t="s">
        <v>416</v>
      </c>
      <c r="H5" s="46" t="s">
        <v>267</v>
      </c>
      <c r="I5" s="64">
        <v>7000</v>
      </c>
      <c r="J5" s="46" t="s">
        <v>421</v>
      </c>
      <c r="K5" s="65">
        <v>46022</v>
      </c>
      <c r="L5" s="46">
        <v>2026400006</v>
      </c>
      <c r="M5" s="98" t="s">
        <v>311</v>
      </c>
      <c r="N5" s="46">
        <v>2026</v>
      </c>
    </row>
    <row r="6" spans="1:14">
      <c r="A6" s="46">
        <v>5</v>
      </c>
      <c r="B6" s="46" t="s">
        <v>54</v>
      </c>
      <c r="C6" s="46" t="s">
        <v>55</v>
      </c>
      <c r="D6" s="46" t="s">
        <v>60</v>
      </c>
      <c r="E6" s="46" t="s">
        <v>267</v>
      </c>
      <c r="G6" s="46" t="s">
        <v>417</v>
      </c>
      <c r="H6" s="46" t="s">
        <v>267</v>
      </c>
      <c r="I6" s="64">
        <v>7000</v>
      </c>
      <c r="J6" s="46" t="s">
        <v>235</v>
      </c>
      <c r="K6" s="65">
        <v>46035</v>
      </c>
      <c r="L6" s="46">
        <v>2025404798</v>
      </c>
      <c r="M6" s="98" t="s">
        <v>311</v>
      </c>
      <c r="N6" s="46">
        <v>2026</v>
      </c>
    </row>
    <row r="7" spans="1:14">
      <c r="A7" s="46">
        <v>6</v>
      </c>
      <c r="B7" s="46" t="s">
        <v>54</v>
      </c>
      <c r="C7" s="46" t="s">
        <v>55</v>
      </c>
      <c r="D7" s="46" t="s">
        <v>60</v>
      </c>
      <c r="E7" s="46" t="s">
        <v>267</v>
      </c>
      <c r="G7" s="46" t="s">
        <v>123</v>
      </c>
      <c r="H7" s="46" t="s">
        <v>267</v>
      </c>
      <c r="I7" s="64">
        <v>2056</v>
      </c>
      <c r="J7" s="46" t="s">
        <v>422</v>
      </c>
      <c r="K7" s="65">
        <v>46030</v>
      </c>
      <c r="L7" s="46">
        <v>2025404859</v>
      </c>
      <c r="M7" s="98" t="s">
        <v>311</v>
      </c>
      <c r="N7" s="46">
        <v>2026</v>
      </c>
    </row>
    <row r="8" spans="1:14">
      <c r="A8" s="46">
        <v>7</v>
      </c>
      <c r="B8" s="46" t="s">
        <v>54</v>
      </c>
      <c r="C8" s="46" t="s">
        <v>55</v>
      </c>
      <c r="D8" s="46" t="s">
        <v>60</v>
      </c>
      <c r="E8" s="46" t="s">
        <v>267</v>
      </c>
      <c r="G8" s="46" t="s">
        <v>418</v>
      </c>
      <c r="H8" s="46" t="s">
        <v>267</v>
      </c>
      <c r="I8" s="64">
        <f>680000/1480</f>
        <v>459.45945945945948</v>
      </c>
      <c r="J8" s="46" t="s">
        <v>423</v>
      </c>
      <c r="K8" s="65">
        <v>46029</v>
      </c>
      <c r="L8" s="46">
        <v>2026400221</v>
      </c>
      <c r="M8" s="98" t="s">
        <v>311</v>
      </c>
      <c r="N8" s="46">
        <v>2026</v>
      </c>
    </row>
    <row r="9" spans="1:14">
      <c r="A9" s="46">
        <v>8</v>
      </c>
      <c r="B9" s="46" t="s">
        <v>54</v>
      </c>
      <c r="C9" s="46" t="s">
        <v>55</v>
      </c>
      <c r="D9" s="46" t="s">
        <v>60</v>
      </c>
      <c r="E9" s="46" t="s">
        <v>267</v>
      </c>
      <c r="G9" s="46" t="s">
        <v>419</v>
      </c>
      <c r="H9" s="46" t="s">
        <v>267</v>
      </c>
      <c r="I9" s="64">
        <f>1350000/1480</f>
        <v>912.16216216216219</v>
      </c>
      <c r="J9" s="46" t="s">
        <v>424</v>
      </c>
      <c r="K9" s="65">
        <v>46037</v>
      </c>
      <c r="L9" s="46">
        <v>2025402963</v>
      </c>
      <c r="M9" s="98" t="s">
        <v>311</v>
      </c>
      <c r="N9" s="46">
        <v>2026</v>
      </c>
    </row>
    <row r="10" spans="1:14">
      <c r="A10" s="46">
        <v>9</v>
      </c>
      <c r="B10" s="46" t="s">
        <v>54</v>
      </c>
      <c r="C10" s="46" t="s">
        <v>55</v>
      </c>
      <c r="D10" s="46" t="s">
        <v>60</v>
      </c>
      <c r="E10" s="46" t="s">
        <v>267</v>
      </c>
      <c r="G10" s="46" t="s">
        <v>266</v>
      </c>
      <c r="H10" s="46" t="s">
        <v>267</v>
      </c>
      <c r="I10" s="64">
        <f>7200000/1480</f>
        <v>4864.864864864865</v>
      </c>
      <c r="J10" s="46" t="s">
        <v>425</v>
      </c>
      <c r="K10" s="65">
        <v>46042</v>
      </c>
      <c r="L10" s="46">
        <v>2026400172</v>
      </c>
      <c r="M10" s="98" t="s">
        <v>311</v>
      </c>
      <c r="N10" s="46">
        <v>2026</v>
      </c>
    </row>
    <row r="11" spans="1:14">
      <c r="A11" s="46">
        <v>10</v>
      </c>
      <c r="B11" s="46" t="s">
        <v>54</v>
      </c>
      <c r="C11" s="46" t="s">
        <v>55</v>
      </c>
      <c r="D11" s="46" t="s">
        <v>60</v>
      </c>
      <c r="E11" s="46" t="s">
        <v>267</v>
      </c>
      <c r="G11" s="46" t="s">
        <v>266</v>
      </c>
      <c r="H11" s="46" t="s">
        <v>267</v>
      </c>
      <c r="I11" s="64">
        <f>4000000/1480</f>
        <v>2702.7027027027025</v>
      </c>
      <c r="J11" s="46" t="s">
        <v>426</v>
      </c>
      <c r="K11" s="65">
        <v>46037</v>
      </c>
      <c r="L11" s="46">
        <v>2026400172</v>
      </c>
      <c r="M11" s="98" t="s">
        <v>311</v>
      </c>
      <c r="N11" s="46">
        <v>2026</v>
      </c>
    </row>
  </sheetData>
  <dataValidations count="1">
    <dataValidation type="list" allowBlank="1" showInputMessage="1" showErrorMessage="1" sqref="C2:C11" xr:uid="{85B588A3-0488-422B-B533-F36D78599AC1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C052925-5688-406A-8AE6-43B5D56FEB99}">
          <x14:formula1>
            <xm:f>List!$P$2:$P$11</xm:f>
          </x14:formula1>
          <xm:sqref>B2:B11</xm:sqref>
        </x14:dataValidation>
        <x14:dataValidation type="list" allowBlank="1" showInputMessage="1" showErrorMessage="1" xr:uid="{CC450906-F721-4152-9D7B-3079E74ECB6E}">
          <x14:formula1>
            <xm:f>List!$C$2:$C$3</xm:f>
          </x14:formula1>
          <xm:sqref>D2:D11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20"/>
  <sheetViews>
    <sheetView workbookViewId="0">
      <selection activeCell="C3" sqref="C3"/>
    </sheetView>
  </sheetViews>
  <sheetFormatPr defaultColWidth="9" defaultRowHeight="14.5"/>
  <cols>
    <col min="1" max="1" width="19.453125" customWidth="1"/>
    <col min="2" max="9" width="16.90625" customWidth="1"/>
    <col min="10" max="11" width="13.90625" customWidth="1"/>
    <col min="12" max="12" width="12.81640625" customWidth="1"/>
    <col min="13" max="13" width="20.54296875" customWidth="1"/>
    <col min="14" max="14" width="18.1796875" customWidth="1"/>
    <col min="15" max="15" width="15.08984375" customWidth="1"/>
  </cols>
  <sheetData>
    <row r="1" spans="1:16">
      <c r="A1" s="1" t="s">
        <v>124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77</v>
      </c>
      <c r="G1" s="1" t="s">
        <v>81</v>
      </c>
      <c r="H1" s="1" t="s">
        <v>107</v>
      </c>
      <c r="I1" s="1" t="s">
        <v>129</v>
      </c>
      <c r="J1" s="1" t="s">
        <v>95</v>
      </c>
      <c r="K1" s="1" t="s">
        <v>57</v>
      </c>
      <c r="L1" s="1" t="s">
        <v>130</v>
      </c>
      <c r="M1" s="1" t="s">
        <v>84</v>
      </c>
      <c r="N1" s="1" t="s">
        <v>131</v>
      </c>
      <c r="O1" s="1" t="s">
        <v>132</v>
      </c>
      <c r="P1" s="1" t="s">
        <v>133</v>
      </c>
    </row>
    <row r="2" spans="1:16">
      <c r="A2" s="2" t="s">
        <v>134</v>
      </c>
      <c r="B2" s="36" t="s">
        <v>135</v>
      </c>
      <c r="C2" s="2" t="s">
        <v>136</v>
      </c>
      <c r="D2" s="36" t="s">
        <v>137</v>
      </c>
      <c r="E2" s="2" t="s">
        <v>138</v>
      </c>
      <c r="F2" s="2" t="s">
        <v>139</v>
      </c>
      <c r="G2" s="2" t="s">
        <v>140</v>
      </c>
      <c r="H2" s="3" t="s">
        <v>141</v>
      </c>
      <c r="I2" s="2"/>
      <c r="J2" s="2" t="s">
        <v>142</v>
      </c>
      <c r="K2" s="2" t="s">
        <v>143</v>
      </c>
      <c r="L2" s="2" t="s">
        <v>144</v>
      </c>
      <c r="M2" s="2" t="s">
        <v>145</v>
      </c>
      <c r="N2" s="2" t="s">
        <v>146</v>
      </c>
      <c r="O2" s="2" t="s">
        <v>147</v>
      </c>
      <c r="P2" s="2" t="s">
        <v>148</v>
      </c>
    </row>
    <row r="3" spans="1:16">
      <c r="A3" s="2" t="s">
        <v>149</v>
      </c>
      <c r="B3" s="36" t="s">
        <v>150</v>
      </c>
      <c r="C3" s="2" t="s">
        <v>151</v>
      </c>
      <c r="D3" s="36" t="s">
        <v>152</v>
      </c>
      <c r="E3" s="2" t="s">
        <v>153</v>
      </c>
      <c r="F3" s="2" t="s">
        <v>154</v>
      </c>
      <c r="G3" s="2" t="s">
        <v>155</v>
      </c>
      <c r="I3" s="2" t="s">
        <v>156</v>
      </c>
      <c r="J3" s="2" t="s">
        <v>157</v>
      </c>
      <c r="K3" s="2" t="s">
        <v>158</v>
      </c>
      <c r="L3" s="2" t="s">
        <v>159</v>
      </c>
      <c r="M3" s="5" t="s">
        <v>85</v>
      </c>
      <c r="N3" s="2"/>
    </row>
    <row r="4" spans="1:16">
      <c r="A4" s="2" t="s">
        <v>160</v>
      </c>
      <c r="B4" s="2" t="s">
        <v>161</v>
      </c>
      <c r="C4" s="2" t="s">
        <v>162</v>
      </c>
      <c r="D4" s="36" t="s">
        <v>163</v>
      </c>
      <c r="F4" s="2" t="s">
        <v>164</v>
      </c>
      <c r="G4" s="2" t="s">
        <v>165</v>
      </c>
      <c r="I4" s="2" t="s">
        <v>166</v>
      </c>
      <c r="J4" s="2" t="s">
        <v>167</v>
      </c>
      <c r="K4" s="2" t="s">
        <v>168</v>
      </c>
      <c r="L4" s="2" t="s">
        <v>169</v>
      </c>
    </row>
    <row r="5" spans="1:16">
      <c r="A5" s="2" t="s">
        <v>170</v>
      </c>
      <c r="B5" s="2" t="s">
        <v>171</v>
      </c>
      <c r="C5" s="2"/>
      <c r="D5" s="2" t="s">
        <v>172</v>
      </c>
      <c r="J5" s="2" t="s">
        <v>164</v>
      </c>
      <c r="K5" s="2" t="s">
        <v>173</v>
      </c>
      <c r="L5" s="2" t="s">
        <v>174</v>
      </c>
    </row>
    <row r="6" spans="1:16">
      <c r="A6" s="2" t="s">
        <v>175</v>
      </c>
      <c r="B6" s="2" t="s">
        <v>176</v>
      </c>
      <c r="D6" s="2" t="s">
        <v>177</v>
      </c>
      <c r="K6" s="2" t="s">
        <v>173</v>
      </c>
      <c r="L6" s="2" t="s">
        <v>178</v>
      </c>
    </row>
    <row r="7" spans="1:16">
      <c r="A7" s="2" t="s">
        <v>179</v>
      </c>
      <c r="B7" s="2" t="s">
        <v>180</v>
      </c>
      <c r="D7" s="2" t="s">
        <v>181</v>
      </c>
    </row>
    <row r="8" spans="1:16">
      <c r="A8" s="2" t="s">
        <v>182</v>
      </c>
      <c r="B8" s="2" t="s">
        <v>183</v>
      </c>
      <c r="D8" s="2" t="s">
        <v>184</v>
      </c>
    </row>
    <row r="9" spans="1:16">
      <c r="A9" s="2" t="s">
        <v>185</v>
      </c>
      <c r="B9" s="5" t="s">
        <v>111</v>
      </c>
      <c r="C9" s="4"/>
      <c r="D9" s="2" t="s">
        <v>186</v>
      </c>
      <c r="E9" s="4"/>
    </row>
    <row r="10" spans="1:16">
      <c r="A10" s="2" t="s">
        <v>187</v>
      </c>
      <c r="B10" s="5" t="s">
        <v>188</v>
      </c>
      <c r="C10" s="4"/>
      <c r="D10" s="2" t="s">
        <v>189</v>
      </c>
      <c r="E10" s="4"/>
    </row>
    <row r="11" spans="1:16">
      <c r="B11" s="45" t="s">
        <v>190</v>
      </c>
      <c r="C11" s="4"/>
      <c r="D11" s="2" t="s">
        <v>191</v>
      </c>
      <c r="E11" s="4"/>
      <c r="I11" s="4"/>
      <c r="J11" s="4"/>
      <c r="K11" s="4"/>
    </row>
    <row r="12" spans="1:16">
      <c r="B12" s="5" t="s">
        <v>192</v>
      </c>
      <c r="C12" s="4"/>
      <c r="D12" s="2" t="s">
        <v>193</v>
      </c>
      <c r="E12" s="4"/>
      <c r="I12" s="4"/>
      <c r="J12" s="4"/>
      <c r="K12" s="4"/>
    </row>
    <row r="13" spans="1:16">
      <c r="B13" s="5" t="s">
        <v>194</v>
      </c>
      <c r="C13" s="4"/>
      <c r="D13" s="4"/>
      <c r="E13" s="4"/>
      <c r="F13" s="4"/>
      <c r="G13" s="4"/>
      <c r="H13" s="4"/>
      <c r="I13" s="4"/>
      <c r="J13" s="4"/>
      <c r="K13" s="4"/>
    </row>
    <row r="14" spans="1:16">
      <c r="B14" s="2" t="s">
        <v>195</v>
      </c>
      <c r="I14" s="4"/>
      <c r="J14" s="4"/>
      <c r="K14" s="4"/>
    </row>
    <row r="15" spans="1:16">
      <c r="B15" s="5" t="s">
        <v>196</v>
      </c>
      <c r="C15" s="4"/>
      <c r="D15" s="4"/>
      <c r="E15" s="4"/>
      <c r="F15" s="4"/>
      <c r="G15" s="4"/>
      <c r="H15" s="4"/>
      <c r="I15" s="4"/>
      <c r="J15" s="4"/>
      <c r="K15" s="4"/>
    </row>
    <row r="16" spans="1:16">
      <c r="B16" s="44" t="s">
        <v>269</v>
      </c>
      <c r="C16" s="4"/>
      <c r="D16" s="4"/>
      <c r="E16" s="4"/>
      <c r="F16" s="4"/>
      <c r="G16" s="4"/>
      <c r="H16" s="4"/>
      <c r="I16" s="4"/>
      <c r="J16" s="4"/>
      <c r="K16" s="4"/>
    </row>
    <row r="17" spans="2:11"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2:11"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2:11"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2:11">
      <c r="B20" s="4"/>
      <c r="C20" s="4"/>
      <c r="D20" s="4"/>
      <c r="E20" s="4"/>
      <c r="F20" s="4"/>
      <c r="G20" s="4"/>
      <c r="H20" s="4"/>
      <c r="I20" s="4"/>
      <c r="J20" s="4"/>
      <c r="K20" s="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H19"/>
  <sheetViews>
    <sheetView workbookViewId="0">
      <selection activeCell="E9" sqref="E9"/>
    </sheetView>
  </sheetViews>
  <sheetFormatPr defaultColWidth="9" defaultRowHeight="14.5"/>
  <cols>
    <col min="1" max="1" width="11.08984375" customWidth="1"/>
    <col min="2" max="2" width="18.08984375" customWidth="1"/>
    <col min="3" max="3" width="12.36328125" customWidth="1"/>
    <col min="4" max="4" width="3.54296875" customWidth="1"/>
    <col min="5" max="5" width="31.453125" customWidth="1"/>
    <col min="6" max="7" width="3.54296875" customWidth="1"/>
    <col min="8" max="8" width="9.08984375" customWidth="1"/>
    <col min="9" max="9" width="3.54296875" customWidth="1"/>
    <col min="10" max="10" width="7.08984375" customWidth="1"/>
    <col min="16" max="16" width="11.08984375" customWidth="1"/>
    <col min="18" max="18" width="12.36328125" customWidth="1"/>
    <col min="19" max="19" width="3.54296875" customWidth="1"/>
    <col min="20" max="20" width="12.36328125" customWidth="1"/>
    <col min="21" max="21" width="3.54296875" customWidth="1"/>
    <col min="22" max="22" width="12.36328125" customWidth="1"/>
    <col min="23" max="23" width="3.54296875" customWidth="1"/>
    <col min="24" max="24" width="12.36328125" customWidth="1"/>
    <col min="25" max="25" width="3.54296875" customWidth="1"/>
    <col min="26" max="26" width="12.36328125" customWidth="1"/>
    <col min="27" max="27" width="3.54296875" customWidth="1"/>
    <col min="28" max="28" width="12.36328125" customWidth="1"/>
    <col min="29" max="29" width="3.54296875" customWidth="1"/>
    <col min="30" max="30" width="12.36328125" customWidth="1"/>
    <col min="31" max="31" width="3.54296875" customWidth="1"/>
    <col min="32" max="32" width="12.36328125" customWidth="1"/>
    <col min="33" max="33" width="3.54296875" customWidth="1"/>
    <col min="34" max="34" width="12.36328125" customWidth="1"/>
  </cols>
  <sheetData>
    <row r="1" spans="1:34">
      <c r="A1" t="s">
        <v>197</v>
      </c>
      <c r="B1" t="s">
        <v>198</v>
      </c>
      <c r="C1" t="s">
        <v>199</v>
      </c>
      <c r="E1" t="s">
        <v>200</v>
      </c>
      <c r="H1" t="s">
        <v>12</v>
      </c>
      <c r="J1" t="s">
        <v>13</v>
      </c>
      <c r="P1" t="s">
        <v>201</v>
      </c>
      <c r="R1" t="s">
        <v>27</v>
      </c>
      <c r="T1" t="s">
        <v>17</v>
      </c>
      <c r="V1" t="s">
        <v>33</v>
      </c>
      <c r="X1" t="s">
        <v>35</v>
      </c>
      <c r="Z1" t="s">
        <v>31</v>
      </c>
      <c r="AB1" t="s">
        <v>42</v>
      </c>
      <c r="AD1" t="s">
        <v>54</v>
      </c>
      <c r="AF1" t="s">
        <v>58</v>
      </c>
      <c r="AH1" t="s">
        <v>78</v>
      </c>
    </row>
    <row r="2" spans="1:34">
      <c r="A2" t="s">
        <v>27</v>
      </c>
      <c r="C2" t="s">
        <v>60</v>
      </c>
      <c r="E2" t="s">
        <v>20</v>
      </c>
      <c r="H2" t="s">
        <v>202</v>
      </c>
      <c r="J2">
        <v>2023</v>
      </c>
      <c r="P2" t="s">
        <v>27</v>
      </c>
      <c r="R2" t="s">
        <v>28</v>
      </c>
      <c r="T2" t="s">
        <v>26</v>
      </c>
      <c r="V2" t="s">
        <v>34</v>
      </c>
      <c r="X2" t="s">
        <v>38</v>
      </c>
      <c r="Z2" t="s">
        <v>32</v>
      </c>
      <c r="AB2" t="s">
        <v>49</v>
      </c>
      <c r="AD2" t="s">
        <v>55</v>
      </c>
      <c r="AF2" t="s">
        <v>59</v>
      </c>
      <c r="AH2" t="s">
        <v>79</v>
      </c>
    </row>
    <row r="3" spans="1:34">
      <c r="A3" t="s">
        <v>17</v>
      </c>
      <c r="C3" t="s">
        <v>19</v>
      </c>
      <c r="E3" t="s">
        <v>203</v>
      </c>
      <c r="H3" t="s">
        <v>204</v>
      </c>
      <c r="J3">
        <v>2024</v>
      </c>
      <c r="P3" t="s">
        <v>17</v>
      </c>
      <c r="T3" t="s">
        <v>22</v>
      </c>
      <c r="X3" t="s">
        <v>41</v>
      </c>
      <c r="AB3" t="s">
        <v>50</v>
      </c>
      <c r="AD3" t="s">
        <v>94</v>
      </c>
    </row>
    <row r="4" spans="1:34">
      <c r="A4" t="s">
        <v>33</v>
      </c>
      <c r="E4" t="s">
        <v>86</v>
      </c>
      <c r="H4" t="s">
        <v>205</v>
      </c>
      <c r="J4">
        <v>2025</v>
      </c>
      <c r="P4" t="s">
        <v>33</v>
      </c>
      <c r="T4" t="s">
        <v>25</v>
      </c>
      <c r="X4" t="s">
        <v>37</v>
      </c>
      <c r="AB4" t="s">
        <v>206</v>
      </c>
    </row>
    <row r="5" spans="1:34">
      <c r="A5" t="s">
        <v>35</v>
      </c>
      <c r="E5" t="s">
        <v>112</v>
      </c>
      <c r="H5" t="s">
        <v>207</v>
      </c>
      <c r="P5" t="s">
        <v>35</v>
      </c>
      <c r="T5" t="s">
        <v>91</v>
      </c>
      <c r="X5" t="s">
        <v>40</v>
      </c>
      <c r="AB5" t="s">
        <v>51</v>
      </c>
    </row>
    <row r="6" spans="1:34">
      <c r="A6" t="s">
        <v>31</v>
      </c>
      <c r="E6" t="s">
        <v>83</v>
      </c>
      <c r="H6" t="s">
        <v>208</v>
      </c>
      <c r="P6" t="s">
        <v>31</v>
      </c>
      <c r="T6" t="s">
        <v>24</v>
      </c>
      <c r="X6" t="s">
        <v>39</v>
      </c>
      <c r="AB6" t="s">
        <v>47</v>
      </c>
    </row>
    <row r="7" spans="1:34">
      <c r="A7" t="s">
        <v>42</v>
      </c>
      <c r="E7" t="s">
        <v>209</v>
      </c>
      <c r="H7" t="s">
        <v>210</v>
      </c>
      <c r="P7" t="s">
        <v>42</v>
      </c>
      <c r="T7" t="s">
        <v>74</v>
      </c>
      <c r="X7" t="s">
        <v>211</v>
      </c>
      <c r="AB7" t="s">
        <v>44</v>
      </c>
    </row>
    <row r="8" spans="1:34">
      <c r="A8" t="s">
        <v>54</v>
      </c>
      <c r="E8" t="s">
        <v>212</v>
      </c>
      <c r="H8" t="s">
        <v>213</v>
      </c>
      <c r="P8" t="s">
        <v>54</v>
      </c>
      <c r="T8" t="s">
        <v>23</v>
      </c>
      <c r="X8" t="s">
        <v>36</v>
      </c>
      <c r="AB8" t="s">
        <v>70</v>
      </c>
    </row>
    <row r="9" spans="1:34">
      <c r="A9" t="s">
        <v>54</v>
      </c>
      <c r="E9" t="s">
        <v>99</v>
      </c>
      <c r="H9" t="s">
        <v>214</v>
      </c>
      <c r="P9" t="s">
        <v>54</v>
      </c>
      <c r="AB9" t="s">
        <v>45</v>
      </c>
    </row>
    <row r="10" spans="1:34">
      <c r="A10" t="s">
        <v>58</v>
      </c>
      <c r="E10" t="s">
        <v>71</v>
      </c>
      <c r="H10" t="s">
        <v>15</v>
      </c>
      <c r="P10" t="s">
        <v>58</v>
      </c>
      <c r="AB10" t="s">
        <v>76</v>
      </c>
    </row>
    <row r="11" spans="1:34">
      <c r="A11" t="s">
        <v>78</v>
      </c>
      <c r="E11" t="s">
        <v>215</v>
      </c>
      <c r="H11" t="s">
        <v>216</v>
      </c>
      <c r="P11" t="s">
        <v>78</v>
      </c>
      <c r="AB11" t="s">
        <v>217</v>
      </c>
    </row>
    <row r="12" spans="1:34">
      <c r="E12" t="s">
        <v>56</v>
      </c>
      <c r="H12" t="s">
        <v>218</v>
      </c>
      <c r="AB12" t="s">
        <v>46</v>
      </c>
    </row>
    <row r="13" spans="1:34">
      <c r="E13" t="s">
        <v>81</v>
      </c>
      <c r="H13" t="s">
        <v>219</v>
      </c>
      <c r="AB13" t="s">
        <v>73</v>
      </c>
    </row>
    <row r="14" spans="1:34">
      <c r="E14" t="s">
        <v>220</v>
      </c>
      <c r="AB14" t="s">
        <v>221</v>
      </c>
    </row>
    <row r="15" spans="1:34">
      <c r="E15" t="s">
        <v>222</v>
      </c>
    </row>
    <row r="16" spans="1:34">
      <c r="E16" t="s">
        <v>95</v>
      </c>
    </row>
    <row r="17" spans="5:5">
      <c r="E17" t="s">
        <v>107</v>
      </c>
    </row>
    <row r="18" spans="5:5">
      <c r="E18" t="s">
        <v>223</v>
      </c>
    </row>
    <row r="19" spans="5:5">
      <c r="E19" t="s">
        <v>224</v>
      </c>
    </row>
  </sheetData>
  <pageMargins left="0.7" right="0.7" top="0.75" bottom="0.75" header="0.3" footer="0.3"/>
  <pageSetup paperSize="9" orientation="portrait"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46AA56-B517-4622-B270-F0E8AD718E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Master</vt:lpstr>
      <vt:lpstr>Payroll</vt:lpstr>
      <vt:lpstr>Shipping</vt:lpstr>
      <vt:lpstr>Petty Cash</vt:lpstr>
      <vt:lpstr>Fuel &amp; Lubricant</vt:lpstr>
      <vt:lpstr>Charitable Contributions</vt:lpstr>
      <vt:lpstr>Accommodation</vt:lpstr>
      <vt:lpstr>Logistic</vt:lpstr>
      <vt:lpstr>Security</vt:lpstr>
      <vt:lpstr>Lease &amp; Rent</vt:lpstr>
      <vt:lpstr>Communication &amp; internet</vt:lpstr>
      <vt:lpstr>Social security</vt:lpstr>
      <vt:lpstr>Amman Expenses</vt:lpstr>
      <vt:lpstr>Air ticket &amp; travel</vt:lpstr>
      <vt:lpstr>Materials</vt:lpstr>
      <vt:lpstr>Third party Services</vt:lpstr>
      <vt:lpstr>Third party manpower</vt:lpstr>
      <vt:lpstr>Subcontractors</vt:lpstr>
      <vt:lpstr>Tax</vt:lpstr>
      <vt:lpstr>FA</vt:lpstr>
      <vt:lpstr>Sheet1</vt:lpstr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HP</cp:lastModifiedBy>
  <cp:lastPrinted>2024-10-13T07:54:00Z</cp:lastPrinted>
  <dcterms:created xsi:type="dcterms:W3CDTF">2024-10-13T06:49:00Z</dcterms:created>
  <dcterms:modified xsi:type="dcterms:W3CDTF">2026-02-08T09:46:15Z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92CAEB93B0DB422FB444CFE2DFBC07A4_13</vt:lpwstr>
  </property>
  <property fmtid="{D5CDD505-2E9C-101B-9397-08002B2CF9AE}" pid="3" name="KSOProductBuildVer">
    <vt:lpwstr>1033-12.2.0.23131</vt:lpwstr>
  </property>
</Properties>
</file>