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rfy91\Desktop\Spent Report\"/>
    </mc:Choice>
  </mc:AlternateContent>
  <xr:revisionPtr revIDLastSave="0" documentId="8_{D6694306-794A-4E26-B688-F21FE5FF0A2F}" xr6:coauthVersionLast="47" xr6:coauthVersionMax="47" xr10:uidLastSave="{00000000-0000-0000-0000-000000000000}"/>
  <bookViews>
    <workbookView xWindow="-28920" yWindow="-5190" windowWidth="29040" windowHeight="15840" tabRatio="766" xr2:uid="{00000000-000D-0000-FFFF-FFFF00000000}"/>
  </bookViews>
  <sheets>
    <sheet name="Summary" sheetId="30" r:id="rId1"/>
    <sheet name="Master" sheetId="9" r:id="rId2"/>
    <sheet name="Payroll" sheetId="2" r:id="rId3"/>
    <sheet name="Shipping" sheetId="14" r:id="rId4"/>
    <sheet name="Petty Cash" sheetId="5" r:id="rId5"/>
    <sheet name="Fuel &amp; Lubricant" sheetId="18" r:id="rId6"/>
    <sheet name="Charitable Contributions" sheetId="17" r:id="rId7"/>
    <sheet name="Accommodation" sheetId="19" r:id="rId8"/>
    <sheet name="Logistic" sheetId="4" r:id="rId9"/>
    <sheet name="Security" sheetId="21" r:id="rId10"/>
    <sheet name="Lease &amp; Rent" sheetId="20" r:id="rId11"/>
    <sheet name="Communication &amp; internet" sheetId="22" r:id="rId12"/>
    <sheet name="Social security" sheetId="25" r:id="rId13"/>
    <sheet name="Amman Expenses" sheetId="23" r:id="rId14"/>
    <sheet name="Air ticket &amp; travel" sheetId="26" r:id="rId15"/>
    <sheet name="Materials" sheetId="1" r:id="rId16"/>
    <sheet name="Third party Services" sheetId="6" r:id="rId17"/>
    <sheet name="Third party manpower" sheetId="15" r:id="rId18"/>
    <sheet name="Subcontractors" sheetId="3" r:id="rId19"/>
    <sheet name="Tax" sheetId="7" state="hidden" r:id="rId20"/>
    <sheet name="FA" sheetId="31" r:id="rId21"/>
    <sheet name="Sheet1" sheetId="11" r:id="rId22"/>
    <sheet name="List" sheetId="10" state="hidden" r:id="rId23"/>
  </sheets>
  <externalReferences>
    <externalReference r:id="rId24"/>
  </externalReferences>
  <definedNames>
    <definedName name="_xlnm._FilterDatabase" localSheetId="8" hidden="1">Logistic!$A$1:$N$2</definedName>
    <definedName name="_xlnm._FilterDatabase" localSheetId="1" hidden="1">Master!$A$1:$N$533</definedName>
    <definedName name="_xlnm._FilterDatabase" localSheetId="15" hidden="1">Materials!$A$1:$N$187</definedName>
    <definedName name="_xlnm._FilterDatabase" localSheetId="2" hidden="1">Payroll!$A$1:$N$1</definedName>
    <definedName name="_xlnm._FilterDatabase" localSheetId="4" hidden="1">'Petty Cash'!$A$1:$N$86</definedName>
    <definedName name="_xlnm._FilterDatabase" localSheetId="17" hidden="1">'Third party manpower'!$A$1:$N$1</definedName>
    <definedName name="_xlnm._FilterDatabase" localSheetId="16" hidden="1">'Third party Services'!$A$1:$N$1</definedName>
    <definedName name="Level_2">[1]List!$G$2:$G$37</definedName>
  </definedNames>
  <calcPr calcId="191029"/>
  <pivotCaches>
    <pivotCache cacheId="4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7" i="9" l="1"/>
  <c r="I127" i="9"/>
  <c r="I464" i="9"/>
  <c r="I228" i="9"/>
  <c r="I62" i="9"/>
  <c r="I337" i="9"/>
  <c r="I220" i="9"/>
  <c r="I218" i="9"/>
  <c r="I217" i="9"/>
  <c r="I34" i="9"/>
  <c r="I33" i="9"/>
  <c r="I482" i="9"/>
  <c r="I335" i="9"/>
  <c r="I334" i="9"/>
  <c r="I131" i="9"/>
  <c r="I5" i="18"/>
  <c r="I7" i="18"/>
  <c r="I6" i="18"/>
  <c r="I4" i="18"/>
  <c r="I3" i="18"/>
  <c r="I6" i="3"/>
  <c r="I9" i="31"/>
  <c r="I30" i="2"/>
  <c r="I34" i="15" l="1"/>
  <c r="I2" i="26"/>
  <c r="I2" i="4"/>
  <c r="I29" i="2"/>
  <c r="I2" i="22" l="1"/>
  <c r="I5" i="19" l="1"/>
  <c r="I3" i="19"/>
  <c r="I2" i="19"/>
</calcChain>
</file>

<file path=xl/sharedStrings.xml><?xml version="1.0" encoding="utf-8"?>
<sst xmlns="http://schemas.openxmlformats.org/spreadsheetml/2006/main" count="10171" uniqueCount="620">
  <si>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</si>
  <si>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</si>
  <si>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</si>
  <si>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</si>
  <si>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</si>
  <si>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</si>
  <si>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</si>
  <si>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</si>
  <si>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</si>
  <si>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</si>
  <si>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</si>
  <si>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</si>
  <si>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</si>
  <si>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</si>
  <si>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</si>
  <si>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</si>
  <si>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</si>
  <si>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</si>
  <si>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BNGL-25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</si>
  <si>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</si>
  <si>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</si>
  <si>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</si>
  <si>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</si>
  <si>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</si>
  <si>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</si>
  <si>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</si>
  <si>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</si>
  <si>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</si>
  <si>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</si>
  <si>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1 MITAS</t>
  </si>
  <si>
    <t>MITASOHTL</t>
  </si>
  <si>
    <t>ROOESP_23</t>
  </si>
  <si>
    <t>EIESP_23</t>
  </si>
  <si>
    <t>ROOG_23</t>
  </si>
  <si>
    <t>GRLRO_23</t>
  </si>
  <si>
    <t>ROOM_23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</si>
  <si>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</si>
  <si>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</si>
  <si>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</si>
  <si>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</si>
  <si>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</si>
  <si>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</si>
  <si>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</si>
  <si>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</si>
  <si>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</si>
  <si>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</si>
  <si>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</si>
  <si>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</si>
  <si>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</si>
  <si>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</si>
  <si>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</si>
  <si>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</si>
  <si>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</si>
  <si>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</si>
  <si>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</si>
  <si>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</si>
  <si>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</si>
  <si>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Shipping</t>
  </si>
  <si>
    <t>HO_23</t>
  </si>
  <si>
    <t>HO_SB_23</t>
  </si>
  <si>
    <t>Actual</t>
  </si>
  <si>
    <t>Total_25</t>
  </si>
  <si>
    <t>GRLTOT</t>
  </si>
  <si>
    <t>Charitable Contributions</t>
  </si>
  <si>
    <t>Petty Cash</t>
  </si>
  <si>
    <t>اكراميات وعشائر</t>
  </si>
  <si>
    <t xml:space="preserve">KAZ-Check point salary </t>
  </si>
  <si>
    <t>ROOG-check point salary</t>
  </si>
  <si>
    <t>##</t>
  </si>
  <si>
    <t xml:space="preserve">Total-Check point salary </t>
  </si>
  <si>
    <t>30/9/2025</t>
  </si>
  <si>
    <t>CPSs_23</t>
  </si>
  <si>
    <t>Material &amp; Supplies</t>
  </si>
  <si>
    <t>Petty Cash for KAZ</t>
  </si>
  <si>
    <t>WOD_23</t>
  </si>
  <si>
    <t>EX_23</t>
  </si>
  <si>
    <t>Petty Cash for CAMP</t>
  </si>
  <si>
    <t>RTPFL_23</t>
  </si>
  <si>
    <t>Third party manpower</t>
  </si>
  <si>
    <t>WQ1_23</t>
  </si>
  <si>
    <t>WQ1SB_23</t>
  </si>
  <si>
    <t>Third party services</t>
  </si>
  <si>
    <t>Fuel &amp; Lubricant</t>
  </si>
  <si>
    <t>Cleaner Materials</t>
  </si>
  <si>
    <t>Air Ticket / Travel</t>
  </si>
  <si>
    <t>Accommodation</t>
  </si>
  <si>
    <t>Al Majal Business Park (AMBP)</t>
  </si>
  <si>
    <t>Light &amp; Heavy Equipment’s Rental</t>
  </si>
  <si>
    <t>Taqadm Albasrah</t>
  </si>
  <si>
    <t>BNGL_25</t>
  </si>
  <si>
    <t>NAC Logistic</t>
  </si>
  <si>
    <t>Border Transportaion / Al Hodod</t>
  </si>
  <si>
    <t>Light equipment rental</t>
  </si>
  <si>
    <t>MANPR_23</t>
  </si>
  <si>
    <t>Al-Zubair Gate</t>
  </si>
  <si>
    <t>Neema Abdul Hassan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</si>
  <si>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</si>
  <si>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</si>
  <si>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</si>
  <si>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</si>
  <si>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</si>
  <si>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</si>
  <si>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</si>
  <si>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</si>
  <si>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</si>
  <si>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</si>
  <si>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</si>
  <si>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</si>
  <si>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</si>
  <si>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</si>
  <si>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</si>
  <si>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</si>
  <si>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</si>
  <si>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Basra Galvanizing Co.</t>
  </si>
  <si>
    <t>Subcontractors</t>
  </si>
  <si>
    <t>Maraba Al Rafidain</t>
  </si>
  <si>
    <t>Welding</t>
  </si>
  <si>
    <t>Burj Al Rafidain Hamza</t>
  </si>
  <si>
    <t>Civil works</t>
  </si>
  <si>
    <t>Abdullah Gallery</t>
  </si>
  <si>
    <t>Materials/Safety</t>
  </si>
  <si>
    <t>Materials</t>
  </si>
  <si>
    <t>AL MUSTAFA INDUSTRIAL IRON TRADING</t>
  </si>
  <si>
    <t>Materials/IRON</t>
  </si>
  <si>
    <t>Al-Ghadeer Print</t>
  </si>
  <si>
    <t>AL-Wajeeh Company</t>
  </si>
  <si>
    <t>BLUE LINE</t>
  </si>
  <si>
    <t>Mohammed Abdulraheem Office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</si>
  <si>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</si>
  <si>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</si>
  <si>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</si>
  <si>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</si>
  <si>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</si>
  <si>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</si>
  <si>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</si>
  <si>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</si>
  <si>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</si>
  <si>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</si>
  <si>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</si>
  <si>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</si>
  <si>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</si>
  <si>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</si>
  <si>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</si>
  <si>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</si>
  <si>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</si>
  <si>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</si>
  <si>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</si>
  <si>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AWAL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</si>
  <si>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</si>
  <si>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</si>
  <si>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</si>
  <si>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</si>
  <si>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</si>
  <si>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</si>
  <si>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</si>
  <si>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</si>
  <si>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</si>
  <si>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</si>
  <si>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</si>
  <si>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</si>
  <si>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</si>
  <si>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</si>
  <si>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</si>
  <si>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</si>
  <si>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</si>
  <si>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</si>
  <si>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</si>
  <si>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</si>
  <si>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</si>
  <si>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</si>
  <si>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</si>
  <si>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</si>
  <si>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</si>
  <si>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</si>
  <si>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</si>
  <si>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</si>
  <si>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</si>
  <si>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</si>
  <si>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Ajdar machine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</si>
  <si>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</si>
  <si>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</si>
  <si>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</si>
  <si>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</si>
  <si>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</si>
  <si>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</si>
  <si>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</si>
  <si>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</si>
  <si>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</si>
  <si>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</si>
  <si>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</si>
  <si>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</si>
  <si>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</si>
  <si>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</si>
  <si>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</si>
  <si>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</si>
  <si>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</si>
  <si>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</si>
  <si>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</si>
  <si>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</si>
  <si>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</si>
  <si>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</si>
  <si>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</si>
  <si>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</si>
  <si>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</si>
  <si>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</si>
  <si>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</si>
  <si>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</si>
  <si>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</si>
  <si>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</si>
  <si>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</si>
  <si>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</si>
  <si>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</si>
  <si>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</si>
  <si>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</si>
  <si>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</si>
  <si>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</si>
  <si>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</si>
  <si>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</si>
  <si>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</si>
  <si>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</si>
  <si>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</si>
  <si>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</si>
  <si>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</si>
  <si>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</si>
  <si>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</si>
  <si>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</si>
  <si>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</si>
  <si>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</si>
  <si>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</si>
  <si>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</si>
  <si>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</si>
  <si>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</si>
  <si>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MITSOHTL</t>
  </si>
  <si>
    <t>Amman Expenses</t>
  </si>
  <si>
    <t>Jabal Qendil BRS</t>
  </si>
  <si>
    <t>Ras Al Khaimah Advanced Businees Solutions</t>
  </si>
  <si>
    <t>Tohama Company</t>
  </si>
  <si>
    <t>ALDOLPHIN CO</t>
  </si>
  <si>
    <t>Ard Al Aber</t>
  </si>
  <si>
    <t>GULF PEARL GROUP</t>
  </si>
  <si>
    <t>Khan Alhadded Company</t>
  </si>
  <si>
    <t>Remz AL-Kafaa For General Trading</t>
  </si>
  <si>
    <t>Sahba Technnnology</t>
  </si>
  <si>
    <t>Rawat Emaar AL-Iraq Co. (JOTUN)</t>
  </si>
  <si>
    <t>Al-Karar Gallery for Wood &amp; MDF</t>
  </si>
  <si>
    <t>EPT Sika</t>
  </si>
  <si>
    <t>Advance Welding Solutions Co</t>
  </si>
  <si>
    <t>Al-Janaeen Al-Mualaka for Water</t>
  </si>
  <si>
    <t>Ali Hamed For Excort Tools</t>
  </si>
  <si>
    <t>#</t>
  </si>
  <si>
    <t>Materials/Paint</t>
  </si>
  <si>
    <t>Materials/Water</t>
  </si>
  <si>
    <t>Materials/Wood</t>
  </si>
  <si>
    <t>Materials/Scaffolding</t>
  </si>
  <si>
    <t>Al Ajdar For General Trading and General Purchasing Ltd</t>
  </si>
  <si>
    <t>Row Labels</t>
  </si>
  <si>
    <t>Grand Total</t>
  </si>
  <si>
    <t>Sum of Invoice Amount USD</t>
  </si>
  <si>
    <t>Column Labels</t>
  </si>
  <si>
    <t>ROESP_23</t>
  </si>
  <si>
    <t>CAMP_23</t>
  </si>
  <si>
    <t>TOTAL_23</t>
  </si>
  <si>
    <t>GRLBG</t>
  </si>
  <si>
    <t>GRLRO</t>
  </si>
  <si>
    <t>Almujtaba company</t>
  </si>
  <si>
    <t>Al-Safi Factory and Um Albanin Gallery</t>
  </si>
  <si>
    <t>ALSHAARQ FOR BUILDING SYSTEMS</t>
  </si>
  <si>
    <t>EPT LLC</t>
  </si>
  <si>
    <t>MALIK ENGINEERING OFFICE</t>
  </si>
  <si>
    <t>Tech Corner IT Solution LLC</t>
  </si>
  <si>
    <t>UFUK Al-Basra Co.</t>
  </si>
  <si>
    <t>Materials/wire</t>
  </si>
  <si>
    <t>PSD</t>
  </si>
  <si>
    <t>Al Hurea Security Services</t>
  </si>
  <si>
    <t xml:space="preserve">Visa &amp; Traveling Expense  </t>
  </si>
  <si>
    <t>30/10/2025</t>
  </si>
  <si>
    <t>28/10/2025</t>
  </si>
  <si>
    <t>21/10/2025</t>
  </si>
  <si>
    <t>25/10/2025</t>
  </si>
  <si>
    <t>تصاريح امنية</t>
  </si>
  <si>
    <t>Petty Cash for BNGL</t>
  </si>
  <si>
    <t>Petty Cash for ROOG</t>
  </si>
  <si>
    <t>Petty Cash for EISP</t>
  </si>
  <si>
    <t>Petty Cash for EIMNT</t>
  </si>
  <si>
    <t>Petty Cash for FFF</t>
  </si>
  <si>
    <t>Petty Cash for TOTAL</t>
  </si>
  <si>
    <t>Petty Cash for OHTL</t>
  </si>
  <si>
    <t>Petty Cash for PWRI2</t>
  </si>
  <si>
    <t>Petty Cash for QTC</t>
  </si>
  <si>
    <t>Petty Cash for NGL</t>
  </si>
  <si>
    <t>Petty Cash for UQ</t>
  </si>
  <si>
    <t>Petty Cash for WOD</t>
  </si>
  <si>
    <t>Food &amp; Meal</t>
  </si>
  <si>
    <t>Maintenance for basra office &amp; Staff residence</t>
  </si>
  <si>
    <t>AL JUTHOOR WORKSHOP</t>
  </si>
  <si>
    <t>2025000961</t>
  </si>
  <si>
    <t>Al-Janoob Garage</t>
  </si>
  <si>
    <t>Mayadeen Factory for kitchens &amp; furniture</t>
  </si>
  <si>
    <t>NEPTUNE ALKAWKAB ALAZRAK FOR GENERAL TRANSPORTATION</t>
  </si>
  <si>
    <t>Heavy  equipment rental</t>
  </si>
  <si>
    <t xml:space="preserve">Rent Amal Nov 25 </t>
  </si>
  <si>
    <t xml:space="preserve">Rent Academy Nov 25 </t>
  </si>
  <si>
    <t xml:space="preserve">Rent Al Jazair office Nov 25 </t>
  </si>
  <si>
    <t xml:space="preserve">Rent Southren Services Nov 25 </t>
  </si>
  <si>
    <t>Rent Jazair Accommodation Nov 25</t>
  </si>
  <si>
    <t xml:space="preserve">Rent Junaina Nov 25 </t>
  </si>
  <si>
    <t>Al Majal Business Park (AMBP) Nov 25</t>
  </si>
  <si>
    <t>INV-IGCC-ARTAWI-25-11-270</t>
  </si>
  <si>
    <t>INV-IGCC-NORTH RUMAILA-25-11-271</t>
  </si>
  <si>
    <t>INV-IGCC-UM QASIR-25-11-272</t>
  </si>
  <si>
    <t>INV-IGCC-25-11-268</t>
  </si>
  <si>
    <t>INV-IGCC-QARINAT-25-11-269</t>
  </si>
  <si>
    <t>3009401125</t>
  </si>
  <si>
    <t>GCC-BSR-251101</t>
  </si>
  <si>
    <t>Payroll Nov</t>
  </si>
  <si>
    <t>Off Payroll Nov</t>
  </si>
  <si>
    <t xml:space="preserve">Nov 25 Camp Civil &amp; Mechanical team </t>
  </si>
  <si>
    <t>camp_23</t>
  </si>
  <si>
    <t>PWT PWRI1_23</t>
  </si>
  <si>
    <t>QTC_24</t>
  </si>
  <si>
    <t>RADIX General Trading Co. ltd.</t>
  </si>
  <si>
    <t xml:space="preserve"> Light equipment rental</t>
  </si>
  <si>
    <t>16/11/2025</t>
  </si>
  <si>
    <t>22/11/2025</t>
  </si>
  <si>
    <t>23/11/2025</t>
  </si>
  <si>
    <t>26/11/2025</t>
  </si>
  <si>
    <t>19/11/2025</t>
  </si>
  <si>
    <t>15/11/2025</t>
  </si>
  <si>
    <t>18/11/2025</t>
  </si>
  <si>
    <t>20/11/2025</t>
  </si>
  <si>
    <t>18/10/2025</t>
  </si>
  <si>
    <t>23/10/2025</t>
  </si>
  <si>
    <t>17/112025</t>
  </si>
  <si>
    <t>25/11/2025</t>
  </si>
  <si>
    <t>24/11/2025</t>
  </si>
  <si>
    <t>IGCC-00207</t>
  </si>
  <si>
    <t>IGCC-00208</t>
  </si>
  <si>
    <t>IGCC-00209</t>
  </si>
  <si>
    <t>IGCC-00210</t>
  </si>
  <si>
    <t>IGCC-01</t>
  </si>
  <si>
    <t>موافقات رسمية</t>
  </si>
  <si>
    <t>ROO-Check point salary</t>
  </si>
  <si>
    <t>تبرعات للفقراء ودار النرجس للايتام</t>
  </si>
  <si>
    <t>تصريح تنكر الوقود</t>
  </si>
  <si>
    <t>موافقات تنكر الوقود</t>
  </si>
  <si>
    <t>Internet Modem</t>
  </si>
  <si>
    <t>Petty Cash for TMS</t>
  </si>
  <si>
    <t>Petty Cash for TOTAL - FL</t>
  </si>
  <si>
    <t>تجهيز منظومة صوت مع 4 سماعات ومكسر وكابلات</t>
  </si>
  <si>
    <t>Petty Cash for Lifting team</t>
  </si>
  <si>
    <t>Petty Cash for Lifting team - Nov.25</t>
  </si>
  <si>
    <t>OUTDOOR Jointing kit for 0.6/1KV , 4C X 240mm2 cable x 1ea</t>
  </si>
  <si>
    <t>Petty cash for QA</t>
  </si>
  <si>
    <t>Bonus from HA</t>
  </si>
  <si>
    <t>Materials Transportation Baghdad - Basra</t>
  </si>
  <si>
    <t>Food &amp; Meal for CAMP</t>
  </si>
  <si>
    <t>Food &amp; Meal for Total</t>
  </si>
  <si>
    <t>Food &amp; Meal fot TOTAL - FL</t>
  </si>
  <si>
    <t>Diesel for basra office &amp; Staff residence</t>
  </si>
  <si>
    <t>Diesel foe Nov.25</t>
  </si>
  <si>
    <t xml:space="preserve"> transfer E.house Total 3 moves</t>
  </si>
  <si>
    <t>تصوير كاميرا - طائرة درون لموقع الرميلة الجنوبية</t>
  </si>
  <si>
    <t>تسديد اجور الكهرباء للاكاديمية للفترة 15/08/2025 لغاية 15/10/2025</t>
  </si>
  <si>
    <t>Internet Modem &amp; SIM &amp; Consumable</t>
  </si>
  <si>
    <t>Expense Calim</t>
  </si>
  <si>
    <t>TKT &amp; Expense Claim for ADIPEC Abu Dhabi</t>
  </si>
  <si>
    <t>TKT - HE</t>
  </si>
  <si>
    <t>Visit to the Kirkuk project ( Nawar, Suraj, Rawand)</t>
  </si>
  <si>
    <t>Visa Fees ( Salah &amp; Farooq )</t>
  </si>
  <si>
    <t>Expense Calim for Kirkuk</t>
  </si>
  <si>
    <t>Diesel Official Nov 25</t>
  </si>
  <si>
    <t>Diesel Sites Nov 25</t>
  </si>
  <si>
    <t>34-25</t>
  </si>
  <si>
    <t>33-25</t>
  </si>
  <si>
    <t>CVMNT_23 </t>
  </si>
  <si>
    <t>OHTL _25</t>
  </si>
  <si>
    <t>E&amp;I MAJ</t>
  </si>
  <si>
    <t>BNGL_23</t>
  </si>
  <si>
    <t>Blue Bell Shipping LLC</t>
  </si>
  <si>
    <t>INVSEA2507343</t>
  </si>
  <si>
    <t>Basra Seven Stars Company</t>
  </si>
  <si>
    <t>Enjaz For Training, Testing, Calibation &amp; Enginnering Services</t>
  </si>
  <si>
    <t>GAMMA PETROLEUM SERVICES</t>
  </si>
  <si>
    <t>DMC FOR PETROLEUM SERVICES &amp; CONTRACTING</t>
  </si>
  <si>
    <t>Tiqaneyat Al-Taqaddum Co. (ATC)</t>
  </si>
  <si>
    <t>Al-Akhawain Workshop Turning and mechanic</t>
  </si>
  <si>
    <t>Al-Usool Genral Trading LTD</t>
  </si>
  <si>
    <t>Al Khaleej Company</t>
  </si>
  <si>
    <t>25804</t>
  </si>
  <si>
    <t>TR25-11357</t>
  </si>
  <si>
    <t>TIC-11-25-0852</t>
  </si>
  <si>
    <t>TR25-11419</t>
  </si>
  <si>
    <t>TIC-11-25-0870</t>
  </si>
  <si>
    <t>EN253283</t>
  </si>
  <si>
    <t>20251115</t>
  </si>
  <si>
    <t>DMC-INV-25-0009</t>
  </si>
  <si>
    <t>ACC-SINV-2025-02299</t>
  </si>
  <si>
    <t>DMC-INV-25-0005</t>
  </si>
  <si>
    <t>ACC-SINV-2025-02466</t>
  </si>
  <si>
    <t>DMC-INV-25-0006</t>
  </si>
  <si>
    <t>0418</t>
  </si>
  <si>
    <t>INV/2025/03265</t>
  </si>
  <si>
    <t>B.G.B.I.075</t>
  </si>
  <si>
    <t>000665</t>
  </si>
  <si>
    <t>005025</t>
  </si>
  <si>
    <t>B.G.B.I.072</t>
  </si>
  <si>
    <t>TIC-11-25-0967</t>
  </si>
  <si>
    <t>213</t>
  </si>
  <si>
    <t>Al Miayar Inspection service and rtaining</t>
  </si>
  <si>
    <t>13</t>
  </si>
  <si>
    <t>04</t>
  </si>
  <si>
    <t>0577</t>
  </si>
  <si>
    <t>2371</t>
  </si>
  <si>
    <t>Fixed Assets</t>
  </si>
  <si>
    <t>12274</t>
  </si>
  <si>
    <t>12318</t>
  </si>
  <si>
    <t>MANAR AL-I'MAR COMPANY FOR GENERAL TRADING &amp; CONTRACTING</t>
  </si>
  <si>
    <t>YASEEN ALQAISY STORES</t>
  </si>
  <si>
    <t>Ataa Al Khalid Co.</t>
  </si>
  <si>
    <t>Al-Sadrain Stores</t>
  </si>
  <si>
    <t>BASHEER FOR DECORATION</t>
  </si>
  <si>
    <t>Rwad Alenjaz Co.</t>
  </si>
  <si>
    <t>Abu Zahraa Shops</t>
  </si>
  <si>
    <t>Exibitition Engineering Control</t>
  </si>
  <si>
    <t>Al-Ghader Gallary</t>
  </si>
  <si>
    <t>Sabah Al-Ramadhan General trading - Hand tools - Electric</t>
  </si>
  <si>
    <t>678</t>
  </si>
  <si>
    <t>17305</t>
  </si>
  <si>
    <t>0931</t>
  </si>
  <si>
    <t>6558</t>
  </si>
  <si>
    <t>10053</t>
  </si>
  <si>
    <t>12054</t>
  </si>
  <si>
    <t>27852025</t>
  </si>
  <si>
    <t>17325</t>
  </si>
  <si>
    <t>394</t>
  </si>
  <si>
    <t>12088</t>
  </si>
  <si>
    <t>12018</t>
  </si>
  <si>
    <t>12068</t>
  </si>
  <si>
    <t>12040</t>
  </si>
  <si>
    <t>12042</t>
  </si>
  <si>
    <t>12062</t>
  </si>
  <si>
    <t>12020</t>
  </si>
  <si>
    <t>12070</t>
  </si>
  <si>
    <t>12060</t>
  </si>
  <si>
    <t>12034</t>
  </si>
  <si>
    <t>12036</t>
  </si>
  <si>
    <t>12038</t>
  </si>
  <si>
    <t>12044</t>
  </si>
  <si>
    <t>12022</t>
  </si>
  <si>
    <t>11970</t>
  </si>
  <si>
    <t>6549</t>
  </si>
  <si>
    <t>0364</t>
  </si>
  <si>
    <t>396</t>
  </si>
  <si>
    <t>398</t>
  </si>
  <si>
    <t>12026</t>
  </si>
  <si>
    <t>12084</t>
  </si>
  <si>
    <t>12066</t>
  </si>
  <si>
    <t>11948</t>
  </si>
  <si>
    <t>0935</t>
  </si>
  <si>
    <t>0934</t>
  </si>
  <si>
    <t>12086</t>
  </si>
  <si>
    <t>402</t>
  </si>
  <si>
    <t>12142</t>
  </si>
  <si>
    <t>12158</t>
  </si>
  <si>
    <t>404</t>
  </si>
  <si>
    <t>12162</t>
  </si>
  <si>
    <t>12160</t>
  </si>
  <si>
    <t>12170</t>
  </si>
  <si>
    <t>12150</t>
  </si>
  <si>
    <t>12152</t>
  </si>
  <si>
    <t>12148</t>
  </si>
  <si>
    <t>12190</t>
  </si>
  <si>
    <t>12094</t>
  </si>
  <si>
    <t>12114</t>
  </si>
  <si>
    <t>12112</t>
  </si>
  <si>
    <t>12188</t>
  </si>
  <si>
    <t>12164</t>
  </si>
  <si>
    <t>12136</t>
  </si>
  <si>
    <t>12172</t>
  </si>
  <si>
    <t>12194</t>
  </si>
  <si>
    <t>12122</t>
  </si>
  <si>
    <t>12098</t>
  </si>
  <si>
    <t>12304</t>
  </si>
  <si>
    <t>12350</t>
  </si>
  <si>
    <t>12216</t>
  </si>
  <si>
    <t>12242</t>
  </si>
  <si>
    <t>12218</t>
  </si>
  <si>
    <t>12192</t>
  </si>
  <si>
    <t>17338-1</t>
  </si>
  <si>
    <t>17327</t>
  </si>
  <si>
    <t>17328-1</t>
  </si>
  <si>
    <t>17321-2</t>
  </si>
  <si>
    <t>12212</t>
  </si>
  <si>
    <t>12118</t>
  </si>
  <si>
    <t>12116</t>
  </si>
  <si>
    <t>6579</t>
  </si>
  <si>
    <t>6563</t>
  </si>
  <si>
    <t>6578</t>
  </si>
  <si>
    <t>6554</t>
  </si>
  <si>
    <t>6577</t>
  </si>
  <si>
    <t>6571</t>
  </si>
  <si>
    <t>17339-1</t>
  </si>
  <si>
    <t>17330</t>
  </si>
  <si>
    <t>INV-251112</t>
  </si>
  <si>
    <t>12222</t>
  </si>
  <si>
    <t>8502</t>
  </si>
  <si>
    <t>004786</t>
  </si>
  <si>
    <t>17326</t>
  </si>
  <si>
    <t>12240</t>
  </si>
  <si>
    <t>0770</t>
  </si>
  <si>
    <t>12210</t>
  </si>
  <si>
    <t>12310</t>
  </si>
  <si>
    <t>12314</t>
  </si>
  <si>
    <t>12168</t>
  </si>
  <si>
    <t>12082</t>
  </si>
  <si>
    <t>12236</t>
  </si>
  <si>
    <t>12196</t>
  </si>
  <si>
    <t>406</t>
  </si>
  <si>
    <t>17362</t>
  </si>
  <si>
    <t>12342</t>
  </si>
  <si>
    <t>12320</t>
  </si>
  <si>
    <t>12238</t>
  </si>
  <si>
    <t>12180</t>
  </si>
  <si>
    <t>12292</t>
  </si>
  <si>
    <t>12262</t>
  </si>
  <si>
    <t>12290</t>
  </si>
  <si>
    <t>12294</t>
  </si>
  <si>
    <t>12288</t>
  </si>
  <si>
    <t>12298</t>
  </si>
  <si>
    <t>12214</t>
  </si>
  <si>
    <t>12260</t>
  </si>
  <si>
    <t>12296</t>
  </si>
  <si>
    <t>12268</t>
  </si>
  <si>
    <t>12264</t>
  </si>
  <si>
    <t>12270</t>
  </si>
  <si>
    <t>12266</t>
  </si>
  <si>
    <t>12278</t>
  </si>
  <si>
    <t>12276</t>
  </si>
  <si>
    <t>12358</t>
  </si>
  <si>
    <t>12272</t>
  </si>
  <si>
    <t>12120</t>
  </si>
  <si>
    <t>12308</t>
  </si>
  <si>
    <t>12322</t>
  </si>
  <si>
    <t>12024</t>
  </si>
  <si>
    <t>12124</t>
  </si>
  <si>
    <t>12198</t>
  </si>
  <si>
    <t>6540</t>
  </si>
  <si>
    <t>12356</t>
  </si>
  <si>
    <t>6539</t>
  </si>
  <si>
    <t>6543</t>
  </si>
  <si>
    <t>12340</t>
  </si>
  <si>
    <t>12306</t>
  </si>
  <si>
    <t>12256</t>
  </si>
  <si>
    <t>17381-1</t>
  </si>
  <si>
    <t>17383</t>
  </si>
  <si>
    <t>17382-1</t>
  </si>
  <si>
    <t>17376</t>
  </si>
  <si>
    <t>17377</t>
  </si>
  <si>
    <t>6559</t>
  </si>
  <si>
    <t>ACC-SINV-2025-02256</t>
  </si>
  <si>
    <t>12360</t>
  </si>
  <si>
    <t>27922025</t>
  </si>
  <si>
    <t>12354</t>
  </si>
  <si>
    <t>12050</t>
  </si>
  <si>
    <t>12334</t>
  </si>
  <si>
    <t>17315</t>
  </si>
  <si>
    <t>12166</t>
  </si>
  <si>
    <t>0383</t>
  </si>
  <si>
    <t>02366</t>
  </si>
  <si>
    <t>0382</t>
  </si>
  <si>
    <t>0369</t>
  </si>
  <si>
    <t>0380</t>
  </si>
  <si>
    <t>02635</t>
  </si>
  <si>
    <t>0378</t>
  </si>
  <si>
    <t>INV0001084</t>
  </si>
  <si>
    <t>0370</t>
  </si>
  <si>
    <t>0372</t>
  </si>
  <si>
    <t>27333</t>
  </si>
  <si>
    <t>7906</t>
  </si>
  <si>
    <t>4745</t>
  </si>
  <si>
    <t>0377</t>
  </si>
  <si>
    <t>7917</t>
  </si>
  <si>
    <t>0541</t>
  </si>
  <si>
    <t>0841</t>
  </si>
  <si>
    <t>001114</t>
  </si>
  <si>
    <t>001118</t>
  </si>
  <si>
    <t>00113</t>
  </si>
  <si>
    <t>H02016</t>
  </si>
  <si>
    <t>685</t>
  </si>
  <si>
    <t>00824</t>
  </si>
  <si>
    <t>000140</t>
  </si>
  <si>
    <t>2846</t>
  </si>
  <si>
    <t>3025</t>
  </si>
  <si>
    <t>93-2446</t>
  </si>
  <si>
    <t>0303</t>
  </si>
  <si>
    <t>2855</t>
  </si>
  <si>
    <t>2970</t>
  </si>
  <si>
    <t>3018</t>
  </si>
  <si>
    <t>3031</t>
  </si>
  <si>
    <t>INV/2025/00269</t>
  </si>
  <si>
    <t>29028</t>
  </si>
  <si>
    <t>2885</t>
  </si>
  <si>
    <t>01140</t>
  </si>
  <si>
    <t>0104</t>
  </si>
  <si>
    <t>00827</t>
  </si>
  <si>
    <t>INV/2025/00256</t>
  </si>
  <si>
    <t>000222</t>
  </si>
  <si>
    <t>00828</t>
  </si>
  <si>
    <t>7042</t>
  </si>
  <si>
    <t>00765</t>
  </si>
  <si>
    <t xml:space="preserve"> MWP_23</t>
  </si>
  <si>
    <t>Nov 25 travel allowance 26 employees</t>
  </si>
  <si>
    <t>Excavator x 2</t>
  </si>
  <si>
    <t>Citadel Engineering Company</t>
  </si>
  <si>
    <t>Pressure Gauge Calibration</t>
  </si>
  <si>
    <t>Haider Ali Abd</t>
  </si>
  <si>
    <t>Asia</t>
  </si>
  <si>
    <t>: 2025003373</t>
  </si>
  <si>
    <t>Hydrovac</t>
  </si>
  <si>
    <t>Testing/Calibration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</si>
</sst>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0" fillId="2" borderId="0" xfId="0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0" fillId="0" borderId="0" xfId="1" applyNumberFormat="1" applyFont="1" applyAlignment="1">
      <alignment horizontal="left"/>
    </xf>
    <xf numFmtId="0" fontId="10" fillId="2" borderId="0" xfId="0" applyFont="1" applyFill="1"/>
    <xf numFmtId="0" fontId="10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14" fontId="0" fillId="0" borderId="0" xfId="0" applyNumberFormat="1" applyAlignment="1">
      <alignment horizontal="left"/>
    </xf>
    <xf numFmtId="0" fontId="10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10" fillId="4" borderId="0" xfId="0" applyFont="1" applyFill="1"/>
    <xf numFmtId="167" fontId="0" fillId="0" borderId="1" xfId="1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165" fontId="0" fillId="0" borderId="1" xfId="1" applyFont="1" applyBorder="1" applyAlignment="1">
      <alignment horizontal="left" vertical="center"/>
    </xf>
    <xf numFmtId="165" fontId="0" fillId="0" borderId="1" xfId="1" applyFont="1" applyBorder="1"/>
    <xf numFmtId="166" fontId="0" fillId="0" borderId="0" xfId="2" applyNumberFormat="1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7" fontId="0" fillId="0" borderId="0" xfId="0" applyNumberFormat="1"/>
    <xf numFmtId="167" fontId="0" fillId="0" borderId="1" xfId="2" applyNumberFormat="1" applyFont="1" applyBorder="1"/>
    <xf numFmtId="167" fontId="0" fillId="0" borderId="1" xfId="0" applyNumberFormat="1" applyBorder="1"/>
    <xf numFmtId="0" fontId="5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1" applyNumberFormat="1" applyFont="1"/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/>
    <xf numFmtId="49" fontId="0" fillId="0" borderId="2" xfId="0" applyNumberForma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167" fontId="0" fillId="0" borderId="2" xfId="2" applyNumberFormat="1" applyFont="1" applyBorder="1" applyAlignment="1">
      <alignment horizontal="center" vertical="center"/>
    </xf>
    <xf numFmtId="0" fontId="4" fillId="0" borderId="1" xfId="0" applyFont="1" applyBorder="1"/>
    <xf numFmtId="14" fontId="0" fillId="0" borderId="1" xfId="0" applyNumberFormat="1" applyBorder="1"/>
    <xf numFmtId="14" fontId="0" fillId="0" borderId="0" xfId="0" applyNumberFormat="1"/>
    <xf numFmtId="10" fontId="10" fillId="0" borderId="0" xfId="0" applyNumberFormat="1" applyFont="1"/>
    <xf numFmtId="9" fontId="0" fillId="0" borderId="0" xfId="3" applyFont="1"/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67" fontId="0" fillId="0" borderId="0" xfId="2" applyNumberFormat="1" applyFont="1"/>
    <xf numFmtId="0" fontId="0" fillId="0" borderId="3" xfId="0" applyBorder="1"/>
    <xf numFmtId="0" fontId="0" fillId="0" borderId="3" xfId="0" applyBorder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0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7" fontId="0" fillId="0" borderId="1" xfId="2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167" fontId="10" fillId="2" borderId="0" xfId="0" applyNumberFormat="1" applyFont="1" applyFill="1" applyAlignment="1">
      <alignment horizontal="left" vertical="top"/>
    </xf>
    <xf numFmtId="167" fontId="0" fillId="0" borderId="1" xfId="2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4" fontId="10" fillId="2" borderId="0" xfId="0" applyNumberFormat="1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5" fillId="7" borderId="4" xfId="0" applyFont="1" applyFill="1" applyBorder="1"/>
    <xf numFmtId="0" fontId="0" fillId="0" borderId="0" xfId="0" pivotButton="1"/>
    <xf numFmtId="0" fontId="0" fillId="0" borderId="0" xfId="0" applyAlignment="1">
      <alignment horizontal="left" indent="1"/>
    </xf>
    <xf numFmtId="42" fontId="0" fillId="0" borderId="0" xfId="0" applyNumberFormat="1"/>
  </cellXfs>
  <cellStyles count="6">
    <cellStyle name="Comma" xfId="1" builtinId="3"/>
    <cellStyle name="Comma 2" xfId="4" xr:uid="{464C4397-2485-4457-8F46-FE59BBF41F79}"/>
    <cellStyle name="Currency" xfId="2" builtinId="4"/>
    <cellStyle name="Currency 2" xfId="5" xr:uid="{D371D1B3-F073-4168-990C-FADB29ABD862}"/>
    <cellStyle name="Normal" xfId="0" builtinId="0"/>
    <cellStyle name="Percent" xfId="3" builtinId="5"/>
  </cellStyles>
  <dxfs count="15"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2.758434143521" createdVersion="8" refreshedVersion="8" minRefreshableVersion="3" recordCount="532" xr:uid="{ACDD5C80-BCCF-4C38-8417-F5E2FF9DA19D}">
  <cacheSource type="worksheet">
    <worksheetSource ref="A1:N533" sheet="Master"/>
  </cacheSource>
  <cacheFields count="14">
    <cacheField name="Serial" numFmtId="0">
      <sharedItems containsSemiMixedTypes="0" containsString="0" containsNumber="1" containsInteger="1" minValue="1" maxValue="532"/>
    </cacheField>
    <cacheField name="Level 1 " numFmtId="0">
      <sharedItems count="13">
        <s v="1 MITAS"/>
        <s v="BGC_23"/>
        <s v="BGCG_23"/>
        <s v="Camp_23"/>
        <s v="HO_23"/>
        <s v="MWS_23"/>
        <s v="ROESP_23"/>
        <s v="ROOG_23"/>
        <s v="ROOM_23"/>
        <s v="ROOP_23"/>
        <s v="TOTAL_25"/>
        <s v="TOTAL_23" u="1"/>
        <s v="1 MITS" u="1"/>
      </sharedItems>
    </cacheField>
    <cacheField name="Level 2" numFmtId="0">
      <sharedItems count="50">
        <s v="MITSOHTL"/>
        <s v="BNGL-25"/>
        <s v="EX_23"/>
        <s v="KAZ_23"/>
        <s v="MANPR_23"/>
        <s v="QUR_23"/>
        <s v="SPAS_23"/>
        <s v="UQ_23"/>
        <s v="ZBR_23"/>
        <s v="GRLBG_23"/>
        <s v="CmpSB_23"/>
        <s v="MWS_23"/>
        <s v="HO_SB_23"/>
        <s v="EIESP_23"/>
        <s v="GRLRO_23"/>
        <s v="EIMNT_23"/>
        <s v="EISP_23"/>
        <s v="MPTAR_23"/>
        <s v="MPSP_23"/>
        <s v="MPMNT_23"/>
        <s v="CVMNT_23 "/>
        <s v="E&amp;I-MAJ"/>
        <s v="FFF_23"/>
        <s v="FLWLN_23"/>
        <s v="KBR_23"/>
        <s v="MWP_23"/>
        <s v="OHTL _25"/>
        <s v="PWRI_23"/>
        <s v="PWRI2_23"/>
        <s v="QAWPT_23"/>
        <s v="WOD_23"/>
        <s v="CPSs_23"/>
        <s v="GRLTOT"/>
        <s v=" MWP_23" u="1"/>
        <s v="MITASOHTL" u="1"/>
        <s v="OHTL_25" u="1"/>
        <s v="GRLTOT_25" u="1"/>
        <s v="BNGL_25" u="1"/>
        <s v="QTC_24" u="1"/>
        <s v="E&amp;I-MAJ_24" u="1"/>
        <s v="PWT PWRI1_23" u="1"/>
        <s v="GRLBG" u="1"/>
        <s v="GRLRO" u="1"/>
        <s v="HO_SP_23" u="1"/>
        <s v="E&amp;I MAJ" u="1"/>
        <s v="BNGL_23" u="1"/>
        <s v="CMSN_23" u="1"/>
        <s v="CVMNT_23" u="1"/>
        <s v="RTPFL_23" u="1"/>
        <s v="DG02_PWD" u="1"/>
      </sharedItems>
    </cacheField>
    <cacheField name="Cost Type" numFmtId="0">
      <sharedItems/>
    </cacheField>
    <cacheField name="GL Name" numFmtId="0">
      <sharedItems count="21">
        <s v="Staff Salary &amp; Compensation"/>
        <s v="Light &amp; Heavy Equipment’s Rental"/>
        <s v="Communication &amp; internet"/>
        <s v="Material &amp; Supplies"/>
        <s v="Third party Manpower"/>
        <s v="DHL / Courier Fees / Shipping"/>
        <s v="Charitable Contributions"/>
        <s v="Fuel &amp; Lubricant"/>
        <s v="Security"/>
        <s v="Lease &amp; Rent"/>
        <s v="Third party services"/>
        <s v="Subcontractors"/>
        <s v="Fixed Assets"/>
        <s v="Visa &amp; Traveling Expense  "/>
        <s v="Accommodation"/>
        <s v="Social security"/>
        <s v="Amman Expenses"/>
        <s v="Air ticket &amp; travel"/>
        <s v="Third party Servcies" u="1"/>
        <s v="Insurance Fees" u="1"/>
        <s v="Materials" u="1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/>
    </cacheField>
    <cacheField name="Invoice Amount USD" numFmtId="167">
      <sharedItems containsSemiMixedTypes="0" containsString="0" containsNumber="1" minValue="0.63882263309292686" maxValue="507717"/>
    </cacheField>
    <cacheField name="Invoice No." numFmtId="0">
      <sharedItems containsDate="1" containsMixedTypes="1" minDate="1900-01-05T09:20:04" maxDate="1900-01-05T14:25:05"/>
    </cacheField>
    <cacheField name="Invoice Date" numFmtId="14">
      <sharedItems containsDate="1" containsMixedTypes="1" minDate="2024-11-06T00:00:00" maxDate="2025-12-05T00:00:00"/>
    </cacheField>
    <cacheField name="PO Number" numFmtId="0">
      <sharedItems containsMixedTypes="1" containsNumber="1" containsInteger="1" minValue="2024403561" maxValue="2025404420"/>
    </cacheField>
    <cacheField name="Month" numFmtId="0">
      <sharedItems/>
    </cacheField>
    <cacheField name="Year" numFmtId="0">
      <sharedItems containsString="0" containsBlank="1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2">
  <r>
    <n v="1"/>
    <x v="0"/>
    <x v="0"/>
    <s v="Actual"/>
    <x v="0"/>
    <m/>
    <s v="IGCC"/>
    <s v="Payroll Nov"/>
    <n v="18062"/>
    <s v="N/A"/>
    <s v="N/A"/>
    <s v="N/A"/>
    <s v="Nov"/>
    <n v="2025"/>
  </r>
  <r>
    <n v="2"/>
    <x v="0"/>
    <x v="0"/>
    <s v="Accrual"/>
    <x v="1"/>
    <m/>
    <s v="Border Transportaion / Al Hodod"/>
    <s v="Heavy  equipment rental"/>
    <n v="4607.7192307692312"/>
    <s v="N/A"/>
    <s v="N/A"/>
    <s v="N/A"/>
    <s v="Nov"/>
    <n v="2025"/>
  </r>
  <r>
    <n v="3"/>
    <x v="0"/>
    <x v="0"/>
    <s v="Accrual"/>
    <x v="1"/>
    <m/>
    <s v="NAC Logistic"/>
    <s v="Heavy  equipment rental"/>
    <n v="562.13017482517489"/>
    <s v="N/A"/>
    <s v="N/A"/>
    <s v="N/A"/>
    <s v="Nov"/>
    <n v="2025"/>
  </r>
  <r>
    <n v="4"/>
    <x v="0"/>
    <x v="0"/>
    <s v="Accrual"/>
    <x v="1"/>
    <m/>
    <s v="Taqadm Albasrah"/>
    <s v="Heavy  equipment rental"/>
    <n v="10439.483503496504"/>
    <s v="N/A"/>
    <s v="N/A"/>
    <s v="N/A"/>
    <s v="Nov"/>
    <n v="2025"/>
  </r>
  <r>
    <n v="5"/>
    <x v="0"/>
    <x v="0"/>
    <s v="Accrual"/>
    <x v="1"/>
    <m/>
    <s v="NAC Logistic"/>
    <s v=" Light equipment rental"/>
    <n v="2197.4179720279722"/>
    <s v="N/A"/>
    <s v="N/A"/>
    <s v="N/A"/>
    <s v="Nov"/>
    <n v="2025"/>
  </r>
  <r>
    <n v="6"/>
    <x v="0"/>
    <x v="0"/>
    <s v="Accrual"/>
    <x v="1"/>
    <m/>
    <s v="Taqadm Albasrah"/>
    <s v=" Light equipment rental"/>
    <n v="5119.477713286713"/>
    <s v="N/A"/>
    <s v="N/A"/>
    <s v="N/A"/>
    <s v="Nov"/>
    <n v="2025"/>
  </r>
  <r>
    <n v="7"/>
    <x v="0"/>
    <x v="0"/>
    <s v="Actual"/>
    <x v="2"/>
    <m/>
    <s v="Zain Telecom"/>
    <s v="Zain Telecom Services"/>
    <n v="161.51516052231824"/>
    <n v="63"/>
    <d v="2025-09-30T00:00:00"/>
    <s v="N/A"/>
    <s v="Nov"/>
    <n v="2025"/>
  </r>
  <r>
    <n v="8"/>
    <x v="0"/>
    <x v="0"/>
    <s v="Actual"/>
    <x v="3"/>
    <m/>
    <s v="ZUMZUM ALFAYHAA INSAAT"/>
    <s v="Materials"/>
    <n v="150"/>
    <s v="12136"/>
    <d v="2025-11-15T00:00:00"/>
    <n v="2025404138"/>
    <s v="Nov"/>
    <n v="2025"/>
  </r>
  <r>
    <n v="9"/>
    <x v="0"/>
    <x v="0"/>
    <s v="Accrual"/>
    <x v="4"/>
    <m/>
    <s v="Burj Al Rafidain Hamza"/>
    <s v="Third party Manpower"/>
    <n v="1860.7144715820421"/>
    <s v="N/A"/>
    <s v="N/A"/>
    <s v="N/A"/>
    <s v="Nov"/>
    <n v="2025"/>
  </r>
  <r>
    <n v="10"/>
    <x v="1"/>
    <x v="1"/>
    <s v="Actual"/>
    <x v="0"/>
    <m/>
    <s v="IGCC"/>
    <s v="Payroll Nov"/>
    <n v="108532"/>
    <s v="N/A"/>
    <s v="N/A"/>
    <s v="N/A"/>
    <s v="Nov"/>
    <n v="2025"/>
  </r>
  <r>
    <n v="11"/>
    <x v="1"/>
    <x v="2"/>
    <s v="Actual"/>
    <x v="0"/>
    <m/>
    <s v="IGCC"/>
    <s v="Payroll Nov"/>
    <n v="18744"/>
    <s v="N/A"/>
    <s v="N/A"/>
    <s v="N/A"/>
    <s v="Nov"/>
    <n v="2025"/>
  </r>
  <r>
    <n v="12"/>
    <x v="1"/>
    <x v="3"/>
    <s v="Actual"/>
    <x v="0"/>
    <m/>
    <s v="IGCC"/>
    <s v="Payroll Nov"/>
    <n v="107578"/>
    <s v="N/A"/>
    <s v="N/A"/>
    <s v="N/A"/>
    <s v="Nov"/>
    <n v="2025"/>
  </r>
  <r>
    <n v="13"/>
    <x v="1"/>
    <x v="4"/>
    <s v="Actual"/>
    <x v="0"/>
    <m/>
    <s v="IGCC"/>
    <s v="Payroll Nov"/>
    <n v="44196"/>
    <s v="N/A"/>
    <s v="N/A"/>
    <s v="N/A"/>
    <s v="Nov"/>
    <n v="2025"/>
  </r>
  <r>
    <n v="14"/>
    <x v="1"/>
    <x v="5"/>
    <s v="Actual"/>
    <x v="0"/>
    <m/>
    <s v="IGCC"/>
    <s v="Payroll Nov"/>
    <n v="5471"/>
    <s v="N/A"/>
    <s v="N/A"/>
    <s v="N/A"/>
    <s v="Nov"/>
    <n v="2025"/>
  </r>
  <r>
    <n v="15"/>
    <x v="1"/>
    <x v="6"/>
    <s v="Actual"/>
    <x v="0"/>
    <m/>
    <s v="IGCC"/>
    <s v="Payroll Nov"/>
    <n v="31670"/>
    <s v="N/A"/>
    <s v="N/A"/>
    <s v="N/A"/>
    <s v="Nov"/>
    <n v="2025"/>
  </r>
  <r>
    <n v="16"/>
    <x v="1"/>
    <x v="7"/>
    <s v="Actual"/>
    <x v="0"/>
    <m/>
    <s v="IGCC"/>
    <s v="Payroll Nov"/>
    <n v="183652"/>
    <s v="N/A"/>
    <s v="N/A"/>
    <s v="N/A"/>
    <s v="Nov"/>
    <n v="2025"/>
  </r>
  <r>
    <n v="17"/>
    <x v="1"/>
    <x v="8"/>
    <s v="Actual"/>
    <x v="0"/>
    <m/>
    <s v="IGCC"/>
    <s v="Payroll Nov"/>
    <n v="9090"/>
    <s v="N/A"/>
    <s v="N/A"/>
    <s v="N/A"/>
    <s v="Nov"/>
    <n v="2025"/>
  </r>
  <r>
    <n v="18"/>
    <x v="1"/>
    <x v="7"/>
    <s v="Accrual"/>
    <x v="5"/>
    <m/>
    <s v="RADIX General Trading Co. ltd."/>
    <s v="DHL / Courier Fees / Shipping"/>
    <n v="7600"/>
    <s v="N/A"/>
    <s v="N/A"/>
    <s v="N/A"/>
    <s v="Nov"/>
    <n v="2025"/>
  </r>
  <r>
    <n v="19"/>
    <x v="1"/>
    <x v="1"/>
    <s v="Actual"/>
    <x v="6"/>
    <m/>
    <s v="Petty Cash"/>
    <s v="موافقات رسمية"/>
    <n v="139.86013986013987"/>
    <s v="##"/>
    <s v="16/11/2025"/>
    <s v="N/A"/>
    <s v="Nov"/>
    <n v="2025"/>
  </r>
  <r>
    <n v="20"/>
    <x v="1"/>
    <x v="3"/>
    <s v="Actual"/>
    <x v="6"/>
    <m/>
    <s v="Petty Cash"/>
    <s v="KAZ-Check point salary "/>
    <n v="909.09090909090912"/>
    <s v="##"/>
    <d v="2025-04-11T00:00:00"/>
    <s v="N/A"/>
    <s v="Nov"/>
    <n v="2025"/>
  </r>
  <r>
    <n v="21"/>
    <x v="1"/>
    <x v="1"/>
    <s v="Actual"/>
    <x v="3"/>
    <m/>
    <s v="Petty Cash"/>
    <s v="Petty Cash for BNGL"/>
    <n v="864.33566433566432"/>
    <s v="##"/>
    <s v="28/10/2025"/>
    <s v="N/A"/>
    <s v="Nov"/>
    <n v="2025"/>
  </r>
  <r>
    <n v="22"/>
    <x v="1"/>
    <x v="3"/>
    <s v="Actual"/>
    <x v="3"/>
    <m/>
    <s v="Petty Cash"/>
    <s v="OUTDOOR Jointing kit for 0.6/1KV , 4C X 240mm2 cable x 1ea"/>
    <n v="594.40559440559446"/>
    <n v="2126"/>
    <d v="2025-10-01T00:00:00"/>
    <s v="N/A"/>
    <s v="Nov"/>
    <n v="2025"/>
  </r>
  <r>
    <n v="23"/>
    <x v="1"/>
    <x v="3"/>
    <s v="Actual"/>
    <x v="3"/>
    <m/>
    <s v="Petty Cash"/>
    <s v="Petty Cash for KAZ"/>
    <n v="760.13986013986016"/>
    <s v="##"/>
    <s v="30/9/2025"/>
    <s v="N/A"/>
    <s v="Nov"/>
    <n v="2025"/>
  </r>
  <r>
    <n v="24"/>
    <x v="1"/>
    <x v="3"/>
    <s v="Actual"/>
    <x v="3"/>
    <m/>
    <s v="Petty Cash"/>
    <s v="Petty Cash for KAZ"/>
    <n v="748.25174825174827"/>
    <s v="##"/>
    <s v="17/112025"/>
    <s v="N/A"/>
    <s v="Nov"/>
    <n v="2025"/>
  </r>
  <r>
    <n v="25"/>
    <x v="1"/>
    <x v="5"/>
    <s v="Actual"/>
    <x v="3"/>
    <m/>
    <s v="Petty Cash"/>
    <s v="Petty Cash for QTC"/>
    <n v="1045.4545454545455"/>
    <s v="##"/>
    <s v="25/11/2025"/>
    <s v="N/A"/>
    <s v="Nov"/>
    <n v="2025"/>
  </r>
  <r>
    <n v="26"/>
    <x v="1"/>
    <x v="6"/>
    <s v="Actual"/>
    <x v="3"/>
    <m/>
    <s v="Petty Cash"/>
    <s v="Petty Cash for NGL"/>
    <n v="691.25874125874122"/>
    <s v="##"/>
    <d v="2025-02-11T00:00:00"/>
    <s v="N/A"/>
    <s v="Nov"/>
    <n v="2025"/>
  </r>
  <r>
    <n v="27"/>
    <x v="1"/>
    <x v="6"/>
    <s v="Actual"/>
    <x v="3"/>
    <m/>
    <s v="Petty Cash"/>
    <s v="Petty Cash for NGL"/>
    <n v="594.40559440559446"/>
    <s v="##"/>
    <s v="25/10/2025"/>
    <s v="N/A"/>
    <s v="Nov"/>
    <n v="2025"/>
  </r>
  <r>
    <n v="28"/>
    <x v="1"/>
    <x v="7"/>
    <s v="Actual"/>
    <x v="3"/>
    <m/>
    <s v="Petty Cash"/>
    <s v="Petty Cash for UQ"/>
    <n v="2355.9440559440559"/>
    <s v="##"/>
    <d v="2025-01-11T00:00:00"/>
    <s v="N/A"/>
    <s v="Nov"/>
    <n v="2025"/>
  </r>
  <r>
    <n v="29"/>
    <x v="1"/>
    <x v="1"/>
    <s v="Actual"/>
    <x v="2"/>
    <m/>
    <s v="Petty Cash"/>
    <s v="Internet Modem"/>
    <n v="222.37762237762237"/>
    <s v="##"/>
    <s v="26/11/2025"/>
    <s v="N/A"/>
    <s v="Nov"/>
    <n v="2025"/>
  </r>
  <r>
    <n v="30"/>
    <x v="1"/>
    <x v="5"/>
    <s v="Actual"/>
    <x v="2"/>
    <m/>
    <s v="Petty Cash"/>
    <s v="Internet Modem"/>
    <n v="74.12587412587412"/>
    <s v="##"/>
    <s v="26/11/2025"/>
    <s v="N/A"/>
    <s v="Nov"/>
    <n v="2025"/>
  </r>
  <r>
    <n v="31"/>
    <x v="1"/>
    <x v="7"/>
    <s v="Actual"/>
    <x v="2"/>
    <m/>
    <s v="Petty Cash"/>
    <s v="Internet Modem"/>
    <n v="241.25874125874125"/>
    <s v="##"/>
    <s v="26/11/2025"/>
    <s v="N/A"/>
    <s v="Nov"/>
    <n v="2025"/>
  </r>
  <r>
    <n v="32"/>
    <x v="1"/>
    <x v="7"/>
    <s v="Accrual"/>
    <x v="7"/>
    <m/>
    <s v="IGCC"/>
    <s v="Diesel Sites Nov 25"/>
    <n v="2552.4475524475524"/>
    <s v="N/A"/>
    <s v="N/A"/>
    <s v="N/A"/>
    <s v="Nov"/>
    <n v="2025"/>
  </r>
  <r>
    <n v="33"/>
    <x v="1"/>
    <x v="3"/>
    <s v="Accrual"/>
    <x v="7"/>
    <m/>
    <s v="IGCC"/>
    <s v="Diesel Sites Nov 25"/>
    <n v="3230.7692307692309"/>
    <s v="N/A"/>
    <s v="N/A"/>
    <s v="N/A"/>
    <s v="Nov"/>
    <n v="2025"/>
  </r>
  <r>
    <n v="34"/>
    <x v="1"/>
    <x v="5"/>
    <s v="Accrual"/>
    <x v="1"/>
    <m/>
    <s v="Neema Abdul Hassan"/>
    <s v="Light equipment rental"/>
    <n v="1620"/>
    <s v="N/A"/>
    <s v="N/A"/>
    <s v="N/A"/>
    <s v="Nov"/>
    <n v="2025"/>
  </r>
  <r>
    <n v="35"/>
    <x v="1"/>
    <x v="7"/>
    <s v="Accrual"/>
    <x v="1"/>
    <m/>
    <s v="Border Transportaion / Al Hodod"/>
    <s v="Heavy  equipment rental"/>
    <n v="8811.9957482517475"/>
    <s v="N/A"/>
    <s v="N/A"/>
    <s v="N/A"/>
    <s v="Nov"/>
    <n v="2025"/>
  </r>
  <r>
    <n v="36"/>
    <x v="1"/>
    <x v="1"/>
    <s v="Accrual"/>
    <x v="1"/>
    <m/>
    <s v="NAC Logistic"/>
    <s v="Heavy  equipment rental"/>
    <n v="21887.175804195802"/>
    <s v="N/A"/>
    <s v="N/A"/>
    <s v="N/A"/>
    <s v="Nov"/>
    <n v="2025"/>
  </r>
  <r>
    <n v="37"/>
    <x v="1"/>
    <x v="3"/>
    <s v="Accrual"/>
    <x v="1"/>
    <m/>
    <s v="NAC Logistic"/>
    <s v="Heavy  equipment rental"/>
    <n v="45235.309244755241"/>
    <s v="N/A"/>
    <s v="N/A"/>
    <s v="N/A"/>
    <s v="Nov"/>
    <n v="2025"/>
  </r>
  <r>
    <n v="38"/>
    <x v="1"/>
    <x v="5"/>
    <s v="Accrual"/>
    <x v="1"/>
    <m/>
    <s v="NAC Logistic"/>
    <s v="Heavy  equipment rental"/>
    <n v="4029.0478741258739"/>
    <s v="N/A"/>
    <s v="N/A"/>
    <s v="N/A"/>
    <s v="Nov"/>
    <n v="2025"/>
  </r>
  <r>
    <n v="39"/>
    <x v="1"/>
    <x v="6"/>
    <s v="Accrual"/>
    <x v="1"/>
    <m/>
    <s v="NAC Logistic"/>
    <s v="Heavy  equipment rental"/>
    <n v="5613.3673846153843"/>
    <s v="N/A"/>
    <s v="N/A"/>
    <s v="N/A"/>
    <s v="Nov"/>
    <n v="2025"/>
  </r>
  <r>
    <n v="40"/>
    <x v="1"/>
    <x v="7"/>
    <s v="Accrual"/>
    <x v="1"/>
    <m/>
    <s v="NAC Logistic"/>
    <s v="Heavy  equipment rental"/>
    <n v="98835.233755244757"/>
    <s v="N/A"/>
    <s v="N/A"/>
    <s v="N/A"/>
    <s v="Nov"/>
    <n v="2025"/>
  </r>
  <r>
    <n v="41"/>
    <x v="1"/>
    <x v="8"/>
    <s v="Accrual"/>
    <x v="1"/>
    <m/>
    <s v="NAC Logistic"/>
    <s v="Heavy  equipment rental"/>
    <n v="1387.4394825174825"/>
    <s v="N/A"/>
    <s v="N/A"/>
    <s v="N/A"/>
    <s v="Nov"/>
    <n v="2025"/>
  </r>
  <r>
    <n v="42"/>
    <x v="1"/>
    <x v="1"/>
    <s v="Accrual"/>
    <x v="1"/>
    <m/>
    <s v="Taqadm Albasrah"/>
    <s v="Heavy  equipment rental"/>
    <n v="476.06239860139857"/>
    <s v="N/A"/>
    <s v="N/A"/>
    <s v="N/A"/>
    <s v="Nov"/>
    <n v="2025"/>
  </r>
  <r>
    <n v="43"/>
    <x v="1"/>
    <x v="3"/>
    <s v="Accrual"/>
    <x v="1"/>
    <m/>
    <s v="Taqadm Albasrah"/>
    <s v="Heavy  equipment rental"/>
    <n v="4105.551307692308"/>
    <s v="N/A"/>
    <s v="N/A"/>
    <s v="N/A"/>
    <s v="Nov"/>
    <n v="2025"/>
  </r>
  <r>
    <n v="44"/>
    <x v="1"/>
    <x v="5"/>
    <s v="Accrual"/>
    <x v="1"/>
    <m/>
    <s v="Taqadm Albasrah"/>
    <s v="Heavy  equipment rental"/>
    <n v="228.12264335664335"/>
    <s v="N/A"/>
    <s v="N/A"/>
    <s v="N/A"/>
    <s v="Nov"/>
    <n v="2025"/>
  </r>
  <r>
    <n v="45"/>
    <x v="1"/>
    <x v="6"/>
    <s v="Accrual"/>
    <x v="1"/>
    <m/>
    <s v="Taqadm Albasrah"/>
    <s v="Heavy  equipment rental"/>
    <n v="4070.4625804195807"/>
    <s v="N/A"/>
    <s v="N/A"/>
    <s v="N/A"/>
    <s v="Nov"/>
    <n v="2025"/>
  </r>
  <r>
    <n v="46"/>
    <x v="1"/>
    <x v="7"/>
    <s v="Accrual"/>
    <x v="1"/>
    <m/>
    <s v="Taqadm Albasrah"/>
    <s v="Heavy  equipment rental"/>
    <n v="24568.047174825177"/>
    <s v="N/A"/>
    <s v="N/A"/>
    <s v="N/A"/>
    <s v="Nov"/>
    <n v="2025"/>
  </r>
  <r>
    <n v="47"/>
    <x v="1"/>
    <x v="1"/>
    <s v="Accrual"/>
    <x v="1"/>
    <m/>
    <s v="NAC Logistic"/>
    <s v=" Light equipment rental"/>
    <n v="23994.954111888113"/>
    <s v="N/A"/>
    <s v="N/A"/>
    <s v="N/A"/>
    <s v="Nov"/>
    <n v="2025"/>
  </r>
  <r>
    <n v="48"/>
    <x v="1"/>
    <x v="3"/>
    <s v="Accrual"/>
    <x v="1"/>
    <m/>
    <s v="NAC Logistic"/>
    <s v=" Light equipment rental"/>
    <n v="12312.860643356642"/>
    <s v="N/A"/>
    <s v="N/A"/>
    <s v="N/A"/>
    <s v="Nov"/>
    <n v="2025"/>
  </r>
  <r>
    <n v="49"/>
    <x v="1"/>
    <x v="4"/>
    <s v="Accrual"/>
    <x v="1"/>
    <m/>
    <s v="NAC Logistic"/>
    <s v=" Light equipment rental"/>
    <n v="6293.7062937062938"/>
    <s v="N/A"/>
    <s v="N/A"/>
    <s v="N/A"/>
    <s v="Nov"/>
    <n v="2025"/>
  </r>
  <r>
    <n v="50"/>
    <x v="1"/>
    <x v="6"/>
    <s v="Accrual"/>
    <x v="1"/>
    <m/>
    <s v="NAC Logistic"/>
    <s v=" Light equipment rental"/>
    <n v="4803.6579020979016"/>
    <s v="N/A"/>
    <s v="N/A"/>
    <s v="N/A"/>
    <s v="Nov"/>
    <n v="2025"/>
  </r>
  <r>
    <n v="51"/>
    <x v="1"/>
    <x v="7"/>
    <s v="Accrual"/>
    <x v="1"/>
    <m/>
    <s v="NAC Logistic"/>
    <s v=" Light equipment rental"/>
    <n v="19417.755734265735"/>
    <s v="N/A"/>
    <s v="N/A"/>
    <s v="N/A"/>
    <s v="Nov"/>
    <n v="2025"/>
  </r>
  <r>
    <n v="52"/>
    <x v="1"/>
    <x v="1"/>
    <s v="Accrual"/>
    <x v="1"/>
    <m/>
    <s v="Taqadm Albasrah"/>
    <s v=" Light equipment rental"/>
    <n v="12847.901776223776"/>
    <s v="N/A"/>
    <s v="N/A"/>
    <s v="N/A"/>
    <s v="Nov"/>
    <n v="2025"/>
  </r>
  <r>
    <n v="53"/>
    <x v="1"/>
    <x v="3"/>
    <s v="Accrual"/>
    <x v="1"/>
    <m/>
    <s v="Taqadm Albasrah"/>
    <s v=" Light equipment rental"/>
    <n v="4905.0115034965038"/>
    <s v="N/A"/>
    <s v="N/A"/>
    <s v="N/A"/>
    <s v="Nov"/>
    <n v="2025"/>
  </r>
  <r>
    <n v="54"/>
    <x v="1"/>
    <x v="6"/>
    <s v="Accrual"/>
    <x v="1"/>
    <m/>
    <s v="Taqadm Albasrah"/>
    <s v=" Light equipment rental"/>
    <n v="11360.722258741258"/>
    <s v="N/A"/>
    <s v="N/A"/>
    <s v="N/A"/>
    <s v="Nov"/>
    <n v="2025"/>
  </r>
  <r>
    <n v="55"/>
    <x v="1"/>
    <x v="7"/>
    <s v="Accrual"/>
    <x v="1"/>
    <m/>
    <s v="Taqadm Albasrah"/>
    <s v=" Light equipment rental"/>
    <n v="12101.454797202798"/>
    <s v="N/A"/>
    <s v="N/A"/>
    <s v="N/A"/>
    <s v="Nov"/>
    <n v="2025"/>
  </r>
  <r>
    <n v="56"/>
    <x v="1"/>
    <x v="8"/>
    <s v="Accrual"/>
    <x v="1"/>
    <m/>
    <s v="Taqadm Albasrah"/>
    <s v=" Light equipment rental"/>
    <n v="2121.2120559440559"/>
    <s v="N/A"/>
    <s v="N/A"/>
    <s v="N/A"/>
    <s v="Nov"/>
    <n v="2025"/>
  </r>
  <r>
    <n v="57"/>
    <x v="1"/>
    <x v="7"/>
    <s v="Actual"/>
    <x v="8"/>
    <m/>
    <s v="LARSA Security"/>
    <s v="PSD"/>
    <n v="3600"/>
    <s v="INV-IGCC-UM QASIR-25-11-272"/>
    <d v="2025-11-30T00:00:00"/>
    <s v="N/A"/>
    <s v="Nov"/>
    <m/>
  </r>
  <r>
    <n v="58"/>
    <x v="1"/>
    <x v="5"/>
    <s v="Actual"/>
    <x v="8"/>
    <m/>
    <s v="Derraa Al Rumaila Security"/>
    <s v="Guards"/>
    <n v="4500"/>
    <s v="3009401125"/>
    <d v="2025-11-03T00:00:00"/>
    <s v="N/A"/>
    <s v="Nov"/>
    <m/>
  </r>
  <r>
    <n v="59"/>
    <x v="1"/>
    <x v="5"/>
    <s v="Actual"/>
    <x v="8"/>
    <m/>
    <s v="Derraa Al Rumaila Security"/>
    <s v="PSD"/>
    <n v="1000"/>
    <s v="3009401125"/>
    <d v="2025-11-03T00:00:00"/>
    <s v="N/A"/>
    <s v="Nov"/>
    <m/>
  </r>
  <r>
    <n v="60"/>
    <x v="1"/>
    <x v="7"/>
    <s v="Accrual"/>
    <x v="9"/>
    <m/>
    <s v="Al Ajdar For General Trading and General Purchasing Ltd"/>
    <s v="Lease &amp; Rent"/>
    <n v="5500"/>
    <s v="N/A"/>
    <s v="N/A"/>
    <s v="N/A"/>
    <s v="Nov"/>
    <n v="2025"/>
  </r>
  <r>
    <n v="61"/>
    <x v="1"/>
    <x v="3"/>
    <s v="Accrual"/>
    <x v="2"/>
    <m/>
    <s v="Hulum Telecom"/>
    <s v="Internet"/>
    <n v="1176.9230769230769"/>
    <s v="N/A"/>
    <s v="N/A"/>
    <s v="N/A"/>
    <s v="Nov"/>
    <n v="2025"/>
  </r>
  <r>
    <n v="62"/>
    <x v="1"/>
    <x v="7"/>
    <s v="Actual"/>
    <x v="3"/>
    <m/>
    <s v="Abdullah Gallery"/>
    <s v="Materials/Safety"/>
    <n v="3608.3916083916083"/>
    <s v="00824"/>
    <d v="2025-10-28T00:00:00"/>
    <n v="2025403592"/>
    <s v="Nov"/>
    <n v="2025"/>
  </r>
  <r>
    <n v="63"/>
    <x v="1"/>
    <x v="7"/>
    <s v="Actual"/>
    <x v="3"/>
    <m/>
    <s v="AL MUSTAFA INDUSTRIAL IRON TRADING"/>
    <s v="Materials/IRON"/>
    <n v="383.7"/>
    <s v="406"/>
    <d v="2025-11-23T00:00:00"/>
    <n v="2025404277"/>
    <s v="Nov"/>
    <n v="2025"/>
  </r>
  <r>
    <n v="64"/>
    <x v="1"/>
    <x v="7"/>
    <s v="Actual"/>
    <x v="3"/>
    <m/>
    <s v="ALDOLPHIN CO"/>
    <s v="Materials/Paint"/>
    <n v="3270"/>
    <s v="8502"/>
    <d v="2025-11-19T00:00:00"/>
    <n v="2025404245"/>
    <s v="Nov"/>
    <n v="2025"/>
  </r>
  <r>
    <n v="65"/>
    <x v="1"/>
    <x v="6"/>
    <s v="Actual"/>
    <x v="3"/>
    <m/>
    <s v="Al-Ghadeer Print"/>
    <s v="Materials"/>
    <n v="979.02097902097898"/>
    <s v="0377"/>
    <d v="2025-11-17T00:00:00"/>
    <n v="2025404266"/>
    <s v="Nov"/>
    <n v="2025"/>
  </r>
  <r>
    <n v="66"/>
    <x v="1"/>
    <x v="7"/>
    <s v="Actual"/>
    <x v="3"/>
    <m/>
    <s v="Al-Janaeen Al-Mualaka for Water"/>
    <s v="Materials/Water"/>
    <n v="5672.727272727273"/>
    <s v="3031"/>
    <d v="2025-11-24T00:00:00"/>
    <n v="2025404384"/>
    <s v="Nov"/>
    <n v="2025"/>
  </r>
  <r>
    <n v="67"/>
    <x v="1"/>
    <x v="7"/>
    <s v="Actual"/>
    <x v="3"/>
    <m/>
    <s v="AL-Wajeeh Company"/>
    <s v="Materials"/>
    <n v="809.87"/>
    <s v="17321-2"/>
    <d v="2025-11-19T00:00:00"/>
    <n v="2025404212"/>
    <s v="Nov"/>
    <n v="2025"/>
  </r>
  <r>
    <n v="68"/>
    <x v="1"/>
    <x v="3"/>
    <s v="Actual"/>
    <x v="3"/>
    <m/>
    <s v="AL-Wajeeh Company"/>
    <s v="Materials"/>
    <n v="319.88"/>
    <s v="17326"/>
    <d v="2025-11-19T00:00:00"/>
    <n v="2025404220"/>
    <s v="Nov"/>
    <n v="2025"/>
  </r>
  <r>
    <n v="69"/>
    <x v="1"/>
    <x v="7"/>
    <s v="Actual"/>
    <x v="3"/>
    <m/>
    <s v="AL-Wajeeh Company"/>
    <s v="Materials"/>
    <n v="223.85"/>
    <s v="17383"/>
    <d v="2025-11-30T00:00:00"/>
    <n v="2025404334"/>
    <s v="Nov"/>
    <n v="2025"/>
  </r>
  <r>
    <n v="70"/>
    <x v="1"/>
    <x v="1"/>
    <s v="Actual"/>
    <x v="3"/>
    <m/>
    <s v="BASHEER FOR DECORATION"/>
    <s v="Materials"/>
    <n v="2011.8881118881118"/>
    <s v="#"/>
    <d v="2025-11-30T00:00:00"/>
    <n v="2025404369"/>
    <s v="Nov"/>
    <n v="2025"/>
  </r>
  <r>
    <n v="71"/>
    <x v="1"/>
    <x v="1"/>
    <s v="Actual"/>
    <x v="3"/>
    <m/>
    <s v="BASHEER FOR DECORATION"/>
    <s v="Materials"/>
    <n v="2237.7622377622379"/>
    <s v="#"/>
    <d v="2025-11-30T00:00:00"/>
    <n v="2025404420"/>
    <s v="Nov"/>
    <n v="2025"/>
  </r>
  <r>
    <n v="72"/>
    <x v="1"/>
    <x v="1"/>
    <s v="Actual"/>
    <x v="3"/>
    <m/>
    <s v="BLUE LINE"/>
    <s v="Materials"/>
    <n v="191.78"/>
    <s v="6558"/>
    <d v="2025-10-28T00:00:00"/>
    <n v="2025403999"/>
    <s v="Nov"/>
    <n v="2025"/>
  </r>
  <r>
    <n v="73"/>
    <x v="1"/>
    <x v="3"/>
    <s v="Actual"/>
    <x v="3"/>
    <m/>
    <s v="BLUE LINE"/>
    <s v="Materials"/>
    <n v="526.16"/>
    <s v="6549"/>
    <d v="2025-10-26T00:00:00"/>
    <n v="2025404063"/>
    <s v="Nov"/>
    <n v="2025"/>
  </r>
  <r>
    <n v="74"/>
    <x v="1"/>
    <x v="3"/>
    <s v="Actual"/>
    <x v="3"/>
    <m/>
    <s v="BLUE LINE"/>
    <s v="Materials"/>
    <n v="830.71"/>
    <s v="6578"/>
    <d v="2025-11-05T00:00:00"/>
    <n v="2025404216"/>
    <s v="Nov"/>
    <n v="2025"/>
  </r>
  <r>
    <n v="75"/>
    <x v="1"/>
    <x v="3"/>
    <s v="Actual"/>
    <x v="3"/>
    <m/>
    <s v="BLUE LINE"/>
    <s v="Materials"/>
    <n v="314.05"/>
    <s v="6554"/>
    <d v="2025-10-28T00:00:00"/>
    <n v="2025404217"/>
    <s v="Nov"/>
    <n v="2025"/>
  </r>
  <r>
    <n v="76"/>
    <x v="1"/>
    <x v="7"/>
    <s v="Actual"/>
    <x v="3"/>
    <m/>
    <s v="EPT LLC"/>
    <s v="Materials"/>
    <n v="5818.181818181818"/>
    <s v="INV/2025/00269"/>
    <d v="2025-11-04T00:00:00"/>
    <n v="2025404142"/>
    <s v="Nov"/>
    <n v="2025"/>
  </r>
  <r>
    <n v="77"/>
    <x v="1"/>
    <x v="7"/>
    <s v="Actual"/>
    <x v="3"/>
    <m/>
    <s v="EPT LLC"/>
    <s v="Materials"/>
    <n v="9041.9580419580416"/>
    <s v="INV/2025/00256"/>
    <d v="2025-10-26T00:00:00"/>
    <n v="2025404143"/>
    <s v="Nov"/>
    <n v="2025"/>
  </r>
  <r>
    <n v="78"/>
    <x v="1"/>
    <x v="3"/>
    <s v="Actual"/>
    <x v="3"/>
    <m/>
    <s v="EPT Sika"/>
    <s v="Materials"/>
    <n v="3524.4755244755243"/>
    <s v="685"/>
    <d v="2025-11-17T00:00:00"/>
    <n v="2025404173"/>
    <s v="Nov"/>
    <n v="2025"/>
  </r>
  <r>
    <n v="79"/>
    <x v="1"/>
    <x v="1"/>
    <s v="Actual"/>
    <x v="3"/>
    <m/>
    <s v="GULF PEARL GROUP"/>
    <s v="Materials/Paint"/>
    <n v="3120"/>
    <s v="27852025"/>
    <d v="2025-11-06T00:00:00"/>
    <n v="2025404087"/>
    <s v="Nov"/>
    <n v="2025"/>
  </r>
  <r>
    <n v="80"/>
    <x v="1"/>
    <x v="8"/>
    <s v="Actual"/>
    <x v="3"/>
    <m/>
    <s v="Khan Alhadded Company"/>
    <s v="Materials/IRON"/>
    <n v="126"/>
    <s v="678"/>
    <d v="2024-11-06T00:00:00"/>
    <n v="2025402871"/>
    <s v="Nov"/>
    <n v="2025"/>
  </r>
  <r>
    <n v="81"/>
    <x v="1"/>
    <x v="3"/>
    <s v="Actual"/>
    <x v="3"/>
    <m/>
    <s v="Rawat Emaar AL-Iraq Co. (JOTUN)"/>
    <s v="Materials/Paint"/>
    <n v="685.31468531468533"/>
    <s v="27333"/>
    <d v="2025-10-30T00:00:00"/>
    <n v="2025403850"/>
    <s v="Nov"/>
    <n v="2025"/>
  </r>
  <r>
    <n v="82"/>
    <x v="1"/>
    <x v="3"/>
    <s v="Actual"/>
    <x v="3"/>
    <m/>
    <s v="Sabah Al-Ramadhan General trading - Hand tools - Electric"/>
    <s v="Materials/Paint"/>
    <n v="14475.524475524475"/>
    <s v="00765"/>
    <d v="2025-11-01T00:00:00"/>
    <n v="2025404147"/>
    <s v="Nov"/>
    <n v="2025"/>
  </r>
  <r>
    <n v="83"/>
    <x v="1"/>
    <x v="7"/>
    <s v="Actual"/>
    <x v="3"/>
    <m/>
    <s v="Tech Corner IT Solution LLC"/>
    <s v="Materials"/>
    <n v="4643.356643356643"/>
    <s v="93-2446"/>
    <d v="2025-07-01T00:00:00"/>
    <n v="2025402365"/>
    <s v="Nov"/>
    <n v="2025"/>
  </r>
  <r>
    <n v="84"/>
    <x v="1"/>
    <x v="7"/>
    <s v="Actual"/>
    <x v="3"/>
    <m/>
    <s v="UFUK Al-Basra Co."/>
    <s v="Materials"/>
    <n v="2381.1188811188813"/>
    <s v="001114"/>
    <d v="2025-06-22T00:00:00"/>
    <n v="2025402363"/>
    <s v="Nov"/>
    <n v="2025"/>
  </r>
  <r>
    <n v="85"/>
    <x v="1"/>
    <x v="7"/>
    <s v="Actual"/>
    <x v="3"/>
    <m/>
    <s v="UFUK Al-Basra Co."/>
    <s v="Materials"/>
    <n v="2413.2867132867132"/>
    <s v="001118"/>
    <d v="2025-06-28T00:00:00"/>
    <n v="2025402364"/>
    <s v="Nov"/>
    <n v="2025"/>
  </r>
  <r>
    <n v="86"/>
    <x v="1"/>
    <x v="3"/>
    <s v="Actual"/>
    <x v="3"/>
    <m/>
    <s v="ZUMZUM ALFAYHAA INSAAT"/>
    <s v="Materials"/>
    <n v="320"/>
    <s v="12088"/>
    <d v="2025-11-08T00:00:00"/>
    <n v="2025404045"/>
    <s v="Nov"/>
    <n v="2025"/>
  </r>
  <r>
    <n v="87"/>
    <x v="1"/>
    <x v="7"/>
    <s v="Actual"/>
    <x v="3"/>
    <m/>
    <s v="ZUMZUM ALFAYHAA INSAAT"/>
    <s v="Materials"/>
    <n v="474"/>
    <s v="12068"/>
    <d v="2025-11-08T00:00:00"/>
    <n v="2025404031"/>
    <s v="Nov"/>
    <n v="2025"/>
  </r>
  <r>
    <n v="88"/>
    <x v="1"/>
    <x v="1"/>
    <s v="Actual"/>
    <x v="3"/>
    <m/>
    <s v="ZUMZUM ALFAYHAA INSAAT"/>
    <s v="Materials"/>
    <n v="2058.1999999999998"/>
    <s v="12062"/>
    <d v="2025-11-08T00:00:00"/>
    <n v="2025404023"/>
    <s v="Nov"/>
    <n v="2025"/>
  </r>
  <r>
    <n v="89"/>
    <x v="1"/>
    <x v="7"/>
    <s v="Actual"/>
    <x v="3"/>
    <m/>
    <s v="ZUMZUM ALFAYHAA INSAAT"/>
    <s v="Materials"/>
    <n v="1103.5999999999999"/>
    <s v="12084"/>
    <d v="2025-11-12T00:00:00"/>
    <n v="2025404046"/>
    <s v="Nov"/>
    <n v="2025"/>
  </r>
  <r>
    <n v="90"/>
    <x v="1"/>
    <x v="3"/>
    <s v="Actual"/>
    <x v="3"/>
    <m/>
    <s v="ZUMZUM ALFAYHAA INSAAT"/>
    <s v="Materials"/>
    <n v="1320.9"/>
    <s v="12086"/>
    <d v="2025-11-09T00:00:00"/>
    <n v="2025404047"/>
    <s v="Nov"/>
    <n v="2025"/>
  </r>
  <r>
    <n v="91"/>
    <x v="1"/>
    <x v="1"/>
    <s v="Actual"/>
    <x v="3"/>
    <m/>
    <s v="ZUMZUM ALFAYHAA INSAAT"/>
    <s v="Materials"/>
    <n v="3750"/>
    <s v="12098"/>
    <d v="2025-11-10T00:00:00"/>
    <n v="2025404065"/>
    <s v="Nov"/>
    <n v="2025"/>
  </r>
  <r>
    <n v="92"/>
    <x v="1"/>
    <x v="7"/>
    <s v="Actual"/>
    <x v="3"/>
    <m/>
    <s v="ZUMZUM ALFAYHAA INSAAT"/>
    <s v="Materials"/>
    <n v="1457.8"/>
    <s v="12222"/>
    <d v="2025-11-22T00:00:00"/>
    <n v="2025404186"/>
    <s v="Nov"/>
    <n v="2025"/>
  </r>
  <r>
    <n v="93"/>
    <x v="1"/>
    <x v="1"/>
    <s v="Actual"/>
    <x v="3"/>
    <m/>
    <s v="ZUMZUM ALFAYHAA INSAAT"/>
    <s v="Materials"/>
    <n v="1693.1"/>
    <s v="12240"/>
    <d v="2025-11-19T00:00:00"/>
    <n v="2025404202"/>
    <s v="Nov"/>
    <n v="2025"/>
  </r>
  <r>
    <n v="94"/>
    <x v="1"/>
    <x v="7"/>
    <s v="Actual"/>
    <x v="3"/>
    <m/>
    <s v="ZUMZUM ALFAYHAA INSAAT"/>
    <s v="Materials"/>
    <n v="2160.1999999999998"/>
    <s v="12082"/>
    <d v="2025-11-19T00:00:00"/>
    <n v="2025404049"/>
    <s v="Nov"/>
    <n v="2025"/>
  </r>
  <r>
    <n v="95"/>
    <x v="1"/>
    <x v="3"/>
    <s v="Actual"/>
    <x v="3"/>
    <m/>
    <s v="ZUMZUM ALFAYHAA INSAAT"/>
    <s v="Materials"/>
    <n v="739"/>
    <s v="12236"/>
    <d v="2025-11-18T00:00:00"/>
    <n v="2025404200"/>
    <s v="Nov"/>
    <n v="2025"/>
  </r>
  <r>
    <n v="96"/>
    <x v="1"/>
    <x v="4"/>
    <s v="Actual"/>
    <x v="3"/>
    <m/>
    <s v="ZUMZUM ALFAYHAA INSAAT"/>
    <s v="Materials"/>
    <n v="647"/>
    <s v="12196"/>
    <d v="2025-11-18T00:00:00"/>
    <n v="2025404160"/>
    <s v="Nov"/>
    <n v="2025"/>
  </r>
  <r>
    <n v="97"/>
    <x v="1"/>
    <x v="1"/>
    <s v="Actual"/>
    <x v="3"/>
    <m/>
    <s v="ZUMZUM ALFAYHAA INSAAT"/>
    <s v="Materials"/>
    <n v="695"/>
    <s v="12342"/>
    <d v="2025-11-26T00:00:00"/>
    <n v="2025404307"/>
    <s v="Nov"/>
    <n v="2025"/>
  </r>
  <r>
    <n v="98"/>
    <x v="1"/>
    <x v="3"/>
    <s v="Actual"/>
    <x v="3"/>
    <m/>
    <s v="ZUMZUM ALFAYHAA INSAAT"/>
    <s v="Materials"/>
    <n v="1609"/>
    <s v="12238"/>
    <d v="2025-11-18T00:00:00"/>
    <n v="2025404201"/>
    <s v="Nov"/>
    <n v="2025"/>
  </r>
  <r>
    <n v="99"/>
    <x v="1"/>
    <x v="1"/>
    <s v="Actual"/>
    <x v="3"/>
    <m/>
    <s v="ZUMZUM ALFAYHAA INSAAT"/>
    <s v="Materials"/>
    <n v="826"/>
    <s v="12180"/>
    <d v="2025-11-15T00:00:00"/>
    <n v="2025404163"/>
    <s v="Nov"/>
    <n v="2025"/>
  </r>
  <r>
    <n v="100"/>
    <x v="1"/>
    <x v="7"/>
    <s v="Actual"/>
    <x v="3"/>
    <m/>
    <s v="ZUMZUM ALFAYHAA INSAAT"/>
    <s v="Materials"/>
    <n v="73"/>
    <s v="12292"/>
    <d v="2025-11-24T00:00:00"/>
    <n v="2025404234"/>
    <s v="Nov"/>
    <n v="2025"/>
  </r>
  <r>
    <n v="101"/>
    <x v="1"/>
    <x v="7"/>
    <s v="Actual"/>
    <x v="3"/>
    <m/>
    <s v="ZUMZUM ALFAYHAA INSAAT"/>
    <s v="Materials"/>
    <n v="1846.7"/>
    <s v="12260"/>
    <d v="2025-11-25T00:00:00"/>
    <n v="2025404194"/>
    <s v="Nov"/>
    <n v="2025"/>
  </r>
  <r>
    <n v="102"/>
    <x v="1"/>
    <x v="3"/>
    <s v="Actual"/>
    <x v="3"/>
    <m/>
    <s v="ZUMZUM ALFAYHAA INSAAT"/>
    <s v="Materials"/>
    <n v="84"/>
    <s v="12268"/>
    <d v="2025-11-24T00:00:00"/>
    <n v="2025404097"/>
    <s v="Nov"/>
    <n v="2025"/>
  </r>
  <r>
    <n v="103"/>
    <x v="1"/>
    <x v="1"/>
    <s v="Actual"/>
    <x v="3"/>
    <m/>
    <s v="ZUMZUM ALFAYHAA INSAAT"/>
    <s v="Materials"/>
    <n v="947"/>
    <s v="12270"/>
    <d v="2025-11-24T00:00:00"/>
    <n v="2025404102"/>
    <s v="Nov"/>
    <n v="2025"/>
  </r>
  <r>
    <n v="104"/>
    <x v="1"/>
    <x v="1"/>
    <s v="Actual"/>
    <x v="3"/>
    <m/>
    <s v="ZUMZUM ALFAYHAA INSAAT"/>
    <s v="Materials"/>
    <n v="675"/>
    <s v="12266"/>
    <d v="2025-11-24T00:00:00"/>
    <n v="2025404098"/>
    <s v="Nov"/>
    <n v="2025"/>
  </r>
  <r>
    <n v="105"/>
    <x v="1"/>
    <x v="1"/>
    <s v="Actual"/>
    <x v="3"/>
    <m/>
    <s v="ZUMZUM ALFAYHAA INSAAT"/>
    <s v="Materials"/>
    <n v="729"/>
    <s v="12278"/>
    <d v="2025-11-24T00:00:00"/>
    <n v="2025404231"/>
    <s v="Nov"/>
    <n v="2025"/>
  </r>
  <r>
    <n v="106"/>
    <x v="1"/>
    <x v="7"/>
    <s v="Actual"/>
    <x v="3"/>
    <m/>
    <s v="ZUMZUM ALFAYHAA INSAAT"/>
    <s v="Materials"/>
    <n v="2844.5"/>
    <s v="12276"/>
    <d v="2025-11-25T00:00:00"/>
    <n v="2025404108"/>
    <s v="Nov"/>
    <n v="2025"/>
  </r>
  <r>
    <n v="107"/>
    <x v="1"/>
    <x v="1"/>
    <s v="Actual"/>
    <x v="3"/>
    <m/>
    <s v="ZUMZUM ALFAYHAA INSAAT"/>
    <s v="Materials"/>
    <n v="731"/>
    <s v="12256"/>
    <d v="2025-11-24T00:00:00"/>
    <n v="2025404192"/>
    <s v="Nov"/>
    <n v="2025"/>
  </r>
  <r>
    <n v="108"/>
    <x v="1"/>
    <x v="3"/>
    <s v="Accrual"/>
    <x v="10"/>
    <m/>
    <s v="Border Transportaion / Al Hodod"/>
    <s v="Hydrovac"/>
    <n v="15096.398601398601"/>
    <s v="N/A"/>
    <s v="N/A"/>
    <s v="N/A"/>
    <s v="Nov"/>
    <n v="2025"/>
  </r>
  <r>
    <n v="109"/>
    <x v="1"/>
    <x v="5"/>
    <s v="Accrual"/>
    <x v="10"/>
    <m/>
    <s v="Border Transportaion / Al Hodod"/>
    <s v="Hydrovac"/>
    <n v="16381.258741258742"/>
    <s v="N/A"/>
    <s v="N/A"/>
    <s v="N/A"/>
    <s v="Nov"/>
    <n v="2025"/>
  </r>
  <r>
    <n v="110"/>
    <x v="1"/>
    <x v="7"/>
    <s v="Accrual"/>
    <x v="10"/>
    <m/>
    <s v="Border Transportaion / Al Hodod"/>
    <s v="Hydrovac"/>
    <n v="4978.9510489510485"/>
    <s v="N/A"/>
    <s v="N/A"/>
    <s v="N/A"/>
    <s v="Nov"/>
    <n v="2025"/>
  </r>
  <r>
    <n v="111"/>
    <x v="1"/>
    <x v="8"/>
    <s v="Accrual"/>
    <x v="10"/>
    <m/>
    <s v="Border Transportaion / Al Hodod"/>
    <s v="Hydrovac"/>
    <n v="5422.6573426573423"/>
    <s v="N/A"/>
    <s v="N/A"/>
    <s v="N/A"/>
    <s v="Nov"/>
    <n v="2025"/>
  </r>
  <r>
    <n v="112"/>
    <x v="1"/>
    <x v="1"/>
    <s v="Accrual"/>
    <x v="10"/>
    <m/>
    <s v="Border Transportaion / Al Hodod"/>
    <s v="Hydrovac"/>
    <n v="4910.9790209790208"/>
    <s v="N/A"/>
    <s v="N/A"/>
    <s v="N/A"/>
    <s v="Nov"/>
    <n v="2025"/>
  </r>
  <r>
    <n v="113"/>
    <x v="1"/>
    <x v="6"/>
    <s v="Accrual"/>
    <x v="10"/>
    <m/>
    <s v="Border Transportaion / Al Hodod"/>
    <s v="Hydrovac"/>
    <n v="12506.853146853147"/>
    <s v="N/A"/>
    <s v="N/A"/>
    <s v="N/A"/>
    <s v="Nov"/>
    <n v="2025"/>
  </r>
  <r>
    <n v="114"/>
    <x v="1"/>
    <x v="5"/>
    <s v="Actual"/>
    <x v="10"/>
    <m/>
    <s v="Basra Seven Stars Company"/>
    <s v="Testing/Calibration"/>
    <n v="8270"/>
    <s v="25804"/>
    <d v="2025-11-09T00:00:00"/>
    <n v="2024403561"/>
    <s v="Nov"/>
    <n v="2025"/>
  </r>
  <r>
    <n v="115"/>
    <x v="1"/>
    <x v="7"/>
    <s v="Actual"/>
    <x v="10"/>
    <m/>
    <s v="Tohama Company"/>
    <s v="Testing/Calibration"/>
    <n v="1920"/>
    <s v="TIC-11-25-0852"/>
    <d v="2025-11-04T00:00:00"/>
    <n v="2025404377"/>
    <s v="Nov"/>
    <n v="2025"/>
  </r>
  <r>
    <n v="116"/>
    <x v="1"/>
    <x v="3"/>
    <s v="Actual"/>
    <x v="10"/>
    <m/>
    <s v="Tohama Company"/>
    <s v="Testing/Calibration"/>
    <n v="300"/>
    <s v="TIC-11-25-0870"/>
    <d v="2025-11-07T00:00:00"/>
    <n v="2025404389"/>
    <s v="Nov"/>
    <n v="2025"/>
  </r>
  <r>
    <n v="117"/>
    <x v="1"/>
    <x v="7"/>
    <s v="Actual"/>
    <x v="10"/>
    <m/>
    <s v="EPT LLC"/>
    <s v="Testing/Calibration"/>
    <n v="8537.0629370629376"/>
    <s v="213"/>
    <d v="2025-10-29T00:00:00"/>
    <n v="2025404144"/>
    <s v="Nov"/>
    <n v="2025"/>
  </r>
  <r>
    <n v="118"/>
    <x v="1"/>
    <x v="3"/>
    <s v="Accrual"/>
    <x v="4"/>
    <m/>
    <s v="Taqadm Albasrah"/>
    <s v="labourers"/>
    <n v="2454.5454545454545"/>
    <s v="N/A"/>
    <s v="N/A"/>
    <s v="N/A"/>
    <s v="Nov"/>
    <n v="2025"/>
  </r>
  <r>
    <n v="119"/>
    <x v="1"/>
    <x v="8"/>
    <s v="Accrual"/>
    <x v="4"/>
    <m/>
    <s v="Taqadm Albasrah"/>
    <s v="labourers"/>
    <n v="1132.8671328671328"/>
    <s v="N/A"/>
    <s v="N/A"/>
    <s v="N/A"/>
    <s v="Nov"/>
    <n v="2025"/>
  </r>
  <r>
    <n v="120"/>
    <x v="1"/>
    <x v="6"/>
    <s v="Accrual"/>
    <x v="4"/>
    <m/>
    <s v="Taqadm Albasrah"/>
    <s v="labourers"/>
    <n v="1170.6293706293707"/>
    <s v="N/A"/>
    <s v="N/A"/>
    <s v="N/A"/>
    <s v="Nov"/>
    <n v="2025"/>
  </r>
  <r>
    <n v="121"/>
    <x v="1"/>
    <x v="7"/>
    <s v="Accrual"/>
    <x v="4"/>
    <m/>
    <s v="Taqadm Albasrah"/>
    <s v="labourers"/>
    <n v="35420.979020979023"/>
    <s v="N/A"/>
    <s v="N/A"/>
    <s v="N/A"/>
    <s v="Nov"/>
    <n v="2025"/>
  </r>
  <r>
    <n v="122"/>
    <x v="1"/>
    <x v="8"/>
    <s v="Accrual"/>
    <x v="4"/>
    <m/>
    <s v="Taqadm Albasrah"/>
    <s v="labourers"/>
    <n v="1132.8671328671328"/>
    <s v="N/A"/>
    <s v="N/A"/>
    <s v="N/A"/>
    <s v="Nov"/>
    <n v="2025"/>
  </r>
  <r>
    <n v="123"/>
    <x v="1"/>
    <x v="2"/>
    <s v="Accrual"/>
    <x v="4"/>
    <m/>
    <s v="Burj Al Rafidain Hamza"/>
    <s v="Third party Manpower"/>
    <n v="64.162567985587657"/>
    <s v="N/A"/>
    <s v="N/A"/>
    <s v="N/A"/>
    <s v="Nov"/>
    <n v="2025"/>
  </r>
  <r>
    <n v="124"/>
    <x v="1"/>
    <x v="7"/>
    <s v="Accrual"/>
    <x v="4"/>
    <m/>
    <s v="Burj Al Rafidain Hamza"/>
    <s v="Third party Manpower"/>
    <n v="109525.50355139813"/>
    <s v="N/A"/>
    <s v="N/A"/>
    <s v="N/A"/>
    <s v="Nov"/>
    <n v="2025"/>
  </r>
  <r>
    <n v="125"/>
    <x v="1"/>
    <x v="5"/>
    <s v="Accrual"/>
    <x v="4"/>
    <m/>
    <s v="Burj Al Rafidain Hamza"/>
    <s v="Third party Manpower"/>
    <n v="14179.927524814873"/>
    <s v="N/A"/>
    <s v="N/A"/>
    <s v="N/A"/>
    <s v="Nov"/>
    <n v="2025"/>
  </r>
  <r>
    <n v="126"/>
    <x v="1"/>
    <x v="7"/>
    <s v="Accrual"/>
    <x v="11"/>
    <m/>
    <s v="Haider Ali Abd"/>
    <s v="Civil works"/>
    <n v="27972.027972027972"/>
    <s v="N/A"/>
    <s v="N/A"/>
    <s v="N/A"/>
    <s v="Nov"/>
    <n v="2025"/>
  </r>
  <r>
    <n v="127"/>
    <x v="2"/>
    <x v="9"/>
    <s v="Actual"/>
    <x v="0"/>
    <m/>
    <s v="IGCC"/>
    <s v="Payroll Nov"/>
    <n v="22322"/>
    <s v="N/A"/>
    <s v="N/A"/>
    <s v="N/A"/>
    <s v="Nov"/>
    <n v="2025"/>
  </r>
  <r>
    <n v="128"/>
    <x v="2"/>
    <x v="9"/>
    <s v="Actual"/>
    <x v="2"/>
    <m/>
    <s v="Zain Telecom"/>
    <s v="Zain Telecom Services"/>
    <n v="1391.2517004942633"/>
    <n v="63"/>
    <d v="2025-09-30T00:00:00"/>
    <s v="N/A"/>
    <s v="Nov"/>
    <n v="2025"/>
  </r>
  <r>
    <n v="129"/>
    <x v="2"/>
    <x v="9"/>
    <s v="Accrual"/>
    <x v="4"/>
    <m/>
    <s v="Burj Al Rafidain Hamza"/>
    <s v="Third party Manpower"/>
    <n v="3721.4289431640841"/>
    <s v="N/A"/>
    <s v="N/A"/>
    <s v="N/A"/>
    <s v="Nov"/>
    <n v="2025"/>
  </r>
  <r>
    <n v="130"/>
    <x v="3"/>
    <x v="10"/>
    <s v="Accrual"/>
    <x v="0"/>
    <m/>
    <s v="IGCC"/>
    <s v="Nov 25 Camp Civil &amp; Mechanical team "/>
    <n v="20693.706293706295"/>
    <s v="N/A"/>
    <s v="N/A"/>
    <s v="N/A"/>
    <s v="Nov"/>
    <n v="2025"/>
  </r>
  <r>
    <n v="131"/>
    <x v="3"/>
    <x v="10"/>
    <s v="Actual"/>
    <x v="5"/>
    <m/>
    <s v="Blue Bell Shipping LLC"/>
    <s v="DHL / Courier Fees / Shipping"/>
    <n v="1700"/>
    <d v="2025-10-31T00:00:00"/>
    <s v="INVSEA2507343"/>
    <n v="2025404258"/>
    <s v="Nov"/>
    <n v="2025"/>
  </r>
  <r>
    <n v="132"/>
    <x v="3"/>
    <x v="10"/>
    <s v="Actual"/>
    <x v="3"/>
    <m/>
    <s v="Petty Cash"/>
    <s v="Petty Cash for CAMP"/>
    <n v="1519.5804195804196"/>
    <s v="IGCC-00207"/>
    <d v="2025-08-11T00:00:00"/>
    <s v="N/A"/>
    <s v="Nov"/>
    <n v="2025"/>
  </r>
  <r>
    <n v="133"/>
    <x v="3"/>
    <x v="10"/>
    <s v="Actual"/>
    <x v="3"/>
    <m/>
    <s v="Petty Cash"/>
    <s v="Petty Cash for CAMP"/>
    <n v="1478.3216783216783"/>
    <s v="IGCC-00208"/>
    <s v="15/11/2025"/>
    <s v="N/A"/>
    <s v="Nov"/>
    <n v="2025"/>
  </r>
  <r>
    <n v="134"/>
    <x v="3"/>
    <x v="10"/>
    <s v="Actual"/>
    <x v="3"/>
    <m/>
    <s v="Petty Cash"/>
    <s v="Petty Cash for CAMP"/>
    <n v="1753.1468531468531"/>
    <s v="IGCC-00209"/>
    <s v="18/11/2025"/>
    <s v="N/A"/>
    <s v="Nov"/>
    <n v="2025"/>
  </r>
  <r>
    <n v="135"/>
    <x v="3"/>
    <x v="10"/>
    <s v="Actual"/>
    <x v="3"/>
    <m/>
    <s v="Petty Cash"/>
    <s v="Petty Cash for CAMP"/>
    <n v="1730.7692307692307"/>
    <s v="IGCC-00210"/>
    <s v="20/11/2025"/>
    <s v="N/A"/>
    <s v="Nov"/>
    <n v="2025"/>
  </r>
  <r>
    <n v="136"/>
    <x v="3"/>
    <x v="10"/>
    <s v="Actual"/>
    <x v="2"/>
    <m/>
    <s v="Petty Cash"/>
    <s v="Internet Modem"/>
    <n v="230.76923076923077"/>
    <s v="##"/>
    <s v="26/11/2025"/>
    <s v="N/A"/>
    <s v="Nov"/>
    <n v="2025"/>
  </r>
  <r>
    <n v="137"/>
    <x v="3"/>
    <x v="10"/>
    <s v="Actual"/>
    <x v="3"/>
    <m/>
    <s v="Petty Cash"/>
    <s v="Food &amp; Meal"/>
    <n v="492.30769230769232"/>
    <s v="##"/>
    <s v="23/11/2025"/>
    <s v="N/A"/>
    <s v="Nov"/>
    <n v="2025"/>
  </r>
  <r>
    <n v="138"/>
    <x v="3"/>
    <x v="10"/>
    <s v="Actual"/>
    <x v="3"/>
    <m/>
    <s v="Petty Cash"/>
    <s v="Food &amp; Meal for CAMP"/>
    <n v="379.72027972027973"/>
    <s v="##"/>
    <s v="24/11/2025"/>
    <s v="N/A"/>
    <s v="Nov"/>
    <n v="2025"/>
  </r>
  <r>
    <n v="139"/>
    <x v="3"/>
    <x v="10"/>
    <s v="Actual"/>
    <x v="3"/>
    <m/>
    <s v="Petty Cash"/>
    <s v="Petty Cash for CAMP"/>
    <n v="1298.951048951049"/>
    <s v="IGCC-01"/>
    <s v="25/11/2025"/>
    <s v="N/A"/>
    <s v="Nov"/>
    <n v="2025"/>
  </r>
  <r>
    <n v="140"/>
    <x v="3"/>
    <x v="10"/>
    <s v="Actual"/>
    <x v="10"/>
    <m/>
    <s v="Petty Cash"/>
    <s v="تصوير كاميرا - طائرة درون لموقع الرميلة الجنوبية"/>
    <n v="595.80419580419584"/>
    <n v="308"/>
    <s v="28/10/2025"/>
    <s v="N/A"/>
    <s v="Nov"/>
    <n v="2025"/>
  </r>
  <r>
    <n v="141"/>
    <x v="3"/>
    <x v="10"/>
    <s v="Actual"/>
    <x v="10"/>
    <m/>
    <s v="Petty Cash"/>
    <s v="تصوير كاميرا - طائرة درون لموقع الرميلة الجنوبية"/>
    <n v="503.49650349650352"/>
    <n v="307"/>
    <s v="25/11/2025"/>
    <s v="N/A"/>
    <s v="Nov"/>
    <n v="2025"/>
  </r>
  <r>
    <n v="142"/>
    <x v="3"/>
    <x v="10"/>
    <s v="Actual"/>
    <x v="2"/>
    <m/>
    <s v="Petty Cash"/>
    <s v="Internet Modem"/>
    <n v="278.32167832167835"/>
    <s v="##"/>
    <s v="26/11/2025"/>
    <s v="N/A"/>
    <s v="Nov"/>
    <n v="2025"/>
  </r>
  <r>
    <n v="143"/>
    <x v="3"/>
    <x v="10"/>
    <s v="Accrual"/>
    <x v="1"/>
    <m/>
    <s v="Border Transportaion / Al Hodod"/>
    <s v="Heavy  equipment rental"/>
    <n v="15603.146818181818"/>
    <s v="N/A"/>
    <s v="N/A"/>
    <s v="N/A"/>
    <s v="Nov"/>
    <n v="2025"/>
  </r>
  <r>
    <n v="144"/>
    <x v="3"/>
    <x v="10"/>
    <s v="Accrual"/>
    <x v="1"/>
    <m/>
    <s v="NAC Logistic"/>
    <s v="Heavy  equipment rental"/>
    <n v="306.61646153846152"/>
    <s v="N/A"/>
    <s v="N/A"/>
    <s v="N/A"/>
    <s v="Nov"/>
    <n v="2025"/>
  </r>
  <r>
    <n v="145"/>
    <x v="3"/>
    <x v="10"/>
    <s v="Accrual"/>
    <x v="1"/>
    <m/>
    <s v="Taqadm Albasrah"/>
    <s v="Heavy  equipment rental"/>
    <n v="12988.714286713286"/>
    <s v="N/A"/>
    <s v="N/A"/>
    <s v="N/A"/>
    <s v="Nov"/>
    <n v="2025"/>
  </r>
  <r>
    <n v="146"/>
    <x v="3"/>
    <x v="10"/>
    <s v="Accrual"/>
    <x v="1"/>
    <m/>
    <s v="NAC Logistic"/>
    <s v=" Light equipment rental"/>
    <n v="7062.9370629370633"/>
    <s v="N/A"/>
    <s v="N/A"/>
    <s v="N/A"/>
    <s v="Nov"/>
    <n v="2025"/>
  </r>
  <r>
    <n v="147"/>
    <x v="3"/>
    <x v="10"/>
    <s v="Accrual"/>
    <x v="1"/>
    <m/>
    <s v="Taqadm Albasrah"/>
    <s v=" Light equipment rental"/>
    <n v="26655.710881118885"/>
    <s v="N/A"/>
    <s v="N/A"/>
    <s v="N/A"/>
    <s v="Nov"/>
    <n v="2025"/>
  </r>
  <r>
    <n v="148"/>
    <x v="3"/>
    <x v="10"/>
    <s v="Actual"/>
    <x v="8"/>
    <m/>
    <s v="Derraa Al Rumaila Security"/>
    <s v="Guards"/>
    <n v="11520"/>
    <s v="3009401125"/>
    <d v="2025-11-03T00:00:00"/>
    <s v="N/A"/>
    <s v="Nov"/>
    <m/>
  </r>
  <r>
    <n v="149"/>
    <x v="3"/>
    <x v="10"/>
    <s v="Actual"/>
    <x v="9"/>
    <m/>
    <s v="IGCC"/>
    <s v="Diesel tanker rental"/>
    <n v="4000"/>
    <s v="N/A"/>
    <s v="N/A"/>
    <s v="N/A"/>
    <s v="Nov"/>
    <n v="2025"/>
  </r>
  <r>
    <n v="150"/>
    <x v="3"/>
    <x v="10"/>
    <s v="Actual"/>
    <x v="2"/>
    <m/>
    <s v="Zain Telecom"/>
    <s v="Zain Telecom Services"/>
    <n v="435.04415567240517"/>
    <n v="63"/>
    <d v="2025-09-30T00:00:00"/>
    <s v="N/A"/>
    <s v="Nov"/>
    <n v="2025"/>
  </r>
  <r>
    <n v="151"/>
    <x v="3"/>
    <x v="10"/>
    <s v="Actual"/>
    <x v="3"/>
    <m/>
    <s v="Abdullah Gallery"/>
    <s v="Materials/Safety"/>
    <n v="13269.23076923077"/>
    <s v="00828"/>
    <d v="2025-11-13T00:00:00"/>
    <n v="2025403925"/>
    <s v="Nov"/>
    <n v="2025"/>
  </r>
  <r>
    <n v="152"/>
    <x v="3"/>
    <x v="11"/>
    <s v="Actual"/>
    <x v="3"/>
    <m/>
    <s v="Advance Welding Solutions Co"/>
    <s v="Materials/wire"/>
    <n v="41.95804195804196"/>
    <s v="02366"/>
    <d v="2025-11-23T00:00:00"/>
    <n v="2025404305"/>
    <s v="Nov"/>
    <n v="2025"/>
  </r>
  <r>
    <n v="153"/>
    <x v="3"/>
    <x v="11"/>
    <s v="Actual"/>
    <x v="3"/>
    <m/>
    <s v="Advance Welding Solutions Co"/>
    <s v="Materials/wire"/>
    <n v="340.90909090909093"/>
    <s v="02635"/>
    <d v="2025-11-23T00:00:00"/>
    <n v="2025404304"/>
    <s v="Nov"/>
    <n v="2025"/>
  </r>
  <r>
    <n v="154"/>
    <x v="3"/>
    <x v="10"/>
    <s v="Actual"/>
    <x v="3"/>
    <m/>
    <s v="Ali Hamed For Excort Tools"/>
    <s v="Materials"/>
    <n v="3671.3286713286711"/>
    <s v="000140"/>
    <d v="2025-11-08T00:00:00"/>
    <n v="2025403935"/>
    <s v="Nov"/>
    <n v="2025"/>
  </r>
  <r>
    <n v="155"/>
    <x v="3"/>
    <x v="10"/>
    <s v="Actual"/>
    <x v="3"/>
    <m/>
    <s v="Al-Janaeen Al-Mualaka for Water"/>
    <s v="Materials/Water"/>
    <n v="5672.727272727273"/>
    <s v="2855"/>
    <d v="2025-10-30T00:00:00"/>
    <n v="2025404028"/>
    <s v="Nov"/>
    <n v="2025"/>
  </r>
  <r>
    <n v="156"/>
    <x v="3"/>
    <x v="10"/>
    <s v="Actual"/>
    <x v="3"/>
    <m/>
    <s v="Al-Janaeen Al-Mualaka for Water"/>
    <s v="Materials/Water"/>
    <n v="5672.727272727273"/>
    <s v="2970"/>
    <d v="2025-11-15T00:00:00"/>
    <n v="2025404249"/>
    <s v="Nov"/>
    <n v="2025"/>
  </r>
  <r>
    <n v="157"/>
    <x v="3"/>
    <x v="10"/>
    <s v="Actual"/>
    <x v="3"/>
    <m/>
    <s v="Al-Janaeen Al-Mualaka for Water"/>
    <s v="Materials/Water"/>
    <n v="5672.727272727273"/>
    <s v="3018"/>
    <d v="2025-11-22T00:00:00"/>
    <n v="2025404318"/>
    <s v="Nov"/>
    <n v="2025"/>
  </r>
  <r>
    <n v="158"/>
    <x v="3"/>
    <x v="10"/>
    <s v="Actual"/>
    <x v="3"/>
    <m/>
    <s v="Al-Janaeen Al-Mualaka for Water"/>
    <s v="Materials/Water"/>
    <n v="7036.363636363636"/>
    <s v="2885"/>
    <d v="2025-11-04T00:00:00"/>
    <n v="2025404175"/>
    <s v="Nov"/>
    <n v="2025"/>
  </r>
  <r>
    <n v="159"/>
    <x v="3"/>
    <x v="11"/>
    <s v="Actual"/>
    <x v="3"/>
    <m/>
    <s v="ALSHAARQ FOR BUILDING SYSTEMS"/>
    <s v="Materials"/>
    <n v="1748.2517482517483"/>
    <s v="0541"/>
    <d v="2025-11-05T00:00:00"/>
    <n v="2025403888"/>
    <s v="Nov"/>
    <n v="2025"/>
  </r>
  <r>
    <n v="160"/>
    <x v="3"/>
    <x v="11"/>
    <s v="Actual"/>
    <x v="3"/>
    <m/>
    <s v="AL-Wajeeh Company"/>
    <s v="Materials"/>
    <n v="1267.54"/>
    <s v="17325"/>
    <d v="2025-11-05T00:00:00"/>
    <n v="2025403994"/>
    <s v="Nov"/>
    <n v="2025"/>
  </r>
  <r>
    <n v="161"/>
    <x v="3"/>
    <x v="11"/>
    <s v="Actual"/>
    <x v="3"/>
    <m/>
    <s v="BLUE LINE"/>
    <s v="Materials"/>
    <n v="83"/>
    <s v="6540"/>
    <d v="2025-10-28T00:00:00"/>
    <n v="2025404312"/>
    <s v="Nov"/>
    <n v="2025"/>
  </r>
  <r>
    <n v="162"/>
    <x v="3"/>
    <x v="11"/>
    <s v="Actual"/>
    <x v="3"/>
    <m/>
    <s v="Khan Alhadded Company"/>
    <s v="Materials/IRON"/>
    <n v="2464"/>
    <s v="0935"/>
    <d v="2025-11-05T00:00:00"/>
    <n v="2025404127"/>
    <s v="Nov"/>
    <n v="2025"/>
  </r>
  <r>
    <n v="163"/>
    <x v="3"/>
    <x v="11"/>
    <s v="Actual"/>
    <x v="3"/>
    <m/>
    <s v="Khan Alhadded Company"/>
    <s v="Materials/IRON"/>
    <n v="8440"/>
    <s v="0934"/>
    <d v="2025-11-05T00:00:00"/>
    <n v="2025404126"/>
    <s v="Nov"/>
    <n v="2025"/>
  </r>
  <r>
    <n v="164"/>
    <x v="3"/>
    <x v="11"/>
    <s v="Actual"/>
    <x v="3"/>
    <m/>
    <s v="Mayadeen Factory for kitchens &amp; furniture"/>
    <s v="Materials"/>
    <n v="2447.5524475524476"/>
    <s v="00113"/>
    <d v="2025-11-02T00:00:00"/>
    <n v="2025403889"/>
    <s v="Nov"/>
    <n v="2025"/>
  </r>
  <r>
    <n v="165"/>
    <x v="3"/>
    <x v="10"/>
    <s v="Actual"/>
    <x v="3"/>
    <m/>
    <s v="ZUMZUM ALFAYHAA INSAAT"/>
    <s v="Materials"/>
    <n v="250"/>
    <s v="12020"/>
    <d v="2025-11-08T00:00:00"/>
    <n v="2025403974"/>
    <s v="Nov"/>
    <n v="2025"/>
  </r>
  <r>
    <n v="166"/>
    <x v="3"/>
    <x v="11"/>
    <s v="Actual"/>
    <x v="3"/>
    <m/>
    <s v="ZUMZUM ALFAYHAA INSAAT"/>
    <s v="Materials"/>
    <n v="152"/>
    <s v="12022"/>
    <d v="2025-11-08T00:00:00"/>
    <n v="2025403982"/>
    <s v="Nov"/>
    <n v="2025"/>
  </r>
  <r>
    <n v="167"/>
    <x v="3"/>
    <x v="11"/>
    <s v="Actual"/>
    <x v="3"/>
    <m/>
    <s v="ZUMZUM ALFAYHAA INSAAT"/>
    <s v="Materials"/>
    <n v="1322"/>
    <s v="12190"/>
    <d v="2025-11-15T00:00:00"/>
    <n v="2025404170"/>
    <s v="Nov"/>
    <n v="2025"/>
  </r>
  <r>
    <n v="168"/>
    <x v="3"/>
    <x v="10"/>
    <s v="Actual"/>
    <x v="3"/>
    <m/>
    <s v="ZUMZUM ALFAYHAA INSAAT"/>
    <s v="Materials"/>
    <n v="260"/>
    <s v="12304"/>
    <d v="2025-11-24T00:00:00"/>
    <n v="2025404253"/>
    <s v="Nov"/>
    <n v="2025"/>
  </r>
  <r>
    <n v="169"/>
    <x v="3"/>
    <x v="10"/>
    <s v="Actual"/>
    <x v="3"/>
    <m/>
    <s v="ZUMZUM ALFAYHAA INSAAT"/>
    <s v="Materials"/>
    <n v="642.9"/>
    <s v="12350"/>
    <d v="2025-11-26T00:00:00"/>
    <n v="2025404320"/>
    <s v="Nov"/>
    <n v="2025"/>
  </r>
  <r>
    <n v="170"/>
    <x v="3"/>
    <x v="10"/>
    <s v="Actual"/>
    <x v="3"/>
    <m/>
    <s v="ZUMZUM ALFAYHAA INSAAT"/>
    <s v="Materials"/>
    <n v="800"/>
    <s v="12210"/>
    <d v="2025-11-18T00:00:00"/>
    <n v="2025404185"/>
    <s v="Nov"/>
    <n v="2025"/>
  </r>
  <r>
    <n v="171"/>
    <x v="3"/>
    <x v="11"/>
    <s v="Actual"/>
    <x v="3"/>
    <m/>
    <s v="ZUMZUM ALFAYHAA INSAAT"/>
    <s v="Materials"/>
    <n v="555"/>
    <s v="12314"/>
    <d v="2025-11-24T00:00:00"/>
    <n v="2025404251"/>
    <s v="Nov"/>
    <n v="2025"/>
  </r>
  <r>
    <n v="172"/>
    <x v="3"/>
    <x v="11"/>
    <s v="Actual"/>
    <x v="3"/>
    <m/>
    <s v="ZUMZUM ALFAYHAA INSAAT"/>
    <s v="Materials"/>
    <n v="2055"/>
    <s v="12320"/>
    <d v="2025-11-26T00:00:00"/>
    <n v="2025404263"/>
    <s v="Nov"/>
    <n v="2025"/>
  </r>
  <r>
    <n v="173"/>
    <x v="3"/>
    <x v="10"/>
    <s v="Actual"/>
    <x v="3"/>
    <m/>
    <s v="ZUMZUM ALFAYHAA INSAAT"/>
    <s v="Materials"/>
    <n v="800"/>
    <s v="12358"/>
    <d v="2025-11-30T00:00:00"/>
    <n v="2025404319"/>
    <s v="Nov"/>
    <n v="2025"/>
  </r>
  <r>
    <n v="174"/>
    <x v="3"/>
    <x v="10"/>
    <s v="Actual"/>
    <x v="3"/>
    <m/>
    <s v="ZUMZUM ALFAYHAA INSAAT"/>
    <s v="Materials"/>
    <n v="2188.9"/>
    <s v="12124"/>
    <d v="2025-11-18T00:00:00"/>
    <n v="2025404027"/>
    <s v="Nov"/>
    <n v="2025"/>
  </r>
  <r>
    <n v="175"/>
    <x v="3"/>
    <x v="11"/>
    <s v="Actual"/>
    <x v="3"/>
    <m/>
    <s v="ZUMZUM ALFAYHAA INSAAT"/>
    <s v="Materials"/>
    <n v="2585.6999999999998"/>
    <s v="12340"/>
    <d v="2025-11-26T00:00:00"/>
    <n v="2025404303"/>
    <s v="Nov"/>
    <n v="2025"/>
  </r>
  <r>
    <n v="176"/>
    <x v="3"/>
    <x v="10"/>
    <s v="Actual"/>
    <x v="10"/>
    <m/>
    <s v="Tohama Company"/>
    <s v="Testing/Calibration"/>
    <n v="6503.4965034965035"/>
    <s v="TIC-11-25-0967"/>
    <d v="2025-11-20T00:00:00"/>
    <n v="2025404081"/>
    <s v="Nov"/>
    <n v="2025"/>
  </r>
  <r>
    <n v="177"/>
    <x v="3"/>
    <x v="11"/>
    <s v="Accrual"/>
    <x v="4"/>
    <m/>
    <s v="Burj Al Rafidain Hamza"/>
    <s v="Third party Manpower"/>
    <n v="192.48770395676297"/>
    <s v="N/A"/>
    <s v="N/A"/>
    <s v="N/A"/>
    <s v="Nov"/>
    <n v="2025"/>
  </r>
  <r>
    <n v="178"/>
    <x v="3"/>
    <x v="10"/>
    <s v="Accrual"/>
    <x v="11"/>
    <m/>
    <s v="Maraba Al Rafidain"/>
    <s v="Welding"/>
    <n v="90283"/>
    <s v="N/A"/>
    <s v="N/A"/>
    <s v="N/A"/>
    <s v="Nov"/>
    <n v="2025"/>
  </r>
  <r>
    <n v="179"/>
    <x v="3"/>
    <x v="10"/>
    <s v="Actual"/>
    <x v="12"/>
    <m/>
    <s v="Al-Janoob Garage"/>
    <s v="Fixed Assets"/>
    <n v="19000"/>
    <s v="13"/>
    <d v="2025-07-10T00:00:00"/>
    <n v="2025402302"/>
    <s v="Nov"/>
    <n v="2025"/>
  </r>
  <r>
    <n v="180"/>
    <x v="3"/>
    <x v="10"/>
    <s v="Actual"/>
    <x v="12"/>
    <m/>
    <s v="Al-Janoob Garage"/>
    <s v="Fixed Assets"/>
    <n v="4500"/>
    <s v="04"/>
    <d v="2025-07-10T00:00:00"/>
    <n v="2025402302"/>
    <s v="Nov"/>
    <n v="2025"/>
  </r>
  <r>
    <n v="181"/>
    <x v="3"/>
    <x v="10"/>
    <s v="Actual"/>
    <x v="12"/>
    <m/>
    <s v="MALIK ENGINEERING OFFICE"/>
    <s v="Fixed Assets"/>
    <n v="6000"/>
    <s v="#"/>
    <d v="2025-11-09T00:00:00"/>
    <n v="2025404029"/>
    <s v="Nov"/>
    <n v="2025"/>
  </r>
  <r>
    <n v="182"/>
    <x v="3"/>
    <x v="10"/>
    <s v="Actual"/>
    <x v="12"/>
    <m/>
    <s v="Remz AL-Kafaa For General Trading"/>
    <s v="Fixed Assets"/>
    <n v="2000"/>
    <s v="0577"/>
    <d v="2025-11-29T00:00:00"/>
    <n v="2025404178"/>
    <s v="Nov"/>
    <n v="2025"/>
  </r>
  <r>
    <n v="183"/>
    <x v="3"/>
    <x v="10"/>
    <s v="Actual"/>
    <x v="12"/>
    <m/>
    <s v="Al Miayar Inspection service and rtaining"/>
    <s v="Fixed Assets"/>
    <n v="2062.9370629370628"/>
    <s v="2371"/>
    <d v="2025-11-03T00:00:00"/>
    <n v="2025403975"/>
    <s v="Nov"/>
    <n v="2025"/>
  </r>
  <r>
    <n v="184"/>
    <x v="3"/>
    <x v="10"/>
    <s v="Actual"/>
    <x v="12"/>
    <m/>
    <s v="ZUMZUM ALFAYHAA INSAAT"/>
    <s v="Fixed Assets"/>
    <n v="1390"/>
    <s v="12274"/>
    <d v="2025-11-24T00:00:00"/>
    <n v="2025404210"/>
    <s v="Nov"/>
    <n v="2025"/>
  </r>
  <r>
    <n v="185"/>
    <x v="3"/>
    <x v="10"/>
    <s v="Actual"/>
    <x v="12"/>
    <m/>
    <s v="ZUMZUM ALFAYHAA INSAAT"/>
    <s v="Fixed Assets"/>
    <n v="3600.1"/>
    <s v="12318"/>
    <d v="2025-11-26T00:00:00"/>
    <n v="2025404247"/>
    <s v="Nov"/>
    <n v="2025"/>
  </r>
  <r>
    <n v="186"/>
    <x v="3"/>
    <x v="10"/>
    <s v="Actual"/>
    <x v="12"/>
    <m/>
    <s v="IGCC"/>
    <s v="Excavator x 2"/>
    <n v="75174.825174825179"/>
    <s v="N/A"/>
    <s v="N/A"/>
    <s v="N/A"/>
    <s v="Nov"/>
    <n v="2025"/>
  </r>
  <r>
    <n v="187"/>
    <x v="4"/>
    <x v="12"/>
    <s v="Actual"/>
    <x v="0"/>
    <m/>
    <s v="IGCC"/>
    <s v="Payroll Nov"/>
    <n v="99014"/>
    <s v="N/A"/>
    <s v="N/A"/>
    <s v="N/A"/>
    <s v="Nov"/>
    <n v="2025"/>
  </r>
  <r>
    <n v="188"/>
    <x v="4"/>
    <x v="12"/>
    <s v="Actual"/>
    <x v="0"/>
    <m/>
    <s v="IGCC"/>
    <s v="Off Payroll Nov"/>
    <n v="9500"/>
    <s v="N/A"/>
    <s v="N/A"/>
    <s v="N/A"/>
    <s v="Nov"/>
    <n v="2025"/>
  </r>
  <r>
    <n v="189"/>
    <x v="4"/>
    <x v="12"/>
    <s v="Actual"/>
    <x v="6"/>
    <m/>
    <s v="Petty Cash"/>
    <s v="تصاريح امنية"/>
    <n v="4144.0559440559437"/>
    <s v="##"/>
    <s v="23/11/2025"/>
    <s v="N/A"/>
    <s v="Nov"/>
    <n v="2025"/>
  </r>
  <r>
    <n v="190"/>
    <x v="4"/>
    <x v="12"/>
    <s v="Actual"/>
    <x v="6"/>
    <m/>
    <s v="Petty Cash"/>
    <s v="اكراميات وعشائر"/>
    <n v="2448.2517482517483"/>
    <s v="##"/>
    <s v="26/11/2025"/>
    <s v="N/A"/>
    <s v="Nov"/>
    <n v="2025"/>
  </r>
  <r>
    <n v="191"/>
    <x v="4"/>
    <x v="12"/>
    <s v="Actual"/>
    <x v="6"/>
    <m/>
    <s v="Petty Cash"/>
    <s v="تبرعات للفقراء ودار النرجس للايتام"/>
    <n v="1048.951048951049"/>
    <s v="##"/>
    <d v="2025-05-11T00:00:00"/>
    <s v="N/A"/>
    <s v="Nov"/>
    <n v="2025"/>
  </r>
  <r>
    <n v="192"/>
    <x v="4"/>
    <x v="12"/>
    <s v="Actual"/>
    <x v="6"/>
    <m/>
    <s v="Petty Cash"/>
    <s v="تصريح تنكر الوقود"/>
    <n v="391.60839160839163"/>
    <s v="##"/>
    <d v="2025-06-11T00:00:00"/>
    <s v="N/A"/>
    <s v="Nov"/>
    <n v="2025"/>
  </r>
  <r>
    <n v="193"/>
    <x v="4"/>
    <x v="12"/>
    <s v="Actual"/>
    <x v="6"/>
    <m/>
    <s v="Petty Cash"/>
    <s v="موافقات تنكر الوقود"/>
    <n v="734.2657342657343"/>
    <s v="##"/>
    <s v="19/11/2025"/>
    <s v="N/A"/>
    <s v="Nov"/>
    <n v="2025"/>
  </r>
  <r>
    <n v="194"/>
    <x v="4"/>
    <x v="12"/>
    <s v="Actual"/>
    <x v="3"/>
    <m/>
    <s v="Petty Cash"/>
    <s v="Petty Cash for Lifting team"/>
    <n v="524.47552447552448"/>
    <s v="##"/>
    <d v="2025-03-11T00:00:00"/>
    <s v="N/A"/>
    <s v="Nov"/>
    <n v="2025"/>
  </r>
  <r>
    <n v="195"/>
    <x v="4"/>
    <x v="12"/>
    <s v="Actual"/>
    <x v="3"/>
    <m/>
    <s v="Petty Cash"/>
    <s v="Petty Cash for Lifting team - Nov.25"/>
    <n v="524.47552447552448"/>
    <s v="##"/>
    <s v="26/11/2025"/>
    <s v="N/A"/>
    <s v="Nov"/>
    <n v="2025"/>
  </r>
  <r>
    <n v="196"/>
    <x v="4"/>
    <x v="12"/>
    <s v="Actual"/>
    <x v="0"/>
    <m/>
    <s v="Petty Cash"/>
    <s v="Bonus from HA"/>
    <n v="1003.4965034965035"/>
    <s v="##"/>
    <s v="25/11/2025"/>
    <s v="N/A"/>
    <s v="Nov"/>
    <n v="2025"/>
  </r>
  <r>
    <n v="197"/>
    <x v="4"/>
    <x v="12"/>
    <s v="Actual"/>
    <x v="7"/>
    <m/>
    <s v="Petty Cash"/>
    <s v="Diesel for basra office &amp; Staff residence"/>
    <n v="1468.5314685314686"/>
    <s v="##"/>
    <d v="2025-05-11T00:00:00"/>
    <s v="N/A"/>
    <s v="Nov"/>
    <n v="2025"/>
  </r>
  <r>
    <n v="198"/>
    <x v="4"/>
    <x v="12"/>
    <s v="Actual"/>
    <x v="7"/>
    <m/>
    <s v="Petty Cash"/>
    <s v="Diesel foe Nov.25"/>
    <n v="125.87412587412588"/>
    <s v="##"/>
    <s v="16/11/2025"/>
    <s v="N/A"/>
    <s v="Nov"/>
    <n v="2025"/>
  </r>
  <r>
    <n v="199"/>
    <x v="4"/>
    <x v="12"/>
    <s v="Actual"/>
    <x v="10"/>
    <m/>
    <s v="Petty Cash"/>
    <s v="Maintenance for basra office &amp; Staff residence"/>
    <n v="988.98601398601397"/>
    <s v="##"/>
    <s v="19/11/2025"/>
    <s v="N/A"/>
    <s v="Nov"/>
    <n v="2025"/>
  </r>
  <r>
    <n v="200"/>
    <x v="4"/>
    <x v="12"/>
    <s v="Actual"/>
    <x v="10"/>
    <m/>
    <s v="Petty Cash"/>
    <s v="تسديد اجور الكهرباء للاكاديمية للفترة 15/08/2025 لغاية 15/10/2025"/>
    <n v="433.56643356643355"/>
    <n v="401809"/>
    <s v="20/11/2025"/>
    <s v="N/A"/>
    <s v="Nov"/>
    <n v="2025"/>
  </r>
  <r>
    <n v="201"/>
    <x v="4"/>
    <x v="12"/>
    <s v="Actual"/>
    <x v="2"/>
    <m/>
    <s v="Petty Cash"/>
    <s v="Internet Modem &amp; SIM &amp; Consumable"/>
    <n v="1084.6153846153845"/>
    <s v="##"/>
    <s v="26/11/2025"/>
    <s v="N/A"/>
    <s v="Nov"/>
    <n v="2025"/>
  </r>
  <r>
    <n v="202"/>
    <x v="4"/>
    <x v="12"/>
    <s v="Actual"/>
    <x v="3"/>
    <m/>
    <s v="Petty Cash"/>
    <s v="Cleaner Materials"/>
    <n v="82.167832167832174"/>
    <s v="##"/>
    <s v="26/11/2025"/>
    <s v="N/A"/>
    <s v="Nov"/>
    <n v="2025"/>
  </r>
  <r>
    <n v="203"/>
    <x v="4"/>
    <x v="12"/>
    <s v="Actual"/>
    <x v="13"/>
    <m/>
    <s v="Petty Cash"/>
    <s v="Expense Calim"/>
    <n v="192.30769230769232"/>
    <s v="##"/>
    <d v="2025-02-11T00:00:00"/>
    <s v="N/A"/>
    <s v="Nov"/>
    <n v="2025"/>
  </r>
  <r>
    <n v="204"/>
    <x v="4"/>
    <x v="12"/>
    <s v="Actual"/>
    <x v="13"/>
    <m/>
    <s v="Petty Cash"/>
    <s v="TKT &amp; Expense Claim for ADIPEC Abu Dhabi"/>
    <n v="1979.020979020979"/>
    <s v="##"/>
    <d v="2025-03-11T00:00:00"/>
    <s v="N/A"/>
    <s v="Nov"/>
    <n v="2025"/>
  </r>
  <r>
    <n v="205"/>
    <x v="4"/>
    <x v="12"/>
    <s v="Actual"/>
    <x v="13"/>
    <m/>
    <s v="Petty Cash"/>
    <s v="Expense Calim"/>
    <n v="534.96503496503499"/>
    <s v="##"/>
    <d v="2025-04-11T00:00:00"/>
    <s v="N/A"/>
    <s v="Nov"/>
    <n v="2025"/>
  </r>
  <r>
    <n v="206"/>
    <x v="4"/>
    <x v="12"/>
    <s v="Actual"/>
    <x v="13"/>
    <m/>
    <s v="Petty Cash"/>
    <s v="TKT - HE"/>
    <n v="1573.4265734265734"/>
    <s v="##"/>
    <d v="2025-09-11T00:00:00"/>
    <s v="N/A"/>
    <s v="Nov"/>
    <n v="2025"/>
  </r>
  <r>
    <n v="207"/>
    <x v="4"/>
    <x v="12"/>
    <s v="Actual"/>
    <x v="13"/>
    <m/>
    <s v="Petty Cash"/>
    <s v="Visit to the Kirkuk project ( Nawar, Suraj, Rawand)"/>
    <n v="2552.4475524475524"/>
    <s v="##"/>
    <s v="22/11/2025"/>
    <s v="N/A"/>
    <s v="Nov"/>
    <n v="2025"/>
  </r>
  <r>
    <n v="208"/>
    <x v="4"/>
    <x v="12"/>
    <s v="Actual"/>
    <x v="13"/>
    <m/>
    <s v="Petty Cash"/>
    <s v="Expense Calim"/>
    <n v="374.12587412587413"/>
    <s v="##"/>
    <s v="19/11/2025"/>
    <s v="N/A"/>
    <s v="Nov"/>
    <n v="2025"/>
  </r>
  <r>
    <n v="209"/>
    <x v="4"/>
    <x v="12"/>
    <s v="Actual"/>
    <x v="13"/>
    <m/>
    <s v="Petty Cash"/>
    <s v="Visa Fees ( Salah &amp; Farooq )"/>
    <n v="1398.6013986013986"/>
    <s v="##"/>
    <s v="24/11/2025"/>
    <s v="N/A"/>
    <s v="Nov"/>
    <n v="2025"/>
  </r>
  <r>
    <n v="210"/>
    <x v="4"/>
    <x v="12"/>
    <s v="Actual"/>
    <x v="13"/>
    <m/>
    <s v="Petty Cash"/>
    <s v="Expense Calim for Kirkuk"/>
    <n v="104.89510489510489"/>
    <s v="##"/>
    <s v="23/11/2025"/>
    <s v="N/A"/>
    <s v="Nov"/>
    <n v="2025"/>
  </r>
  <r>
    <n v="211"/>
    <x v="4"/>
    <x v="12"/>
    <s v="Actual"/>
    <x v="13"/>
    <m/>
    <s v="Petty Cash"/>
    <s v="Expense Calim"/>
    <n v="83.91608391608392"/>
    <s v="##"/>
    <s v="19/11/2025"/>
    <s v="N/A"/>
    <s v="Nov"/>
    <n v="2025"/>
  </r>
  <r>
    <n v="212"/>
    <x v="4"/>
    <x v="12"/>
    <s v="Actual"/>
    <x v="6"/>
    <m/>
    <s v="IGCC"/>
    <s v="Charitable Contributions"/>
    <n v="10489.510489510489"/>
    <s v="N/A"/>
    <s v="N/A"/>
    <s v="N/A"/>
    <s v="Nov"/>
    <n v="2025"/>
  </r>
  <r>
    <n v="213"/>
    <x v="4"/>
    <x v="12"/>
    <s v="Actual"/>
    <x v="6"/>
    <m/>
    <s v="IGCC"/>
    <s v="Charitable Contributions"/>
    <n v="3496.5034965034965"/>
    <s v="N/A"/>
    <s v="N/A"/>
    <s v="N/A"/>
    <s v="Nov"/>
    <n v="2025"/>
  </r>
  <r>
    <n v="214"/>
    <x v="4"/>
    <x v="12"/>
    <s v="Actual"/>
    <x v="6"/>
    <m/>
    <s v="IGCC"/>
    <s v="Charitable Contributions"/>
    <n v="8181.818181818182"/>
    <s v="N/A"/>
    <s v="N/A"/>
    <s v="N/A"/>
    <s v="Nov"/>
    <n v="2025"/>
  </r>
  <r>
    <n v="215"/>
    <x v="4"/>
    <x v="12"/>
    <s v="Actual"/>
    <x v="6"/>
    <m/>
    <s v="IGCC"/>
    <s v="Charitable Contributions"/>
    <n v="10489.510489510489"/>
    <s v="N/A"/>
    <s v="N/A"/>
    <s v="N/A"/>
    <s v="Nov"/>
    <n v="2025"/>
  </r>
  <r>
    <n v="216"/>
    <x v="4"/>
    <x v="12"/>
    <s v="Actual"/>
    <x v="14"/>
    <m/>
    <s v="IGCC"/>
    <s v="Rent Amal Nov 25 "/>
    <n v="2097.9020979020979"/>
    <s v="N/A"/>
    <s v="N/A"/>
    <s v="N/A"/>
    <s v="Nov"/>
    <n v="2025"/>
  </r>
  <r>
    <n v="217"/>
    <x v="4"/>
    <x v="12"/>
    <s v="Actual"/>
    <x v="14"/>
    <m/>
    <s v="IGCC"/>
    <s v="Rent Academy Nov 25 "/>
    <n v="3496.5034965034965"/>
    <s v="N/A"/>
    <s v="N/A"/>
    <s v="N/A"/>
    <s v="Nov"/>
    <n v="2025"/>
  </r>
  <r>
    <n v="218"/>
    <x v="4"/>
    <x v="12"/>
    <s v="Actual"/>
    <x v="14"/>
    <m/>
    <s v="IGCC"/>
    <s v="Rent Al Jazair office Nov 25 "/>
    <n v="2000"/>
    <s v="N/A"/>
    <s v="N/A"/>
    <s v="N/A"/>
    <s v="Nov"/>
    <n v="2025"/>
  </r>
  <r>
    <n v="219"/>
    <x v="4"/>
    <x v="12"/>
    <s v="Actual"/>
    <x v="14"/>
    <m/>
    <s v="IGCC"/>
    <s v="Rent Southren Services Nov 25 "/>
    <n v="874.12587412587413"/>
    <s v="N/A"/>
    <s v="N/A"/>
    <s v="N/A"/>
    <s v="Nov"/>
    <n v="2025"/>
  </r>
  <r>
    <n v="220"/>
    <x v="4"/>
    <x v="12"/>
    <s v="Actual"/>
    <x v="14"/>
    <m/>
    <s v="IGCC"/>
    <s v="Rent Jazair Accommodation Nov 25"/>
    <n v="4500"/>
    <s v="N/A"/>
    <s v="N/A"/>
    <s v="N/A"/>
    <s v="Nov"/>
    <n v="2025"/>
  </r>
  <r>
    <n v="221"/>
    <x v="4"/>
    <x v="12"/>
    <s v="Actual"/>
    <x v="14"/>
    <m/>
    <s v="IGCC"/>
    <s v="Rent Junaina Nov 25 "/>
    <n v="6000"/>
    <s v="N/A"/>
    <s v="N/A"/>
    <s v="N/A"/>
    <s v="Nov"/>
    <n v="2025"/>
  </r>
  <r>
    <n v="222"/>
    <x v="4"/>
    <x v="12"/>
    <s v="Accrual"/>
    <x v="14"/>
    <m/>
    <s v="Al Majal Business Park (AMBP)"/>
    <s v="Al Majal Business Park (AMBP) Nov 25"/>
    <n v="3290"/>
    <s v=": 2025003373"/>
    <d v="2025-11-30T00:00:00"/>
    <s v="N/A"/>
    <s v="Nov"/>
    <n v="2025"/>
  </r>
  <r>
    <n v="223"/>
    <x v="4"/>
    <x v="12"/>
    <s v="Accrual"/>
    <x v="1"/>
    <m/>
    <s v="Taqadm Albasrah"/>
    <s v=" Light equipment rental"/>
    <n v="6107.2258951048943"/>
    <s v="N/A"/>
    <s v="N/A"/>
    <s v="N/A"/>
    <s v="Nov"/>
    <n v="2025"/>
  </r>
  <r>
    <n v="224"/>
    <x v="4"/>
    <x v="12"/>
    <s v="Actual"/>
    <x v="2"/>
    <m/>
    <s v="Zain Telecom"/>
    <s v="Zain Telecom Services"/>
    <n v="390.47513475894499"/>
    <n v="63"/>
    <d v="2025-09-30T00:00:00"/>
    <s v="N/A"/>
    <s v="Nov"/>
    <n v="2025"/>
  </r>
  <r>
    <n v="225"/>
    <x v="4"/>
    <x v="12"/>
    <s v="Accrual"/>
    <x v="15"/>
    <m/>
    <s v="IGCC"/>
    <s v="Social security"/>
    <n v="25000"/>
    <s v="N/A"/>
    <s v="N/A"/>
    <s v="N/A"/>
    <s v="Nov"/>
    <n v="2025"/>
  </r>
  <r>
    <n v="226"/>
    <x v="4"/>
    <x v="12"/>
    <s v="Actual"/>
    <x v="16"/>
    <m/>
    <s v="IGCC"/>
    <s v="Amman Expenses"/>
    <n v="507717"/>
    <s v="N/A"/>
    <s v="N/A"/>
    <s v="N/A"/>
    <s v="Nov"/>
    <n v="2025"/>
  </r>
  <r>
    <n v="227"/>
    <x v="4"/>
    <x v="12"/>
    <s v="Accrual"/>
    <x v="17"/>
    <m/>
    <s v="Jabal Qendil BRS"/>
    <s v="Air ticket &amp; travel"/>
    <n v="2744.7552447552448"/>
    <n v="77"/>
    <d v="2025-12-04T00:00:00"/>
    <s v="N/A"/>
    <s v="Nov"/>
    <n v="2025"/>
  </r>
  <r>
    <n v="228"/>
    <x v="4"/>
    <x v="12"/>
    <s v="Accrual"/>
    <x v="17"/>
    <m/>
    <s v="Jabal Qendil BRS"/>
    <s v="Air ticket &amp; travel"/>
    <n v="3545"/>
    <n v="77"/>
    <d v="2025-12-04T00:00:00"/>
    <s v="N/A"/>
    <s v="Nov"/>
    <n v="2025"/>
  </r>
  <r>
    <n v="229"/>
    <x v="4"/>
    <x v="12"/>
    <s v="Actual"/>
    <x v="10"/>
    <m/>
    <s v="Ras Al Khaimah Advanced Businees Solutions"/>
    <s v="Testing/Calibration"/>
    <n v="1266"/>
    <s v="2025000961"/>
    <d v="2025-10-01T00:00:00"/>
    <s v="N/A"/>
    <s v="Nov"/>
    <n v="2025"/>
  </r>
  <r>
    <n v="230"/>
    <x v="4"/>
    <x v="12"/>
    <s v="Accrual"/>
    <x v="4"/>
    <m/>
    <s v="Taqadm Albasrah"/>
    <s v="labourers"/>
    <n v="868.53146853146848"/>
    <s v="N/A"/>
    <s v="N/A"/>
    <s v="N/A"/>
    <s v="Nov"/>
    <n v="2025"/>
  </r>
  <r>
    <n v="231"/>
    <x v="5"/>
    <x v="11"/>
    <s v="Actual"/>
    <x v="0"/>
    <m/>
    <s v="IGCC"/>
    <s v="Payroll Nov"/>
    <n v="1705"/>
    <s v="N/A"/>
    <s v="N/A"/>
    <s v="N/A"/>
    <s v="Nov"/>
    <n v="2025"/>
  </r>
  <r>
    <n v="232"/>
    <x v="6"/>
    <x v="13"/>
    <s v="Actual"/>
    <x v="2"/>
    <m/>
    <s v="Zain Telecom"/>
    <s v="Zain Telecom Services"/>
    <n v="0.63882263309292686"/>
    <n v="63"/>
    <d v="2025-09-30T00:00:00"/>
    <s v="N/A"/>
    <s v="Nov"/>
    <n v="2025"/>
  </r>
  <r>
    <n v="233"/>
    <x v="7"/>
    <x v="14"/>
    <s v="Actual"/>
    <x v="0"/>
    <m/>
    <s v="IGCC"/>
    <s v="Payroll Nov"/>
    <n v="61641"/>
    <s v="N/A"/>
    <s v="N/A"/>
    <s v="N/A"/>
    <s v="Nov"/>
    <n v="2025"/>
  </r>
  <r>
    <n v="234"/>
    <x v="7"/>
    <x v="14"/>
    <s v="Actual"/>
    <x v="6"/>
    <m/>
    <s v="Petty Cash"/>
    <s v="ROO-Check point salary"/>
    <n v="349.65034965034965"/>
    <s v="##"/>
    <d v="2025-01-11T00:00:00"/>
    <s v="N/A"/>
    <s v="Nov"/>
    <n v="2025"/>
  </r>
  <r>
    <n v="235"/>
    <x v="7"/>
    <x v="14"/>
    <s v="Actual"/>
    <x v="6"/>
    <m/>
    <s v="Petty Cash"/>
    <s v="ROOG-check point salary"/>
    <n v="524.47552447552448"/>
    <s v="##"/>
    <d v="2025-04-11T00:00:00"/>
    <s v="N/A"/>
    <s v="Nov"/>
    <n v="2025"/>
  </r>
  <r>
    <n v="236"/>
    <x v="7"/>
    <x v="14"/>
    <s v="Actual"/>
    <x v="6"/>
    <m/>
    <s v="Petty Cash"/>
    <s v="اكراميات وعشائر"/>
    <n v="524.47552447552448"/>
    <s v="##"/>
    <s v="22/11/2025"/>
    <s v="N/A"/>
    <s v="Nov"/>
    <n v="2025"/>
  </r>
  <r>
    <n v="237"/>
    <x v="7"/>
    <x v="14"/>
    <s v="Actual"/>
    <x v="6"/>
    <m/>
    <s v="Petty Cash"/>
    <s v="اكراميات وعشائر"/>
    <n v="349.65034965034965"/>
    <s v="##"/>
    <s v="21/10/2025"/>
    <s v="N/A"/>
    <s v="Nov"/>
    <n v="2025"/>
  </r>
  <r>
    <n v="238"/>
    <x v="7"/>
    <x v="14"/>
    <s v="Actual"/>
    <x v="3"/>
    <m/>
    <s v="Petty Cash"/>
    <s v="Petty Cash for ROOG"/>
    <n v="1223.7762237762238"/>
    <s v="##"/>
    <s v="25/10/2025"/>
    <s v="N/A"/>
    <s v="Nov"/>
    <n v="2025"/>
  </r>
  <r>
    <n v="239"/>
    <x v="7"/>
    <x v="14"/>
    <s v="Actual"/>
    <x v="3"/>
    <m/>
    <s v="Petty Cash"/>
    <s v="Petty Cash for TMS"/>
    <n v="238.8111888111888"/>
    <s v="##"/>
    <d v="2025-10-11T00:00:00"/>
    <s v="N/A"/>
    <s v="Nov"/>
    <n v="2025"/>
  </r>
  <r>
    <n v="240"/>
    <x v="7"/>
    <x v="14"/>
    <s v="Actual"/>
    <x v="3"/>
    <m/>
    <s v="Petty Cash"/>
    <s v="Petty Cash for ROOG"/>
    <n v="209.79020979020979"/>
    <s v="##"/>
    <s v="26/11/2025"/>
    <s v="N/A"/>
    <s v="Nov"/>
    <n v="2025"/>
  </r>
  <r>
    <n v="241"/>
    <x v="7"/>
    <x v="14"/>
    <s v="Actual"/>
    <x v="2"/>
    <m/>
    <s v="Petty Cash"/>
    <s v="Internet Modem"/>
    <n v="333.56643356643355"/>
    <s v="##"/>
    <s v="26/11/2025"/>
    <s v="N/A"/>
    <s v="Nov"/>
    <n v="2025"/>
  </r>
  <r>
    <n v="242"/>
    <x v="7"/>
    <x v="14"/>
    <s v="Actual"/>
    <x v="6"/>
    <m/>
    <s v="IGCC"/>
    <s v="Charitable Contributions"/>
    <n v="3496.5034965034965"/>
    <s v="N/A"/>
    <s v="N/A"/>
    <s v="N/A"/>
    <s v="Nov"/>
    <n v="2025"/>
  </r>
  <r>
    <n v="243"/>
    <x v="7"/>
    <x v="14"/>
    <s v="Accrual"/>
    <x v="1"/>
    <m/>
    <s v="Border Transportaion / Al Hodod"/>
    <s v="Heavy  equipment rental"/>
    <n v="3716.7832727272726"/>
    <s v="N/A"/>
    <s v="N/A"/>
    <s v="N/A"/>
    <s v="Nov"/>
    <n v="2025"/>
  </r>
  <r>
    <n v="244"/>
    <x v="7"/>
    <x v="14"/>
    <s v="Accrual"/>
    <x v="1"/>
    <m/>
    <s v="NAC Logistic"/>
    <s v="Heavy  equipment rental"/>
    <n v="212.0763846153846"/>
    <s v="N/A"/>
    <s v="N/A"/>
    <s v="N/A"/>
    <s v="Nov"/>
    <n v="2025"/>
  </r>
  <r>
    <n v="245"/>
    <x v="7"/>
    <x v="14"/>
    <s v="Accrual"/>
    <x v="1"/>
    <m/>
    <s v="Taqadm Albasrah"/>
    <s v="Heavy  equipment rental"/>
    <n v="22134.696041958043"/>
    <s v="N/A"/>
    <s v="N/A"/>
    <s v="N/A"/>
    <s v="Nov"/>
    <n v="2025"/>
  </r>
  <r>
    <n v="246"/>
    <x v="7"/>
    <x v="14"/>
    <s v="Accrual"/>
    <x v="1"/>
    <m/>
    <s v="NAC Logistic"/>
    <s v=" Light equipment rental"/>
    <n v="8504.5723636363637"/>
    <s v="N/A"/>
    <s v="N/A"/>
    <s v="N/A"/>
    <s v="Nov"/>
    <n v="2025"/>
  </r>
  <r>
    <n v="247"/>
    <x v="7"/>
    <x v="14"/>
    <s v="Accrual"/>
    <x v="1"/>
    <m/>
    <s v="Taqadm Albasrah"/>
    <s v=" Light equipment rental"/>
    <n v="29513.439657342657"/>
    <s v="N/A"/>
    <s v="N/A"/>
    <s v="N/A"/>
    <s v="Nov"/>
    <n v="2025"/>
  </r>
  <r>
    <n v="248"/>
    <x v="7"/>
    <x v="14"/>
    <s v="Actual"/>
    <x v="8"/>
    <m/>
    <s v="LARSA Security"/>
    <s v="Guards"/>
    <n v="1800"/>
    <s v="INV-IGCC-NORTH RUMAILA-25-11-271"/>
    <d v="2025-11-30T00:00:00"/>
    <s v="N/A"/>
    <s v="Nov"/>
    <m/>
  </r>
  <r>
    <n v="249"/>
    <x v="7"/>
    <x v="14"/>
    <s v="Actual"/>
    <x v="2"/>
    <m/>
    <s v="Zain Telecom"/>
    <s v="Zain Telecom Services"/>
    <n v="2406.1001917659919"/>
    <n v="63"/>
    <d v="2025-09-30T00:00:00"/>
    <s v="N/A"/>
    <s v="Nov"/>
    <n v="2025"/>
  </r>
  <r>
    <n v="250"/>
    <x v="7"/>
    <x v="14"/>
    <s v="Accrual"/>
    <x v="17"/>
    <m/>
    <s v="Jabal Qendil BRS"/>
    <s v="Air ticket &amp; travel"/>
    <n v="800"/>
    <n v="78"/>
    <d v="2025-12-04T00:00:00"/>
    <s v="N/A"/>
    <s v="Nov"/>
    <n v="2025"/>
  </r>
  <r>
    <n v="251"/>
    <x v="7"/>
    <x v="14"/>
    <s v="Actual"/>
    <x v="3"/>
    <m/>
    <s v="Abdullah Gallery"/>
    <s v="Materials/Safety"/>
    <n v="8146.8531468531464"/>
    <s v="00827"/>
    <d v="2025-10-28T00:00:00"/>
    <n v="2025403896"/>
    <s v="Nov"/>
    <n v="2025"/>
  </r>
  <r>
    <n v="252"/>
    <x v="7"/>
    <x v="14"/>
    <s v="Actual"/>
    <x v="3"/>
    <m/>
    <s v="ZUMZUM ALFAYHAA INSAAT"/>
    <s v="Materials"/>
    <n v="1472.4"/>
    <s v="12152"/>
    <d v="2025-11-15T00:00:00"/>
    <n v="2025404150"/>
    <s v="Nov"/>
    <n v="2025"/>
  </r>
  <r>
    <n v="253"/>
    <x v="7"/>
    <x v="14"/>
    <s v="Actual"/>
    <x v="3"/>
    <m/>
    <s v="ZUMZUM ALFAYHAA INSAAT"/>
    <s v="Materials"/>
    <n v="107.9"/>
    <s v="12114"/>
    <d v="2025-11-15T00:00:00"/>
    <n v="2025404079"/>
    <s v="Nov"/>
    <n v="2025"/>
  </r>
  <r>
    <n v="254"/>
    <x v="7"/>
    <x v="14"/>
    <s v="Accrual"/>
    <x v="4"/>
    <m/>
    <s v="Taqadm Albasrah"/>
    <s v="labourers"/>
    <n v="1019.5804195804196"/>
    <s v="N/A"/>
    <s v="N/A"/>
    <s v="N/A"/>
    <s v="Nov"/>
    <n v="2025"/>
  </r>
  <r>
    <n v="255"/>
    <x v="7"/>
    <x v="14"/>
    <s v="Accrual"/>
    <x v="4"/>
    <m/>
    <s v="Taqadm Albasrah"/>
    <s v="labourers"/>
    <n v="2039.1608391608393"/>
    <s v="N/A"/>
    <s v="N/A"/>
    <s v="N/A"/>
    <s v="Nov"/>
    <n v="2025"/>
  </r>
  <r>
    <n v="256"/>
    <x v="7"/>
    <x v="14"/>
    <s v="Accrual"/>
    <x v="4"/>
    <m/>
    <s v="Burj Al Rafidain Hamza"/>
    <s v="Third party Manpower"/>
    <n v="4363.0546230199607"/>
    <s v="N/A"/>
    <s v="N/A"/>
    <s v="N/A"/>
    <s v="Nov"/>
    <n v="2025"/>
  </r>
  <r>
    <n v="257"/>
    <x v="8"/>
    <x v="15"/>
    <s v="Actual"/>
    <x v="0"/>
    <m/>
    <s v="IGCC"/>
    <s v="Payroll Nov"/>
    <n v="30733"/>
    <s v="N/A"/>
    <s v="N/A"/>
    <s v="N/A"/>
    <s v="Nov"/>
    <n v="2025"/>
  </r>
  <r>
    <n v="258"/>
    <x v="8"/>
    <x v="16"/>
    <s v="Actual"/>
    <x v="0"/>
    <m/>
    <s v="IGCC"/>
    <s v="Payroll Nov"/>
    <n v="143690"/>
    <s v="N/A"/>
    <s v="N/A"/>
    <s v="N/A"/>
    <s v="Nov"/>
    <n v="2025"/>
  </r>
  <r>
    <n v="259"/>
    <x v="8"/>
    <x v="17"/>
    <s v="Actual"/>
    <x v="0"/>
    <m/>
    <s v="IGCC"/>
    <s v="Payroll Nov"/>
    <n v="20381"/>
    <s v="N/A"/>
    <s v="N/A"/>
    <s v="N/A"/>
    <s v="Nov"/>
    <n v="2025"/>
  </r>
  <r>
    <n v="260"/>
    <x v="8"/>
    <x v="15"/>
    <s v="Actual"/>
    <x v="3"/>
    <m/>
    <s v="Petty Cash"/>
    <s v="Petty Cash for EIMNT"/>
    <n v="2093.0069930069931"/>
    <s v="##"/>
    <s v="18/10/2025"/>
    <s v="N/A"/>
    <s v="Nov"/>
    <n v="2025"/>
  </r>
  <r>
    <n v="261"/>
    <x v="8"/>
    <x v="15"/>
    <s v="Actual"/>
    <x v="2"/>
    <m/>
    <s v="Petty Cash"/>
    <s v="Internet Modem"/>
    <n v="37.06293706293706"/>
    <s v="##"/>
    <s v="26/11/2025"/>
    <s v="N/A"/>
    <s v="Nov"/>
    <n v="2025"/>
  </r>
  <r>
    <n v="262"/>
    <x v="8"/>
    <x v="15"/>
    <s v="Accrual"/>
    <x v="1"/>
    <m/>
    <s v="Border Transportaion / Al Hodod"/>
    <s v="Heavy  equipment rental"/>
    <n v="516.40667132867134"/>
    <s v="N/A"/>
    <s v="N/A"/>
    <s v="N/A"/>
    <s v="Nov"/>
    <n v="2025"/>
  </r>
  <r>
    <n v="263"/>
    <x v="8"/>
    <x v="16"/>
    <s v="Accrual"/>
    <x v="1"/>
    <m/>
    <s v="Border Transportaion / Al Hodod"/>
    <s v="Heavy  equipment rental"/>
    <n v="201.72135664335664"/>
    <s v="N/A"/>
    <s v="N/A"/>
    <s v="N/A"/>
    <s v="Nov"/>
    <n v="2025"/>
  </r>
  <r>
    <n v="264"/>
    <x v="8"/>
    <x v="15"/>
    <s v="Accrual"/>
    <x v="1"/>
    <m/>
    <s v="NAC Logistic"/>
    <s v="Heavy  equipment rental"/>
    <n v="1642.9531958041957"/>
    <s v="N/A"/>
    <s v="N/A"/>
    <s v="N/A"/>
    <s v="Nov"/>
    <n v="2025"/>
  </r>
  <r>
    <n v="265"/>
    <x v="8"/>
    <x v="16"/>
    <s v="Accrual"/>
    <x v="1"/>
    <m/>
    <s v="NAC Logistic"/>
    <s v="Heavy  equipment rental"/>
    <n v="6013.9859790209794"/>
    <s v="N/A"/>
    <s v="N/A"/>
    <s v="N/A"/>
    <s v="Nov"/>
    <n v="2025"/>
  </r>
  <r>
    <n v="266"/>
    <x v="8"/>
    <x v="15"/>
    <s v="Accrual"/>
    <x v="1"/>
    <m/>
    <s v="Taqadm Albasrah"/>
    <s v="Heavy  equipment rental"/>
    <n v="4209.2522307692307"/>
    <s v="N/A"/>
    <s v="N/A"/>
    <s v="N/A"/>
    <s v="Nov"/>
    <n v="2025"/>
  </r>
  <r>
    <n v="267"/>
    <x v="8"/>
    <x v="16"/>
    <s v="Accrual"/>
    <x v="1"/>
    <m/>
    <s v="Taqadm Albasrah"/>
    <s v="Heavy  equipment rental"/>
    <n v="25318.558209790212"/>
    <s v="N/A"/>
    <s v="N/A"/>
    <s v="N/A"/>
    <s v="Nov"/>
    <n v="2025"/>
  </r>
  <r>
    <n v="268"/>
    <x v="8"/>
    <x v="18"/>
    <s v="Accrual"/>
    <x v="1"/>
    <m/>
    <s v="Taqadm Albasrah"/>
    <s v="Heavy  equipment rental"/>
    <n v="282.4098951048951"/>
    <s v="N/A"/>
    <s v="N/A"/>
    <s v="N/A"/>
    <s v="Nov"/>
    <n v="2025"/>
  </r>
  <r>
    <n v="269"/>
    <x v="8"/>
    <x v="17"/>
    <s v="Accrual"/>
    <x v="1"/>
    <m/>
    <s v="Taqadm Albasrah"/>
    <s v="Heavy  equipment rental"/>
    <n v="2487.8966713286713"/>
    <s v="N/A"/>
    <s v="N/A"/>
    <s v="N/A"/>
    <s v="Nov"/>
    <n v="2025"/>
  </r>
  <r>
    <n v="270"/>
    <x v="8"/>
    <x v="15"/>
    <s v="Accrual"/>
    <x v="1"/>
    <m/>
    <s v="NAC Logistic"/>
    <s v=" Light equipment rental"/>
    <n v="5396.2703916083919"/>
    <s v="N/A"/>
    <s v="N/A"/>
    <s v="N/A"/>
    <s v="Nov"/>
    <n v="2025"/>
  </r>
  <r>
    <n v="271"/>
    <x v="8"/>
    <x v="16"/>
    <s v="Accrual"/>
    <x v="1"/>
    <m/>
    <s v="NAC Logistic"/>
    <s v=" Light equipment rental"/>
    <n v="6993.0069930069931"/>
    <s v="N/A"/>
    <s v="N/A"/>
    <s v="N/A"/>
    <s v="Nov"/>
    <n v="2025"/>
  </r>
  <r>
    <n v="272"/>
    <x v="8"/>
    <x v="17"/>
    <s v="Accrual"/>
    <x v="1"/>
    <m/>
    <s v="NAC Logistic"/>
    <s v=" Light equipment rental"/>
    <n v="139.86013986013987"/>
    <s v="N/A"/>
    <s v="N/A"/>
    <s v="N/A"/>
    <s v="Nov"/>
    <n v="2025"/>
  </r>
  <r>
    <n v="273"/>
    <x v="8"/>
    <x v="15"/>
    <s v="Accrual"/>
    <x v="1"/>
    <m/>
    <s v="Taqadm Albasrah"/>
    <s v=" Light equipment rental"/>
    <n v="3030.3029370629374"/>
    <s v="N/A"/>
    <s v="N/A"/>
    <s v="N/A"/>
    <s v="Nov"/>
    <n v="2025"/>
  </r>
  <r>
    <n v="274"/>
    <x v="8"/>
    <x v="16"/>
    <s v="Accrual"/>
    <x v="1"/>
    <m/>
    <s v="Taqadm Albasrah"/>
    <s v=" Light equipment rental"/>
    <n v="18671.328258741258"/>
    <s v="N/A"/>
    <s v="N/A"/>
    <s v="N/A"/>
    <s v="Nov"/>
    <n v="2025"/>
  </r>
  <r>
    <n v="275"/>
    <x v="8"/>
    <x v="19"/>
    <s v="Accrual"/>
    <x v="1"/>
    <m/>
    <s v="Taqadm Albasrah"/>
    <s v=" Light equipment rental"/>
    <n v="1893.9393356643357"/>
    <s v="N/A"/>
    <s v="N/A"/>
    <s v="N/A"/>
    <s v="Nov"/>
    <n v="2025"/>
  </r>
  <r>
    <n v="276"/>
    <x v="8"/>
    <x v="17"/>
    <s v="Accrual"/>
    <x v="1"/>
    <m/>
    <s v="Taqadm Albasrah"/>
    <s v=" Light equipment rental"/>
    <n v="3021.5616783216783"/>
    <s v="N/A"/>
    <s v="N/A"/>
    <s v="N/A"/>
    <s v="Nov"/>
    <n v="2025"/>
  </r>
  <r>
    <n v="277"/>
    <x v="8"/>
    <x v="15"/>
    <s v="Actual"/>
    <x v="3"/>
    <m/>
    <s v="Al-Ghadeer Print"/>
    <s v="Materials"/>
    <n v="25.174825174825173"/>
    <s v="0383"/>
    <d v="2025-11-20T00:00:00"/>
    <n v="2025404299"/>
    <s v="Nov"/>
    <n v="2025"/>
  </r>
  <r>
    <n v="278"/>
    <x v="8"/>
    <x v="15"/>
    <s v="Actual"/>
    <x v="3"/>
    <m/>
    <s v="Al-Ghadeer Print"/>
    <s v="Materials"/>
    <n v="55.944055944055947"/>
    <s v="0382"/>
    <d v="2025-11-20T00:00:00"/>
    <n v="2025404390"/>
    <s v="Nov"/>
    <n v="2025"/>
  </r>
  <r>
    <n v="279"/>
    <x v="8"/>
    <x v="15"/>
    <s v="Actual"/>
    <x v="3"/>
    <m/>
    <s v="Al-Sadrain Stores"/>
    <s v="Materials"/>
    <n v="856.6433566433567"/>
    <s v="4745"/>
    <d v="2025-11-18T00:00:00"/>
    <n v="2025404415"/>
    <s v="Nov"/>
    <n v="2025"/>
  </r>
  <r>
    <n v="280"/>
    <x v="8"/>
    <x v="15"/>
    <s v="Actual"/>
    <x v="3"/>
    <m/>
    <s v="AL-Wajeeh Company"/>
    <s v="Materials"/>
    <n v="136.43"/>
    <s v="17328-1"/>
    <d v="2025-11-18T00:00:00"/>
    <n v="2025404149"/>
    <s v="Nov"/>
    <n v="2025"/>
  </r>
  <r>
    <n v="281"/>
    <x v="8"/>
    <x v="15"/>
    <s v="Actual"/>
    <x v="3"/>
    <m/>
    <s v="AL-Wajeeh Company"/>
    <s v="Materials"/>
    <n v="209.16"/>
    <s v="17330"/>
    <d v="2025-11-18T00:00:00"/>
    <n v="2025404197"/>
    <s v="Nov"/>
    <n v="2025"/>
  </r>
  <r>
    <n v="282"/>
    <x v="8"/>
    <x v="15"/>
    <s v="Actual"/>
    <x v="3"/>
    <m/>
    <s v="AL-Wajeeh Company"/>
    <s v="Materials"/>
    <n v="2180"/>
    <s v="17381-1"/>
    <d v="2025-11-30T00:00:00"/>
    <n v="2025404349"/>
    <s v="Nov"/>
    <n v="2025"/>
  </r>
  <r>
    <n v="283"/>
    <x v="8"/>
    <x v="15"/>
    <s v="Actual"/>
    <x v="3"/>
    <m/>
    <s v="AL-Wajeeh Company"/>
    <s v="Materials"/>
    <n v="2180"/>
    <s v="17382-1"/>
    <d v="2025-11-30T00:00:00"/>
    <n v="2025404341"/>
    <s v="Nov"/>
    <n v="2025"/>
  </r>
  <r>
    <n v="284"/>
    <x v="8"/>
    <x v="15"/>
    <s v="Actual"/>
    <x v="3"/>
    <m/>
    <s v="BLUE LINE"/>
    <s v="Materials"/>
    <n v="791.17"/>
    <s v="6579"/>
    <d v="2025-11-03T00:00:00"/>
    <n v="2025404193"/>
    <s v="Nov"/>
    <n v="2025"/>
  </r>
  <r>
    <n v="285"/>
    <x v="8"/>
    <x v="15"/>
    <s v="Actual"/>
    <x v="3"/>
    <m/>
    <s v="BLUE LINE"/>
    <s v="Materials"/>
    <n v="1262.8499999999999"/>
    <s v="6577"/>
    <d v="2025-11-04T00:00:00"/>
    <n v="2025404218"/>
    <s v="Nov"/>
    <n v="2025"/>
  </r>
  <r>
    <n v="286"/>
    <x v="8"/>
    <x v="16"/>
    <s v="Actual"/>
    <x v="3"/>
    <m/>
    <s v="Rwad Alenjaz Co."/>
    <s v="Materials"/>
    <n v="2664.3356643356642"/>
    <s v="H02016"/>
    <d v="2025-11-01T00:00:00"/>
    <n v="2025404037"/>
    <s v="Nov"/>
    <n v="2025"/>
  </r>
  <r>
    <n v="287"/>
    <x v="8"/>
    <x v="15"/>
    <s v="Actual"/>
    <x v="3"/>
    <m/>
    <s v="ZUMZUM ALFAYHAA INSAAT"/>
    <s v="Materials"/>
    <n v="1116.5"/>
    <s v="12040"/>
    <d v="2025-11-08T00:00:00"/>
    <n v="2025403996"/>
    <s v="Nov"/>
    <n v="2025"/>
  </r>
  <r>
    <n v="288"/>
    <x v="8"/>
    <x v="15"/>
    <s v="Actual"/>
    <x v="3"/>
    <m/>
    <s v="ZUMZUM ALFAYHAA INSAAT"/>
    <s v="Materials"/>
    <n v="200"/>
    <s v="12060"/>
    <d v="2025-11-08T00:00:00"/>
    <n v="2025404019"/>
    <s v="Nov"/>
    <n v="2025"/>
  </r>
  <r>
    <n v="289"/>
    <x v="8"/>
    <x v="15"/>
    <s v="Actual"/>
    <x v="3"/>
    <m/>
    <s v="ZUMZUM ALFAYHAA INSAAT"/>
    <s v="Materials"/>
    <n v="2114"/>
    <s v="12036"/>
    <d v="2025-11-08T00:00:00"/>
    <n v="2025403998"/>
    <s v="Nov"/>
    <n v="2025"/>
  </r>
  <r>
    <n v="290"/>
    <x v="8"/>
    <x v="15"/>
    <s v="Actual"/>
    <x v="3"/>
    <m/>
    <s v="ZUMZUM ALFAYHAA INSAAT"/>
    <s v="Materials"/>
    <n v="60"/>
    <s v="11948"/>
    <d v="2025-11-12T00:00:00"/>
    <n v="2025403886"/>
    <s v="Nov"/>
    <n v="2025"/>
  </r>
  <r>
    <n v="291"/>
    <x v="8"/>
    <x v="15"/>
    <s v="Actual"/>
    <x v="3"/>
    <m/>
    <s v="ZUMZUM ALFAYHAA INSAAT"/>
    <s v="Materials"/>
    <n v="210"/>
    <s v="12148"/>
    <d v="2025-11-15T00:00:00"/>
    <n v="2025404125"/>
    <s v="Nov"/>
    <n v="2025"/>
  </r>
  <r>
    <n v="292"/>
    <x v="8"/>
    <x v="16"/>
    <s v="Actual"/>
    <x v="3"/>
    <m/>
    <s v="ZUMZUM ALFAYHAA INSAAT"/>
    <s v="Materials"/>
    <n v="3287"/>
    <s v="12262"/>
    <d v="2025-11-24T00:00:00"/>
    <n v="2025404095"/>
    <s v="Nov"/>
    <n v="2025"/>
  </r>
  <r>
    <n v="293"/>
    <x v="8"/>
    <x v="16"/>
    <s v="Actual"/>
    <x v="3"/>
    <m/>
    <s v="ZUMZUM ALFAYHAA INSAAT"/>
    <s v="Materials"/>
    <n v="363"/>
    <s v="12024"/>
    <d v="2025-11-08T00:00:00"/>
    <n v="2025403981"/>
    <s v="Nov"/>
    <n v="2025"/>
  </r>
  <r>
    <n v="294"/>
    <x v="8"/>
    <x v="16"/>
    <s v="Accrual"/>
    <x v="10"/>
    <m/>
    <s v="Border Transportaion / Al Hodod"/>
    <s v="Hydrovac"/>
    <n v="16581.398601398603"/>
    <s v="N/A"/>
    <s v="N/A"/>
    <s v="N/A"/>
    <s v="Nov"/>
    <n v="2025"/>
  </r>
  <r>
    <n v="295"/>
    <x v="8"/>
    <x v="15"/>
    <s v="Accrual"/>
    <x v="10"/>
    <m/>
    <s v="Border Transportaion / Al Hodod"/>
    <s v="Hydrovac"/>
    <n v="3738.4615384615386"/>
    <s v="N/A"/>
    <s v="N/A"/>
    <s v="N/A"/>
    <s v="Nov"/>
    <n v="2025"/>
  </r>
  <r>
    <n v="296"/>
    <x v="8"/>
    <x v="16"/>
    <s v="Actual"/>
    <x v="10"/>
    <m/>
    <s v="NAYA Co"/>
    <s v="Testing/Calibration"/>
    <n v="500"/>
    <s v="TR25-11419"/>
    <d v="2025-11-17T00:00:00"/>
    <n v="2025404325"/>
    <s v="Nov"/>
    <n v="2025"/>
  </r>
  <r>
    <n v="297"/>
    <x v="8"/>
    <x v="16"/>
    <s v="Actual"/>
    <x v="10"/>
    <m/>
    <s v="Ard Al Aber"/>
    <s v="Testing/Calibration"/>
    <n v="10000"/>
    <s v="#"/>
    <d v="2025-10-25T00:00:00"/>
    <n v="2025404103"/>
    <s v="Nov"/>
    <n v="2025"/>
  </r>
  <r>
    <n v="298"/>
    <x v="8"/>
    <x v="15"/>
    <s v="Actual"/>
    <x v="10"/>
    <m/>
    <s v="DMC FOR PETROLEUM SERVICES &amp; CONTRACTING"/>
    <s v="Testing/Calibration"/>
    <n v="349.65034965034965"/>
    <s v="DMC-INV-25-0005"/>
    <d v="2025-10-28T00:00:00"/>
    <n v="2025404239"/>
    <s v="Nov"/>
    <n v="2025"/>
  </r>
  <r>
    <n v="299"/>
    <x v="8"/>
    <x v="15"/>
    <s v="Actual"/>
    <x v="10"/>
    <m/>
    <s v="DMC FOR PETROLEUM SERVICES &amp; CONTRACTING"/>
    <s v="Testing/Calibration"/>
    <n v="839.16083916083915"/>
    <s v="DMC-INV-25-0006"/>
    <d v="2025-10-29T00:00:00"/>
    <n v="2025404240"/>
    <s v="Nov"/>
    <n v="2025"/>
  </r>
  <r>
    <n v="300"/>
    <x v="8"/>
    <x v="16"/>
    <s v="Accrual"/>
    <x v="10"/>
    <m/>
    <s v="Citadel Engineering Company"/>
    <s v="Pressure Gauge Calibration"/>
    <n v="28080"/>
    <s v="N/A"/>
    <s v="N/A"/>
    <s v="N/A"/>
    <s v="Nov"/>
    <n v="2025"/>
  </r>
  <r>
    <n v="301"/>
    <x v="8"/>
    <x v="15"/>
    <s v="Accrual"/>
    <x v="4"/>
    <m/>
    <s v="Taqadm Albasrah"/>
    <s v="labourers"/>
    <n v="1019.5804195804196"/>
    <s v="N/A"/>
    <s v="N/A"/>
    <s v="N/A"/>
    <s v="Nov"/>
    <n v="2025"/>
  </r>
  <r>
    <n v="302"/>
    <x v="8"/>
    <x v="20"/>
    <s v="Accrual"/>
    <x v="4"/>
    <m/>
    <s v="Burj Al Rafidain Hamza"/>
    <s v="Third party Manpower"/>
    <n v="1154.9262237405778"/>
    <s v="N/A"/>
    <s v="N/A"/>
    <s v="N/A"/>
    <s v="Nov"/>
    <n v="2025"/>
  </r>
  <r>
    <n v="303"/>
    <x v="8"/>
    <x v="15"/>
    <s v="Accrual"/>
    <x v="4"/>
    <m/>
    <s v="Burj Al Rafidain Hamza"/>
    <s v="Third party Manpower"/>
    <n v="5389.6557107893632"/>
    <s v="N/A"/>
    <s v="N/A"/>
    <s v="N/A"/>
    <s v="Nov"/>
    <n v="2025"/>
  </r>
  <r>
    <n v="304"/>
    <x v="8"/>
    <x v="16"/>
    <s v="Accrual"/>
    <x v="4"/>
    <m/>
    <s v="Burj Al Rafidain Hamza"/>
    <s v="Third party Manpower"/>
    <n v="29258.13100142797"/>
    <s v="N/A"/>
    <s v="N/A"/>
    <s v="N/A"/>
    <s v="Nov"/>
    <n v="2025"/>
  </r>
  <r>
    <n v="305"/>
    <x v="8"/>
    <x v="17"/>
    <s v="Accrual"/>
    <x v="4"/>
    <m/>
    <s v="Burj Al Rafidain Hamza"/>
    <s v="Third party Manpower"/>
    <n v="3336.4535352505582"/>
    <s v="N/A"/>
    <s v="N/A"/>
    <s v="N/A"/>
    <s v="Nov"/>
    <n v="2025"/>
  </r>
  <r>
    <n v="306"/>
    <x v="8"/>
    <x v="16"/>
    <s v="Accrual"/>
    <x v="11"/>
    <m/>
    <s v="Citadel Engineering Company"/>
    <s v="Pressure Gauge Calibration"/>
    <n v="28080"/>
    <s v="N/A"/>
    <s v="N/A"/>
    <s v="N/A"/>
    <s v="Nov"/>
    <n v="2025"/>
  </r>
  <r>
    <n v="307"/>
    <x v="9"/>
    <x v="21"/>
    <s v="Actual"/>
    <x v="0"/>
    <m/>
    <s v="IGCC"/>
    <s v="Payroll Nov"/>
    <n v="56660"/>
    <s v="N/A"/>
    <s v="N/A"/>
    <s v="N/A"/>
    <s v="Nov"/>
    <n v="2025"/>
  </r>
  <r>
    <n v="308"/>
    <x v="9"/>
    <x v="22"/>
    <s v="Actual"/>
    <x v="0"/>
    <m/>
    <s v="IGCC"/>
    <s v="Payroll Nov"/>
    <n v="26073"/>
    <s v="N/A"/>
    <s v="N/A"/>
    <s v="N/A"/>
    <s v="Nov"/>
    <n v="2025"/>
  </r>
  <r>
    <n v="309"/>
    <x v="9"/>
    <x v="23"/>
    <s v="Actual"/>
    <x v="0"/>
    <m/>
    <s v="IGCC"/>
    <s v="Payroll Nov"/>
    <n v="55736"/>
    <s v="N/A"/>
    <s v="N/A"/>
    <s v="N/A"/>
    <s v="Nov"/>
    <n v="2025"/>
  </r>
  <r>
    <n v="310"/>
    <x v="9"/>
    <x v="24"/>
    <s v="Actual"/>
    <x v="0"/>
    <m/>
    <s v="IGCC"/>
    <s v="Payroll Nov"/>
    <n v="11261"/>
    <s v="N/A"/>
    <s v="N/A"/>
    <s v="N/A"/>
    <s v="Nov"/>
    <n v="2025"/>
  </r>
  <r>
    <n v="311"/>
    <x v="9"/>
    <x v="25"/>
    <s v="Actual"/>
    <x v="0"/>
    <m/>
    <s v="IGCC"/>
    <s v="Payroll Nov"/>
    <n v="58882"/>
    <s v="N/A"/>
    <s v="N/A"/>
    <s v="N/A"/>
    <s v="Nov"/>
    <n v="2025"/>
  </r>
  <r>
    <n v="312"/>
    <x v="9"/>
    <x v="26"/>
    <s v="Actual"/>
    <x v="0"/>
    <m/>
    <s v="IGCC"/>
    <s v="Payroll Nov"/>
    <n v="56512"/>
    <s v="N/A"/>
    <s v="N/A"/>
    <s v="N/A"/>
    <s v="Nov"/>
    <n v="2025"/>
  </r>
  <r>
    <n v="313"/>
    <x v="9"/>
    <x v="27"/>
    <s v="Actual"/>
    <x v="0"/>
    <m/>
    <s v="IGCC"/>
    <s v="Payroll Nov"/>
    <n v="34850"/>
    <s v="N/A"/>
    <s v="N/A"/>
    <s v="N/A"/>
    <s v="Nov"/>
    <n v="2025"/>
  </r>
  <r>
    <n v="314"/>
    <x v="9"/>
    <x v="28"/>
    <s v="Actual"/>
    <x v="0"/>
    <m/>
    <s v="IGCC"/>
    <s v="Payroll Nov"/>
    <n v="241913"/>
    <s v="N/A"/>
    <s v="N/A"/>
    <s v="N/A"/>
    <s v="Nov"/>
    <n v="2025"/>
  </r>
  <r>
    <n v="315"/>
    <x v="9"/>
    <x v="29"/>
    <s v="Actual"/>
    <x v="0"/>
    <m/>
    <s v="IGCC"/>
    <s v="Payroll Nov"/>
    <n v="30979"/>
    <s v="N/A"/>
    <s v="N/A"/>
    <s v="N/A"/>
    <s v="Nov"/>
    <n v="2025"/>
  </r>
  <r>
    <n v="316"/>
    <x v="9"/>
    <x v="26"/>
    <s v="Accrual"/>
    <x v="5"/>
    <m/>
    <s v="RADIX General Trading Co. ltd."/>
    <s v="DHL / Courier Fees / Shipping"/>
    <n v="7000"/>
    <s v="N/A"/>
    <s v="N/A"/>
    <s v="N/A"/>
    <s v="Nov"/>
    <n v="2025"/>
  </r>
  <r>
    <n v="317"/>
    <x v="9"/>
    <x v="26"/>
    <s v="Accrual"/>
    <x v="5"/>
    <m/>
    <s v="RADIX General Trading Co. ltd."/>
    <s v="DHL / Courier Fees / Shipping"/>
    <n v="7500"/>
    <s v="N/A"/>
    <s v="N/A"/>
    <s v="N/A"/>
    <s v="Nov"/>
    <n v="2025"/>
  </r>
  <r>
    <n v="318"/>
    <x v="9"/>
    <x v="29"/>
    <s v="Actual"/>
    <x v="6"/>
    <m/>
    <s v="Petty Cash"/>
    <s v="اكراميات وعشائر"/>
    <n v="1748.2517482517483"/>
    <s v="##"/>
    <s v="19/11/2025"/>
    <s v="N/A"/>
    <s v="Nov"/>
    <n v="2025"/>
  </r>
  <r>
    <n v="319"/>
    <x v="9"/>
    <x v="30"/>
    <s v="Actual"/>
    <x v="6"/>
    <m/>
    <s v="Petty Cash"/>
    <s v="اكراميات وعشائر"/>
    <n v="1416.0839160839162"/>
    <s v="##"/>
    <d v="2025-10-11T00:00:00"/>
    <s v="N/A"/>
    <s v="Nov"/>
    <n v="2025"/>
  </r>
  <r>
    <n v="320"/>
    <x v="8"/>
    <x v="16"/>
    <s v="Actual"/>
    <x v="3"/>
    <m/>
    <s v="Petty Cash"/>
    <s v="Petty Cash for EISP"/>
    <n v="2828.6713286713289"/>
    <s v="##"/>
    <s v="19/11/2025"/>
    <s v="N/A"/>
    <s v="Nov"/>
    <n v="2025"/>
  </r>
  <r>
    <n v="321"/>
    <x v="8"/>
    <x v="16"/>
    <s v="Actual"/>
    <x v="3"/>
    <m/>
    <s v="Petty Cash"/>
    <s v="Petty Cash for EISP"/>
    <n v="1999.6503496503497"/>
    <s v="##"/>
    <s v="23/10/2025"/>
    <s v="N/A"/>
    <s v="Nov"/>
    <n v="2025"/>
  </r>
  <r>
    <n v="322"/>
    <x v="9"/>
    <x v="22"/>
    <s v="Actual"/>
    <x v="3"/>
    <m/>
    <s v="Petty Cash"/>
    <s v="Petty Cash for FFF"/>
    <n v="219.23076923076923"/>
    <s v="##"/>
    <d v="2025-10-11T00:00:00"/>
    <s v="N/A"/>
    <s v="Nov"/>
    <n v="2025"/>
  </r>
  <r>
    <n v="323"/>
    <x v="9"/>
    <x v="26"/>
    <s v="Actual"/>
    <x v="3"/>
    <m/>
    <s v="Petty Cash"/>
    <s v="Petty Cash for OHTL"/>
    <n v="572.72727272727275"/>
    <s v="##"/>
    <d v="2025-10-11T00:00:00"/>
    <s v="N/A"/>
    <s v="Nov"/>
    <n v="2025"/>
  </r>
  <r>
    <n v="324"/>
    <x v="9"/>
    <x v="28"/>
    <s v="Actual"/>
    <x v="3"/>
    <m/>
    <s v="Petty Cash"/>
    <s v="Petty Cash for PWRI2"/>
    <n v="1364.3356643356644"/>
    <s v="##"/>
    <d v="2025-02-11T00:00:00"/>
    <s v="N/A"/>
    <s v="Nov"/>
    <n v="2025"/>
  </r>
  <r>
    <n v="325"/>
    <x v="9"/>
    <x v="28"/>
    <s v="Actual"/>
    <x v="3"/>
    <m/>
    <s v="Petty Cash"/>
    <s v="Petty Cash for PWRI2"/>
    <n v="1536.3636363636363"/>
    <s v="##"/>
    <d v="2025-06-11T00:00:00"/>
    <s v="N/A"/>
    <s v="Nov"/>
    <n v="2025"/>
  </r>
  <r>
    <n v="326"/>
    <x v="9"/>
    <x v="29"/>
    <s v="Actual"/>
    <x v="3"/>
    <m/>
    <s v="Petty Cash"/>
    <s v="Petty cash for QA"/>
    <n v="754.5454545454545"/>
    <s v="##"/>
    <s v="22/11/2025"/>
    <s v="N/A"/>
    <s v="Nov"/>
    <n v="2025"/>
  </r>
  <r>
    <n v="327"/>
    <x v="9"/>
    <x v="29"/>
    <s v="Actual"/>
    <x v="3"/>
    <m/>
    <s v="Petty Cash"/>
    <s v="Petty cash for QA"/>
    <n v="818.88111888111894"/>
    <s v="##"/>
    <s v="30/10/2025"/>
    <s v="N/A"/>
    <s v="Nov"/>
    <n v="2025"/>
  </r>
  <r>
    <n v="328"/>
    <x v="9"/>
    <x v="30"/>
    <s v="Actual"/>
    <x v="3"/>
    <m/>
    <s v="Petty Cash"/>
    <s v="Petty Cash for WOD"/>
    <n v="2721.6783216783215"/>
    <s v="##"/>
    <s v="16/11/2025"/>
    <s v="N/A"/>
    <s v="Nov"/>
    <n v="2025"/>
  </r>
  <r>
    <n v="329"/>
    <x v="9"/>
    <x v="31"/>
    <s v="Actual"/>
    <x v="2"/>
    <m/>
    <s v="Petty Cash"/>
    <s v="Internet Modem"/>
    <n v="407.69230769230768"/>
    <s v="##"/>
    <s v="26/11/2025"/>
    <s v="N/A"/>
    <s v="Nov"/>
    <n v="2025"/>
  </r>
  <r>
    <n v="330"/>
    <x v="9"/>
    <x v="23"/>
    <s v="Actual"/>
    <x v="2"/>
    <m/>
    <s v="Petty Cash"/>
    <s v="Internet Modem"/>
    <n v="365.03496503496501"/>
    <s v="##"/>
    <s v="26/11/2025"/>
    <s v="N/A"/>
    <s v="Nov"/>
    <n v="2025"/>
  </r>
  <r>
    <n v="331"/>
    <x v="9"/>
    <x v="25"/>
    <s v="Actual"/>
    <x v="2"/>
    <m/>
    <s v="Petty Cash"/>
    <s v="Internet Modem"/>
    <n v="37.06293706293706"/>
    <s v="##"/>
    <s v="26/11/2025"/>
    <s v="N/A"/>
    <s v="Nov"/>
    <n v="2025"/>
  </r>
  <r>
    <n v="332"/>
    <x v="9"/>
    <x v="28"/>
    <s v="Actual"/>
    <x v="2"/>
    <m/>
    <s v="Petty Cash"/>
    <s v="Internet Modem"/>
    <n v="258.74125874125872"/>
    <s v="##"/>
    <s v="26/11/2025"/>
    <s v="N/A"/>
    <s v="Nov"/>
    <n v="2025"/>
  </r>
  <r>
    <n v="333"/>
    <x v="9"/>
    <x v="21"/>
    <s v="Accrual"/>
    <x v="7"/>
    <m/>
    <s v="IGCC"/>
    <s v="Diesel Sites Nov 25"/>
    <n v="559.44055944055947"/>
    <s v="N/A"/>
    <s v="N/A"/>
    <s v="N/A"/>
    <s v="Nov"/>
    <n v="2025"/>
  </r>
  <r>
    <n v="334"/>
    <x v="9"/>
    <x v="28"/>
    <s v="Accrual"/>
    <x v="7"/>
    <m/>
    <s v="IGCC"/>
    <s v="Diesel Sites Nov 25"/>
    <n v="4265.734265734266"/>
    <s v="N/A"/>
    <s v="N/A"/>
    <s v="N/A"/>
    <s v="Nov"/>
    <n v="2025"/>
  </r>
  <r>
    <n v="335"/>
    <x v="9"/>
    <x v="26"/>
    <s v="Actual"/>
    <x v="6"/>
    <m/>
    <s v="IGCC"/>
    <s v="Charitable Contributions"/>
    <n v="5069.9300699300702"/>
    <s v="N/A"/>
    <s v="N/A"/>
    <s v="N/A"/>
    <s v="Nov"/>
    <n v="2025"/>
  </r>
  <r>
    <n v="336"/>
    <x v="9"/>
    <x v="29"/>
    <s v="Actual"/>
    <x v="1"/>
    <m/>
    <s v="Al-Zubair Gate"/>
    <s v="Light equipment rental"/>
    <n v="1398.6013986013986"/>
    <n v="2531"/>
    <d v="2025-11-30T00:00:00"/>
    <s v="N/A"/>
    <s v="Nov"/>
    <n v="2025"/>
  </r>
  <r>
    <n v="337"/>
    <x v="9"/>
    <x v="21"/>
    <s v="Accrual"/>
    <x v="1"/>
    <m/>
    <s v="Border Transportaion / Al Hodod"/>
    <s v="Heavy  equipment rental"/>
    <n v="6455.083391608392"/>
    <s v="N/A"/>
    <s v="N/A"/>
    <s v="N/A"/>
    <s v="Nov"/>
    <n v="2025"/>
  </r>
  <r>
    <n v="338"/>
    <x v="9"/>
    <x v="22"/>
    <s v="Accrual"/>
    <x v="1"/>
    <m/>
    <s v="Border Transportaion / Al Hodod"/>
    <s v="Heavy  equipment rental"/>
    <n v="233.99676923076925"/>
    <s v="N/A"/>
    <s v="N/A"/>
    <s v="N/A"/>
    <s v="Nov"/>
    <n v="2025"/>
  </r>
  <r>
    <n v="339"/>
    <x v="9"/>
    <x v="23"/>
    <s v="Accrual"/>
    <x v="1"/>
    <m/>
    <s v="Border Transportaion / Al Hodod"/>
    <s v="Heavy  equipment rental"/>
    <n v="6457.2014545454549"/>
    <s v="N/A"/>
    <s v="N/A"/>
    <s v="N/A"/>
    <s v="Nov"/>
    <n v="2025"/>
  </r>
  <r>
    <n v="340"/>
    <x v="9"/>
    <x v="26"/>
    <s v="Accrual"/>
    <x v="1"/>
    <m/>
    <s v="Border Transportaion / Al Hodod"/>
    <s v="Heavy  equipment rental"/>
    <n v="435.7181258741258"/>
    <s v="N/A"/>
    <s v="N/A"/>
    <s v="N/A"/>
    <s v="Nov"/>
    <n v="2025"/>
  </r>
  <r>
    <n v="341"/>
    <x v="9"/>
    <x v="28"/>
    <s v="Accrual"/>
    <x v="1"/>
    <m/>
    <s v="Border Transportaion / Al Hodod"/>
    <s v="Heavy  equipment rental"/>
    <n v="40327.494811188808"/>
    <s v="N/A"/>
    <s v="N/A"/>
    <s v="N/A"/>
    <s v="Nov"/>
    <n v="2025"/>
  </r>
  <r>
    <n v="342"/>
    <x v="9"/>
    <x v="21"/>
    <s v="Accrual"/>
    <x v="1"/>
    <m/>
    <s v="NAC Logistic"/>
    <s v="Heavy  equipment rental"/>
    <n v="5152.770335664336"/>
    <s v="N/A"/>
    <s v="N/A"/>
    <s v="N/A"/>
    <s v="Nov"/>
    <n v="2025"/>
  </r>
  <r>
    <n v="343"/>
    <x v="9"/>
    <x v="22"/>
    <s v="Accrual"/>
    <x v="1"/>
    <m/>
    <s v="NAC Logistic"/>
    <s v="Heavy  equipment rental"/>
    <n v="1124.2603496503498"/>
    <s v="N/A"/>
    <s v="N/A"/>
    <s v="N/A"/>
    <s v="Nov"/>
    <n v="2025"/>
  </r>
  <r>
    <n v="344"/>
    <x v="9"/>
    <x v="23"/>
    <s v="Accrual"/>
    <x v="1"/>
    <m/>
    <s v="NAC Logistic"/>
    <s v="Heavy  equipment rental"/>
    <n v="17266.94448951049"/>
    <s v="N/A"/>
    <s v="N/A"/>
    <s v="N/A"/>
    <s v="Nov"/>
    <n v="2025"/>
  </r>
  <r>
    <n v="345"/>
    <x v="9"/>
    <x v="25"/>
    <s v="Accrual"/>
    <x v="1"/>
    <m/>
    <s v="NAC Logistic"/>
    <s v="Heavy  equipment rental"/>
    <n v="1380.849916083916"/>
    <s v="N/A"/>
    <s v="N/A"/>
    <s v="N/A"/>
    <s v="Nov"/>
    <n v="2025"/>
  </r>
  <r>
    <n v="346"/>
    <x v="9"/>
    <x v="26"/>
    <s v="Accrual"/>
    <x v="1"/>
    <m/>
    <s v="NAC Logistic"/>
    <s v="Heavy  equipment rental"/>
    <n v="1124.2603496503498"/>
    <s v="N/A"/>
    <s v="N/A"/>
    <s v="N/A"/>
    <s v="Nov"/>
    <n v="2025"/>
  </r>
  <r>
    <n v="347"/>
    <x v="9"/>
    <x v="28"/>
    <s v="Accrual"/>
    <x v="1"/>
    <m/>
    <s v="NAC Logistic"/>
    <s v="Heavy  equipment rental"/>
    <n v="132973.10907692308"/>
    <s v="N/A"/>
    <s v="N/A"/>
    <s v="N/A"/>
    <s v="Nov"/>
    <n v="2025"/>
  </r>
  <r>
    <n v="348"/>
    <x v="9"/>
    <x v="27"/>
    <s v="Accrual"/>
    <x v="1"/>
    <m/>
    <s v="NAC Logistic"/>
    <s v="Heavy  equipment rental"/>
    <n v="1686.3905174825175"/>
    <s v="N/A"/>
    <s v="N/A"/>
    <s v="N/A"/>
    <s v="Nov"/>
    <n v="2025"/>
  </r>
  <r>
    <n v="349"/>
    <x v="9"/>
    <x v="21"/>
    <s v="Accrual"/>
    <x v="1"/>
    <m/>
    <s v="Taqadm Albasrah"/>
    <s v="Heavy  equipment rental"/>
    <n v="4745.1209720279721"/>
    <s v="N/A"/>
    <s v="N/A"/>
    <s v="N/A"/>
    <s v="Nov"/>
    <n v="2025"/>
  </r>
  <r>
    <n v="350"/>
    <x v="9"/>
    <x v="22"/>
    <s v="Accrual"/>
    <x v="1"/>
    <m/>
    <s v="Taqadm Albasrah"/>
    <s v="Heavy  equipment rental"/>
    <n v="32504.679825174822"/>
    <s v="N/A"/>
    <s v="N/A"/>
    <s v="N/A"/>
    <s v="Nov"/>
    <n v="2025"/>
  </r>
  <r>
    <n v="351"/>
    <x v="9"/>
    <x v="23"/>
    <s v="Accrual"/>
    <x v="1"/>
    <m/>
    <s v="Taqadm Albasrah"/>
    <s v="Heavy  equipment rental"/>
    <n v="64413.304538461533"/>
    <s v="N/A"/>
    <s v="N/A"/>
    <s v="N/A"/>
    <s v="Nov"/>
    <n v="2025"/>
  </r>
  <r>
    <n v="352"/>
    <x v="9"/>
    <x v="24"/>
    <s v="Accrual"/>
    <x v="1"/>
    <m/>
    <s v="Taqadm Albasrah"/>
    <s v="Heavy  equipment rental"/>
    <n v="2054.8681818181817"/>
    <s v="N/A"/>
    <s v="N/A"/>
    <s v="N/A"/>
    <s v="Nov"/>
    <n v="2025"/>
  </r>
  <r>
    <n v="353"/>
    <x v="9"/>
    <x v="25"/>
    <s v="Accrual"/>
    <x v="1"/>
    <m/>
    <s v="Taqadm Albasrah"/>
    <s v="Heavy  equipment rental"/>
    <n v="15185.045643356643"/>
    <s v="N/A"/>
    <s v="N/A"/>
    <s v="N/A"/>
    <s v="Nov"/>
    <n v="2025"/>
  </r>
  <r>
    <n v="354"/>
    <x v="9"/>
    <x v="26"/>
    <s v="Accrual"/>
    <x v="1"/>
    <m/>
    <s v="Taqadm Albasrah"/>
    <s v="Heavy  equipment rental"/>
    <n v="25198.321636363635"/>
    <s v="N/A"/>
    <s v="N/A"/>
    <s v="N/A"/>
    <s v="Nov"/>
    <n v="2025"/>
  </r>
  <r>
    <n v="355"/>
    <x v="9"/>
    <x v="28"/>
    <s v="Accrual"/>
    <x v="1"/>
    <m/>
    <s v="Taqadm Albasrah"/>
    <s v="Heavy  equipment rental"/>
    <n v="82693.888944055943"/>
    <s v="N/A"/>
    <s v="N/A"/>
    <s v="N/A"/>
    <s v="Nov"/>
    <n v="2025"/>
  </r>
  <r>
    <n v="356"/>
    <x v="9"/>
    <x v="27"/>
    <s v="Accrual"/>
    <x v="1"/>
    <m/>
    <s v="Taqadm Albasrah"/>
    <s v="Heavy  equipment rental"/>
    <n v="605.1640699300699"/>
    <s v="N/A"/>
    <s v="N/A"/>
    <s v="N/A"/>
    <s v="Nov"/>
    <n v="2025"/>
  </r>
  <r>
    <n v="357"/>
    <x v="9"/>
    <x v="29"/>
    <s v="Accrual"/>
    <x v="1"/>
    <m/>
    <s v="Taqadm Albasrah"/>
    <s v="Heavy  equipment rental"/>
    <n v="17624.884223776226"/>
    <s v="N/A"/>
    <s v="N/A"/>
    <s v="N/A"/>
    <s v="Nov"/>
    <n v="2025"/>
  </r>
  <r>
    <n v="358"/>
    <x v="9"/>
    <x v="21"/>
    <s v="Accrual"/>
    <x v="1"/>
    <m/>
    <s v="NAC Logistic"/>
    <s v=" Light equipment rental"/>
    <n v="1958.041958041958"/>
    <s v="N/A"/>
    <s v="N/A"/>
    <s v="N/A"/>
    <s v="Nov"/>
    <n v="2025"/>
  </r>
  <r>
    <n v="359"/>
    <x v="9"/>
    <x v="22"/>
    <s v="Accrual"/>
    <x v="1"/>
    <m/>
    <s v="NAC Logistic"/>
    <s v=" Light equipment rental"/>
    <n v="2237.7622377622379"/>
    <s v="N/A"/>
    <s v="N/A"/>
    <s v="N/A"/>
    <s v="Nov"/>
    <n v="2025"/>
  </r>
  <r>
    <n v="360"/>
    <x v="9"/>
    <x v="23"/>
    <s v="Accrual"/>
    <x v="1"/>
    <m/>
    <s v="NAC Logistic"/>
    <s v=" Light equipment rental"/>
    <n v="5422.2701048951049"/>
    <s v="N/A"/>
    <s v="N/A"/>
    <s v="N/A"/>
    <s v="Nov"/>
    <n v="2025"/>
  </r>
  <r>
    <n v="361"/>
    <x v="9"/>
    <x v="25"/>
    <s v="Accrual"/>
    <x v="1"/>
    <m/>
    <s v="NAC Logistic"/>
    <s v=" Light equipment rental"/>
    <n v="3496.5034965034965"/>
    <s v="N/A"/>
    <s v="N/A"/>
    <s v="N/A"/>
    <s v="Nov"/>
    <n v="2025"/>
  </r>
  <r>
    <n v="362"/>
    <x v="9"/>
    <x v="26"/>
    <s v="Accrual"/>
    <x v="1"/>
    <m/>
    <s v="NAC Logistic"/>
    <s v=" Light equipment rental"/>
    <n v="2867.132867132867"/>
    <s v="N/A"/>
    <s v="N/A"/>
    <s v="N/A"/>
    <s v="Nov"/>
    <n v="2025"/>
  </r>
  <r>
    <n v="363"/>
    <x v="9"/>
    <x v="28"/>
    <s v="Accrual"/>
    <x v="1"/>
    <m/>
    <s v="NAC Logistic"/>
    <s v=" Light equipment rental"/>
    <n v="34508.00225174825"/>
    <s v="N/A"/>
    <s v="N/A"/>
    <s v="N/A"/>
    <s v="Nov"/>
    <n v="2025"/>
  </r>
  <r>
    <n v="364"/>
    <x v="9"/>
    <x v="27"/>
    <s v="Accrual"/>
    <x v="1"/>
    <m/>
    <s v="NAC Logistic"/>
    <s v=" Light equipment rental"/>
    <n v="2517.4825174825173"/>
    <s v="N/A"/>
    <s v="N/A"/>
    <s v="N/A"/>
    <s v="Nov"/>
    <n v="2025"/>
  </r>
  <r>
    <n v="365"/>
    <x v="9"/>
    <x v="21"/>
    <s v="Accrual"/>
    <x v="1"/>
    <m/>
    <s v="Taqadm Albasrah"/>
    <s v=" Light equipment rental"/>
    <n v="17872.980825174825"/>
    <s v="N/A"/>
    <s v="N/A"/>
    <s v="N/A"/>
    <s v="Nov"/>
    <n v="2025"/>
  </r>
  <r>
    <n v="366"/>
    <x v="9"/>
    <x v="22"/>
    <s v="Accrual"/>
    <x v="1"/>
    <m/>
    <s v="Taqadm Albasrah"/>
    <s v=" Light equipment rental"/>
    <n v="11687.936783216783"/>
    <s v="N/A"/>
    <s v="N/A"/>
    <s v="N/A"/>
    <s v="Nov"/>
    <n v="2025"/>
  </r>
  <r>
    <n v="367"/>
    <x v="9"/>
    <x v="23"/>
    <s v="Accrual"/>
    <x v="1"/>
    <m/>
    <s v="Taqadm Albasrah"/>
    <s v=" Light equipment rental"/>
    <n v="24424.53320979021"/>
    <s v="N/A"/>
    <s v="N/A"/>
    <s v="N/A"/>
    <s v="Nov"/>
    <n v="2025"/>
  </r>
  <r>
    <n v="368"/>
    <x v="9"/>
    <x v="24"/>
    <s v="Accrual"/>
    <x v="1"/>
    <m/>
    <s v="Taqadm Albasrah"/>
    <s v=" Light equipment rental"/>
    <n v="10792.540447552448"/>
    <s v="N/A"/>
    <s v="N/A"/>
    <s v="N/A"/>
    <s v="Nov"/>
    <n v="2025"/>
  </r>
  <r>
    <n v="369"/>
    <x v="9"/>
    <x v="25"/>
    <s v="Accrual"/>
    <x v="1"/>
    <m/>
    <s v="Taqadm Albasrah"/>
    <s v=" Light equipment rental"/>
    <n v="4708.6245594405591"/>
    <s v="N/A"/>
    <s v="N/A"/>
    <s v="N/A"/>
    <s v="Nov"/>
    <n v="2025"/>
  </r>
  <r>
    <n v="370"/>
    <x v="9"/>
    <x v="26"/>
    <s v="Accrual"/>
    <x v="1"/>
    <m/>
    <s v="Taqadm Albasrah"/>
    <s v=" Light equipment rental"/>
    <n v="17217.423818181818"/>
    <s v="N/A"/>
    <s v="N/A"/>
    <s v="N/A"/>
    <s v="Nov"/>
    <n v="2025"/>
  </r>
  <r>
    <n v="371"/>
    <x v="9"/>
    <x v="28"/>
    <s v="Accrual"/>
    <x v="1"/>
    <m/>
    <s v="Taqadm Albasrah"/>
    <s v=" Light equipment rental"/>
    <n v="21474.416664335662"/>
    <s v="N/A"/>
    <s v="N/A"/>
    <s v="N/A"/>
    <s v="Nov"/>
    <n v="2025"/>
  </r>
  <r>
    <n v="372"/>
    <x v="9"/>
    <x v="27"/>
    <s v="Accrual"/>
    <x v="1"/>
    <m/>
    <s v="Taqadm Albasrah"/>
    <s v=" Light equipment rental"/>
    <n v="3863.6362447552447"/>
    <s v="N/A"/>
    <s v="N/A"/>
    <s v="N/A"/>
    <s v="Nov"/>
    <n v="2025"/>
  </r>
  <r>
    <n v="373"/>
    <x v="9"/>
    <x v="29"/>
    <s v="Accrual"/>
    <x v="1"/>
    <m/>
    <s v="Taqadm Albasrah"/>
    <s v=" Light equipment rental"/>
    <n v="3712.121097902098"/>
    <s v="N/A"/>
    <s v="N/A"/>
    <s v="N/A"/>
    <s v="Nov"/>
    <n v="2025"/>
  </r>
  <r>
    <n v="374"/>
    <x v="9"/>
    <x v="29"/>
    <s v="Actual"/>
    <x v="8"/>
    <m/>
    <s v="Al-Zubair Gate"/>
    <s v="Guards"/>
    <n v="1398.6013986013986"/>
    <n v="2532"/>
    <d v="2025-11-30T00:00:00"/>
    <s v="N/A"/>
    <s v="Nov"/>
    <m/>
  </r>
  <r>
    <n v="375"/>
    <x v="9"/>
    <x v="29"/>
    <s v="Actual"/>
    <x v="8"/>
    <m/>
    <s v="LARSA Security"/>
    <s v="Guards"/>
    <n v="15000"/>
    <s v="INV-IGCC-QARINAT-25-11-269"/>
    <d v="2025-11-30T00:00:00"/>
    <s v="N/A"/>
    <s v="Nov"/>
    <m/>
  </r>
  <r>
    <n v="376"/>
    <x v="9"/>
    <x v="23"/>
    <s v="Actual"/>
    <x v="9"/>
    <m/>
    <s v="Al Ajdar For General Trading and General Purchasing Ltd"/>
    <s v="Lease &amp; Rent"/>
    <n v="5000"/>
    <s v="34-25"/>
    <d v="2025-12-01T00:00:00"/>
    <n v="2025404367"/>
    <s v="Nov"/>
    <n v="2025"/>
  </r>
  <r>
    <n v="377"/>
    <x v="9"/>
    <x v="22"/>
    <s v="Actual"/>
    <x v="3"/>
    <m/>
    <s v="AL MUSTAFA INDUSTRIAL IRON TRADING"/>
    <s v="Materials/IRON"/>
    <n v="8892.7999999999993"/>
    <s v="394"/>
    <d v="2025-11-05T00:00:00"/>
    <n v="2025403986"/>
    <s v="Nov"/>
    <n v="2025"/>
  </r>
  <r>
    <n v="378"/>
    <x v="9"/>
    <x v="22"/>
    <s v="Actual"/>
    <x v="3"/>
    <m/>
    <s v="AL MUSTAFA INDUSTRIAL IRON TRADING"/>
    <s v="Materials/IRON"/>
    <n v="61620"/>
    <s v="404"/>
    <d v="2025-11-10T00:00:00"/>
    <n v="2025404119"/>
    <s v="Nov"/>
    <n v="2025"/>
  </r>
  <r>
    <n v="379"/>
    <x v="9"/>
    <x v="21"/>
    <s v="Actual"/>
    <x v="3"/>
    <m/>
    <s v="Al-Ghadeer Print"/>
    <s v="Materials"/>
    <n v="1120"/>
    <s v="0364"/>
    <d v="2025-10-26T00:00:00"/>
    <n v="2025404123"/>
    <s v="Nov"/>
    <n v="2025"/>
  </r>
  <r>
    <n v="380"/>
    <x v="9"/>
    <x v="21"/>
    <s v="Actual"/>
    <x v="3"/>
    <m/>
    <s v="Al-Ghadeer Print"/>
    <s v="Materials"/>
    <n v="330.76923076923077"/>
    <s v="0380"/>
    <d v="2025-11-18T00:00:00"/>
    <n v="2025404396"/>
    <s v="Nov"/>
    <n v="2025"/>
  </r>
  <r>
    <n v="381"/>
    <x v="9"/>
    <x v="28"/>
    <s v="Actual"/>
    <x v="3"/>
    <m/>
    <s v="Al-Ghadeer Print"/>
    <s v="Materials"/>
    <n v="524.47552447552448"/>
    <s v="0370"/>
    <d v="2025-11-01T00:00:00"/>
    <n v="2025404059"/>
    <s v="Nov"/>
    <n v="2025"/>
  </r>
  <r>
    <n v="382"/>
    <x v="9"/>
    <x v="25"/>
    <s v="Actual"/>
    <x v="3"/>
    <m/>
    <s v="Al-Ghadeer Print"/>
    <s v="Materials"/>
    <n v="629.37062937062933"/>
    <s v="0372"/>
    <d v="2025-11-08T00:00:00"/>
    <n v="2025404133"/>
    <s v="Nov"/>
    <n v="2025"/>
  </r>
  <r>
    <n v="383"/>
    <x v="9"/>
    <x v="28"/>
    <s v="Actual"/>
    <x v="3"/>
    <m/>
    <s v="Al-Ghader Gallary"/>
    <s v="Materials"/>
    <n v="14195.804195804196"/>
    <s v="7042"/>
    <d v="2025-11-10T00:00:00"/>
    <n v="2025404191"/>
    <s v="Nov"/>
    <n v="2025"/>
  </r>
  <r>
    <n v="384"/>
    <x v="9"/>
    <x v="28"/>
    <s v="Actual"/>
    <x v="3"/>
    <m/>
    <s v="Al-Janaeen Al-Mualaka for Water"/>
    <s v="Materials/Water"/>
    <n v="4090.909090909091"/>
    <s v="2846"/>
    <d v="2025-10-29T00:00:00"/>
    <n v="2025403933"/>
    <s v="Nov"/>
    <n v="2025"/>
  </r>
  <r>
    <n v="385"/>
    <x v="9"/>
    <x v="28"/>
    <s v="Actual"/>
    <x v="3"/>
    <m/>
    <s v="Al-Janaeen Al-Mualaka for Water"/>
    <s v="Materials/Water"/>
    <n v="4090.909090909091"/>
    <s v="3025"/>
    <d v="2025-11-23T00:00:00"/>
    <n v="2025404311"/>
    <s v="Nov"/>
    <n v="2025"/>
  </r>
  <r>
    <n v="386"/>
    <x v="9"/>
    <x v="26"/>
    <s v="Actual"/>
    <x v="3"/>
    <m/>
    <s v="Al-Karar Gallery for Wood &amp; MDF"/>
    <s v="Materials/Wood"/>
    <n v="2097.9020979020979"/>
    <s v="0841"/>
    <d v="2025-11-02T00:00:00"/>
    <n v="2025404122"/>
    <s v="Nov"/>
    <n v="2025"/>
  </r>
  <r>
    <n v="387"/>
    <x v="9"/>
    <x v="26"/>
    <s v="Actual"/>
    <x v="3"/>
    <m/>
    <s v="Almujtaba company"/>
    <s v="Materials/Scaffolding"/>
    <n v="8000"/>
    <s v="10053"/>
    <d v="2025-11-08T00:00:00"/>
    <n v="2025402864"/>
    <s v="Nov"/>
    <n v="2025"/>
  </r>
  <r>
    <n v="388"/>
    <x v="9"/>
    <x v="25"/>
    <s v="Actual"/>
    <x v="3"/>
    <m/>
    <s v="AL-Wajeeh Company"/>
    <s v="Materials"/>
    <n v="1488.3"/>
    <s v="17305"/>
    <d v="2025-10-27T00:00:00"/>
    <n v="2025403876"/>
    <s v="Nov"/>
    <n v="2025"/>
  </r>
  <r>
    <n v="389"/>
    <x v="9"/>
    <x v="28"/>
    <s v="Actual"/>
    <x v="3"/>
    <m/>
    <s v="AL-Wajeeh Company"/>
    <s v="Materials"/>
    <n v="836.61"/>
    <s v="17338-1"/>
    <d v="2025-11-18T00:00:00"/>
    <n v="2025404221"/>
    <s v="Nov"/>
    <n v="2025"/>
  </r>
  <r>
    <n v="390"/>
    <x v="9"/>
    <x v="28"/>
    <s v="Actual"/>
    <x v="3"/>
    <m/>
    <s v="AL-Wajeeh Company"/>
    <s v="Materials"/>
    <n v="832.84"/>
    <s v="17327"/>
    <d v="2025-11-18T00:00:00"/>
    <n v="2025404105"/>
    <s v="Nov"/>
    <n v="2025"/>
  </r>
  <r>
    <n v="391"/>
    <x v="9"/>
    <x v="25"/>
    <s v="Actual"/>
    <x v="3"/>
    <m/>
    <s v="AL-Wajeeh Company"/>
    <s v="Materials"/>
    <n v="240.62"/>
    <s v="17362"/>
    <d v="2025-11-18T00:00:00"/>
    <n v="2025404225"/>
    <s v="Nov"/>
    <n v="2025"/>
  </r>
  <r>
    <n v="392"/>
    <x v="9"/>
    <x v="26"/>
    <s v="Actual"/>
    <x v="3"/>
    <m/>
    <s v="AL-Wajeeh Company"/>
    <s v="Materials"/>
    <n v="333.3"/>
    <s v="17376"/>
    <d v="2025-11-29T00:00:00"/>
    <n v="2025404343"/>
    <s v="Nov"/>
    <n v="2025"/>
  </r>
  <r>
    <n v="393"/>
    <x v="9"/>
    <x v="25"/>
    <s v="Actual"/>
    <x v="3"/>
    <m/>
    <s v="AL-Wajeeh Company"/>
    <s v="Materials"/>
    <n v="61.67"/>
    <s v="17377"/>
    <d v="2025-11-30T00:00:00"/>
    <n v="2025404331"/>
    <s v="Nov"/>
    <n v="2025"/>
  </r>
  <r>
    <n v="394"/>
    <x v="9"/>
    <x v="31"/>
    <s v="Actual"/>
    <x v="3"/>
    <m/>
    <s v="AL-Wajeeh Company"/>
    <s v="Materials"/>
    <n v="689.22"/>
    <s v="17315"/>
    <d v="2025-11-02T00:00:00"/>
    <n v="2025403952"/>
    <s v="Nov"/>
    <n v="2025"/>
  </r>
  <r>
    <n v="395"/>
    <x v="9"/>
    <x v="28"/>
    <s v="Actual"/>
    <x v="3"/>
    <m/>
    <s v="Ataa Al Khalid Co."/>
    <s v="Materials"/>
    <n v="452.79720279720277"/>
    <s v="INV0001084"/>
    <d v="2025-11-18T00:00:00"/>
    <n v="2025404091"/>
    <s v="Nov"/>
    <n v="2025"/>
  </r>
  <r>
    <n v="396"/>
    <x v="9"/>
    <x v="25"/>
    <s v="Actual"/>
    <x v="3"/>
    <m/>
    <s v="BLUE LINE"/>
    <s v="Materials"/>
    <n v="60"/>
    <s v="6571"/>
    <d v="2025-11-05T00:00:00"/>
    <n v="2025404219"/>
    <s v="Nov"/>
    <n v="2025"/>
  </r>
  <r>
    <n v="397"/>
    <x v="9"/>
    <x v="28"/>
    <s v="Actual"/>
    <x v="3"/>
    <m/>
    <s v="BLUE LINE"/>
    <s v="Materials"/>
    <n v="62.31"/>
    <s v="6539"/>
    <d v="2025-10-28T00:00:00"/>
    <n v="2025404316"/>
    <s v="Nov"/>
    <n v="2025"/>
  </r>
  <r>
    <n v="398"/>
    <x v="9"/>
    <x v="26"/>
    <s v="Actual"/>
    <x v="3"/>
    <m/>
    <s v="BLUE LINE"/>
    <s v="Materials"/>
    <n v="2211"/>
    <s v="6559"/>
    <d v="2025-10-28T00:00:00"/>
    <n v="2025403993"/>
    <s v="Nov"/>
    <n v="2025"/>
  </r>
  <r>
    <n v="399"/>
    <x v="9"/>
    <x v="24"/>
    <s v="Actual"/>
    <x v="3"/>
    <m/>
    <s v="Exibitition Engineering Control"/>
    <s v="Materials"/>
    <n v="7160.8391608391612"/>
    <s v="01140"/>
    <d v="2025-11-04T00:00:00"/>
    <n v="2025404057"/>
    <s v="Nov"/>
    <n v="2025"/>
  </r>
  <r>
    <n v="400"/>
    <x v="9"/>
    <x v="28"/>
    <s v="Actual"/>
    <x v="3"/>
    <m/>
    <s v="Mohammed Abdulraheem Office"/>
    <s v="Materials"/>
    <n v="9300.6993006993016"/>
    <s v="000222"/>
    <d v="2025-11-03T00:00:00"/>
    <n v="2025404090"/>
    <s v="Nov"/>
    <n v="2025"/>
  </r>
  <r>
    <n v="401"/>
    <x v="9"/>
    <x v="23"/>
    <s v="Actual"/>
    <x v="3"/>
    <m/>
    <s v="Remz AL-Kafaa For General Trading"/>
    <s v="Materials"/>
    <n v="1200"/>
    <s v="0770"/>
    <d v="2025-11-17T00:00:00"/>
    <n v="2025404272"/>
    <s v="Nov"/>
    <n v="2025"/>
  </r>
  <r>
    <n v="402"/>
    <x v="9"/>
    <x v="24"/>
    <s v="Actual"/>
    <x v="3"/>
    <m/>
    <s v="Sahba Technnnology"/>
    <s v="Materials"/>
    <n v="839.16083916083915"/>
    <s v="7906"/>
    <d v="2025-11-20T00:00:00"/>
    <n v="2025404255"/>
    <s v="Nov"/>
    <n v="2025"/>
  </r>
  <r>
    <n v="403"/>
    <x v="9"/>
    <x v="26"/>
    <s v="Actual"/>
    <x v="3"/>
    <m/>
    <s v="Sahba Technnnology"/>
    <s v="Materials"/>
    <n v="1084.6153846153845"/>
    <s v="7917"/>
    <d v="2025-11-22T00:00:00"/>
    <n v="2025404300"/>
    <s v="Nov"/>
    <n v="2025"/>
  </r>
  <r>
    <n v="404"/>
    <x v="9"/>
    <x v="25"/>
    <s v="Actual"/>
    <x v="3"/>
    <m/>
    <s v="ZUMZUM ALFAYHAA INSAAT"/>
    <s v="Materials"/>
    <n v="107.5"/>
    <s v="12054"/>
    <d v="2025-11-08T00:00:00"/>
    <n v="2025404007"/>
    <s v="Nov"/>
    <n v="2025"/>
  </r>
  <r>
    <n v="405"/>
    <x v="9"/>
    <x v="26"/>
    <s v="Actual"/>
    <x v="3"/>
    <m/>
    <s v="ZUMZUM ALFAYHAA INSAAT"/>
    <s v="Materials"/>
    <n v="560"/>
    <s v="12042"/>
    <d v="2025-11-08T00:00:00"/>
    <n v="2025403995"/>
    <s v="Nov"/>
    <n v="2025"/>
  </r>
  <r>
    <n v="406"/>
    <x v="9"/>
    <x v="22"/>
    <s v="Actual"/>
    <x v="3"/>
    <m/>
    <s v="ZUMZUM ALFAYHAA INSAAT"/>
    <s v="Materials"/>
    <n v="113"/>
    <s v="12070"/>
    <d v="2025-11-08T00:00:00"/>
    <n v="2025404033"/>
    <s v="Nov"/>
    <n v="2025"/>
  </r>
  <r>
    <n v="407"/>
    <x v="9"/>
    <x v="27"/>
    <s v="Actual"/>
    <x v="3"/>
    <m/>
    <s v="ZUMZUM ALFAYHAA INSAAT"/>
    <s v="Materials"/>
    <n v="104"/>
    <s v="12038"/>
    <d v="2025-11-08T00:00:00"/>
    <n v="2025403997"/>
    <s v="Nov"/>
    <n v="2025"/>
  </r>
  <r>
    <n v="408"/>
    <x v="9"/>
    <x v="28"/>
    <s v="Actual"/>
    <x v="3"/>
    <m/>
    <s v="ZUMZUM ALFAYHAA INSAAT"/>
    <s v="Materials"/>
    <n v="700"/>
    <s v="12044"/>
    <d v="2025-11-08T00:00:00"/>
    <n v="2025403991"/>
    <s v="Nov"/>
    <n v="2025"/>
  </r>
  <r>
    <n v="409"/>
    <x v="9"/>
    <x v="27"/>
    <s v="Actual"/>
    <x v="3"/>
    <m/>
    <s v="ZUMZUM ALFAYHAA INSAAT"/>
    <s v="Materials"/>
    <n v="702"/>
    <s v="11970"/>
    <d v="2025-11-04T00:00:00"/>
    <n v="2025403948"/>
    <s v="Nov"/>
    <n v="2025"/>
  </r>
  <r>
    <n v="410"/>
    <x v="9"/>
    <x v="23"/>
    <s v="Actual"/>
    <x v="3"/>
    <m/>
    <s v="ZUMZUM ALFAYHAA INSAAT"/>
    <s v="Materials"/>
    <n v="130"/>
    <s v="12026"/>
    <d v="2025-11-09T00:00:00"/>
    <n v="2025403980"/>
    <s v="Nov"/>
    <n v="2025"/>
  </r>
  <r>
    <n v="411"/>
    <x v="9"/>
    <x v="28"/>
    <s v="Actual"/>
    <x v="3"/>
    <m/>
    <s v="ZUMZUM ALFAYHAA INSAAT"/>
    <s v="Materials"/>
    <n v="1856.2"/>
    <s v="12066"/>
    <d v="2025-11-10T00:00:00"/>
    <n v="2025404022"/>
    <s v="Nov"/>
    <n v="2025"/>
  </r>
  <r>
    <n v="412"/>
    <x v="9"/>
    <x v="23"/>
    <s v="Actual"/>
    <x v="3"/>
    <m/>
    <s v="ZUMZUM ALFAYHAA INSAAT"/>
    <s v="Materials"/>
    <n v="50"/>
    <s v="12142"/>
    <d v="2025-11-15T00:00:00"/>
    <n v="2025404121"/>
    <s v="Nov"/>
    <n v="2025"/>
  </r>
  <r>
    <n v="413"/>
    <x v="9"/>
    <x v="26"/>
    <s v="Actual"/>
    <x v="3"/>
    <m/>
    <s v="ZUMZUM ALFAYHAA INSAAT"/>
    <s v="Materials"/>
    <n v="2133.1999999999998"/>
    <s v="12158"/>
    <d v="2025-11-15T00:00:00"/>
    <n v="2025404152"/>
    <s v="Nov"/>
    <n v="2025"/>
  </r>
  <r>
    <n v="414"/>
    <x v="9"/>
    <x v="28"/>
    <s v="Actual"/>
    <x v="3"/>
    <m/>
    <s v="ZUMZUM ALFAYHAA INSAAT"/>
    <s v="Materials"/>
    <n v="795"/>
    <s v="12160"/>
    <d v="2025-11-15T00:00:00"/>
    <n v="2025404153"/>
    <s v="Nov"/>
    <n v="2025"/>
  </r>
  <r>
    <n v="415"/>
    <x v="9"/>
    <x v="26"/>
    <s v="Actual"/>
    <x v="3"/>
    <m/>
    <s v="ZUMZUM ALFAYHAA INSAAT"/>
    <s v="Materials"/>
    <n v="75"/>
    <s v="12150"/>
    <d v="2025-11-15T00:00:00"/>
    <n v="2025404124"/>
    <s v="Nov"/>
    <n v="2025"/>
  </r>
  <r>
    <n v="416"/>
    <x v="9"/>
    <x v="28"/>
    <s v="Actual"/>
    <x v="3"/>
    <m/>
    <s v="ZUMZUM ALFAYHAA INSAAT"/>
    <s v="Materials"/>
    <n v="620"/>
    <s v="12112"/>
    <d v="2025-11-15T00:00:00"/>
    <n v="2025404078"/>
    <s v="Nov"/>
    <n v="2025"/>
  </r>
  <r>
    <n v="417"/>
    <x v="9"/>
    <x v="23"/>
    <s v="Actual"/>
    <x v="3"/>
    <m/>
    <s v="ZUMZUM ALFAYHAA INSAAT"/>
    <s v="Materials"/>
    <n v="830"/>
    <s v="12188"/>
    <d v="2025-11-15T00:00:00"/>
    <n v="2025404172"/>
    <s v="Nov"/>
    <n v="2025"/>
  </r>
  <r>
    <n v="418"/>
    <x v="9"/>
    <x v="29"/>
    <s v="Actual"/>
    <x v="3"/>
    <m/>
    <s v="ZUMZUM ALFAYHAA INSAAT"/>
    <s v="Materials"/>
    <n v="130"/>
    <s v="12164"/>
    <d v="2025-11-15T00:00:00"/>
    <n v="2025404136"/>
    <s v="Nov"/>
    <n v="2025"/>
  </r>
  <r>
    <n v="419"/>
    <x v="9"/>
    <x v="28"/>
    <s v="Actual"/>
    <x v="3"/>
    <m/>
    <s v="ZUMZUM ALFAYHAA INSAAT"/>
    <s v="Materials"/>
    <n v="226"/>
    <s v="12194"/>
    <d v="2025-11-15T00:00:00"/>
    <n v="2025404166"/>
    <s v="Nov"/>
    <n v="2025"/>
  </r>
  <r>
    <n v="420"/>
    <x v="9"/>
    <x v="25"/>
    <s v="Actual"/>
    <x v="3"/>
    <m/>
    <s v="ZUMZUM ALFAYHAA INSAAT"/>
    <s v="Materials"/>
    <n v="600"/>
    <s v="12216"/>
    <d v="2025-11-18T00:00:00"/>
    <n v="2025404183"/>
    <s v="Nov"/>
    <n v="2025"/>
  </r>
  <r>
    <n v="421"/>
    <x v="9"/>
    <x v="21"/>
    <s v="Actual"/>
    <x v="3"/>
    <m/>
    <s v="ZUMZUM ALFAYHAA INSAAT"/>
    <s v="Materials"/>
    <n v="796.5"/>
    <s v="12192"/>
    <d v="2025-11-18T00:00:00"/>
    <n v="2025404159"/>
    <s v="Nov"/>
    <n v="2025"/>
  </r>
  <r>
    <n v="422"/>
    <x v="9"/>
    <x v="28"/>
    <s v="Actual"/>
    <x v="3"/>
    <m/>
    <s v="ZUMZUM ALFAYHAA INSAAT"/>
    <s v="Materials"/>
    <n v="1250"/>
    <s v="12116"/>
    <d v="2025-11-19T00:00:00"/>
    <n v="2025404069"/>
    <s v="Nov"/>
    <n v="2025"/>
  </r>
  <r>
    <n v="423"/>
    <x v="9"/>
    <x v="26"/>
    <s v="Actual"/>
    <x v="3"/>
    <m/>
    <s v="ZUMZUM ALFAYHAA INSAAT"/>
    <s v="Materials"/>
    <n v="640"/>
    <s v="12310"/>
    <d v="2025-11-24T00:00:00"/>
    <n v="2025404252"/>
    <s v="Nov"/>
    <n v="2025"/>
  </r>
  <r>
    <n v="424"/>
    <x v="9"/>
    <x v="28"/>
    <s v="Actual"/>
    <x v="3"/>
    <m/>
    <s v="ZUMZUM ALFAYHAA INSAAT"/>
    <s v="Materials"/>
    <n v="67.5"/>
    <s v="12290"/>
    <d v="2025-11-24T00:00:00"/>
    <n v="2025404235"/>
    <s v="Nov"/>
    <n v="2025"/>
  </r>
  <r>
    <n v="425"/>
    <x v="9"/>
    <x v="28"/>
    <s v="Actual"/>
    <x v="3"/>
    <m/>
    <s v="ZUMZUM ALFAYHAA INSAAT"/>
    <s v="Materials"/>
    <n v="519"/>
    <s v="12294"/>
    <d v="2025-11-24T00:00:00"/>
    <n v="2025404233"/>
    <s v="Nov"/>
    <n v="2025"/>
  </r>
  <r>
    <n v="426"/>
    <x v="9"/>
    <x v="28"/>
    <s v="Actual"/>
    <x v="3"/>
    <m/>
    <s v="ZUMZUM ALFAYHAA INSAAT"/>
    <s v="Materials"/>
    <n v="184.5"/>
    <s v="12288"/>
    <d v="2025-11-24T00:00:00"/>
    <n v="2025404236"/>
    <s v="Nov"/>
    <n v="2025"/>
  </r>
  <r>
    <n v="427"/>
    <x v="9"/>
    <x v="28"/>
    <s v="Actual"/>
    <x v="3"/>
    <m/>
    <s v="ZUMZUM ALFAYHAA INSAAT"/>
    <s v="Materials"/>
    <n v="1549.33"/>
    <s v="12298"/>
    <d v="2025-11-24T00:00:00"/>
    <n v="2025404232"/>
    <s v="Nov"/>
    <n v="2025"/>
  </r>
  <r>
    <n v="428"/>
    <x v="9"/>
    <x v="26"/>
    <s v="Actual"/>
    <x v="3"/>
    <m/>
    <s v="ZUMZUM ALFAYHAA INSAAT"/>
    <s v="Materials"/>
    <n v="498"/>
    <s v="12296"/>
    <d v="2025-11-24T00:00:00"/>
    <n v="2025404230"/>
    <s v="Nov"/>
    <n v="2025"/>
  </r>
  <r>
    <n v="429"/>
    <x v="9"/>
    <x v="28"/>
    <s v="Actual"/>
    <x v="3"/>
    <m/>
    <s v="ZUMZUM ALFAYHAA INSAAT"/>
    <s v="Materials"/>
    <n v="400"/>
    <s v="12264"/>
    <d v="2025-11-24T00:00:00"/>
    <n v="2025404100"/>
    <s v="Nov"/>
    <n v="2025"/>
  </r>
  <r>
    <n v="430"/>
    <x v="9"/>
    <x v="28"/>
    <s v="Actual"/>
    <x v="3"/>
    <m/>
    <s v="ZUMZUM ALFAYHAA INSAAT"/>
    <s v="Materials"/>
    <n v="1120"/>
    <s v="12272"/>
    <d v="2025-11-24T00:00:00"/>
    <n v="2025404104"/>
    <s v="Nov"/>
    <n v="2025"/>
  </r>
  <r>
    <n v="431"/>
    <x v="9"/>
    <x v="26"/>
    <s v="Actual"/>
    <x v="3"/>
    <m/>
    <s v="ZUMZUM ALFAYHAA INSAAT"/>
    <s v="Materials"/>
    <n v="697.4"/>
    <s v="12120"/>
    <d v="2025-11-24T00:00:00"/>
    <n v="2025404092"/>
    <s v="Nov"/>
    <n v="2025"/>
  </r>
  <r>
    <n v="432"/>
    <x v="9"/>
    <x v="26"/>
    <s v="Actual"/>
    <x v="3"/>
    <m/>
    <s v="ZUMZUM ALFAYHAA INSAAT"/>
    <s v="Materials"/>
    <n v="942"/>
    <s v="12308"/>
    <d v="2025-11-26T00:00:00"/>
    <n v="2025404254"/>
    <s v="Nov"/>
    <n v="2025"/>
  </r>
  <r>
    <n v="433"/>
    <x v="9"/>
    <x v="23"/>
    <s v="Actual"/>
    <x v="3"/>
    <m/>
    <s v="ZUMZUM ALFAYHAA INSAAT"/>
    <s v="Materials"/>
    <n v="1870"/>
    <s v="12322"/>
    <d v="2025-11-26T00:00:00"/>
    <n v="2025404268"/>
    <s v="Nov"/>
    <n v="2025"/>
  </r>
  <r>
    <n v="434"/>
    <x v="9"/>
    <x v="28"/>
    <s v="Actual"/>
    <x v="3"/>
    <m/>
    <s v="ZUMZUM ALFAYHAA INSAAT"/>
    <s v="Materials"/>
    <n v="2439.1999999999998"/>
    <s v="12356"/>
    <d v="2025-11-30T00:00:00"/>
    <n v="2025404313"/>
    <s v="Nov"/>
    <n v="2025"/>
  </r>
  <r>
    <n v="435"/>
    <x v="9"/>
    <x v="28"/>
    <s v="Actual"/>
    <x v="3"/>
    <m/>
    <s v="ZUMZUM ALFAYHAA INSAAT"/>
    <s v="Materials"/>
    <n v="300"/>
    <s v="12360"/>
    <d v="2025-11-29T00:00:00"/>
    <n v="2025404309"/>
    <s v="Nov"/>
    <n v="2025"/>
  </r>
  <r>
    <n v="436"/>
    <x v="9"/>
    <x v="23"/>
    <s v="Actual"/>
    <x v="3"/>
    <m/>
    <s v="ZUMZUM ALFAYHAA INSAAT"/>
    <s v="Materials"/>
    <n v="2565.3000000000002"/>
    <s v="12354"/>
    <d v="2025-11-30T00:00:00"/>
    <n v="2025404310"/>
    <s v="Nov"/>
    <n v="2025"/>
  </r>
  <r>
    <n v="437"/>
    <x v="9"/>
    <x v="21"/>
    <s v="Actual"/>
    <x v="3"/>
    <m/>
    <s v="ZUMZUM ALFAYHAA INSAAT"/>
    <s v="Materials"/>
    <n v="1169.9000000000001"/>
    <s v="12050"/>
    <d v="2025-11-19T00:00:00"/>
    <n v="2025404011"/>
    <s v="Nov"/>
    <n v="2025"/>
  </r>
  <r>
    <n v="438"/>
    <x v="9"/>
    <x v="21"/>
    <s v="Actual"/>
    <x v="3"/>
    <m/>
    <s v="ZUMZUM ALFAYHAA INSAAT"/>
    <s v="Materials"/>
    <n v="1405.5"/>
    <s v="12166"/>
    <d v="2025-11-15T00:00:00"/>
    <n v="2025404134"/>
    <s v="Nov"/>
    <n v="2025"/>
  </r>
  <r>
    <n v="439"/>
    <x v="9"/>
    <x v="23"/>
    <s v="Accrual"/>
    <x v="10"/>
    <m/>
    <s v="Border Transportaion / Al Hodod"/>
    <s v="Hydrovac"/>
    <n v="35619.230769230766"/>
    <s v="N/A"/>
    <s v="N/A"/>
    <s v="N/A"/>
    <s v="Nov"/>
    <n v="2025"/>
  </r>
  <r>
    <n v="440"/>
    <x v="9"/>
    <x v="25"/>
    <s v="Accrual"/>
    <x v="10"/>
    <m/>
    <s v="Border Transportaion / Al Hodod"/>
    <s v="Hydrovac"/>
    <n v="67027.594405594413"/>
    <s v="N/A"/>
    <s v="N/A"/>
    <s v="N/A"/>
    <s v="Nov"/>
    <n v="2025"/>
  </r>
  <r>
    <n v="441"/>
    <x v="9"/>
    <x v="21"/>
    <s v="Accrual"/>
    <x v="10"/>
    <m/>
    <s v="Border Transportaion / Al Hodod"/>
    <s v="Hydrovac"/>
    <n v="10673.496503496504"/>
    <s v="N/A"/>
    <s v="N/A"/>
    <s v="N/A"/>
    <s v="Nov"/>
    <n v="2025"/>
  </r>
  <r>
    <n v="442"/>
    <x v="9"/>
    <x v="27"/>
    <s v="Accrual"/>
    <x v="10"/>
    <m/>
    <s v="Border Transportaion / Al Hodod"/>
    <s v="Hydrovac"/>
    <n v="1019.5804195804196"/>
    <s v="N/A"/>
    <s v="N/A"/>
    <s v="N/A"/>
    <s v="Nov"/>
    <n v="2025"/>
  </r>
  <r>
    <n v="443"/>
    <x v="9"/>
    <x v="22"/>
    <s v="Accrual"/>
    <x v="10"/>
    <m/>
    <s v="Border Transportaion / Al Hodod"/>
    <s v="Hydrovac"/>
    <n v="2039.1608391608393"/>
    <s v="N/A"/>
    <s v="N/A"/>
    <s v="N/A"/>
    <s v="Nov"/>
    <n v="2025"/>
  </r>
  <r>
    <n v="444"/>
    <x v="9"/>
    <x v="26"/>
    <s v="Accrual"/>
    <x v="10"/>
    <m/>
    <s v="Border Transportaion / Al Hodod"/>
    <s v="Hydrovac"/>
    <n v="1359.4405594405594"/>
    <s v="N/A"/>
    <s v="N/A"/>
    <s v="N/A"/>
    <s v="Nov"/>
    <n v="2025"/>
  </r>
  <r>
    <n v="445"/>
    <x v="9"/>
    <x v="26"/>
    <s v="Actual"/>
    <x v="10"/>
    <m/>
    <s v="NAYA Co"/>
    <s v="Testing/Calibration"/>
    <n v="600"/>
    <s v="TR25-11357"/>
    <d v="2025-11-01T00:00:00"/>
    <n v="2025403971"/>
    <s v="Nov"/>
    <n v="2025"/>
  </r>
  <r>
    <n v="446"/>
    <x v="9"/>
    <x v="28"/>
    <s v="Actual"/>
    <x v="10"/>
    <m/>
    <s v="Enjaz For Training, Testing, Calibation &amp; Enginnering Services"/>
    <s v="Testing/Calibration"/>
    <n v="540"/>
    <s v="EN253283"/>
    <d v="2025-11-15T00:00:00"/>
    <n v="2025404207"/>
    <s v="Nov"/>
    <n v="2025"/>
  </r>
  <r>
    <n v="447"/>
    <x v="9"/>
    <x v="25"/>
    <s v="Actual"/>
    <x v="10"/>
    <m/>
    <s v="GAMMA PETROLEUM SERVICES"/>
    <s v="Testing/Calibration"/>
    <n v="780"/>
    <s v="20251115"/>
    <d v="2025-11-15T00:00:00"/>
    <n v="2025404199"/>
    <s v="Nov"/>
    <n v="2025"/>
  </r>
  <r>
    <n v="448"/>
    <x v="9"/>
    <x v="27"/>
    <s v="Actual"/>
    <x v="10"/>
    <m/>
    <s v="DMC FOR PETROLEUM SERVICES &amp; CONTRACTING"/>
    <s v="Testing/Calibration"/>
    <n v="34.965034965034967"/>
    <s v="DMC-INV-25-0009"/>
    <d v="2025-10-29T00:00:00"/>
    <n v="2025404241"/>
    <s v="Nov"/>
    <n v="2025"/>
  </r>
  <r>
    <n v="449"/>
    <x v="9"/>
    <x v="28"/>
    <s v="Actual"/>
    <x v="10"/>
    <m/>
    <s v="Tiqaneyat Al-Taqaddum Co. (ATC)"/>
    <s v="Testing/Calibration"/>
    <n v="590.90909090909088"/>
    <s v="ACC-SINV-2025-02466"/>
    <d v="2025-11-23T00:00:00"/>
    <n v="2025404344"/>
    <s v="Nov"/>
    <n v="2025"/>
  </r>
  <r>
    <n v="450"/>
    <x v="9"/>
    <x v="22"/>
    <s v="Actual"/>
    <x v="10"/>
    <m/>
    <s v="AL JUTHOOR WORKSHOP"/>
    <s v="Testing/Calibration"/>
    <n v="4055.9440559440559"/>
    <s v="000665"/>
    <d v="2025-10-28T00:00:00"/>
    <n v="2025404068"/>
    <s v="Nov"/>
    <n v="2025"/>
  </r>
  <r>
    <n v="451"/>
    <x v="9"/>
    <x v="23"/>
    <s v="Actual"/>
    <x v="10"/>
    <m/>
    <s v="Al Khaleej Company"/>
    <s v="Testing/Calibration"/>
    <n v="5513.9860139860139"/>
    <s v="005025"/>
    <d v="2025-10-28T00:00:00"/>
    <n v="2025404209"/>
    <s v="Nov"/>
    <n v="2025"/>
  </r>
  <r>
    <n v="452"/>
    <x v="9"/>
    <x v="26"/>
    <s v="Accrual"/>
    <x v="4"/>
    <m/>
    <s v="Taqadm Albasrah"/>
    <s v="labourers"/>
    <n v="981.81818181818187"/>
    <s v="N/A"/>
    <s v="N/A"/>
    <s v="N/A"/>
    <s v="Nov"/>
    <n v="2025"/>
  </r>
  <r>
    <n v="453"/>
    <x v="9"/>
    <x v="31"/>
    <s v="Accrual"/>
    <x v="4"/>
    <m/>
    <s v="Burj Al Rafidain Hamza"/>
    <s v="Third party Manpower"/>
    <n v="513.30054388470126"/>
    <s v="N/A"/>
    <s v="N/A"/>
    <s v="N/A"/>
    <s v="Nov"/>
    <n v="2025"/>
  </r>
  <r>
    <n v="454"/>
    <x v="9"/>
    <x v="21"/>
    <s v="Accrual"/>
    <x v="4"/>
    <m/>
    <s v="Burj Al Rafidain Hamza"/>
    <s v="Third party Manpower"/>
    <n v="45940.398677680765"/>
    <s v="N/A"/>
    <s v="N/A"/>
    <s v="N/A"/>
    <s v="Nov"/>
    <n v="2025"/>
  </r>
  <r>
    <n v="455"/>
    <x v="9"/>
    <x v="22"/>
    <s v="Accrual"/>
    <x v="4"/>
    <m/>
    <s v="Burj Al Rafidain Hamza"/>
    <s v="Third party Manpower"/>
    <n v="3849.7540791352594"/>
    <s v="N/A"/>
    <s v="N/A"/>
    <s v="N/A"/>
    <s v="Nov"/>
    <n v="2025"/>
  </r>
  <r>
    <n v="456"/>
    <x v="9"/>
    <x v="23"/>
    <s v="Accrual"/>
    <x v="4"/>
    <m/>
    <s v="Burj Al Rafidain Hamza"/>
    <s v="Third party Manpower"/>
    <n v="30220.569521211786"/>
    <s v="N/A"/>
    <s v="N/A"/>
    <s v="N/A"/>
    <s v="Nov"/>
    <n v="2025"/>
  </r>
  <r>
    <n v="457"/>
    <x v="9"/>
    <x v="24"/>
    <s v="Accrual"/>
    <x v="4"/>
    <m/>
    <s v="Burj Al Rafidain Hamza"/>
    <s v="Third party Manpower"/>
    <n v="83347.175813278373"/>
    <s v="N/A"/>
    <s v="N/A"/>
    <s v="N/A"/>
    <s v="Nov"/>
    <n v="2025"/>
  </r>
  <r>
    <n v="458"/>
    <x v="9"/>
    <x v="25"/>
    <s v="Accrual"/>
    <x v="4"/>
    <m/>
    <s v="Burj Al Rafidain Hamza"/>
    <s v="Third party Manpower"/>
    <n v="24895.076378408012"/>
    <s v="N/A"/>
    <s v="N/A"/>
    <s v="N/A"/>
    <s v="Nov"/>
    <n v="2025"/>
  </r>
  <r>
    <n v="459"/>
    <x v="9"/>
    <x v="27"/>
    <s v="Accrual"/>
    <x v="4"/>
    <m/>
    <s v="Burj Al Rafidain Hamza"/>
    <s v="Third party Manpower"/>
    <n v="17837.19389999337"/>
    <s v="N/A"/>
    <s v="N/A"/>
    <s v="N/A"/>
    <s v="Nov"/>
    <n v="2025"/>
  </r>
  <r>
    <n v="460"/>
    <x v="9"/>
    <x v="28"/>
    <s v="Accrual"/>
    <x v="4"/>
    <m/>
    <s v="Burj Al Rafidain Hamza"/>
    <s v="Third party Manpower"/>
    <n v="100286.0937614735"/>
    <s v="N/A"/>
    <s v="N/A"/>
    <s v="N/A"/>
    <s v="Nov"/>
    <n v="2025"/>
  </r>
  <r>
    <n v="461"/>
    <x v="9"/>
    <x v="29"/>
    <s v="Accrual"/>
    <x v="4"/>
    <m/>
    <s v="Burj Al Rafidain Hamza"/>
    <s v="Third party Manpower"/>
    <n v="64.162567985587657"/>
    <s v="N/A"/>
    <s v="N/A"/>
    <s v="N/A"/>
    <s v="Nov"/>
    <n v="2025"/>
  </r>
  <r>
    <n v="462"/>
    <x v="9"/>
    <x v="26"/>
    <s v="Accrual"/>
    <x v="4"/>
    <m/>
    <s v="Burj Al Rafidain Hamza"/>
    <s v="Third party Manpower"/>
    <n v="17708.868764022194"/>
    <s v="N/A"/>
    <s v="N/A"/>
    <s v="N/A"/>
    <s v="Nov"/>
    <n v="2025"/>
  </r>
  <r>
    <n v="463"/>
    <x v="9"/>
    <x v="29"/>
    <s v="Actual"/>
    <x v="4"/>
    <m/>
    <s v="Al-Zubair Gate"/>
    <s v="labourers"/>
    <n v="4895.1048951048951"/>
    <s v="N/A"/>
    <s v="N/A"/>
    <s v="N/A"/>
    <s v="Nov"/>
    <n v="2025"/>
  </r>
  <r>
    <n v="464"/>
    <x v="9"/>
    <x v="23"/>
    <s v="Accrual"/>
    <x v="11"/>
    <m/>
    <s v="Al Ajdar For General Trading and General Purchasing Ltd"/>
    <s v="Welding"/>
    <n v="133750"/>
    <s v="N/A"/>
    <s v="N/A"/>
    <s v="N/A"/>
    <s v="Nov"/>
    <n v="2025"/>
  </r>
  <r>
    <n v="465"/>
    <x v="10"/>
    <x v="32"/>
    <s v="Actual"/>
    <x v="2"/>
    <m/>
    <s v="Zain Telecom"/>
    <s v="Zain Telecom Services"/>
    <n v="897.49231667046638"/>
    <n v="63"/>
    <d v="2025-09-30T00:00:00"/>
    <s v="N/A"/>
    <s v="Nov"/>
    <n v="2025"/>
  </r>
  <r>
    <n v="466"/>
    <x v="10"/>
    <x v="32"/>
    <s v="Actual"/>
    <x v="0"/>
    <m/>
    <s v="IGCC"/>
    <s v="Payroll Nov"/>
    <n v="335055"/>
    <s v="N/A"/>
    <s v="N/A"/>
    <s v="N/A"/>
    <s v="Nov"/>
    <n v="2025"/>
  </r>
  <r>
    <n v="467"/>
    <x v="10"/>
    <x v="32"/>
    <s v="Accrual"/>
    <x v="5"/>
    <m/>
    <s v="NEPTUNE ALKAWKAB ALAZRAK FOR GENERAL TRANSPORTATION"/>
    <s v="DHL / Courier Fees / Shipping"/>
    <n v="7500"/>
    <s v="N/A"/>
    <s v="N/A"/>
    <s v="N/A"/>
    <s v="Nov"/>
    <n v="2025"/>
  </r>
  <r>
    <n v="468"/>
    <x v="10"/>
    <x v="32"/>
    <s v="Actual"/>
    <x v="6"/>
    <m/>
    <s v="Petty Cash"/>
    <s v="اكراميات وعشائر"/>
    <n v="349.65034965034965"/>
    <s v="##"/>
    <d v="2025-03-11T00:00:00"/>
    <s v="N/A"/>
    <s v="Nov"/>
    <n v="2025"/>
  </r>
  <r>
    <n v="469"/>
    <x v="10"/>
    <x v="32"/>
    <s v="Actual"/>
    <x v="6"/>
    <m/>
    <s v="Petty Cash"/>
    <s v="Total-Check point salary "/>
    <n v="349.65034965034965"/>
    <s v="##"/>
    <d v="2025-04-11T00:00:00"/>
    <s v="N/A"/>
    <s v="Nov"/>
    <n v="2025"/>
  </r>
  <r>
    <n v="470"/>
    <x v="10"/>
    <x v="32"/>
    <s v="Actual"/>
    <x v="6"/>
    <m/>
    <s v="Petty Cash"/>
    <s v="اكراميات وعشائر"/>
    <n v="314.68531468531467"/>
    <s v="##"/>
    <d v="2025-05-11T00:00:00"/>
    <s v="N/A"/>
    <s v="Nov"/>
    <n v="2025"/>
  </r>
  <r>
    <n v="471"/>
    <x v="10"/>
    <x v="32"/>
    <s v="Actual"/>
    <x v="3"/>
    <m/>
    <s v="Petty Cash"/>
    <s v="Petty Cash for TOTAL - FL"/>
    <n v="1381.1188811188811"/>
    <s v="##"/>
    <d v="2025-08-11T00:00:00"/>
    <s v="N/A"/>
    <s v="Nov"/>
    <n v="2025"/>
  </r>
  <r>
    <n v="472"/>
    <x v="10"/>
    <x v="32"/>
    <s v="Actual"/>
    <x v="3"/>
    <m/>
    <s v="Petty Cash"/>
    <s v="Petty Cash for TOTAL"/>
    <n v="1897.5524475524476"/>
    <s v="##"/>
    <d v="2025-02-11T00:00:00"/>
    <s v="N/A"/>
    <s v="Nov"/>
    <n v="2025"/>
  </r>
  <r>
    <n v="473"/>
    <x v="10"/>
    <x v="32"/>
    <s v="Actual"/>
    <x v="3"/>
    <m/>
    <s v="Petty Cash"/>
    <s v="Petty Cash for TOTAL"/>
    <n v="1625.8741258741259"/>
    <s v="##"/>
    <s v="16/11/2025"/>
    <s v="N/A"/>
    <s v="Nov"/>
    <n v="2025"/>
  </r>
  <r>
    <n v="474"/>
    <x v="10"/>
    <x v="32"/>
    <s v="Actual"/>
    <x v="3"/>
    <m/>
    <s v="Petty Cash"/>
    <s v="تجهيز منظومة صوت مع 4 سماعات ومكسر وكابلات"/>
    <n v="944.05594405594411"/>
    <n v="5045"/>
    <s v="28/10/2025"/>
    <s v="N/A"/>
    <s v="Nov"/>
    <n v="2025"/>
  </r>
  <r>
    <n v="475"/>
    <x v="10"/>
    <x v="32"/>
    <s v="Actual"/>
    <x v="5"/>
    <m/>
    <s v="Petty Cash"/>
    <s v="Materials Transportation Baghdad - Basra"/>
    <n v="87.412587412587413"/>
    <n v="15861"/>
    <s v="23/11/2025"/>
    <s v="N/A"/>
    <s v="Nov"/>
    <n v="2025"/>
  </r>
  <r>
    <n v="476"/>
    <x v="10"/>
    <x v="32"/>
    <s v="Actual"/>
    <x v="3"/>
    <m/>
    <s v="Petty Cash"/>
    <s v="Food &amp; Meal for Total"/>
    <n v="769.23076923076928"/>
    <s v="##"/>
    <d v="2025-02-11T00:00:00"/>
    <s v="N/A"/>
    <s v="Nov"/>
    <n v="2025"/>
  </r>
  <r>
    <n v="477"/>
    <x v="10"/>
    <x v="32"/>
    <s v="Actual"/>
    <x v="3"/>
    <m/>
    <s v="Petty Cash"/>
    <s v="Food &amp; Meal fot TOTAL - FL"/>
    <n v="1436.3636363636363"/>
    <s v="##"/>
    <d v="2025-06-11T00:00:00"/>
    <s v="N/A"/>
    <s v="Nov"/>
    <n v="2025"/>
  </r>
  <r>
    <n v="478"/>
    <x v="10"/>
    <x v="32"/>
    <s v="Actual"/>
    <x v="3"/>
    <m/>
    <s v="Petty Cash"/>
    <s v="Food &amp; Meal fot TOTAL - FL"/>
    <n v="1092.3076923076924"/>
    <s v="##"/>
    <s v="19/11/2025"/>
    <s v="N/A"/>
    <s v="Nov"/>
    <n v="2025"/>
  </r>
  <r>
    <n v="479"/>
    <x v="10"/>
    <x v="32"/>
    <s v="Actual"/>
    <x v="9"/>
    <m/>
    <s v="Petty Cash"/>
    <s v=" transfer E.house Total 3 moves"/>
    <n v="5937.0629370629367"/>
    <s v="##"/>
    <d v="2025-03-11T00:00:00"/>
    <s v="N/A"/>
    <s v="Nov"/>
    <n v="2025"/>
  </r>
  <r>
    <n v="480"/>
    <x v="10"/>
    <x v="32"/>
    <s v="Actual"/>
    <x v="2"/>
    <m/>
    <s v="Petty Cash"/>
    <s v="Internet Modem"/>
    <n v="176.92307692307693"/>
    <s v="##"/>
    <s v="26/11/2025"/>
    <s v="N/A"/>
    <s v="Nov"/>
    <n v="2025"/>
  </r>
  <r>
    <n v="481"/>
    <x v="10"/>
    <x v="32"/>
    <s v="Accrual"/>
    <x v="7"/>
    <m/>
    <s v="IGCC"/>
    <s v="Diesel Sites Nov 25"/>
    <n v="19615.384615384613"/>
    <s v="N/A"/>
    <s v="N/A"/>
    <s v="N/A"/>
    <s v="Nov"/>
    <n v="2025"/>
  </r>
  <r>
    <n v="482"/>
    <x v="10"/>
    <x v="32"/>
    <s v="Actual"/>
    <x v="6"/>
    <m/>
    <s v="IGCC"/>
    <s v="Charitable Contributions"/>
    <n v="2968.5314685314684"/>
    <s v="N/A"/>
    <s v="N/A"/>
    <s v="N/A"/>
    <s v="Nov"/>
    <n v="2025"/>
  </r>
  <r>
    <n v="483"/>
    <x v="10"/>
    <x v="32"/>
    <s v="Accrual"/>
    <x v="1"/>
    <m/>
    <s v="Neema Abdul Hassan"/>
    <s v="Light equipment rental"/>
    <n v="2080"/>
    <s v="N/A"/>
    <s v="N/A"/>
    <s v="N/A"/>
    <s v="Nov"/>
    <n v="2025"/>
  </r>
  <r>
    <n v="484"/>
    <x v="10"/>
    <x v="32"/>
    <s v="Accrual"/>
    <x v="1"/>
    <m/>
    <s v="Border Transportaion / Al Hodod"/>
    <s v="Heavy  equipment rental"/>
    <n v="28312.107888111888"/>
    <s v="N/A"/>
    <s v="N/A"/>
    <s v="N/A"/>
    <s v="Nov"/>
    <n v="2025"/>
  </r>
  <r>
    <n v="485"/>
    <x v="10"/>
    <x v="32"/>
    <s v="Accrual"/>
    <x v="1"/>
    <m/>
    <s v="NAC Logistic"/>
    <s v="Heavy  equipment rental"/>
    <n v="92010.146216783221"/>
    <s v="N/A"/>
    <s v="N/A"/>
    <s v="N/A"/>
    <s v="Nov"/>
    <n v="2025"/>
  </r>
  <r>
    <n v="486"/>
    <x v="10"/>
    <x v="32"/>
    <s v="Accrual"/>
    <x v="1"/>
    <m/>
    <s v="Taqadm Albasrah"/>
    <s v="Heavy  equipment rental"/>
    <n v="191925.00557342661"/>
    <s v="N/A"/>
    <s v="N/A"/>
    <s v="N/A"/>
    <s v="Nov"/>
    <n v="2025"/>
  </r>
  <r>
    <n v="487"/>
    <x v="10"/>
    <x v="32"/>
    <s v="Accrual"/>
    <x v="1"/>
    <m/>
    <s v="NAC Logistic"/>
    <s v=" Light equipment rental"/>
    <n v="33360.863433566432"/>
    <s v="N/A"/>
    <s v="N/A"/>
    <s v="N/A"/>
    <s v="Nov"/>
    <n v="2025"/>
  </r>
  <r>
    <n v="488"/>
    <x v="10"/>
    <x v="32"/>
    <s v="Accrual"/>
    <x v="1"/>
    <m/>
    <s v="Taqadm Albasrah"/>
    <s v=" Light equipment rental"/>
    <n v="91309.475818181818"/>
    <s v="N/A"/>
    <s v="N/A"/>
    <s v="N/A"/>
    <s v="Nov"/>
    <n v="2025"/>
  </r>
  <r>
    <n v="489"/>
    <x v="10"/>
    <x v="32"/>
    <s v="Actual"/>
    <x v="8"/>
    <m/>
    <s v="Al Hurea Security Services"/>
    <s v="Guards"/>
    <n v="20485.2"/>
    <s v="GCC-BSR-251101"/>
    <d v="2025-11-30T00:00:00"/>
    <s v="N/A"/>
    <s v="Nov"/>
    <m/>
  </r>
  <r>
    <n v="490"/>
    <x v="10"/>
    <x v="32"/>
    <s v="Actual"/>
    <x v="8"/>
    <m/>
    <s v="LARSA Security"/>
    <s v="Guards"/>
    <n v="8646"/>
    <s v="INV-IGCC-ARTAWI-25-11-270"/>
    <d v="2025-11-30T00:00:00"/>
    <s v="N/A"/>
    <s v="Nov"/>
    <m/>
  </r>
  <r>
    <n v="491"/>
    <x v="10"/>
    <x v="32"/>
    <s v="Actual"/>
    <x v="8"/>
    <m/>
    <s v="LARSA Security"/>
    <s v="Guards"/>
    <n v="1500"/>
    <s v="INV-IGCC-25-11-268"/>
    <d v="2025-11-30T00:00:00"/>
    <s v="N/A"/>
    <s v="Nov"/>
    <m/>
  </r>
  <r>
    <n v="492"/>
    <x v="10"/>
    <x v="32"/>
    <s v="Actual"/>
    <x v="9"/>
    <m/>
    <s v="Al Ajdar For General Trading and General Purchasing Ltd"/>
    <s v="Lease &amp; Rent"/>
    <n v="5000"/>
    <s v="33-25"/>
    <d v="2025-12-01T00:00:00"/>
    <n v="2025404398"/>
    <s v="Nov"/>
    <n v="2025"/>
  </r>
  <r>
    <n v="493"/>
    <x v="10"/>
    <x v="32"/>
    <s v="Actual"/>
    <x v="3"/>
    <m/>
    <s v="Abu Zahraa Shops"/>
    <s v="Materials"/>
    <n v="5181.818181818182"/>
    <s v="0303"/>
    <d v="2025-11-01T00:00:00"/>
    <n v="2025404013"/>
    <s v="Nov"/>
    <n v="2025"/>
  </r>
  <r>
    <n v="494"/>
    <x v="10"/>
    <x v="32"/>
    <s v="Actual"/>
    <x v="3"/>
    <m/>
    <s v="AL MUSTAFA INDUSTRIAL IRON TRADING"/>
    <s v="Materials/IRON"/>
    <n v="4864"/>
    <s v="396"/>
    <d v="2025-11-09T00:00:00"/>
    <n v="2025403985"/>
    <s v="Nov"/>
    <n v="2025"/>
  </r>
  <r>
    <n v="495"/>
    <x v="10"/>
    <x v="32"/>
    <s v="Actual"/>
    <x v="3"/>
    <m/>
    <s v="AL MUSTAFA INDUSTRIAL IRON TRADING"/>
    <s v="Materials/IRON"/>
    <n v="4407"/>
    <s v="398"/>
    <d v="2025-11-09T00:00:00"/>
    <n v="2025403983"/>
    <s v="Nov"/>
    <n v="2025"/>
  </r>
  <r>
    <n v="496"/>
    <x v="10"/>
    <x v="32"/>
    <s v="Actual"/>
    <x v="3"/>
    <m/>
    <s v="AL MUSTAFA INDUSTRIAL IRON TRADING"/>
    <s v="Materials/IRON"/>
    <n v="3120"/>
    <s v="402"/>
    <d v="2025-11-02T00:00:00"/>
    <n v="2025404006"/>
    <s v="Nov"/>
    <n v="2025"/>
  </r>
  <r>
    <n v="497"/>
    <x v="10"/>
    <x v="32"/>
    <s v="Actual"/>
    <x v="3"/>
    <m/>
    <s v="Al-Ghadeer Print"/>
    <s v="Materials"/>
    <n v="139.86013986013987"/>
    <s v="0369"/>
    <d v="2025-11-01T00:00:00"/>
    <n v="2025404146"/>
    <s v="Nov"/>
    <n v="2025"/>
  </r>
  <r>
    <n v="498"/>
    <x v="10"/>
    <x v="32"/>
    <s v="Actual"/>
    <x v="3"/>
    <m/>
    <s v="Al-Ghadeer Print"/>
    <s v="Materials"/>
    <n v="377.6223776223776"/>
    <s v="0378"/>
    <d v="2025-11-17T00:00:00"/>
    <n v="2025404267"/>
    <s v="Nov"/>
    <n v="2025"/>
  </r>
  <r>
    <n v="499"/>
    <x v="10"/>
    <x v="32"/>
    <s v="Actual"/>
    <x v="3"/>
    <m/>
    <s v="Al-Safi Factory and Um Albanin Gallery"/>
    <s v="Materials"/>
    <n v="7311.1888111888111"/>
    <s v="0104"/>
    <d v="2025-11-02T00:00:00"/>
    <n v="2025404120"/>
    <s v="Nov"/>
    <n v="2025"/>
  </r>
  <r>
    <n v="500"/>
    <x v="10"/>
    <x v="32"/>
    <s v="Actual"/>
    <x v="3"/>
    <m/>
    <s v="AL-Wajeeh Company"/>
    <s v="Materials"/>
    <n v="935.1"/>
    <s v="17339-1"/>
    <d v="2025-11-19T00:00:00"/>
    <n v="2025404211"/>
    <s v="Nov"/>
    <n v="2025"/>
  </r>
  <r>
    <n v="501"/>
    <x v="10"/>
    <x v="32"/>
    <s v="Actual"/>
    <x v="3"/>
    <m/>
    <s v="BLUE LINE"/>
    <s v="Materials"/>
    <n v="2000"/>
    <s v="6563"/>
    <d v="2025-10-28T00:00:00"/>
    <n v="2025404214"/>
    <s v="Nov"/>
    <n v="2025"/>
  </r>
  <r>
    <n v="502"/>
    <x v="10"/>
    <x v="32"/>
    <s v="Actual"/>
    <x v="3"/>
    <m/>
    <s v="BLUE LINE"/>
    <s v="Materials"/>
    <n v="2502.0100000000002"/>
    <s v="6543"/>
    <d v="2025-10-28T00:00:00"/>
    <n v="2025404404"/>
    <s v="Nov"/>
    <n v="2025"/>
  </r>
  <r>
    <n v="503"/>
    <x v="10"/>
    <x v="32"/>
    <s v="Actual"/>
    <x v="3"/>
    <m/>
    <s v="GULF PEARL GROUP"/>
    <s v="Materials/Paint"/>
    <n v="15200"/>
    <s v="27922025"/>
    <d v="2025-11-26T00:00:00"/>
    <n v="2025404293"/>
    <s v="Nov"/>
    <n v="2025"/>
  </r>
  <r>
    <n v="504"/>
    <x v="10"/>
    <x v="32"/>
    <s v="Actual"/>
    <x v="3"/>
    <m/>
    <s v="Khan Alhadded Company"/>
    <s v="Materials/IRON"/>
    <n v="900"/>
    <s v="0931"/>
    <d v="2025-10-27T00:00:00"/>
    <n v="2025403970"/>
    <s v="Nov"/>
    <n v="2025"/>
  </r>
  <r>
    <n v="505"/>
    <x v="10"/>
    <x v="32"/>
    <s v="Actual"/>
    <x v="3"/>
    <m/>
    <s v="MANAR AL-I'MAR COMPANY FOR GENERAL TRADING &amp; CONTRACTING"/>
    <s v="Materials"/>
    <n v="4190"/>
    <s v="INV-251112"/>
    <d v="2025-11-17T00:00:00"/>
    <n v="2025404248"/>
    <s v="Nov"/>
    <n v="2025"/>
  </r>
  <r>
    <n v="506"/>
    <x v="10"/>
    <x v="32"/>
    <s v="Actual"/>
    <x v="3"/>
    <m/>
    <s v="Rawat Emaar AL-Iraq Co. (JOTUN)"/>
    <s v="Materials/Paint"/>
    <n v="6160.8391608391612"/>
    <s v="29028"/>
    <d v="2025-11-17T00:00:00"/>
    <n v="2025404168"/>
    <s v="Nov"/>
    <n v="2025"/>
  </r>
  <r>
    <n v="507"/>
    <x v="10"/>
    <x v="32"/>
    <s v="Actual"/>
    <x v="3"/>
    <m/>
    <s v="Tiqaneyat Al-Taqaddum Co. (ATC)"/>
    <s v="Materials"/>
    <n v="1480"/>
    <s v="ACC-SINV-2025-02256"/>
    <d v="2025-10-30T00:00:00"/>
    <n v="2025404106"/>
    <s v="Nov"/>
    <n v="2025"/>
  </r>
  <r>
    <n v="508"/>
    <x v="10"/>
    <x v="32"/>
    <s v="Actual"/>
    <x v="3"/>
    <m/>
    <s v="YASEEN ALQAISY STORES"/>
    <s v="Materials"/>
    <n v="1560"/>
    <s v="004786"/>
    <d v="2025-11-06T00:00:00"/>
    <n v="2025404190"/>
    <s v="Nov"/>
    <n v="2025"/>
  </r>
  <r>
    <n v="509"/>
    <x v="10"/>
    <x v="32"/>
    <s v="Actual"/>
    <x v="3"/>
    <m/>
    <s v="ZUMZUM ALFAYHAA INSAAT"/>
    <s v="Materials"/>
    <n v="190"/>
    <s v="12018"/>
    <d v="2025-11-08T00:00:00"/>
    <n v="2025403973"/>
    <s v="Nov"/>
    <n v="2025"/>
  </r>
  <r>
    <n v="510"/>
    <x v="10"/>
    <x v="32"/>
    <s v="Actual"/>
    <x v="3"/>
    <m/>
    <s v="ZUMZUM ALFAYHAA INSAAT"/>
    <s v="Materials"/>
    <n v="2359"/>
    <s v="12034"/>
    <d v="2025-11-08T00:00:00"/>
    <n v="2025403990"/>
    <s v="Nov"/>
    <n v="2025"/>
  </r>
  <r>
    <n v="511"/>
    <x v="10"/>
    <x v="32"/>
    <s v="Actual"/>
    <x v="3"/>
    <m/>
    <s v="ZUMZUM ALFAYHAA INSAAT"/>
    <s v="Materials"/>
    <n v="96"/>
    <s v="12162"/>
    <d v="2025-11-15T00:00:00"/>
    <n v="2025404135"/>
    <s v="Nov"/>
    <n v="2025"/>
  </r>
  <r>
    <n v="512"/>
    <x v="10"/>
    <x v="32"/>
    <s v="Actual"/>
    <x v="3"/>
    <m/>
    <s v="ZUMZUM ALFAYHAA INSAAT"/>
    <s v="Materials"/>
    <n v="465"/>
    <s v="12170"/>
    <d v="2025-11-15T00:00:00"/>
    <n v="2025404155"/>
    <s v="Nov"/>
    <n v="2025"/>
  </r>
  <r>
    <n v="513"/>
    <x v="10"/>
    <x v="32"/>
    <s v="Actual"/>
    <x v="3"/>
    <m/>
    <s v="ZUMZUM ALFAYHAA INSAAT"/>
    <s v="Materials"/>
    <n v="1242"/>
    <s v="12094"/>
    <d v="2025-11-15T00:00:00"/>
    <n v="2025404060"/>
    <s v="Nov"/>
    <n v="2025"/>
  </r>
  <r>
    <n v="514"/>
    <x v="10"/>
    <x v="32"/>
    <s v="Actual"/>
    <x v="3"/>
    <m/>
    <s v="ZUMZUM ALFAYHAA INSAAT"/>
    <s v="Materials"/>
    <n v="1293.2"/>
    <s v="12172"/>
    <d v="2025-11-15T00:00:00"/>
    <n v="2025404156"/>
    <s v="Nov"/>
    <n v="2025"/>
  </r>
  <r>
    <n v="515"/>
    <x v="10"/>
    <x v="32"/>
    <s v="Actual"/>
    <x v="3"/>
    <m/>
    <s v="ZUMZUM ALFAYHAA INSAAT"/>
    <s v="Materials"/>
    <n v="590.5"/>
    <s v="12122"/>
    <d v="2025-11-15T00:00:00"/>
    <n v="2025404086"/>
    <s v="Nov"/>
    <n v="2025"/>
  </r>
  <r>
    <n v="516"/>
    <x v="10"/>
    <x v="32"/>
    <s v="Actual"/>
    <x v="3"/>
    <m/>
    <s v="ZUMZUM ALFAYHAA INSAAT"/>
    <s v="Materials"/>
    <n v="512.5"/>
    <s v="12242"/>
    <d v="2025-11-18T00:00:00"/>
    <n v="2025404203"/>
    <s v="Nov"/>
    <n v="2025"/>
  </r>
  <r>
    <n v="517"/>
    <x v="10"/>
    <x v="32"/>
    <s v="Actual"/>
    <x v="3"/>
    <m/>
    <s v="ZUMZUM ALFAYHAA INSAAT"/>
    <s v="Materials"/>
    <n v="821"/>
    <s v="12218"/>
    <d v="2025-11-18T00:00:00"/>
    <n v="2025404187"/>
    <s v="Nov"/>
    <n v="2025"/>
  </r>
  <r>
    <n v="518"/>
    <x v="10"/>
    <x v="32"/>
    <s v="Actual"/>
    <x v="3"/>
    <m/>
    <s v="ZUMZUM ALFAYHAA INSAAT"/>
    <s v="Materials"/>
    <n v="164.5"/>
    <s v="12212"/>
    <d v="2025-11-18T00:00:00"/>
    <n v="2025404188"/>
    <s v="Nov"/>
    <n v="2025"/>
  </r>
  <r>
    <n v="519"/>
    <x v="10"/>
    <x v="32"/>
    <s v="Actual"/>
    <x v="3"/>
    <m/>
    <s v="ZUMZUM ALFAYHAA INSAAT"/>
    <s v="Materials"/>
    <n v="1120.5"/>
    <s v="12118"/>
    <d v="2025-11-18T00:00:00"/>
    <n v="2025404089"/>
    <s v="Nov"/>
    <n v="2025"/>
  </r>
  <r>
    <n v="520"/>
    <x v="10"/>
    <x v="32"/>
    <s v="Actual"/>
    <x v="3"/>
    <m/>
    <s v="ZUMZUM ALFAYHAA INSAAT"/>
    <s v="Materials"/>
    <n v="588"/>
    <s v="12168"/>
    <d v="2025-11-19T00:00:00"/>
    <n v="2025404154"/>
    <s v="Nov"/>
    <n v="2025"/>
  </r>
  <r>
    <n v="521"/>
    <x v="10"/>
    <x v="32"/>
    <s v="Actual"/>
    <x v="3"/>
    <m/>
    <s v="ZUMZUM ALFAYHAA INSAAT"/>
    <s v="Materials"/>
    <n v="413"/>
    <s v="12214"/>
    <d v="2025-11-25T00:00:00"/>
    <n v="2025404189"/>
    <s v="Nov"/>
    <n v="2025"/>
  </r>
  <r>
    <n v="522"/>
    <x v="10"/>
    <x v="32"/>
    <s v="Actual"/>
    <x v="3"/>
    <m/>
    <s v="ZUMZUM ALFAYHAA INSAAT"/>
    <s v="Materials"/>
    <n v="3656.5"/>
    <s v="12198"/>
    <d v="2025-11-15T00:00:00"/>
    <n v="2025404171"/>
    <s v="Nov"/>
    <n v="2025"/>
  </r>
  <r>
    <n v="523"/>
    <x v="10"/>
    <x v="32"/>
    <s v="Actual"/>
    <x v="3"/>
    <m/>
    <s v="ZUMZUM ALFAYHAA INSAAT"/>
    <s v="Materials"/>
    <n v="4532.5"/>
    <s v="12306"/>
    <d v="2025-11-24T00:00:00"/>
    <n v="2025404250"/>
    <s v="Nov"/>
    <n v="2025"/>
  </r>
  <r>
    <n v="524"/>
    <x v="10"/>
    <x v="32"/>
    <s v="Actual"/>
    <x v="3"/>
    <m/>
    <s v="ZUMZUM ALFAYHAA INSAAT"/>
    <s v="Materials"/>
    <n v="1320.1"/>
    <s v="12334"/>
    <d v="2025-11-26T00:00:00"/>
    <n v="2025404288"/>
    <s v="Nov"/>
    <n v="2025"/>
  </r>
  <r>
    <n v="525"/>
    <x v="10"/>
    <x v="32"/>
    <s v="Accrual"/>
    <x v="10"/>
    <m/>
    <s v="Border Transportaion / Al Hodod"/>
    <s v="Hydrovac"/>
    <n v="161623.32167832169"/>
    <s v="N/A"/>
    <s v="N/A"/>
    <s v="N/A"/>
    <s v="Nov"/>
    <n v="2025"/>
  </r>
  <r>
    <n v="526"/>
    <x v="10"/>
    <x v="32"/>
    <s v="Actual"/>
    <x v="10"/>
    <m/>
    <s v="Tiqaneyat Al-Taqaddum Co. (ATC)"/>
    <s v="Testing/Calibration"/>
    <n v="104.89510489510489"/>
    <s v="ACC-SINV-2025-02299"/>
    <d v="2025-11-05T00:00:00"/>
    <n v="2025403161"/>
    <s v="Nov"/>
    <n v="2025"/>
  </r>
  <r>
    <n v="527"/>
    <x v="10"/>
    <x v="32"/>
    <s v="Actual"/>
    <x v="10"/>
    <m/>
    <s v="Al-Akhawain Workshop Turning and mechanic"/>
    <s v="Testing/Calibration"/>
    <n v="1048.951048951049"/>
    <s v="0418"/>
    <d v="2025-08-01T00:00:00"/>
    <n v="2025404280"/>
    <s v="Nov"/>
    <n v="2025"/>
  </r>
  <r>
    <n v="528"/>
    <x v="10"/>
    <x v="32"/>
    <s v="Actual"/>
    <x v="10"/>
    <m/>
    <s v="Al-Usool Genral Trading LTD"/>
    <s v="Testing/Calibration"/>
    <n v="1398.6013986013986"/>
    <s v="INV/2025/03265"/>
    <d v="2025-11-15T00:00:00"/>
    <n v="2025404276"/>
    <s v="Nov"/>
    <n v="2025"/>
  </r>
  <r>
    <n v="529"/>
    <x v="10"/>
    <x v="32"/>
    <s v="Actual"/>
    <x v="10"/>
    <m/>
    <s v="Basra Galvanizing Co."/>
    <s v="Testing/Calibration"/>
    <n v="3734.2657342657344"/>
    <s v="B.G.B.I.075"/>
    <d v="2025-11-17T00:00:00"/>
    <n v="2025404352"/>
    <s v="Nov"/>
    <n v="2025"/>
  </r>
  <r>
    <n v="530"/>
    <x v="10"/>
    <x v="32"/>
    <s v="Actual"/>
    <x v="10"/>
    <m/>
    <s v="Basra Galvanizing Co."/>
    <s v="Testing/Calibration"/>
    <n v="6293.7062937062938"/>
    <s v="B.G.B.I.072"/>
    <d v="2025-10-29T00:00:00"/>
    <n v="2025404259"/>
    <s v="Nov"/>
    <n v="2025"/>
  </r>
  <r>
    <n v="531"/>
    <x v="10"/>
    <x v="32"/>
    <s v="Accrual"/>
    <x v="4"/>
    <m/>
    <s v="Burj Al Rafidain Hamza"/>
    <s v="Third party Manpower"/>
    <n v="131661.58950642587"/>
    <s v="N/A"/>
    <s v="N/A"/>
    <s v="N/A"/>
    <s v="Nov"/>
    <n v="2025"/>
  </r>
  <r>
    <n v="532"/>
    <x v="10"/>
    <x v="32"/>
    <s v="Accrual"/>
    <x v="11"/>
    <m/>
    <s v="Al Ajdar For General Trading and General Purchasing Ltd"/>
    <s v="Welding"/>
    <n v="430872.65"/>
    <s v="N/A"/>
    <s v="N/A"/>
    <s v="N/A"/>
    <s v="Nov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69A3D-2B9E-4645-ADD5-368DBA601A5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50" firstHeaderRow="1" firstDataRow="2" firstDataCol="1"/>
  <pivotFields count="14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m="1" x="12"/>
        <item m="1" x="11"/>
        <item t="default"/>
      </items>
    </pivotField>
    <pivotField axis="axisRow" showAll="0">
      <items count="51">
        <item m="1" x="37"/>
        <item x="1"/>
        <item x="10"/>
        <item m="1" x="46"/>
        <item x="31"/>
        <item m="1" x="47"/>
        <item m="1" x="49"/>
        <item x="21"/>
        <item x="13"/>
        <item x="15"/>
        <item x="16"/>
        <item x="2"/>
        <item x="22"/>
        <item x="23"/>
        <item x="9"/>
        <item x="14"/>
        <item x="32"/>
        <item x="12"/>
        <item x="3"/>
        <item x="24"/>
        <item x="4"/>
        <item m="1" x="34"/>
        <item x="0"/>
        <item x="19"/>
        <item x="18"/>
        <item x="17"/>
        <item x="25"/>
        <item x="11"/>
        <item m="1" x="35"/>
        <item x="27"/>
        <item x="28"/>
        <item x="29"/>
        <item x="5"/>
        <item m="1" x="48"/>
        <item x="6"/>
        <item x="7"/>
        <item x="30"/>
        <item x="8"/>
        <item m="1" x="36"/>
        <item m="1" x="38"/>
        <item m="1" x="39"/>
        <item m="1" x="40"/>
        <item m="1" x="41"/>
        <item m="1" x="42"/>
        <item m="1" x="43"/>
        <item x="26"/>
        <item m="1" x="33"/>
        <item m="1" x="44"/>
        <item m="1" x="45"/>
        <item x="20"/>
        <item t="default"/>
      </items>
    </pivotField>
    <pivotField showAll="0"/>
    <pivotField axis="axisCol" showAll="0">
      <items count="22">
        <item x="14"/>
        <item x="17"/>
        <item x="16"/>
        <item x="6"/>
        <item x="2"/>
        <item x="5"/>
        <item x="7"/>
        <item m="1" x="19"/>
        <item x="9"/>
        <item x="1"/>
        <item x="3"/>
        <item m="1" x="20"/>
        <item x="8"/>
        <item x="15"/>
        <item x="0"/>
        <item x="11"/>
        <item x="4"/>
        <item x="10"/>
        <item x="13"/>
        <item m="1" x="18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2"/>
  </rowFields>
  <rowItems count="46">
    <i>
      <x/>
    </i>
    <i r="1">
      <x v="22"/>
    </i>
    <i>
      <x v="1"/>
    </i>
    <i r="1">
      <x v="1"/>
    </i>
    <i r="1">
      <x v="11"/>
    </i>
    <i r="1">
      <x v="18"/>
    </i>
    <i r="1">
      <x v="20"/>
    </i>
    <i r="1">
      <x v="32"/>
    </i>
    <i r="1">
      <x v="34"/>
    </i>
    <i r="1">
      <x v="35"/>
    </i>
    <i r="1">
      <x v="37"/>
    </i>
    <i>
      <x v="2"/>
    </i>
    <i r="1">
      <x v="14"/>
    </i>
    <i>
      <x v="3"/>
    </i>
    <i r="1">
      <x v="2"/>
    </i>
    <i r="1">
      <x v="27"/>
    </i>
    <i>
      <x v="4"/>
    </i>
    <i r="1">
      <x v="17"/>
    </i>
    <i>
      <x v="5"/>
    </i>
    <i r="1">
      <x v="27"/>
    </i>
    <i>
      <x v="6"/>
    </i>
    <i r="1">
      <x v="8"/>
    </i>
    <i>
      <x v="7"/>
    </i>
    <i r="1">
      <x v="15"/>
    </i>
    <i>
      <x v="8"/>
    </i>
    <i r="1">
      <x v="9"/>
    </i>
    <i r="1">
      <x v="10"/>
    </i>
    <i r="1">
      <x v="23"/>
    </i>
    <i r="1">
      <x v="24"/>
    </i>
    <i r="1">
      <x v="25"/>
    </i>
    <i r="1">
      <x v="49"/>
    </i>
    <i>
      <x v="9"/>
    </i>
    <i r="1">
      <x v="4"/>
    </i>
    <i r="1">
      <x v="7"/>
    </i>
    <i r="1">
      <x v="12"/>
    </i>
    <i r="1">
      <x v="13"/>
    </i>
    <i r="1">
      <x v="19"/>
    </i>
    <i r="1">
      <x v="26"/>
    </i>
    <i r="1">
      <x v="29"/>
    </i>
    <i r="1">
      <x v="30"/>
    </i>
    <i r="1">
      <x v="31"/>
    </i>
    <i r="1">
      <x v="36"/>
    </i>
    <i r="1">
      <x v="45"/>
    </i>
    <i>
      <x v="10"/>
    </i>
    <i r="1">
      <x v="16"/>
    </i>
    <i t="grand">
      <x/>
    </i>
  </rowItems>
  <colFields count="1">
    <field x="4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Invoice Amount USD" fld="8" baseField="1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08ED-EE21-4A6C-8A81-73272A1E956C}">
  <dimension ref="A1:U50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24.44140625" bestFit="1" customWidth="1"/>
    <col min="2" max="2" width="15.21875" bestFit="1" customWidth="1"/>
    <col min="3" max="4" width="15.6640625" bestFit="1" customWidth="1"/>
    <col min="5" max="5" width="21.77734375" bestFit="1" customWidth="1"/>
    <col min="6" max="6" width="23.5546875" bestFit="1" customWidth="1"/>
    <col min="7" max="7" width="25.44140625" bestFit="1" customWidth="1"/>
    <col min="8" max="8" width="14.5546875" bestFit="1" customWidth="1"/>
    <col min="9" max="9" width="11.77734375" bestFit="1" customWidth="1"/>
    <col min="10" max="10" width="29.5546875" bestFit="1" customWidth="1"/>
    <col min="11" max="11" width="17.33203125" bestFit="1" customWidth="1"/>
    <col min="12" max="12" width="8.6640625" bestFit="1" customWidth="1"/>
    <col min="13" max="13" width="12.5546875" bestFit="1" customWidth="1"/>
    <col min="14" max="14" width="25" bestFit="1" customWidth="1"/>
    <col min="15" max="15" width="13.6640625" bestFit="1" customWidth="1"/>
    <col min="16" max="16" width="19.88671875" bestFit="1" customWidth="1"/>
    <col min="17" max="17" width="17.21875" bestFit="1" customWidth="1"/>
    <col min="18" max="18" width="22.77734375" bestFit="1" customWidth="1"/>
    <col min="19" max="19" width="11" bestFit="1" customWidth="1"/>
    <col min="20" max="21" width="11.21875" bestFit="1" customWidth="1"/>
  </cols>
  <sheetData>
    <row r="1" spans="1:21">
      <c r="A1" s="97" t="s">
        <v>255</v>
      </c>
      <c r="B1" s="97" t="s">
        <v>85</v>
      </c>
      <c r="C1" s="97" t="s">
        <v>133</v>
      </c>
      <c r="D1" s="97" t="s">
        <v>233</v>
      </c>
      <c r="E1" s="97" t="s">
        <v>63</v>
      </c>
      <c r="F1" s="97" t="s">
        <v>103</v>
      </c>
      <c r="G1" s="97" t="s">
        <v>56</v>
      </c>
      <c r="H1" s="97" t="s">
        <v>82</v>
      </c>
      <c r="I1" s="97" t="s">
        <v>101</v>
      </c>
      <c r="J1" s="97" t="s">
        <v>87</v>
      </c>
      <c r="K1" s="97" t="s">
        <v>72</v>
      </c>
      <c r="L1" s="97" t="s">
        <v>97</v>
      </c>
      <c r="M1" s="97" t="s">
        <v>109</v>
      </c>
      <c r="N1" s="97" t="s">
        <v>20</v>
      </c>
      <c r="O1" s="97" t="s">
        <v>114</v>
      </c>
      <c r="P1" s="97" t="s">
        <v>110</v>
      </c>
      <c r="Q1" s="97" t="s">
        <v>81</v>
      </c>
      <c r="R1" s="97" t="s">
        <v>274</v>
      </c>
      <c r="S1" s="97" t="s">
        <v>112</v>
      </c>
      <c r="T1" s="97" t="s">
        <v>413</v>
      </c>
      <c r="U1" s="97" t="s">
        <v>256</v>
      </c>
    </row>
    <row r="3" spans="1:21">
      <c r="A3" s="98" t="s">
        <v>257</v>
      </c>
      <c r="B3" s="98" t="s">
        <v>258</v>
      </c>
    </row>
    <row r="4" spans="1:21">
      <c r="A4" s="98" t="s">
        <v>255</v>
      </c>
      <c r="B4" t="s">
        <v>85</v>
      </c>
      <c r="C4" t="s">
        <v>133</v>
      </c>
      <c r="D4" t="s">
        <v>233</v>
      </c>
      <c r="E4" t="s">
        <v>63</v>
      </c>
      <c r="F4" t="s">
        <v>103</v>
      </c>
      <c r="G4" t="s">
        <v>56</v>
      </c>
      <c r="H4" t="s">
        <v>82</v>
      </c>
      <c r="I4" t="s">
        <v>101</v>
      </c>
      <c r="J4" t="s">
        <v>87</v>
      </c>
      <c r="K4" t="s">
        <v>72</v>
      </c>
      <c r="L4" t="s">
        <v>97</v>
      </c>
      <c r="M4" t="s">
        <v>109</v>
      </c>
      <c r="N4" t="s">
        <v>20</v>
      </c>
      <c r="O4" t="s">
        <v>114</v>
      </c>
      <c r="P4" t="s">
        <v>110</v>
      </c>
      <c r="Q4" t="s">
        <v>81</v>
      </c>
      <c r="R4" t="s">
        <v>274</v>
      </c>
      <c r="S4" t="s">
        <v>413</v>
      </c>
      <c r="T4" t="s">
        <v>256</v>
      </c>
    </row>
    <row r="5" spans="1:21">
      <c r="A5" s="4" t="s">
        <v>29</v>
      </c>
      <c r="B5" s="100"/>
      <c r="C5" s="100"/>
      <c r="D5" s="100"/>
      <c r="E5" s="100"/>
      <c r="F5" s="100">
        <v>161.51516052231824</v>
      </c>
      <c r="G5" s="100"/>
      <c r="H5" s="100"/>
      <c r="I5" s="100"/>
      <c r="J5" s="100">
        <v>22926.228594405595</v>
      </c>
      <c r="K5" s="100">
        <v>150</v>
      </c>
      <c r="L5" s="100"/>
      <c r="M5" s="100"/>
      <c r="N5" s="100">
        <v>18062</v>
      </c>
      <c r="O5" s="100"/>
      <c r="P5" s="100">
        <v>1860.7144715820421</v>
      </c>
      <c r="Q5" s="100"/>
      <c r="R5" s="100"/>
      <c r="S5" s="100"/>
      <c r="T5" s="100">
        <v>43160.458226509953</v>
      </c>
    </row>
    <row r="6" spans="1:21">
      <c r="A6" s="99" t="s">
        <v>232</v>
      </c>
      <c r="B6" s="100"/>
      <c r="C6" s="100"/>
      <c r="D6" s="100"/>
      <c r="E6" s="100"/>
      <c r="F6" s="100">
        <v>161.51516052231824</v>
      </c>
      <c r="G6" s="100"/>
      <c r="H6" s="100"/>
      <c r="I6" s="100"/>
      <c r="J6" s="100">
        <v>22926.228594405595</v>
      </c>
      <c r="K6" s="100">
        <v>150</v>
      </c>
      <c r="L6" s="100"/>
      <c r="M6" s="100"/>
      <c r="N6" s="100">
        <v>18062</v>
      </c>
      <c r="O6" s="100"/>
      <c r="P6" s="100">
        <v>1860.7144715820421</v>
      </c>
      <c r="Q6" s="100"/>
      <c r="R6" s="100"/>
      <c r="S6" s="100"/>
      <c r="T6" s="100">
        <v>43160.458226509953</v>
      </c>
    </row>
    <row r="7" spans="1:21">
      <c r="A7" s="4" t="s">
        <v>17</v>
      </c>
      <c r="B7" s="100"/>
      <c r="C7" s="100"/>
      <c r="D7" s="100"/>
      <c r="E7" s="100">
        <v>1048.951048951049</v>
      </c>
      <c r="F7" s="100">
        <v>1714.6853146853148</v>
      </c>
      <c r="G7" s="100">
        <v>7600</v>
      </c>
      <c r="H7" s="100">
        <v>5783.2167832167834</v>
      </c>
      <c r="I7" s="100">
        <v>5500</v>
      </c>
      <c r="J7" s="100">
        <v>331027.05247552448</v>
      </c>
      <c r="K7" s="100">
        <v>102047.20279720279</v>
      </c>
      <c r="L7" s="100">
        <v>9100</v>
      </c>
      <c r="M7" s="100"/>
      <c r="N7" s="100">
        <v>508933</v>
      </c>
      <c r="O7" s="100">
        <v>27972.027972027972</v>
      </c>
      <c r="P7" s="100">
        <v>165081.48175608669</v>
      </c>
      <c r="Q7" s="100">
        <v>78324.160839160846</v>
      </c>
      <c r="R7" s="100"/>
      <c r="S7" s="100"/>
      <c r="T7" s="100">
        <v>1244131.7789868556</v>
      </c>
    </row>
    <row r="8" spans="1:21">
      <c r="A8" s="99" t="s">
        <v>18</v>
      </c>
      <c r="B8" s="100"/>
      <c r="C8" s="100"/>
      <c r="D8" s="100"/>
      <c r="E8" s="100">
        <v>139.86013986013987</v>
      </c>
      <c r="F8" s="100">
        <v>222.37762237762237</v>
      </c>
      <c r="G8" s="100"/>
      <c r="H8" s="100"/>
      <c r="I8" s="100"/>
      <c r="J8" s="100">
        <v>59206.094090909093</v>
      </c>
      <c r="K8" s="100">
        <v>20530.066013986012</v>
      </c>
      <c r="L8" s="100"/>
      <c r="M8" s="100"/>
      <c r="N8" s="100">
        <v>108532</v>
      </c>
      <c r="O8" s="100"/>
      <c r="P8" s="100"/>
      <c r="Q8" s="100">
        <v>4910.9790209790208</v>
      </c>
      <c r="R8" s="100"/>
      <c r="S8" s="100"/>
      <c r="T8" s="100">
        <v>193541.37688811187</v>
      </c>
    </row>
    <row r="9" spans="1:21">
      <c r="A9" s="99" t="s">
        <v>75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>
        <v>18744</v>
      </c>
      <c r="O9" s="100"/>
      <c r="P9" s="100">
        <v>64.162567985587657</v>
      </c>
      <c r="Q9" s="100"/>
      <c r="R9" s="100"/>
      <c r="S9" s="100"/>
      <c r="T9" s="100">
        <v>18808.162567985586</v>
      </c>
    </row>
    <row r="10" spans="1:21">
      <c r="A10" s="99" t="s">
        <v>22</v>
      </c>
      <c r="B10" s="100"/>
      <c r="C10" s="100"/>
      <c r="D10" s="100"/>
      <c r="E10" s="100">
        <v>909.09090909090912</v>
      </c>
      <c r="F10" s="100">
        <v>1176.9230769230769</v>
      </c>
      <c r="G10" s="100"/>
      <c r="H10" s="100">
        <v>3230.7692307692309</v>
      </c>
      <c r="I10" s="100"/>
      <c r="J10" s="100">
        <v>66558.732699300686</v>
      </c>
      <c r="K10" s="100">
        <v>26851.811888111886</v>
      </c>
      <c r="L10" s="100"/>
      <c r="M10" s="100"/>
      <c r="N10" s="100">
        <v>107578</v>
      </c>
      <c r="O10" s="100"/>
      <c r="P10" s="100">
        <v>2454.5454545454545</v>
      </c>
      <c r="Q10" s="100">
        <v>15396.398601398601</v>
      </c>
      <c r="R10" s="100"/>
      <c r="S10" s="100"/>
      <c r="T10" s="100">
        <v>224156.27186013985</v>
      </c>
    </row>
    <row r="11" spans="1:21">
      <c r="A11" s="99" t="s">
        <v>93</v>
      </c>
      <c r="B11" s="100"/>
      <c r="C11" s="100"/>
      <c r="D11" s="100"/>
      <c r="E11" s="100"/>
      <c r="F11" s="100"/>
      <c r="G11" s="100"/>
      <c r="H11" s="100"/>
      <c r="I11" s="100"/>
      <c r="J11" s="100">
        <v>6293.7062937062938</v>
      </c>
      <c r="K11" s="100">
        <v>647</v>
      </c>
      <c r="L11" s="100"/>
      <c r="M11" s="100"/>
      <c r="N11" s="100">
        <v>44196</v>
      </c>
      <c r="O11" s="100"/>
      <c r="P11" s="100"/>
      <c r="Q11" s="100"/>
      <c r="R11" s="100"/>
      <c r="S11" s="100"/>
      <c r="T11" s="100">
        <v>51136.706293706295</v>
      </c>
    </row>
    <row r="12" spans="1:21">
      <c r="A12" s="99" t="s">
        <v>23</v>
      </c>
      <c r="B12" s="100"/>
      <c r="C12" s="100"/>
      <c r="D12" s="100"/>
      <c r="E12" s="100"/>
      <c r="F12" s="100">
        <v>74.12587412587412</v>
      </c>
      <c r="G12" s="100"/>
      <c r="H12" s="100"/>
      <c r="I12" s="100"/>
      <c r="J12" s="100">
        <v>5877.1705174825174</v>
      </c>
      <c r="K12" s="100">
        <v>1045.4545454545455</v>
      </c>
      <c r="L12" s="100">
        <v>5500</v>
      </c>
      <c r="M12" s="100"/>
      <c r="N12" s="100">
        <v>5471</v>
      </c>
      <c r="O12" s="100"/>
      <c r="P12" s="100">
        <v>14179.927524814873</v>
      </c>
      <c r="Q12" s="100">
        <v>24651.258741258742</v>
      </c>
      <c r="R12" s="100"/>
      <c r="S12" s="100"/>
      <c r="T12" s="100">
        <v>56798.937203136549</v>
      </c>
    </row>
    <row r="13" spans="1:21">
      <c r="A13" s="99" t="s">
        <v>24</v>
      </c>
      <c r="B13" s="100"/>
      <c r="C13" s="100"/>
      <c r="D13" s="100"/>
      <c r="E13" s="100"/>
      <c r="F13" s="100"/>
      <c r="G13" s="100"/>
      <c r="H13" s="100"/>
      <c r="I13" s="100"/>
      <c r="J13" s="100">
        <v>25848.210125874124</v>
      </c>
      <c r="K13" s="100">
        <v>2264.6853146853146</v>
      </c>
      <c r="L13" s="100"/>
      <c r="M13" s="100"/>
      <c r="N13" s="100">
        <v>31670</v>
      </c>
      <c r="O13" s="100"/>
      <c r="P13" s="100">
        <v>1170.6293706293707</v>
      </c>
      <c r="Q13" s="100">
        <v>12506.853146853147</v>
      </c>
      <c r="R13" s="100"/>
      <c r="S13" s="100"/>
      <c r="T13" s="100">
        <v>73460.377958041965</v>
      </c>
    </row>
    <row r="14" spans="1:21">
      <c r="A14" s="99" t="s">
        <v>25</v>
      </c>
      <c r="B14" s="100"/>
      <c r="C14" s="100"/>
      <c r="D14" s="100"/>
      <c r="E14" s="100"/>
      <c r="F14" s="100">
        <v>241.25874125874125</v>
      </c>
      <c r="G14" s="100">
        <v>7600</v>
      </c>
      <c r="H14" s="100">
        <v>2552.4475524475524</v>
      </c>
      <c r="I14" s="100">
        <v>5500</v>
      </c>
      <c r="J14" s="100">
        <v>163734.48720979021</v>
      </c>
      <c r="K14" s="100">
        <v>50582.185034965027</v>
      </c>
      <c r="L14" s="100">
        <v>3600</v>
      </c>
      <c r="M14" s="100"/>
      <c r="N14" s="100">
        <v>183652</v>
      </c>
      <c r="O14" s="100">
        <v>27972.027972027972</v>
      </c>
      <c r="P14" s="100">
        <v>144946.48257237714</v>
      </c>
      <c r="Q14" s="100">
        <v>15436.013986013986</v>
      </c>
      <c r="R14" s="100"/>
      <c r="S14" s="100"/>
      <c r="T14" s="100">
        <v>605816.90306888055</v>
      </c>
    </row>
    <row r="15" spans="1:21">
      <c r="A15" s="99" t="s">
        <v>26</v>
      </c>
      <c r="B15" s="100"/>
      <c r="C15" s="100"/>
      <c r="D15" s="100"/>
      <c r="E15" s="100"/>
      <c r="F15" s="100"/>
      <c r="G15" s="100"/>
      <c r="H15" s="100"/>
      <c r="I15" s="100"/>
      <c r="J15" s="100">
        <v>3508.6515384615386</v>
      </c>
      <c r="K15" s="100">
        <v>126</v>
      </c>
      <c r="L15" s="100"/>
      <c r="M15" s="100"/>
      <c r="N15" s="100">
        <v>9090</v>
      </c>
      <c r="O15" s="100"/>
      <c r="P15" s="100">
        <v>2265.7342657342656</v>
      </c>
      <c r="Q15" s="100">
        <v>5422.6573426573423</v>
      </c>
      <c r="R15" s="100"/>
      <c r="S15" s="100"/>
      <c r="T15" s="100">
        <v>20413.043146853146</v>
      </c>
    </row>
    <row r="16" spans="1:21">
      <c r="A16" s="4" t="s">
        <v>27</v>
      </c>
      <c r="B16" s="100"/>
      <c r="C16" s="100"/>
      <c r="D16" s="100"/>
      <c r="E16" s="100"/>
      <c r="F16" s="100">
        <v>1391.2517004942633</v>
      </c>
      <c r="G16" s="100"/>
      <c r="H16" s="100"/>
      <c r="I16" s="100"/>
      <c r="J16" s="100"/>
      <c r="K16" s="100"/>
      <c r="L16" s="100"/>
      <c r="M16" s="100"/>
      <c r="N16" s="100">
        <v>22322</v>
      </c>
      <c r="O16" s="100"/>
      <c r="P16" s="100">
        <v>3721.4289431640841</v>
      </c>
      <c r="Q16" s="100"/>
      <c r="R16" s="100"/>
      <c r="S16" s="100"/>
      <c r="T16" s="100">
        <v>27434.680643658347</v>
      </c>
    </row>
    <row r="17" spans="1:20">
      <c r="A17" s="99" t="s">
        <v>28</v>
      </c>
      <c r="B17" s="100"/>
      <c r="C17" s="100"/>
      <c r="D17" s="100"/>
      <c r="E17" s="100"/>
      <c r="F17" s="100">
        <v>1391.2517004942633</v>
      </c>
      <c r="G17" s="100"/>
      <c r="H17" s="100"/>
      <c r="I17" s="100"/>
      <c r="J17" s="100"/>
      <c r="K17" s="100"/>
      <c r="L17" s="100"/>
      <c r="M17" s="100"/>
      <c r="N17" s="100">
        <v>22322</v>
      </c>
      <c r="O17" s="100"/>
      <c r="P17" s="100">
        <v>3721.4289431640841</v>
      </c>
      <c r="Q17" s="100"/>
      <c r="R17" s="100"/>
      <c r="S17" s="100"/>
      <c r="T17" s="100">
        <v>27434.680643658347</v>
      </c>
    </row>
    <row r="18" spans="1:20">
      <c r="A18" s="4" t="s">
        <v>54</v>
      </c>
      <c r="B18" s="100"/>
      <c r="C18" s="100"/>
      <c r="D18" s="100"/>
      <c r="E18" s="100"/>
      <c r="F18" s="100">
        <v>944.13506476331429</v>
      </c>
      <c r="G18" s="100">
        <v>1700</v>
      </c>
      <c r="H18" s="100"/>
      <c r="I18" s="100">
        <v>4000</v>
      </c>
      <c r="J18" s="100">
        <v>62617.12551048951</v>
      </c>
      <c r="K18" s="100">
        <v>78092.613426573429</v>
      </c>
      <c r="L18" s="100">
        <v>11520</v>
      </c>
      <c r="M18" s="100"/>
      <c r="N18" s="100">
        <v>20693.706293706295</v>
      </c>
      <c r="O18" s="100">
        <v>90283</v>
      </c>
      <c r="P18" s="100">
        <v>192.48770395676297</v>
      </c>
      <c r="Q18" s="100">
        <v>7602.7972027972028</v>
      </c>
      <c r="R18" s="100"/>
      <c r="S18" s="100">
        <v>113727.86223776224</v>
      </c>
      <c r="T18" s="100">
        <v>391373.72744004877</v>
      </c>
    </row>
    <row r="19" spans="1:20">
      <c r="A19" s="99" t="s">
        <v>55</v>
      </c>
      <c r="B19" s="100"/>
      <c r="C19" s="100"/>
      <c r="D19" s="100"/>
      <c r="E19" s="100"/>
      <c r="F19" s="100">
        <v>944.13506476331429</v>
      </c>
      <c r="G19" s="100">
        <v>1700</v>
      </c>
      <c r="H19" s="100"/>
      <c r="I19" s="100">
        <v>4000</v>
      </c>
      <c r="J19" s="100">
        <v>62617.12551048951</v>
      </c>
      <c r="K19" s="100">
        <v>54589.702097902104</v>
      </c>
      <c r="L19" s="100">
        <v>11520</v>
      </c>
      <c r="M19" s="100"/>
      <c r="N19" s="100">
        <v>20693.706293706295</v>
      </c>
      <c r="O19" s="100">
        <v>90283</v>
      </c>
      <c r="P19" s="100"/>
      <c r="Q19" s="100">
        <v>7602.7972027972028</v>
      </c>
      <c r="R19" s="100"/>
      <c r="S19" s="100">
        <v>113727.86223776224</v>
      </c>
      <c r="T19" s="100">
        <v>367678.32840742066</v>
      </c>
    </row>
    <row r="20" spans="1:20">
      <c r="A20" s="99" t="s">
        <v>96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>
        <v>23502.911328671329</v>
      </c>
      <c r="L20" s="100"/>
      <c r="M20" s="100"/>
      <c r="N20" s="100"/>
      <c r="O20" s="100"/>
      <c r="P20" s="100">
        <v>192.48770395676297</v>
      </c>
      <c r="Q20" s="100"/>
      <c r="R20" s="100"/>
      <c r="S20" s="100"/>
      <c r="T20" s="100">
        <v>23695.399032628091</v>
      </c>
    </row>
    <row r="21" spans="1:20">
      <c r="A21" s="4" t="s">
        <v>58</v>
      </c>
      <c r="B21" s="100">
        <v>22258.531468531466</v>
      </c>
      <c r="C21" s="100">
        <v>6289.7552447552443</v>
      </c>
      <c r="D21" s="100">
        <v>507717</v>
      </c>
      <c r="E21" s="100">
        <v>41424.475524475522</v>
      </c>
      <c r="F21" s="100">
        <v>1475.0905193743295</v>
      </c>
      <c r="G21" s="100"/>
      <c r="H21" s="100">
        <v>1594.4055944055945</v>
      </c>
      <c r="I21" s="100"/>
      <c r="J21" s="100">
        <v>6107.2258951048943</v>
      </c>
      <c r="K21" s="100">
        <v>1131.1188811188811</v>
      </c>
      <c r="L21" s="100"/>
      <c r="M21" s="100">
        <v>25000</v>
      </c>
      <c r="N21" s="100">
        <v>109517.4965034965</v>
      </c>
      <c r="O21" s="100"/>
      <c r="P21" s="100">
        <v>868.53146853146848</v>
      </c>
      <c r="Q21" s="100">
        <v>2688.5524475524476</v>
      </c>
      <c r="R21" s="100">
        <v>8793.7062937062947</v>
      </c>
      <c r="S21" s="100"/>
      <c r="T21" s="100">
        <v>734865.88984105282</v>
      </c>
    </row>
    <row r="22" spans="1:20">
      <c r="A22" s="99" t="s">
        <v>59</v>
      </c>
      <c r="B22" s="100">
        <v>22258.531468531466</v>
      </c>
      <c r="C22" s="100">
        <v>6289.7552447552443</v>
      </c>
      <c r="D22" s="100">
        <v>507717</v>
      </c>
      <c r="E22" s="100">
        <v>41424.475524475522</v>
      </c>
      <c r="F22" s="100">
        <v>1475.0905193743295</v>
      </c>
      <c r="G22" s="100"/>
      <c r="H22" s="100">
        <v>1594.4055944055945</v>
      </c>
      <c r="I22" s="100"/>
      <c r="J22" s="100">
        <v>6107.2258951048943</v>
      </c>
      <c r="K22" s="100">
        <v>1131.1188811188811</v>
      </c>
      <c r="L22" s="100"/>
      <c r="M22" s="100">
        <v>25000</v>
      </c>
      <c r="N22" s="100">
        <v>109517.4965034965</v>
      </c>
      <c r="O22" s="100"/>
      <c r="P22" s="100">
        <v>868.53146853146848</v>
      </c>
      <c r="Q22" s="100">
        <v>2688.5524475524476</v>
      </c>
      <c r="R22" s="100">
        <v>8793.7062937062947</v>
      </c>
      <c r="S22" s="100"/>
      <c r="T22" s="100">
        <v>734865.88984105282</v>
      </c>
    </row>
    <row r="23" spans="1:20">
      <c r="A23" s="4" t="s">
        <v>96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>
        <v>1705</v>
      </c>
      <c r="O23" s="100"/>
      <c r="P23" s="100"/>
      <c r="Q23" s="100"/>
      <c r="R23" s="100"/>
      <c r="S23" s="100"/>
      <c r="T23" s="100">
        <v>1705</v>
      </c>
    </row>
    <row r="24" spans="1:20">
      <c r="A24" s="99" t="s">
        <v>96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>
        <v>1705</v>
      </c>
      <c r="O24" s="100"/>
      <c r="P24" s="100"/>
      <c r="Q24" s="100"/>
      <c r="R24" s="100"/>
      <c r="S24" s="100"/>
      <c r="T24" s="100">
        <v>1705</v>
      </c>
    </row>
    <row r="25" spans="1:20">
      <c r="A25" s="4" t="s">
        <v>259</v>
      </c>
      <c r="B25" s="100"/>
      <c r="C25" s="100"/>
      <c r="D25" s="100"/>
      <c r="E25" s="100"/>
      <c r="F25" s="100">
        <v>0.63882263309292686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>
        <v>0.63882263309292686</v>
      </c>
    </row>
    <row r="26" spans="1:20">
      <c r="A26" s="99" t="s">
        <v>32</v>
      </c>
      <c r="B26" s="100"/>
      <c r="C26" s="100"/>
      <c r="D26" s="100"/>
      <c r="E26" s="100"/>
      <c r="F26" s="100">
        <v>0.63882263309292686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>
        <v>0.63882263309292686</v>
      </c>
    </row>
    <row r="27" spans="1:20">
      <c r="A27" s="4" t="s">
        <v>33</v>
      </c>
      <c r="B27" s="100"/>
      <c r="C27" s="100">
        <v>800</v>
      </c>
      <c r="D27" s="100"/>
      <c r="E27" s="100">
        <v>5244.7552447552443</v>
      </c>
      <c r="F27" s="100">
        <v>2739.6666253324256</v>
      </c>
      <c r="G27" s="100"/>
      <c r="H27" s="100"/>
      <c r="I27" s="100"/>
      <c r="J27" s="100">
        <v>64081.567720279723</v>
      </c>
      <c r="K27" s="100">
        <v>11399.530769230769</v>
      </c>
      <c r="L27" s="100">
        <v>1800</v>
      </c>
      <c r="M27" s="100"/>
      <c r="N27" s="100">
        <v>61641</v>
      </c>
      <c r="O27" s="100"/>
      <c r="P27" s="100">
        <v>7421.7958817612198</v>
      </c>
      <c r="Q27" s="100"/>
      <c r="R27" s="100"/>
      <c r="S27" s="100"/>
      <c r="T27" s="100">
        <v>155128.31624135937</v>
      </c>
    </row>
    <row r="28" spans="1:20">
      <c r="A28" s="99" t="s">
        <v>34</v>
      </c>
      <c r="B28" s="100"/>
      <c r="C28" s="100">
        <v>800</v>
      </c>
      <c r="D28" s="100"/>
      <c r="E28" s="100">
        <v>5244.7552447552443</v>
      </c>
      <c r="F28" s="100">
        <v>2739.6666253324256</v>
      </c>
      <c r="G28" s="100"/>
      <c r="H28" s="100"/>
      <c r="I28" s="100"/>
      <c r="J28" s="100">
        <v>64081.567720279723</v>
      </c>
      <c r="K28" s="100">
        <v>11399.530769230769</v>
      </c>
      <c r="L28" s="100">
        <v>1800</v>
      </c>
      <c r="M28" s="100"/>
      <c r="N28" s="100">
        <v>61641</v>
      </c>
      <c r="O28" s="100"/>
      <c r="P28" s="100">
        <v>7421.7958817612198</v>
      </c>
      <c r="Q28" s="100"/>
      <c r="R28" s="100"/>
      <c r="S28" s="100"/>
      <c r="T28" s="100">
        <v>155128.31624135937</v>
      </c>
    </row>
    <row r="29" spans="1:20">
      <c r="A29" s="4" t="s">
        <v>35</v>
      </c>
      <c r="B29" s="100"/>
      <c r="C29" s="100"/>
      <c r="D29" s="100"/>
      <c r="E29" s="100"/>
      <c r="F29" s="100">
        <v>37.06293706293706</v>
      </c>
      <c r="G29" s="100"/>
      <c r="H29" s="100"/>
      <c r="I29" s="100"/>
      <c r="J29" s="100">
        <v>79819.45394405596</v>
      </c>
      <c r="K29" s="100">
        <v>24633.536573426572</v>
      </c>
      <c r="L29" s="100"/>
      <c r="M29" s="100"/>
      <c r="N29" s="100">
        <v>194804</v>
      </c>
      <c r="O29" s="100">
        <v>28080</v>
      </c>
      <c r="P29" s="100">
        <v>40158.746890788883</v>
      </c>
      <c r="Q29" s="100">
        <v>60088.671328671328</v>
      </c>
      <c r="R29" s="100"/>
      <c r="S29" s="100"/>
      <c r="T29" s="100">
        <v>427621.47167400562</v>
      </c>
    </row>
    <row r="30" spans="1:20">
      <c r="A30" s="99" t="s">
        <v>36</v>
      </c>
      <c r="B30" s="100"/>
      <c r="C30" s="100"/>
      <c r="D30" s="100"/>
      <c r="E30" s="100"/>
      <c r="F30" s="100">
        <v>37.06293706293706</v>
      </c>
      <c r="G30" s="100"/>
      <c r="H30" s="100"/>
      <c r="I30" s="100"/>
      <c r="J30" s="100">
        <v>14795.185426573427</v>
      </c>
      <c r="K30" s="100">
        <v>13490.879230769231</v>
      </c>
      <c r="L30" s="100"/>
      <c r="M30" s="100"/>
      <c r="N30" s="100">
        <v>30733</v>
      </c>
      <c r="O30" s="100"/>
      <c r="P30" s="100">
        <v>6409.2361303697826</v>
      </c>
      <c r="Q30" s="100">
        <v>4927.272727272727</v>
      </c>
      <c r="R30" s="100"/>
      <c r="S30" s="100"/>
      <c r="T30" s="100">
        <v>70392.6364520481</v>
      </c>
    </row>
    <row r="31" spans="1:20">
      <c r="A31" s="99" t="s">
        <v>37</v>
      </c>
      <c r="B31" s="100"/>
      <c r="C31" s="100"/>
      <c r="D31" s="100"/>
      <c r="E31" s="100"/>
      <c r="F31" s="100"/>
      <c r="G31" s="100"/>
      <c r="H31" s="100"/>
      <c r="I31" s="100"/>
      <c r="J31" s="100">
        <v>57198.600797202802</v>
      </c>
      <c r="K31" s="100">
        <v>11142.657342657343</v>
      </c>
      <c r="L31" s="100"/>
      <c r="M31" s="100"/>
      <c r="N31" s="100">
        <v>143690</v>
      </c>
      <c r="O31" s="100">
        <v>28080</v>
      </c>
      <c r="P31" s="100">
        <v>29258.13100142797</v>
      </c>
      <c r="Q31" s="100">
        <v>55161.3986013986</v>
      </c>
      <c r="R31" s="100"/>
      <c r="S31" s="100"/>
      <c r="T31" s="100">
        <v>324530.78774268669</v>
      </c>
    </row>
    <row r="32" spans="1:20">
      <c r="A32" s="99" t="s">
        <v>39</v>
      </c>
      <c r="B32" s="100"/>
      <c r="C32" s="100"/>
      <c r="D32" s="100"/>
      <c r="E32" s="100"/>
      <c r="F32" s="100"/>
      <c r="G32" s="100"/>
      <c r="H32" s="100"/>
      <c r="I32" s="100"/>
      <c r="J32" s="100">
        <v>1893.9393356643357</v>
      </c>
      <c r="K32" s="100"/>
      <c r="L32" s="100"/>
      <c r="M32" s="100"/>
      <c r="N32" s="100"/>
      <c r="O32" s="100"/>
      <c r="P32" s="100"/>
      <c r="Q32" s="100"/>
      <c r="R32" s="100"/>
      <c r="S32" s="100"/>
      <c r="T32" s="100">
        <v>1893.9393356643357</v>
      </c>
    </row>
    <row r="33" spans="1:20">
      <c r="A33" s="99" t="s">
        <v>40</v>
      </c>
      <c r="B33" s="100"/>
      <c r="C33" s="100"/>
      <c r="D33" s="100"/>
      <c r="E33" s="100"/>
      <c r="F33" s="100"/>
      <c r="G33" s="100"/>
      <c r="H33" s="100"/>
      <c r="I33" s="100"/>
      <c r="J33" s="100">
        <v>282.4098951048951</v>
      </c>
      <c r="K33" s="100"/>
      <c r="L33" s="100"/>
      <c r="M33" s="100"/>
      <c r="N33" s="100"/>
      <c r="O33" s="100"/>
      <c r="P33" s="100"/>
      <c r="Q33" s="100"/>
      <c r="R33" s="100"/>
      <c r="S33" s="100"/>
      <c r="T33" s="100">
        <v>282.4098951048951</v>
      </c>
    </row>
    <row r="34" spans="1:20">
      <c r="A34" s="99" t="s">
        <v>41</v>
      </c>
      <c r="B34" s="100"/>
      <c r="C34" s="100"/>
      <c r="D34" s="100"/>
      <c r="E34" s="100"/>
      <c r="F34" s="100"/>
      <c r="G34" s="100"/>
      <c r="H34" s="100"/>
      <c r="I34" s="100"/>
      <c r="J34" s="100">
        <v>5649.3184895104896</v>
      </c>
      <c r="K34" s="100"/>
      <c r="L34" s="100"/>
      <c r="M34" s="100"/>
      <c r="N34" s="100">
        <v>20381</v>
      </c>
      <c r="O34" s="100"/>
      <c r="P34" s="100">
        <v>3336.4535352505582</v>
      </c>
      <c r="Q34" s="100"/>
      <c r="R34" s="100"/>
      <c r="S34" s="100"/>
      <c r="T34" s="100">
        <v>29366.772024761049</v>
      </c>
    </row>
    <row r="35" spans="1:20">
      <c r="A35" s="99" t="s">
        <v>374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>
        <v>1154.9262237405778</v>
      </c>
      <c r="Q35" s="100"/>
      <c r="R35" s="100"/>
      <c r="S35" s="100"/>
      <c r="T35" s="100">
        <v>1154.9262237405778</v>
      </c>
    </row>
    <row r="36" spans="1:20">
      <c r="A36" s="4" t="s">
        <v>42</v>
      </c>
      <c r="B36" s="100"/>
      <c r="C36" s="100"/>
      <c r="D36" s="100"/>
      <c r="E36" s="100">
        <v>8234.2657342657349</v>
      </c>
      <c r="F36" s="100">
        <v>1068.5314685314686</v>
      </c>
      <c r="G36" s="100">
        <v>14500</v>
      </c>
      <c r="H36" s="100">
        <v>4825.1748251748259</v>
      </c>
      <c r="I36" s="100">
        <v>5000</v>
      </c>
      <c r="J36" s="100">
        <v>629803.36810489499</v>
      </c>
      <c r="K36" s="100">
        <v>168580.71398601399</v>
      </c>
      <c r="L36" s="100">
        <v>16398.6013986014</v>
      </c>
      <c r="M36" s="100"/>
      <c r="N36" s="100">
        <v>572866</v>
      </c>
      <c r="O36" s="100">
        <v>133750</v>
      </c>
      <c r="P36" s="100">
        <v>330539.51708399662</v>
      </c>
      <c r="Q36" s="100">
        <v>129854.30769230769</v>
      </c>
      <c r="R36" s="100"/>
      <c r="S36" s="100"/>
      <c r="T36" s="100">
        <v>2015420.4802937869</v>
      </c>
    </row>
    <row r="37" spans="1:20">
      <c r="A37" s="99" t="s">
        <v>71</v>
      </c>
      <c r="B37" s="100"/>
      <c r="C37" s="100"/>
      <c r="D37" s="100"/>
      <c r="E37" s="100"/>
      <c r="F37" s="100">
        <v>407.69230769230768</v>
      </c>
      <c r="G37" s="100"/>
      <c r="H37" s="100"/>
      <c r="I37" s="100"/>
      <c r="J37" s="100"/>
      <c r="K37" s="100">
        <v>689.22</v>
      </c>
      <c r="L37" s="100"/>
      <c r="M37" s="100"/>
      <c r="N37" s="100"/>
      <c r="O37" s="100"/>
      <c r="P37" s="100">
        <v>513.30054388470126</v>
      </c>
      <c r="Q37" s="100"/>
      <c r="R37" s="100"/>
      <c r="S37" s="100"/>
      <c r="T37" s="100">
        <v>1610.2128515770089</v>
      </c>
    </row>
    <row r="38" spans="1:20">
      <c r="A38" s="99" t="s">
        <v>43</v>
      </c>
      <c r="B38" s="100"/>
      <c r="C38" s="100"/>
      <c r="D38" s="100"/>
      <c r="E38" s="100"/>
      <c r="F38" s="100"/>
      <c r="G38" s="100"/>
      <c r="H38" s="100">
        <v>559.44055944055947</v>
      </c>
      <c r="I38" s="100"/>
      <c r="J38" s="100">
        <v>36183.997482517487</v>
      </c>
      <c r="K38" s="100">
        <v>4822.6692307692301</v>
      </c>
      <c r="L38" s="100"/>
      <c r="M38" s="100"/>
      <c r="N38" s="100">
        <v>56660</v>
      </c>
      <c r="O38" s="100"/>
      <c r="P38" s="100">
        <v>45940.398677680765</v>
      </c>
      <c r="Q38" s="100">
        <v>10673.496503496504</v>
      </c>
      <c r="R38" s="100"/>
      <c r="S38" s="100"/>
      <c r="T38" s="100">
        <v>154840.00245390454</v>
      </c>
    </row>
    <row r="39" spans="1:20">
      <c r="A39" s="99" t="s">
        <v>44</v>
      </c>
      <c r="B39" s="100"/>
      <c r="C39" s="100"/>
      <c r="D39" s="100"/>
      <c r="E39" s="100"/>
      <c r="F39" s="100"/>
      <c r="G39" s="100"/>
      <c r="H39" s="100"/>
      <c r="I39" s="100"/>
      <c r="J39" s="100">
        <v>47788.635965034962</v>
      </c>
      <c r="K39" s="100">
        <v>70845.030769230769</v>
      </c>
      <c r="L39" s="100"/>
      <c r="M39" s="100"/>
      <c r="N39" s="100">
        <v>26073</v>
      </c>
      <c r="O39" s="100"/>
      <c r="P39" s="100">
        <v>3849.7540791352594</v>
      </c>
      <c r="Q39" s="100">
        <v>6095.1048951048951</v>
      </c>
      <c r="R39" s="100"/>
      <c r="S39" s="100"/>
      <c r="T39" s="100">
        <v>154651.52570850588</v>
      </c>
    </row>
    <row r="40" spans="1:20">
      <c r="A40" s="99" t="s">
        <v>45</v>
      </c>
      <c r="B40" s="100"/>
      <c r="C40" s="100"/>
      <c r="D40" s="100"/>
      <c r="E40" s="100"/>
      <c r="F40" s="100">
        <v>365.03496503496501</v>
      </c>
      <c r="G40" s="100"/>
      <c r="H40" s="100"/>
      <c r="I40" s="100">
        <v>5000</v>
      </c>
      <c r="J40" s="100">
        <v>117984.25379720279</v>
      </c>
      <c r="K40" s="100">
        <v>6645.3</v>
      </c>
      <c r="L40" s="100"/>
      <c r="M40" s="100"/>
      <c r="N40" s="100">
        <v>55736</v>
      </c>
      <c r="O40" s="100">
        <v>133750</v>
      </c>
      <c r="P40" s="100">
        <v>30220.569521211786</v>
      </c>
      <c r="Q40" s="100">
        <v>41133.216783216776</v>
      </c>
      <c r="R40" s="100"/>
      <c r="S40" s="100"/>
      <c r="T40" s="100">
        <v>390834.37506666628</v>
      </c>
    </row>
    <row r="41" spans="1:20">
      <c r="A41" s="99" t="s">
        <v>46</v>
      </c>
      <c r="B41" s="100"/>
      <c r="C41" s="100"/>
      <c r="D41" s="100"/>
      <c r="E41" s="100"/>
      <c r="F41" s="100"/>
      <c r="G41" s="100"/>
      <c r="H41" s="100"/>
      <c r="I41" s="100"/>
      <c r="J41" s="100">
        <v>12847.40862937063</v>
      </c>
      <c r="K41" s="100">
        <v>8000</v>
      </c>
      <c r="L41" s="100"/>
      <c r="M41" s="100"/>
      <c r="N41" s="100">
        <v>11261</v>
      </c>
      <c r="O41" s="100"/>
      <c r="P41" s="100">
        <v>83347.175813278373</v>
      </c>
      <c r="Q41" s="100"/>
      <c r="R41" s="100"/>
      <c r="S41" s="100"/>
      <c r="T41" s="100">
        <v>115455.58444264901</v>
      </c>
    </row>
    <row r="42" spans="1:20">
      <c r="A42" s="99" t="s">
        <v>47</v>
      </c>
      <c r="B42" s="100"/>
      <c r="C42" s="100"/>
      <c r="D42" s="100"/>
      <c r="E42" s="100"/>
      <c r="F42" s="100">
        <v>37.06293706293706</v>
      </c>
      <c r="G42" s="100"/>
      <c r="H42" s="100"/>
      <c r="I42" s="100"/>
      <c r="J42" s="100">
        <v>24771.023615384616</v>
      </c>
      <c r="K42" s="100">
        <v>3187.4606293706292</v>
      </c>
      <c r="L42" s="100"/>
      <c r="M42" s="100"/>
      <c r="N42" s="100">
        <v>58882</v>
      </c>
      <c r="O42" s="100"/>
      <c r="P42" s="100">
        <v>24895.076378408012</v>
      </c>
      <c r="Q42" s="100">
        <v>67807.594405594413</v>
      </c>
      <c r="R42" s="100"/>
      <c r="S42" s="100"/>
      <c r="T42" s="100">
        <v>179580.21796582063</v>
      </c>
    </row>
    <row r="43" spans="1:20">
      <c r="A43" s="99" t="s">
        <v>49</v>
      </c>
      <c r="B43" s="100"/>
      <c r="C43" s="100"/>
      <c r="D43" s="100"/>
      <c r="E43" s="100"/>
      <c r="F43" s="100"/>
      <c r="G43" s="100"/>
      <c r="H43" s="100"/>
      <c r="I43" s="100"/>
      <c r="J43" s="100">
        <v>8672.6733496503493</v>
      </c>
      <c r="K43" s="100">
        <v>806</v>
      </c>
      <c r="L43" s="100"/>
      <c r="M43" s="100"/>
      <c r="N43" s="100">
        <v>34850</v>
      </c>
      <c r="O43" s="100"/>
      <c r="P43" s="100">
        <v>17837.19389999337</v>
      </c>
      <c r="Q43" s="100">
        <v>1054.5454545454545</v>
      </c>
      <c r="R43" s="100"/>
      <c r="S43" s="100"/>
      <c r="T43" s="100">
        <v>63220.412704189177</v>
      </c>
    </row>
    <row r="44" spans="1:20">
      <c r="A44" s="99" t="s">
        <v>50</v>
      </c>
      <c r="B44" s="100"/>
      <c r="C44" s="100"/>
      <c r="D44" s="100"/>
      <c r="E44" s="100"/>
      <c r="F44" s="100">
        <v>258.74125874125872</v>
      </c>
      <c r="G44" s="100"/>
      <c r="H44" s="100">
        <v>4265.734265734266</v>
      </c>
      <c r="I44" s="100"/>
      <c r="J44" s="100">
        <v>311976.9117482517</v>
      </c>
      <c r="K44" s="100">
        <v>49314.783706293711</v>
      </c>
      <c r="L44" s="100"/>
      <c r="M44" s="100"/>
      <c r="N44" s="100">
        <v>241913</v>
      </c>
      <c r="O44" s="100"/>
      <c r="P44" s="100">
        <v>100286.0937614735</v>
      </c>
      <c r="Q44" s="100">
        <v>1130.909090909091</v>
      </c>
      <c r="R44" s="100"/>
      <c r="S44" s="100"/>
      <c r="T44" s="100">
        <v>709146.17383140349</v>
      </c>
    </row>
    <row r="45" spans="1:20">
      <c r="A45" s="99" t="s">
        <v>51</v>
      </c>
      <c r="B45" s="100"/>
      <c r="C45" s="100"/>
      <c r="D45" s="100"/>
      <c r="E45" s="100">
        <v>1748.2517482517483</v>
      </c>
      <c r="F45" s="100"/>
      <c r="G45" s="100"/>
      <c r="H45" s="100"/>
      <c r="I45" s="100"/>
      <c r="J45" s="100">
        <v>22735.60672027972</v>
      </c>
      <c r="K45" s="100">
        <v>1703.4265734265734</v>
      </c>
      <c r="L45" s="100">
        <v>16398.6013986014</v>
      </c>
      <c r="M45" s="100"/>
      <c r="N45" s="100">
        <v>30979</v>
      </c>
      <c r="O45" s="100"/>
      <c r="P45" s="100">
        <v>4959.267463090483</v>
      </c>
      <c r="Q45" s="100"/>
      <c r="R45" s="100"/>
      <c r="S45" s="100"/>
      <c r="T45" s="100">
        <v>78524.153903649916</v>
      </c>
    </row>
    <row r="46" spans="1:20">
      <c r="A46" s="99" t="s">
        <v>74</v>
      </c>
      <c r="B46" s="100"/>
      <c r="C46" s="100"/>
      <c r="D46" s="100"/>
      <c r="E46" s="100">
        <v>1416.0839160839162</v>
      </c>
      <c r="F46" s="100"/>
      <c r="G46" s="100"/>
      <c r="H46" s="100"/>
      <c r="I46" s="100"/>
      <c r="J46" s="100"/>
      <c r="K46" s="100">
        <v>2721.6783216783215</v>
      </c>
      <c r="L46" s="100"/>
      <c r="M46" s="100"/>
      <c r="N46" s="100"/>
      <c r="O46" s="100"/>
      <c r="P46" s="100"/>
      <c r="Q46" s="100"/>
      <c r="R46" s="100"/>
      <c r="S46" s="100"/>
      <c r="T46" s="100">
        <v>4137.7622377622374</v>
      </c>
    </row>
    <row r="47" spans="1:20">
      <c r="A47" s="99" t="s">
        <v>375</v>
      </c>
      <c r="B47" s="100"/>
      <c r="C47" s="100"/>
      <c r="D47" s="100"/>
      <c r="E47" s="100">
        <v>5069.9300699300702</v>
      </c>
      <c r="F47" s="100"/>
      <c r="G47" s="100">
        <v>14500</v>
      </c>
      <c r="H47" s="100"/>
      <c r="I47" s="100"/>
      <c r="J47" s="100">
        <v>46842.856797202796</v>
      </c>
      <c r="K47" s="100">
        <v>19845.144755244757</v>
      </c>
      <c r="L47" s="100"/>
      <c r="M47" s="100"/>
      <c r="N47" s="100">
        <v>56512</v>
      </c>
      <c r="O47" s="100"/>
      <c r="P47" s="100">
        <v>18690.686945840374</v>
      </c>
      <c r="Q47" s="100">
        <v>1959.4405594405594</v>
      </c>
      <c r="R47" s="100"/>
      <c r="S47" s="100"/>
      <c r="T47" s="100">
        <v>163420.05912765855</v>
      </c>
    </row>
    <row r="48" spans="1:20">
      <c r="A48" s="4" t="s">
        <v>52</v>
      </c>
      <c r="B48" s="100"/>
      <c r="C48" s="100"/>
      <c r="D48" s="100"/>
      <c r="E48" s="100">
        <v>3982.5174825174822</v>
      </c>
      <c r="F48" s="100">
        <v>1074.4153935935433</v>
      </c>
      <c r="G48" s="100">
        <v>7587.4125874125875</v>
      </c>
      <c r="H48" s="100">
        <v>19615.384615384613</v>
      </c>
      <c r="I48" s="100">
        <v>10937.062937062936</v>
      </c>
      <c r="J48" s="100">
        <v>438997.59893006994</v>
      </c>
      <c r="K48" s="100">
        <v>88840.24216783217</v>
      </c>
      <c r="L48" s="100">
        <v>30631.200000000001</v>
      </c>
      <c r="M48" s="100"/>
      <c r="N48" s="100">
        <v>335055</v>
      </c>
      <c r="O48" s="100">
        <v>430872.65</v>
      </c>
      <c r="P48" s="100">
        <v>131661.58950642587</v>
      </c>
      <c r="Q48" s="100">
        <v>174203.74125874127</v>
      </c>
      <c r="R48" s="100"/>
      <c r="S48" s="100"/>
      <c r="T48" s="100">
        <v>1673458.8148790405</v>
      </c>
    </row>
    <row r="49" spans="1:20">
      <c r="A49" s="99" t="s">
        <v>62</v>
      </c>
      <c r="B49" s="100"/>
      <c r="C49" s="100"/>
      <c r="D49" s="100"/>
      <c r="E49" s="100">
        <v>3982.5174825174822</v>
      </c>
      <c r="F49" s="100">
        <v>1074.4153935935433</v>
      </c>
      <c r="G49" s="100">
        <v>7587.4125874125875</v>
      </c>
      <c r="H49" s="100">
        <v>19615.384615384613</v>
      </c>
      <c r="I49" s="100">
        <v>10937.062937062936</v>
      </c>
      <c r="J49" s="100">
        <v>438997.59893006994</v>
      </c>
      <c r="K49" s="100">
        <v>88840.24216783217</v>
      </c>
      <c r="L49" s="100">
        <v>30631.200000000001</v>
      </c>
      <c r="M49" s="100"/>
      <c r="N49" s="100">
        <v>335055</v>
      </c>
      <c r="O49" s="100">
        <v>430872.65</v>
      </c>
      <c r="P49" s="100">
        <v>131661.58950642587</v>
      </c>
      <c r="Q49" s="100">
        <v>174203.74125874127</v>
      </c>
      <c r="R49" s="100"/>
      <c r="S49" s="100"/>
      <c r="T49" s="100">
        <v>1673458.8148790405</v>
      </c>
    </row>
    <row r="50" spans="1:20">
      <c r="A50" s="4" t="s">
        <v>256</v>
      </c>
      <c r="B50" s="100">
        <v>22258.531468531466</v>
      </c>
      <c r="C50" s="100">
        <v>7089.7552447552443</v>
      </c>
      <c r="D50" s="100">
        <v>507717</v>
      </c>
      <c r="E50" s="100">
        <v>59934.96503496504</v>
      </c>
      <c r="F50" s="100">
        <v>10606.993006993009</v>
      </c>
      <c r="G50" s="100">
        <v>31387.412587412589</v>
      </c>
      <c r="H50" s="100">
        <v>31818.181818181816</v>
      </c>
      <c r="I50" s="100">
        <v>25437.062937062936</v>
      </c>
      <c r="J50" s="100">
        <v>1635379.6211748251</v>
      </c>
      <c r="K50" s="100">
        <v>474874.95860139863</v>
      </c>
      <c r="L50" s="100">
        <v>69449.801398601398</v>
      </c>
      <c r="M50" s="100">
        <v>25000</v>
      </c>
      <c r="N50" s="100">
        <v>1845599.2027972029</v>
      </c>
      <c r="O50" s="100">
        <v>710957.67797202803</v>
      </c>
      <c r="P50" s="100">
        <v>681506.29370629357</v>
      </c>
      <c r="Q50" s="100">
        <v>452762.23076923087</v>
      </c>
      <c r="R50" s="100">
        <v>8793.7062937062947</v>
      </c>
      <c r="S50" s="100">
        <v>113727.86223776224</v>
      </c>
      <c r="T50" s="100">
        <v>6714301.2570489515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3"/>
  <sheetViews>
    <sheetView workbookViewId="0"/>
  </sheetViews>
  <sheetFormatPr defaultColWidth="9" defaultRowHeight="14.4"/>
  <cols>
    <col min="1" max="1" width="7.6640625" style="73" bestFit="1" customWidth="1"/>
    <col min="2" max="2" width="9.33203125" style="73" bestFit="1" customWidth="1"/>
    <col min="3" max="3" width="10.5546875" style="73" bestFit="1" customWidth="1"/>
    <col min="4" max="4" width="11.21875" style="73" bestFit="1" customWidth="1"/>
    <col min="5" max="5" width="29" style="73" bestFit="1" customWidth="1"/>
    <col min="6" max="6" width="12.44140625" style="73" bestFit="1" customWidth="1"/>
    <col min="7" max="7" width="60" style="73" bestFit="1" customWidth="1"/>
    <col min="8" max="8" width="51.77734375" style="73" bestFit="1" customWidth="1"/>
    <col min="9" max="9" width="21.6640625" style="93" bestFit="1" customWidth="1"/>
    <col min="10" max="10" width="32.6640625" style="73" bestFit="1" customWidth="1"/>
    <col min="11" max="11" width="13.88671875" style="95" bestFit="1" customWidth="1"/>
    <col min="12" max="12" width="12.77734375" style="73" bestFit="1" customWidth="1"/>
    <col min="13" max="13" width="8.77734375" style="73" bestFit="1" customWidth="1"/>
    <col min="14" max="14" width="6.77734375" style="73" bestFit="1" customWidth="1"/>
    <col min="15" max="16384" width="9" style="73"/>
  </cols>
  <sheetData>
    <row r="1" spans="1:14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91" t="s">
        <v>8</v>
      </c>
      <c r="J1" s="72" t="s">
        <v>9</v>
      </c>
      <c r="K1" s="94" t="s">
        <v>10</v>
      </c>
      <c r="L1" s="72" t="s">
        <v>11</v>
      </c>
      <c r="M1" s="72" t="s">
        <v>12</v>
      </c>
      <c r="N1" s="72" t="s">
        <v>13</v>
      </c>
    </row>
    <row r="2" spans="1:14">
      <c r="A2" s="36">
        <v>1</v>
      </c>
      <c r="B2" s="36" t="s">
        <v>29</v>
      </c>
      <c r="C2" s="36" t="s">
        <v>232</v>
      </c>
      <c r="D2" s="36" t="s">
        <v>60</v>
      </c>
      <c r="E2" s="36" t="s">
        <v>20</v>
      </c>
      <c r="F2" s="36"/>
      <c r="G2" s="36" t="s">
        <v>21</v>
      </c>
      <c r="H2" s="36" t="s">
        <v>314</v>
      </c>
      <c r="I2" s="76">
        <v>18062</v>
      </c>
      <c r="J2" s="36" t="s">
        <v>14</v>
      </c>
      <c r="K2" s="78" t="s">
        <v>14</v>
      </c>
      <c r="L2" s="36" t="s">
        <v>14</v>
      </c>
      <c r="M2" s="36" t="s">
        <v>225</v>
      </c>
      <c r="N2" s="36">
        <v>2025</v>
      </c>
    </row>
    <row r="3" spans="1:14">
      <c r="A3" s="36">
        <v>2</v>
      </c>
      <c r="B3" s="75" t="s">
        <v>29</v>
      </c>
      <c r="C3" s="36" t="s">
        <v>232</v>
      </c>
      <c r="D3" s="36" t="s">
        <v>19</v>
      </c>
      <c r="E3" s="36" t="s">
        <v>87</v>
      </c>
      <c r="F3" s="36"/>
      <c r="G3" s="75" t="s">
        <v>91</v>
      </c>
      <c r="H3" s="75" t="s">
        <v>299</v>
      </c>
      <c r="I3" s="84">
        <v>4607.7192307692312</v>
      </c>
      <c r="J3" s="36" t="s">
        <v>14</v>
      </c>
      <c r="K3" s="78" t="s">
        <v>14</v>
      </c>
      <c r="L3" s="36" t="s">
        <v>14</v>
      </c>
      <c r="M3" s="75" t="s">
        <v>225</v>
      </c>
      <c r="N3" s="36">
        <v>2025</v>
      </c>
    </row>
    <row r="4" spans="1:14">
      <c r="A4" s="36">
        <v>3</v>
      </c>
      <c r="B4" s="75" t="s">
        <v>29</v>
      </c>
      <c r="C4" s="36" t="s">
        <v>232</v>
      </c>
      <c r="D4" s="36" t="s">
        <v>19</v>
      </c>
      <c r="E4" s="36" t="s">
        <v>87</v>
      </c>
      <c r="F4" s="36"/>
      <c r="G4" s="75" t="s">
        <v>90</v>
      </c>
      <c r="H4" s="75" t="s">
        <v>299</v>
      </c>
      <c r="I4" s="84">
        <v>562.13017482517489</v>
      </c>
      <c r="J4" s="36" t="s">
        <v>14</v>
      </c>
      <c r="K4" s="78" t="s">
        <v>14</v>
      </c>
      <c r="L4" s="36" t="s">
        <v>14</v>
      </c>
      <c r="M4" s="75" t="s">
        <v>225</v>
      </c>
      <c r="N4" s="36">
        <v>2025</v>
      </c>
    </row>
    <row r="5" spans="1:14">
      <c r="A5" s="36">
        <v>4</v>
      </c>
      <c r="B5" s="75" t="s">
        <v>29</v>
      </c>
      <c r="C5" s="36" t="s">
        <v>232</v>
      </c>
      <c r="D5" s="36" t="s">
        <v>19</v>
      </c>
      <c r="E5" s="36" t="s">
        <v>87</v>
      </c>
      <c r="F5" s="36"/>
      <c r="G5" s="75" t="s">
        <v>88</v>
      </c>
      <c r="H5" s="75" t="s">
        <v>299</v>
      </c>
      <c r="I5" s="84">
        <v>10439.483503496504</v>
      </c>
      <c r="J5" s="36" t="s">
        <v>14</v>
      </c>
      <c r="K5" s="78" t="s">
        <v>14</v>
      </c>
      <c r="L5" s="36" t="s">
        <v>14</v>
      </c>
      <c r="M5" s="75" t="s">
        <v>225</v>
      </c>
      <c r="N5" s="36">
        <v>2025</v>
      </c>
    </row>
    <row r="6" spans="1:14">
      <c r="A6" s="36">
        <v>5</v>
      </c>
      <c r="B6" s="75" t="s">
        <v>29</v>
      </c>
      <c r="C6" s="36" t="s">
        <v>232</v>
      </c>
      <c r="D6" s="36" t="s">
        <v>19</v>
      </c>
      <c r="E6" s="36" t="s">
        <v>87</v>
      </c>
      <c r="F6" s="36"/>
      <c r="G6" s="75" t="s">
        <v>90</v>
      </c>
      <c r="H6" s="75" t="s">
        <v>321</v>
      </c>
      <c r="I6" s="84">
        <v>2197.4179720279722</v>
      </c>
      <c r="J6" s="36" t="s">
        <v>14</v>
      </c>
      <c r="K6" s="78" t="s">
        <v>14</v>
      </c>
      <c r="L6" s="36" t="s">
        <v>14</v>
      </c>
      <c r="M6" s="75" t="s">
        <v>225</v>
      </c>
      <c r="N6" s="36">
        <v>2025</v>
      </c>
    </row>
    <row r="7" spans="1:14">
      <c r="A7" s="36">
        <v>6</v>
      </c>
      <c r="B7" s="75" t="s">
        <v>29</v>
      </c>
      <c r="C7" s="36" t="s">
        <v>232</v>
      </c>
      <c r="D7" s="36" t="s">
        <v>19</v>
      </c>
      <c r="E7" s="36" t="s">
        <v>87</v>
      </c>
      <c r="F7" s="36"/>
      <c r="G7" s="75" t="s">
        <v>88</v>
      </c>
      <c r="H7" s="75" t="s">
        <v>321</v>
      </c>
      <c r="I7" s="84">
        <v>5119.477713286713</v>
      </c>
      <c r="J7" s="36" t="s">
        <v>14</v>
      </c>
      <c r="K7" s="78" t="s">
        <v>14</v>
      </c>
      <c r="L7" s="36" t="s">
        <v>14</v>
      </c>
      <c r="M7" s="75" t="s">
        <v>225</v>
      </c>
      <c r="N7" s="36">
        <v>2025</v>
      </c>
    </row>
    <row r="8" spans="1:14">
      <c r="A8" s="36">
        <v>7</v>
      </c>
      <c r="B8" s="36" t="s">
        <v>29</v>
      </c>
      <c r="C8" s="36" t="s">
        <v>232</v>
      </c>
      <c r="D8" s="36" t="s">
        <v>60</v>
      </c>
      <c r="E8" s="36" t="s">
        <v>103</v>
      </c>
      <c r="F8" s="36"/>
      <c r="G8" s="36" t="s">
        <v>106</v>
      </c>
      <c r="H8" s="36" t="s">
        <v>107</v>
      </c>
      <c r="I8" s="84">
        <v>161.51516052231824</v>
      </c>
      <c r="J8" s="36">
        <v>63</v>
      </c>
      <c r="K8" s="78">
        <v>45930</v>
      </c>
      <c r="L8" s="36" t="s">
        <v>14</v>
      </c>
      <c r="M8" s="36" t="s">
        <v>225</v>
      </c>
      <c r="N8" s="36">
        <v>2025</v>
      </c>
    </row>
    <row r="9" spans="1:14">
      <c r="A9" s="36">
        <v>8</v>
      </c>
      <c r="B9" s="36" t="s">
        <v>29</v>
      </c>
      <c r="C9" s="36" t="s">
        <v>232</v>
      </c>
      <c r="D9" s="36" t="s">
        <v>60</v>
      </c>
      <c r="E9" s="88" t="s">
        <v>72</v>
      </c>
      <c r="F9" s="36"/>
      <c r="G9" s="36" t="s">
        <v>128</v>
      </c>
      <c r="H9" s="36" t="s">
        <v>121</v>
      </c>
      <c r="I9" s="84">
        <v>150</v>
      </c>
      <c r="J9" s="36" t="s">
        <v>477</v>
      </c>
      <c r="K9" s="78">
        <v>45976</v>
      </c>
      <c r="L9" s="36">
        <v>2025404138</v>
      </c>
      <c r="M9" s="77" t="s">
        <v>225</v>
      </c>
      <c r="N9" s="36">
        <v>2025</v>
      </c>
    </row>
    <row r="10" spans="1:14">
      <c r="A10" s="36">
        <v>9</v>
      </c>
      <c r="B10" s="36" t="s">
        <v>29</v>
      </c>
      <c r="C10" s="36" t="s">
        <v>232</v>
      </c>
      <c r="D10" s="36" t="s">
        <v>19</v>
      </c>
      <c r="E10" s="36" t="s">
        <v>110</v>
      </c>
      <c r="F10" s="36"/>
      <c r="G10" s="36" t="s">
        <v>117</v>
      </c>
      <c r="H10" s="36" t="s">
        <v>110</v>
      </c>
      <c r="I10" s="84">
        <v>1860.7144715820421</v>
      </c>
      <c r="J10" s="36" t="s">
        <v>14</v>
      </c>
      <c r="K10" s="78" t="s">
        <v>14</v>
      </c>
      <c r="L10" s="36" t="s">
        <v>14</v>
      </c>
      <c r="M10" s="36" t="s">
        <v>225</v>
      </c>
      <c r="N10" s="36">
        <v>2025</v>
      </c>
    </row>
    <row r="11" spans="1:14">
      <c r="A11" s="36">
        <v>10</v>
      </c>
      <c r="B11" s="36" t="s">
        <v>17</v>
      </c>
      <c r="C11" s="36" t="s">
        <v>18</v>
      </c>
      <c r="D11" s="36" t="s">
        <v>60</v>
      </c>
      <c r="E11" s="36" t="s">
        <v>20</v>
      </c>
      <c r="F11" s="36"/>
      <c r="G11" s="36" t="s">
        <v>21</v>
      </c>
      <c r="H11" s="36" t="s">
        <v>314</v>
      </c>
      <c r="I11" s="76">
        <v>108532</v>
      </c>
      <c r="J11" s="36" t="s">
        <v>14</v>
      </c>
      <c r="K11" s="78" t="s">
        <v>14</v>
      </c>
      <c r="L11" s="36" t="s">
        <v>14</v>
      </c>
      <c r="M11" s="36" t="s">
        <v>225</v>
      </c>
      <c r="N11" s="36">
        <v>2025</v>
      </c>
    </row>
    <row r="12" spans="1:14">
      <c r="A12" s="36">
        <v>11</v>
      </c>
      <c r="B12" s="36" t="s">
        <v>17</v>
      </c>
      <c r="C12" s="36" t="s">
        <v>75</v>
      </c>
      <c r="D12" s="36" t="s">
        <v>60</v>
      </c>
      <c r="E12" s="36" t="s">
        <v>20</v>
      </c>
      <c r="F12" s="36"/>
      <c r="G12" s="36" t="s">
        <v>21</v>
      </c>
      <c r="H12" s="36" t="s">
        <v>314</v>
      </c>
      <c r="I12" s="76">
        <v>18744</v>
      </c>
      <c r="J12" s="36" t="s">
        <v>14</v>
      </c>
      <c r="K12" s="78" t="s">
        <v>14</v>
      </c>
      <c r="L12" s="36" t="s">
        <v>14</v>
      </c>
      <c r="M12" s="36" t="s">
        <v>225</v>
      </c>
      <c r="N12" s="36">
        <v>2025</v>
      </c>
    </row>
    <row r="13" spans="1:14">
      <c r="A13" s="36">
        <v>12</v>
      </c>
      <c r="B13" s="36" t="s">
        <v>17</v>
      </c>
      <c r="C13" s="36" t="s">
        <v>22</v>
      </c>
      <c r="D13" s="36" t="s">
        <v>60</v>
      </c>
      <c r="E13" s="36" t="s">
        <v>20</v>
      </c>
      <c r="F13" s="36"/>
      <c r="G13" s="36" t="s">
        <v>21</v>
      </c>
      <c r="H13" s="36" t="s">
        <v>314</v>
      </c>
      <c r="I13" s="76">
        <v>107578</v>
      </c>
      <c r="J13" s="36" t="s">
        <v>14</v>
      </c>
      <c r="K13" s="78" t="s">
        <v>14</v>
      </c>
      <c r="L13" s="36" t="s">
        <v>14</v>
      </c>
      <c r="M13" s="36" t="s">
        <v>225</v>
      </c>
      <c r="N13" s="36">
        <v>2025</v>
      </c>
    </row>
    <row r="14" spans="1:14">
      <c r="A14" s="36">
        <v>13</v>
      </c>
      <c r="B14" s="36" t="s">
        <v>17</v>
      </c>
      <c r="C14" s="36" t="s">
        <v>93</v>
      </c>
      <c r="D14" s="36" t="s">
        <v>60</v>
      </c>
      <c r="E14" s="36" t="s">
        <v>20</v>
      </c>
      <c r="F14" s="36"/>
      <c r="G14" s="36" t="s">
        <v>21</v>
      </c>
      <c r="H14" s="36" t="s">
        <v>314</v>
      </c>
      <c r="I14" s="76">
        <v>44196</v>
      </c>
      <c r="J14" s="36" t="s">
        <v>14</v>
      </c>
      <c r="K14" s="78" t="s">
        <v>14</v>
      </c>
      <c r="L14" s="36" t="s">
        <v>14</v>
      </c>
      <c r="M14" s="36" t="s">
        <v>225</v>
      </c>
      <c r="N14" s="36">
        <v>2025</v>
      </c>
    </row>
    <row r="15" spans="1:14">
      <c r="A15" s="36">
        <v>14</v>
      </c>
      <c r="B15" s="36" t="s">
        <v>17</v>
      </c>
      <c r="C15" s="36" t="s">
        <v>23</v>
      </c>
      <c r="D15" s="36" t="s">
        <v>60</v>
      </c>
      <c r="E15" s="36" t="s">
        <v>20</v>
      </c>
      <c r="F15" s="36"/>
      <c r="G15" s="36" t="s">
        <v>21</v>
      </c>
      <c r="H15" s="36" t="s">
        <v>314</v>
      </c>
      <c r="I15" s="76">
        <v>5471</v>
      </c>
      <c r="J15" s="36" t="s">
        <v>14</v>
      </c>
      <c r="K15" s="78" t="s">
        <v>14</v>
      </c>
      <c r="L15" s="36" t="s">
        <v>14</v>
      </c>
      <c r="M15" s="36" t="s">
        <v>225</v>
      </c>
      <c r="N15" s="36">
        <v>2025</v>
      </c>
    </row>
    <row r="16" spans="1:14">
      <c r="A16" s="36">
        <v>15</v>
      </c>
      <c r="B16" s="36" t="s">
        <v>17</v>
      </c>
      <c r="C16" s="36" t="s">
        <v>24</v>
      </c>
      <c r="D16" s="36" t="s">
        <v>60</v>
      </c>
      <c r="E16" s="36" t="s">
        <v>20</v>
      </c>
      <c r="F16" s="36"/>
      <c r="G16" s="36" t="s">
        <v>21</v>
      </c>
      <c r="H16" s="36" t="s">
        <v>314</v>
      </c>
      <c r="I16" s="76">
        <v>31670</v>
      </c>
      <c r="J16" s="36" t="s">
        <v>14</v>
      </c>
      <c r="K16" s="78" t="s">
        <v>14</v>
      </c>
      <c r="L16" s="36" t="s">
        <v>14</v>
      </c>
      <c r="M16" s="36" t="s">
        <v>225</v>
      </c>
      <c r="N16" s="36">
        <v>2025</v>
      </c>
    </row>
    <row r="17" spans="1:14">
      <c r="A17" s="36">
        <v>16</v>
      </c>
      <c r="B17" s="36" t="s">
        <v>17</v>
      </c>
      <c r="C17" s="36" t="s">
        <v>25</v>
      </c>
      <c r="D17" s="36" t="s">
        <v>60</v>
      </c>
      <c r="E17" s="36" t="s">
        <v>20</v>
      </c>
      <c r="F17" s="36"/>
      <c r="G17" s="36" t="s">
        <v>21</v>
      </c>
      <c r="H17" s="36" t="s">
        <v>314</v>
      </c>
      <c r="I17" s="76">
        <v>183652</v>
      </c>
      <c r="J17" s="36" t="s">
        <v>14</v>
      </c>
      <c r="K17" s="78" t="s">
        <v>14</v>
      </c>
      <c r="L17" s="36" t="s">
        <v>14</v>
      </c>
      <c r="M17" s="36" t="s">
        <v>225</v>
      </c>
      <c r="N17" s="36">
        <v>2025</v>
      </c>
    </row>
    <row r="18" spans="1:14">
      <c r="A18" s="36">
        <v>17</v>
      </c>
      <c r="B18" s="36" t="s">
        <v>17</v>
      </c>
      <c r="C18" s="36" t="s">
        <v>26</v>
      </c>
      <c r="D18" s="36" t="s">
        <v>60</v>
      </c>
      <c r="E18" s="36" t="s">
        <v>20</v>
      </c>
      <c r="F18" s="36"/>
      <c r="G18" s="36" t="s">
        <v>21</v>
      </c>
      <c r="H18" s="36" t="s">
        <v>314</v>
      </c>
      <c r="I18" s="76">
        <v>9090</v>
      </c>
      <c r="J18" s="36" t="s">
        <v>14</v>
      </c>
      <c r="K18" s="78" t="s">
        <v>14</v>
      </c>
      <c r="L18" s="36" t="s">
        <v>14</v>
      </c>
      <c r="M18" s="36" t="s">
        <v>225</v>
      </c>
      <c r="N18" s="36">
        <v>2025</v>
      </c>
    </row>
    <row r="19" spans="1:14">
      <c r="A19" s="36">
        <v>18</v>
      </c>
      <c r="B19" s="75" t="s">
        <v>17</v>
      </c>
      <c r="C19" s="75" t="s">
        <v>25</v>
      </c>
      <c r="D19" s="36" t="s">
        <v>19</v>
      </c>
      <c r="E19" s="36" t="s">
        <v>56</v>
      </c>
      <c r="F19" s="36"/>
      <c r="G19" s="75" t="s">
        <v>320</v>
      </c>
      <c r="H19" s="36" t="s">
        <v>56</v>
      </c>
      <c r="I19" s="76">
        <v>7600</v>
      </c>
      <c r="J19" s="36" t="s">
        <v>14</v>
      </c>
      <c r="K19" s="78" t="s">
        <v>14</v>
      </c>
      <c r="L19" s="36" t="s">
        <v>14</v>
      </c>
      <c r="M19" s="75" t="s">
        <v>225</v>
      </c>
      <c r="N19" s="36">
        <v>2025</v>
      </c>
    </row>
    <row r="20" spans="1:14">
      <c r="A20" s="36">
        <v>19</v>
      </c>
      <c r="B20" s="36" t="s">
        <v>17</v>
      </c>
      <c r="C20" s="78" t="s">
        <v>18</v>
      </c>
      <c r="D20" s="36" t="s">
        <v>60</v>
      </c>
      <c r="E20" s="36" t="s">
        <v>63</v>
      </c>
      <c r="F20" s="36"/>
      <c r="G20" s="36" t="s">
        <v>64</v>
      </c>
      <c r="H20" s="79" t="s">
        <v>340</v>
      </c>
      <c r="I20" s="80">
        <v>139.86013986013987</v>
      </c>
      <c r="J20" s="78" t="s">
        <v>68</v>
      </c>
      <c r="K20" s="78" t="s">
        <v>322</v>
      </c>
      <c r="L20" s="81" t="s">
        <v>14</v>
      </c>
      <c r="M20" s="75" t="s">
        <v>225</v>
      </c>
      <c r="N20" s="36">
        <v>2025</v>
      </c>
    </row>
    <row r="21" spans="1:14">
      <c r="A21" s="36">
        <v>20</v>
      </c>
      <c r="B21" s="36" t="s">
        <v>17</v>
      </c>
      <c r="C21" s="36" t="s">
        <v>22</v>
      </c>
      <c r="D21" s="36" t="s">
        <v>60</v>
      </c>
      <c r="E21" s="36" t="s">
        <v>63</v>
      </c>
      <c r="F21" s="36"/>
      <c r="G21" s="36" t="s">
        <v>64</v>
      </c>
      <c r="H21" s="79" t="s">
        <v>66</v>
      </c>
      <c r="I21" s="80">
        <v>909.09090909090912</v>
      </c>
      <c r="J21" s="36" t="s">
        <v>68</v>
      </c>
      <c r="K21" s="78">
        <v>45758</v>
      </c>
      <c r="L21" s="81" t="s">
        <v>14</v>
      </c>
      <c r="M21" s="75" t="s">
        <v>225</v>
      </c>
      <c r="N21" s="36">
        <v>2025</v>
      </c>
    </row>
    <row r="22" spans="1:14">
      <c r="A22" s="36">
        <v>21</v>
      </c>
      <c r="B22" s="36" t="s">
        <v>17</v>
      </c>
      <c r="C22" s="78" t="s">
        <v>18</v>
      </c>
      <c r="D22" s="36" t="s">
        <v>60</v>
      </c>
      <c r="E22" s="36" t="s">
        <v>72</v>
      </c>
      <c r="F22" s="36"/>
      <c r="G22" s="36" t="s">
        <v>64</v>
      </c>
      <c r="H22" s="79" t="s">
        <v>280</v>
      </c>
      <c r="I22" s="80">
        <v>864.33566433566432</v>
      </c>
      <c r="J22" s="36" t="s">
        <v>68</v>
      </c>
      <c r="K22" s="78" t="s">
        <v>276</v>
      </c>
      <c r="L22" s="81" t="s">
        <v>14</v>
      </c>
      <c r="M22" s="75" t="s">
        <v>225</v>
      </c>
      <c r="N22" s="36">
        <v>2025</v>
      </c>
    </row>
    <row r="23" spans="1:14">
      <c r="A23" s="36">
        <v>22</v>
      </c>
      <c r="B23" s="36" t="s">
        <v>17</v>
      </c>
      <c r="C23" s="78" t="s">
        <v>22</v>
      </c>
      <c r="D23" s="36" t="s">
        <v>60</v>
      </c>
      <c r="E23" s="36" t="s">
        <v>72</v>
      </c>
      <c r="F23" s="36"/>
      <c r="G23" s="36" t="s">
        <v>64</v>
      </c>
      <c r="H23" s="79" t="s">
        <v>351</v>
      </c>
      <c r="I23" s="80">
        <v>594.40559440559446</v>
      </c>
      <c r="J23" s="36">
        <v>2126</v>
      </c>
      <c r="K23" s="78">
        <v>45931</v>
      </c>
      <c r="L23" s="81" t="s">
        <v>14</v>
      </c>
      <c r="M23" s="75" t="s">
        <v>225</v>
      </c>
      <c r="N23" s="36">
        <v>2025</v>
      </c>
    </row>
    <row r="24" spans="1:14">
      <c r="A24" s="36">
        <v>23</v>
      </c>
      <c r="B24" s="36" t="s">
        <v>17</v>
      </c>
      <c r="C24" s="78" t="s">
        <v>22</v>
      </c>
      <c r="D24" s="36" t="s">
        <v>60</v>
      </c>
      <c r="E24" s="36" t="s">
        <v>72</v>
      </c>
      <c r="F24" s="36"/>
      <c r="G24" s="36" t="s">
        <v>64</v>
      </c>
      <c r="H24" s="79" t="s">
        <v>73</v>
      </c>
      <c r="I24" s="80">
        <v>760.13986013986016</v>
      </c>
      <c r="J24" s="36" t="s">
        <v>68</v>
      </c>
      <c r="K24" s="78" t="s">
        <v>70</v>
      </c>
      <c r="L24" s="81" t="s">
        <v>14</v>
      </c>
      <c r="M24" s="75" t="s">
        <v>225</v>
      </c>
      <c r="N24" s="36">
        <v>2025</v>
      </c>
    </row>
    <row r="25" spans="1:14">
      <c r="A25" s="36">
        <v>24</v>
      </c>
      <c r="B25" s="36" t="s">
        <v>17</v>
      </c>
      <c r="C25" s="78" t="s">
        <v>22</v>
      </c>
      <c r="D25" s="36" t="s">
        <v>60</v>
      </c>
      <c r="E25" s="36" t="s">
        <v>72</v>
      </c>
      <c r="F25" s="36"/>
      <c r="G25" s="36" t="s">
        <v>64</v>
      </c>
      <c r="H25" s="79" t="s">
        <v>73</v>
      </c>
      <c r="I25" s="80">
        <v>748.25174825174827</v>
      </c>
      <c r="J25" s="36" t="s">
        <v>68</v>
      </c>
      <c r="K25" s="78" t="s">
        <v>332</v>
      </c>
      <c r="L25" s="81" t="s">
        <v>14</v>
      </c>
      <c r="M25" s="75" t="s">
        <v>225</v>
      </c>
      <c r="N25" s="36">
        <v>2025</v>
      </c>
    </row>
    <row r="26" spans="1:14">
      <c r="A26" s="36">
        <v>25</v>
      </c>
      <c r="B26" s="36" t="s">
        <v>17</v>
      </c>
      <c r="C26" s="78" t="s">
        <v>23</v>
      </c>
      <c r="D26" s="36" t="s">
        <v>60</v>
      </c>
      <c r="E26" s="36" t="s">
        <v>72</v>
      </c>
      <c r="F26" s="36"/>
      <c r="G26" s="36" t="s">
        <v>64</v>
      </c>
      <c r="H26" s="79" t="s">
        <v>288</v>
      </c>
      <c r="I26" s="80">
        <v>1045.4545454545455</v>
      </c>
      <c r="J26" s="36" t="s">
        <v>68</v>
      </c>
      <c r="K26" s="78" t="s">
        <v>333</v>
      </c>
      <c r="L26" s="81" t="s">
        <v>14</v>
      </c>
      <c r="M26" s="75" t="s">
        <v>225</v>
      </c>
      <c r="N26" s="36">
        <v>2025</v>
      </c>
    </row>
    <row r="27" spans="1:14">
      <c r="A27" s="36">
        <v>26</v>
      </c>
      <c r="B27" s="36" t="s">
        <v>17</v>
      </c>
      <c r="C27" s="78" t="s">
        <v>24</v>
      </c>
      <c r="D27" s="36" t="s">
        <v>60</v>
      </c>
      <c r="E27" s="36" t="s">
        <v>72</v>
      </c>
      <c r="F27" s="36"/>
      <c r="G27" s="36" t="s">
        <v>64</v>
      </c>
      <c r="H27" s="79" t="s">
        <v>289</v>
      </c>
      <c r="I27" s="80">
        <v>691.25874125874122</v>
      </c>
      <c r="J27" s="36" t="s">
        <v>68</v>
      </c>
      <c r="K27" s="78">
        <v>45699</v>
      </c>
      <c r="L27" s="81" t="s">
        <v>14</v>
      </c>
      <c r="M27" s="75" t="s">
        <v>225</v>
      </c>
      <c r="N27" s="36">
        <v>2025</v>
      </c>
    </row>
    <row r="28" spans="1:14">
      <c r="A28" s="36">
        <v>27</v>
      </c>
      <c r="B28" s="36" t="s">
        <v>17</v>
      </c>
      <c r="C28" s="36" t="s">
        <v>24</v>
      </c>
      <c r="D28" s="36" t="s">
        <v>60</v>
      </c>
      <c r="E28" s="36" t="s">
        <v>72</v>
      </c>
      <c r="F28" s="36"/>
      <c r="G28" s="36" t="s">
        <v>64</v>
      </c>
      <c r="H28" s="36" t="s">
        <v>289</v>
      </c>
      <c r="I28" s="80">
        <v>594.40559440559446</v>
      </c>
      <c r="J28" s="36" t="s">
        <v>68</v>
      </c>
      <c r="K28" s="78" t="s">
        <v>278</v>
      </c>
      <c r="L28" s="81" t="s">
        <v>14</v>
      </c>
      <c r="M28" s="75" t="s">
        <v>225</v>
      </c>
      <c r="N28" s="36">
        <v>2025</v>
      </c>
    </row>
    <row r="29" spans="1:14">
      <c r="A29" s="36">
        <v>28</v>
      </c>
      <c r="B29" s="36" t="s">
        <v>17</v>
      </c>
      <c r="C29" s="78" t="s">
        <v>25</v>
      </c>
      <c r="D29" s="36" t="s">
        <v>60</v>
      </c>
      <c r="E29" s="36" t="s">
        <v>72</v>
      </c>
      <c r="F29" s="36"/>
      <c r="G29" s="36" t="s">
        <v>64</v>
      </c>
      <c r="H29" s="79" t="s">
        <v>290</v>
      </c>
      <c r="I29" s="80">
        <v>2355.9440559440559</v>
      </c>
      <c r="J29" s="36" t="s">
        <v>68</v>
      </c>
      <c r="K29" s="78">
        <v>45668</v>
      </c>
      <c r="L29" s="81" t="s">
        <v>14</v>
      </c>
      <c r="M29" s="75" t="s">
        <v>225</v>
      </c>
      <c r="N29" s="36">
        <v>2025</v>
      </c>
    </row>
    <row r="30" spans="1:14">
      <c r="A30" s="36">
        <v>29</v>
      </c>
      <c r="B30" s="36" t="s">
        <v>17</v>
      </c>
      <c r="C30" s="36" t="s">
        <v>18</v>
      </c>
      <c r="D30" s="36" t="s">
        <v>60</v>
      </c>
      <c r="E30" s="36" t="s">
        <v>103</v>
      </c>
      <c r="F30" s="36"/>
      <c r="G30" s="36" t="s">
        <v>64</v>
      </c>
      <c r="H30" s="36" t="s">
        <v>345</v>
      </c>
      <c r="I30" s="80">
        <v>222.37762237762237</v>
      </c>
      <c r="J30" s="36" t="s">
        <v>68</v>
      </c>
      <c r="K30" s="78" t="s">
        <v>325</v>
      </c>
      <c r="L30" s="81" t="s">
        <v>14</v>
      </c>
      <c r="M30" s="75" t="s">
        <v>225</v>
      </c>
      <c r="N30" s="36">
        <v>2025</v>
      </c>
    </row>
    <row r="31" spans="1:14">
      <c r="A31" s="36">
        <v>30</v>
      </c>
      <c r="B31" s="36" t="s">
        <v>17</v>
      </c>
      <c r="C31" s="78" t="s">
        <v>23</v>
      </c>
      <c r="D31" s="36" t="s">
        <v>60</v>
      </c>
      <c r="E31" s="36" t="s">
        <v>103</v>
      </c>
      <c r="F31" s="36"/>
      <c r="G31" s="36" t="s">
        <v>64</v>
      </c>
      <c r="H31" s="79" t="s">
        <v>345</v>
      </c>
      <c r="I31" s="80">
        <v>74.12587412587412</v>
      </c>
      <c r="J31" s="36" t="s">
        <v>68</v>
      </c>
      <c r="K31" s="78" t="s">
        <v>325</v>
      </c>
      <c r="L31" s="81" t="s">
        <v>14</v>
      </c>
      <c r="M31" s="75" t="s">
        <v>225</v>
      </c>
      <c r="N31" s="36">
        <v>2025</v>
      </c>
    </row>
    <row r="32" spans="1:14">
      <c r="A32" s="36">
        <v>31</v>
      </c>
      <c r="B32" s="36" t="s">
        <v>17</v>
      </c>
      <c r="C32" s="78" t="s">
        <v>25</v>
      </c>
      <c r="D32" s="36" t="s">
        <v>60</v>
      </c>
      <c r="E32" s="36" t="s">
        <v>103</v>
      </c>
      <c r="F32" s="36"/>
      <c r="G32" s="36" t="s">
        <v>64</v>
      </c>
      <c r="H32" s="79" t="s">
        <v>345</v>
      </c>
      <c r="I32" s="80">
        <v>241.25874125874125</v>
      </c>
      <c r="J32" s="36" t="s">
        <v>68</v>
      </c>
      <c r="K32" s="78" t="s">
        <v>325</v>
      </c>
      <c r="L32" s="81" t="s">
        <v>14</v>
      </c>
      <c r="M32" s="75" t="s">
        <v>225</v>
      </c>
      <c r="N32" s="36">
        <v>2025</v>
      </c>
    </row>
    <row r="33" spans="1:14">
      <c r="A33" s="36">
        <v>32</v>
      </c>
      <c r="B33" s="36" t="s">
        <v>17</v>
      </c>
      <c r="C33" s="36" t="s">
        <v>25</v>
      </c>
      <c r="D33" s="36" t="s">
        <v>19</v>
      </c>
      <c r="E33" s="36" t="s">
        <v>82</v>
      </c>
      <c r="F33" s="36"/>
      <c r="G33" s="36" t="s">
        <v>21</v>
      </c>
      <c r="H33" s="79" t="s">
        <v>371</v>
      </c>
      <c r="I33" s="84">
        <f>3650000/1430</f>
        <v>2552.4475524475524</v>
      </c>
      <c r="J33" s="36" t="s">
        <v>14</v>
      </c>
      <c r="K33" s="78" t="s">
        <v>14</v>
      </c>
      <c r="L33" s="81" t="s">
        <v>14</v>
      </c>
      <c r="M33" s="36" t="s">
        <v>225</v>
      </c>
      <c r="N33" s="36">
        <v>2025</v>
      </c>
    </row>
    <row r="34" spans="1:14">
      <c r="A34" s="36">
        <v>33</v>
      </c>
      <c r="B34" s="36" t="s">
        <v>17</v>
      </c>
      <c r="C34" s="36" t="s">
        <v>22</v>
      </c>
      <c r="D34" s="36" t="s">
        <v>19</v>
      </c>
      <c r="E34" s="36" t="s">
        <v>82</v>
      </c>
      <c r="F34" s="36"/>
      <c r="G34" s="36" t="s">
        <v>21</v>
      </c>
      <c r="H34" s="79" t="s">
        <v>371</v>
      </c>
      <c r="I34" s="84">
        <f>4620000/1430</f>
        <v>3230.7692307692309</v>
      </c>
      <c r="J34" s="36" t="s">
        <v>14</v>
      </c>
      <c r="K34" s="78" t="s">
        <v>14</v>
      </c>
      <c r="L34" s="81" t="s">
        <v>14</v>
      </c>
      <c r="M34" s="36" t="s">
        <v>225</v>
      </c>
      <c r="N34" s="36">
        <v>2025</v>
      </c>
    </row>
    <row r="35" spans="1:14">
      <c r="A35" s="36">
        <v>34</v>
      </c>
      <c r="B35" s="36" t="s">
        <v>17</v>
      </c>
      <c r="C35" s="85" t="s">
        <v>23</v>
      </c>
      <c r="D35" s="36" t="s">
        <v>19</v>
      </c>
      <c r="E35" s="36" t="s">
        <v>87</v>
      </c>
      <c r="F35" s="36"/>
      <c r="G35" s="36" t="s">
        <v>95</v>
      </c>
      <c r="H35" s="36" t="s">
        <v>92</v>
      </c>
      <c r="I35" s="84">
        <v>1620</v>
      </c>
      <c r="J35" s="36" t="s">
        <v>14</v>
      </c>
      <c r="K35" s="78" t="s">
        <v>14</v>
      </c>
      <c r="L35" s="36" t="s">
        <v>14</v>
      </c>
      <c r="M35" s="75" t="s">
        <v>225</v>
      </c>
      <c r="N35" s="36">
        <v>2025</v>
      </c>
    </row>
    <row r="36" spans="1:14">
      <c r="A36" s="36">
        <v>35</v>
      </c>
      <c r="B36" s="75" t="s">
        <v>17</v>
      </c>
      <c r="C36" s="36" t="s">
        <v>25</v>
      </c>
      <c r="D36" s="36" t="s">
        <v>19</v>
      </c>
      <c r="E36" s="36" t="s">
        <v>87</v>
      </c>
      <c r="F36" s="36"/>
      <c r="G36" s="75" t="s">
        <v>91</v>
      </c>
      <c r="H36" s="75" t="s">
        <v>299</v>
      </c>
      <c r="I36" s="84">
        <v>8811.9957482517475</v>
      </c>
      <c r="J36" s="36" t="s">
        <v>14</v>
      </c>
      <c r="K36" s="78" t="s">
        <v>14</v>
      </c>
      <c r="L36" s="36" t="s">
        <v>14</v>
      </c>
      <c r="M36" s="75" t="s">
        <v>225</v>
      </c>
      <c r="N36" s="36">
        <v>2025</v>
      </c>
    </row>
    <row r="37" spans="1:14">
      <c r="A37" s="36">
        <v>36</v>
      </c>
      <c r="B37" s="75" t="s">
        <v>17</v>
      </c>
      <c r="C37" s="36" t="s">
        <v>18</v>
      </c>
      <c r="D37" s="36" t="s">
        <v>19</v>
      </c>
      <c r="E37" s="36" t="s">
        <v>87</v>
      </c>
      <c r="F37" s="36"/>
      <c r="G37" s="75" t="s">
        <v>90</v>
      </c>
      <c r="H37" s="75" t="s">
        <v>299</v>
      </c>
      <c r="I37" s="84">
        <v>21887.175804195802</v>
      </c>
      <c r="J37" s="36" t="s">
        <v>14</v>
      </c>
      <c r="K37" s="78" t="s">
        <v>14</v>
      </c>
      <c r="L37" s="36" t="s">
        <v>14</v>
      </c>
      <c r="M37" s="75" t="s">
        <v>225</v>
      </c>
      <c r="N37" s="36">
        <v>2025</v>
      </c>
    </row>
    <row r="38" spans="1:14">
      <c r="A38" s="36">
        <v>37</v>
      </c>
      <c r="B38" s="75" t="s">
        <v>17</v>
      </c>
      <c r="C38" s="36" t="s">
        <v>22</v>
      </c>
      <c r="D38" s="36" t="s">
        <v>19</v>
      </c>
      <c r="E38" s="36" t="s">
        <v>87</v>
      </c>
      <c r="F38" s="36"/>
      <c r="G38" s="75" t="s">
        <v>90</v>
      </c>
      <c r="H38" s="75" t="s">
        <v>299</v>
      </c>
      <c r="I38" s="84">
        <v>45235.309244755241</v>
      </c>
      <c r="J38" s="36" t="s">
        <v>14</v>
      </c>
      <c r="K38" s="78" t="s">
        <v>14</v>
      </c>
      <c r="L38" s="36" t="s">
        <v>14</v>
      </c>
      <c r="M38" s="75" t="s">
        <v>225</v>
      </c>
      <c r="N38" s="36">
        <v>2025</v>
      </c>
    </row>
    <row r="39" spans="1:14">
      <c r="A39" s="36">
        <v>38</v>
      </c>
      <c r="B39" s="75" t="s">
        <v>17</v>
      </c>
      <c r="C39" s="36" t="s">
        <v>23</v>
      </c>
      <c r="D39" s="36" t="s">
        <v>19</v>
      </c>
      <c r="E39" s="36" t="s">
        <v>87</v>
      </c>
      <c r="F39" s="36"/>
      <c r="G39" s="75" t="s">
        <v>90</v>
      </c>
      <c r="H39" s="75" t="s">
        <v>299</v>
      </c>
      <c r="I39" s="84">
        <v>4029.0478741258739</v>
      </c>
      <c r="J39" s="36" t="s">
        <v>14</v>
      </c>
      <c r="K39" s="78" t="s">
        <v>14</v>
      </c>
      <c r="L39" s="36" t="s">
        <v>14</v>
      </c>
      <c r="M39" s="75" t="s">
        <v>225</v>
      </c>
      <c r="N39" s="36">
        <v>2025</v>
      </c>
    </row>
    <row r="40" spans="1:14">
      <c r="A40" s="36">
        <v>39</v>
      </c>
      <c r="B40" s="75" t="s">
        <v>17</v>
      </c>
      <c r="C40" s="36" t="s">
        <v>24</v>
      </c>
      <c r="D40" s="36" t="s">
        <v>19</v>
      </c>
      <c r="E40" s="36" t="s">
        <v>87</v>
      </c>
      <c r="F40" s="36"/>
      <c r="G40" s="75" t="s">
        <v>90</v>
      </c>
      <c r="H40" s="75" t="s">
        <v>299</v>
      </c>
      <c r="I40" s="84">
        <v>5613.3673846153843</v>
      </c>
      <c r="J40" s="36" t="s">
        <v>14</v>
      </c>
      <c r="K40" s="78" t="s">
        <v>14</v>
      </c>
      <c r="L40" s="36" t="s">
        <v>14</v>
      </c>
      <c r="M40" s="75" t="s">
        <v>225</v>
      </c>
      <c r="N40" s="36">
        <v>2025</v>
      </c>
    </row>
    <row r="41" spans="1:14">
      <c r="A41" s="36">
        <v>40</v>
      </c>
      <c r="B41" s="75" t="s">
        <v>17</v>
      </c>
      <c r="C41" s="36" t="s">
        <v>25</v>
      </c>
      <c r="D41" s="36" t="s">
        <v>19</v>
      </c>
      <c r="E41" s="36" t="s">
        <v>87</v>
      </c>
      <c r="F41" s="36"/>
      <c r="G41" s="75" t="s">
        <v>90</v>
      </c>
      <c r="H41" s="75" t="s">
        <v>299</v>
      </c>
      <c r="I41" s="84">
        <v>98835.233755244757</v>
      </c>
      <c r="J41" s="36" t="s">
        <v>14</v>
      </c>
      <c r="K41" s="78" t="s">
        <v>14</v>
      </c>
      <c r="L41" s="36" t="s">
        <v>14</v>
      </c>
      <c r="M41" s="75" t="s">
        <v>225</v>
      </c>
      <c r="N41" s="36">
        <v>2025</v>
      </c>
    </row>
    <row r="42" spans="1:14">
      <c r="A42" s="36">
        <v>41</v>
      </c>
      <c r="B42" s="75" t="s">
        <v>17</v>
      </c>
      <c r="C42" s="36" t="s">
        <v>26</v>
      </c>
      <c r="D42" s="36" t="s">
        <v>19</v>
      </c>
      <c r="E42" s="36" t="s">
        <v>87</v>
      </c>
      <c r="F42" s="36"/>
      <c r="G42" s="75" t="s">
        <v>90</v>
      </c>
      <c r="H42" s="75" t="s">
        <v>299</v>
      </c>
      <c r="I42" s="84">
        <v>1387.4394825174825</v>
      </c>
      <c r="J42" s="36" t="s">
        <v>14</v>
      </c>
      <c r="K42" s="78" t="s">
        <v>14</v>
      </c>
      <c r="L42" s="36" t="s">
        <v>14</v>
      </c>
      <c r="M42" s="75" t="s">
        <v>225</v>
      </c>
      <c r="N42" s="36">
        <v>2025</v>
      </c>
    </row>
    <row r="43" spans="1:14">
      <c r="A43" s="36">
        <v>42</v>
      </c>
      <c r="B43" s="75" t="s">
        <v>17</v>
      </c>
      <c r="C43" s="36" t="s">
        <v>18</v>
      </c>
      <c r="D43" s="36" t="s">
        <v>19</v>
      </c>
      <c r="E43" s="36" t="s">
        <v>87</v>
      </c>
      <c r="F43" s="36"/>
      <c r="G43" s="75" t="s">
        <v>88</v>
      </c>
      <c r="H43" s="75" t="s">
        <v>299</v>
      </c>
      <c r="I43" s="84">
        <v>476.06239860139857</v>
      </c>
      <c r="J43" s="36" t="s">
        <v>14</v>
      </c>
      <c r="K43" s="78" t="s">
        <v>14</v>
      </c>
      <c r="L43" s="36" t="s">
        <v>14</v>
      </c>
      <c r="M43" s="75" t="s">
        <v>225</v>
      </c>
      <c r="N43" s="36">
        <v>2025</v>
      </c>
    </row>
    <row r="44" spans="1:14">
      <c r="A44" s="36">
        <v>43</v>
      </c>
      <c r="B44" s="75" t="s">
        <v>17</v>
      </c>
      <c r="C44" s="36" t="s">
        <v>22</v>
      </c>
      <c r="D44" s="36" t="s">
        <v>19</v>
      </c>
      <c r="E44" s="36" t="s">
        <v>87</v>
      </c>
      <c r="F44" s="36"/>
      <c r="G44" s="75" t="s">
        <v>88</v>
      </c>
      <c r="H44" s="75" t="s">
        <v>299</v>
      </c>
      <c r="I44" s="84">
        <v>4105.551307692308</v>
      </c>
      <c r="J44" s="36" t="s">
        <v>14</v>
      </c>
      <c r="K44" s="78" t="s">
        <v>14</v>
      </c>
      <c r="L44" s="36" t="s">
        <v>14</v>
      </c>
      <c r="M44" s="75" t="s">
        <v>225</v>
      </c>
      <c r="N44" s="36">
        <v>2025</v>
      </c>
    </row>
    <row r="45" spans="1:14">
      <c r="A45" s="36">
        <v>44</v>
      </c>
      <c r="B45" s="75" t="s">
        <v>17</v>
      </c>
      <c r="C45" s="36" t="s">
        <v>23</v>
      </c>
      <c r="D45" s="36" t="s">
        <v>19</v>
      </c>
      <c r="E45" s="36" t="s">
        <v>87</v>
      </c>
      <c r="F45" s="36"/>
      <c r="G45" s="75" t="s">
        <v>88</v>
      </c>
      <c r="H45" s="75" t="s">
        <v>299</v>
      </c>
      <c r="I45" s="84">
        <v>228.12264335664335</v>
      </c>
      <c r="J45" s="36" t="s">
        <v>14</v>
      </c>
      <c r="K45" s="78" t="s">
        <v>14</v>
      </c>
      <c r="L45" s="36" t="s">
        <v>14</v>
      </c>
      <c r="M45" s="75" t="s">
        <v>225</v>
      </c>
      <c r="N45" s="36">
        <v>2025</v>
      </c>
    </row>
    <row r="46" spans="1:14">
      <c r="A46" s="36">
        <v>45</v>
      </c>
      <c r="B46" s="75" t="s">
        <v>17</v>
      </c>
      <c r="C46" s="36" t="s">
        <v>24</v>
      </c>
      <c r="D46" s="36" t="s">
        <v>19</v>
      </c>
      <c r="E46" s="36" t="s">
        <v>87</v>
      </c>
      <c r="F46" s="36"/>
      <c r="G46" s="75" t="s">
        <v>88</v>
      </c>
      <c r="H46" s="75" t="s">
        <v>299</v>
      </c>
      <c r="I46" s="84">
        <v>4070.4625804195807</v>
      </c>
      <c r="J46" s="36" t="s">
        <v>14</v>
      </c>
      <c r="K46" s="78" t="s">
        <v>14</v>
      </c>
      <c r="L46" s="36" t="s">
        <v>14</v>
      </c>
      <c r="M46" s="75" t="s">
        <v>225</v>
      </c>
      <c r="N46" s="36">
        <v>2025</v>
      </c>
    </row>
    <row r="47" spans="1:14">
      <c r="A47" s="36">
        <v>46</v>
      </c>
      <c r="B47" s="75" t="s">
        <v>17</v>
      </c>
      <c r="C47" s="36" t="s">
        <v>25</v>
      </c>
      <c r="D47" s="36" t="s">
        <v>19</v>
      </c>
      <c r="E47" s="36" t="s">
        <v>87</v>
      </c>
      <c r="F47" s="36"/>
      <c r="G47" s="75" t="s">
        <v>88</v>
      </c>
      <c r="H47" s="75" t="s">
        <v>299</v>
      </c>
      <c r="I47" s="84">
        <v>24568.047174825177</v>
      </c>
      <c r="J47" s="36" t="s">
        <v>14</v>
      </c>
      <c r="K47" s="78" t="s">
        <v>14</v>
      </c>
      <c r="L47" s="36" t="s">
        <v>14</v>
      </c>
      <c r="M47" s="75" t="s">
        <v>225</v>
      </c>
      <c r="N47" s="36">
        <v>2025</v>
      </c>
    </row>
    <row r="48" spans="1:14">
      <c r="A48" s="36">
        <v>47</v>
      </c>
      <c r="B48" s="75" t="s">
        <v>17</v>
      </c>
      <c r="C48" s="36" t="s">
        <v>18</v>
      </c>
      <c r="D48" s="36" t="s">
        <v>19</v>
      </c>
      <c r="E48" s="36" t="s">
        <v>87</v>
      </c>
      <c r="F48" s="36"/>
      <c r="G48" s="75" t="s">
        <v>90</v>
      </c>
      <c r="H48" s="75" t="s">
        <v>321</v>
      </c>
      <c r="I48" s="84">
        <v>23994.954111888113</v>
      </c>
      <c r="J48" s="36" t="s">
        <v>14</v>
      </c>
      <c r="K48" s="78" t="s">
        <v>14</v>
      </c>
      <c r="L48" s="36" t="s">
        <v>14</v>
      </c>
      <c r="M48" s="75" t="s">
        <v>225</v>
      </c>
      <c r="N48" s="36">
        <v>2025</v>
      </c>
    </row>
    <row r="49" spans="1:14">
      <c r="A49" s="36">
        <v>48</v>
      </c>
      <c r="B49" s="75" t="s">
        <v>17</v>
      </c>
      <c r="C49" s="36" t="s">
        <v>22</v>
      </c>
      <c r="D49" s="36" t="s">
        <v>19</v>
      </c>
      <c r="E49" s="36" t="s">
        <v>87</v>
      </c>
      <c r="F49" s="36"/>
      <c r="G49" s="75" t="s">
        <v>90</v>
      </c>
      <c r="H49" s="75" t="s">
        <v>321</v>
      </c>
      <c r="I49" s="84">
        <v>12312.860643356642</v>
      </c>
      <c r="J49" s="36" t="s">
        <v>14</v>
      </c>
      <c r="K49" s="78" t="s">
        <v>14</v>
      </c>
      <c r="L49" s="36" t="s">
        <v>14</v>
      </c>
      <c r="M49" s="75" t="s">
        <v>225</v>
      </c>
      <c r="N49" s="36">
        <v>2025</v>
      </c>
    </row>
    <row r="50" spans="1:14">
      <c r="A50" s="36">
        <v>49</v>
      </c>
      <c r="B50" s="75" t="s">
        <v>17</v>
      </c>
      <c r="C50" s="36" t="s">
        <v>93</v>
      </c>
      <c r="D50" s="36" t="s">
        <v>19</v>
      </c>
      <c r="E50" s="36" t="s">
        <v>87</v>
      </c>
      <c r="F50" s="36"/>
      <c r="G50" s="75" t="s">
        <v>90</v>
      </c>
      <c r="H50" s="75" t="s">
        <v>321</v>
      </c>
      <c r="I50" s="84">
        <v>6293.7062937062938</v>
      </c>
      <c r="J50" s="36" t="s">
        <v>14</v>
      </c>
      <c r="K50" s="78" t="s">
        <v>14</v>
      </c>
      <c r="L50" s="36" t="s">
        <v>14</v>
      </c>
      <c r="M50" s="75" t="s">
        <v>225</v>
      </c>
      <c r="N50" s="36">
        <v>2025</v>
      </c>
    </row>
    <row r="51" spans="1:14">
      <c r="A51" s="36">
        <v>50</v>
      </c>
      <c r="B51" s="75" t="s">
        <v>17</v>
      </c>
      <c r="C51" s="36" t="s">
        <v>24</v>
      </c>
      <c r="D51" s="36" t="s">
        <v>19</v>
      </c>
      <c r="E51" s="36" t="s">
        <v>87</v>
      </c>
      <c r="F51" s="36"/>
      <c r="G51" s="75" t="s">
        <v>90</v>
      </c>
      <c r="H51" s="75" t="s">
        <v>321</v>
      </c>
      <c r="I51" s="84">
        <v>4803.6579020979016</v>
      </c>
      <c r="J51" s="36" t="s">
        <v>14</v>
      </c>
      <c r="K51" s="78" t="s">
        <v>14</v>
      </c>
      <c r="L51" s="36" t="s">
        <v>14</v>
      </c>
      <c r="M51" s="75" t="s">
        <v>225</v>
      </c>
      <c r="N51" s="36">
        <v>2025</v>
      </c>
    </row>
    <row r="52" spans="1:14">
      <c r="A52" s="36">
        <v>51</v>
      </c>
      <c r="B52" s="75" t="s">
        <v>17</v>
      </c>
      <c r="C52" s="36" t="s">
        <v>25</v>
      </c>
      <c r="D52" s="36" t="s">
        <v>19</v>
      </c>
      <c r="E52" s="36" t="s">
        <v>87</v>
      </c>
      <c r="F52" s="36"/>
      <c r="G52" s="75" t="s">
        <v>90</v>
      </c>
      <c r="H52" s="75" t="s">
        <v>321</v>
      </c>
      <c r="I52" s="84">
        <v>19417.755734265735</v>
      </c>
      <c r="J52" s="36" t="s">
        <v>14</v>
      </c>
      <c r="K52" s="78" t="s">
        <v>14</v>
      </c>
      <c r="L52" s="36" t="s">
        <v>14</v>
      </c>
      <c r="M52" s="75" t="s">
        <v>225</v>
      </c>
      <c r="N52" s="36">
        <v>2025</v>
      </c>
    </row>
    <row r="53" spans="1:14">
      <c r="A53" s="36">
        <v>52</v>
      </c>
      <c r="B53" s="75" t="s">
        <v>17</v>
      </c>
      <c r="C53" s="36" t="s">
        <v>18</v>
      </c>
      <c r="D53" s="36" t="s">
        <v>19</v>
      </c>
      <c r="E53" s="36" t="s">
        <v>87</v>
      </c>
      <c r="F53" s="36"/>
      <c r="G53" s="75" t="s">
        <v>88</v>
      </c>
      <c r="H53" s="75" t="s">
        <v>321</v>
      </c>
      <c r="I53" s="84">
        <v>12847.901776223776</v>
      </c>
      <c r="J53" s="36" t="s">
        <v>14</v>
      </c>
      <c r="K53" s="78" t="s">
        <v>14</v>
      </c>
      <c r="L53" s="36" t="s">
        <v>14</v>
      </c>
      <c r="M53" s="75" t="s">
        <v>225</v>
      </c>
      <c r="N53" s="36">
        <v>2025</v>
      </c>
    </row>
    <row r="54" spans="1:14">
      <c r="A54" s="36">
        <v>53</v>
      </c>
      <c r="B54" s="75" t="s">
        <v>17</v>
      </c>
      <c r="C54" s="36" t="s">
        <v>22</v>
      </c>
      <c r="D54" s="36" t="s">
        <v>19</v>
      </c>
      <c r="E54" s="36" t="s">
        <v>87</v>
      </c>
      <c r="F54" s="36"/>
      <c r="G54" s="75" t="s">
        <v>88</v>
      </c>
      <c r="H54" s="75" t="s">
        <v>321</v>
      </c>
      <c r="I54" s="84">
        <v>4905.0115034965038</v>
      </c>
      <c r="J54" s="36" t="s">
        <v>14</v>
      </c>
      <c r="K54" s="78" t="s">
        <v>14</v>
      </c>
      <c r="L54" s="36" t="s">
        <v>14</v>
      </c>
      <c r="M54" s="75" t="s">
        <v>225</v>
      </c>
      <c r="N54" s="36">
        <v>2025</v>
      </c>
    </row>
    <row r="55" spans="1:14">
      <c r="A55" s="36">
        <v>54</v>
      </c>
      <c r="B55" s="75" t="s">
        <v>17</v>
      </c>
      <c r="C55" s="36" t="s">
        <v>24</v>
      </c>
      <c r="D55" s="36" t="s">
        <v>19</v>
      </c>
      <c r="E55" s="36" t="s">
        <v>87</v>
      </c>
      <c r="F55" s="36"/>
      <c r="G55" s="75" t="s">
        <v>88</v>
      </c>
      <c r="H55" s="75" t="s">
        <v>321</v>
      </c>
      <c r="I55" s="84">
        <v>11360.722258741258</v>
      </c>
      <c r="J55" s="36" t="s">
        <v>14</v>
      </c>
      <c r="K55" s="78" t="s">
        <v>14</v>
      </c>
      <c r="L55" s="36" t="s">
        <v>14</v>
      </c>
      <c r="M55" s="75" t="s">
        <v>225</v>
      </c>
      <c r="N55" s="36">
        <v>2025</v>
      </c>
    </row>
    <row r="56" spans="1:14">
      <c r="A56" s="36">
        <v>55</v>
      </c>
      <c r="B56" s="75" t="s">
        <v>17</v>
      </c>
      <c r="C56" s="36" t="s">
        <v>25</v>
      </c>
      <c r="D56" s="36" t="s">
        <v>19</v>
      </c>
      <c r="E56" s="36" t="s">
        <v>87</v>
      </c>
      <c r="F56" s="36"/>
      <c r="G56" s="75" t="s">
        <v>88</v>
      </c>
      <c r="H56" s="75" t="s">
        <v>321</v>
      </c>
      <c r="I56" s="84">
        <v>12101.454797202798</v>
      </c>
      <c r="J56" s="36" t="s">
        <v>14</v>
      </c>
      <c r="K56" s="78" t="s">
        <v>14</v>
      </c>
      <c r="L56" s="36" t="s">
        <v>14</v>
      </c>
      <c r="M56" s="75" t="s">
        <v>225</v>
      </c>
      <c r="N56" s="36">
        <v>2025</v>
      </c>
    </row>
    <row r="57" spans="1:14">
      <c r="A57" s="36">
        <v>56</v>
      </c>
      <c r="B57" s="75" t="s">
        <v>17</v>
      </c>
      <c r="C57" s="36" t="s">
        <v>26</v>
      </c>
      <c r="D57" s="36" t="s">
        <v>19</v>
      </c>
      <c r="E57" s="36" t="s">
        <v>87</v>
      </c>
      <c r="F57" s="36"/>
      <c r="G57" s="75" t="s">
        <v>88</v>
      </c>
      <c r="H57" s="75" t="s">
        <v>321</v>
      </c>
      <c r="I57" s="84">
        <v>2121.2120559440559</v>
      </c>
      <c r="J57" s="36" t="s">
        <v>14</v>
      </c>
      <c r="K57" s="78" t="s">
        <v>14</v>
      </c>
      <c r="L57" s="36" t="s">
        <v>14</v>
      </c>
      <c r="M57" s="75" t="s">
        <v>225</v>
      </c>
      <c r="N57" s="36">
        <v>2025</v>
      </c>
    </row>
    <row r="58" spans="1:14">
      <c r="A58" s="36">
        <v>57</v>
      </c>
      <c r="B58" s="36" t="s">
        <v>17</v>
      </c>
      <c r="C58" s="36" t="s">
        <v>25</v>
      </c>
      <c r="D58" s="36" t="s">
        <v>60</v>
      </c>
      <c r="E58" s="36" t="s">
        <v>97</v>
      </c>
      <c r="F58" s="36"/>
      <c r="G58" s="36" t="s">
        <v>98</v>
      </c>
      <c r="H58" s="36" t="s">
        <v>272</v>
      </c>
      <c r="I58" s="84">
        <v>3600</v>
      </c>
      <c r="J58" s="36" t="s">
        <v>309</v>
      </c>
      <c r="K58" s="78">
        <v>45991</v>
      </c>
      <c r="L58" s="36" t="s">
        <v>14</v>
      </c>
      <c r="M58" s="36" t="s">
        <v>225</v>
      </c>
      <c r="N58" s="36"/>
    </row>
    <row r="59" spans="1:14">
      <c r="A59" s="36">
        <v>58</v>
      </c>
      <c r="B59" s="36" t="s">
        <v>17</v>
      </c>
      <c r="C59" s="36" t="s">
        <v>23</v>
      </c>
      <c r="D59" s="36" t="s">
        <v>60</v>
      </c>
      <c r="E59" s="36" t="s">
        <v>97</v>
      </c>
      <c r="F59" s="36"/>
      <c r="G59" s="36" t="s">
        <v>100</v>
      </c>
      <c r="H59" s="36" t="s">
        <v>99</v>
      </c>
      <c r="I59" s="84">
        <v>4500</v>
      </c>
      <c r="J59" s="36" t="s">
        <v>312</v>
      </c>
      <c r="K59" s="78">
        <v>45964</v>
      </c>
      <c r="L59" s="36" t="s">
        <v>14</v>
      </c>
      <c r="M59" s="36" t="s">
        <v>225</v>
      </c>
      <c r="N59" s="36"/>
    </row>
    <row r="60" spans="1:14">
      <c r="A60" s="36">
        <v>59</v>
      </c>
      <c r="B60" s="36" t="s">
        <v>17</v>
      </c>
      <c r="C60" s="36" t="s">
        <v>23</v>
      </c>
      <c r="D60" s="36" t="s">
        <v>60</v>
      </c>
      <c r="E60" s="36" t="s">
        <v>97</v>
      </c>
      <c r="F60" s="36"/>
      <c r="G60" s="36" t="s">
        <v>100</v>
      </c>
      <c r="H60" s="36" t="s">
        <v>272</v>
      </c>
      <c r="I60" s="84">
        <v>1000</v>
      </c>
      <c r="J60" s="36" t="s">
        <v>312</v>
      </c>
      <c r="K60" s="78">
        <v>45964</v>
      </c>
      <c r="L60" s="36" t="s">
        <v>14</v>
      </c>
      <c r="M60" s="36" t="s">
        <v>225</v>
      </c>
      <c r="N60" s="36"/>
    </row>
    <row r="61" spans="1:14">
      <c r="A61" s="36">
        <v>60</v>
      </c>
      <c r="B61" s="36" t="s">
        <v>17</v>
      </c>
      <c r="C61" s="36" t="s">
        <v>25</v>
      </c>
      <c r="D61" s="36" t="s">
        <v>19</v>
      </c>
      <c r="E61" s="36" t="s">
        <v>101</v>
      </c>
      <c r="F61" s="36"/>
      <c r="G61" s="36" t="s">
        <v>254</v>
      </c>
      <c r="H61" s="36" t="s">
        <v>101</v>
      </c>
      <c r="I61" s="76">
        <v>5500</v>
      </c>
      <c r="J61" s="36" t="s">
        <v>14</v>
      </c>
      <c r="K61" s="78" t="s">
        <v>14</v>
      </c>
      <c r="L61" s="36" t="s">
        <v>14</v>
      </c>
      <c r="M61" s="36" t="s">
        <v>225</v>
      </c>
      <c r="N61" s="36">
        <v>2025</v>
      </c>
    </row>
    <row r="62" spans="1:14">
      <c r="A62" s="36">
        <v>61</v>
      </c>
      <c r="B62" s="36" t="s">
        <v>17</v>
      </c>
      <c r="C62" s="36" t="s">
        <v>22</v>
      </c>
      <c r="D62" s="36" t="s">
        <v>19</v>
      </c>
      <c r="E62" s="36" t="s">
        <v>103</v>
      </c>
      <c r="F62" s="36"/>
      <c r="G62" s="36" t="s">
        <v>104</v>
      </c>
      <c r="H62" s="36" t="s">
        <v>105</v>
      </c>
      <c r="I62" s="84">
        <f>1683000/1430</f>
        <v>1176.9230769230769</v>
      </c>
      <c r="J62" s="36" t="s">
        <v>14</v>
      </c>
      <c r="K62" s="78" t="s">
        <v>14</v>
      </c>
      <c r="L62" s="36" t="s">
        <v>14</v>
      </c>
      <c r="M62" s="36" t="s">
        <v>225</v>
      </c>
      <c r="N62" s="36">
        <v>2025</v>
      </c>
    </row>
    <row r="63" spans="1:14">
      <c r="A63" s="36">
        <v>62</v>
      </c>
      <c r="B63" s="36" t="s">
        <v>17</v>
      </c>
      <c r="C63" s="36" t="s">
        <v>25</v>
      </c>
      <c r="D63" s="36" t="s">
        <v>60</v>
      </c>
      <c r="E63" s="88" t="s">
        <v>72</v>
      </c>
      <c r="F63" s="36"/>
      <c r="G63" s="36" t="s">
        <v>119</v>
      </c>
      <c r="H63" s="36" t="s">
        <v>120</v>
      </c>
      <c r="I63" s="84">
        <v>3608.3916083916083</v>
      </c>
      <c r="J63" s="36" t="s">
        <v>589</v>
      </c>
      <c r="K63" s="78">
        <v>45958</v>
      </c>
      <c r="L63" s="36">
        <v>2025403592</v>
      </c>
      <c r="M63" s="77" t="s">
        <v>225</v>
      </c>
      <c r="N63" s="36">
        <v>2025</v>
      </c>
    </row>
    <row r="64" spans="1:14">
      <c r="A64" s="36">
        <v>63</v>
      </c>
      <c r="B64" s="36" t="s">
        <v>17</v>
      </c>
      <c r="C64" s="36" t="s">
        <v>25</v>
      </c>
      <c r="D64" s="36" t="s">
        <v>60</v>
      </c>
      <c r="E64" s="88" t="s">
        <v>72</v>
      </c>
      <c r="F64" s="36"/>
      <c r="G64" s="36" t="s">
        <v>122</v>
      </c>
      <c r="H64" s="87" t="s">
        <v>123</v>
      </c>
      <c r="I64" s="84">
        <v>383.7</v>
      </c>
      <c r="J64" s="36" t="s">
        <v>517</v>
      </c>
      <c r="K64" s="78">
        <v>45984</v>
      </c>
      <c r="L64" s="36">
        <v>2025404277</v>
      </c>
      <c r="M64" s="77" t="s">
        <v>225</v>
      </c>
      <c r="N64" s="36">
        <v>2025</v>
      </c>
    </row>
    <row r="65" spans="1:14">
      <c r="A65" s="36">
        <v>64</v>
      </c>
      <c r="B65" s="36" t="s">
        <v>17</v>
      </c>
      <c r="C65" s="36" t="s">
        <v>25</v>
      </c>
      <c r="D65" s="36" t="s">
        <v>60</v>
      </c>
      <c r="E65" s="36" t="s">
        <v>72</v>
      </c>
      <c r="F65" s="36"/>
      <c r="G65" s="36" t="s">
        <v>237</v>
      </c>
      <c r="H65" s="36" t="s">
        <v>250</v>
      </c>
      <c r="I65" s="84">
        <v>3270</v>
      </c>
      <c r="J65" s="36" t="s">
        <v>505</v>
      </c>
      <c r="K65" s="78">
        <v>45980</v>
      </c>
      <c r="L65" s="36">
        <v>2025404245</v>
      </c>
      <c r="M65" s="77" t="s">
        <v>225</v>
      </c>
      <c r="N65" s="36">
        <v>2025</v>
      </c>
    </row>
    <row r="66" spans="1:14">
      <c r="A66" s="36">
        <v>65</v>
      </c>
      <c r="B66" s="36" t="s">
        <v>17</v>
      </c>
      <c r="C66" s="36" t="s">
        <v>24</v>
      </c>
      <c r="D66" s="36" t="s">
        <v>60</v>
      </c>
      <c r="E66" s="88" t="s">
        <v>72</v>
      </c>
      <c r="F66" s="36"/>
      <c r="G66" s="36" t="s">
        <v>124</v>
      </c>
      <c r="H66" s="36" t="s">
        <v>121</v>
      </c>
      <c r="I66" s="84">
        <v>979.02097902097898</v>
      </c>
      <c r="J66" s="36" t="s">
        <v>580</v>
      </c>
      <c r="K66" s="78">
        <v>45978</v>
      </c>
      <c r="L66" s="36">
        <v>2025404266</v>
      </c>
      <c r="M66" s="77" t="s">
        <v>225</v>
      </c>
      <c r="N66" s="36">
        <v>2025</v>
      </c>
    </row>
    <row r="67" spans="1:14">
      <c r="A67" s="36">
        <v>66</v>
      </c>
      <c r="B67" s="88" t="s">
        <v>17</v>
      </c>
      <c r="C67" s="88" t="s">
        <v>25</v>
      </c>
      <c r="D67" s="36" t="s">
        <v>60</v>
      </c>
      <c r="E67" s="36" t="s">
        <v>72</v>
      </c>
      <c r="F67" s="36"/>
      <c r="G67" s="36" t="s">
        <v>247</v>
      </c>
      <c r="H67" s="36" t="s">
        <v>251</v>
      </c>
      <c r="I67" s="84">
        <v>5672.727272727273</v>
      </c>
      <c r="J67" s="36" t="s">
        <v>598</v>
      </c>
      <c r="K67" s="78">
        <v>45985</v>
      </c>
      <c r="L67" s="36">
        <v>2025404384</v>
      </c>
      <c r="M67" s="77" t="s">
        <v>225</v>
      </c>
      <c r="N67" s="36">
        <v>2025</v>
      </c>
    </row>
    <row r="68" spans="1:14">
      <c r="A68" s="36">
        <v>67</v>
      </c>
      <c r="B68" s="36" t="s">
        <v>17</v>
      </c>
      <c r="C68" s="36" t="s">
        <v>25</v>
      </c>
      <c r="D68" s="36" t="s">
        <v>60</v>
      </c>
      <c r="E68" s="36" t="s">
        <v>72</v>
      </c>
      <c r="F68" s="36"/>
      <c r="G68" s="36" t="s">
        <v>125</v>
      </c>
      <c r="H68" s="36" t="s">
        <v>121</v>
      </c>
      <c r="I68" s="84">
        <v>809.87</v>
      </c>
      <c r="J68" s="36" t="s">
        <v>491</v>
      </c>
      <c r="K68" s="78">
        <v>45980</v>
      </c>
      <c r="L68" s="36">
        <v>2025404212</v>
      </c>
      <c r="M68" s="77" t="s">
        <v>225</v>
      </c>
      <c r="N68" s="36">
        <v>2025</v>
      </c>
    </row>
    <row r="69" spans="1:14">
      <c r="A69" s="36">
        <v>68</v>
      </c>
      <c r="B69" s="36" t="s">
        <v>17</v>
      </c>
      <c r="C69" s="36" t="s">
        <v>22</v>
      </c>
      <c r="D69" s="36" t="s">
        <v>60</v>
      </c>
      <c r="E69" s="36" t="s">
        <v>72</v>
      </c>
      <c r="F69" s="36"/>
      <c r="G69" s="36" t="s">
        <v>125</v>
      </c>
      <c r="H69" s="36" t="s">
        <v>121</v>
      </c>
      <c r="I69" s="84">
        <v>319.88</v>
      </c>
      <c r="J69" s="36" t="s">
        <v>507</v>
      </c>
      <c r="K69" s="78">
        <v>45980</v>
      </c>
      <c r="L69" s="36">
        <v>2025404220</v>
      </c>
      <c r="M69" s="77" t="s">
        <v>225</v>
      </c>
      <c r="N69" s="36">
        <v>2025</v>
      </c>
    </row>
    <row r="70" spans="1:14">
      <c r="A70" s="36">
        <v>69</v>
      </c>
      <c r="B70" s="36" t="s">
        <v>17</v>
      </c>
      <c r="C70" s="36" t="s">
        <v>25</v>
      </c>
      <c r="D70" s="36" t="s">
        <v>60</v>
      </c>
      <c r="E70" s="88" t="s">
        <v>72</v>
      </c>
      <c r="F70" s="36"/>
      <c r="G70" s="36" t="s">
        <v>125</v>
      </c>
      <c r="H70" s="36" t="s">
        <v>121</v>
      </c>
      <c r="I70" s="84">
        <v>223.85</v>
      </c>
      <c r="J70" s="36" t="s">
        <v>554</v>
      </c>
      <c r="K70" s="78">
        <v>45991</v>
      </c>
      <c r="L70" s="36">
        <v>2025404334</v>
      </c>
      <c r="M70" s="77" t="s">
        <v>225</v>
      </c>
      <c r="N70" s="36">
        <v>2025</v>
      </c>
    </row>
    <row r="71" spans="1:14">
      <c r="A71" s="36">
        <v>70</v>
      </c>
      <c r="B71" s="36" t="s">
        <v>17</v>
      </c>
      <c r="C71" s="36" t="s">
        <v>18</v>
      </c>
      <c r="D71" s="36" t="s">
        <v>60</v>
      </c>
      <c r="E71" s="88" t="s">
        <v>72</v>
      </c>
      <c r="F71" s="36"/>
      <c r="G71" s="36" t="s">
        <v>420</v>
      </c>
      <c r="H71" s="36" t="s">
        <v>121</v>
      </c>
      <c r="I71" s="84">
        <v>2011.8881118881118</v>
      </c>
      <c r="J71" s="36" t="s">
        <v>249</v>
      </c>
      <c r="K71" s="78">
        <v>45991</v>
      </c>
      <c r="L71" s="36">
        <v>2025404369</v>
      </c>
      <c r="M71" s="77" t="s">
        <v>225</v>
      </c>
      <c r="N71" s="36">
        <v>2025</v>
      </c>
    </row>
    <row r="72" spans="1:14">
      <c r="A72" s="36">
        <v>71</v>
      </c>
      <c r="B72" s="36" t="s">
        <v>17</v>
      </c>
      <c r="C72" s="36" t="s">
        <v>18</v>
      </c>
      <c r="D72" s="36" t="s">
        <v>60</v>
      </c>
      <c r="E72" s="88" t="s">
        <v>72</v>
      </c>
      <c r="F72" s="36"/>
      <c r="G72" s="36" t="s">
        <v>420</v>
      </c>
      <c r="H72" s="36" t="s">
        <v>121</v>
      </c>
      <c r="I72" s="84">
        <v>2237.7622377622379</v>
      </c>
      <c r="J72" s="36" t="s">
        <v>249</v>
      </c>
      <c r="K72" s="78">
        <v>45991</v>
      </c>
      <c r="L72" s="36">
        <v>2025404420</v>
      </c>
      <c r="M72" s="77" t="s">
        <v>225</v>
      </c>
      <c r="N72" s="36">
        <v>2025</v>
      </c>
    </row>
    <row r="73" spans="1:14">
      <c r="A73" s="36">
        <v>72</v>
      </c>
      <c r="B73" s="36" t="s">
        <v>17</v>
      </c>
      <c r="C73" s="36" t="s">
        <v>18</v>
      </c>
      <c r="D73" s="36" t="s">
        <v>60</v>
      </c>
      <c r="E73" s="88" t="s">
        <v>72</v>
      </c>
      <c r="F73" s="36"/>
      <c r="G73" s="36" t="s">
        <v>126</v>
      </c>
      <c r="H73" s="36" t="s">
        <v>121</v>
      </c>
      <c r="I73" s="84">
        <v>191.78</v>
      </c>
      <c r="J73" s="36" t="s">
        <v>429</v>
      </c>
      <c r="K73" s="78">
        <v>45958</v>
      </c>
      <c r="L73" s="36">
        <v>2025403999</v>
      </c>
      <c r="M73" s="77" t="s">
        <v>225</v>
      </c>
      <c r="N73" s="36">
        <v>2025</v>
      </c>
    </row>
    <row r="74" spans="1:14">
      <c r="A74" s="36">
        <v>73</v>
      </c>
      <c r="B74" s="36" t="s">
        <v>17</v>
      </c>
      <c r="C74" s="36" t="s">
        <v>22</v>
      </c>
      <c r="D74" s="36" t="s">
        <v>60</v>
      </c>
      <c r="E74" s="88" t="s">
        <v>72</v>
      </c>
      <c r="F74" s="36"/>
      <c r="G74" s="36" t="s">
        <v>126</v>
      </c>
      <c r="H74" s="36" t="s">
        <v>121</v>
      </c>
      <c r="I74" s="84">
        <v>526.16</v>
      </c>
      <c r="J74" s="36" t="s">
        <v>450</v>
      </c>
      <c r="K74" s="89">
        <v>45956</v>
      </c>
      <c r="L74" s="36">
        <v>2025404063</v>
      </c>
      <c r="M74" s="77" t="s">
        <v>225</v>
      </c>
      <c r="N74" s="36">
        <v>2025</v>
      </c>
    </row>
    <row r="75" spans="1:14">
      <c r="A75" s="36">
        <v>74</v>
      </c>
      <c r="B75" s="88" t="s">
        <v>17</v>
      </c>
      <c r="C75" s="88" t="s">
        <v>22</v>
      </c>
      <c r="D75" s="36" t="s">
        <v>60</v>
      </c>
      <c r="E75" s="36" t="s">
        <v>72</v>
      </c>
      <c r="F75" s="36"/>
      <c r="G75" s="36" t="s">
        <v>126</v>
      </c>
      <c r="H75" s="36" t="s">
        <v>121</v>
      </c>
      <c r="I75" s="84">
        <v>830.71</v>
      </c>
      <c r="J75" s="36" t="s">
        <v>497</v>
      </c>
      <c r="K75" s="78">
        <v>45966</v>
      </c>
      <c r="L75" s="36">
        <v>2025404216</v>
      </c>
      <c r="M75" s="77" t="s">
        <v>225</v>
      </c>
      <c r="N75" s="36">
        <v>2025</v>
      </c>
    </row>
    <row r="76" spans="1:14">
      <c r="A76" s="36">
        <v>75</v>
      </c>
      <c r="B76" s="36" t="s">
        <v>17</v>
      </c>
      <c r="C76" s="36" t="s">
        <v>22</v>
      </c>
      <c r="D76" s="36" t="s">
        <v>60</v>
      </c>
      <c r="E76" s="88" t="s">
        <v>72</v>
      </c>
      <c r="F76" s="36"/>
      <c r="G76" s="36" t="s">
        <v>126</v>
      </c>
      <c r="H76" s="36" t="s">
        <v>121</v>
      </c>
      <c r="I76" s="84">
        <v>314.05</v>
      </c>
      <c r="J76" s="36" t="s">
        <v>498</v>
      </c>
      <c r="K76" s="78">
        <v>45958</v>
      </c>
      <c r="L76" s="36">
        <v>2025404217</v>
      </c>
      <c r="M76" s="77" t="s">
        <v>225</v>
      </c>
      <c r="N76" s="36">
        <v>2025</v>
      </c>
    </row>
    <row r="77" spans="1:14">
      <c r="A77" s="36">
        <v>76</v>
      </c>
      <c r="B77" s="36" t="s">
        <v>17</v>
      </c>
      <c r="C77" s="36" t="s">
        <v>25</v>
      </c>
      <c r="D77" s="36" t="s">
        <v>60</v>
      </c>
      <c r="E77" s="88" t="s">
        <v>72</v>
      </c>
      <c r="F77" s="36"/>
      <c r="G77" s="36" t="s">
        <v>267</v>
      </c>
      <c r="H77" s="36" t="s">
        <v>121</v>
      </c>
      <c r="I77" s="84">
        <v>5818.181818181818</v>
      </c>
      <c r="J77" s="36" t="s">
        <v>599</v>
      </c>
      <c r="K77" s="78">
        <v>45965</v>
      </c>
      <c r="L77" s="36">
        <v>2025404142</v>
      </c>
      <c r="M77" s="77" t="s">
        <v>225</v>
      </c>
      <c r="N77" s="36">
        <v>2025</v>
      </c>
    </row>
    <row r="78" spans="1:14">
      <c r="A78" s="36">
        <v>77</v>
      </c>
      <c r="B78" s="36" t="s">
        <v>17</v>
      </c>
      <c r="C78" s="36" t="s">
        <v>25</v>
      </c>
      <c r="D78" s="36" t="s">
        <v>60</v>
      </c>
      <c r="E78" s="36" t="s">
        <v>72</v>
      </c>
      <c r="F78" s="36"/>
      <c r="G78" s="36" t="s">
        <v>267</v>
      </c>
      <c r="H78" s="36" t="s">
        <v>121</v>
      </c>
      <c r="I78" s="84">
        <v>9041.9580419580416</v>
      </c>
      <c r="J78" s="36" t="s">
        <v>605</v>
      </c>
      <c r="K78" s="78">
        <v>45956</v>
      </c>
      <c r="L78" s="36">
        <v>2025404143</v>
      </c>
      <c r="M78" s="77" t="s">
        <v>225</v>
      </c>
      <c r="N78" s="36">
        <v>2025</v>
      </c>
    </row>
    <row r="79" spans="1:14">
      <c r="A79" s="36">
        <v>78</v>
      </c>
      <c r="B79" s="36" t="s">
        <v>17</v>
      </c>
      <c r="C79" s="36" t="s">
        <v>22</v>
      </c>
      <c r="D79" s="36" t="s">
        <v>60</v>
      </c>
      <c r="E79" s="36" t="s">
        <v>72</v>
      </c>
      <c r="F79" s="36"/>
      <c r="G79" s="36" t="s">
        <v>245</v>
      </c>
      <c r="H79" s="36" t="s">
        <v>121</v>
      </c>
      <c r="I79" s="84">
        <v>3524.4755244755243</v>
      </c>
      <c r="J79" s="36" t="s">
        <v>588</v>
      </c>
      <c r="K79" s="78">
        <v>45978</v>
      </c>
      <c r="L79" s="36">
        <v>2025404173</v>
      </c>
      <c r="M79" s="77" t="s">
        <v>225</v>
      </c>
      <c r="N79" s="36">
        <v>2025</v>
      </c>
    </row>
    <row r="80" spans="1:14">
      <c r="A80" s="36">
        <v>79</v>
      </c>
      <c r="B80" s="36" t="s">
        <v>17</v>
      </c>
      <c r="C80" s="36" t="s">
        <v>18</v>
      </c>
      <c r="D80" s="36" t="s">
        <v>60</v>
      </c>
      <c r="E80" s="88" t="s">
        <v>72</v>
      </c>
      <c r="F80" s="36"/>
      <c r="G80" s="36" t="s">
        <v>239</v>
      </c>
      <c r="H80" s="77" t="s">
        <v>250</v>
      </c>
      <c r="I80" s="84">
        <v>3120</v>
      </c>
      <c r="J80" s="36" t="s">
        <v>432</v>
      </c>
      <c r="K80" s="78">
        <v>45967</v>
      </c>
      <c r="L80" s="36">
        <v>2025404087</v>
      </c>
      <c r="M80" s="77" t="s">
        <v>225</v>
      </c>
      <c r="N80" s="36">
        <v>2025</v>
      </c>
    </row>
    <row r="81" spans="1:14">
      <c r="A81" s="36">
        <v>80</v>
      </c>
      <c r="B81" s="36" t="s">
        <v>17</v>
      </c>
      <c r="C81" s="36" t="s">
        <v>26</v>
      </c>
      <c r="D81" s="36" t="s">
        <v>60</v>
      </c>
      <c r="E81" s="88" t="s">
        <v>72</v>
      </c>
      <c r="F81" s="36"/>
      <c r="G81" s="87" t="s">
        <v>240</v>
      </c>
      <c r="H81" s="87" t="s">
        <v>123</v>
      </c>
      <c r="I81" s="84">
        <v>126</v>
      </c>
      <c r="J81" s="87" t="s">
        <v>426</v>
      </c>
      <c r="K81" s="89">
        <v>45602</v>
      </c>
      <c r="L81" s="87">
        <v>2025402871</v>
      </c>
      <c r="M81" s="77" t="s">
        <v>225</v>
      </c>
      <c r="N81" s="36">
        <v>2025</v>
      </c>
    </row>
    <row r="82" spans="1:14">
      <c r="A82" s="36">
        <v>81</v>
      </c>
      <c r="B82" s="88" t="s">
        <v>17</v>
      </c>
      <c r="C82" s="88" t="s">
        <v>22</v>
      </c>
      <c r="D82" s="36" t="s">
        <v>60</v>
      </c>
      <c r="E82" s="36" t="s">
        <v>72</v>
      </c>
      <c r="F82" s="36"/>
      <c r="G82" s="36" t="s">
        <v>243</v>
      </c>
      <c r="H82" s="36" t="s">
        <v>250</v>
      </c>
      <c r="I82" s="84">
        <v>685.31468531468533</v>
      </c>
      <c r="J82" s="36" t="s">
        <v>577</v>
      </c>
      <c r="K82" s="78">
        <v>45960</v>
      </c>
      <c r="L82" s="36">
        <v>2025403850</v>
      </c>
      <c r="M82" s="77" t="s">
        <v>225</v>
      </c>
      <c r="N82" s="36">
        <v>2025</v>
      </c>
    </row>
    <row r="83" spans="1:14">
      <c r="A83" s="36">
        <v>82</v>
      </c>
      <c r="B83" s="36" t="s">
        <v>17</v>
      </c>
      <c r="C83" s="36" t="s">
        <v>22</v>
      </c>
      <c r="D83" s="36" t="s">
        <v>60</v>
      </c>
      <c r="E83" s="88" t="s">
        <v>72</v>
      </c>
      <c r="F83" s="36"/>
      <c r="G83" s="36" t="s">
        <v>425</v>
      </c>
      <c r="H83" s="85" t="s">
        <v>250</v>
      </c>
      <c r="I83" s="84">
        <v>14475.524475524475</v>
      </c>
      <c r="J83" s="36" t="s">
        <v>609</v>
      </c>
      <c r="K83" s="78">
        <v>45962</v>
      </c>
      <c r="L83" s="36">
        <v>2025404147</v>
      </c>
      <c r="M83" s="77" t="s">
        <v>225</v>
      </c>
      <c r="N83" s="36">
        <v>2025</v>
      </c>
    </row>
    <row r="84" spans="1:14">
      <c r="A84" s="36">
        <v>83</v>
      </c>
      <c r="B84" s="36" t="s">
        <v>17</v>
      </c>
      <c r="C84" s="36" t="s">
        <v>25</v>
      </c>
      <c r="D84" s="36" t="s">
        <v>60</v>
      </c>
      <c r="E84" s="88" t="s">
        <v>72</v>
      </c>
      <c r="F84" s="36"/>
      <c r="G84" s="36" t="s">
        <v>269</v>
      </c>
      <c r="H84" s="36" t="s">
        <v>121</v>
      </c>
      <c r="I84" s="84">
        <v>4643.356643356643</v>
      </c>
      <c r="J84" s="36" t="s">
        <v>593</v>
      </c>
      <c r="K84" s="78">
        <v>45839</v>
      </c>
      <c r="L84" s="36">
        <v>2025402365</v>
      </c>
      <c r="M84" s="77" t="s">
        <v>225</v>
      </c>
      <c r="N84" s="36">
        <v>2025</v>
      </c>
    </row>
    <row r="85" spans="1:14">
      <c r="A85" s="36">
        <v>84</v>
      </c>
      <c r="B85" s="36" t="s">
        <v>17</v>
      </c>
      <c r="C85" s="36" t="s">
        <v>25</v>
      </c>
      <c r="D85" s="36" t="s">
        <v>60</v>
      </c>
      <c r="E85" s="88" t="s">
        <v>72</v>
      </c>
      <c r="F85" s="36"/>
      <c r="G85" s="36" t="s">
        <v>270</v>
      </c>
      <c r="H85" s="36" t="s">
        <v>121</v>
      </c>
      <c r="I85" s="84">
        <v>2381.1188811188813</v>
      </c>
      <c r="J85" s="36" t="s">
        <v>584</v>
      </c>
      <c r="K85" s="78">
        <v>45830</v>
      </c>
      <c r="L85" s="36">
        <v>2025402363</v>
      </c>
      <c r="M85" s="77" t="s">
        <v>225</v>
      </c>
      <c r="N85" s="36">
        <v>2025</v>
      </c>
    </row>
    <row r="86" spans="1:14">
      <c r="A86" s="36">
        <v>85</v>
      </c>
      <c r="B86" s="88" t="s">
        <v>17</v>
      </c>
      <c r="C86" s="88" t="s">
        <v>25</v>
      </c>
      <c r="D86" s="36" t="s">
        <v>60</v>
      </c>
      <c r="E86" s="36" t="s">
        <v>72</v>
      </c>
      <c r="F86" s="36"/>
      <c r="G86" s="36" t="s">
        <v>270</v>
      </c>
      <c r="H86" s="36" t="s">
        <v>121</v>
      </c>
      <c r="I86" s="84">
        <v>2413.2867132867132</v>
      </c>
      <c r="J86" s="36" t="s">
        <v>585</v>
      </c>
      <c r="K86" s="78">
        <v>45836</v>
      </c>
      <c r="L86" s="36">
        <v>2025402364</v>
      </c>
      <c r="M86" s="77" t="s">
        <v>225</v>
      </c>
      <c r="N86" s="36">
        <v>2025</v>
      </c>
    </row>
    <row r="87" spans="1:14">
      <c r="A87" s="36">
        <v>86</v>
      </c>
      <c r="B87" s="36" t="s">
        <v>17</v>
      </c>
      <c r="C87" s="36" t="s">
        <v>22</v>
      </c>
      <c r="D87" s="36" t="s">
        <v>60</v>
      </c>
      <c r="E87" s="88" t="s">
        <v>72</v>
      </c>
      <c r="F87" s="36"/>
      <c r="G87" s="36" t="s">
        <v>128</v>
      </c>
      <c r="H87" s="36" t="s">
        <v>121</v>
      </c>
      <c r="I87" s="84">
        <v>320</v>
      </c>
      <c r="J87" s="36" t="s">
        <v>435</v>
      </c>
      <c r="K87" s="78">
        <v>45969</v>
      </c>
      <c r="L87" s="36">
        <v>2025404045</v>
      </c>
      <c r="M87" s="77" t="s">
        <v>225</v>
      </c>
      <c r="N87" s="36">
        <v>2025</v>
      </c>
    </row>
    <row r="88" spans="1:14">
      <c r="A88" s="36">
        <v>87</v>
      </c>
      <c r="B88" s="36" t="s">
        <v>17</v>
      </c>
      <c r="C88" s="36" t="s">
        <v>25</v>
      </c>
      <c r="D88" s="36" t="s">
        <v>60</v>
      </c>
      <c r="E88" s="88" t="s">
        <v>72</v>
      </c>
      <c r="F88" s="36"/>
      <c r="G88" s="36" t="s">
        <v>128</v>
      </c>
      <c r="H88" s="36" t="s">
        <v>121</v>
      </c>
      <c r="I88" s="84">
        <v>474</v>
      </c>
      <c r="J88" s="36" t="s">
        <v>437</v>
      </c>
      <c r="K88" s="89">
        <v>45969</v>
      </c>
      <c r="L88" s="36">
        <v>2025404031</v>
      </c>
      <c r="M88" s="77" t="s">
        <v>225</v>
      </c>
      <c r="N88" s="36">
        <v>2025</v>
      </c>
    </row>
    <row r="89" spans="1:14">
      <c r="A89" s="36">
        <v>88</v>
      </c>
      <c r="B89" s="36" t="s">
        <v>17</v>
      </c>
      <c r="C89" s="36" t="s">
        <v>18</v>
      </c>
      <c r="D89" s="36" t="s">
        <v>60</v>
      </c>
      <c r="E89" s="88" t="s">
        <v>72</v>
      </c>
      <c r="F89" s="36"/>
      <c r="G89" s="36" t="s">
        <v>128</v>
      </c>
      <c r="H89" s="36" t="s">
        <v>121</v>
      </c>
      <c r="I89" s="84">
        <v>2058.1999999999998</v>
      </c>
      <c r="J89" s="36" t="s">
        <v>440</v>
      </c>
      <c r="K89" s="78">
        <v>45969</v>
      </c>
      <c r="L89" s="36">
        <v>2025404023</v>
      </c>
      <c r="M89" s="77" t="s">
        <v>225</v>
      </c>
      <c r="N89" s="36">
        <v>2025</v>
      </c>
    </row>
    <row r="90" spans="1:14">
      <c r="A90" s="36">
        <v>89</v>
      </c>
      <c r="B90" s="36" t="s">
        <v>17</v>
      </c>
      <c r="C90" s="36" t="s">
        <v>25</v>
      </c>
      <c r="D90" s="36" t="s">
        <v>60</v>
      </c>
      <c r="E90" s="36" t="s">
        <v>72</v>
      </c>
      <c r="F90" s="36"/>
      <c r="G90" s="36" t="s">
        <v>128</v>
      </c>
      <c r="H90" s="36" t="s">
        <v>121</v>
      </c>
      <c r="I90" s="84">
        <v>1103.5999999999999</v>
      </c>
      <c r="J90" s="36" t="s">
        <v>455</v>
      </c>
      <c r="K90" s="78">
        <v>45973</v>
      </c>
      <c r="L90" s="36">
        <v>2025404046</v>
      </c>
      <c r="M90" s="77" t="s">
        <v>225</v>
      </c>
      <c r="N90" s="36">
        <v>2025</v>
      </c>
    </row>
    <row r="91" spans="1:14">
      <c r="A91" s="36">
        <v>90</v>
      </c>
      <c r="B91" s="36" t="s">
        <v>17</v>
      </c>
      <c r="C91" s="36" t="s">
        <v>22</v>
      </c>
      <c r="D91" s="36" t="s">
        <v>60</v>
      </c>
      <c r="E91" s="88" t="s">
        <v>72</v>
      </c>
      <c r="F91" s="36"/>
      <c r="G91" s="36" t="s">
        <v>128</v>
      </c>
      <c r="H91" s="36" t="s">
        <v>121</v>
      </c>
      <c r="I91" s="84">
        <v>1320.9</v>
      </c>
      <c r="J91" s="36" t="s">
        <v>460</v>
      </c>
      <c r="K91" s="78">
        <v>45970</v>
      </c>
      <c r="L91" s="36">
        <v>2025404047</v>
      </c>
      <c r="M91" s="77" t="s">
        <v>225</v>
      </c>
      <c r="N91" s="36">
        <v>2025</v>
      </c>
    </row>
    <row r="92" spans="1:14">
      <c r="A92" s="36">
        <v>91</v>
      </c>
      <c r="B92" s="36" t="s">
        <v>17</v>
      </c>
      <c r="C92" s="36" t="s">
        <v>18</v>
      </c>
      <c r="D92" s="36" t="s">
        <v>60</v>
      </c>
      <c r="E92" s="36" t="s">
        <v>72</v>
      </c>
      <c r="F92" s="36"/>
      <c r="G92" s="36" t="s">
        <v>128</v>
      </c>
      <c r="H92" s="36" t="s">
        <v>121</v>
      </c>
      <c r="I92" s="84">
        <v>3750</v>
      </c>
      <c r="J92" s="36" t="s">
        <v>481</v>
      </c>
      <c r="K92" s="78">
        <v>45971</v>
      </c>
      <c r="L92" s="36">
        <v>2025404065</v>
      </c>
      <c r="M92" s="77" t="s">
        <v>225</v>
      </c>
      <c r="N92" s="36">
        <v>2025</v>
      </c>
    </row>
    <row r="93" spans="1:14">
      <c r="A93" s="36">
        <v>92</v>
      </c>
      <c r="B93" s="36" t="s">
        <v>17</v>
      </c>
      <c r="C93" s="36" t="s">
        <v>25</v>
      </c>
      <c r="D93" s="36" t="s">
        <v>60</v>
      </c>
      <c r="E93" s="88" t="s">
        <v>72</v>
      </c>
      <c r="F93" s="36"/>
      <c r="G93" s="36" t="s">
        <v>128</v>
      </c>
      <c r="H93" s="36" t="s">
        <v>121</v>
      </c>
      <c r="I93" s="84">
        <v>1457.8</v>
      </c>
      <c r="J93" s="36" t="s">
        <v>504</v>
      </c>
      <c r="K93" s="78">
        <v>45983</v>
      </c>
      <c r="L93" s="36">
        <v>2025404186</v>
      </c>
      <c r="M93" s="77" t="s">
        <v>225</v>
      </c>
      <c r="N93" s="36">
        <v>2025</v>
      </c>
    </row>
    <row r="94" spans="1:14">
      <c r="A94" s="36">
        <v>93</v>
      </c>
      <c r="B94" s="36" t="s">
        <v>17</v>
      </c>
      <c r="C94" s="36" t="s">
        <v>18</v>
      </c>
      <c r="D94" s="36" t="s">
        <v>60</v>
      </c>
      <c r="E94" s="88" t="s">
        <v>72</v>
      </c>
      <c r="F94" s="36"/>
      <c r="G94" s="36" t="s">
        <v>128</v>
      </c>
      <c r="H94" s="36" t="s">
        <v>121</v>
      </c>
      <c r="I94" s="84">
        <v>1693.1</v>
      </c>
      <c r="J94" s="36" t="s">
        <v>508</v>
      </c>
      <c r="K94" s="78">
        <v>45980</v>
      </c>
      <c r="L94" s="36">
        <v>2025404202</v>
      </c>
      <c r="M94" s="77" t="s">
        <v>225</v>
      </c>
      <c r="N94" s="36">
        <v>2025</v>
      </c>
    </row>
    <row r="95" spans="1:14">
      <c r="A95" s="36">
        <v>94</v>
      </c>
      <c r="B95" s="36" t="s">
        <v>17</v>
      </c>
      <c r="C95" s="36" t="s">
        <v>25</v>
      </c>
      <c r="D95" s="36" t="s">
        <v>60</v>
      </c>
      <c r="E95" s="88" t="s">
        <v>72</v>
      </c>
      <c r="F95" s="36"/>
      <c r="G95" s="36" t="s">
        <v>128</v>
      </c>
      <c r="H95" s="36" t="s">
        <v>121</v>
      </c>
      <c r="I95" s="84">
        <v>2160.1999999999998</v>
      </c>
      <c r="J95" s="36" t="s">
        <v>514</v>
      </c>
      <c r="K95" s="78">
        <v>45980</v>
      </c>
      <c r="L95" s="36">
        <v>2025404049</v>
      </c>
      <c r="M95" s="77" t="s">
        <v>225</v>
      </c>
      <c r="N95" s="36">
        <v>2025</v>
      </c>
    </row>
    <row r="96" spans="1:14">
      <c r="A96" s="36">
        <v>95</v>
      </c>
      <c r="B96" s="36" t="s">
        <v>17</v>
      </c>
      <c r="C96" s="36" t="s">
        <v>22</v>
      </c>
      <c r="D96" s="36" t="s">
        <v>60</v>
      </c>
      <c r="E96" s="88" t="s">
        <v>72</v>
      </c>
      <c r="F96" s="36"/>
      <c r="G96" s="36" t="s">
        <v>128</v>
      </c>
      <c r="H96" s="36" t="s">
        <v>121</v>
      </c>
      <c r="I96" s="84">
        <v>739</v>
      </c>
      <c r="J96" s="36" t="s">
        <v>515</v>
      </c>
      <c r="K96" s="78">
        <v>45979</v>
      </c>
      <c r="L96" s="36">
        <v>2025404200</v>
      </c>
      <c r="M96" s="77" t="s">
        <v>225</v>
      </c>
      <c r="N96" s="36">
        <v>2025</v>
      </c>
    </row>
    <row r="97" spans="1:14">
      <c r="A97" s="36">
        <v>96</v>
      </c>
      <c r="B97" s="36" t="s">
        <v>17</v>
      </c>
      <c r="C97" s="36" t="s">
        <v>93</v>
      </c>
      <c r="D97" s="36" t="s">
        <v>60</v>
      </c>
      <c r="E97" s="88" t="s">
        <v>72</v>
      </c>
      <c r="F97" s="36"/>
      <c r="G97" s="36" t="s">
        <v>128</v>
      </c>
      <c r="H97" s="36" t="s">
        <v>121</v>
      </c>
      <c r="I97" s="84">
        <v>647</v>
      </c>
      <c r="J97" s="36" t="s">
        <v>516</v>
      </c>
      <c r="K97" s="78">
        <v>45979</v>
      </c>
      <c r="L97" s="36">
        <v>2025404160</v>
      </c>
      <c r="M97" s="77" t="s">
        <v>225</v>
      </c>
      <c r="N97" s="36">
        <v>2025</v>
      </c>
    </row>
    <row r="98" spans="1:14">
      <c r="A98" s="36">
        <v>97</v>
      </c>
      <c r="B98" s="36" t="s">
        <v>17</v>
      </c>
      <c r="C98" s="36" t="s">
        <v>18</v>
      </c>
      <c r="D98" s="36" t="s">
        <v>60</v>
      </c>
      <c r="E98" s="88" t="s">
        <v>72</v>
      </c>
      <c r="F98" s="36"/>
      <c r="G98" s="36" t="s">
        <v>128</v>
      </c>
      <c r="H98" s="36" t="s">
        <v>121</v>
      </c>
      <c r="I98" s="84">
        <v>695</v>
      </c>
      <c r="J98" s="36" t="s">
        <v>519</v>
      </c>
      <c r="K98" s="78">
        <v>45987</v>
      </c>
      <c r="L98" s="36">
        <v>2025404307</v>
      </c>
      <c r="M98" s="77" t="s">
        <v>225</v>
      </c>
      <c r="N98" s="36">
        <v>2025</v>
      </c>
    </row>
    <row r="99" spans="1:14">
      <c r="A99" s="36">
        <v>98</v>
      </c>
      <c r="B99" s="36" t="s">
        <v>17</v>
      </c>
      <c r="C99" s="36" t="s">
        <v>22</v>
      </c>
      <c r="D99" s="36" t="s">
        <v>60</v>
      </c>
      <c r="E99" s="36" t="s">
        <v>72</v>
      </c>
      <c r="F99" s="36"/>
      <c r="G99" s="36" t="s">
        <v>128</v>
      </c>
      <c r="H99" s="36" t="s">
        <v>121</v>
      </c>
      <c r="I99" s="84">
        <v>1609</v>
      </c>
      <c r="J99" s="36" t="s">
        <v>521</v>
      </c>
      <c r="K99" s="78">
        <v>45979</v>
      </c>
      <c r="L99" s="36">
        <v>2025404201</v>
      </c>
      <c r="M99" s="77" t="s">
        <v>225</v>
      </c>
      <c r="N99" s="36">
        <v>2025</v>
      </c>
    </row>
    <row r="100" spans="1:14">
      <c r="A100" s="36">
        <v>99</v>
      </c>
      <c r="B100" s="36" t="s">
        <v>17</v>
      </c>
      <c r="C100" s="36" t="s">
        <v>18</v>
      </c>
      <c r="D100" s="36" t="s">
        <v>60</v>
      </c>
      <c r="E100" s="88" t="s">
        <v>72</v>
      </c>
      <c r="F100" s="36"/>
      <c r="G100" s="36" t="s">
        <v>128</v>
      </c>
      <c r="H100" s="36" t="s">
        <v>121</v>
      </c>
      <c r="I100" s="84">
        <v>826</v>
      </c>
      <c r="J100" s="36" t="s">
        <v>522</v>
      </c>
      <c r="K100" s="78">
        <v>45976</v>
      </c>
      <c r="L100" s="36">
        <v>2025404163</v>
      </c>
      <c r="M100" s="77" t="s">
        <v>225</v>
      </c>
      <c r="N100" s="36">
        <v>2025</v>
      </c>
    </row>
    <row r="101" spans="1:14">
      <c r="A101" s="36">
        <v>100</v>
      </c>
      <c r="B101" s="36" t="s">
        <v>17</v>
      </c>
      <c r="C101" s="36" t="s">
        <v>25</v>
      </c>
      <c r="D101" s="36" t="s">
        <v>60</v>
      </c>
      <c r="E101" s="36" t="s">
        <v>72</v>
      </c>
      <c r="F101" s="36"/>
      <c r="G101" s="36" t="s">
        <v>128</v>
      </c>
      <c r="H101" s="36" t="s">
        <v>121</v>
      </c>
      <c r="I101" s="84">
        <v>73</v>
      </c>
      <c r="J101" s="36" t="s">
        <v>523</v>
      </c>
      <c r="K101" s="78">
        <v>45985</v>
      </c>
      <c r="L101" s="36">
        <v>2025404234</v>
      </c>
      <c r="M101" s="77" t="s">
        <v>225</v>
      </c>
      <c r="N101" s="36">
        <v>2025</v>
      </c>
    </row>
    <row r="102" spans="1:14">
      <c r="A102" s="36">
        <v>101</v>
      </c>
      <c r="B102" s="36" t="s">
        <v>17</v>
      </c>
      <c r="C102" s="36" t="s">
        <v>25</v>
      </c>
      <c r="D102" s="36" t="s">
        <v>60</v>
      </c>
      <c r="E102" s="88" t="s">
        <v>72</v>
      </c>
      <c r="F102" s="36"/>
      <c r="G102" s="36" t="s">
        <v>128</v>
      </c>
      <c r="H102" s="36" t="s">
        <v>121</v>
      </c>
      <c r="I102" s="84">
        <v>1846.7</v>
      </c>
      <c r="J102" s="36" t="s">
        <v>530</v>
      </c>
      <c r="K102" s="78">
        <v>45986</v>
      </c>
      <c r="L102" s="36">
        <v>2025404194</v>
      </c>
      <c r="M102" s="77" t="s">
        <v>225</v>
      </c>
      <c r="N102" s="36">
        <v>2025</v>
      </c>
    </row>
    <row r="103" spans="1:14">
      <c r="A103" s="36">
        <v>102</v>
      </c>
      <c r="B103" s="36" t="s">
        <v>17</v>
      </c>
      <c r="C103" s="36" t="s">
        <v>22</v>
      </c>
      <c r="D103" s="36" t="s">
        <v>60</v>
      </c>
      <c r="E103" s="88" t="s">
        <v>72</v>
      </c>
      <c r="F103" s="36"/>
      <c r="G103" s="36" t="s">
        <v>128</v>
      </c>
      <c r="H103" s="36" t="s">
        <v>121</v>
      </c>
      <c r="I103" s="84">
        <v>84</v>
      </c>
      <c r="J103" s="36" t="s">
        <v>532</v>
      </c>
      <c r="K103" s="78">
        <v>45985</v>
      </c>
      <c r="L103" s="36">
        <v>2025404097</v>
      </c>
      <c r="M103" s="77" t="s">
        <v>225</v>
      </c>
      <c r="N103" s="36">
        <v>2025</v>
      </c>
    </row>
    <row r="104" spans="1:14">
      <c r="A104" s="36">
        <v>103</v>
      </c>
      <c r="B104" s="88" t="s">
        <v>17</v>
      </c>
      <c r="C104" s="88" t="s">
        <v>18</v>
      </c>
      <c r="D104" s="36" t="s">
        <v>60</v>
      </c>
      <c r="E104" s="88" t="s">
        <v>72</v>
      </c>
      <c r="F104" s="36"/>
      <c r="G104" s="88" t="s">
        <v>128</v>
      </c>
      <c r="H104" s="36" t="s">
        <v>121</v>
      </c>
      <c r="I104" s="84">
        <v>947</v>
      </c>
      <c r="J104" s="36" t="s">
        <v>534</v>
      </c>
      <c r="K104" s="78">
        <v>45985</v>
      </c>
      <c r="L104" s="36">
        <v>2025404102</v>
      </c>
      <c r="M104" s="77" t="s">
        <v>225</v>
      </c>
      <c r="N104" s="36">
        <v>2025</v>
      </c>
    </row>
    <row r="105" spans="1:14">
      <c r="A105" s="36">
        <v>104</v>
      </c>
      <c r="B105" s="36" t="s">
        <v>17</v>
      </c>
      <c r="C105" s="36" t="s">
        <v>18</v>
      </c>
      <c r="D105" s="36" t="s">
        <v>60</v>
      </c>
      <c r="E105" s="88" t="s">
        <v>72</v>
      </c>
      <c r="F105" s="36"/>
      <c r="G105" s="36" t="s">
        <v>128</v>
      </c>
      <c r="H105" s="36" t="s">
        <v>121</v>
      </c>
      <c r="I105" s="84">
        <v>675</v>
      </c>
      <c r="J105" s="36" t="s">
        <v>535</v>
      </c>
      <c r="K105" s="78">
        <v>45985</v>
      </c>
      <c r="L105" s="36">
        <v>2025404098</v>
      </c>
      <c r="M105" s="77" t="s">
        <v>225</v>
      </c>
      <c r="N105" s="36">
        <v>2025</v>
      </c>
    </row>
    <row r="106" spans="1:14">
      <c r="A106" s="36">
        <v>105</v>
      </c>
      <c r="B106" s="36" t="s">
        <v>17</v>
      </c>
      <c r="C106" s="36" t="s">
        <v>18</v>
      </c>
      <c r="D106" s="36" t="s">
        <v>60</v>
      </c>
      <c r="E106" s="88" t="s">
        <v>72</v>
      </c>
      <c r="F106" s="36"/>
      <c r="G106" s="36" t="s">
        <v>128</v>
      </c>
      <c r="H106" s="36" t="s">
        <v>121</v>
      </c>
      <c r="I106" s="84">
        <v>729</v>
      </c>
      <c r="J106" s="36" t="s">
        <v>536</v>
      </c>
      <c r="K106" s="78">
        <v>45985</v>
      </c>
      <c r="L106" s="36">
        <v>2025404231</v>
      </c>
      <c r="M106" s="77" t="s">
        <v>225</v>
      </c>
      <c r="N106" s="36">
        <v>2025</v>
      </c>
    </row>
    <row r="107" spans="1:14">
      <c r="A107" s="36">
        <v>106</v>
      </c>
      <c r="B107" s="36" t="s">
        <v>17</v>
      </c>
      <c r="C107" s="36" t="s">
        <v>25</v>
      </c>
      <c r="D107" s="36" t="s">
        <v>60</v>
      </c>
      <c r="E107" s="88" t="s">
        <v>72</v>
      </c>
      <c r="F107" s="36"/>
      <c r="G107" s="36" t="s">
        <v>128</v>
      </c>
      <c r="H107" s="36" t="s">
        <v>121</v>
      </c>
      <c r="I107" s="84">
        <v>2844.5</v>
      </c>
      <c r="J107" s="36" t="s">
        <v>537</v>
      </c>
      <c r="K107" s="78">
        <v>45986</v>
      </c>
      <c r="L107" s="36">
        <v>2025404108</v>
      </c>
      <c r="M107" s="77" t="s">
        <v>225</v>
      </c>
      <c r="N107" s="36">
        <v>2025</v>
      </c>
    </row>
    <row r="108" spans="1:14">
      <c r="A108" s="36">
        <v>107</v>
      </c>
      <c r="B108" s="36" t="s">
        <v>17</v>
      </c>
      <c r="C108" s="36" t="s">
        <v>18</v>
      </c>
      <c r="D108" s="36" t="s">
        <v>60</v>
      </c>
      <c r="E108" s="88" t="s">
        <v>72</v>
      </c>
      <c r="F108" s="36"/>
      <c r="G108" s="36" t="s">
        <v>128</v>
      </c>
      <c r="H108" s="36" t="s">
        <v>121</v>
      </c>
      <c r="I108" s="84">
        <v>731</v>
      </c>
      <c r="J108" s="36" t="s">
        <v>552</v>
      </c>
      <c r="K108" s="78">
        <v>45985</v>
      </c>
      <c r="L108" s="36">
        <v>2025404192</v>
      </c>
      <c r="M108" s="77" t="s">
        <v>225</v>
      </c>
      <c r="N108" s="36">
        <v>2025</v>
      </c>
    </row>
    <row r="109" spans="1:14">
      <c r="A109" s="36">
        <v>108</v>
      </c>
      <c r="B109" s="36" t="s">
        <v>17</v>
      </c>
      <c r="C109" s="36" t="s">
        <v>22</v>
      </c>
      <c r="D109" s="36" t="s">
        <v>19</v>
      </c>
      <c r="E109" s="36" t="s">
        <v>81</v>
      </c>
      <c r="F109" s="36"/>
      <c r="G109" s="36" t="s">
        <v>91</v>
      </c>
      <c r="H109" s="36" t="s">
        <v>618</v>
      </c>
      <c r="I109" s="84">
        <v>15096.398601398601</v>
      </c>
      <c r="J109" s="36" t="s">
        <v>14</v>
      </c>
      <c r="K109" s="78" t="s">
        <v>14</v>
      </c>
      <c r="L109" s="36" t="s">
        <v>14</v>
      </c>
      <c r="M109" s="36" t="s">
        <v>225</v>
      </c>
      <c r="N109" s="36">
        <v>2025</v>
      </c>
    </row>
    <row r="110" spans="1:14">
      <c r="A110" s="36">
        <v>109</v>
      </c>
      <c r="B110" s="36" t="s">
        <v>17</v>
      </c>
      <c r="C110" s="36" t="s">
        <v>23</v>
      </c>
      <c r="D110" s="36" t="s">
        <v>19</v>
      </c>
      <c r="E110" s="36" t="s">
        <v>81</v>
      </c>
      <c r="F110" s="36"/>
      <c r="G110" s="36" t="s">
        <v>91</v>
      </c>
      <c r="H110" s="36" t="s">
        <v>618</v>
      </c>
      <c r="I110" s="84">
        <v>16381.258741258742</v>
      </c>
      <c r="J110" s="36" t="s">
        <v>14</v>
      </c>
      <c r="K110" s="78" t="s">
        <v>14</v>
      </c>
      <c r="L110" s="36" t="s">
        <v>14</v>
      </c>
      <c r="M110" s="36" t="s">
        <v>225</v>
      </c>
      <c r="N110" s="36">
        <v>2025</v>
      </c>
    </row>
    <row r="111" spans="1:14">
      <c r="A111" s="36">
        <v>110</v>
      </c>
      <c r="B111" s="36" t="s">
        <v>17</v>
      </c>
      <c r="C111" s="36" t="s">
        <v>25</v>
      </c>
      <c r="D111" s="36" t="s">
        <v>19</v>
      </c>
      <c r="E111" s="36" t="s">
        <v>81</v>
      </c>
      <c r="F111" s="36"/>
      <c r="G111" s="36" t="s">
        <v>91</v>
      </c>
      <c r="H111" s="36" t="s">
        <v>618</v>
      </c>
      <c r="I111" s="84">
        <v>4978.9510489510485</v>
      </c>
      <c r="J111" s="36" t="s">
        <v>14</v>
      </c>
      <c r="K111" s="78" t="s">
        <v>14</v>
      </c>
      <c r="L111" s="36" t="s">
        <v>14</v>
      </c>
      <c r="M111" s="36" t="s">
        <v>225</v>
      </c>
      <c r="N111" s="36">
        <v>2025</v>
      </c>
    </row>
    <row r="112" spans="1:14">
      <c r="A112" s="36">
        <v>111</v>
      </c>
      <c r="B112" s="36" t="s">
        <v>17</v>
      </c>
      <c r="C112" s="36" t="s">
        <v>26</v>
      </c>
      <c r="D112" s="36" t="s">
        <v>19</v>
      </c>
      <c r="E112" s="36" t="s">
        <v>81</v>
      </c>
      <c r="F112" s="36"/>
      <c r="G112" s="36" t="s">
        <v>91</v>
      </c>
      <c r="H112" s="36" t="s">
        <v>618</v>
      </c>
      <c r="I112" s="84">
        <v>5422.6573426573423</v>
      </c>
      <c r="J112" s="36" t="s">
        <v>14</v>
      </c>
      <c r="K112" s="78" t="s">
        <v>14</v>
      </c>
      <c r="L112" s="36" t="s">
        <v>14</v>
      </c>
      <c r="M112" s="36" t="s">
        <v>225</v>
      </c>
      <c r="N112" s="36">
        <v>2025</v>
      </c>
    </row>
    <row r="113" spans="1:14">
      <c r="A113" s="36">
        <v>112</v>
      </c>
      <c r="B113" s="36" t="s">
        <v>17</v>
      </c>
      <c r="C113" s="36" t="s">
        <v>18</v>
      </c>
      <c r="D113" s="36" t="s">
        <v>19</v>
      </c>
      <c r="E113" s="36" t="s">
        <v>81</v>
      </c>
      <c r="F113" s="36"/>
      <c r="G113" s="36" t="s">
        <v>91</v>
      </c>
      <c r="H113" s="36" t="s">
        <v>618</v>
      </c>
      <c r="I113" s="84">
        <v>4910.9790209790208</v>
      </c>
      <c r="J113" s="36" t="s">
        <v>14</v>
      </c>
      <c r="K113" s="78" t="s">
        <v>14</v>
      </c>
      <c r="L113" s="36" t="s">
        <v>14</v>
      </c>
      <c r="M113" s="36" t="s">
        <v>225</v>
      </c>
      <c r="N113" s="36">
        <v>2025</v>
      </c>
    </row>
    <row r="114" spans="1:14">
      <c r="A114" s="36">
        <v>113</v>
      </c>
      <c r="B114" s="36" t="s">
        <v>17</v>
      </c>
      <c r="C114" s="36" t="s">
        <v>24</v>
      </c>
      <c r="D114" s="36" t="s">
        <v>19</v>
      </c>
      <c r="E114" s="36" t="s">
        <v>81</v>
      </c>
      <c r="F114" s="36"/>
      <c r="G114" s="36" t="s">
        <v>91</v>
      </c>
      <c r="H114" s="36" t="s">
        <v>618</v>
      </c>
      <c r="I114" s="84">
        <v>12506.853146853147</v>
      </c>
      <c r="J114" s="36" t="s">
        <v>14</v>
      </c>
      <c r="K114" s="78" t="s">
        <v>14</v>
      </c>
      <c r="L114" s="36" t="s">
        <v>14</v>
      </c>
      <c r="M114" s="36" t="s">
        <v>225</v>
      </c>
      <c r="N114" s="36">
        <v>2025</v>
      </c>
    </row>
    <row r="115" spans="1:14">
      <c r="A115" s="36">
        <v>114</v>
      </c>
      <c r="B115" s="36" t="s">
        <v>17</v>
      </c>
      <c r="C115" s="36" t="s">
        <v>23</v>
      </c>
      <c r="D115" s="36" t="s">
        <v>60</v>
      </c>
      <c r="E115" s="36" t="s">
        <v>81</v>
      </c>
      <c r="F115" s="36"/>
      <c r="G115" s="36" t="s">
        <v>380</v>
      </c>
      <c r="H115" s="4" t="s">
        <v>619</v>
      </c>
      <c r="I115" s="84">
        <v>8270</v>
      </c>
      <c r="J115" s="36" t="s">
        <v>388</v>
      </c>
      <c r="K115" s="78">
        <v>45970</v>
      </c>
      <c r="L115" s="36">
        <v>2024403561</v>
      </c>
      <c r="M115" s="36" t="s">
        <v>225</v>
      </c>
      <c r="N115" s="36">
        <v>2025</v>
      </c>
    </row>
    <row r="116" spans="1:14">
      <c r="A116" s="36">
        <v>115</v>
      </c>
      <c r="B116" s="36" t="s">
        <v>17</v>
      </c>
      <c r="C116" s="36" t="s">
        <v>25</v>
      </c>
      <c r="D116" s="36" t="s">
        <v>60</v>
      </c>
      <c r="E116" s="36" t="s">
        <v>81</v>
      </c>
      <c r="F116" s="36"/>
      <c r="G116" s="36" t="s">
        <v>236</v>
      </c>
      <c r="H116" s="36" t="s">
        <v>619</v>
      </c>
      <c r="I116" s="84">
        <v>1920</v>
      </c>
      <c r="J116" s="36" t="s">
        <v>390</v>
      </c>
      <c r="K116" s="78">
        <v>45965</v>
      </c>
      <c r="L116" s="36">
        <v>2025404377</v>
      </c>
      <c r="M116" s="36" t="s">
        <v>225</v>
      </c>
      <c r="N116" s="36">
        <v>2025</v>
      </c>
    </row>
    <row r="117" spans="1:14">
      <c r="A117" s="36">
        <v>116</v>
      </c>
      <c r="B117" s="36" t="s">
        <v>17</v>
      </c>
      <c r="C117" s="36" t="s">
        <v>22</v>
      </c>
      <c r="D117" s="36" t="s">
        <v>60</v>
      </c>
      <c r="E117" s="36" t="s">
        <v>81</v>
      </c>
      <c r="F117" s="36"/>
      <c r="G117" s="36" t="s">
        <v>236</v>
      </c>
      <c r="H117" s="36" t="s">
        <v>619</v>
      </c>
      <c r="I117" s="84">
        <v>300</v>
      </c>
      <c r="J117" s="36" t="s">
        <v>392</v>
      </c>
      <c r="K117" s="78">
        <v>45968</v>
      </c>
      <c r="L117" s="36">
        <v>2025404389</v>
      </c>
      <c r="M117" s="36" t="s">
        <v>225</v>
      </c>
      <c r="N117" s="36">
        <v>2025</v>
      </c>
    </row>
    <row r="118" spans="1:14">
      <c r="A118" s="36">
        <v>117</v>
      </c>
      <c r="B118" s="36" t="s">
        <v>17</v>
      </c>
      <c r="C118" s="36" t="s">
        <v>25</v>
      </c>
      <c r="D118" s="36" t="s">
        <v>60</v>
      </c>
      <c r="E118" s="36" t="s">
        <v>81</v>
      </c>
      <c r="F118" s="36"/>
      <c r="G118" s="36" t="s">
        <v>267</v>
      </c>
      <c r="H118" s="36" t="s">
        <v>619</v>
      </c>
      <c r="I118" s="84">
        <v>8537.0629370629376</v>
      </c>
      <c r="J118" s="36" t="s">
        <v>407</v>
      </c>
      <c r="K118" s="78">
        <v>45959</v>
      </c>
      <c r="L118" s="36">
        <v>2025404144</v>
      </c>
      <c r="M118" s="36" t="s">
        <v>225</v>
      </c>
      <c r="N118" s="36">
        <v>2025</v>
      </c>
    </row>
    <row r="119" spans="1:14">
      <c r="A119" s="36">
        <v>118</v>
      </c>
      <c r="B119" s="36" t="s">
        <v>17</v>
      </c>
      <c r="C119" s="36" t="s">
        <v>22</v>
      </c>
      <c r="D119" s="36" t="s">
        <v>19</v>
      </c>
      <c r="E119" s="36" t="s">
        <v>110</v>
      </c>
      <c r="F119" s="36"/>
      <c r="G119" s="36" t="s">
        <v>88</v>
      </c>
      <c r="H119" s="36" t="s">
        <v>111</v>
      </c>
      <c r="I119" s="76">
        <v>2454.5454545454545</v>
      </c>
      <c r="J119" s="36" t="s">
        <v>14</v>
      </c>
      <c r="K119" s="78" t="s">
        <v>14</v>
      </c>
      <c r="L119" s="36" t="s">
        <v>14</v>
      </c>
      <c r="M119" s="36" t="s">
        <v>225</v>
      </c>
      <c r="N119" s="36">
        <v>2025</v>
      </c>
    </row>
    <row r="120" spans="1:14">
      <c r="A120" s="36">
        <v>119</v>
      </c>
      <c r="B120" s="36" t="s">
        <v>17</v>
      </c>
      <c r="C120" s="36" t="s">
        <v>26</v>
      </c>
      <c r="D120" s="36" t="s">
        <v>19</v>
      </c>
      <c r="E120" s="36" t="s">
        <v>110</v>
      </c>
      <c r="F120" s="36"/>
      <c r="G120" s="36" t="s">
        <v>88</v>
      </c>
      <c r="H120" s="36" t="s">
        <v>111</v>
      </c>
      <c r="I120" s="76">
        <v>1132.8671328671328</v>
      </c>
      <c r="J120" s="36" t="s">
        <v>14</v>
      </c>
      <c r="K120" s="78" t="s">
        <v>14</v>
      </c>
      <c r="L120" s="36" t="s">
        <v>14</v>
      </c>
      <c r="M120" s="36" t="s">
        <v>225</v>
      </c>
      <c r="N120" s="36">
        <v>2025</v>
      </c>
    </row>
    <row r="121" spans="1:14">
      <c r="A121" s="36">
        <v>120</v>
      </c>
      <c r="B121" s="36" t="s">
        <v>17</v>
      </c>
      <c r="C121" s="36" t="s">
        <v>24</v>
      </c>
      <c r="D121" s="36" t="s">
        <v>19</v>
      </c>
      <c r="E121" s="36" t="s">
        <v>110</v>
      </c>
      <c r="F121" s="36"/>
      <c r="G121" s="36" t="s">
        <v>88</v>
      </c>
      <c r="H121" s="36" t="s">
        <v>111</v>
      </c>
      <c r="I121" s="76">
        <v>1170.6293706293707</v>
      </c>
      <c r="J121" s="36" t="s">
        <v>14</v>
      </c>
      <c r="K121" s="78" t="s">
        <v>14</v>
      </c>
      <c r="L121" s="36" t="s">
        <v>14</v>
      </c>
      <c r="M121" s="36" t="s">
        <v>225</v>
      </c>
      <c r="N121" s="36">
        <v>2025</v>
      </c>
    </row>
    <row r="122" spans="1:14">
      <c r="A122" s="36">
        <v>121</v>
      </c>
      <c r="B122" s="36" t="s">
        <v>17</v>
      </c>
      <c r="C122" s="36" t="s">
        <v>25</v>
      </c>
      <c r="D122" s="36" t="s">
        <v>19</v>
      </c>
      <c r="E122" s="36" t="s">
        <v>110</v>
      </c>
      <c r="F122" s="36"/>
      <c r="G122" s="36" t="s">
        <v>88</v>
      </c>
      <c r="H122" s="36" t="s">
        <v>111</v>
      </c>
      <c r="I122" s="76">
        <v>35420.979020979023</v>
      </c>
      <c r="J122" s="36" t="s">
        <v>14</v>
      </c>
      <c r="K122" s="78" t="s">
        <v>14</v>
      </c>
      <c r="L122" s="36" t="s">
        <v>14</v>
      </c>
      <c r="M122" s="36" t="s">
        <v>225</v>
      </c>
      <c r="N122" s="36">
        <v>2025</v>
      </c>
    </row>
    <row r="123" spans="1:14">
      <c r="A123" s="36">
        <v>122</v>
      </c>
      <c r="B123" s="36" t="s">
        <v>17</v>
      </c>
      <c r="C123" s="36" t="s">
        <v>26</v>
      </c>
      <c r="D123" s="36" t="s">
        <v>19</v>
      </c>
      <c r="E123" s="36" t="s">
        <v>110</v>
      </c>
      <c r="F123" s="36"/>
      <c r="G123" s="36" t="s">
        <v>88</v>
      </c>
      <c r="H123" s="36" t="s">
        <v>111</v>
      </c>
      <c r="I123" s="76">
        <v>1132.8671328671328</v>
      </c>
      <c r="J123" s="36" t="s">
        <v>14</v>
      </c>
      <c r="K123" s="78" t="s">
        <v>14</v>
      </c>
      <c r="L123" s="36" t="s">
        <v>14</v>
      </c>
      <c r="M123" s="36" t="s">
        <v>225</v>
      </c>
      <c r="N123" s="36">
        <v>2025</v>
      </c>
    </row>
    <row r="124" spans="1:14">
      <c r="A124" s="36">
        <v>123</v>
      </c>
      <c r="B124" s="36" t="s">
        <v>17</v>
      </c>
      <c r="C124" s="36" t="s">
        <v>75</v>
      </c>
      <c r="D124" s="36" t="s">
        <v>19</v>
      </c>
      <c r="E124" s="36" t="s">
        <v>110</v>
      </c>
      <c r="F124" s="36"/>
      <c r="G124" s="36" t="s">
        <v>117</v>
      </c>
      <c r="H124" s="36" t="s">
        <v>110</v>
      </c>
      <c r="I124" s="84">
        <v>64.162567985587657</v>
      </c>
      <c r="J124" s="36" t="s">
        <v>14</v>
      </c>
      <c r="K124" s="78" t="s">
        <v>14</v>
      </c>
      <c r="L124" s="36" t="s">
        <v>14</v>
      </c>
      <c r="M124" s="36" t="s">
        <v>225</v>
      </c>
      <c r="N124" s="36">
        <v>2025</v>
      </c>
    </row>
    <row r="125" spans="1:14">
      <c r="A125" s="36">
        <v>124</v>
      </c>
      <c r="B125" s="36" t="s">
        <v>17</v>
      </c>
      <c r="C125" s="36" t="s">
        <v>25</v>
      </c>
      <c r="D125" s="36" t="s">
        <v>19</v>
      </c>
      <c r="E125" s="36" t="s">
        <v>110</v>
      </c>
      <c r="F125" s="36"/>
      <c r="G125" s="36" t="s">
        <v>117</v>
      </c>
      <c r="H125" s="36" t="s">
        <v>110</v>
      </c>
      <c r="I125" s="84">
        <v>109525.50355139813</v>
      </c>
      <c r="J125" s="36" t="s">
        <v>14</v>
      </c>
      <c r="K125" s="78" t="s">
        <v>14</v>
      </c>
      <c r="L125" s="36" t="s">
        <v>14</v>
      </c>
      <c r="M125" s="36" t="s">
        <v>225</v>
      </c>
      <c r="N125" s="36">
        <v>2025</v>
      </c>
    </row>
    <row r="126" spans="1:14">
      <c r="A126" s="36">
        <v>125</v>
      </c>
      <c r="B126" s="36" t="s">
        <v>17</v>
      </c>
      <c r="C126" s="36" t="s">
        <v>23</v>
      </c>
      <c r="D126" s="36" t="s">
        <v>19</v>
      </c>
      <c r="E126" s="36" t="s">
        <v>110</v>
      </c>
      <c r="F126" s="36"/>
      <c r="G126" s="36" t="s">
        <v>117</v>
      </c>
      <c r="H126" s="36" t="s">
        <v>110</v>
      </c>
      <c r="I126" s="84">
        <v>14179.927524814873</v>
      </c>
      <c r="J126" s="36" t="s">
        <v>14</v>
      </c>
      <c r="K126" s="78" t="s">
        <v>14</v>
      </c>
      <c r="L126" s="36" t="s">
        <v>14</v>
      </c>
      <c r="M126" s="36" t="s">
        <v>225</v>
      </c>
      <c r="N126" s="36">
        <v>2025</v>
      </c>
    </row>
    <row r="127" spans="1:14">
      <c r="A127" s="36">
        <v>126</v>
      </c>
      <c r="B127" s="77" t="s">
        <v>17</v>
      </c>
      <c r="C127" s="77" t="s">
        <v>25</v>
      </c>
      <c r="D127" s="36" t="s">
        <v>19</v>
      </c>
      <c r="E127" s="36" t="s">
        <v>114</v>
      </c>
      <c r="F127" s="36"/>
      <c r="G127" s="77" t="s">
        <v>615</v>
      </c>
      <c r="H127" s="36" t="s">
        <v>118</v>
      </c>
      <c r="I127" s="84">
        <f>40000000/1430</f>
        <v>27972.027972027972</v>
      </c>
      <c r="J127" s="36" t="s">
        <v>14</v>
      </c>
      <c r="K127" s="78" t="s">
        <v>14</v>
      </c>
      <c r="L127" s="36" t="s">
        <v>14</v>
      </c>
      <c r="M127" s="77" t="s">
        <v>225</v>
      </c>
      <c r="N127" s="36">
        <v>2025</v>
      </c>
    </row>
    <row r="128" spans="1:14">
      <c r="A128" s="36">
        <v>127</v>
      </c>
      <c r="B128" s="36" t="s">
        <v>27</v>
      </c>
      <c r="C128" s="36" t="s">
        <v>28</v>
      </c>
      <c r="D128" s="36" t="s">
        <v>60</v>
      </c>
      <c r="E128" s="36" t="s">
        <v>20</v>
      </c>
      <c r="F128" s="36"/>
      <c r="G128" s="36" t="s">
        <v>21</v>
      </c>
      <c r="H128" s="36" t="s">
        <v>314</v>
      </c>
      <c r="I128" s="76">
        <v>22322</v>
      </c>
      <c r="J128" s="36" t="s">
        <v>14</v>
      </c>
      <c r="K128" s="78" t="s">
        <v>14</v>
      </c>
      <c r="L128" s="36" t="s">
        <v>14</v>
      </c>
      <c r="M128" s="36" t="s">
        <v>225</v>
      </c>
      <c r="N128" s="36">
        <v>2025</v>
      </c>
    </row>
    <row r="129" spans="1:14">
      <c r="A129" s="36">
        <v>128</v>
      </c>
      <c r="B129" s="36" t="s">
        <v>27</v>
      </c>
      <c r="C129" s="36" t="s">
        <v>28</v>
      </c>
      <c r="D129" s="36" t="s">
        <v>60</v>
      </c>
      <c r="E129" s="36" t="s">
        <v>103</v>
      </c>
      <c r="F129" s="36"/>
      <c r="G129" s="36" t="s">
        <v>106</v>
      </c>
      <c r="H129" s="36" t="s">
        <v>107</v>
      </c>
      <c r="I129" s="84">
        <v>1391.2517004942633</v>
      </c>
      <c r="J129" s="36">
        <v>63</v>
      </c>
      <c r="K129" s="78">
        <v>45930</v>
      </c>
      <c r="L129" s="36" t="s">
        <v>14</v>
      </c>
      <c r="M129" s="36" t="s">
        <v>225</v>
      </c>
      <c r="N129" s="36">
        <v>2025</v>
      </c>
    </row>
    <row r="130" spans="1:14">
      <c r="A130" s="36">
        <v>129</v>
      </c>
      <c r="B130" s="36" t="s">
        <v>27</v>
      </c>
      <c r="C130" s="36" t="s">
        <v>28</v>
      </c>
      <c r="D130" s="36" t="s">
        <v>19</v>
      </c>
      <c r="E130" s="36" t="s">
        <v>110</v>
      </c>
      <c r="F130" s="36"/>
      <c r="G130" s="36" t="s">
        <v>117</v>
      </c>
      <c r="H130" s="36" t="s">
        <v>110</v>
      </c>
      <c r="I130" s="84">
        <v>3721.4289431640841</v>
      </c>
      <c r="J130" s="36" t="s">
        <v>14</v>
      </c>
      <c r="K130" s="78" t="s">
        <v>14</v>
      </c>
      <c r="L130" s="36" t="s">
        <v>14</v>
      </c>
      <c r="M130" s="36" t="s">
        <v>225</v>
      </c>
      <c r="N130" s="36">
        <v>2025</v>
      </c>
    </row>
    <row r="131" spans="1:14">
      <c r="A131" s="36">
        <v>130</v>
      </c>
      <c r="B131" s="96" t="s">
        <v>54</v>
      </c>
      <c r="C131" s="36" t="s">
        <v>55</v>
      </c>
      <c r="D131" s="36" t="s">
        <v>19</v>
      </c>
      <c r="E131" s="36" t="s">
        <v>20</v>
      </c>
      <c r="F131" s="36"/>
      <c r="G131" s="75" t="s">
        <v>21</v>
      </c>
      <c r="H131" s="75" t="s">
        <v>316</v>
      </c>
      <c r="I131" s="76">
        <f>29592000/1430</f>
        <v>20693.706293706295</v>
      </c>
      <c r="J131" s="36" t="s">
        <v>14</v>
      </c>
      <c r="K131" s="78" t="s">
        <v>14</v>
      </c>
      <c r="L131" s="36" t="s">
        <v>14</v>
      </c>
      <c r="M131" s="36" t="s">
        <v>225</v>
      </c>
      <c r="N131" s="36">
        <v>2025</v>
      </c>
    </row>
    <row r="132" spans="1:14">
      <c r="A132" s="36">
        <v>131</v>
      </c>
      <c r="B132" s="96" t="s">
        <v>54</v>
      </c>
      <c r="C132" s="77" t="s">
        <v>55</v>
      </c>
      <c r="D132" s="36" t="s">
        <v>60</v>
      </c>
      <c r="E132" s="36" t="s">
        <v>56</v>
      </c>
      <c r="F132" s="36"/>
      <c r="G132" s="36" t="s">
        <v>378</v>
      </c>
      <c r="H132" s="36" t="s">
        <v>56</v>
      </c>
      <c r="I132" s="76">
        <v>1700</v>
      </c>
      <c r="J132" s="78">
        <v>45961</v>
      </c>
      <c r="K132" s="78" t="s">
        <v>379</v>
      </c>
      <c r="L132" s="36">
        <v>2025404258</v>
      </c>
      <c r="M132" s="75" t="s">
        <v>225</v>
      </c>
      <c r="N132" s="36">
        <v>2025</v>
      </c>
    </row>
    <row r="133" spans="1:14">
      <c r="A133" s="36">
        <v>132</v>
      </c>
      <c r="B133" s="96" t="s">
        <v>54</v>
      </c>
      <c r="C133" s="36" t="s">
        <v>55</v>
      </c>
      <c r="D133" s="36" t="s">
        <v>60</v>
      </c>
      <c r="E133" s="36" t="s">
        <v>72</v>
      </c>
      <c r="F133" s="36"/>
      <c r="G133" s="36" t="s">
        <v>64</v>
      </c>
      <c r="H133" s="36" t="s">
        <v>76</v>
      </c>
      <c r="I133" s="80">
        <v>1519.5804195804196</v>
      </c>
      <c r="J133" s="36" t="s">
        <v>335</v>
      </c>
      <c r="K133" s="78">
        <v>45880</v>
      </c>
      <c r="L133" s="81" t="s">
        <v>14</v>
      </c>
      <c r="M133" s="75" t="s">
        <v>225</v>
      </c>
      <c r="N133" s="36">
        <v>2025</v>
      </c>
    </row>
    <row r="134" spans="1:14">
      <c r="A134" s="36">
        <v>133</v>
      </c>
      <c r="B134" s="96" t="s">
        <v>54</v>
      </c>
      <c r="C134" s="36" t="s">
        <v>55</v>
      </c>
      <c r="D134" s="36" t="s">
        <v>60</v>
      </c>
      <c r="E134" s="36" t="s">
        <v>72</v>
      </c>
      <c r="F134" s="36"/>
      <c r="G134" s="36" t="s">
        <v>64</v>
      </c>
      <c r="H134" s="36" t="s">
        <v>76</v>
      </c>
      <c r="I134" s="80">
        <v>1478.3216783216783</v>
      </c>
      <c r="J134" s="36" t="s">
        <v>336</v>
      </c>
      <c r="K134" s="78" t="s">
        <v>327</v>
      </c>
      <c r="L134" s="81" t="s">
        <v>14</v>
      </c>
      <c r="M134" s="75" t="s">
        <v>225</v>
      </c>
      <c r="N134" s="36">
        <v>2025</v>
      </c>
    </row>
    <row r="135" spans="1:14">
      <c r="A135" s="36">
        <v>134</v>
      </c>
      <c r="B135" s="96" t="s">
        <v>54</v>
      </c>
      <c r="C135" s="36" t="s">
        <v>55</v>
      </c>
      <c r="D135" s="36" t="s">
        <v>60</v>
      </c>
      <c r="E135" s="36" t="s">
        <v>72</v>
      </c>
      <c r="F135" s="36"/>
      <c r="G135" s="36" t="s">
        <v>64</v>
      </c>
      <c r="H135" s="36" t="s">
        <v>76</v>
      </c>
      <c r="I135" s="80">
        <v>1753.1468531468531</v>
      </c>
      <c r="J135" s="36" t="s">
        <v>337</v>
      </c>
      <c r="K135" s="78" t="s">
        <v>328</v>
      </c>
      <c r="L135" s="81" t="s">
        <v>14</v>
      </c>
      <c r="M135" s="75" t="s">
        <v>225</v>
      </c>
      <c r="N135" s="36">
        <v>2025</v>
      </c>
    </row>
    <row r="136" spans="1:14">
      <c r="A136" s="36">
        <v>135</v>
      </c>
      <c r="B136" s="96" t="s">
        <v>54</v>
      </c>
      <c r="C136" s="36" t="s">
        <v>55</v>
      </c>
      <c r="D136" s="36" t="s">
        <v>60</v>
      </c>
      <c r="E136" s="36" t="s">
        <v>72</v>
      </c>
      <c r="F136" s="36"/>
      <c r="G136" s="36" t="s">
        <v>64</v>
      </c>
      <c r="H136" s="36" t="s">
        <v>76</v>
      </c>
      <c r="I136" s="80">
        <v>1730.7692307692307</v>
      </c>
      <c r="J136" s="36" t="s">
        <v>338</v>
      </c>
      <c r="K136" s="78" t="s">
        <v>329</v>
      </c>
      <c r="L136" s="81" t="s">
        <v>14</v>
      </c>
      <c r="M136" s="75" t="s">
        <v>225</v>
      </c>
      <c r="N136" s="36">
        <v>2025</v>
      </c>
    </row>
    <row r="137" spans="1:14">
      <c r="A137" s="36">
        <v>136</v>
      </c>
      <c r="B137" s="96" t="s">
        <v>54</v>
      </c>
      <c r="C137" s="36" t="s">
        <v>55</v>
      </c>
      <c r="D137" s="36" t="s">
        <v>60</v>
      </c>
      <c r="E137" s="36" t="s">
        <v>103</v>
      </c>
      <c r="F137" s="36"/>
      <c r="G137" s="36" t="s">
        <v>64</v>
      </c>
      <c r="H137" s="36" t="s">
        <v>345</v>
      </c>
      <c r="I137" s="80">
        <v>230.76923076923077</v>
      </c>
      <c r="J137" s="36" t="s">
        <v>68</v>
      </c>
      <c r="K137" s="78" t="s">
        <v>325</v>
      </c>
      <c r="L137" s="81" t="s">
        <v>14</v>
      </c>
      <c r="M137" s="75" t="s">
        <v>225</v>
      </c>
      <c r="N137" s="36">
        <v>2025</v>
      </c>
    </row>
    <row r="138" spans="1:14">
      <c r="A138" s="36">
        <v>137</v>
      </c>
      <c r="B138" s="96" t="s">
        <v>54</v>
      </c>
      <c r="C138" s="36" t="s">
        <v>55</v>
      </c>
      <c r="D138" s="36" t="s">
        <v>60</v>
      </c>
      <c r="E138" s="36" t="s">
        <v>72</v>
      </c>
      <c r="F138" s="36"/>
      <c r="G138" s="36" t="s">
        <v>64</v>
      </c>
      <c r="H138" s="36" t="s">
        <v>292</v>
      </c>
      <c r="I138" s="80">
        <v>492.30769230769232</v>
      </c>
      <c r="J138" s="36" t="s">
        <v>68</v>
      </c>
      <c r="K138" s="78" t="s">
        <v>324</v>
      </c>
      <c r="L138" s="81" t="s">
        <v>14</v>
      </c>
      <c r="M138" s="75" t="s">
        <v>225</v>
      </c>
      <c r="N138" s="36">
        <v>2025</v>
      </c>
    </row>
    <row r="139" spans="1:14">
      <c r="A139" s="36">
        <v>138</v>
      </c>
      <c r="B139" s="96" t="s">
        <v>54</v>
      </c>
      <c r="C139" s="36" t="s">
        <v>55</v>
      </c>
      <c r="D139" s="36" t="s">
        <v>60</v>
      </c>
      <c r="E139" s="36" t="s">
        <v>72</v>
      </c>
      <c r="F139" s="36"/>
      <c r="G139" s="36" t="s">
        <v>64</v>
      </c>
      <c r="H139" s="36" t="s">
        <v>355</v>
      </c>
      <c r="I139" s="80">
        <v>379.72027972027973</v>
      </c>
      <c r="J139" s="36" t="s">
        <v>68</v>
      </c>
      <c r="K139" s="78" t="s">
        <v>334</v>
      </c>
      <c r="L139" s="81" t="s">
        <v>14</v>
      </c>
      <c r="M139" s="75" t="s">
        <v>225</v>
      </c>
      <c r="N139" s="36">
        <v>2025</v>
      </c>
    </row>
    <row r="140" spans="1:14">
      <c r="A140" s="36">
        <v>139</v>
      </c>
      <c r="B140" s="96" t="s">
        <v>54</v>
      </c>
      <c r="C140" s="36" t="s">
        <v>55</v>
      </c>
      <c r="D140" s="36" t="s">
        <v>60</v>
      </c>
      <c r="E140" s="36" t="s">
        <v>72</v>
      </c>
      <c r="F140" s="36"/>
      <c r="G140" s="36" t="s">
        <v>64</v>
      </c>
      <c r="H140" s="79" t="s">
        <v>76</v>
      </c>
      <c r="I140" s="80">
        <v>1298.951048951049</v>
      </c>
      <c r="J140" s="36" t="s">
        <v>339</v>
      </c>
      <c r="K140" s="78" t="s">
        <v>333</v>
      </c>
      <c r="L140" s="81" t="s">
        <v>14</v>
      </c>
      <c r="M140" s="75" t="s">
        <v>225</v>
      </c>
      <c r="N140" s="36">
        <v>2025</v>
      </c>
    </row>
    <row r="141" spans="1:14">
      <c r="A141" s="36">
        <v>140</v>
      </c>
      <c r="B141" s="96" t="s">
        <v>54</v>
      </c>
      <c r="C141" s="36" t="s">
        <v>55</v>
      </c>
      <c r="D141" s="36" t="s">
        <v>60</v>
      </c>
      <c r="E141" s="36" t="s">
        <v>81</v>
      </c>
      <c r="F141" s="36"/>
      <c r="G141" s="36" t="s">
        <v>64</v>
      </c>
      <c r="H141" s="36" t="s">
        <v>361</v>
      </c>
      <c r="I141" s="80">
        <v>595.80419580419584</v>
      </c>
      <c r="J141" s="36">
        <v>308</v>
      </c>
      <c r="K141" s="78" t="s">
        <v>276</v>
      </c>
      <c r="L141" s="81" t="s">
        <v>14</v>
      </c>
      <c r="M141" s="75" t="s">
        <v>225</v>
      </c>
      <c r="N141" s="36">
        <v>2025</v>
      </c>
    </row>
    <row r="142" spans="1:14">
      <c r="A142" s="36">
        <v>141</v>
      </c>
      <c r="B142" s="96" t="s">
        <v>54</v>
      </c>
      <c r="C142" s="36" t="s">
        <v>55</v>
      </c>
      <c r="D142" s="36" t="s">
        <v>60</v>
      </c>
      <c r="E142" s="36" t="s">
        <v>81</v>
      </c>
      <c r="F142" s="36"/>
      <c r="G142" s="36" t="s">
        <v>64</v>
      </c>
      <c r="H142" s="79" t="s">
        <v>361</v>
      </c>
      <c r="I142" s="80">
        <v>503.49650349650352</v>
      </c>
      <c r="J142" s="36">
        <v>307</v>
      </c>
      <c r="K142" s="78" t="s">
        <v>333</v>
      </c>
      <c r="L142" s="81" t="s">
        <v>14</v>
      </c>
      <c r="M142" s="75" t="s">
        <v>225</v>
      </c>
      <c r="N142" s="36">
        <v>2025</v>
      </c>
    </row>
    <row r="143" spans="1:14">
      <c r="A143" s="36">
        <v>142</v>
      </c>
      <c r="B143" s="96" t="s">
        <v>54</v>
      </c>
      <c r="C143" s="78" t="s">
        <v>55</v>
      </c>
      <c r="D143" s="36" t="s">
        <v>60</v>
      </c>
      <c r="E143" s="36" t="s">
        <v>103</v>
      </c>
      <c r="F143" s="36"/>
      <c r="G143" s="36" t="s">
        <v>64</v>
      </c>
      <c r="H143" s="79" t="s">
        <v>345</v>
      </c>
      <c r="I143" s="80">
        <v>278.32167832167835</v>
      </c>
      <c r="J143" s="36" t="s">
        <v>68</v>
      </c>
      <c r="K143" s="78" t="s">
        <v>325</v>
      </c>
      <c r="L143" s="81" t="s">
        <v>14</v>
      </c>
      <c r="M143" s="75" t="s">
        <v>225</v>
      </c>
      <c r="N143" s="36">
        <v>2025</v>
      </c>
    </row>
    <row r="144" spans="1:14">
      <c r="A144" s="36">
        <v>143</v>
      </c>
      <c r="B144" s="96" t="s">
        <v>54</v>
      </c>
      <c r="C144" s="36" t="s">
        <v>55</v>
      </c>
      <c r="D144" s="36" t="s">
        <v>19</v>
      </c>
      <c r="E144" s="36" t="s">
        <v>87</v>
      </c>
      <c r="F144" s="36"/>
      <c r="G144" s="75" t="s">
        <v>91</v>
      </c>
      <c r="H144" s="75" t="s">
        <v>299</v>
      </c>
      <c r="I144" s="84">
        <v>15603.146818181818</v>
      </c>
      <c r="J144" s="36" t="s">
        <v>14</v>
      </c>
      <c r="K144" s="78" t="s">
        <v>14</v>
      </c>
      <c r="L144" s="36" t="s">
        <v>14</v>
      </c>
      <c r="M144" s="75" t="s">
        <v>225</v>
      </c>
      <c r="N144" s="36">
        <v>2025</v>
      </c>
    </row>
    <row r="145" spans="1:14">
      <c r="A145" s="36">
        <v>144</v>
      </c>
      <c r="B145" s="96" t="s">
        <v>54</v>
      </c>
      <c r="C145" s="36" t="s">
        <v>55</v>
      </c>
      <c r="D145" s="36" t="s">
        <v>19</v>
      </c>
      <c r="E145" s="36" t="s">
        <v>87</v>
      </c>
      <c r="F145" s="36"/>
      <c r="G145" s="75" t="s">
        <v>90</v>
      </c>
      <c r="H145" s="75" t="s">
        <v>299</v>
      </c>
      <c r="I145" s="84">
        <v>306.61646153846152</v>
      </c>
      <c r="J145" s="36" t="s">
        <v>14</v>
      </c>
      <c r="K145" s="78" t="s">
        <v>14</v>
      </c>
      <c r="L145" s="36" t="s">
        <v>14</v>
      </c>
      <c r="M145" s="75" t="s">
        <v>225</v>
      </c>
      <c r="N145" s="36">
        <v>2025</v>
      </c>
    </row>
    <row r="146" spans="1:14">
      <c r="A146" s="36">
        <v>145</v>
      </c>
      <c r="B146" s="96" t="s">
        <v>54</v>
      </c>
      <c r="C146" s="36" t="s">
        <v>55</v>
      </c>
      <c r="D146" s="36" t="s">
        <v>19</v>
      </c>
      <c r="E146" s="36" t="s">
        <v>87</v>
      </c>
      <c r="F146" s="36"/>
      <c r="G146" s="75" t="s">
        <v>88</v>
      </c>
      <c r="H146" s="75" t="s">
        <v>299</v>
      </c>
      <c r="I146" s="84">
        <v>12988.714286713286</v>
      </c>
      <c r="J146" s="36" t="s">
        <v>14</v>
      </c>
      <c r="K146" s="78" t="s">
        <v>14</v>
      </c>
      <c r="L146" s="36" t="s">
        <v>14</v>
      </c>
      <c r="M146" s="75" t="s">
        <v>225</v>
      </c>
      <c r="N146" s="36">
        <v>2025</v>
      </c>
    </row>
    <row r="147" spans="1:14">
      <c r="A147" s="36">
        <v>146</v>
      </c>
      <c r="B147" s="96" t="s">
        <v>54</v>
      </c>
      <c r="C147" s="36" t="s">
        <v>55</v>
      </c>
      <c r="D147" s="36" t="s">
        <v>19</v>
      </c>
      <c r="E147" s="36" t="s">
        <v>87</v>
      </c>
      <c r="F147" s="36"/>
      <c r="G147" s="75" t="s">
        <v>90</v>
      </c>
      <c r="H147" s="75" t="s">
        <v>321</v>
      </c>
      <c r="I147" s="84">
        <v>7062.9370629370633</v>
      </c>
      <c r="J147" s="36" t="s">
        <v>14</v>
      </c>
      <c r="K147" s="78" t="s">
        <v>14</v>
      </c>
      <c r="L147" s="36" t="s">
        <v>14</v>
      </c>
      <c r="M147" s="75" t="s">
        <v>225</v>
      </c>
      <c r="N147" s="36">
        <v>2025</v>
      </c>
    </row>
    <row r="148" spans="1:14">
      <c r="A148" s="36">
        <v>147</v>
      </c>
      <c r="B148" s="96" t="s">
        <v>54</v>
      </c>
      <c r="C148" s="36" t="s">
        <v>55</v>
      </c>
      <c r="D148" s="36" t="s">
        <v>19</v>
      </c>
      <c r="E148" s="36" t="s">
        <v>87</v>
      </c>
      <c r="F148" s="36"/>
      <c r="G148" s="75" t="s">
        <v>88</v>
      </c>
      <c r="H148" s="75" t="s">
        <v>321</v>
      </c>
      <c r="I148" s="84">
        <v>26655.710881118885</v>
      </c>
      <c r="J148" s="36" t="s">
        <v>14</v>
      </c>
      <c r="K148" s="78" t="s">
        <v>14</v>
      </c>
      <c r="L148" s="36" t="s">
        <v>14</v>
      </c>
      <c r="M148" s="75" t="s">
        <v>225</v>
      </c>
      <c r="N148" s="36">
        <v>2025</v>
      </c>
    </row>
    <row r="149" spans="1:14">
      <c r="A149" s="36">
        <v>148</v>
      </c>
      <c r="B149" s="96" t="s">
        <v>54</v>
      </c>
      <c r="C149" s="36" t="s">
        <v>55</v>
      </c>
      <c r="D149" s="36" t="s">
        <v>60</v>
      </c>
      <c r="E149" s="36" t="s">
        <v>97</v>
      </c>
      <c r="F149" s="36"/>
      <c r="G149" s="36" t="s">
        <v>100</v>
      </c>
      <c r="H149" s="36" t="s">
        <v>99</v>
      </c>
      <c r="I149" s="80">
        <v>11520</v>
      </c>
      <c r="J149" s="36" t="s">
        <v>312</v>
      </c>
      <c r="K149" s="78">
        <v>45964</v>
      </c>
      <c r="L149" s="36" t="s">
        <v>14</v>
      </c>
      <c r="M149" s="36" t="s">
        <v>225</v>
      </c>
      <c r="N149" s="36"/>
    </row>
    <row r="150" spans="1:14">
      <c r="A150" s="36">
        <v>149</v>
      </c>
      <c r="B150" s="96" t="s">
        <v>54</v>
      </c>
      <c r="C150" s="36" t="s">
        <v>55</v>
      </c>
      <c r="D150" s="36" t="s">
        <v>60</v>
      </c>
      <c r="E150" s="36" t="s">
        <v>101</v>
      </c>
      <c r="F150" s="36"/>
      <c r="G150" s="36" t="s">
        <v>21</v>
      </c>
      <c r="H150" s="36" t="s">
        <v>102</v>
      </c>
      <c r="I150" s="84">
        <v>4000</v>
      </c>
      <c r="J150" s="36" t="s">
        <v>14</v>
      </c>
      <c r="K150" s="78" t="s">
        <v>14</v>
      </c>
      <c r="L150" s="36" t="s">
        <v>14</v>
      </c>
      <c r="M150" s="36" t="s">
        <v>225</v>
      </c>
      <c r="N150" s="36">
        <v>2025</v>
      </c>
    </row>
    <row r="151" spans="1:14">
      <c r="A151" s="36">
        <v>150</v>
      </c>
      <c r="B151" s="96" t="s">
        <v>54</v>
      </c>
      <c r="C151" s="36" t="s">
        <v>55</v>
      </c>
      <c r="D151" s="36" t="s">
        <v>60</v>
      </c>
      <c r="E151" s="36" t="s">
        <v>103</v>
      </c>
      <c r="F151" s="36"/>
      <c r="G151" s="36" t="s">
        <v>106</v>
      </c>
      <c r="H151" s="36" t="s">
        <v>107</v>
      </c>
      <c r="I151" s="84">
        <v>435.04415567240517</v>
      </c>
      <c r="J151" s="36">
        <v>63</v>
      </c>
      <c r="K151" s="78">
        <v>45930</v>
      </c>
      <c r="L151" s="36" t="s">
        <v>14</v>
      </c>
      <c r="M151" s="36" t="s">
        <v>225</v>
      </c>
      <c r="N151" s="36">
        <v>2025</v>
      </c>
    </row>
    <row r="152" spans="1:14">
      <c r="A152" s="36">
        <v>151</v>
      </c>
      <c r="B152" s="96" t="s">
        <v>54</v>
      </c>
      <c r="C152" s="36" t="s">
        <v>55</v>
      </c>
      <c r="D152" s="36" t="s">
        <v>60</v>
      </c>
      <c r="E152" s="88" t="s">
        <v>72</v>
      </c>
      <c r="F152" s="36"/>
      <c r="G152" s="36" t="s">
        <v>119</v>
      </c>
      <c r="H152" s="36" t="s">
        <v>120</v>
      </c>
      <c r="I152" s="84">
        <v>13269.23076923077</v>
      </c>
      <c r="J152" s="36" t="s">
        <v>607</v>
      </c>
      <c r="K152" s="78">
        <v>45974</v>
      </c>
      <c r="L152" s="36">
        <v>2025403925</v>
      </c>
      <c r="M152" s="77" t="s">
        <v>225</v>
      </c>
      <c r="N152" s="36">
        <v>2025</v>
      </c>
    </row>
    <row r="153" spans="1:14">
      <c r="A153" s="36">
        <v>152</v>
      </c>
      <c r="B153" s="96" t="s">
        <v>54</v>
      </c>
      <c r="C153" s="36" t="s">
        <v>96</v>
      </c>
      <c r="D153" s="36" t="s">
        <v>60</v>
      </c>
      <c r="E153" s="88" t="s">
        <v>72</v>
      </c>
      <c r="F153" s="36"/>
      <c r="G153" s="36" t="s">
        <v>246</v>
      </c>
      <c r="H153" s="36" t="s">
        <v>271</v>
      </c>
      <c r="I153" s="80">
        <v>41.95804195804196</v>
      </c>
      <c r="J153" s="36" t="s">
        <v>568</v>
      </c>
      <c r="K153" s="78">
        <v>45984</v>
      </c>
      <c r="L153" s="36">
        <v>2025404305</v>
      </c>
      <c r="M153" s="77" t="s">
        <v>225</v>
      </c>
      <c r="N153" s="36">
        <v>2025</v>
      </c>
    </row>
    <row r="154" spans="1:14">
      <c r="A154" s="36">
        <v>153</v>
      </c>
      <c r="B154" s="96" t="s">
        <v>54</v>
      </c>
      <c r="C154" s="36" t="s">
        <v>96</v>
      </c>
      <c r="D154" s="36" t="s">
        <v>60</v>
      </c>
      <c r="E154" s="36" t="s">
        <v>72</v>
      </c>
      <c r="F154" s="36"/>
      <c r="G154" s="36" t="s">
        <v>246</v>
      </c>
      <c r="H154" s="36" t="s">
        <v>271</v>
      </c>
      <c r="I154" s="84">
        <v>340.90909090909093</v>
      </c>
      <c r="J154" s="36" t="s">
        <v>572</v>
      </c>
      <c r="K154" s="78">
        <v>45984</v>
      </c>
      <c r="L154" s="36">
        <v>2025404304</v>
      </c>
      <c r="M154" s="77" t="s">
        <v>225</v>
      </c>
      <c r="N154" s="36">
        <v>2025</v>
      </c>
    </row>
    <row r="155" spans="1:14">
      <c r="A155" s="36">
        <v>154</v>
      </c>
      <c r="B155" s="96" t="s">
        <v>54</v>
      </c>
      <c r="C155" s="36" t="s">
        <v>55</v>
      </c>
      <c r="D155" s="36" t="s">
        <v>60</v>
      </c>
      <c r="E155" s="88" t="s">
        <v>72</v>
      </c>
      <c r="F155" s="36"/>
      <c r="G155" s="36" t="s">
        <v>248</v>
      </c>
      <c r="H155" s="36" t="s">
        <v>121</v>
      </c>
      <c r="I155" s="84">
        <v>3671.3286713286711</v>
      </c>
      <c r="J155" s="36" t="s">
        <v>590</v>
      </c>
      <c r="K155" s="78">
        <v>45969</v>
      </c>
      <c r="L155" s="36">
        <v>2025403935</v>
      </c>
      <c r="M155" s="77" t="s">
        <v>225</v>
      </c>
      <c r="N155" s="36">
        <v>2025</v>
      </c>
    </row>
    <row r="156" spans="1:14">
      <c r="A156" s="36">
        <v>155</v>
      </c>
      <c r="B156" s="96" t="s">
        <v>54</v>
      </c>
      <c r="C156" s="88" t="s">
        <v>55</v>
      </c>
      <c r="D156" s="36" t="s">
        <v>60</v>
      </c>
      <c r="E156" s="88" t="s">
        <v>72</v>
      </c>
      <c r="F156" s="36"/>
      <c r="G156" s="88" t="s">
        <v>247</v>
      </c>
      <c r="H156" s="36" t="s">
        <v>251</v>
      </c>
      <c r="I156" s="84">
        <v>5672.727272727273</v>
      </c>
      <c r="J156" s="36" t="s">
        <v>595</v>
      </c>
      <c r="K156" s="78">
        <v>45960</v>
      </c>
      <c r="L156" s="36">
        <v>2025404028</v>
      </c>
      <c r="M156" s="77" t="s">
        <v>225</v>
      </c>
      <c r="N156" s="36">
        <v>2025</v>
      </c>
    </row>
    <row r="157" spans="1:14">
      <c r="A157" s="36">
        <v>156</v>
      </c>
      <c r="B157" s="96" t="s">
        <v>54</v>
      </c>
      <c r="C157" s="36" t="s">
        <v>55</v>
      </c>
      <c r="D157" s="36" t="s">
        <v>60</v>
      </c>
      <c r="E157" s="88" t="s">
        <v>72</v>
      </c>
      <c r="F157" s="36"/>
      <c r="G157" s="36" t="s">
        <v>247</v>
      </c>
      <c r="H157" s="36" t="s">
        <v>251</v>
      </c>
      <c r="I157" s="84">
        <v>5672.727272727273</v>
      </c>
      <c r="J157" s="36" t="s">
        <v>596</v>
      </c>
      <c r="K157" s="78">
        <v>45976</v>
      </c>
      <c r="L157" s="36">
        <v>2025404249</v>
      </c>
      <c r="M157" s="77" t="s">
        <v>225</v>
      </c>
      <c r="N157" s="36">
        <v>2025</v>
      </c>
    </row>
    <row r="158" spans="1:14">
      <c r="A158" s="36">
        <v>157</v>
      </c>
      <c r="B158" s="96" t="s">
        <v>54</v>
      </c>
      <c r="C158" s="36" t="s">
        <v>55</v>
      </c>
      <c r="D158" s="36" t="s">
        <v>60</v>
      </c>
      <c r="E158" s="88" t="s">
        <v>72</v>
      </c>
      <c r="F158" s="36"/>
      <c r="G158" s="36" t="s">
        <v>247</v>
      </c>
      <c r="H158" s="36" t="s">
        <v>251</v>
      </c>
      <c r="I158" s="84">
        <v>5672.727272727273</v>
      </c>
      <c r="J158" s="36" t="s">
        <v>597</v>
      </c>
      <c r="K158" s="78">
        <v>45983</v>
      </c>
      <c r="L158" s="36">
        <v>2025404318</v>
      </c>
      <c r="M158" s="77" t="s">
        <v>225</v>
      </c>
      <c r="N158" s="36">
        <v>2025</v>
      </c>
    </row>
    <row r="159" spans="1:14">
      <c r="A159" s="36">
        <v>158</v>
      </c>
      <c r="B159" s="96" t="s">
        <v>54</v>
      </c>
      <c r="C159" s="36" t="s">
        <v>55</v>
      </c>
      <c r="D159" s="36" t="s">
        <v>60</v>
      </c>
      <c r="E159" s="36" t="s">
        <v>72</v>
      </c>
      <c r="F159" s="36"/>
      <c r="G159" s="36" t="s">
        <v>247</v>
      </c>
      <c r="H159" s="36" t="s">
        <v>251</v>
      </c>
      <c r="I159" s="84">
        <v>7036.363636363636</v>
      </c>
      <c r="J159" s="36" t="s">
        <v>601</v>
      </c>
      <c r="K159" s="78">
        <v>45965</v>
      </c>
      <c r="L159" s="36">
        <v>2025404175</v>
      </c>
      <c r="M159" s="77" t="s">
        <v>225</v>
      </c>
      <c r="N159" s="36">
        <v>2025</v>
      </c>
    </row>
    <row r="160" spans="1:14">
      <c r="A160" s="36">
        <v>159</v>
      </c>
      <c r="B160" s="96" t="s">
        <v>54</v>
      </c>
      <c r="C160" s="36" t="s">
        <v>96</v>
      </c>
      <c r="D160" s="36" t="s">
        <v>60</v>
      </c>
      <c r="E160" s="36" t="s">
        <v>72</v>
      </c>
      <c r="F160" s="36"/>
      <c r="G160" s="36" t="s">
        <v>266</v>
      </c>
      <c r="H160" s="36" t="s">
        <v>121</v>
      </c>
      <c r="I160" s="84">
        <v>1748.2517482517483</v>
      </c>
      <c r="J160" s="36" t="s">
        <v>582</v>
      </c>
      <c r="K160" s="78">
        <v>45966</v>
      </c>
      <c r="L160" s="36">
        <v>2025403888</v>
      </c>
      <c r="M160" s="77" t="s">
        <v>225</v>
      </c>
      <c r="N160" s="36">
        <v>2025</v>
      </c>
    </row>
    <row r="161" spans="1:14">
      <c r="A161" s="36">
        <v>160</v>
      </c>
      <c r="B161" s="96" t="s">
        <v>54</v>
      </c>
      <c r="C161" s="36" t="s">
        <v>96</v>
      </c>
      <c r="D161" s="36" t="s">
        <v>60</v>
      </c>
      <c r="E161" s="88" t="s">
        <v>72</v>
      </c>
      <c r="F161" s="36"/>
      <c r="G161" s="36" t="s">
        <v>125</v>
      </c>
      <c r="H161" s="36" t="s">
        <v>121</v>
      </c>
      <c r="I161" s="84">
        <v>1267.54</v>
      </c>
      <c r="J161" s="36" t="s">
        <v>433</v>
      </c>
      <c r="K161" s="89">
        <v>45966</v>
      </c>
      <c r="L161" s="36">
        <v>2025403994</v>
      </c>
      <c r="M161" s="77" t="s">
        <v>225</v>
      </c>
      <c r="N161" s="36">
        <v>2025</v>
      </c>
    </row>
    <row r="162" spans="1:14">
      <c r="A162" s="36">
        <v>161</v>
      </c>
      <c r="B162" s="96" t="s">
        <v>54</v>
      </c>
      <c r="C162" s="36" t="s">
        <v>96</v>
      </c>
      <c r="D162" s="36" t="s">
        <v>60</v>
      </c>
      <c r="E162" s="88" t="s">
        <v>72</v>
      </c>
      <c r="F162" s="36"/>
      <c r="G162" s="36" t="s">
        <v>126</v>
      </c>
      <c r="H162" s="36" t="s">
        <v>121</v>
      </c>
      <c r="I162" s="80">
        <v>83</v>
      </c>
      <c r="J162" s="36" t="s">
        <v>546</v>
      </c>
      <c r="K162" s="78">
        <v>45958</v>
      </c>
      <c r="L162" s="36">
        <v>2025404312</v>
      </c>
      <c r="M162" s="77" t="s">
        <v>225</v>
      </c>
      <c r="N162" s="36">
        <v>2025</v>
      </c>
    </row>
    <row r="163" spans="1:14">
      <c r="A163" s="36">
        <v>162</v>
      </c>
      <c r="B163" s="96" t="s">
        <v>54</v>
      </c>
      <c r="C163" s="36" t="s">
        <v>96</v>
      </c>
      <c r="D163" s="36" t="s">
        <v>60</v>
      </c>
      <c r="E163" s="88" t="s">
        <v>72</v>
      </c>
      <c r="F163" s="36"/>
      <c r="G163" s="36" t="s">
        <v>240</v>
      </c>
      <c r="H163" s="87" t="s">
        <v>123</v>
      </c>
      <c r="I163" s="84">
        <v>2464</v>
      </c>
      <c r="J163" s="36" t="s">
        <v>458</v>
      </c>
      <c r="K163" s="78">
        <v>45966</v>
      </c>
      <c r="L163" s="36">
        <v>2025404127</v>
      </c>
      <c r="M163" s="77" t="s">
        <v>225</v>
      </c>
      <c r="N163" s="36">
        <v>2025</v>
      </c>
    </row>
    <row r="164" spans="1:14">
      <c r="A164" s="36">
        <v>163</v>
      </c>
      <c r="B164" s="96" t="s">
        <v>54</v>
      </c>
      <c r="C164" s="36" t="s">
        <v>96</v>
      </c>
      <c r="D164" s="36" t="s">
        <v>60</v>
      </c>
      <c r="E164" s="88" t="s">
        <v>72</v>
      </c>
      <c r="F164" s="36"/>
      <c r="G164" s="36" t="s">
        <v>240</v>
      </c>
      <c r="H164" s="87" t="s">
        <v>123</v>
      </c>
      <c r="I164" s="84">
        <v>8440</v>
      </c>
      <c r="J164" s="36" t="s">
        <v>459</v>
      </c>
      <c r="K164" s="78">
        <v>45966</v>
      </c>
      <c r="L164" s="36">
        <v>2025404126</v>
      </c>
      <c r="M164" s="77" t="s">
        <v>225</v>
      </c>
      <c r="N164" s="36">
        <v>2025</v>
      </c>
    </row>
    <row r="165" spans="1:14">
      <c r="A165" s="36">
        <v>164</v>
      </c>
      <c r="B165" s="96" t="s">
        <v>54</v>
      </c>
      <c r="C165" s="36" t="s">
        <v>96</v>
      </c>
      <c r="D165" s="36" t="s">
        <v>60</v>
      </c>
      <c r="E165" s="36" t="s">
        <v>72</v>
      </c>
      <c r="F165" s="36"/>
      <c r="G165" s="36" t="s">
        <v>297</v>
      </c>
      <c r="H165" s="36" t="s">
        <v>121</v>
      </c>
      <c r="I165" s="84">
        <v>2447.5524475524476</v>
      </c>
      <c r="J165" s="36" t="s">
        <v>586</v>
      </c>
      <c r="K165" s="78">
        <v>45963</v>
      </c>
      <c r="L165" s="36">
        <v>2025403889</v>
      </c>
      <c r="M165" s="77" t="s">
        <v>225</v>
      </c>
      <c r="N165" s="36">
        <v>2025</v>
      </c>
    </row>
    <row r="166" spans="1:14">
      <c r="A166" s="36">
        <v>165</v>
      </c>
      <c r="B166" s="96" t="s">
        <v>54</v>
      </c>
      <c r="C166" s="36" t="s">
        <v>55</v>
      </c>
      <c r="D166" s="36" t="s">
        <v>60</v>
      </c>
      <c r="E166" s="88" t="s">
        <v>72</v>
      </c>
      <c r="F166" s="36"/>
      <c r="G166" s="36" t="s">
        <v>128</v>
      </c>
      <c r="H166" s="36" t="s">
        <v>121</v>
      </c>
      <c r="I166" s="84">
        <v>250</v>
      </c>
      <c r="J166" s="36" t="s">
        <v>441</v>
      </c>
      <c r="K166" s="78">
        <v>45969</v>
      </c>
      <c r="L166" s="36">
        <v>2025403974</v>
      </c>
      <c r="M166" s="77" t="s">
        <v>225</v>
      </c>
      <c r="N166" s="36">
        <v>2025</v>
      </c>
    </row>
    <row r="167" spans="1:14">
      <c r="A167" s="36">
        <v>166</v>
      </c>
      <c r="B167" s="96" t="s">
        <v>54</v>
      </c>
      <c r="C167" s="36" t="s">
        <v>96</v>
      </c>
      <c r="D167" s="36" t="s">
        <v>60</v>
      </c>
      <c r="E167" s="88" t="s">
        <v>72</v>
      </c>
      <c r="F167" s="36"/>
      <c r="G167" s="36" t="s">
        <v>128</v>
      </c>
      <c r="H167" s="36" t="s">
        <v>121</v>
      </c>
      <c r="I167" s="84">
        <v>152</v>
      </c>
      <c r="J167" s="36" t="s">
        <v>448</v>
      </c>
      <c r="K167" s="78">
        <v>45969</v>
      </c>
      <c r="L167" s="36">
        <v>2025403982</v>
      </c>
      <c r="M167" s="77" t="s">
        <v>225</v>
      </c>
      <c r="N167" s="36">
        <v>2025</v>
      </c>
    </row>
    <row r="168" spans="1:14">
      <c r="A168" s="36">
        <v>167</v>
      </c>
      <c r="B168" s="96" t="s">
        <v>54</v>
      </c>
      <c r="C168" s="36" t="s">
        <v>96</v>
      </c>
      <c r="D168" s="36" t="s">
        <v>60</v>
      </c>
      <c r="E168" s="88" t="s">
        <v>72</v>
      </c>
      <c r="F168" s="36"/>
      <c r="G168" s="36" t="s">
        <v>128</v>
      </c>
      <c r="H168" s="36" t="s">
        <v>121</v>
      </c>
      <c r="I168" s="84">
        <v>1322</v>
      </c>
      <c r="J168" s="36" t="s">
        <v>471</v>
      </c>
      <c r="K168" s="78">
        <v>45976</v>
      </c>
      <c r="L168" s="36">
        <v>2025404170</v>
      </c>
      <c r="M168" s="77" t="s">
        <v>225</v>
      </c>
      <c r="N168" s="36">
        <v>2025</v>
      </c>
    </row>
    <row r="169" spans="1:14">
      <c r="A169" s="36">
        <v>168</v>
      </c>
      <c r="B169" s="96" t="s">
        <v>54</v>
      </c>
      <c r="C169" s="36" t="s">
        <v>55</v>
      </c>
      <c r="D169" s="36" t="s">
        <v>60</v>
      </c>
      <c r="E169" s="88" t="s">
        <v>72</v>
      </c>
      <c r="F169" s="36"/>
      <c r="G169" s="36" t="s">
        <v>128</v>
      </c>
      <c r="H169" s="36" t="s">
        <v>121</v>
      </c>
      <c r="I169" s="84">
        <v>260</v>
      </c>
      <c r="J169" s="36" t="s">
        <v>482</v>
      </c>
      <c r="K169" s="78">
        <v>45985</v>
      </c>
      <c r="L169" s="36">
        <v>2025404253</v>
      </c>
      <c r="M169" s="77" t="s">
        <v>225</v>
      </c>
      <c r="N169" s="36">
        <v>2025</v>
      </c>
    </row>
    <row r="170" spans="1:14">
      <c r="A170" s="36">
        <v>169</v>
      </c>
      <c r="B170" s="96" t="s">
        <v>54</v>
      </c>
      <c r="C170" s="36" t="s">
        <v>55</v>
      </c>
      <c r="D170" s="36" t="s">
        <v>60</v>
      </c>
      <c r="E170" s="88" t="s">
        <v>72</v>
      </c>
      <c r="F170" s="36"/>
      <c r="G170" s="36" t="s">
        <v>128</v>
      </c>
      <c r="H170" s="36" t="s">
        <v>121</v>
      </c>
      <c r="I170" s="84">
        <v>642.9</v>
      </c>
      <c r="J170" s="36" t="s">
        <v>483</v>
      </c>
      <c r="K170" s="78">
        <v>45987</v>
      </c>
      <c r="L170" s="36">
        <v>2025404320</v>
      </c>
      <c r="M170" s="77" t="s">
        <v>225</v>
      </c>
      <c r="N170" s="36">
        <v>2025</v>
      </c>
    </row>
    <row r="171" spans="1:14">
      <c r="A171" s="36">
        <v>170</v>
      </c>
      <c r="B171" s="96" t="s">
        <v>54</v>
      </c>
      <c r="C171" s="36" t="s">
        <v>55</v>
      </c>
      <c r="D171" s="36" t="s">
        <v>60</v>
      </c>
      <c r="E171" s="36" t="s">
        <v>72</v>
      </c>
      <c r="F171" s="36"/>
      <c r="G171" s="36" t="s">
        <v>128</v>
      </c>
      <c r="H171" s="36" t="s">
        <v>121</v>
      </c>
      <c r="I171" s="84">
        <v>800</v>
      </c>
      <c r="J171" s="36" t="s">
        <v>510</v>
      </c>
      <c r="K171" s="78">
        <v>45979</v>
      </c>
      <c r="L171" s="36">
        <v>2025404185</v>
      </c>
      <c r="M171" s="77" t="s">
        <v>225</v>
      </c>
      <c r="N171" s="36">
        <v>2025</v>
      </c>
    </row>
    <row r="172" spans="1:14">
      <c r="A172" s="36">
        <v>171</v>
      </c>
      <c r="B172" s="96" t="s">
        <v>54</v>
      </c>
      <c r="C172" s="36" t="s">
        <v>96</v>
      </c>
      <c r="D172" s="36" t="s">
        <v>60</v>
      </c>
      <c r="E172" s="88" t="s">
        <v>72</v>
      </c>
      <c r="F172" s="36"/>
      <c r="G172" s="36" t="s">
        <v>128</v>
      </c>
      <c r="H172" s="36" t="s">
        <v>121</v>
      </c>
      <c r="I172" s="84">
        <v>555</v>
      </c>
      <c r="J172" s="36" t="s">
        <v>512</v>
      </c>
      <c r="K172" s="78">
        <v>45985</v>
      </c>
      <c r="L172" s="36">
        <v>2025404251</v>
      </c>
      <c r="M172" s="77" t="s">
        <v>225</v>
      </c>
      <c r="N172" s="36">
        <v>2025</v>
      </c>
    </row>
    <row r="173" spans="1:14">
      <c r="A173" s="36">
        <v>172</v>
      </c>
      <c r="B173" s="96" t="s">
        <v>54</v>
      </c>
      <c r="C173" s="88" t="s">
        <v>96</v>
      </c>
      <c r="D173" s="36" t="s">
        <v>60</v>
      </c>
      <c r="E173" s="88" t="s">
        <v>72</v>
      </c>
      <c r="F173" s="36"/>
      <c r="G173" s="88" t="s">
        <v>128</v>
      </c>
      <c r="H173" s="36" t="s">
        <v>121</v>
      </c>
      <c r="I173" s="84">
        <v>2055</v>
      </c>
      <c r="J173" s="36" t="s">
        <v>520</v>
      </c>
      <c r="K173" s="78">
        <v>45987</v>
      </c>
      <c r="L173" s="36">
        <v>2025404263</v>
      </c>
      <c r="M173" s="77" t="s">
        <v>225</v>
      </c>
      <c r="N173" s="36">
        <v>2025</v>
      </c>
    </row>
    <row r="174" spans="1:14">
      <c r="A174" s="36">
        <v>173</v>
      </c>
      <c r="B174" s="96" t="s">
        <v>54</v>
      </c>
      <c r="C174" s="36" t="s">
        <v>55</v>
      </c>
      <c r="D174" s="36" t="s">
        <v>60</v>
      </c>
      <c r="E174" s="88" t="s">
        <v>72</v>
      </c>
      <c r="F174" s="36"/>
      <c r="G174" s="36" t="s">
        <v>128</v>
      </c>
      <c r="H174" s="36" t="s">
        <v>121</v>
      </c>
      <c r="I174" s="84">
        <v>800</v>
      </c>
      <c r="J174" s="36" t="s">
        <v>538</v>
      </c>
      <c r="K174" s="78">
        <v>45991</v>
      </c>
      <c r="L174" s="36">
        <v>2025404319</v>
      </c>
      <c r="M174" s="77" t="s">
        <v>225</v>
      </c>
      <c r="N174" s="36">
        <v>2025</v>
      </c>
    </row>
    <row r="175" spans="1:14">
      <c r="A175" s="36">
        <v>174</v>
      </c>
      <c r="B175" s="96" t="s">
        <v>54</v>
      </c>
      <c r="C175" s="36" t="s">
        <v>55</v>
      </c>
      <c r="D175" s="36" t="s">
        <v>60</v>
      </c>
      <c r="E175" s="88" t="s">
        <v>72</v>
      </c>
      <c r="F175" s="36"/>
      <c r="G175" s="36" t="s">
        <v>128</v>
      </c>
      <c r="H175" s="36" t="s">
        <v>121</v>
      </c>
      <c r="I175" s="84">
        <v>2188.9</v>
      </c>
      <c r="J175" s="36" t="s">
        <v>544</v>
      </c>
      <c r="K175" s="78">
        <v>45979</v>
      </c>
      <c r="L175" s="36">
        <v>2025404027</v>
      </c>
      <c r="M175" s="77" t="s">
        <v>225</v>
      </c>
      <c r="N175" s="36">
        <v>2025</v>
      </c>
    </row>
    <row r="176" spans="1:14">
      <c r="A176" s="36">
        <v>175</v>
      </c>
      <c r="B176" s="96" t="s">
        <v>54</v>
      </c>
      <c r="C176" s="36" t="s">
        <v>96</v>
      </c>
      <c r="D176" s="36" t="s">
        <v>60</v>
      </c>
      <c r="E176" s="88" t="s">
        <v>72</v>
      </c>
      <c r="F176" s="36"/>
      <c r="G176" s="36" t="s">
        <v>128</v>
      </c>
      <c r="H176" s="36" t="s">
        <v>121</v>
      </c>
      <c r="I176" s="84">
        <v>2585.6999999999998</v>
      </c>
      <c r="J176" s="36" t="s">
        <v>550</v>
      </c>
      <c r="K176" s="78">
        <v>45987</v>
      </c>
      <c r="L176" s="36">
        <v>2025404303</v>
      </c>
      <c r="M176" s="77" t="s">
        <v>225</v>
      </c>
      <c r="N176" s="36">
        <v>2025</v>
      </c>
    </row>
    <row r="177" spans="1:14">
      <c r="A177" s="36">
        <v>176</v>
      </c>
      <c r="B177" s="96" t="s">
        <v>54</v>
      </c>
      <c r="C177" s="36" t="s">
        <v>55</v>
      </c>
      <c r="D177" s="36" t="s">
        <v>60</v>
      </c>
      <c r="E177" s="36" t="s">
        <v>81</v>
      </c>
      <c r="F177" s="36"/>
      <c r="G177" s="36" t="s">
        <v>236</v>
      </c>
      <c r="H177" s="36" t="s">
        <v>619</v>
      </c>
      <c r="I177" s="84">
        <v>6503.4965034965035</v>
      </c>
      <c r="J177" s="36" t="s">
        <v>406</v>
      </c>
      <c r="K177" s="78">
        <v>45981</v>
      </c>
      <c r="L177" s="36">
        <v>2025404081</v>
      </c>
      <c r="M177" s="36" t="s">
        <v>225</v>
      </c>
      <c r="N177" s="36">
        <v>2025</v>
      </c>
    </row>
    <row r="178" spans="1:14">
      <c r="A178" s="36">
        <v>177</v>
      </c>
      <c r="B178" s="96" t="s">
        <v>54</v>
      </c>
      <c r="C178" s="36" t="s">
        <v>96</v>
      </c>
      <c r="D178" s="36" t="s">
        <v>19</v>
      </c>
      <c r="E178" s="36" t="s">
        <v>110</v>
      </c>
      <c r="F178" s="36"/>
      <c r="G178" s="36" t="s">
        <v>117</v>
      </c>
      <c r="H178" s="36" t="s">
        <v>110</v>
      </c>
      <c r="I178" s="84">
        <v>192.48770395676297</v>
      </c>
      <c r="J178" s="36" t="s">
        <v>14</v>
      </c>
      <c r="K178" s="78" t="s">
        <v>14</v>
      </c>
      <c r="L178" s="36" t="s">
        <v>14</v>
      </c>
      <c r="M178" s="36" t="s">
        <v>225</v>
      </c>
      <c r="N178" s="36">
        <v>2025</v>
      </c>
    </row>
    <row r="179" spans="1:14">
      <c r="A179" s="36">
        <v>178</v>
      </c>
      <c r="B179" s="96" t="s">
        <v>54</v>
      </c>
      <c r="C179" s="36" t="s">
        <v>55</v>
      </c>
      <c r="D179" s="36" t="s">
        <v>19</v>
      </c>
      <c r="E179" s="36" t="s">
        <v>114</v>
      </c>
      <c r="F179" s="36"/>
      <c r="G179" s="36" t="s">
        <v>115</v>
      </c>
      <c r="H179" s="36" t="s">
        <v>116</v>
      </c>
      <c r="I179" s="84">
        <v>90283</v>
      </c>
      <c r="J179" s="36" t="s">
        <v>14</v>
      </c>
      <c r="K179" s="78" t="s">
        <v>14</v>
      </c>
      <c r="L179" s="36" t="s">
        <v>14</v>
      </c>
      <c r="M179" s="77" t="s">
        <v>225</v>
      </c>
      <c r="N179" s="36">
        <v>2025</v>
      </c>
    </row>
    <row r="180" spans="1:14">
      <c r="A180" s="36">
        <v>179</v>
      </c>
      <c r="B180" s="96" t="s">
        <v>54</v>
      </c>
      <c r="C180" s="36" t="s">
        <v>55</v>
      </c>
      <c r="D180" s="36" t="s">
        <v>60</v>
      </c>
      <c r="E180" s="36" t="s">
        <v>413</v>
      </c>
      <c r="F180" s="36"/>
      <c r="G180" s="36" t="s">
        <v>296</v>
      </c>
      <c r="H180" s="36" t="s">
        <v>413</v>
      </c>
      <c r="I180" s="84">
        <v>19000</v>
      </c>
      <c r="J180" s="36" t="s">
        <v>409</v>
      </c>
      <c r="K180" s="78">
        <v>45848</v>
      </c>
      <c r="L180" s="36">
        <v>2025402302</v>
      </c>
      <c r="M180" s="36" t="s">
        <v>225</v>
      </c>
      <c r="N180" s="36">
        <v>2025</v>
      </c>
    </row>
    <row r="181" spans="1:14">
      <c r="A181" s="36">
        <v>180</v>
      </c>
      <c r="B181" s="96" t="s">
        <v>54</v>
      </c>
      <c r="C181" s="36" t="s">
        <v>55</v>
      </c>
      <c r="D181" s="36" t="s">
        <v>60</v>
      </c>
      <c r="E181" s="36" t="s">
        <v>413</v>
      </c>
      <c r="F181" s="36"/>
      <c r="G181" s="36" t="s">
        <v>296</v>
      </c>
      <c r="H181" s="36" t="s">
        <v>413</v>
      </c>
      <c r="I181" s="84">
        <v>4500</v>
      </c>
      <c r="J181" s="36" t="s">
        <v>410</v>
      </c>
      <c r="K181" s="78">
        <v>45848</v>
      </c>
      <c r="L181" s="36">
        <v>2025402302</v>
      </c>
      <c r="M181" s="36" t="s">
        <v>225</v>
      </c>
      <c r="N181" s="36">
        <v>2025</v>
      </c>
    </row>
    <row r="182" spans="1:14">
      <c r="A182" s="36">
        <v>181</v>
      </c>
      <c r="B182" s="96" t="s">
        <v>54</v>
      </c>
      <c r="C182" s="36" t="s">
        <v>55</v>
      </c>
      <c r="D182" s="36" t="s">
        <v>60</v>
      </c>
      <c r="E182" s="36" t="s">
        <v>413</v>
      </c>
      <c r="F182" s="36"/>
      <c r="G182" s="36" t="s">
        <v>268</v>
      </c>
      <c r="H182" s="36" t="s">
        <v>413</v>
      </c>
      <c r="I182" s="84">
        <v>6000</v>
      </c>
      <c r="J182" s="36" t="s">
        <v>249</v>
      </c>
      <c r="K182" s="78">
        <v>45970</v>
      </c>
      <c r="L182" s="36">
        <v>2025404029</v>
      </c>
      <c r="M182" s="36" t="s">
        <v>225</v>
      </c>
      <c r="N182" s="36">
        <v>2025</v>
      </c>
    </row>
    <row r="183" spans="1:14">
      <c r="A183" s="36">
        <v>182</v>
      </c>
      <c r="B183" s="96" t="s">
        <v>54</v>
      </c>
      <c r="C183" s="36" t="s">
        <v>55</v>
      </c>
      <c r="D183" s="36" t="s">
        <v>60</v>
      </c>
      <c r="E183" s="36" t="s">
        <v>413</v>
      </c>
      <c r="F183" s="36"/>
      <c r="G183" s="36" t="s">
        <v>241</v>
      </c>
      <c r="H183" s="36" t="s">
        <v>413</v>
      </c>
      <c r="I183" s="84">
        <v>2000</v>
      </c>
      <c r="J183" s="36" t="s">
        <v>411</v>
      </c>
      <c r="K183" s="78">
        <v>45990</v>
      </c>
      <c r="L183" s="36">
        <v>2025404178</v>
      </c>
      <c r="M183" s="36" t="s">
        <v>225</v>
      </c>
      <c r="N183" s="36">
        <v>2025</v>
      </c>
    </row>
    <row r="184" spans="1:14">
      <c r="A184" s="36">
        <v>183</v>
      </c>
      <c r="B184" s="96" t="s">
        <v>54</v>
      </c>
      <c r="C184" s="36" t="s">
        <v>55</v>
      </c>
      <c r="D184" s="36" t="s">
        <v>60</v>
      </c>
      <c r="E184" s="36" t="s">
        <v>413</v>
      </c>
      <c r="F184" s="36"/>
      <c r="G184" s="36" t="s">
        <v>408</v>
      </c>
      <c r="H184" s="36" t="s">
        <v>413</v>
      </c>
      <c r="I184" s="84">
        <v>2062.9370629370628</v>
      </c>
      <c r="J184" s="36" t="s">
        <v>412</v>
      </c>
      <c r="K184" s="78">
        <v>45964</v>
      </c>
      <c r="L184" s="36">
        <v>2025403975</v>
      </c>
      <c r="M184" s="36" t="s">
        <v>225</v>
      </c>
      <c r="N184" s="36">
        <v>2025</v>
      </c>
    </row>
    <row r="185" spans="1:14">
      <c r="A185" s="36">
        <v>184</v>
      </c>
      <c r="B185" s="96" t="s">
        <v>54</v>
      </c>
      <c r="C185" s="36" t="s">
        <v>55</v>
      </c>
      <c r="D185" s="36" t="s">
        <v>60</v>
      </c>
      <c r="E185" s="36" t="s">
        <v>413</v>
      </c>
      <c r="F185" s="36"/>
      <c r="G185" s="36" t="s">
        <v>128</v>
      </c>
      <c r="H185" s="36" t="s">
        <v>413</v>
      </c>
      <c r="I185" s="76">
        <v>1390</v>
      </c>
      <c r="J185" s="36" t="s">
        <v>414</v>
      </c>
      <c r="K185" s="78">
        <v>45985</v>
      </c>
      <c r="L185" s="36">
        <v>2025404210</v>
      </c>
      <c r="M185" s="36" t="s">
        <v>225</v>
      </c>
      <c r="N185" s="36">
        <v>2025</v>
      </c>
    </row>
    <row r="186" spans="1:14">
      <c r="A186" s="36">
        <v>185</v>
      </c>
      <c r="B186" s="96" t="s">
        <v>54</v>
      </c>
      <c r="C186" s="36" t="s">
        <v>55</v>
      </c>
      <c r="D186" s="36" t="s">
        <v>60</v>
      </c>
      <c r="E186" s="36" t="s">
        <v>413</v>
      </c>
      <c r="F186" s="36"/>
      <c r="G186" s="36" t="s">
        <v>128</v>
      </c>
      <c r="H186" s="36" t="s">
        <v>413</v>
      </c>
      <c r="I186" s="76">
        <v>3600.1</v>
      </c>
      <c r="J186" s="36" t="s">
        <v>415</v>
      </c>
      <c r="K186" s="78">
        <v>45987</v>
      </c>
      <c r="L186" s="36">
        <v>2025404247</v>
      </c>
      <c r="M186" s="36" t="s">
        <v>225</v>
      </c>
      <c r="N186" s="36">
        <v>2025</v>
      </c>
    </row>
    <row r="187" spans="1:14">
      <c r="A187" s="36">
        <v>186</v>
      </c>
      <c r="B187" s="96" t="s">
        <v>54</v>
      </c>
      <c r="C187" s="36" t="s">
        <v>55</v>
      </c>
      <c r="D187" s="36" t="s">
        <v>60</v>
      </c>
      <c r="E187" s="36" t="s">
        <v>413</v>
      </c>
      <c r="F187" s="36"/>
      <c r="G187" s="36" t="s">
        <v>21</v>
      </c>
      <c r="H187" s="36" t="s">
        <v>612</v>
      </c>
      <c r="I187" s="84">
        <f>107500000/1430</f>
        <v>75174.825174825179</v>
      </c>
      <c r="J187" s="36" t="s">
        <v>14</v>
      </c>
      <c r="K187" s="78" t="s">
        <v>14</v>
      </c>
      <c r="L187" s="36" t="s">
        <v>14</v>
      </c>
      <c r="M187" s="36" t="s">
        <v>225</v>
      </c>
      <c r="N187" s="36">
        <v>2025</v>
      </c>
    </row>
    <row r="188" spans="1:14">
      <c r="A188" s="36">
        <v>187</v>
      </c>
      <c r="B188" s="36" t="s">
        <v>58</v>
      </c>
      <c r="C188" s="36" t="s">
        <v>59</v>
      </c>
      <c r="D188" s="36" t="s">
        <v>60</v>
      </c>
      <c r="E188" s="36" t="s">
        <v>20</v>
      </c>
      <c r="F188" s="36"/>
      <c r="G188" s="36" t="s">
        <v>21</v>
      </c>
      <c r="H188" s="36" t="s">
        <v>314</v>
      </c>
      <c r="I188" s="76">
        <v>99014</v>
      </c>
      <c r="J188" s="36" t="s">
        <v>14</v>
      </c>
      <c r="K188" s="78" t="s">
        <v>14</v>
      </c>
      <c r="L188" s="36" t="s">
        <v>14</v>
      </c>
      <c r="M188" s="36" t="s">
        <v>225</v>
      </c>
      <c r="N188" s="36">
        <v>2025</v>
      </c>
    </row>
    <row r="189" spans="1:14">
      <c r="A189" s="36">
        <v>188</v>
      </c>
      <c r="B189" s="74" t="s">
        <v>58</v>
      </c>
      <c r="C189" s="36" t="s">
        <v>59</v>
      </c>
      <c r="D189" s="36" t="s">
        <v>60</v>
      </c>
      <c r="E189" s="36" t="s">
        <v>20</v>
      </c>
      <c r="F189" s="36"/>
      <c r="G189" s="36" t="s">
        <v>21</v>
      </c>
      <c r="H189" s="74" t="s">
        <v>315</v>
      </c>
      <c r="I189" s="76">
        <v>9500</v>
      </c>
      <c r="J189" s="36" t="s">
        <v>14</v>
      </c>
      <c r="K189" s="78" t="s">
        <v>14</v>
      </c>
      <c r="L189" s="36" t="s">
        <v>14</v>
      </c>
      <c r="M189" s="36" t="s">
        <v>225</v>
      </c>
      <c r="N189" s="36">
        <v>2025</v>
      </c>
    </row>
    <row r="190" spans="1:14">
      <c r="A190" s="36">
        <v>189</v>
      </c>
      <c r="B190" s="36" t="s">
        <v>58</v>
      </c>
      <c r="C190" s="78" t="s">
        <v>59</v>
      </c>
      <c r="D190" s="36" t="s">
        <v>60</v>
      </c>
      <c r="E190" s="36" t="s">
        <v>63</v>
      </c>
      <c r="F190" s="36"/>
      <c r="G190" s="36" t="s">
        <v>64</v>
      </c>
      <c r="H190" s="79" t="s">
        <v>279</v>
      </c>
      <c r="I190" s="80">
        <v>4144.0559440559437</v>
      </c>
      <c r="J190" s="36" t="s">
        <v>68</v>
      </c>
      <c r="K190" s="78" t="s">
        <v>324</v>
      </c>
      <c r="L190" s="81" t="s">
        <v>14</v>
      </c>
      <c r="M190" s="75" t="s">
        <v>225</v>
      </c>
      <c r="N190" s="36">
        <v>2025</v>
      </c>
    </row>
    <row r="191" spans="1:14">
      <c r="A191" s="36">
        <v>190</v>
      </c>
      <c r="B191" s="36" t="s">
        <v>58</v>
      </c>
      <c r="C191" s="78" t="s">
        <v>59</v>
      </c>
      <c r="D191" s="36" t="s">
        <v>60</v>
      </c>
      <c r="E191" s="36" t="s">
        <v>63</v>
      </c>
      <c r="F191" s="36"/>
      <c r="G191" s="36" t="s">
        <v>64</v>
      </c>
      <c r="H191" s="79" t="s">
        <v>65</v>
      </c>
      <c r="I191" s="80">
        <v>2448.2517482517483</v>
      </c>
      <c r="J191" s="79" t="s">
        <v>68</v>
      </c>
      <c r="K191" s="78" t="s">
        <v>325</v>
      </c>
      <c r="L191" s="81" t="s">
        <v>14</v>
      </c>
      <c r="M191" s="75" t="s">
        <v>225</v>
      </c>
      <c r="N191" s="36">
        <v>2025</v>
      </c>
    </row>
    <row r="192" spans="1:14">
      <c r="A192" s="36">
        <v>191</v>
      </c>
      <c r="B192" s="36" t="s">
        <v>58</v>
      </c>
      <c r="C192" s="78" t="s">
        <v>59</v>
      </c>
      <c r="D192" s="36" t="s">
        <v>60</v>
      </c>
      <c r="E192" s="36" t="s">
        <v>63</v>
      </c>
      <c r="F192" s="36"/>
      <c r="G192" s="36" t="s">
        <v>64</v>
      </c>
      <c r="H192" s="79" t="s">
        <v>342</v>
      </c>
      <c r="I192" s="80">
        <v>1048.951048951049</v>
      </c>
      <c r="J192" s="36" t="s">
        <v>68</v>
      </c>
      <c r="K192" s="78">
        <v>45788</v>
      </c>
      <c r="L192" s="81" t="s">
        <v>14</v>
      </c>
      <c r="M192" s="75" t="s">
        <v>225</v>
      </c>
      <c r="N192" s="36">
        <v>2025</v>
      </c>
    </row>
    <row r="193" spans="1:14">
      <c r="A193" s="36">
        <v>192</v>
      </c>
      <c r="B193" s="36" t="s">
        <v>58</v>
      </c>
      <c r="C193" s="78" t="s">
        <v>59</v>
      </c>
      <c r="D193" s="36" t="s">
        <v>60</v>
      </c>
      <c r="E193" s="36" t="s">
        <v>63</v>
      </c>
      <c r="F193" s="36"/>
      <c r="G193" s="36" t="s">
        <v>64</v>
      </c>
      <c r="H193" s="79" t="s">
        <v>343</v>
      </c>
      <c r="I193" s="80">
        <v>391.60839160839163</v>
      </c>
      <c r="J193" s="36" t="s">
        <v>68</v>
      </c>
      <c r="K193" s="78">
        <v>45819</v>
      </c>
      <c r="L193" s="81" t="s">
        <v>14</v>
      </c>
      <c r="M193" s="75" t="s">
        <v>225</v>
      </c>
      <c r="N193" s="36">
        <v>2025</v>
      </c>
    </row>
    <row r="194" spans="1:14">
      <c r="A194" s="36">
        <v>193</v>
      </c>
      <c r="B194" s="36" t="s">
        <v>58</v>
      </c>
      <c r="C194" s="78" t="s">
        <v>59</v>
      </c>
      <c r="D194" s="36" t="s">
        <v>60</v>
      </c>
      <c r="E194" s="36" t="s">
        <v>63</v>
      </c>
      <c r="F194" s="36"/>
      <c r="G194" s="36" t="s">
        <v>64</v>
      </c>
      <c r="H194" s="79" t="s">
        <v>344</v>
      </c>
      <c r="I194" s="80">
        <v>734.2657342657343</v>
      </c>
      <c r="J194" s="36" t="s">
        <v>68</v>
      </c>
      <c r="K194" s="78" t="s">
        <v>326</v>
      </c>
      <c r="L194" s="81" t="s">
        <v>14</v>
      </c>
      <c r="M194" s="75" t="s">
        <v>225</v>
      </c>
      <c r="N194" s="36">
        <v>2025</v>
      </c>
    </row>
    <row r="195" spans="1:14">
      <c r="A195" s="36">
        <v>194</v>
      </c>
      <c r="B195" s="36" t="s">
        <v>58</v>
      </c>
      <c r="C195" s="78" t="s">
        <v>59</v>
      </c>
      <c r="D195" s="36" t="s">
        <v>60</v>
      </c>
      <c r="E195" s="36" t="s">
        <v>72</v>
      </c>
      <c r="F195" s="36"/>
      <c r="G195" s="36" t="s">
        <v>64</v>
      </c>
      <c r="H195" s="79" t="s">
        <v>349</v>
      </c>
      <c r="I195" s="80">
        <v>524.47552447552448</v>
      </c>
      <c r="J195" s="36" t="s">
        <v>68</v>
      </c>
      <c r="K195" s="78">
        <v>45727</v>
      </c>
      <c r="L195" s="81" t="s">
        <v>14</v>
      </c>
      <c r="M195" s="75" t="s">
        <v>225</v>
      </c>
      <c r="N195" s="36">
        <v>2025</v>
      </c>
    </row>
    <row r="196" spans="1:14">
      <c r="A196" s="36">
        <v>195</v>
      </c>
      <c r="B196" s="36" t="s">
        <v>58</v>
      </c>
      <c r="C196" s="78" t="s">
        <v>59</v>
      </c>
      <c r="D196" s="36" t="s">
        <v>60</v>
      </c>
      <c r="E196" s="36" t="s">
        <v>72</v>
      </c>
      <c r="F196" s="36"/>
      <c r="G196" s="36" t="s">
        <v>64</v>
      </c>
      <c r="H196" s="79" t="s">
        <v>350</v>
      </c>
      <c r="I196" s="80">
        <v>524.47552447552448</v>
      </c>
      <c r="J196" s="36" t="s">
        <v>68</v>
      </c>
      <c r="K196" s="78" t="s">
        <v>325</v>
      </c>
      <c r="L196" s="81" t="s">
        <v>14</v>
      </c>
      <c r="M196" s="75" t="s">
        <v>225</v>
      </c>
      <c r="N196" s="36">
        <v>2025</v>
      </c>
    </row>
    <row r="197" spans="1:14">
      <c r="A197" s="36">
        <v>196</v>
      </c>
      <c r="B197" s="36" t="s">
        <v>58</v>
      </c>
      <c r="C197" s="36" t="s">
        <v>59</v>
      </c>
      <c r="D197" s="36" t="s">
        <v>60</v>
      </c>
      <c r="E197" s="36" t="s">
        <v>20</v>
      </c>
      <c r="F197" s="36"/>
      <c r="G197" s="36" t="s">
        <v>64</v>
      </c>
      <c r="H197" s="36" t="s">
        <v>353</v>
      </c>
      <c r="I197" s="80">
        <v>1003.4965034965035</v>
      </c>
      <c r="J197" s="36" t="s">
        <v>68</v>
      </c>
      <c r="K197" s="78" t="s">
        <v>333</v>
      </c>
      <c r="L197" s="81" t="s">
        <v>14</v>
      </c>
      <c r="M197" s="75" t="s">
        <v>225</v>
      </c>
      <c r="N197" s="36">
        <v>2025</v>
      </c>
    </row>
    <row r="198" spans="1:14">
      <c r="A198" s="36">
        <v>197</v>
      </c>
      <c r="B198" s="36" t="s">
        <v>58</v>
      </c>
      <c r="C198" s="78" t="s">
        <v>59</v>
      </c>
      <c r="D198" s="36" t="s">
        <v>60</v>
      </c>
      <c r="E198" s="36" t="s">
        <v>82</v>
      </c>
      <c r="F198" s="36"/>
      <c r="G198" s="36" t="s">
        <v>64</v>
      </c>
      <c r="H198" s="79" t="s">
        <v>358</v>
      </c>
      <c r="I198" s="80">
        <v>1468.5314685314686</v>
      </c>
      <c r="J198" s="36" t="s">
        <v>68</v>
      </c>
      <c r="K198" s="78">
        <v>45788</v>
      </c>
      <c r="L198" s="81" t="s">
        <v>14</v>
      </c>
      <c r="M198" s="75" t="s">
        <v>225</v>
      </c>
      <c r="N198" s="36">
        <v>2025</v>
      </c>
    </row>
    <row r="199" spans="1:14">
      <c r="A199" s="36">
        <v>198</v>
      </c>
      <c r="B199" s="36" t="s">
        <v>58</v>
      </c>
      <c r="C199" s="78" t="s">
        <v>59</v>
      </c>
      <c r="D199" s="36" t="s">
        <v>60</v>
      </c>
      <c r="E199" s="36" t="s">
        <v>82</v>
      </c>
      <c r="F199" s="36"/>
      <c r="G199" s="36" t="s">
        <v>64</v>
      </c>
      <c r="H199" s="79" t="s">
        <v>359</v>
      </c>
      <c r="I199" s="80">
        <v>125.87412587412588</v>
      </c>
      <c r="J199" s="36" t="s">
        <v>68</v>
      </c>
      <c r="K199" s="78" t="s">
        <v>322</v>
      </c>
      <c r="L199" s="81" t="s">
        <v>14</v>
      </c>
      <c r="M199" s="75" t="s">
        <v>225</v>
      </c>
      <c r="N199" s="36">
        <v>2025</v>
      </c>
    </row>
    <row r="200" spans="1:14">
      <c r="A200" s="36">
        <v>199</v>
      </c>
      <c r="B200" s="36" t="s">
        <v>58</v>
      </c>
      <c r="C200" s="78" t="s">
        <v>59</v>
      </c>
      <c r="D200" s="36" t="s">
        <v>60</v>
      </c>
      <c r="E200" s="36" t="s">
        <v>81</v>
      </c>
      <c r="F200" s="36"/>
      <c r="G200" s="36" t="s">
        <v>64</v>
      </c>
      <c r="H200" s="79" t="s">
        <v>293</v>
      </c>
      <c r="I200" s="80">
        <v>988.98601398601397</v>
      </c>
      <c r="J200" s="36" t="s">
        <v>68</v>
      </c>
      <c r="K200" s="78" t="s">
        <v>326</v>
      </c>
      <c r="L200" s="81" t="s">
        <v>14</v>
      </c>
      <c r="M200" s="75" t="s">
        <v>225</v>
      </c>
      <c r="N200" s="36">
        <v>2025</v>
      </c>
    </row>
    <row r="201" spans="1:14">
      <c r="A201" s="36">
        <v>200</v>
      </c>
      <c r="B201" s="36" t="s">
        <v>58</v>
      </c>
      <c r="C201" s="78" t="s">
        <v>59</v>
      </c>
      <c r="D201" s="36" t="s">
        <v>60</v>
      </c>
      <c r="E201" s="36" t="s">
        <v>81</v>
      </c>
      <c r="F201" s="36"/>
      <c r="G201" s="36" t="s">
        <v>64</v>
      </c>
      <c r="H201" s="79" t="s">
        <v>362</v>
      </c>
      <c r="I201" s="80">
        <v>433.56643356643355</v>
      </c>
      <c r="J201" s="36">
        <v>401809</v>
      </c>
      <c r="K201" s="78" t="s">
        <v>329</v>
      </c>
      <c r="L201" s="81" t="s">
        <v>14</v>
      </c>
      <c r="M201" s="75" t="s">
        <v>225</v>
      </c>
      <c r="N201" s="36">
        <v>2025</v>
      </c>
    </row>
    <row r="202" spans="1:14">
      <c r="A202" s="36">
        <v>201</v>
      </c>
      <c r="B202" s="36" t="s">
        <v>58</v>
      </c>
      <c r="C202" s="36" t="s">
        <v>59</v>
      </c>
      <c r="D202" s="36" t="s">
        <v>60</v>
      </c>
      <c r="E202" s="36" t="s">
        <v>103</v>
      </c>
      <c r="F202" s="36"/>
      <c r="G202" s="36" t="s">
        <v>64</v>
      </c>
      <c r="H202" s="79" t="s">
        <v>363</v>
      </c>
      <c r="I202" s="80">
        <v>1084.6153846153845</v>
      </c>
      <c r="J202" s="36" t="s">
        <v>68</v>
      </c>
      <c r="K202" s="78" t="s">
        <v>325</v>
      </c>
      <c r="L202" s="81" t="s">
        <v>14</v>
      </c>
      <c r="M202" s="75" t="s">
        <v>225</v>
      </c>
      <c r="N202" s="36">
        <v>2025</v>
      </c>
    </row>
    <row r="203" spans="1:14">
      <c r="A203" s="36">
        <v>202</v>
      </c>
      <c r="B203" s="36" t="s">
        <v>58</v>
      </c>
      <c r="C203" s="78" t="s">
        <v>59</v>
      </c>
      <c r="D203" s="36" t="s">
        <v>60</v>
      </c>
      <c r="E203" s="36" t="s">
        <v>72</v>
      </c>
      <c r="F203" s="36"/>
      <c r="G203" s="36" t="s">
        <v>64</v>
      </c>
      <c r="H203" s="79" t="s">
        <v>83</v>
      </c>
      <c r="I203" s="80">
        <v>82.167832167832174</v>
      </c>
      <c r="J203" s="36" t="s">
        <v>68</v>
      </c>
      <c r="K203" s="78" t="s">
        <v>325</v>
      </c>
      <c r="L203" s="81" t="s">
        <v>14</v>
      </c>
      <c r="M203" s="75" t="s">
        <v>225</v>
      </c>
      <c r="N203" s="36">
        <v>2025</v>
      </c>
    </row>
    <row r="204" spans="1:14">
      <c r="A204" s="36">
        <v>203</v>
      </c>
      <c r="B204" s="36" t="s">
        <v>58</v>
      </c>
      <c r="C204" s="78" t="s">
        <v>59</v>
      </c>
      <c r="D204" s="36" t="s">
        <v>60</v>
      </c>
      <c r="E204" s="36" t="s">
        <v>274</v>
      </c>
      <c r="F204" s="36"/>
      <c r="G204" s="36" t="s">
        <v>64</v>
      </c>
      <c r="H204" s="79" t="s">
        <v>364</v>
      </c>
      <c r="I204" s="80">
        <v>192.30769230769232</v>
      </c>
      <c r="J204" s="36" t="s">
        <v>68</v>
      </c>
      <c r="K204" s="78">
        <v>45699</v>
      </c>
      <c r="L204" s="81" t="s">
        <v>14</v>
      </c>
      <c r="M204" s="75" t="s">
        <v>225</v>
      </c>
      <c r="N204" s="36">
        <v>2025</v>
      </c>
    </row>
    <row r="205" spans="1:14">
      <c r="A205" s="36">
        <v>204</v>
      </c>
      <c r="B205" s="36" t="s">
        <v>58</v>
      </c>
      <c r="C205" s="78" t="s">
        <v>59</v>
      </c>
      <c r="D205" s="36" t="s">
        <v>60</v>
      </c>
      <c r="E205" s="36" t="s">
        <v>274</v>
      </c>
      <c r="F205" s="36"/>
      <c r="G205" s="36" t="s">
        <v>64</v>
      </c>
      <c r="H205" s="79" t="s">
        <v>365</v>
      </c>
      <c r="I205" s="80">
        <v>1979.020979020979</v>
      </c>
      <c r="J205" s="36" t="s">
        <v>68</v>
      </c>
      <c r="K205" s="78">
        <v>45727</v>
      </c>
      <c r="L205" s="81" t="s">
        <v>14</v>
      </c>
      <c r="M205" s="75" t="s">
        <v>225</v>
      </c>
      <c r="N205" s="36">
        <v>2025</v>
      </c>
    </row>
    <row r="206" spans="1:14">
      <c r="A206" s="36">
        <v>205</v>
      </c>
      <c r="B206" s="36" t="s">
        <v>58</v>
      </c>
      <c r="C206" s="78" t="s">
        <v>59</v>
      </c>
      <c r="D206" s="36" t="s">
        <v>60</v>
      </c>
      <c r="E206" s="36" t="s">
        <v>274</v>
      </c>
      <c r="F206" s="36"/>
      <c r="G206" s="36" t="s">
        <v>64</v>
      </c>
      <c r="H206" s="79" t="s">
        <v>364</v>
      </c>
      <c r="I206" s="80">
        <v>534.96503496503499</v>
      </c>
      <c r="J206" s="36" t="s">
        <v>68</v>
      </c>
      <c r="K206" s="78">
        <v>45758</v>
      </c>
      <c r="L206" s="81" t="s">
        <v>14</v>
      </c>
      <c r="M206" s="75" t="s">
        <v>225</v>
      </c>
      <c r="N206" s="36">
        <v>2025</v>
      </c>
    </row>
    <row r="207" spans="1:14">
      <c r="A207" s="36">
        <v>206</v>
      </c>
      <c r="B207" s="36" t="s">
        <v>58</v>
      </c>
      <c r="C207" s="78" t="s">
        <v>59</v>
      </c>
      <c r="D207" s="36" t="s">
        <v>60</v>
      </c>
      <c r="E207" s="36" t="s">
        <v>274</v>
      </c>
      <c r="F207" s="36"/>
      <c r="G207" s="36" t="s">
        <v>64</v>
      </c>
      <c r="H207" s="79" t="s">
        <v>366</v>
      </c>
      <c r="I207" s="80">
        <v>1573.4265734265734</v>
      </c>
      <c r="J207" s="36" t="s">
        <v>68</v>
      </c>
      <c r="K207" s="78">
        <v>45911</v>
      </c>
      <c r="L207" s="81" t="s">
        <v>14</v>
      </c>
      <c r="M207" s="75" t="s">
        <v>225</v>
      </c>
      <c r="N207" s="36">
        <v>2025</v>
      </c>
    </row>
    <row r="208" spans="1:14">
      <c r="A208" s="36">
        <v>207</v>
      </c>
      <c r="B208" s="36" t="s">
        <v>58</v>
      </c>
      <c r="C208" s="78" t="s">
        <v>59</v>
      </c>
      <c r="D208" s="36" t="s">
        <v>60</v>
      </c>
      <c r="E208" s="36" t="s">
        <v>274</v>
      </c>
      <c r="F208" s="36"/>
      <c r="G208" s="36" t="s">
        <v>64</v>
      </c>
      <c r="H208" s="79" t="s">
        <v>367</v>
      </c>
      <c r="I208" s="80">
        <v>2552.4475524475524</v>
      </c>
      <c r="J208" s="36" t="s">
        <v>68</v>
      </c>
      <c r="K208" s="78" t="s">
        <v>323</v>
      </c>
      <c r="L208" s="81" t="s">
        <v>14</v>
      </c>
      <c r="M208" s="75" t="s">
        <v>225</v>
      </c>
      <c r="N208" s="36">
        <v>2025</v>
      </c>
    </row>
    <row r="209" spans="1:14">
      <c r="A209" s="36">
        <v>208</v>
      </c>
      <c r="B209" s="36" t="s">
        <v>58</v>
      </c>
      <c r="C209" s="78" t="s">
        <v>59</v>
      </c>
      <c r="D209" s="36" t="s">
        <v>60</v>
      </c>
      <c r="E209" s="36" t="s">
        <v>274</v>
      </c>
      <c r="F209" s="36"/>
      <c r="G209" s="36" t="s">
        <v>64</v>
      </c>
      <c r="H209" s="79" t="s">
        <v>364</v>
      </c>
      <c r="I209" s="80">
        <v>374.12587412587413</v>
      </c>
      <c r="J209" s="36" t="s">
        <v>68</v>
      </c>
      <c r="K209" s="78" t="s">
        <v>326</v>
      </c>
      <c r="L209" s="81" t="s">
        <v>14</v>
      </c>
      <c r="M209" s="75" t="s">
        <v>225</v>
      </c>
      <c r="N209" s="36">
        <v>2025</v>
      </c>
    </row>
    <row r="210" spans="1:14">
      <c r="A210" s="36">
        <v>209</v>
      </c>
      <c r="B210" s="36" t="s">
        <v>58</v>
      </c>
      <c r="C210" s="78" t="s">
        <v>59</v>
      </c>
      <c r="D210" s="36" t="s">
        <v>60</v>
      </c>
      <c r="E210" s="36" t="s">
        <v>274</v>
      </c>
      <c r="F210" s="36"/>
      <c r="G210" s="36" t="s">
        <v>64</v>
      </c>
      <c r="H210" s="79" t="s">
        <v>368</v>
      </c>
      <c r="I210" s="80">
        <v>1398.6013986013986</v>
      </c>
      <c r="J210" s="36" t="s">
        <v>68</v>
      </c>
      <c r="K210" s="78" t="s">
        <v>334</v>
      </c>
      <c r="L210" s="81" t="s">
        <v>14</v>
      </c>
      <c r="M210" s="75" t="s">
        <v>225</v>
      </c>
      <c r="N210" s="36">
        <v>2025</v>
      </c>
    </row>
    <row r="211" spans="1:14">
      <c r="A211" s="36">
        <v>210</v>
      </c>
      <c r="B211" s="36" t="s">
        <v>58</v>
      </c>
      <c r="C211" s="78" t="s">
        <v>59</v>
      </c>
      <c r="D211" s="36" t="s">
        <v>60</v>
      </c>
      <c r="E211" s="36" t="s">
        <v>274</v>
      </c>
      <c r="F211" s="36"/>
      <c r="G211" s="36" t="s">
        <v>64</v>
      </c>
      <c r="H211" s="79" t="s">
        <v>369</v>
      </c>
      <c r="I211" s="80">
        <v>104.89510489510489</v>
      </c>
      <c r="J211" s="36" t="s">
        <v>68</v>
      </c>
      <c r="K211" s="78" t="s">
        <v>324</v>
      </c>
      <c r="L211" s="81" t="s">
        <v>14</v>
      </c>
      <c r="M211" s="75" t="s">
        <v>225</v>
      </c>
      <c r="N211" s="36">
        <v>2025</v>
      </c>
    </row>
    <row r="212" spans="1:14">
      <c r="A212" s="36">
        <v>211</v>
      </c>
      <c r="B212" s="36" t="s">
        <v>58</v>
      </c>
      <c r="C212" s="78" t="s">
        <v>59</v>
      </c>
      <c r="D212" s="36" t="s">
        <v>60</v>
      </c>
      <c r="E212" s="36" t="s">
        <v>274</v>
      </c>
      <c r="F212" s="36"/>
      <c r="G212" s="36" t="s">
        <v>64</v>
      </c>
      <c r="H212" s="79" t="s">
        <v>364</v>
      </c>
      <c r="I212" s="80">
        <v>83.91608391608392</v>
      </c>
      <c r="J212" s="36" t="s">
        <v>68</v>
      </c>
      <c r="K212" s="78" t="s">
        <v>326</v>
      </c>
      <c r="L212" s="81" t="s">
        <v>14</v>
      </c>
      <c r="M212" s="75" t="s">
        <v>225</v>
      </c>
      <c r="N212" s="36">
        <v>2025</v>
      </c>
    </row>
    <row r="213" spans="1:14">
      <c r="A213" s="36">
        <v>212</v>
      </c>
      <c r="B213" s="77" t="s">
        <v>58</v>
      </c>
      <c r="C213" s="78" t="s">
        <v>59</v>
      </c>
      <c r="D213" s="36" t="s">
        <v>60</v>
      </c>
      <c r="E213" s="36" t="s">
        <v>63</v>
      </c>
      <c r="F213" s="36"/>
      <c r="G213" s="36" t="s">
        <v>21</v>
      </c>
      <c r="H213" s="36" t="s">
        <v>63</v>
      </c>
      <c r="I213" s="80">
        <v>10489.510489510489</v>
      </c>
      <c r="J213" s="78" t="s">
        <v>14</v>
      </c>
      <c r="K213" s="78" t="s">
        <v>14</v>
      </c>
      <c r="L213" s="81" t="s">
        <v>14</v>
      </c>
      <c r="M213" s="75" t="s">
        <v>225</v>
      </c>
      <c r="N213" s="36">
        <v>2025</v>
      </c>
    </row>
    <row r="214" spans="1:14">
      <c r="A214" s="36">
        <v>213</v>
      </c>
      <c r="B214" s="77" t="s">
        <v>58</v>
      </c>
      <c r="C214" s="78" t="s">
        <v>59</v>
      </c>
      <c r="D214" s="36" t="s">
        <v>60</v>
      </c>
      <c r="E214" s="36" t="s">
        <v>63</v>
      </c>
      <c r="F214" s="36"/>
      <c r="G214" s="36" t="s">
        <v>21</v>
      </c>
      <c r="H214" s="36" t="s">
        <v>63</v>
      </c>
      <c r="I214" s="80">
        <v>3496.5034965034965</v>
      </c>
      <c r="J214" s="78" t="s">
        <v>14</v>
      </c>
      <c r="K214" s="78" t="s">
        <v>14</v>
      </c>
      <c r="L214" s="81" t="s">
        <v>14</v>
      </c>
      <c r="M214" s="75" t="s">
        <v>225</v>
      </c>
      <c r="N214" s="36">
        <v>2025</v>
      </c>
    </row>
    <row r="215" spans="1:14">
      <c r="A215" s="36">
        <v>214</v>
      </c>
      <c r="B215" s="77" t="s">
        <v>58</v>
      </c>
      <c r="C215" s="78" t="s">
        <v>59</v>
      </c>
      <c r="D215" s="36" t="s">
        <v>60</v>
      </c>
      <c r="E215" s="36" t="s">
        <v>63</v>
      </c>
      <c r="F215" s="36"/>
      <c r="G215" s="36" t="s">
        <v>21</v>
      </c>
      <c r="H215" s="36" t="s">
        <v>63</v>
      </c>
      <c r="I215" s="84">
        <v>8181.818181818182</v>
      </c>
      <c r="J215" s="78" t="s">
        <v>14</v>
      </c>
      <c r="K215" s="78" t="s">
        <v>14</v>
      </c>
      <c r="L215" s="81" t="s">
        <v>14</v>
      </c>
      <c r="M215" s="75" t="s">
        <v>225</v>
      </c>
      <c r="N215" s="36">
        <v>2025</v>
      </c>
    </row>
    <row r="216" spans="1:14">
      <c r="A216" s="36">
        <v>215</v>
      </c>
      <c r="B216" s="77" t="s">
        <v>58</v>
      </c>
      <c r="C216" s="78" t="s">
        <v>59</v>
      </c>
      <c r="D216" s="36" t="s">
        <v>60</v>
      </c>
      <c r="E216" s="36" t="s">
        <v>63</v>
      </c>
      <c r="F216" s="36"/>
      <c r="G216" s="36" t="s">
        <v>21</v>
      </c>
      <c r="H216" s="36" t="s">
        <v>63</v>
      </c>
      <c r="I216" s="84">
        <v>10489.510489510489</v>
      </c>
      <c r="J216" s="78" t="s">
        <v>14</v>
      </c>
      <c r="K216" s="78" t="s">
        <v>14</v>
      </c>
      <c r="L216" s="81" t="s">
        <v>14</v>
      </c>
      <c r="M216" s="75" t="s">
        <v>225</v>
      </c>
      <c r="N216" s="36">
        <v>2025</v>
      </c>
    </row>
    <row r="217" spans="1:14">
      <c r="A217" s="36">
        <v>216</v>
      </c>
      <c r="B217" s="36" t="s">
        <v>58</v>
      </c>
      <c r="C217" s="78" t="s">
        <v>59</v>
      </c>
      <c r="D217" s="36" t="s">
        <v>60</v>
      </c>
      <c r="E217" s="36" t="s">
        <v>85</v>
      </c>
      <c r="F217" s="36"/>
      <c r="G217" s="36" t="s">
        <v>21</v>
      </c>
      <c r="H217" s="36" t="s">
        <v>300</v>
      </c>
      <c r="I217" s="76">
        <f>3000000/1430</f>
        <v>2097.9020979020979</v>
      </c>
      <c r="J217" s="78" t="s">
        <v>14</v>
      </c>
      <c r="K217" s="78" t="s">
        <v>14</v>
      </c>
      <c r="L217" s="81" t="s">
        <v>14</v>
      </c>
      <c r="M217" s="36" t="s">
        <v>225</v>
      </c>
      <c r="N217" s="36">
        <v>2025</v>
      </c>
    </row>
    <row r="218" spans="1:14">
      <c r="A218" s="36">
        <v>217</v>
      </c>
      <c r="B218" s="36" t="s">
        <v>58</v>
      </c>
      <c r="C218" s="78" t="s">
        <v>59</v>
      </c>
      <c r="D218" s="36" t="s">
        <v>60</v>
      </c>
      <c r="E218" s="36" t="s">
        <v>85</v>
      </c>
      <c r="F218" s="36"/>
      <c r="G218" s="36" t="s">
        <v>21</v>
      </c>
      <c r="H218" s="36" t="s">
        <v>301</v>
      </c>
      <c r="I218" s="76">
        <f>5000000/1430</f>
        <v>3496.5034965034965</v>
      </c>
      <c r="J218" s="78" t="s">
        <v>14</v>
      </c>
      <c r="K218" s="78" t="s">
        <v>14</v>
      </c>
      <c r="L218" s="81" t="s">
        <v>14</v>
      </c>
      <c r="M218" s="36" t="s">
        <v>225</v>
      </c>
      <c r="N218" s="36">
        <v>2025</v>
      </c>
    </row>
    <row r="219" spans="1:14">
      <c r="A219" s="36">
        <v>218</v>
      </c>
      <c r="B219" s="36" t="s">
        <v>58</v>
      </c>
      <c r="C219" s="78" t="s">
        <v>59</v>
      </c>
      <c r="D219" s="36" t="s">
        <v>60</v>
      </c>
      <c r="E219" s="36" t="s">
        <v>85</v>
      </c>
      <c r="F219" s="36"/>
      <c r="G219" s="36" t="s">
        <v>21</v>
      </c>
      <c r="H219" s="36" t="s">
        <v>302</v>
      </c>
      <c r="I219" s="76">
        <v>2000</v>
      </c>
      <c r="J219" s="78" t="s">
        <v>14</v>
      </c>
      <c r="K219" s="78" t="s">
        <v>14</v>
      </c>
      <c r="L219" s="81" t="s">
        <v>14</v>
      </c>
      <c r="M219" s="36" t="s">
        <v>225</v>
      </c>
      <c r="N219" s="36">
        <v>2025</v>
      </c>
    </row>
    <row r="220" spans="1:14">
      <c r="A220" s="36">
        <v>219</v>
      </c>
      <c r="B220" s="36" t="s">
        <v>58</v>
      </c>
      <c r="C220" s="78" t="s">
        <v>59</v>
      </c>
      <c r="D220" s="36" t="s">
        <v>60</v>
      </c>
      <c r="E220" s="36" t="s">
        <v>85</v>
      </c>
      <c r="F220" s="36"/>
      <c r="G220" s="36" t="s">
        <v>21</v>
      </c>
      <c r="H220" s="36" t="s">
        <v>303</v>
      </c>
      <c r="I220" s="76">
        <f>1250000/1430</f>
        <v>874.12587412587413</v>
      </c>
      <c r="J220" s="78" t="s">
        <v>14</v>
      </c>
      <c r="K220" s="78" t="s">
        <v>14</v>
      </c>
      <c r="L220" s="81" t="s">
        <v>14</v>
      </c>
      <c r="M220" s="36" t="s">
        <v>225</v>
      </c>
      <c r="N220" s="36">
        <v>2025</v>
      </c>
    </row>
    <row r="221" spans="1:14">
      <c r="A221" s="36">
        <v>220</v>
      </c>
      <c r="B221" s="36" t="s">
        <v>58</v>
      </c>
      <c r="C221" s="78" t="s">
        <v>59</v>
      </c>
      <c r="D221" s="36" t="s">
        <v>60</v>
      </c>
      <c r="E221" s="36" t="s">
        <v>85</v>
      </c>
      <c r="F221" s="36"/>
      <c r="G221" s="36" t="s">
        <v>21</v>
      </c>
      <c r="H221" s="36" t="s">
        <v>304</v>
      </c>
      <c r="I221" s="76">
        <v>4500</v>
      </c>
      <c r="J221" s="78" t="s">
        <v>14</v>
      </c>
      <c r="K221" s="78" t="s">
        <v>14</v>
      </c>
      <c r="L221" s="81" t="s">
        <v>14</v>
      </c>
      <c r="M221" s="36" t="s">
        <v>225</v>
      </c>
      <c r="N221" s="36">
        <v>2025</v>
      </c>
    </row>
    <row r="222" spans="1:14">
      <c r="A222" s="36">
        <v>221</v>
      </c>
      <c r="B222" s="36" t="s">
        <v>58</v>
      </c>
      <c r="C222" s="78" t="s">
        <v>59</v>
      </c>
      <c r="D222" s="36" t="s">
        <v>60</v>
      </c>
      <c r="E222" s="36" t="s">
        <v>85</v>
      </c>
      <c r="F222" s="36"/>
      <c r="G222" s="36" t="s">
        <v>21</v>
      </c>
      <c r="H222" s="36" t="s">
        <v>305</v>
      </c>
      <c r="I222" s="76">
        <v>6000</v>
      </c>
      <c r="J222" s="78" t="s">
        <v>14</v>
      </c>
      <c r="K222" s="78" t="s">
        <v>14</v>
      </c>
      <c r="L222" s="81" t="s">
        <v>14</v>
      </c>
      <c r="M222" s="36" t="s">
        <v>225</v>
      </c>
      <c r="N222" s="36">
        <v>2025</v>
      </c>
    </row>
    <row r="223" spans="1:14">
      <c r="A223" s="36">
        <v>222</v>
      </c>
      <c r="B223" s="36" t="s">
        <v>58</v>
      </c>
      <c r="C223" s="78" t="s">
        <v>59</v>
      </c>
      <c r="D223" s="36" t="s">
        <v>19</v>
      </c>
      <c r="E223" s="36" t="s">
        <v>85</v>
      </c>
      <c r="F223" s="36"/>
      <c r="G223" s="36" t="s">
        <v>86</v>
      </c>
      <c r="H223" s="36" t="s">
        <v>306</v>
      </c>
      <c r="I223" s="92">
        <v>3290</v>
      </c>
      <c r="J223" s="36" t="s">
        <v>617</v>
      </c>
      <c r="K223" s="78">
        <v>45991</v>
      </c>
      <c r="L223" s="81" t="s">
        <v>14</v>
      </c>
      <c r="M223" s="36" t="s">
        <v>225</v>
      </c>
      <c r="N223" s="36">
        <v>2025</v>
      </c>
    </row>
    <row r="224" spans="1:14">
      <c r="A224" s="36">
        <v>223</v>
      </c>
      <c r="B224" s="75" t="s">
        <v>58</v>
      </c>
      <c r="C224" s="36" t="s">
        <v>59</v>
      </c>
      <c r="D224" s="36" t="s">
        <v>19</v>
      </c>
      <c r="E224" s="36" t="s">
        <v>87</v>
      </c>
      <c r="F224" s="36"/>
      <c r="G224" s="75" t="s">
        <v>88</v>
      </c>
      <c r="H224" s="75" t="s">
        <v>321</v>
      </c>
      <c r="I224" s="84">
        <v>6107.2258951048943</v>
      </c>
      <c r="J224" s="36" t="s">
        <v>14</v>
      </c>
      <c r="K224" s="78" t="s">
        <v>14</v>
      </c>
      <c r="L224" s="36" t="s">
        <v>14</v>
      </c>
      <c r="M224" s="75" t="s">
        <v>225</v>
      </c>
      <c r="N224" s="36">
        <v>2025</v>
      </c>
    </row>
    <row r="225" spans="1:14">
      <c r="A225" s="36">
        <v>224</v>
      </c>
      <c r="B225" s="36" t="s">
        <v>58</v>
      </c>
      <c r="C225" s="36" t="s">
        <v>59</v>
      </c>
      <c r="D225" s="36" t="s">
        <v>60</v>
      </c>
      <c r="E225" s="36" t="s">
        <v>103</v>
      </c>
      <c r="F225" s="36"/>
      <c r="G225" s="36" t="s">
        <v>106</v>
      </c>
      <c r="H225" s="36" t="s">
        <v>107</v>
      </c>
      <c r="I225" s="84">
        <v>390.47513475894499</v>
      </c>
      <c r="J225" s="36">
        <v>63</v>
      </c>
      <c r="K225" s="78">
        <v>45930</v>
      </c>
      <c r="L225" s="36" t="s">
        <v>14</v>
      </c>
      <c r="M225" s="36" t="s">
        <v>225</v>
      </c>
      <c r="N225" s="36">
        <v>2025</v>
      </c>
    </row>
    <row r="226" spans="1:14">
      <c r="A226" s="36">
        <v>225</v>
      </c>
      <c r="B226" s="36" t="s">
        <v>58</v>
      </c>
      <c r="C226" s="36" t="s">
        <v>59</v>
      </c>
      <c r="D226" s="36" t="s">
        <v>19</v>
      </c>
      <c r="E226" s="36" t="s">
        <v>109</v>
      </c>
      <c r="F226" s="36"/>
      <c r="G226" s="36" t="s">
        <v>21</v>
      </c>
      <c r="H226" s="36" t="s">
        <v>109</v>
      </c>
      <c r="I226" s="84">
        <v>25000</v>
      </c>
      <c r="J226" s="36" t="s">
        <v>14</v>
      </c>
      <c r="K226" s="78" t="s">
        <v>14</v>
      </c>
      <c r="L226" s="36" t="s">
        <v>14</v>
      </c>
      <c r="M226" s="36" t="s">
        <v>225</v>
      </c>
      <c r="N226" s="36">
        <v>2025</v>
      </c>
    </row>
    <row r="227" spans="1:14">
      <c r="A227" s="36">
        <v>226</v>
      </c>
      <c r="B227" s="87" t="s">
        <v>58</v>
      </c>
      <c r="C227" s="87" t="s">
        <v>59</v>
      </c>
      <c r="D227" s="36" t="s">
        <v>60</v>
      </c>
      <c r="E227" s="87" t="s">
        <v>233</v>
      </c>
      <c r="F227" s="36"/>
      <c r="G227" s="87" t="s">
        <v>21</v>
      </c>
      <c r="H227" s="87" t="s">
        <v>233</v>
      </c>
      <c r="I227" s="80">
        <v>507717</v>
      </c>
      <c r="J227" s="36" t="s">
        <v>14</v>
      </c>
      <c r="K227" s="78" t="s">
        <v>14</v>
      </c>
      <c r="L227" s="36" t="s">
        <v>14</v>
      </c>
      <c r="M227" s="75" t="s">
        <v>225</v>
      </c>
      <c r="N227" s="36">
        <v>2025</v>
      </c>
    </row>
    <row r="228" spans="1:14">
      <c r="A228" s="36">
        <v>227</v>
      </c>
      <c r="B228" s="87" t="s">
        <v>58</v>
      </c>
      <c r="C228" s="87" t="s">
        <v>59</v>
      </c>
      <c r="D228" s="87" t="s">
        <v>19</v>
      </c>
      <c r="E228" s="87" t="s">
        <v>133</v>
      </c>
      <c r="F228" s="36"/>
      <c r="G228" s="87" t="s">
        <v>234</v>
      </c>
      <c r="H228" s="87" t="s">
        <v>133</v>
      </c>
      <c r="I228" s="80">
        <f>3925000/1430</f>
        <v>2744.7552447552448</v>
      </c>
      <c r="J228" s="36">
        <v>77</v>
      </c>
      <c r="K228" s="78">
        <v>45995</v>
      </c>
      <c r="L228" s="36" t="s">
        <v>14</v>
      </c>
      <c r="M228" s="75" t="s">
        <v>225</v>
      </c>
      <c r="N228" s="36">
        <v>2025</v>
      </c>
    </row>
    <row r="229" spans="1:14">
      <c r="A229" s="36">
        <v>228</v>
      </c>
      <c r="B229" s="87" t="s">
        <v>58</v>
      </c>
      <c r="C229" s="87" t="s">
        <v>59</v>
      </c>
      <c r="D229" s="87" t="s">
        <v>19</v>
      </c>
      <c r="E229" s="87" t="s">
        <v>133</v>
      </c>
      <c r="F229" s="36"/>
      <c r="G229" s="87" t="s">
        <v>234</v>
      </c>
      <c r="H229" s="87" t="s">
        <v>133</v>
      </c>
      <c r="I229" s="80">
        <v>3545</v>
      </c>
      <c r="J229" s="36">
        <v>77</v>
      </c>
      <c r="K229" s="78">
        <v>45995</v>
      </c>
      <c r="L229" s="36" t="s">
        <v>14</v>
      </c>
      <c r="M229" s="75" t="s">
        <v>225</v>
      </c>
      <c r="N229" s="36">
        <v>2025</v>
      </c>
    </row>
    <row r="230" spans="1:14">
      <c r="A230" s="36">
        <v>229</v>
      </c>
      <c r="B230" s="36" t="s">
        <v>58</v>
      </c>
      <c r="C230" s="36" t="s">
        <v>59</v>
      </c>
      <c r="D230" s="36" t="s">
        <v>60</v>
      </c>
      <c r="E230" s="36" t="s">
        <v>81</v>
      </c>
      <c r="F230" s="36"/>
      <c r="G230" s="36" t="s">
        <v>235</v>
      </c>
      <c r="H230" s="36" t="s">
        <v>619</v>
      </c>
      <c r="I230" s="84">
        <v>1266</v>
      </c>
      <c r="J230" s="36" t="s">
        <v>295</v>
      </c>
      <c r="K230" s="78">
        <v>45931</v>
      </c>
      <c r="L230" s="36" t="s">
        <v>14</v>
      </c>
      <c r="M230" s="36" t="s">
        <v>225</v>
      </c>
      <c r="N230" s="36">
        <v>2025</v>
      </c>
    </row>
    <row r="231" spans="1:14">
      <c r="A231" s="36">
        <v>230</v>
      </c>
      <c r="B231" s="36" t="s">
        <v>58</v>
      </c>
      <c r="C231" s="36" t="s">
        <v>59</v>
      </c>
      <c r="D231" s="36" t="s">
        <v>19</v>
      </c>
      <c r="E231" s="36" t="s">
        <v>110</v>
      </c>
      <c r="F231" s="36"/>
      <c r="G231" s="36" t="s">
        <v>88</v>
      </c>
      <c r="H231" s="36" t="s">
        <v>111</v>
      </c>
      <c r="I231" s="76">
        <v>868.53146853146848</v>
      </c>
      <c r="J231" s="36" t="s">
        <v>14</v>
      </c>
      <c r="K231" s="78" t="s">
        <v>14</v>
      </c>
      <c r="L231" s="36" t="s">
        <v>14</v>
      </c>
      <c r="M231" s="36" t="s">
        <v>225</v>
      </c>
      <c r="N231" s="36">
        <v>2025</v>
      </c>
    </row>
    <row r="232" spans="1:14">
      <c r="A232" s="36">
        <v>231</v>
      </c>
      <c r="B232" s="36" t="s">
        <v>96</v>
      </c>
      <c r="C232" s="36" t="s">
        <v>96</v>
      </c>
      <c r="D232" s="36" t="s">
        <v>60</v>
      </c>
      <c r="E232" s="36" t="s">
        <v>20</v>
      </c>
      <c r="F232" s="36"/>
      <c r="G232" s="36" t="s">
        <v>21</v>
      </c>
      <c r="H232" s="36" t="s">
        <v>314</v>
      </c>
      <c r="I232" s="76">
        <v>1705</v>
      </c>
      <c r="J232" s="36" t="s">
        <v>14</v>
      </c>
      <c r="K232" s="78" t="s">
        <v>14</v>
      </c>
      <c r="L232" s="36" t="s">
        <v>14</v>
      </c>
      <c r="M232" s="36" t="s">
        <v>225</v>
      </c>
      <c r="N232" s="36">
        <v>2025</v>
      </c>
    </row>
    <row r="233" spans="1:14">
      <c r="A233" s="36">
        <v>232</v>
      </c>
      <c r="B233" s="36" t="s">
        <v>259</v>
      </c>
      <c r="C233" s="36" t="s">
        <v>32</v>
      </c>
      <c r="D233" s="36" t="s">
        <v>60</v>
      </c>
      <c r="E233" s="36" t="s">
        <v>103</v>
      </c>
      <c r="F233" s="36"/>
      <c r="G233" s="36" t="s">
        <v>106</v>
      </c>
      <c r="H233" s="36" t="s">
        <v>107</v>
      </c>
      <c r="I233" s="84">
        <v>0.63882263309292686</v>
      </c>
      <c r="J233" s="36">
        <v>63</v>
      </c>
      <c r="K233" s="78">
        <v>45930</v>
      </c>
      <c r="L233" s="36" t="s">
        <v>14</v>
      </c>
      <c r="M233" s="36" t="s">
        <v>225</v>
      </c>
      <c r="N233" s="36">
        <v>2025</v>
      </c>
    </row>
    <row r="234" spans="1:14">
      <c r="A234" s="36">
        <v>233</v>
      </c>
      <c r="B234" s="36" t="s">
        <v>33</v>
      </c>
      <c r="C234" s="36" t="s">
        <v>34</v>
      </c>
      <c r="D234" s="36" t="s">
        <v>60</v>
      </c>
      <c r="E234" s="74" t="s">
        <v>20</v>
      </c>
      <c r="F234" s="36"/>
      <c r="G234" s="36" t="s">
        <v>21</v>
      </c>
      <c r="H234" s="36" t="s">
        <v>314</v>
      </c>
      <c r="I234" s="76">
        <v>61641</v>
      </c>
      <c r="J234" s="36" t="s">
        <v>14</v>
      </c>
      <c r="K234" s="78" t="s">
        <v>14</v>
      </c>
      <c r="L234" s="36" t="s">
        <v>14</v>
      </c>
      <c r="M234" s="36" t="s">
        <v>225</v>
      </c>
      <c r="N234" s="36">
        <v>2025</v>
      </c>
    </row>
    <row r="235" spans="1:14">
      <c r="A235" s="36">
        <v>234</v>
      </c>
      <c r="B235" s="36" t="s">
        <v>33</v>
      </c>
      <c r="C235" s="78" t="s">
        <v>34</v>
      </c>
      <c r="D235" s="36" t="s">
        <v>60</v>
      </c>
      <c r="E235" s="36" t="s">
        <v>63</v>
      </c>
      <c r="F235" s="36"/>
      <c r="G235" s="36" t="s">
        <v>64</v>
      </c>
      <c r="H235" s="79" t="s">
        <v>341</v>
      </c>
      <c r="I235" s="80">
        <v>349.65034965034965</v>
      </c>
      <c r="J235" s="36" t="s">
        <v>68</v>
      </c>
      <c r="K235" s="78">
        <v>45668</v>
      </c>
      <c r="L235" s="81" t="s">
        <v>14</v>
      </c>
      <c r="M235" s="75" t="s">
        <v>225</v>
      </c>
      <c r="N235" s="36">
        <v>2025</v>
      </c>
    </row>
    <row r="236" spans="1:14">
      <c r="A236" s="36">
        <v>235</v>
      </c>
      <c r="B236" s="36" t="s">
        <v>33</v>
      </c>
      <c r="C236" s="78" t="s">
        <v>34</v>
      </c>
      <c r="D236" s="36" t="s">
        <v>60</v>
      </c>
      <c r="E236" s="36" t="s">
        <v>63</v>
      </c>
      <c r="F236" s="36"/>
      <c r="G236" s="36" t="s">
        <v>64</v>
      </c>
      <c r="H236" s="79" t="s">
        <v>67</v>
      </c>
      <c r="I236" s="80">
        <v>524.47552447552448</v>
      </c>
      <c r="J236" s="78" t="s">
        <v>68</v>
      </c>
      <c r="K236" s="78">
        <v>45758</v>
      </c>
      <c r="L236" s="81" t="s">
        <v>14</v>
      </c>
      <c r="M236" s="75" t="s">
        <v>225</v>
      </c>
      <c r="N236" s="36">
        <v>2025</v>
      </c>
    </row>
    <row r="237" spans="1:14">
      <c r="A237" s="36">
        <v>236</v>
      </c>
      <c r="B237" s="36" t="s">
        <v>33</v>
      </c>
      <c r="C237" s="78" t="s">
        <v>34</v>
      </c>
      <c r="D237" s="36" t="s">
        <v>60</v>
      </c>
      <c r="E237" s="36" t="s">
        <v>63</v>
      </c>
      <c r="F237" s="36"/>
      <c r="G237" s="36" t="s">
        <v>64</v>
      </c>
      <c r="H237" s="79" t="s">
        <v>65</v>
      </c>
      <c r="I237" s="80">
        <v>524.47552447552448</v>
      </c>
      <c r="J237" s="36" t="s">
        <v>68</v>
      </c>
      <c r="K237" s="78" t="s">
        <v>323</v>
      </c>
      <c r="L237" s="81" t="s">
        <v>14</v>
      </c>
      <c r="M237" s="75" t="s">
        <v>225</v>
      </c>
      <c r="N237" s="36">
        <v>2025</v>
      </c>
    </row>
    <row r="238" spans="1:14">
      <c r="A238" s="36">
        <v>237</v>
      </c>
      <c r="B238" s="36" t="s">
        <v>33</v>
      </c>
      <c r="C238" s="78" t="s">
        <v>34</v>
      </c>
      <c r="D238" s="36" t="s">
        <v>60</v>
      </c>
      <c r="E238" s="36" t="s">
        <v>63</v>
      </c>
      <c r="F238" s="36"/>
      <c r="G238" s="36" t="s">
        <v>64</v>
      </c>
      <c r="H238" s="79" t="s">
        <v>65</v>
      </c>
      <c r="I238" s="80">
        <v>349.65034965034965</v>
      </c>
      <c r="J238" s="36" t="s">
        <v>68</v>
      </c>
      <c r="K238" s="78" t="s">
        <v>277</v>
      </c>
      <c r="L238" s="81" t="s">
        <v>14</v>
      </c>
      <c r="M238" s="75" t="s">
        <v>225</v>
      </c>
      <c r="N238" s="36">
        <v>2025</v>
      </c>
    </row>
    <row r="239" spans="1:14">
      <c r="A239" s="36">
        <v>238</v>
      </c>
      <c r="B239" s="36" t="s">
        <v>33</v>
      </c>
      <c r="C239" s="78" t="s">
        <v>34</v>
      </c>
      <c r="D239" s="36" t="s">
        <v>60</v>
      </c>
      <c r="E239" s="36" t="s">
        <v>72</v>
      </c>
      <c r="F239" s="36"/>
      <c r="G239" s="36" t="s">
        <v>64</v>
      </c>
      <c r="H239" s="82" t="s">
        <v>281</v>
      </c>
      <c r="I239" s="80">
        <v>1223.7762237762238</v>
      </c>
      <c r="J239" s="36" t="s">
        <v>68</v>
      </c>
      <c r="K239" s="78" t="s">
        <v>278</v>
      </c>
      <c r="L239" s="81" t="s">
        <v>14</v>
      </c>
      <c r="M239" s="75" t="s">
        <v>225</v>
      </c>
      <c r="N239" s="36">
        <v>2025</v>
      </c>
    </row>
    <row r="240" spans="1:14">
      <c r="A240" s="36">
        <v>239</v>
      </c>
      <c r="B240" s="36" t="s">
        <v>33</v>
      </c>
      <c r="C240" s="78" t="s">
        <v>34</v>
      </c>
      <c r="D240" s="36" t="s">
        <v>60</v>
      </c>
      <c r="E240" s="36" t="s">
        <v>72</v>
      </c>
      <c r="F240" s="36"/>
      <c r="G240" s="36" t="s">
        <v>64</v>
      </c>
      <c r="H240" s="79" t="s">
        <v>346</v>
      </c>
      <c r="I240" s="80">
        <v>238.8111888111888</v>
      </c>
      <c r="J240" s="36" t="s">
        <v>68</v>
      </c>
      <c r="K240" s="78">
        <v>45941</v>
      </c>
      <c r="L240" s="81" t="s">
        <v>14</v>
      </c>
      <c r="M240" s="75" t="s">
        <v>225</v>
      </c>
      <c r="N240" s="36">
        <v>2025</v>
      </c>
    </row>
    <row r="241" spans="1:14">
      <c r="A241" s="36">
        <v>240</v>
      </c>
      <c r="B241" s="36" t="s">
        <v>33</v>
      </c>
      <c r="C241" s="78" t="s">
        <v>34</v>
      </c>
      <c r="D241" s="36" t="s">
        <v>60</v>
      </c>
      <c r="E241" s="36" t="s">
        <v>72</v>
      </c>
      <c r="F241" s="36"/>
      <c r="G241" s="36" t="s">
        <v>64</v>
      </c>
      <c r="H241" s="79" t="s">
        <v>281</v>
      </c>
      <c r="I241" s="80">
        <v>209.79020979020979</v>
      </c>
      <c r="J241" s="36" t="s">
        <v>68</v>
      </c>
      <c r="K241" s="78" t="s">
        <v>325</v>
      </c>
      <c r="L241" s="81" t="s">
        <v>14</v>
      </c>
      <c r="M241" s="75" t="s">
        <v>225</v>
      </c>
      <c r="N241" s="36">
        <v>2025</v>
      </c>
    </row>
    <row r="242" spans="1:14">
      <c r="A242" s="36">
        <v>241</v>
      </c>
      <c r="B242" s="36" t="s">
        <v>33</v>
      </c>
      <c r="C242" s="78" t="s">
        <v>34</v>
      </c>
      <c r="D242" s="36" t="s">
        <v>60</v>
      </c>
      <c r="E242" s="36" t="s">
        <v>103</v>
      </c>
      <c r="F242" s="36"/>
      <c r="G242" s="36" t="s">
        <v>64</v>
      </c>
      <c r="H242" s="79" t="s">
        <v>345</v>
      </c>
      <c r="I242" s="80">
        <v>333.56643356643355</v>
      </c>
      <c r="J242" s="36" t="s">
        <v>68</v>
      </c>
      <c r="K242" s="78" t="s">
        <v>325</v>
      </c>
      <c r="L242" s="81" t="s">
        <v>14</v>
      </c>
      <c r="M242" s="75" t="s">
        <v>225</v>
      </c>
      <c r="N242" s="36">
        <v>2025</v>
      </c>
    </row>
    <row r="243" spans="1:14">
      <c r="A243" s="36">
        <v>242</v>
      </c>
      <c r="B243" s="77" t="s">
        <v>33</v>
      </c>
      <c r="C243" s="78" t="s">
        <v>34</v>
      </c>
      <c r="D243" s="36" t="s">
        <v>60</v>
      </c>
      <c r="E243" s="36" t="s">
        <v>63</v>
      </c>
      <c r="F243" s="36"/>
      <c r="G243" s="36" t="s">
        <v>21</v>
      </c>
      <c r="H243" s="36" t="s">
        <v>63</v>
      </c>
      <c r="I243" s="84">
        <v>3496.5034965034965</v>
      </c>
      <c r="J243" s="78" t="s">
        <v>14</v>
      </c>
      <c r="K243" s="78" t="s">
        <v>14</v>
      </c>
      <c r="L243" s="81" t="s">
        <v>14</v>
      </c>
      <c r="M243" s="75" t="s">
        <v>225</v>
      </c>
      <c r="N243" s="36">
        <v>2025</v>
      </c>
    </row>
    <row r="244" spans="1:14">
      <c r="A244" s="36">
        <v>243</v>
      </c>
      <c r="B244" s="75" t="s">
        <v>33</v>
      </c>
      <c r="C244" s="36" t="s">
        <v>34</v>
      </c>
      <c r="D244" s="36" t="s">
        <v>19</v>
      </c>
      <c r="E244" s="36" t="s">
        <v>87</v>
      </c>
      <c r="F244" s="36"/>
      <c r="G244" s="75" t="s">
        <v>91</v>
      </c>
      <c r="H244" s="75" t="s">
        <v>299</v>
      </c>
      <c r="I244" s="84">
        <v>3716.7832727272726</v>
      </c>
      <c r="J244" s="36" t="s">
        <v>14</v>
      </c>
      <c r="K244" s="78" t="s">
        <v>14</v>
      </c>
      <c r="L244" s="36" t="s">
        <v>14</v>
      </c>
      <c r="M244" s="75" t="s">
        <v>225</v>
      </c>
      <c r="N244" s="36">
        <v>2025</v>
      </c>
    </row>
    <row r="245" spans="1:14">
      <c r="A245" s="36">
        <v>244</v>
      </c>
      <c r="B245" s="75" t="s">
        <v>33</v>
      </c>
      <c r="C245" s="36" t="s">
        <v>34</v>
      </c>
      <c r="D245" s="36" t="s">
        <v>19</v>
      </c>
      <c r="E245" s="36" t="s">
        <v>87</v>
      </c>
      <c r="F245" s="36"/>
      <c r="G245" s="75" t="s">
        <v>90</v>
      </c>
      <c r="H245" s="75" t="s">
        <v>299</v>
      </c>
      <c r="I245" s="84">
        <v>212.0763846153846</v>
      </c>
      <c r="J245" s="36" t="s">
        <v>14</v>
      </c>
      <c r="K245" s="78" t="s">
        <v>14</v>
      </c>
      <c r="L245" s="36" t="s">
        <v>14</v>
      </c>
      <c r="M245" s="75" t="s">
        <v>225</v>
      </c>
      <c r="N245" s="36">
        <v>2025</v>
      </c>
    </row>
    <row r="246" spans="1:14">
      <c r="A246" s="36">
        <v>245</v>
      </c>
      <c r="B246" s="75" t="s">
        <v>33</v>
      </c>
      <c r="C246" s="36" t="s">
        <v>34</v>
      </c>
      <c r="D246" s="36" t="s">
        <v>19</v>
      </c>
      <c r="E246" s="36" t="s">
        <v>87</v>
      </c>
      <c r="F246" s="36"/>
      <c r="G246" s="75" t="s">
        <v>88</v>
      </c>
      <c r="H246" s="75" t="s">
        <v>299</v>
      </c>
      <c r="I246" s="84">
        <v>22134.696041958043</v>
      </c>
      <c r="J246" s="36" t="s">
        <v>14</v>
      </c>
      <c r="K246" s="78" t="s">
        <v>14</v>
      </c>
      <c r="L246" s="36" t="s">
        <v>14</v>
      </c>
      <c r="M246" s="75" t="s">
        <v>225</v>
      </c>
      <c r="N246" s="36">
        <v>2025</v>
      </c>
    </row>
    <row r="247" spans="1:14">
      <c r="A247" s="36">
        <v>246</v>
      </c>
      <c r="B247" s="75" t="s">
        <v>33</v>
      </c>
      <c r="C247" s="36" t="s">
        <v>34</v>
      </c>
      <c r="D247" s="36" t="s">
        <v>19</v>
      </c>
      <c r="E247" s="36" t="s">
        <v>87</v>
      </c>
      <c r="F247" s="36"/>
      <c r="G247" s="75" t="s">
        <v>90</v>
      </c>
      <c r="H247" s="75" t="s">
        <v>321</v>
      </c>
      <c r="I247" s="84">
        <v>8504.5723636363637</v>
      </c>
      <c r="J247" s="36" t="s">
        <v>14</v>
      </c>
      <c r="K247" s="78" t="s">
        <v>14</v>
      </c>
      <c r="L247" s="36" t="s">
        <v>14</v>
      </c>
      <c r="M247" s="75" t="s">
        <v>225</v>
      </c>
      <c r="N247" s="36">
        <v>2025</v>
      </c>
    </row>
    <row r="248" spans="1:14">
      <c r="A248" s="36">
        <v>247</v>
      </c>
      <c r="B248" s="75" t="s">
        <v>33</v>
      </c>
      <c r="C248" s="36" t="s">
        <v>34</v>
      </c>
      <c r="D248" s="36" t="s">
        <v>19</v>
      </c>
      <c r="E248" s="36" t="s">
        <v>87</v>
      </c>
      <c r="F248" s="36"/>
      <c r="G248" s="75" t="s">
        <v>88</v>
      </c>
      <c r="H248" s="75" t="s">
        <v>321</v>
      </c>
      <c r="I248" s="84">
        <v>29513.439657342657</v>
      </c>
      <c r="J248" s="36" t="s">
        <v>14</v>
      </c>
      <c r="K248" s="78" t="s">
        <v>14</v>
      </c>
      <c r="L248" s="36" t="s">
        <v>14</v>
      </c>
      <c r="M248" s="75" t="s">
        <v>225</v>
      </c>
      <c r="N248" s="36">
        <v>2025</v>
      </c>
    </row>
    <row r="249" spans="1:14">
      <c r="A249" s="36">
        <v>248</v>
      </c>
      <c r="B249" s="36" t="s">
        <v>33</v>
      </c>
      <c r="C249" s="36" t="s">
        <v>34</v>
      </c>
      <c r="D249" s="36" t="s">
        <v>60</v>
      </c>
      <c r="E249" s="36" t="s">
        <v>97</v>
      </c>
      <c r="F249" s="36"/>
      <c r="G249" s="36" t="s">
        <v>98</v>
      </c>
      <c r="H249" s="36" t="s">
        <v>99</v>
      </c>
      <c r="I249" s="84">
        <v>1800</v>
      </c>
      <c r="J249" s="36" t="s">
        <v>308</v>
      </c>
      <c r="K249" s="78">
        <v>45991</v>
      </c>
      <c r="L249" s="36" t="s">
        <v>14</v>
      </c>
      <c r="M249" s="36" t="s">
        <v>225</v>
      </c>
      <c r="N249" s="36"/>
    </row>
    <row r="250" spans="1:14">
      <c r="A250" s="36">
        <v>249</v>
      </c>
      <c r="B250" s="36" t="s">
        <v>33</v>
      </c>
      <c r="C250" s="36" t="s">
        <v>34</v>
      </c>
      <c r="D250" s="36" t="s">
        <v>60</v>
      </c>
      <c r="E250" s="36" t="s">
        <v>103</v>
      </c>
      <c r="F250" s="36"/>
      <c r="G250" s="36" t="s">
        <v>106</v>
      </c>
      <c r="H250" s="36" t="s">
        <v>107</v>
      </c>
      <c r="I250" s="84">
        <v>2406.1001917659919</v>
      </c>
      <c r="J250" s="36">
        <v>63</v>
      </c>
      <c r="K250" s="78">
        <v>45930</v>
      </c>
      <c r="L250" s="36" t="s">
        <v>14</v>
      </c>
      <c r="M250" s="36" t="s">
        <v>225</v>
      </c>
      <c r="N250" s="36">
        <v>2025</v>
      </c>
    </row>
    <row r="251" spans="1:14">
      <c r="A251" s="36">
        <v>250</v>
      </c>
      <c r="B251" s="87" t="s">
        <v>33</v>
      </c>
      <c r="C251" s="87" t="s">
        <v>34</v>
      </c>
      <c r="D251" s="87" t="s">
        <v>19</v>
      </c>
      <c r="E251" s="87" t="s">
        <v>133</v>
      </c>
      <c r="F251" s="36"/>
      <c r="G251" s="87" t="s">
        <v>234</v>
      </c>
      <c r="H251" s="87" t="s">
        <v>133</v>
      </c>
      <c r="I251" s="80">
        <v>800</v>
      </c>
      <c r="J251" s="36">
        <v>78</v>
      </c>
      <c r="K251" s="78">
        <v>45995</v>
      </c>
      <c r="L251" s="36" t="s">
        <v>14</v>
      </c>
      <c r="M251" s="75" t="s">
        <v>225</v>
      </c>
      <c r="N251" s="36">
        <v>2025</v>
      </c>
    </row>
    <row r="252" spans="1:14">
      <c r="A252" s="36">
        <v>251</v>
      </c>
      <c r="B252" s="36" t="s">
        <v>33</v>
      </c>
      <c r="C252" s="36" t="s">
        <v>34</v>
      </c>
      <c r="D252" s="36" t="s">
        <v>60</v>
      </c>
      <c r="E252" s="88" t="s">
        <v>72</v>
      </c>
      <c r="F252" s="36"/>
      <c r="G252" s="36" t="s">
        <v>119</v>
      </c>
      <c r="H252" s="36" t="s">
        <v>120</v>
      </c>
      <c r="I252" s="84">
        <v>8146.8531468531464</v>
      </c>
      <c r="J252" s="36" t="s">
        <v>604</v>
      </c>
      <c r="K252" s="78">
        <v>45958</v>
      </c>
      <c r="L252" s="36">
        <v>2025403896</v>
      </c>
      <c r="M252" s="77" t="s">
        <v>225</v>
      </c>
      <c r="N252" s="36">
        <v>2025</v>
      </c>
    </row>
    <row r="253" spans="1:14">
      <c r="A253" s="36">
        <v>252</v>
      </c>
      <c r="B253" s="36" t="s">
        <v>33</v>
      </c>
      <c r="C253" s="36" t="s">
        <v>34</v>
      </c>
      <c r="D253" s="36" t="s">
        <v>60</v>
      </c>
      <c r="E253" s="88" t="s">
        <v>72</v>
      </c>
      <c r="F253" s="36"/>
      <c r="G253" s="36" t="s">
        <v>128</v>
      </c>
      <c r="H253" s="36" t="s">
        <v>121</v>
      </c>
      <c r="I253" s="84">
        <v>1472.4</v>
      </c>
      <c r="J253" s="36" t="s">
        <v>469</v>
      </c>
      <c r="K253" s="78">
        <v>45976</v>
      </c>
      <c r="L253" s="36">
        <v>2025404150</v>
      </c>
      <c r="M253" s="77" t="s">
        <v>225</v>
      </c>
      <c r="N253" s="36">
        <v>2025</v>
      </c>
    </row>
    <row r="254" spans="1:14">
      <c r="A254" s="36">
        <v>253</v>
      </c>
      <c r="B254" s="36" t="s">
        <v>33</v>
      </c>
      <c r="C254" s="36" t="s">
        <v>34</v>
      </c>
      <c r="D254" s="36" t="s">
        <v>60</v>
      </c>
      <c r="E254" s="88" t="s">
        <v>72</v>
      </c>
      <c r="F254" s="36"/>
      <c r="G254" s="36" t="s">
        <v>128</v>
      </c>
      <c r="H254" s="36" t="s">
        <v>121</v>
      </c>
      <c r="I254" s="84">
        <v>107.9</v>
      </c>
      <c r="J254" s="36" t="s">
        <v>473</v>
      </c>
      <c r="K254" s="78">
        <v>45976</v>
      </c>
      <c r="L254" s="36">
        <v>2025404079</v>
      </c>
      <c r="M254" s="77" t="s">
        <v>225</v>
      </c>
      <c r="N254" s="36">
        <v>2025</v>
      </c>
    </row>
    <row r="255" spans="1:14">
      <c r="A255" s="36">
        <v>254</v>
      </c>
      <c r="B255" s="36" t="s">
        <v>33</v>
      </c>
      <c r="C255" s="36" t="s">
        <v>34</v>
      </c>
      <c r="D255" s="36" t="s">
        <v>19</v>
      </c>
      <c r="E255" s="36" t="s">
        <v>110</v>
      </c>
      <c r="F255" s="36"/>
      <c r="G255" s="36" t="s">
        <v>88</v>
      </c>
      <c r="H255" s="36" t="s">
        <v>111</v>
      </c>
      <c r="I255" s="84">
        <v>1019.5804195804196</v>
      </c>
      <c r="J255" s="36" t="s">
        <v>14</v>
      </c>
      <c r="K255" s="78" t="s">
        <v>14</v>
      </c>
      <c r="L255" s="36" t="s">
        <v>14</v>
      </c>
      <c r="M255" s="36" t="s">
        <v>225</v>
      </c>
      <c r="N255" s="36">
        <v>2025</v>
      </c>
    </row>
    <row r="256" spans="1:14">
      <c r="A256" s="36">
        <v>255</v>
      </c>
      <c r="B256" s="36" t="s">
        <v>33</v>
      </c>
      <c r="C256" s="36" t="s">
        <v>34</v>
      </c>
      <c r="D256" s="36" t="s">
        <v>19</v>
      </c>
      <c r="E256" s="36" t="s">
        <v>110</v>
      </c>
      <c r="F256" s="36"/>
      <c r="G256" s="36" t="s">
        <v>88</v>
      </c>
      <c r="H256" s="36" t="s">
        <v>111</v>
      </c>
      <c r="I256" s="84">
        <v>2039.1608391608393</v>
      </c>
      <c r="J256" s="36" t="s">
        <v>14</v>
      </c>
      <c r="K256" s="78" t="s">
        <v>14</v>
      </c>
      <c r="L256" s="36" t="s">
        <v>14</v>
      </c>
      <c r="M256" s="36" t="s">
        <v>225</v>
      </c>
      <c r="N256" s="36">
        <v>2025</v>
      </c>
    </row>
    <row r="257" spans="1:14">
      <c r="A257" s="36">
        <v>256</v>
      </c>
      <c r="B257" s="36" t="s">
        <v>33</v>
      </c>
      <c r="C257" s="36" t="s">
        <v>34</v>
      </c>
      <c r="D257" s="36" t="s">
        <v>19</v>
      </c>
      <c r="E257" s="36" t="s">
        <v>110</v>
      </c>
      <c r="F257" s="36"/>
      <c r="G257" s="36" t="s">
        <v>117</v>
      </c>
      <c r="H257" s="36" t="s">
        <v>110</v>
      </c>
      <c r="I257" s="84">
        <v>4363.0546230199607</v>
      </c>
      <c r="J257" s="36" t="s">
        <v>14</v>
      </c>
      <c r="K257" s="78" t="s">
        <v>14</v>
      </c>
      <c r="L257" s="36" t="s">
        <v>14</v>
      </c>
      <c r="M257" s="36" t="s">
        <v>225</v>
      </c>
      <c r="N257" s="36">
        <v>2025</v>
      </c>
    </row>
    <row r="258" spans="1:14">
      <c r="A258" s="36">
        <v>257</v>
      </c>
      <c r="B258" s="74" t="s">
        <v>35</v>
      </c>
      <c r="C258" s="36" t="s">
        <v>36</v>
      </c>
      <c r="D258" s="36" t="s">
        <v>60</v>
      </c>
      <c r="E258" s="36" t="s">
        <v>20</v>
      </c>
      <c r="F258" s="36"/>
      <c r="G258" s="36" t="s">
        <v>21</v>
      </c>
      <c r="H258" s="36" t="s">
        <v>314</v>
      </c>
      <c r="I258" s="76">
        <v>30733</v>
      </c>
      <c r="J258" s="36" t="s">
        <v>14</v>
      </c>
      <c r="K258" s="78" t="s">
        <v>14</v>
      </c>
      <c r="L258" s="36" t="s">
        <v>14</v>
      </c>
      <c r="M258" s="36" t="s">
        <v>225</v>
      </c>
      <c r="N258" s="36">
        <v>2025</v>
      </c>
    </row>
    <row r="259" spans="1:14">
      <c r="A259" s="36">
        <v>258</v>
      </c>
      <c r="B259" s="36" t="s">
        <v>35</v>
      </c>
      <c r="C259" s="36" t="s">
        <v>37</v>
      </c>
      <c r="D259" s="36" t="s">
        <v>60</v>
      </c>
      <c r="E259" s="36" t="s">
        <v>20</v>
      </c>
      <c r="F259" s="36"/>
      <c r="G259" s="36" t="s">
        <v>21</v>
      </c>
      <c r="H259" s="36" t="s">
        <v>314</v>
      </c>
      <c r="I259" s="76">
        <v>143690</v>
      </c>
      <c r="J259" s="36" t="s">
        <v>14</v>
      </c>
      <c r="K259" s="78" t="s">
        <v>14</v>
      </c>
      <c r="L259" s="36" t="s">
        <v>14</v>
      </c>
      <c r="M259" s="36" t="s">
        <v>225</v>
      </c>
      <c r="N259" s="36">
        <v>2025</v>
      </c>
    </row>
    <row r="260" spans="1:14">
      <c r="A260" s="36">
        <v>259</v>
      </c>
      <c r="B260" s="36" t="s">
        <v>35</v>
      </c>
      <c r="C260" s="36" t="s">
        <v>41</v>
      </c>
      <c r="D260" s="36" t="s">
        <v>60</v>
      </c>
      <c r="E260" s="36" t="s">
        <v>20</v>
      </c>
      <c r="F260" s="36"/>
      <c r="G260" s="36" t="s">
        <v>21</v>
      </c>
      <c r="H260" s="36" t="s">
        <v>314</v>
      </c>
      <c r="I260" s="76">
        <v>20381</v>
      </c>
      <c r="J260" s="36" t="s">
        <v>14</v>
      </c>
      <c r="K260" s="78" t="s">
        <v>14</v>
      </c>
      <c r="L260" s="36" t="s">
        <v>14</v>
      </c>
      <c r="M260" s="36" t="s">
        <v>225</v>
      </c>
      <c r="N260" s="36">
        <v>2025</v>
      </c>
    </row>
    <row r="261" spans="1:14">
      <c r="A261" s="36">
        <v>260</v>
      </c>
      <c r="B261" s="36" t="s">
        <v>35</v>
      </c>
      <c r="C261" s="78" t="s">
        <v>36</v>
      </c>
      <c r="D261" s="36" t="s">
        <v>60</v>
      </c>
      <c r="E261" s="36" t="s">
        <v>72</v>
      </c>
      <c r="F261" s="36"/>
      <c r="G261" s="36" t="s">
        <v>64</v>
      </c>
      <c r="H261" s="79" t="s">
        <v>283</v>
      </c>
      <c r="I261" s="80">
        <v>2093.0069930069931</v>
      </c>
      <c r="J261" s="36" t="s">
        <v>68</v>
      </c>
      <c r="K261" s="78" t="s">
        <v>330</v>
      </c>
      <c r="L261" s="81" t="s">
        <v>14</v>
      </c>
      <c r="M261" s="75" t="s">
        <v>225</v>
      </c>
      <c r="N261" s="36">
        <v>2025</v>
      </c>
    </row>
    <row r="262" spans="1:14">
      <c r="A262" s="36">
        <v>261</v>
      </c>
      <c r="B262" s="36" t="s">
        <v>35</v>
      </c>
      <c r="C262" s="78" t="s">
        <v>36</v>
      </c>
      <c r="D262" s="36" t="s">
        <v>60</v>
      </c>
      <c r="E262" s="36" t="s">
        <v>103</v>
      </c>
      <c r="F262" s="36"/>
      <c r="G262" s="36" t="s">
        <v>64</v>
      </c>
      <c r="H262" s="79" t="s">
        <v>345</v>
      </c>
      <c r="I262" s="80">
        <v>37.06293706293706</v>
      </c>
      <c r="J262" s="36" t="s">
        <v>68</v>
      </c>
      <c r="K262" s="78" t="s">
        <v>325</v>
      </c>
      <c r="L262" s="81" t="s">
        <v>14</v>
      </c>
      <c r="M262" s="75" t="s">
        <v>225</v>
      </c>
      <c r="N262" s="36">
        <v>2025</v>
      </c>
    </row>
    <row r="263" spans="1:14">
      <c r="A263" s="36">
        <v>262</v>
      </c>
      <c r="B263" s="75" t="s">
        <v>35</v>
      </c>
      <c r="C263" s="36" t="s">
        <v>36</v>
      </c>
      <c r="D263" s="36" t="s">
        <v>19</v>
      </c>
      <c r="E263" s="36" t="s">
        <v>87</v>
      </c>
      <c r="F263" s="36"/>
      <c r="G263" s="75" t="s">
        <v>91</v>
      </c>
      <c r="H263" s="75" t="s">
        <v>299</v>
      </c>
      <c r="I263" s="84">
        <v>516.40667132867134</v>
      </c>
      <c r="J263" s="36" t="s">
        <v>14</v>
      </c>
      <c r="K263" s="78" t="s">
        <v>14</v>
      </c>
      <c r="L263" s="36" t="s">
        <v>14</v>
      </c>
      <c r="M263" s="75" t="s">
        <v>225</v>
      </c>
      <c r="N263" s="36">
        <v>2025</v>
      </c>
    </row>
    <row r="264" spans="1:14">
      <c r="A264" s="36">
        <v>263</v>
      </c>
      <c r="B264" s="75" t="s">
        <v>35</v>
      </c>
      <c r="C264" s="36" t="s">
        <v>37</v>
      </c>
      <c r="D264" s="36" t="s">
        <v>19</v>
      </c>
      <c r="E264" s="36" t="s">
        <v>87</v>
      </c>
      <c r="F264" s="36"/>
      <c r="G264" s="75" t="s">
        <v>91</v>
      </c>
      <c r="H264" s="75" t="s">
        <v>299</v>
      </c>
      <c r="I264" s="84">
        <v>201.72135664335664</v>
      </c>
      <c r="J264" s="36" t="s">
        <v>14</v>
      </c>
      <c r="K264" s="78" t="s">
        <v>14</v>
      </c>
      <c r="L264" s="36" t="s">
        <v>14</v>
      </c>
      <c r="M264" s="75" t="s">
        <v>225</v>
      </c>
      <c r="N264" s="36">
        <v>2025</v>
      </c>
    </row>
    <row r="265" spans="1:14">
      <c r="A265" s="36">
        <v>264</v>
      </c>
      <c r="B265" s="75" t="s">
        <v>35</v>
      </c>
      <c r="C265" s="36" t="s">
        <v>36</v>
      </c>
      <c r="D265" s="36" t="s">
        <v>19</v>
      </c>
      <c r="E265" s="36" t="s">
        <v>87</v>
      </c>
      <c r="F265" s="36"/>
      <c r="G265" s="75" t="s">
        <v>90</v>
      </c>
      <c r="H265" s="75" t="s">
        <v>299</v>
      </c>
      <c r="I265" s="84">
        <v>1642.9531958041957</v>
      </c>
      <c r="J265" s="36" t="s">
        <v>14</v>
      </c>
      <c r="K265" s="78" t="s">
        <v>14</v>
      </c>
      <c r="L265" s="36" t="s">
        <v>14</v>
      </c>
      <c r="M265" s="75" t="s">
        <v>225</v>
      </c>
      <c r="N265" s="36">
        <v>2025</v>
      </c>
    </row>
    <row r="266" spans="1:14">
      <c r="A266" s="36">
        <v>265</v>
      </c>
      <c r="B266" s="75" t="s">
        <v>35</v>
      </c>
      <c r="C266" s="36" t="s">
        <v>37</v>
      </c>
      <c r="D266" s="36" t="s">
        <v>19</v>
      </c>
      <c r="E266" s="36" t="s">
        <v>87</v>
      </c>
      <c r="F266" s="36"/>
      <c r="G266" s="75" t="s">
        <v>90</v>
      </c>
      <c r="H266" s="75" t="s">
        <v>299</v>
      </c>
      <c r="I266" s="84">
        <v>6013.9859790209794</v>
      </c>
      <c r="J266" s="36" t="s">
        <v>14</v>
      </c>
      <c r="K266" s="78" t="s">
        <v>14</v>
      </c>
      <c r="L266" s="36" t="s">
        <v>14</v>
      </c>
      <c r="M266" s="75" t="s">
        <v>225</v>
      </c>
      <c r="N266" s="36">
        <v>2025</v>
      </c>
    </row>
    <row r="267" spans="1:14">
      <c r="A267" s="36">
        <v>266</v>
      </c>
      <c r="B267" s="75" t="s">
        <v>35</v>
      </c>
      <c r="C267" s="36" t="s">
        <v>36</v>
      </c>
      <c r="D267" s="36" t="s">
        <v>19</v>
      </c>
      <c r="E267" s="36" t="s">
        <v>87</v>
      </c>
      <c r="F267" s="36"/>
      <c r="G267" s="75" t="s">
        <v>88</v>
      </c>
      <c r="H267" s="75" t="s">
        <v>299</v>
      </c>
      <c r="I267" s="84">
        <v>4209.2522307692307</v>
      </c>
      <c r="J267" s="36" t="s">
        <v>14</v>
      </c>
      <c r="K267" s="78" t="s">
        <v>14</v>
      </c>
      <c r="L267" s="36" t="s">
        <v>14</v>
      </c>
      <c r="M267" s="75" t="s">
        <v>225</v>
      </c>
      <c r="N267" s="36">
        <v>2025</v>
      </c>
    </row>
    <row r="268" spans="1:14">
      <c r="A268" s="36">
        <v>267</v>
      </c>
      <c r="B268" s="75" t="s">
        <v>35</v>
      </c>
      <c r="C268" s="36" t="s">
        <v>37</v>
      </c>
      <c r="D268" s="36" t="s">
        <v>19</v>
      </c>
      <c r="E268" s="36" t="s">
        <v>87</v>
      </c>
      <c r="F268" s="36"/>
      <c r="G268" s="75" t="s">
        <v>88</v>
      </c>
      <c r="H268" s="75" t="s">
        <v>299</v>
      </c>
      <c r="I268" s="84">
        <v>25318.558209790212</v>
      </c>
      <c r="J268" s="36" t="s">
        <v>14</v>
      </c>
      <c r="K268" s="78" t="s">
        <v>14</v>
      </c>
      <c r="L268" s="36" t="s">
        <v>14</v>
      </c>
      <c r="M268" s="75" t="s">
        <v>225</v>
      </c>
      <c r="N268" s="36">
        <v>2025</v>
      </c>
    </row>
    <row r="269" spans="1:14">
      <c r="A269" s="36">
        <v>268</v>
      </c>
      <c r="B269" s="75" t="s">
        <v>35</v>
      </c>
      <c r="C269" s="36" t="s">
        <v>40</v>
      </c>
      <c r="D269" s="36" t="s">
        <v>19</v>
      </c>
      <c r="E269" s="36" t="s">
        <v>87</v>
      </c>
      <c r="F269" s="36"/>
      <c r="G269" s="75" t="s">
        <v>88</v>
      </c>
      <c r="H269" s="75" t="s">
        <v>299</v>
      </c>
      <c r="I269" s="84">
        <v>282.4098951048951</v>
      </c>
      <c r="J269" s="36" t="s">
        <v>14</v>
      </c>
      <c r="K269" s="78" t="s">
        <v>14</v>
      </c>
      <c r="L269" s="36" t="s">
        <v>14</v>
      </c>
      <c r="M269" s="75" t="s">
        <v>225</v>
      </c>
      <c r="N269" s="36">
        <v>2025</v>
      </c>
    </row>
    <row r="270" spans="1:14">
      <c r="A270" s="36">
        <v>269</v>
      </c>
      <c r="B270" s="75" t="s">
        <v>35</v>
      </c>
      <c r="C270" s="36" t="s">
        <v>41</v>
      </c>
      <c r="D270" s="36" t="s">
        <v>19</v>
      </c>
      <c r="E270" s="36" t="s">
        <v>87</v>
      </c>
      <c r="F270" s="36"/>
      <c r="G270" s="75" t="s">
        <v>88</v>
      </c>
      <c r="H270" s="75" t="s">
        <v>299</v>
      </c>
      <c r="I270" s="84">
        <v>2487.8966713286713</v>
      </c>
      <c r="J270" s="36" t="s">
        <v>14</v>
      </c>
      <c r="K270" s="78" t="s">
        <v>14</v>
      </c>
      <c r="L270" s="36" t="s">
        <v>14</v>
      </c>
      <c r="M270" s="75" t="s">
        <v>225</v>
      </c>
      <c r="N270" s="36">
        <v>2025</v>
      </c>
    </row>
    <row r="271" spans="1:14">
      <c r="A271" s="36">
        <v>270</v>
      </c>
      <c r="B271" s="75" t="s">
        <v>35</v>
      </c>
      <c r="C271" s="36" t="s">
        <v>36</v>
      </c>
      <c r="D271" s="36" t="s">
        <v>19</v>
      </c>
      <c r="E271" s="36" t="s">
        <v>87</v>
      </c>
      <c r="F271" s="36"/>
      <c r="G271" s="75" t="s">
        <v>90</v>
      </c>
      <c r="H271" s="75" t="s">
        <v>321</v>
      </c>
      <c r="I271" s="84">
        <v>5396.2703916083919</v>
      </c>
      <c r="J271" s="36" t="s">
        <v>14</v>
      </c>
      <c r="K271" s="78" t="s">
        <v>14</v>
      </c>
      <c r="L271" s="36" t="s">
        <v>14</v>
      </c>
      <c r="M271" s="75" t="s">
        <v>225</v>
      </c>
      <c r="N271" s="36">
        <v>2025</v>
      </c>
    </row>
    <row r="272" spans="1:14">
      <c r="A272" s="36">
        <v>271</v>
      </c>
      <c r="B272" s="75" t="s">
        <v>35</v>
      </c>
      <c r="C272" s="36" t="s">
        <v>37</v>
      </c>
      <c r="D272" s="36" t="s">
        <v>19</v>
      </c>
      <c r="E272" s="36" t="s">
        <v>87</v>
      </c>
      <c r="F272" s="36"/>
      <c r="G272" s="75" t="s">
        <v>90</v>
      </c>
      <c r="H272" s="75" t="s">
        <v>321</v>
      </c>
      <c r="I272" s="84">
        <v>6993.0069930069931</v>
      </c>
      <c r="J272" s="36" t="s">
        <v>14</v>
      </c>
      <c r="K272" s="78" t="s">
        <v>14</v>
      </c>
      <c r="L272" s="36" t="s">
        <v>14</v>
      </c>
      <c r="M272" s="75" t="s">
        <v>225</v>
      </c>
      <c r="N272" s="36">
        <v>2025</v>
      </c>
    </row>
    <row r="273" spans="1:14">
      <c r="A273" s="36">
        <v>272</v>
      </c>
      <c r="B273" s="75" t="s">
        <v>35</v>
      </c>
      <c r="C273" s="36" t="s">
        <v>41</v>
      </c>
      <c r="D273" s="36" t="s">
        <v>19</v>
      </c>
      <c r="E273" s="36" t="s">
        <v>87</v>
      </c>
      <c r="F273" s="36"/>
      <c r="G273" s="75" t="s">
        <v>90</v>
      </c>
      <c r="H273" s="75" t="s">
        <v>321</v>
      </c>
      <c r="I273" s="84">
        <v>139.86013986013987</v>
      </c>
      <c r="J273" s="36" t="s">
        <v>14</v>
      </c>
      <c r="K273" s="78" t="s">
        <v>14</v>
      </c>
      <c r="L273" s="36" t="s">
        <v>14</v>
      </c>
      <c r="M273" s="75" t="s">
        <v>225</v>
      </c>
      <c r="N273" s="36">
        <v>2025</v>
      </c>
    </row>
    <row r="274" spans="1:14">
      <c r="A274" s="36">
        <v>273</v>
      </c>
      <c r="B274" s="75" t="s">
        <v>35</v>
      </c>
      <c r="C274" s="36" t="s">
        <v>36</v>
      </c>
      <c r="D274" s="36" t="s">
        <v>19</v>
      </c>
      <c r="E274" s="36" t="s">
        <v>87</v>
      </c>
      <c r="F274" s="36"/>
      <c r="G274" s="75" t="s">
        <v>88</v>
      </c>
      <c r="H274" s="75" t="s">
        <v>321</v>
      </c>
      <c r="I274" s="84">
        <v>3030.3029370629374</v>
      </c>
      <c r="J274" s="36" t="s">
        <v>14</v>
      </c>
      <c r="K274" s="78" t="s">
        <v>14</v>
      </c>
      <c r="L274" s="36" t="s">
        <v>14</v>
      </c>
      <c r="M274" s="75" t="s">
        <v>225</v>
      </c>
      <c r="N274" s="36">
        <v>2025</v>
      </c>
    </row>
    <row r="275" spans="1:14">
      <c r="A275" s="36">
        <v>274</v>
      </c>
      <c r="B275" s="75" t="s">
        <v>35</v>
      </c>
      <c r="C275" s="36" t="s">
        <v>37</v>
      </c>
      <c r="D275" s="36" t="s">
        <v>19</v>
      </c>
      <c r="E275" s="36" t="s">
        <v>87</v>
      </c>
      <c r="F275" s="36"/>
      <c r="G275" s="75" t="s">
        <v>88</v>
      </c>
      <c r="H275" s="75" t="s">
        <v>321</v>
      </c>
      <c r="I275" s="84">
        <v>18671.328258741258</v>
      </c>
      <c r="J275" s="36" t="s">
        <v>14</v>
      </c>
      <c r="K275" s="78" t="s">
        <v>14</v>
      </c>
      <c r="L275" s="36" t="s">
        <v>14</v>
      </c>
      <c r="M275" s="75" t="s">
        <v>225</v>
      </c>
      <c r="N275" s="36">
        <v>2025</v>
      </c>
    </row>
    <row r="276" spans="1:14">
      <c r="A276" s="36">
        <v>275</v>
      </c>
      <c r="B276" s="75" t="s">
        <v>35</v>
      </c>
      <c r="C276" s="36" t="s">
        <v>39</v>
      </c>
      <c r="D276" s="36" t="s">
        <v>19</v>
      </c>
      <c r="E276" s="36" t="s">
        <v>87</v>
      </c>
      <c r="F276" s="36"/>
      <c r="G276" s="75" t="s">
        <v>88</v>
      </c>
      <c r="H276" s="75" t="s">
        <v>321</v>
      </c>
      <c r="I276" s="84">
        <v>1893.9393356643357</v>
      </c>
      <c r="J276" s="36" t="s">
        <v>14</v>
      </c>
      <c r="K276" s="78" t="s">
        <v>14</v>
      </c>
      <c r="L276" s="36" t="s">
        <v>14</v>
      </c>
      <c r="M276" s="75" t="s">
        <v>225</v>
      </c>
      <c r="N276" s="36">
        <v>2025</v>
      </c>
    </row>
    <row r="277" spans="1:14">
      <c r="A277" s="36">
        <v>276</v>
      </c>
      <c r="B277" s="75" t="s">
        <v>35</v>
      </c>
      <c r="C277" s="36" t="s">
        <v>41</v>
      </c>
      <c r="D277" s="36" t="s">
        <v>19</v>
      </c>
      <c r="E277" s="36" t="s">
        <v>87</v>
      </c>
      <c r="F277" s="36"/>
      <c r="G277" s="75" t="s">
        <v>88</v>
      </c>
      <c r="H277" s="75" t="s">
        <v>321</v>
      </c>
      <c r="I277" s="84">
        <v>3021.5616783216783</v>
      </c>
      <c r="J277" s="36" t="s">
        <v>14</v>
      </c>
      <c r="K277" s="78" t="s">
        <v>14</v>
      </c>
      <c r="L277" s="36" t="s">
        <v>14</v>
      </c>
      <c r="M277" s="75" t="s">
        <v>225</v>
      </c>
      <c r="N277" s="36">
        <v>2025</v>
      </c>
    </row>
    <row r="278" spans="1:14">
      <c r="A278" s="36">
        <v>277</v>
      </c>
      <c r="B278" s="36" t="s">
        <v>35</v>
      </c>
      <c r="C278" s="36" t="s">
        <v>36</v>
      </c>
      <c r="D278" s="36" t="s">
        <v>60</v>
      </c>
      <c r="E278" s="36" t="s">
        <v>72</v>
      </c>
      <c r="F278" s="36"/>
      <c r="G278" s="36" t="s">
        <v>124</v>
      </c>
      <c r="H278" s="36" t="s">
        <v>121</v>
      </c>
      <c r="I278" s="84">
        <v>25.174825174825173</v>
      </c>
      <c r="J278" s="36" t="s">
        <v>567</v>
      </c>
      <c r="K278" s="78">
        <v>45981</v>
      </c>
      <c r="L278" s="36">
        <v>2025404299</v>
      </c>
      <c r="M278" s="77" t="s">
        <v>225</v>
      </c>
      <c r="N278" s="36">
        <v>2025</v>
      </c>
    </row>
    <row r="279" spans="1:14">
      <c r="A279" s="36">
        <v>278</v>
      </c>
      <c r="B279" s="36" t="s">
        <v>35</v>
      </c>
      <c r="C279" s="36" t="s">
        <v>36</v>
      </c>
      <c r="D279" s="36" t="s">
        <v>60</v>
      </c>
      <c r="E279" s="36" t="s">
        <v>72</v>
      </c>
      <c r="F279" s="36"/>
      <c r="G279" s="36" t="s">
        <v>124</v>
      </c>
      <c r="H279" s="36" t="s">
        <v>121</v>
      </c>
      <c r="I279" s="84">
        <v>55.944055944055947</v>
      </c>
      <c r="J279" s="36" t="s">
        <v>569</v>
      </c>
      <c r="K279" s="78">
        <v>45981</v>
      </c>
      <c r="L279" s="36">
        <v>2025404390</v>
      </c>
      <c r="M279" s="77" t="s">
        <v>225</v>
      </c>
      <c r="N279" s="36">
        <v>2025</v>
      </c>
    </row>
    <row r="280" spans="1:14">
      <c r="A280" s="36">
        <v>279</v>
      </c>
      <c r="B280" s="36" t="s">
        <v>35</v>
      </c>
      <c r="C280" s="36" t="s">
        <v>36</v>
      </c>
      <c r="D280" s="36" t="s">
        <v>60</v>
      </c>
      <c r="E280" s="88" t="s">
        <v>72</v>
      </c>
      <c r="F280" s="36"/>
      <c r="G280" s="36" t="s">
        <v>419</v>
      </c>
      <c r="H280" s="36" t="s">
        <v>121</v>
      </c>
      <c r="I280" s="84">
        <v>856.6433566433567</v>
      </c>
      <c r="J280" s="36" t="s">
        <v>579</v>
      </c>
      <c r="K280" s="78">
        <v>45979</v>
      </c>
      <c r="L280" s="36">
        <v>2025404415</v>
      </c>
      <c r="M280" s="77" t="s">
        <v>225</v>
      </c>
      <c r="N280" s="36">
        <v>2025</v>
      </c>
    </row>
    <row r="281" spans="1:14">
      <c r="A281" s="36">
        <v>280</v>
      </c>
      <c r="B281" s="36" t="s">
        <v>35</v>
      </c>
      <c r="C281" s="36" t="s">
        <v>36</v>
      </c>
      <c r="D281" s="36" t="s">
        <v>60</v>
      </c>
      <c r="E281" s="36" t="s">
        <v>72</v>
      </c>
      <c r="F281" s="36"/>
      <c r="G281" s="36" t="s">
        <v>125</v>
      </c>
      <c r="H281" s="36" t="s">
        <v>121</v>
      </c>
      <c r="I281" s="84">
        <v>136.43</v>
      </c>
      <c r="J281" s="36" t="s">
        <v>490</v>
      </c>
      <c r="K281" s="78">
        <v>45979</v>
      </c>
      <c r="L281" s="36">
        <v>2025404149</v>
      </c>
      <c r="M281" s="77" t="s">
        <v>225</v>
      </c>
      <c r="N281" s="36">
        <v>2025</v>
      </c>
    </row>
    <row r="282" spans="1:14">
      <c r="A282" s="36">
        <v>281</v>
      </c>
      <c r="B282" s="36" t="s">
        <v>35</v>
      </c>
      <c r="C282" s="36" t="s">
        <v>36</v>
      </c>
      <c r="D282" s="36" t="s">
        <v>60</v>
      </c>
      <c r="E282" s="88" t="s">
        <v>72</v>
      </c>
      <c r="F282" s="36"/>
      <c r="G282" s="36" t="s">
        <v>125</v>
      </c>
      <c r="H282" s="36" t="s">
        <v>121</v>
      </c>
      <c r="I282" s="84">
        <v>209.16</v>
      </c>
      <c r="J282" s="36" t="s">
        <v>502</v>
      </c>
      <c r="K282" s="78">
        <v>45979</v>
      </c>
      <c r="L282" s="36">
        <v>2025404197</v>
      </c>
      <c r="M282" s="77" t="s">
        <v>225</v>
      </c>
      <c r="N282" s="36">
        <v>2025</v>
      </c>
    </row>
    <row r="283" spans="1:14">
      <c r="A283" s="36">
        <v>282</v>
      </c>
      <c r="B283" s="36" t="s">
        <v>35</v>
      </c>
      <c r="C283" s="36" t="s">
        <v>36</v>
      </c>
      <c r="D283" s="36" t="s">
        <v>60</v>
      </c>
      <c r="E283" s="88" t="s">
        <v>72</v>
      </c>
      <c r="F283" s="36"/>
      <c r="G283" s="36" t="s">
        <v>125</v>
      </c>
      <c r="H283" s="36" t="s">
        <v>121</v>
      </c>
      <c r="I283" s="84">
        <v>2180</v>
      </c>
      <c r="J283" s="36" t="s">
        <v>553</v>
      </c>
      <c r="K283" s="78">
        <v>45991</v>
      </c>
      <c r="L283" s="36">
        <v>2025404349</v>
      </c>
      <c r="M283" s="77" t="s">
        <v>225</v>
      </c>
      <c r="N283" s="36">
        <v>2025</v>
      </c>
    </row>
    <row r="284" spans="1:14">
      <c r="A284" s="36">
        <v>283</v>
      </c>
      <c r="B284" s="36" t="s">
        <v>35</v>
      </c>
      <c r="C284" s="36" t="s">
        <v>36</v>
      </c>
      <c r="D284" s="36" t="s">
        <v>60</v>
      </c>
      <c r="E284" s="88" t="s">
        <v>72</v>
      </c>
      <c r="F284" s="36"/>
      <c r="G284" s="36" t="s">
        <v>125</v>
      </c>
      <c r="H284" s="36" t="s">
        <v>121</v>
      </c>
      <c r="I284" s="84">
        <v>2180</v>
      </c>
      <c r="J284" s="36" t="s">
        <v>555</v>
      </c>
      <c r="K284" s="78">
        <v>45991</v>
      </c>
      <c r="L284" s="36">
        <v>2025404341</v>
      </c>
      <c r="M284" s="77" t="s">
        <v>225</v>
      </c>
      <c r="N284" s="36">
        <v>2025</v>
      </c>
    </row>
    <row r="285" spans="1:14">
      <c r="A285" s="36">
        <v>284</v>
      </c>
      <c r="B285" s="88" t="s">
        <v>35</v>
      </c>
      <c r="C285" s="88" t="s">
        <v>36</v>
      </c>
      <c r="D285" s="36" t="s">
        <v>60</v>
      </c>
      <c r="E285" s="88" t="s">
        <v>72</v>
      </c>
      <c r="F285" s="36"/>
      <c r="G285" s="88" t="s">
        <v>126</v>
      </c>
      <c r="H285" s="36" t="s">
        <v>121</v>
      </c>
      <c r="I285" s="84">
        <v>791.17</v>
      </c>
      <c r="J285" s="36" t="s">
        <v>495</v>
      </c>
      <c r="K285" s="78">
        <v>45964</v>
      </c>
      <c r="L285" s="36">
        <v>2025404193</v>
      </c>
      <c r="M285" s="77" t="s">
        <v>225</v>
      </c>
      <c r="N285" s="36">
        <v>2025</v>
      </c>
    </row>
    <row r="286" spans="1:14">
      <c r="A286" s="36">
        <v>285</v>
      </c>
      <c r="B286" s="36" t="s">
        <v>35</v>
      </c>
      <c r="C286" s="36" t="s">
        <v>36</v>
      </c>
      <c r="D286" s="36" t="s">
        <v>60</v>
      </c>
      <c r="E286" s="88" t="s">
        <v>72</v>
      </c>
      <c r="F286" s="36"/>
      <c r="G286" s="36" t="s">
        <v>126</v>
      </c>
      <c r="H286" s="36" t="s">
        <v>121</v>
      </c>
      <c r="I286" s="84">
        <v>1262.8499999999999</v>
      </c>
      <c r="J286" s="36" t="s">
        <v>499</v>
      </c>
      <c r="K286" s="78">
        <v>45965</v>
      </c>
      <c r="L286" s="36">
        <v>2025404218</v>
      </c>
      <c r="M286" s="77" t="s">
        <v>225</v>
      </c>
      <c r="N286" s="36">
        <v>2025</v>
      </c>
    </row>
    <row r="287" spans="1:14">
      <c r="A287" s="36">
        <v>286</v>
      </c>
      <c r="B287" s="36" t="s">
        <v>35</v>
      </c>
      <c r="C287" s="36" t="s">
        <v>37</v>
      </c>
      <c r="D287" s="36" t="s">
        <v>60</v>
      </c>
      <c r="E287" s="88" t="s">
        <v>72</v>
      </c>
      <c r="F287" s="36"/>
      <c r="G287" s="36" t="s">
        <v>421</v>
      </c>
      <c r="H287" s="36" t="s">
        <v>121</v>
      </c>
      <c r="I287" s="84">
        <v>2664.3356643356642</v>
      </c>
      <c r="J287" s="36" t="s">
        <v>587</v>
      </c>
      <c r="K287" s="78">
        <v>45962</v>
      </c>
      <c r="L287" s="36">
        <v>2025404037</v>
      </c>
      <c r="M287" s="77" t="s">
        <v>225</v>
      </c>
      <c r="N287" s="36">
        <v>2025</v>
      </c>
    </row>
    <row r="288" spans="1:14">
      <c r="A288" s="36">
        <v>287</v>
      </c>
      <c r="B288" s="36" t="s">
        <v>35</v>
      </c>
      <c r="C288" s="36" t="s">
        <v>36</v>
      </c>
      <c r="D288" s="36" t="s">
        <v>60</v>
      </c>
      <c r="E288" s="88" t="s">
        <v>72</v>
      </c>
      <c r="F288" s="36"/>
      <c r="G288" s="87" t="s">
        <v>128</v>
      </c>
      <c r="H288" s="36" t="s">
        <v>121</v>
      </c>
      <c r="I288" s="84">
        <v>1116.5</v>
      </c>
      <c r="J288" s="87" t="s">
        <v>438</v>
      </c>
      <c r="K288" s="78">
        <v>45969</v>
      </c>
      <c r="L288" s="87">
        <v>2025403996</v>
      </c>
      <c r="M288" s="77" t="s">
        <v>225</v>
      </c>
      <c r="N288" s="36">
        <v>2025</v>
      </c>
    </row>
    <row r="289" spans="1:14">
      <c r="A289" s="36">
        <v>288</v>
      </c>
      <c r="B289" s="36" t="s">
        <v>35</v>
      </c>
      <c r="C289" s="36" t="s">
        <v>36</v>
      </c>
      <c r="D289" s="36" t="s">
        <v>60</v>
      </c>
      <c r="E289" s="88" t="s">
        <v>72</v>
      </c>
      <c r="F289" s="36"/>
      <c r="G289" s="36" t="s">
        <v>128</v>
      </c>
      <c r="H289" s="36" t="s">
        <v>121</v>
      </c>
      <c r="I289" s="84">
        <v>200</v>
      </c>
      <c r="J289" s="36" t="s">
        <v>443</v>
      </c>
      <c r="K289" s="78">
        <v>45969</v>
      </c>
      <c r="L289" s="87">
        <v>2025404019</v>
      </c>
      <c r="M289" s="77" t="s">
        <v>225</v>
      </c>
      <c r="N289" s="36">
        <v>2025</v>
      </c>
    </row>
    <row r="290" spans="1:14">
      <c r="A290" s="36">
        <v>289</v>
      </c>
      <c r="B290" s="36" t="s">
        <v>35</v>
      </c>
      <c r="C290" s="36" t="s">
        <v>36</v>
      </c>
      <c r="D290" s="36" t="s">
        <v>60</v>
      </c>
      <c r="E290" s="88" t="s">
        <v>72</v>
      </c>
      <c r="F290" s="36"/>
      <c r="G290" s="36" t="s">
        <v>128</v>
      </c>
      <c r="H290" s="36" t="s">
        <v>121</v>
      </c>
      <c r="I290" s="84">
        <v>2114</v>
      </c>
      <c r="J290" s="36" t="s">
        <v>445</v>
      </c>
      <c r="K290" s="78">
        <v>45969</v>
      </c>
      <c r="L290" s="36">
        <v>2025403998</v>
      </c>
      <c r="M290" s="77" t="s">
        <v>225</v>
      </c>
      <c r="N290" s="36">
        <v>2025</v>
      </c>
    </row>
    <row r="291" spans="1:14">
      <c r="A291" s="36">
        <v>290</v>
      </c>
      <c r="B291" s="36" t="s">
        <v>35</v>
      </c>
      <c r="C291" s="36" t="s">
        <v>36</v>
      </c>
      <c r="D291" s="36" t="s">
        <v>60</v>
      </c>
      <c r="E291" s="88" t="s">
        <v>72</v>
      </c>
      <c r="F291" s="36"/>
      <c r="G291" s="36" t="s">
        <v>128</v>
      </c>
      <c r="H291" s="36" t="s">
        <v>121</v>
      </c>
      <c r="I291" s="84">
        <v>60</v>
      </c>
      <c r="J291" s="36" t="s">
        <v>457</v>
      </c>
      <c r="K291" s="78">
        <v>45973</v>
      </c>
      <c r="L291" s="36">
        <v>2025403886</v>
      </c>
      <c r="M291" s="77" t="s">
        <v>225</v>
      </c>
      <c r="N291" s="36">
        <v>2025</v>
      </c>
    </row>
    <row r="292" spans="1:14">
      <c r="A292" s="36">
        <v>291</v>
      </c>
      <c r="B292" s="36" t="s">
        <v>35</v>
      </c>
      <c r="C292" s="36" t="s">
        <v>36</v>
      </c>
      <c r="D292" s="36" t="s">
        <v>60</v>
      </c>
      <c r="E292" s="88" t="s">
        <v>72</v>
      </c>
      <c r="F292" s="36"/>
      <c r="G292" s="36" t="s">
        <v>128</v>
      </c>
      <c r="H292" s="36" t="s">
        <v>121</v>
      </c>
      <c r="I292" s="84">
        <v>210</v>
      </c>
      <c r="J292" s="36" t="s">
        <v>470</v>
      </c>
      <c r="K292" s="78">
        <v>45976</v>
      </c>
      <c r="L292" s="36">
        <v>2025404125</v>
      </c>
      <c r="M292" s="77" t="s">
        <v>225</v>
      </c>
      <c r="N292" s="36">
        <v>2025</v>
      </c>
    </row>
    <row r="293" spans="1:14">
      <c r="A293" s="36">
        <v>292</v>
      </c>
      <c r="B293" s="36" t="s">
        <v>35</v>
      </c>
      <c r="C293" s="36" t="s">
        <v>37</v>
      </c>
      <c r="D293" s="36" t="s">
        <v>60</v>
      </c>
      <c r="E293" s="88" t="s">
        <v>72</v>
      </c>
      <c r="F293" s="36"/>
      <c r="G293" s="36" t="s">
        <v>128</v>
      </c>
      <c r="H293" s="36" t="s">
        <v>121</v>
      </c>
      <c r="I293" s="84">
        <v>3287</v>
      </c>
      <c r="J293" s="36" t="s">
        <v>524</v>
      </c>
      <c r="K293" s="78">
        <v>45985</v>
      </c>
      <c r="L293" s="36">
        <v>2025404095</v>
      </c>
      <c r="M293" s="77" t="s">
        <v>225</v>
      </c>
      <c r="N293" s="36">
        <v>2025</v>
      </c>
    </row>
    <row r="294" spans="1:14">
      <c r="A294" s="36">
        <v>293</v>
      </c>
      <c r="B294" s="36" t="s">
        <v>35</v>
      </c>
      <c r="C294" s="36" t="s">
        <v>37</v>
      </c>
      <c r="D294" s="36" t="s">
        <v>60</v>
      </c>
      <c r="E294" s="36" t="s">
        <v>72</v>
      </c>
      <c r="F294" s="36"/>
      <c r="G294" s="36" t="s">
        <v>128</v>
      </c>
      <c r="H294" s="36" t="s">
        <v>121</v>
      </c>
      <c r="I294" s="84">
        <v>363</v>
      </c>
      <c r="J294" s="36" t="s">
        <v>543</v>
      </c>
      <c r="K294" s="78">
        <v>45969</v>
      </c>
      <c r="L294" s="36">
        <v>2025403981</v>
      </c>
      <c r="M294" s="77" t="s">
        <v>225</v>
      </c>
      <c r="N294" s="36">
        <v>2025</v>
      </c>
    </row>
    <row r="295" spans="1:14">
      <c r="A295" s="36">
        <v>294</v>
      </c>
      <c r="B295" s="36" t="s">
        <v>35</v>
      </c>
      <c r="C295" s="36" t="s">
        <v>37</v>
      </c>
      <c r="D295" s="36" t="s">
        <v>19</v>
      </c>
      <c r="E295" s="36" t="s">
        <v>81</v>
      </c>
      <c r="F295" s="36"/>
      <c r="G295" s="36" t="s">
        <v>91</v>
      </c>
      <c r="H295" s="36" t="s">
        <v>618</v>
      </c>
      <c r="I295" s="84">
        <v>16581.398601398603</v>
      </c>
      <c r="J295" s="36" t="s">
        <v>14</v>
      </c>
      <c r="K295" s="78" t="s">
        <v>14</v>
      </c>
      <c r="L295" s="36" t="s">
        <v>14</v>
      </c>
      <c r="M295" s="36" t="s">
        <v>225</v>
      </c>
      <c r="N295" s="36">
        <v>2025</v>
      </c>
    </row>
    <row r="296" spans="1:14">
      <c r="A296" s="36">
        <v>295</v>
      </c>
      <c r="B296" s="36" t="s">
        <v>35</v>
      </c>
      <c r="C296" s="36" t="s">
        <v>36</v>
      </c>
      <c r="D296" s="36" t="s">
        <v>19</v>
      </c>
      <c r="E296" s="36" t="s">
        <v>81</v>
      </c>
      <c r="F296" s="36"/>
      <c r="G296" s="36" t="s">
        <v>91</v>
      </c>
      <c r="H296" s="36" t="s">
        <v>618</v>
      </c>
      <c r="I296" s="84">
        <v>3738.4615384615386</v>
      </c>
      <c r="J296" s="36" t="s">
        <v>14</v>
      </c>
      <c r="K296" s="78" t="s">
        <v>14</v>
      </c>
      <c r="L296" s="36" t="s">
        <v>14</v>
      </c>
      <c r="M296" s="36" t="s">
        <v>225</v>
      </c>
      <c r="N296" s="36">
        <v>2025</v>
      </c>
    </row>
    <row r="297" spans="1:14">
      <c r="A297" s="36">
        <v>296</v>
      </c>
      <c r="B297" s="36" t="s">
        <v>35</v>
      </c>
      <c r="C297" s="36" t="s">
        <v>37</v>
      </c>
      <c r="D297" s="36" t="s">
        <v>60</v>
      </c>
      <c r="E297" s="36" t="s">
        <v>81</v>
      </c>
      <c r="F297" s="36"/>
      <c r="G297" s="36" t="s">
        <v>199</v>
      </c>
      <c r="H297" s="36" t="s">
        <v>619</v>
      </c>
      <c r="I297" s="84">
        <v>500</v>
      </c>
      <c r="J297" s="36" t="s">
        <v>391</v>
      </c>
      <c r="K297" s="78">
        <v>45978</v>
      </c>
      <c r="L297" s="36">
        <v>2025404325</v>
      </c>
      <c r="M297" s="36" t="s">
        <v>225</v>
      </c>
      <c r="N297" s="36">
        <v>2025</v>
      </c>
    </row>
    <row r="298" spans="1:14">
      <c r="A298" s="36">
        <v>297</v>
      </c>
      <c r="B298" s="36" t="s">
        <v>35</v>
      </c>
      <c r="C298" s="36" t="s">
        <v>37</v>
      </c>
      <c r="D298" s="36" t="s">
        <v>60</v>
      </c>
      <c r="E298" s="36" t="s">
        <v>81</v>
      </c>
      <c r="F298" s="36"/>
      <c r="G298" s="36" t="s">
        <v>238</v>
      </c>
      <c r="H298" s="36" t="s">
        <v>619</v>
      </c>
      <c r="I298" s="84">
        <v>10000</v>
      </c>
      <c r="J298" s="36" t="s">
        <v>249</v>
      </c>
      <c r="K298" s="78">
        <v>45955</v>
      </c>
      <c r="L298" s="36">
        <v>2025404103</v>
      </c>
      <c r="M298" s="36" t="s">
        <v>225</v>
      </c>
      <c r="N298" s="36">
        <v>2025</v>
      </c>
    </row>
    <row r="299" spans="1:14">
      <c r="A299" s="36">
        <v>298</v>
      </c>
      <c r="B299" s="36" t="s">
        <v>35</v>
      </c>
      <c r="C299" s="36" t="s">
        <v>36</v>
      </c>
      <c r="D299" s="36" t="s">
        <v>60</v>
      </c>
      <c r="E299" s="36" t="s">
        <v>81</v>
      </c>
      <c r="F299" s="36"/>
      <c r="G299" s="36" t="s">
        <v>383</v>
      </c>
      <c r="H299" s="36" t="s">
        <v>619</v>
      </c>
      <c r="I299" s="84">
        <v>349.65034965034965</v>
      </c>
      <c r="J299" s="36" t="s">
        <v>397</v>
      </c>
      <c r="K299" s="78">
        <v>45958</v>
      </c>
      <c r="L299" s="36">
        <v>2025404239</v>
      </c>
      <c r="M299" s="36" t="s">
        <v>225</v>
      </c>
      <c r="N299" s="36">
        <v>2025</v>
      </c>
    </row>
    <row r="300" spans="1:14">
      <c r="A300" s="36">
        <v>299</v>
      </c>
      <c r="B300" s="36" t="s">
        <v>35</v>
      </c>
      <c r="C300" s="36" t="s">
        <v>36</v>
      </c>
      <c r="D300" s="36" t="s">
        <v>60</v>
      </c>
      <c r="E300" s="36" t="s">
        <v>81</v>
      </c>
      <c r="F300" s="36"/>
      <c r="G300" s="36" t="s">
        <v>383</v>
      </c>
      <c r="H300" s="36" t="s">
        <v>619</v>
      </c>
      <c r="I300" s="84">
        <v>839.16083916083915</v>
      </c>
      <c r="J300" s="36" t="s">
        <v>399</v>
      </c>
      <c r="K300" s="78">
        <v>45959</v>
      </c>
      <c r="L300" s="36">
        <v>2025404240</v>
      </c>
      <c r="M300" s="36" t="s">
        <v>225</v>
      </c>
      <c r="N300" s="36">
        <v>2025</v>
      </c>
    </row>
    <row r="301" spans="1:14">
      <c r="A301" s="36">
        <v>300</v>
      </c>
      <c r="B301" s="77" t="s">
        <v>35</v>
      </c>
      <c r="C301" s="77" t="s">
        <v>37</v>
      </c>
      <c r="D301" s="36" t="s">
        <v>19</v>
      </c>
      <c r="E301" s="36" t="s">
        <v>81</v>
      </c>
      <c r="F301" s="36"/>
      <c r="G301" s="36" t="s">
        <v>613</v>
      </c>
      <c r="H301" s="36" t="s">
        <v>614</v>
      </c>
      <c r="I301" s="84">
        <v>28080</v>
      </c>
      <c r="J301" s="36" t="s">
        <v>14</v>
      </c>
      <c r="K301" s="78" t="s">
        <v>14</v>
      </c>
      <c r="L301" s="36" t="s">
        <v>14</v>
      </c>
      <c r="M301" s="77" t="s">
        <v>225</v>
      </c>
      <c r="N301" s="36">
        <v>2025</v>
      </c>
    </row>
    <row r="302" spans="1:14">
      <c r="A302" s="36">
        <v>301</v>
      </c>
      <c r="B302" s="36" t="s">
        <v>35</v>
      </c>
      <c r="C302" s="36" t="s">
        <v>36</v>
      </c>
      <c r="D302" s="36" t="s">
        <v>19</v>
      </c>
      <c r="E302" s="36" t="s">
        <v>110</v>
      </c>
      <c r="F302" s="36"/>
      <c r="G302" s="36" t="s">
        <v>88</v>
      </c>
      <c r="H302" s="36" t="s">
        <v>111</v>
      </c>
      <c r="I302" s="84">
        <v>1019.5804195804196</v>
      </c>
      <c r="J302" s="36" t="s">
        <v>14</v>
      </c>
      <c r="K302" s="78" t="s">
        <v>14</v>
      </c>
      <c r="L302" s="36" t="s">
        <v>14</v>
      </c>
      <c r="M302" s="36" t="s">
        <v>225</v>
      </c>
      <c r="N302" s="36">
        <v>2025</v>
      </c>
    </row>
    <row r="303" spans="1:14">
      <c r="A303" s="36">
        <v>302</v>
      </c>
      <c r="B303" s="36" t="s">
        <v>35</v>
      </c>
      <c r="C303" s="36" t="s">
        <v>374</v>
      </c>
      <c r="D303" s="36" t="s">
        <v>19</v>
      </c>
      <c r="E303" s="36" t="s">
        <v>110</v>
      </c>
      <c r="F303" s="36"/>
      <c r="G303" s="36" t="s">
        <v>117</v>
      </c>
      <c r="H303" s="36" t="s">
        <v>110</v>
      </c>
      <c r="I303" s="84">
        <v>1154.9262237405778</v>
      </c>
      <c r="J303" s="36" t="s">
        <v>14</v>
      </c>
      <c r="K303" s="78" t="s">
        <v>14</v>
      </c>
      <c r="L303" s="36" t="s">
        <v>14</v>
      </c>
      <c r="M303" s="36" t="s">
        <v>225</v>
      </c>
      <c r="N303" s="36">
        <v>2025</v>
      </c>
    </row>
    <row r="304" spans="1:14">
      <c r="A304" s="36">
        <v>303</v>
      </c>
      <c r="B304" s="36" t="s">
        <v>35</v>
      </c>
      <c r="C304" s="36" t="s">
        <v>36</v>
      </c>
      <c r="D304" s="36" t="s">
        <v>19</v>
      </c>
      <c r="E304" s="36" t="s">
        <v>110</v>
      </c>
      <c r="F304" s="36"/>
      <c r="G304" s="36" t="s">
        <v>117</v>
      </c>
      <c r="H304" s="36" t="s">
        <v>110</v>
      </c>
      <c r="I304" s="84">
        <v>5389.6557107893632</v>
      </c>
      <c r="J304" s="36" t="s">
        <v>14</v>
      </c>
      <c r="K304" s="78" t="s">
        <v>14</v>
      </c>
      <c r="L304" s="36" t="s">
        <v>14</v>
      </c>
      <c r="M304" s="36" t="s">
        <v>225</v>
      </c>
      <c r="N304" s="36">
        <v>2025</v>
      </c>
    </row>
    <row r="305" spans="1:14">
      <c r="A305" s="36">
        <v>304</v>
      </c>
      <c r="B305" s="36" t="s">
        <v>35</v>
      </c>
      <c r="C305" s="36" t="s">
        <v>37</v>
      </c>
      <c r="D305" s="36" t="s">
        <v>19</v>
      </c>
      <c r="E305" s="36" t="s">
        <v>110</v>
      </c>
      <c r="F305" s="36"/>
      <c r="G305" s="36" t="s">
        <v>117</v>
      </c>
      <c r="H305" s="36" t="s">
        <v>110</v>
      </c>
      <c r="I305" s="84">
        <v>29258.13100142797</v>
      </c>
      <c r="J305" s="36" t="s">
        <v>14</v>
      </c>
      <c r="K305" s="78" t="s">
        <v>14</v>
      </c>
      <c r="L305" s="36" t="s">
        <v>14</v>
      </c>
      <c r="M305" s="36" t="s">
        <v>225</v>
      </c>
      <c r="N305" s="36">
        <v>2025</v>
      </c>
    </row>
    <row r="306" spans="1:14">
      <c r="A306" s="36">
        <v>305</v>
      </c>
      <c r="B306" s="36" t="s">
        <v>35</v>
      </c>
      <c r="C306" s="36" t="s">
        <v>41</v>
      </c>
      <c r="D306" s="36" t="s">
        <v>19</v>
      </c>
      <c r="E306" s="36" t="s">
        <v>110</v>
      </c>
      <c r="F306" s="36"/>
      <c r="G306" s="36" t="s">
        <v>117</v>
      </c>
      <c r="H306" s="36" t="s">
        <v>110</v>
      </c>
      <c r="I306" s="84">
        <v>3336.4535352505582</v>
      </c>
      <c r="J306" s="36" t="s">
        <v>14</v>
      </c>
      <c r="K306" s="78" t="s">
        <v>14</v>
      </c>
      <c r="L306" s="36" t="s">
        <v>14</v>
      </c>
      <c r="M306" s="36" t="s">
        <v>225</v>
      </c>
      <c r="N306" s="36">
        <v>2025</v>
      </c>
    </row>
    <row r="307" spans="1:14">
      <c r="A307" s="36">
        <v>306</v>
      </c>
      <c r="B307" s="77" t="s">
        <v>35</v>
      </c>
      <c r="C307" s="77" t="s">
        <v>37</v>
      </c>
      <c r="D307" s="36" t="s">
        <v>19</v>
      </c>
      <c r="E307" s="36" t="s">
        <v>114</v>
      </c>
      <c r="F307" s="36"/>
      <c r="G307" s="36" t="s">
        <v>613</v>
      </c>
      <c r="H307" s="36" t="s">
        <v>614</v>
      </c>
      <c r="I307" s="84">
        <v>28080</v>
      </c>
      <c r="J307" s="36" t="s">
        <v>14</v>
      </c>
      <c r="K307" s="78" t="s">
        <v>14</v>
      </c>
      <c r="L307" s="36" t="s">
        <v>14</v>
      </c>
      <c r="M307" s="77" t="s">
        <v>225</v>
      </c>
      <c r="N307" s="36">
        <v>2025</v>
      </c>
    </row>
    <row r="308" spans="1:14">
      <c r="A308" s="36">
        <v>307</v>
      </c>
      <c r="B308" s="36" t="s">
        <v>42</v>
      </c>
      <c r="C308" s="36" t="s">
        <v>43</v>
      </c>
      <c r="D308" s="36" t="s">
        <v>60</v>
      </c>
      <c r="E308" s="36" t="s">
        <v>20</v>
      </c>
      <c r="F308" s="36"/>
      <c r="G308" s="36" t="s">
        <v>21</v>
      </c>
      <c r="H308" s="36" t="s">
        <v>314</v>
      </c>
      <c r="I308" s="76">
        <v>56660</v>
      </c>
      <c r="J308" s="36" t="s">
        <v>14</v>
      </c>
      <c r="K308" s="78" t="s">
        <v>14</v>
      </c>
      <c r="L308" s="36" t="s">
        <v>14</v>
      </c>
      <c r="M308" s="36" t="s">
        <v>225</v>
      </c>
      <c r="N308" s="36">
        <v>2025</v>
      </c>
    </row>
    <row r="309" spans="1:14">
      <c r="A309" s="36">
        <v>308</v>
      </c>
      <c r="B309" s="36" t="s">
        <v>42</v>
      </c>
      <c r="C309" s="36" t="s">
        <v>44</v>
      </c>
      <c r="D309" s="36" t="s">
        <v>60</v>
      </c>
      <c r="E309" s="36" t="s">
        <v>20</v>
      </c>
      <c r="F309" s="36"/>
      <c r="G309" s="36" t="s">
        <v>21</v>
      </c>
      <c r="H309" s="36" t="s">
        <v>314</v>
      </c>
      <c r="I309" s="76">
        <v>26073</v>
      </c>
      <c r="J309" s="36" t="s">
        <v>14</v>
      </c>
      <c r="K309" s="78" t="s">
        <v>14</v>
      </c>
      <c r="L309" s="36" t="s">
        <v>14</v>
      </c>
      <c r="M309" s="36" t="s">
        <v>225</v>
      </c>
      <c r="N309" s="36">
        <v>2025</v>
      </c>
    </row>
    <row r="310" spans="1:14">
      <c r="A310" s="36">
        <v>309</v>
      </c>
      <c r="B310" s="36" t="s">
        <v>42</v>
      </c>
      <c r="C310" s="36" t="s">
        <v>45</v>
      </c>
      <c r="D310" s="36" t="s">
        <v>60</v>
      </c>
      <c r="E310" s="36" t="s">
        <v>20</v>
      </c>
      <c r="F310" s="36"/>
      <c r="G310" s="36" t="s">
        <v>21</v>
      </c>
      <c r="H310" s="36" t="s">
        <v>314</v>
      </c>
      <c r="I310" s="76">
        <v>55736</v>
      </c>
      <c r="J310" s="36" t="s">
        <v>14</v>
      </c>
      <c r="K310" s="78" t="s">
        <v>14</v>
      </c>
      <c r="L310" s="36" t="s">
        <v>14</v>
      </c>
      <c r="M310" s="36" t="s">
        <v>225</v>
      </c>
      <c r="N310" s="36">
        <v>2025</v>
      </c>
    </row>
    <row r="311" spans="1:14">
      <c r="A311" s="36">
        <v>310</v>
      </c>
      <c r="B311" s="36" t="s">
        <v>42</v>
      </c>
      <c r="C311" s="36" t="s">
        <v>46</v>
      </c>
      <c r="D311" s="36" t="s">
        <v>60</v>
      </c>
      <c r="E311" s="36" t="s">
        <v>20</v>
      </c>
      <c r="F311" s="36"/>
      <c r="G311" s="36" t="s">
        <v>21</v>
      </c>
      <c r="H311" s="36" t="s">
        <v>314</v>
      </c>
      <c r="I311" s="76">
        <v>11261</v>
      </c>
      <c r="J311" s="36" t="s">
        <v>14</v>
      </c>
      <c r="K311" s="78" t="s">
        <v>14</v>
      </c>
      <c r="L311" s="36" t="s">
        <v>14</v>
      </c>
      <c r="M311" s="36" t="s">
        <v>225</v>
      </c>
      <c r="N311" s="36">
        <v>2025</v>
      </c>
    </row>
    <row r="312" spans="1:14">
      <c r="A312" s="36">
        <v>311</v>
      </c>
      <c r="B312" s="36" t="s">
        <v>42</v>
      </c>
      <c r="C312" s="36" t="s">
        <v>47</v>
      </c>
      <c r="D312" s="36" t="s">
        <v>60</v>
      </c>
      <c r="E312" s="36" t="s">
        <v>20</v>
      </c>
      <c r="F312" s="36"/>
      <c r="G312" s="36" t="s">
        <v>21</v>
      </c>
      <c r="H312" s="36" t="s">
        <v>314</v>
      </c>
      <c r="I312" s="76">
        <v>58882</v>
      </c>
      <c r="J312" s="36" t="s">
        <v>14</v>
      </c>
      <c r="K312" s="78" t="s">
        <v>14</v>
      </c>
      <c r="L312" s="36" t="s">
        <v>14</v>
      </c>
      <c r="M312" s="36" t="s">
        <v>225</v>
      </c>
      <c r="N312" s="36">
        <v>2025</v>
      </c>
    </row>
    <row r="313" spans="1:14">
      <c r="A313" s="36">
        <v>312</v>
      </c>
      <c r="B313" s="36" t="s">
        <v>42</v>
      </c>
      <c r="C313" s="36" t="s">
        <v>375</v>
      </c>
      <c r="D313" s="36" t="s">
        <v>60</v>
      </c>
      <c r="E313" s="36" t="s">
        <v>20</v>
      </c>
      <c r="F313" s="36"/>
      <c r="G313" s="36" t="s">
        <v>21</v>
      </c>
      <c r="H313" s="36" t="s">
        <v>314</v>
      </c>
      <c r="I313" s="76">
        <v>56512</v>
      </c>
      <c r="J313" s="36" t="s">
        <v>14</v>
      </c>
      <c r="K313" s="78" t="s">
        <v>14</v>
      </c>
      <c r="L313" s="36" t="s">
        <v>14</v>
      </c>
      <c r="M313" s="36" t="s">
        <v>225</v>
      </c>
      <c r="N313" s="36">
        <v>2025</v>
      </c>
    </row>
    <row r="314" spans="1:14">
      <c r="A314" s="36">
        <v>313</v>
      </c>
      <c r="B314" s="36" t="s">
        <v>42</v>
      </c>
      <c r="C314" s="36" t="s">
        <v>49</v>
      </c>
      <c r="D314" s="36" t="s">
        <v>60</v>
      </c>
      <c r="E314" s="36" t="s">
        <v>20</v>
      </c>
      <c r="F314" s="36"/>
      <c r="G314" s="36" t="s">
        <v>21</v>
      </c>
      <c r="H314" s="36" t="s">
        <v>314</v>
      </c>
      <c r="I314" s="76">
        <v>34850</v>
      </c>
      <c r="J314" s="36" t="s">
        <v>14</v>
      </c>
      <c r="K314" s="78" t="s">
        <v>14</v>
      </c>
      <c r="L314" s="36" t="s">
        <v>14</v>
      </c>
      <c r="M314" s="36" t="s">
        <v>225</v>
      </c>
      <c r="N314" s="36">
        <v>2025</v>
      </c>
    </row>
    <row r="315" spans="1:14">
      <c r="A315" s="36">
        <v>314</v>
      </c>
      <c r="B315" s="36" t="s">
        <v>42</v>
      </c>
      <c r="C315" s="36" t="s">
        <v>50</v>
      </c>
      <c r="D315" s="36" t="s">
        <v>60</v>
      </c>
      <c r="E315" s="36" t="s">
        <v>20</v>
      </c>
      <c r="F315" s="36"/>
      <c r="G315" s="36" t="s">
        <v>21</v>
      </c>
      <c r="H315" s="36" t="s">
        <v>314</v>
      </c>
      <c r="I315" s="76">
        <v>241913</v>
      </c>
      <c r="J315" s="36" t="s">
        <v>14</v>
      </c>
      <c r="K315" s="78" t="s">
        <v>14</v>
      </c>
      <c r="L315" s="36" t="s">
        <v>14</v>
      </c>
      <c r="M315" s="36" t="s">
        <v>225</v>
      </c>
      <c r="N315" s="36">
        <v>2025</v>
      </c>
    </row>
    <row r="316" spans="1:14">
      <c r="A316" s="36">
        <v>315</v>
      </c>
      <c r="B316" s="36" t="s">
        <v>42</v>
      </c>
      <c r="C316" s="36" t="s">
        <v>51</v>
      </c>
      <c r="D316" s="36" t="s">
        <v>60</v>
      </c>
      <c r="E316" s="36" t="s">
        <v>20</v>
      </c>
      <c r="F316" s="36"/>
      <c r="G316" s="36" t="s">
        <v>21</v>
      </c>
      <c r="H316" s="36" t="s">
        <v>314</v>
      </c>
      <c r="I316" s="76">
        <v>30979</v>
      </c>
      <c r="J316" s="36" t="s">
        <v>14</v>
      </c>
      <c r="K316" s="78" t="s">
        <v>14</v>
      </c>
      <c r="L316" s="36" t="s">
        <v>14</v>
      </c>
      <c r="M316" s="36" t="s">
        <v>225</v>
      </c>
      <c r="N316" s="36">
        <v>2025</v>
      </c>
    </row>
    <row r="317" spans="1:14">
      <c r="A317" s="36">
        <v>316</v>
      </c>
      <c r="B317" s="75" t="s">
        <v>42</v>
      </c>
      <c r="C317" s="36" t="s">
        <v>375</v>
      </c>
      <c r="D317" s="36" t="s">
        <v>19</v>
      </c>
      <c r="E317" s="36" t="s">
        <v>56</v>
      </c>
      <c r="F317" s="36"/>
      <c r="G317" s="75" t="s">
        <v>320</v>
      </c>
      <c r="H317" s="36" t="s">
        <v>56</v>
      </c>
      <c r="I317" s="76">
        <v>7000</v>
      </c>
      <c r="J317" s="36" t="s">
        <v>14</v>
      </c>
      <c r="K317" s="78" t="s">
        <v>14</v>
      </c>
      <c r="L317" s="36" t="s">
        <v>14</v>
      </c>
      <c r="M317" s="75" t="s">
        <v>225</v>
      </c>
      <c r="N317" s="36">
        <v>2025</v>
      </c>
    </row>
    <row r="318" spans="1:14">
      <c r="A318" s="36">
        <v>317</v>
      </c>
      <c r="B318" s="75" t="s">
        <v>42</v>
      </c>
      <c r="C318" s="36" t="s">
        <v>375</v>
      </c>
      <c r="D318" s="36" t="s">
        <v>19</v>
      </c>
      <c r="E318" s="36" t="s">
        <v>56</v>
      </c>
      <c r="F318" s="36"/>
      <c r="G318" s="75" t="s">
        <v>320</v>
      </c>
      <c r="H318" s="36" t="s">
        <v>56</v>
      </c>
      <c r="I318" s="76">
        <v>7500</v>
      </c>
      <c r="J318" s="36" t="s">
        <v>14</v>
      </c>
      <c r="K318" s="78" t="s">
        <v>14</v>
      </c>
      <c r="L318" s="36" t="s">
        <v>14</v>
      </c>
      <c r="M318" s="75" t="s">
        <v>225</v>
      </c>
      <c r="N318" s="36">
        <v>2025</v>
      </c>
    </row>
    <row r="319" spans="1:14">
      <c r="A319" s="36">
        <v>318</v>
      </c>
      <c r="B319" s="36" t="s">
        <v>42</v>
      </c>
      <c r="C319" s="78" t="s">
        <v>51</v>
      </c>
      <c r="D319" s="36" t="s">
        <v>60</v>
      </c>
      <c r="E319" s="36" t="s">
        <v>63</v>
      </c>
      <c r="F319" s="36"/>
      <c r="G319" s="36" t="s">
        <v>64</v>
      </c>
      <c r="H319" s="79" t="s">
        <v>65</v>
      </c>
      <c r="I319" s="80">
        <v>1748.2517482517483</v>
      </c>
      <c r="J319" s="36" t="s">
        <v>68</v>
      </c>
      <c r="K319" s="78" t="s">
        <v>326</v>
      </c>
      <c r="L319" s="81" t="s">
        <v>14</v>
      </c>
      <c r="M319" s="75" t="s">
        <v>225</v>
      </c>
      <c r="N319" s="36">
        <v>2025</v>
      </c>
    </row>
    <row r="320" spans="1:14">
      <c r="A320" s="36">
        <v>319</v>
      </c>
      <c r="B320" s="36" t="s">
        <v>42</v>
      </c>
      <c r="C320" s="78" t="s">
        <v>74</v>
      </c>
      <c r="D320" s="36" t="s">
        <v>60</v>
      </c>
      <c r="E320" s="36" t="s">
        <v>63</v>
      </c>
      <c r="F320" s="36"/>
      <c r="G320" s="36" t="s">
        <v>64</v>
      </c>
      <c r="H320" s="79" t="s">
        <v>65</v>
      </c>
      <c r="I320" s="80">
        <v>1416.0839160839162</v>
      </c>
      <c r="J320" s="36" t="s">
        <v>68</v>
      </c>
      <c r="K320" s="78">
        <v>45941</v>
      </c>
      <c r="L320" s="81" t="s">
        <v>14</v>
      </c>
      <c r="M320" s="75" t="s">
        <v>225</v>
      </c>
      <c r="N320" s="36">
        <v>2025</v>
      </c>
    </row>
    <row r="321" spans="1:14">
      <c r="A321" s="36">
        <v>320</v>
      </c>
      <c r="B321" s="36" t="s">
        <v>35</v>
      </c>
      <c r="C321" s="78" t="s">
        <v>37</v>
      </c>
      <c r="D321" s="36" t="s">
        <v>60</v>
      </c>
      <c r="E321" s="36" t="s">
        <v>72</v>
      </c>
      <c r="F321" s="36"/>
      <c r="G321" s="36" t="s">
        <v>64</v>
      </c>
      <c r="H321" s="79" t="s">
        <v>282</v>
      </c>
      <c r="I321" s="80">
        <v>2828.6713286713289</v>
      </c>
      <c r="J321" s="36" t="s">
        <v>68</v>
      </c>
      <c r="K321" s="78" t="s">
        <v>326</v>
      </c>
      <c r="L321" s="81" t="s">
        <v>14</v>
      </c>
      <c r="M321" s="75" t="s">
        <v>225</v>
      </c>
      <c r="N321" s="36">
        <v>2025</v>
      </c>
    </row>
    <row r="322" spans="1:14">
      <c r="A322" s="36">
        <v>321</v>
      </c>
      <c r="B322" s="36" t="s">
        <v>35</v>
      </c>
      <c r="C322" s="78" t="s">
        <v>37</v>
      </c>
      <c r="D322" s="36" t="s">
        <v>60</v>
      </c>
      <c r="E322" s="36" t="s">
        <v>72</v>
      </c>
      <c r="F322" s="36"/>
      <c r="G322" s="36" t="s">
        <v>64</v>
      </c>
      <c r="H322" s="79" t="s">
        <v>282</v>
      </c>
      <c r="I322" s="80">
        <v>1999.6503496503497</v>
      </c>
      <c r="J322" s="36" t="s">
        <v>68</v>
      </c>
      <c r="K322" s="78" t="s">
        <v>331</v>
      </c>
      <c r="L322" s="81" t="s">
        <v>14</v>
      </c>
      <c r="M322" s="75" t="s">
        <v>225</v>
      </c>
      <c r="N322" s="36">
        <v>2025</v>
      </c>
    </row>
    <row r="323" spans="1:14">
      <c r="A323" s="36">
        <v>322</v>
      </c>
      <c r="B323" s="36" t="s">
        <v>42</v>
      </c>
      <c r="C323" s="78" t="s">
        <v>44</v>
      </c>
      <c r="D323" s="36" t="s">
        <v>60</v>
      </c>
      <c r="E323" s="36" t="s">
        <v>72</v>
      </c>
      <c r="F323" s="36"/>
      <c r="G323" s="36" t="s">
        <v>64</v>
      </c>
      <c r="H323" s="79" t="s">
        <v>284</v>
      </c>
      <c r="I323" s="80">
        <v>219.23076923076923</v>
      </c>
      <c r="J323" s="36" t="s">
        <v>68</v>
      </c>
      <c r="K323" s="78">
        <v>45941</v>
      </c>
      <c r="L323" s="81" t="s">
        <v>14</v>
      </c>
      <c r="M323" s="75" t="s">
        <v>225</v>
      </c>
      <c r="N323" s="36">
        <v>2025</v>
      </c>
    </row>
    <row r="324" spans="1:14">
      <c r="A324" s="36">
        <v>323</v>
      </c>
      <c r="B324" s="36" t="s">
        <v>42</v>
      </c>
      <c r="C324" s="36" t="s">
        <v>375</v>
      </c>
      <c r="D324" s="36" t="s">
        <v>60</v>
      </c>
      <c r="E324" s="36" t="s">
        <v>72</v>
      </c>
      <c r="F324" s="36"/>
      <c r="G324" s="36" t="s">
        <v>64</v>
      </c>
      <c r="H324" s="79" t="s">
        <v>286</v>
      </c>
      <c r="I324" s="80">
        <v>572.72727272727275</v>
      </c>
      <c r="J324" s="36" t="s">
        <v>68</v>
      </c>
      <c r="K324" s="78">
        <v>45941</v>
      </c>
      <c r="L324" s="81" t="s">
        <v>14</v>
      </c>
      <c r="M324" s="75" t="s">
        <v>225</v>
      </c>
      <c r="N324" s="36">
        <v>2025</v>
      </c>
    </row>
    <row r="325" spans="1:14">
      <c r="A325" s="36">
        <v>324</v>
      </c>
      <c r="B325" s="36" t="s">
        <v>42</v>
      </c>
      <c r="C325" s="78" t="s">
        <v>50</v>
      </c>
      <c r="D325" s="36" t="s">
        <v>60</v>
      </c>
      <c r="E325" s="36" t="s">
        <v>72</v>
      </c>
      <c r="F325" s="36"/>
      <c r="G325" s="36" t="s">
        <v>64</v>
      </c>
      <c r="H325" s="79" t="s">
        <v>287</v>
      </c>
      <c r="I325" s="80">
        <v>1364.3356643356644</v>
      </c>
      <c r="J325" s="36" t="s">
        <v>68</v>
      </c>
      <c r="K325" s="78">
        <v>45699</v>
      </c>
      <c r="L325" s="81" t="s">
        <v>14</v>
      </c>
      <c r="M325" s="75" t="s">
        <v>225</v>
      </c>
      <c r="N325" s="36">
        <v>2025</v>
      </c>
    </row>
    <row r="326" spans="1:14">
      <c r="A326" s="36">
        <v>325</v>
      </c>
      <c r="B326" s="36" t="s">
        <v>42</v>
      </c>
      <c r="C326" s="78" t="s">
        <v>50</v>
      </c>
      <c r="D326" s="36" t="s">
        <v>60</v>
      </c>
      <c r="E326" s="36" t="s">
        <v>72</v>
      </c>
      <c r="F326" s="36"/>
      <c r="G326" s="36" t="s">
        <v>64</v>
      </c>
      <c r="H326" s="79" t="s">
        <v>287</v>
      </c>
      <c r="I326" s="80">
        <v>1536.3636363636363</v>
      </c>
      <c r="J326" s="36" t="s">
        <v>68</v>
      </c>
      <c r="K326" s="78">
        <v>45819</v>
      </c>
      <c r="L326" s="81" t="s">
        <v>14</v>
      </c>
      <c r="M326" s="75" t="s">
        <v>225</v>
      </c>
      <c r="N326" s="36">
        <v>2025</v>
      </c>
    </row>
    <row r="327" spans="1:14">
      <c r="A327" s="36">
        <v>326</v>
      </c>
      <c r="B327" s="36" t="s">
        <v>42</v>
      </c>
      <c r="C327" s="78" t="s">
        <v>51</v>
      </c>
      <c r="D327" s="36" t="s">
        <v>60</v>
      </c>
      <c r="E327" s="36" t="s">
        <v>72</v>
      </c>
      <c r="F327" s="36"/>
      <c r="G327" s="36" t="s">
        <v>64</v>
      </c>
      <c r="H327" s="79" t="s">
        <v>352</v>
      </c>
      <c r="I327" s="80">
        <v>754.5454545454545</v>
      </c>
      <c r="J327" s="36" t="s">
        <v>68</v>
      </c>
      <c r="K327" s="78" t="s">
        <v>323</v>
      </c>
      <c r="L327" s="81" t="s">
        <v>14</v>
      </c>
      <c r="M327" s="75" t="s">
        <v>225</v>
      </c>
      <c r="N327" s="36">
        <v>2025</v>
      </c>
    </row>
    <row r="328" spans="1:14">
      <c r="A328" s="36">
        <v>327</v>
      </c>
      <c r="B328" s="36" t="s">
        <v>42</v>
      </c>
      <c r="C328" s="78" t="s">
        <v>51</v>
      </c>
      <c r="D328" s="36" t="s">
        <v>60</v>
      </c>
      <c r="E328" s="36" t="s">
        <v>72</v>
      </c>
      <c r="F328" s="36"/>
      <c r="G328" s="36" t="s">
        <v>64</v>
      </c>
      <c r="H328" s="79" t="s">
        <v>352</v>
      </c>
      <c r="I328" s="80">
        <v>818.88111888111894</v>
      </c>
      <c r="J328" s="36" t="s">
        <v>68</v>
      </c>
      <c r="K328" s="78" t="s">
        <v>275</v>
      </c>
      <c r="L328" s="81" t="s">
        <v>14</v>
      </c>
      <c r="M328" s="75" t="s">
        <v>225</v>
      </c>
      <c r="N328" s="36">
        <v>2025</v>
      </c>
    </row>
    <row r="329" spans="1:14">
      <c r="A329" s="36">
        <v>328</v>
      </c>
      <c r="B329" s="36" t="s">
        <v>42</v>
      </c>
      <c r="C329" s="36" t="s">
        <v>74</v>
      </c>
      <c r="D329" s="36" t="s">
        <v>60</v>
      </c>
      <c r="E329" s="36" t="s">
        <v>72</v>
      </c>
      <c r="F329" s="36"/>
      <c r="G329" s="36" t="s">
        <v>64</v>
      </c>
      <c r="H329" s="36" t="s">
        <v>291</v>
      </c>
      <c r="I329" s="80">
        <v>2721.6783216783215</v>
      </c>
      <c r="J329" s="36" t="s">
        <v>68</v>
      </c>
      <c r="K329" s="78" t="s">
        <v>322</v>
      </c>
      <c r="L329" s="81" t="s">
        <v>14</v>
      </c>
      <c r="M329" s="75" t="s">
        <v>225</v>
      </c>
      <c r="N329" s="36">
        <v>2025</v>
      </c>
    </row>
    <row r="330" spans="1:14">
      <c r="A330" s="36">
        <v>329</v>
      </c>
      <c r="B330" s="36" t="s">
        <v>42</v>
      </c>
      <c r="C330" s="78" t="s">
        <v>71</v>
      </c>
      <c r="D330" s="36" t="s">
        <v>60</v>
      </c>
      <c r="E330" s="36" t="s">
        <v>103</v>
      </c>
      <c r="F330" s="36"/>
      <c r="G330" s="36" t="s">
        <v>64</v>
      </c>
      <c r="H330" s="79" t="s">
        <v>345</v>
      </c>
      <c r="I330" s="80">
        <v>407.69230769230768</v>
      </c>
      <c r="J330" s="36" t="s">
        <v>68</v>
      </c>
      <c r="K330" s="78" t="s">
        <v>325</v>
      </c>
      <c r="L330" s="81" t="s">
        <v>14</v>
      </c>
      <c r="M330" s="75" t="s">
        <v>225</v>
      </c>
      <c r="N330" s="36">
        <v>2025</v>
      </c>
    </row>
    <row r="331" spans="1:14">
      <c r="A331" s="36">
        <v>330</v>
      </c>
      <c r="B331" s="36" t="s">
        <v>42</v>
      </c>
      <c r="C331" s="78" t="s">
        <v>45</v>
      </c>
      <c r="D331" s="36" t="s">
        <v>60</v>
      </c>
      <c r="E331" s="36" t="s">
        <v>103</v>
      </c>
      <c r="F331" s="36"/>
      <c r="G331" s="36" t="s">
        <v>64</v>
      </c>
      <c r="H331" s="79" t="s">
        <v>345</v>
      </c>
      <c r="I331" s="80">
        <v>365.03496503496501</v>
      </c>
      <c r="J331" s="36" t="s">
        <v>68</v>
      </c>
      <c r="K331" s="78" t="s">
        <v>325</v>
      </c>
      <c r="L331" s="81" t="s">
        <v>14</v>
      </c>
      <c r="M331" s="75" t="s">
        <v>225</v>
      </c>
      <c r="N331" s="36">
        <v>2025</v>
      </c>
    </row>
    <row r="332" spans="1:14">
      <c r="A332" s="36">
        <v>331</v>
      </c>
      <c r="B332" s="36" t="s">
        <v>42</v>
      </c>
      <c r="C332" s="78" t="s">
        <v>47</v>
      </c>
      <c r="D332" s="36" t="s">
        <v>60</v>
      </c>
      <c r="E332" s="36" t="s">
        <v>103</v>
      </c>
      <c r="F332" s="36"/>
      <c r="G332" s="36" t="s">
        <v>64</v>
      </c>
      <c r="H332" s="79" t="s">
        <v>345</v>
      </c>
      <c r="I332" s="80">
        <v>37.06293706293706</v>
      </c>
      <c r="J332" s="36" t="s">
        <v>68</v>
      </c>
      <c r="K332" s="78" t="s">
        <v>325</v>
      </c>
      <c r="L332" s="81" t="s">
        <v>14</v>
      </c>
      <c r="M332" s="75" t="s">
        <v>225</v>
      </c>
      <c r="N332" s="36">
        <v>2025</v>
      </c>
    </row>
    <row r="333" spans="1:14">
      <c r="A333" s="36">
        <v>332</v>
      </c>
      <c r="B333" s="36" t="s">
        <v>42</v>
      </c>
      <c r="C333" s="78" t="s">
        <v>50</v>
      </c>
      <c r="D333" s="36" t="s">
        <v>60</v>
      </c>
      <c r="E333" s="36" t="s">
        <v>103</v>
      </c>
      <c r="F333" s="36"/>
      <c r="G333" s="36" t="s">
        <v>64</v>
      </c>
      <c r="H333" s="79" t="s">
        <v>345</v>
      </c>
      <c r="I333" s="80">
        <v>258.74125874125872</v>
      </c>
      <c r="J333" s="36" t="s">
        <v>68</v>
      </c>
      <c r="K333" s="78" t="s">
        <v>325</v>
      </c>
      <c r="L333" s="81" t="s">
        <v>14</v>
      </c>
      <c r="M333" s="75" t="s">
        <v>225</v>
      </c>
      <c r="N333" s="36">
        <v>2025</v>
      </c>
    </row>
    <row r="334" spans="1:14">
      <c r="A334" s="36">
        <v>333</v>
      </c>
      <c r="B334" s="36" t="s">
        <v>42</v>
      </c>
      <c r="C334" s="77" t="s">
        <v>43</v>
      </c>
      <c r="D334" s="36" t="s">
        <v>19</v>
      </c>
      <c r="E334" s="36" t="s">
        <v>82</v>
      </c>
      <c r="F334" s="36"/>
      <c r="G334" s="36" t="s">
        <v>21</v>
      </c>
      <c r="H334" s="79" t="s">
        <v>371</v>
      </c>
      <c r="I334" s="84">
        <f>800000/1430</f>
        <v>559.44055944055947</v>
      </c>
      <c r="J334" s="36" t="s">
        <v>14</v>
      </c>
      <c r="K334" s="78" t="s">
        <v>14</v>
      </c>
      <c r="L334" s="81" t="s">
        <v>14</v>
      </c>
      <c r="M334" s="36" t="s">
        <v>225</v>
      </c>
      <c r="N334" s="36">
        <v>2025</v>
      </c>
    </row>
    <row r="335" spans="1:14">
      <c r="A335" s="36">
        <v>334</v>
      </c>
      <c r="B335" s="36" t="s">
        <v>42</v>
      </c>
      <c r="C335" s="36" t="s">
        <v>50</v>
      </c>
      <c r="D335" s="36" t="s">
        <v>19</v>
      </c>
      <c r="E335" s="36" t="s">
        <v>82</v>
      </c>
      <c r="F335" s="36"/>
      <c r="G335" s="36" t="s">
        <v>21</v>
      </c>
      <c r="H335" s="79" t="s">
        <v>371</v>
      </c>
      <c r="I335" s="84">
        <f>6100000/1430</f>
        <v>4265.734265734266</v>
      </c>
      <c r="J335" s="36" t="s">
        <v>14</v>
      </c>
      <c r="K335" s="78" t="s">
        <v>14</v>
      </c>
      <c r="L335" s="81" t="s">
        <v>14</v>
      </c>
      <c r="M335" s="36" t="s">
        <v>225</v>
      </c>
      <c r="N335" s="36">
        <v>2025</v>
      </c>
    </row>
    <row r="336" spans="1:14">
      <c r="A336" s="36">
        <v>335</v>
      </c>
      <c r="B336" s="75" t="s">
        <v>42</v>
      </c>
      <c r="C336" s="36" t="s">
        <v>375</v>
      </c>
      <c r="D336" s="36" t="s">
        <v>60</v>
      </c>
      <c r="E336" s="36" t="s">
        <v>63</v>
      </c>
      <c r="F336" s="36"/>
      <c r="G336" s="36" t="s">
        <v>21</v>
      </c>
      <c r="H336" s="36" t="s">
        <v>63</v>
      </c>
      <c r="I336" s="84">
        <v>5069.9300699300702</v>
      </c>
      <c r="J336" s="78" t="s">
        <v>14</v>
      </c>
      <c r="K336" s="78" t="s">
        <v>14</v>
      </c>
      <c r="L336" s="81" t="s">
        <v>14</v>
      </c>
      <c r="M336" s="75" t="s">
        <v>225</v>
      </c>
      <c r="N336" s="36">
        <v>2025</v>
      </c>
    </row>
    <row r="337" spans="1:14">
      <c r="A337" s="36">
        <v>336</v>
      </c>
      <c r="B337" s="36" t="s">
        <v>42</v>
      </c>
      <c r="C337" s="36" t="s">
        <v>51</v>
      </c>
      <c r="D337" s="36" t="s">
        <v>60</v>
      </c>
      <c r="E337" s="36" t="s">
        <v>87</v>
      </c>
      <c r="F337" s="36"/>
      <c r="G337" s="36" t="s">
        <v>94</v>
      </c>
      <c r="H337" s="36" t="s">
        <v>92</v>
      </c>
      <c r="I337" s="84">
        <f>2000000/1430</f>
        <v>1398.6013986013986</v>
      </c>
      <c r="J337" s="36">
        <v>2531</v>
      </c>
      <c r="K337" s="78">
        <v>45991</v>
      </c>
      <c r="L337" s="36" t="s">
        <v>14</v>
      </c>
      <c r="M337" s="75" t="s">
        <v>225</v>
      </c>
      <c r="N337" s="36">
        <v>2025</v>
      </c>
    </row>
    <row r="338" spans="1:14">
      <c r="A338" s="36">
        <v>337</v>
      </c>
      <c r="B338" s="75" t="s">
        <v>42</v>
      </c>
      <c r="C338" s="75" t="s">
        <v>43</v>
      </c>
      <c r="D338" s="36" t="s">
        <v>19</v>
      </c>
      <c r="E338" s="36" t="s">
        <v>87</v>
      </c>
      <c r="F338" s="36"/>
      <c r="G338" s="75" t="s">
        <v>91</v>
      </c>
      <c r="H338" s="75" t="s">
        <v>299</v>
      </c>
      <c r="I338" s="84">
        <v>6455.083391608392</v>
      </c>
      <c r="J338" s="36" t="s">
        <v>14</v>
      </c>
      <c r="K338" s="78" t="s">
        <v>14</v>
      </c>
      <c r="L338" s="36" t="s">
        <v>14</v>
      </c>
      <c r="M338" s="75" t="s">
        <v>225</v>
      </c>
      <c r="N338" s="36">
        <v>2025</v>
      </c>
    </row>
    <row r="339" spans="1:14">
      <c r="A339" s="36">
        <v>338</v>
      </c>
      <c r="B339" s="75" t="s">
        <v>42</v>
      </c>
      <c r="C339" s="36" t="s">
        <v>44</v>
      </c>
      <c r="D339" s="36" t="s">
        <v>19</v>
      </c>
      <c r="E339" s="36" t="s">
        <v>87</v>
      </c>
      <c r="F339" s="36"/>
      <c r="G339" s="75" t="s">
        <v>91</v>
      </c>
      <c r="H339" s="75" t="s">
        <v>299</v>
      </c>
      <c r="I339" s="84">
        <v>233.99676923076925</v>
      </c>
      <c r="J339" s="36" t="s">
        <v>14</v>
      </c>
      <c r="K339" s="78" t="s">
        <v>14</v>
      </c>
      <c r="L339" s="36" t="s">
        <v>14</v>
      </c>
      <c r="M339" s="75" t="s">
        <v>225</v>
      </c>
      <c r="N339" s="36">
        <v>2025</v>
      </c>
    </row>
    <row r="340" spans="1:14">
      <c r="A340" s="36">
        <v>339</v>
      </c>
      <c r="B340" s="75" t="s">
        <v>42</v>
      </c>
      <c r="C340" s="36" t="s">
        <v>45</v>
      </c>
      <c r="D340" s="36" t="s">
        <v>19</v>
      </c>
      <c r="E340" s="36" t="s">
        <v>87</v>
      </c>
      <c r="F340" s="36"/>
      <c r="G340" s="75" t="s">
        <v>91</v>
      </c>
      <c r="H340" s="75" t="s">
        <v>299</v>
      </c>
      <c r="I340" s="84">
        <v>6457.2014545454549</v>
      </c>
      <c r="J340" s="36" t="s">
        <v>14</v>
      </c>
      <c r="K340" s="78" t="s">
        <v>14</v>
      </c>
      <c r="L340" s="36" t="s">
        <v>14</v>
      </c>
      <c r="M340" s="75" t="s">
        <v>225</v>
      </c>
      <c r="N340" s="36">
        <v>2025</v>
      </c>
    </row>
    <row r="341" spans="1:14">
      <c r="A341" s="36">
        <v>340</v>
      </c>
      <c r="B341" s="75" t="s">
        <v>42</v>
      </c>
      <c r="C341" s="36" t="s">
        <v>375</v>
      </c>
      <c r="D341" s="36" t="s">
        <v>19</v>
      </c>
      <c r="E341" s="36" t="s">
        <v>87</v>
      </c>
      <c r="F341" s="36"/>
      <c r="G341" s="75" t="s">
        <v>91</v>
      </c>
      <c r="H341" s="75" t="s">
        <v>299</v>
      </c>
      <c r="I341" s="84">
        <v>435.7181258741258</v>
      </c>
      <c r="J341" s="36" t="s">
        <v>14</v>
      </c>
      <c r="K341" s="78" t="s">
        <v>14</v>
      </c>
      <c r="L341" s="36" t="s">
        <v>14</v>
      </c>
      <c r="M341" s="75" t="s">
        <v>225</v>
      </c>
      <c r="N341" s="36">
        <v>2025</v>
      </c>
    </row>
    <row r="342" spans="1:14">
      <c r="A342" s="36">
        <v>341</v>
      </c>
      <c r="B342" s="75" t="s">
        <v>42</v>
      </c>
      <c r="C342" s="36" t="s">
        <v>50</v>
      </c>
      <c r="D342" s="36" t="s">
        <v>19</v>
      </c>
      <c r="E342" s="36" t="s">
        <v>87</v>
      </c>
      <c r="F342" s="36"/>
      <c r="G342" s="75" t="s">
        <v>91</v>
      </c>
      <c r="H342" s="75" t="s">
        <v>299</v>
      </c>
      <c r="I342" s="84">
        <v>40327.494811188808</v>
      </c>
      <c r="J342" s="36" t="s">
        <v>14</v>
      </c>
      <c r="K342" s="78" t="s">
        <v>14</v>
      </c>
      <c r="L342" s="36" t="s">
        <v>14</v>
      </c>
      <c r="M342" s="75" t="s">
        <v>225</v>
      </c>
      <c r="N342" s="36">
        <v>2025</v>
      </c>
    </row>
    <row r="343" spans="1:14">
      <c r="A343" s="36">
        <v>342</v>
      </c>
      <c r="B343" s="75" t="s">
        <v>42</v>
      </c>
      <c r="C343" s="75" t="s">
        <v>43</v>
      </c>
      <c r="D343" s="36" t="s">
        <v>19</v>
      </c>
      <c r="E343" s="36" t="s">
        <v>87</v>
      </c>
      <c r="F343" s="36"/>
      <c r="G343" s="75" t="s">
        <v>90</v>
      </c>
      <c r="H343" s="75" t="s">
        <v>299</v>
      </c>
      <c r="I343" s="84">
        <v>5152.770335664336</v>
      </c>
      <c r="J343" s="36" t="s">
        <v>14</v>
      </c>
      <c r="K343" s="78" t="s">
        <v>14</v>
      </c>
      <c r="L343" s="36" t="s">
        <v>14</v>
      </c>
      <c r="M343" s="75" t="s">
        <v>225</v>
      </c>
      <c r="N343" s="36">
        <v>2025</v>
      </c>
    </row>
    <row r="344" spans="1:14">
      <c r="A344" s="36">
        <v>343</v>
      </c>
      <c r="B344" s="75" t="s">
        <v>42</v>
      </c>
      <c r="C344" s="36" t="s">
        <v>44</v>
      </c>
      <c r="D344" s="36" t="s">
        <v>19</v>
      </c>
      <c r="E344" s="36" t="s">
        <v>87</v>
      </c>
      <c r="F344" s="36"/>
      <c r="G344" s="75" t="s">
        <v>90</v>
      </c>
      <c r="H344" s="75" t="s">
        <v>299</v>
      </c>
      <c r="I344" s="84">
        <v>1124.2603496503498</v>
      </c>
      <c r="J344" s="36" t="s">
        <v>14</v>
      </c>
      <c r="K344" s="78" t="s">
        <v>14</v>
      </c>
      <c r="L344" s="36" t="s">
        <v>14</v>
      </c>
      <c r="M344" s="75" t="s">
        <v>225</v>
      </c>
      <c r="N344" s="36">
        <v>2025</v>
      </c>
    </row>
    <row r="345" spans="1:14">
      <c r="A345" s="36">
        <v>344</v>
      </c>
      <c r="B345" s="75" t="s">
        <v>42</v>
      </c>
      <c r="C345" s="36" t="s">
        <v>45</v>
      </c>
      <c r="D345" s="36" t="s">
        <v>19</v>
      </c>
      <c r="E345" s="36" t="s">
        <v>87</v>
      </c>
      <c r="F345" s="36"/>
      <c r="G345" s="75" t="s">
        <v>90</v>
      </c>
      <c r="H345" s="75" t="s">
        <v>299</v>
      </c>
      <c r="I345" s="84">
        <v>17266.94448951049</v>
      </c>
      <c r="J345" s="36" t="s">
        <v>14</v>
      </c>
      <c r="K345" s="78" t="s">
        <v>14</v>
      </c>
      <c r="L345" s="36" t="s">
        <v>14</v>
      </c>
      <c r="M345" s="75" t="s">
        <v>225</v>
      </c>
      <c r="N345" s="36">
        <v>2025</v>
      </c>
    </row>
    <row r="346" spans="1:14">
      <c r="A346" s="36">
        <v>345</v>
      </c>
      <c r="B346" s="75" t="s">
        <v>42</v>
      </c>
      <c r="C346" s="36" t="s">
        <v>47</v>
      </c>
      <c r="D346" s="36" t="s">
        <v>19</v>
      </c>
      <c r="E346" s="36" t="s">
        <v>87</v>
      </c>
      <c r="F346" s="36"/>
      <c r="G346" s="75" t="s">
        <v>90</v>
      </c>
      <c r="H346" s="75" t="s">
        <v>299</v>
      </c>
      <c r="I346" s="84">
        <v>1380.849916083916</v>
      </c>
      <c r="J346" s="36" t="s">
        <v>14</v>
      </c>
      <c r="K346" s="78" t="s">
        <v>14</v>
      </c>
      <c r="L346" s="36" t="s">
        <v>14</v>
      </c>
      <c r="M346" s="75" t="s">
        <v>225</v>
      </c>
      <c r="N346" s="36">
        <v>2025</v>
      </c>
    </row>
    <row r="347" spans="1:14">
      <c r="A347" s="36">
        <v>346</v>
      </c>
      <c r="B347" s="75" t="s">
        <v>42</v>
      </c>
      <c r="C347" s="36" t="s">
        <v>375</v>
      </c>
      <c r="D347" s="36" t="s">
        <v>19</v>
      </c>
      <c r="E347" s="36" t="s">
        <v>87</v>
      </c>
      <c r="F347" s="36"/>
      <c r="G347" s="75" t="s">
        <v>90</v>
      </c>
      <c r="H347" s="75" t="s">
        <v>299</v>
      </c>
      <c r="I347" s="84">
        <v>1124.2603496503498</v>
      </c>
      <c r="J347" s="36" t="s">
        <v>14</v>
      </c>
      <c r="K347" s="78" t="s">
        <v>14</v>
      </c>
      <c r="L347" s="36" t="s">
        <v>14</v>
      </c>
      <c r="M347" s="75" t="s">
        <v>225</v>
      </c>
      <c r="N347" s="36">
        <v>2025</v>
      </c>
    </row>
    <row r="348" spans="1:14">
      <c r="A348" s="36">
        <v>347</v>
      </c>
      <c r="B348" s="75" t="s">
        <v>42</v>
      </c>
      <c r="C348" s="36" t="s">
        <v>50</v>
      </c>
      <c r="D348" s="36" t="s">
        <v>19</v>
      </c>
      <c r="E348" s="36" t="s">
        <v>87</v>
      </c>
      <c r="F348" s="36"/>
      <c r="G348" s="75" t="s">
        <v>90</v>
      </c>
      <c r="H348" s="75" t="s">
        <v>299</v>
      </c>
      <c r="I348" s="84">
        <v>132973.10907692308</v>
      </c>
      <c r="J348" s="36" t="s">
        <v>14</v>
      </c>
      <c r="K348" s="78" t="s">
        <v>14</v>
      </c>
      <c r="L348" s="36" t="s">
        <v>14</v>
      </c>
      <c r="M348" s="75" t="s">
        <v>225</v>
      </c>
      <c r="N348" s="36">
        <v>2025</v>
      </c>
    </row>
    <row r="349" spans="1:14">
      <c r="A349" s="36">
        <v>348</v>
      </c>
      <c r="B349" s="75" t="s">
        <v>42</v>
      </c>
      <c r="C349" s="75" t="s">
        <v>49</v>
      </c>
      <c r="D349" s="36" t="s">
        <v>19</v>
      </c>
      <c r="E349" s="36" t="s">
        <v>87</v>
      </c>
      <c r="F349" s="36"/>
      <c r="G349" s="75" t="s">
        <v>90</v>
      </c>
      <c r="H349" s="75" t="s">
        <v>299</v>
      </c>
      <c r="I349" s="84">
        <v>1686.3905174825175</v>
      </c>
      <c r="J349" s="36" t="s">
        <v>14</v>
      </c>
      <c r="K349" s="78" t="s">
        <v>14</v>
      </c>
      <c r="L349" s="36" t="s">
        <v>14</v>
      </c>
      <c r="M349" s="75" t="s">
        <v>225</v>
      </c>
      <c r="N349" s="36">
        <v>2025</v>
      </c>
    </row>
    <row r="350" spans="1:14">
      <c r="A350" s="36">
        <v>349</v>
      </c>
      <c r="B350" s="75" t="s">
        <v>42</v>
      </c>
      <c r="C350" s="36" t="s">
        <v>43</v>
      </c>
      <c r="D350" s="36" t="s">
        <v>19</v>
      </c>
      <c r="E350" s="36" t="s">
        <v>87</v>
      </c>
      <c r="F350" s="36"/>
      <c r="G350" s="75" t="s">
        <v>88</v>
      </c>
      <c r="H350" s="75" t="s">
        <v>299</v>
      </c>
      <c r="I350" s="84">
        <v>4745.1209720279721</v>
      </c>
      <c r="J350" s="36" t="s">
        <v>14</v>
      </c>
      <c r="K350" s="78" t="s">
        <v>14</v>
      </c>
      <c r="L350" s="36" t="s">
        <v>14</v>
      </c>
      <c r="M350" s="75" t="s">
        <v>225</v>
      </c>
      <c r="N350" s="36">
        <v>2025</v>
      </c>
    </row>
    <row r="351" spans="1:14">
      <c r="A351" s="36">
        <v>350</v>
      </c>
      <c r="B351" s="75" t="s">
        <v>42</v>
      </c>
      <c r="C351" s="36" t="s">
        <v>44</v>
      </c>
      <c r="D351" s="36" t="s">
        <v>19</v>
      </c>
      <c r="E351" s="36" t="s">
        <v>87</v>
      </c>
      <c r="F351" s="36"/>
      <c r="G351" s="75" t="s">
        <v>88</v>
      </c>
      <c r="H351" s="75" t="s">
        <v>299</v>
      </c>
      <c r="I351" s="84">
        <v>32504.679825174822</v>
      </c>
      <c r="J351" s="36" t="s">
        <v>14</v>
      </c>
      <c r="K351" s="78" t="s">
        <v>14</v>
      </c>
      <c r="L351" s="36" t="s">
        <v>14</v>
      </c>
      <c r="M351" s="75" t="s">
        <v>225</v>
      </c>
      <c r="N351" s="36">
        <v>2025</v>
      </c>
    </row>
    <row r="352" spans="1:14">
      <c r="A352" s="36">
        <v>351</v>
      </c>
      <c r="B352" s="75" t="s">
        <v>42</v>
      </c>
      <c r="C352" s="36" t="s">
        <v>45</v>
      </c>
      <c r="D352" s="36" t="s">
        <v>19</v>
      </c>
      <c r="E352" s="36" t="s">
        <v>87</v>
      </c>
      <c r="F352" s="36"/>
      <c r="G352" s="75" t="s">
        <v>88</v>
      </c>
      <c r="H352" s="75" t="s">
        <v>299</v>
      </c>
      <c r="I352" s="84">
        <v>64413.304538461533</v>
      </c>
      <c r="J352" s="36" t="s">
        <v>14</v>
      </c>
      <c r="K352" s="78" t="s">
        <v>14</v>
      </c>
      <c r="L352" s="36" t="s">
        <v>14</v>
      </c>
      <c r="M352" s="75" t="s">
        <v>225</v>
      </c>
      <c r="N352" s="36">
        <v>2025</v>
      </c>
    </row>
    <row r="353" spans="1:14">
      <c r="A353" s="36">
        <v>352</v>
      </c>
      <c r="B353" s="75" t="s">
        <v>42</v>
      </c>
      <c r="C353" s="36" t="s">
        <v>46</v>
      </c>
      <c r="D353" s="36" t="s">
        <v>19</v>
      </c>
      <c r="E353" s="36" t="s">
        <v>87</v>
      </c>
      <c r="F353" s="36"/>
      <c r="G353" s="75" t="s">
        <v>88</v>
      </c>
      <c r="H353" s="75" t="s">
        <v>299</v>
      </c>
      <c r="I353" s="84">
        <v>2054.8681818181817</v>
      </c>
      <c r="J353" s="36" t="s">
        <v>14</v>
      </c>
      <c r="K353" s="78" t="s">
        <v>14</v>
      </c>
      <c r="L353" s="36" t="s">
        <v>14</v>
      </c>
      <c r="M353" s="75" t="s">
        <v>225</v>
      </c>
      <c r="N353" s="36">
        <v>2025</v>
      </c>
    </row>
    <row r="354" spans="1:14">
      <c r="A354" s="36">
        <v>353</v>
      </c>
      <c r="B354" s="75" t="s">
        <v>42</v>
      </c>
      <c r="C354" s="36" t="s">
        <v>47</v>
      </c>
      <c r="D354" s="36" t="s">
        <v>19</v>
      </c>
      <c r="E354" s="36" t="s">
        <v>87</v>
      </c>
      <c r="F354" s="36"/>
      <c r="G354" s="75" t="s">
        <v>88</v>
      </c>
      <c r="H354" s="75" t="s">
        <v>299</v>
      </c>
      <c r="I354" s="84">
        <v>15185.045643356643</v>
      </c>
      <c r="J354" s="36" t="s">
        <v>14</v>
      </c>
      <c r="K354" s="78" t="s">
        <v>14</v>
      </c>
      <c r="L354" s="36" t="s">
        <v>14</v>
      </c>
      <c r="M354" s="75" t="s">
        <v>225</v>
      </c>
      <c r="N354" s="36">
        <v>2025</v>
      </c>
    </row>
    <row r="355" spans="1:14">
      <c r="A355" s="36">
        <v>354</v>
      </c>
      <c r="B355" s="75" t="s">
        <v>42</v>
      </c>
      <c r="C355" s="36" t="s">
        <v>375</v>
      </c>
      <c r="D355" s="36" t="s">
        <v>19</v>
      </c>
      <c r="E355" s="36" t="s">
        <v>87</v>
      </c>
      <c r="F355" s="36"/>
      <c r="G355" s="75" t="s">
        <v>88</v>
      </c>
      <c r="H355" s="75" t="s">
        <v>299</v>
      </c>
      <c r="I355" s="84">
        <v>25198.321636363635</v>
      </c>
      <c r="J355" s="36" t="s">
        <v>14</v>
      </c>
      <c r="K355" s="78" t="s">
        <v>14</v>
      </c>
      <c r="L355" s="36" t="s">
        <v>14</v>
      </c>
      <c r="M355" s="75" t="s">
        <v>225</v>
      </c>
      <c r="N355" s="36">
        <v>2025</v>
      </c>
    </row>
    <row r="356" spans="1:14">
      <c r="A356" s="36">
        <v>355</v>
      </c>
      <c r="B356" s="75" t="s">
        <v>42</v>
      </c>
      <c r="C356" s="36" t="s">
        <v>50</v>
      </c>
      <c r="D356" s="36" t="s">
        <v>19</v>
      </c>
      <c r="E356" s="36" t="s">
        <v>87</v>
      </c>
      <c r="F356" s="36"/>
      <c r="G356" s="75" t="s">
        <v>88</v>
      </c>
      <c r="H356" s="75" t="s">
        <v>299</v>
      </c>
      <c r="I356" s="84">
        <v>82693.888944055943</v>
      </c>
      <c r="J356" s="36" t="s">
        <v>14</v>
      </c>
      <c r="K356" s="78" t="s">
        <v>14</v>
      </c>
      <c r="L356" s="36" t="s">
        <v>14</v>
      </c>
      <c r="M356" s="75" t="s">
        <v>225</v>
      </c>
      <c r="N356" s="36">
        <v>2025</v>
      </c>
    </row>
    <row r="357" spans="1:14">
      <c r="A357" s="36">
        <v>356</v>
      </c>
      <c r="B357" s="75" t="s">
        <v>42</v>
      </c>
      <c r="C357" s="36" t="s">
        <v>49</v>
      </c>
      <c r="D357" s="36" t="s">
        <v>19</v>
      </c>
      <c r="E357" s="36" t="s">
        <v>87</v>
      </c>
      <c r="F357" s="36"/>
      <c r="G357" s="75" t="s">
        <v>88</v>
      </c>
      <c r="H357" s="75" t="s">
        <v>299</v>
      </c>
      <c r="I357" s="84">
        <v>605.1640699300699</v>
      </c>
      <c r="J357" s="36" t="s">
        <v>14</v>
      </c>
      <c r="K357" s="78" t="s">
        <v>14</v>
      </c>
      <c r="L357" s="36" t="s">
        <v>14</v>
      </c>
      <c r="M357" s="75" t="s">
        <v>225</v>
      </c>
      <c r="N357" s="36">
        <v>2025</v>
      </c>
    </row>
    <row r="358" spans="1:14">
      <c r="A358" s="36">
        <v>357</v>
      </c>
      <c r="B358" s="75" t="s">
        <v>42</v>
      </c>
      <c r="C358" s="36" t="s">
        <v>51</v>
      </c>
      <c r="D358" s="36" t="s">
        <v>19</v>
      </c>
      <c r="E358" s="36" t="s">
        <v>87</v>
      </c>
      <c r="F358" s="36"/>
      <c r="G358" s="75" t="s">
        <v>88</v>
      </c>
      <c r="H358" s="75" t="s">
        <v>299</v>
      </c>
      <c r="I358" s="84">
        <v>17624.884223776226</v>
      </c>
      <c r="J358" s="36" t="s">
        <v>14</v>
      </c>
      <c r="K358" s="78" t="s">
        <v>14</v>
      </c>
      <c r="L358" s="36" t="s">
        <v>14</v>
      </c>
      <c r="M358" s="75" t="s">
        <v>225</v>
      </c>
      <c r="N358" s="36">
        <v>2025</v>
      </c>
    </row>
    <row r="359" spans="1:14">
      <c r="A359" s="36">
        <v>358</v>
      </c>
      <c r="B359" s="75" t="s">
        <v>42</v>
      </c>
      <c r="C359" s="36" t="s">
        <v>43</v>
      </c>
      <c r="D359" s="36" t="s">
        <v>19</v>
      </c>
      <c r="E359" s="36" t="s">
        <v>87</v>
      </c>
      <c r="F359" s="36"/>
      <c r="G359" s="75" t="s">
        <v>90</v>
      </c>
      <c r="H359" s="75" t="s">
        <v>321</v>
      </c>
      <c r="I359" s="84">
        <v>1958.041958041958</v>
      </c>
      <c r="J359" s="36" t="s">
        <v>14</v>
      </c>
      <c r="K359" s="78" t="s">
        <v>14</v>
      </c>
      <c r="L359" s="36" t="s">
        <v>14</v>
      </c>
      <c r="M359" s="75" t="s">
        <v>225</v>
      </c>
      <c r="N359" s="36">
        <v>2025</v>
      </c>
    </row>
    <row r="360" spans="1:14">
      <c r="A360" s="36">
        <v>359</v>
      </c>
      <c r="B360" s="75" t="s">
        <v>42</v>
      </c>
      <c r="C360" s="36" t="s">
        <v>44</v>
      </c>
      <c r="D360" s="36" t="s">
        <v>19</v>
      </c>
      <c r="E360" s="36" t="s">
        <v>87</v>
      </c>
      <c r="F360" s="36"/>
      <c r="G360" s="75" t="s">
        <v>90</v>
      </c>
      <c r="H360" s="75" t="s">
        <v>321</v>
      </c>
      <c r="I360" s="84">
        <v>2237.7622377622379</v>
      </c>
      <c r="J360" s="36" t="s">
        <v>14</v>
      </c>
      <c r="K360" s="78" t="s">
        <v>14</v>
      </c>
      <c r="L360" s="36" t="s">
        <v>14</v>
      </c>
      <c r="M360" s="75" t="s">
        <v>225</v>
      </c>
      <c r="N360" s="36">
        <v>2025</v>
      </c>
    </row>
    <row r="361" spans="1:14">
      <c r="A361" s="36">
        <v>360</v>
      </c>
      <c r="B361" s="75" t="s">
        <v>42</v>
      </c>
      <c r="C361" s="36" t="s">
        <v>45</v>
      </c>
      <c r="D361" s="36" t="s">
        <v>19</v>
      </c>
      <c r="E361" s="36" t="s">
        <v>87</v>
      </c>
      <c r="F361" s="36"/>
      <c r="G361" s="75" t="s">
        <v>90</v>
      </c>
      <c r="H361" s="75" t="s">
        <v>321</v>
      </c>
      <c r="I361" s="84">
        <v>5422.2701048951049</v>
      </c>
      <c r="J361" s="36" t="s">
        <v>14</v>
      </c>
      <c r="K361" s="78" t="s">
        <v>14</v>
      </c>
      <c r="L361" s="36" t="s">
        <v>14</v>
      </c>
      <c r="M361" s="75" t="s">
        <v>225</v>
      </c>
      <c r="N361" s="36">
        <v>2025</v>
      </c>
    </row>
    <row r="362" spans="1:14">
      <c r="A362" s="36">
        <v>361</v>
      </c>
      <c r="B362" s="75" t="s">
        <v>42</v>
      </c>
      <c r="C362" s="36" t="s">
        <v>47</v>
      </c>
      <c r="D362" s="36" t="s">
        <v>19</v>
      </c>
      <c r="E362" s="36" t="s">
        <v>87</v>
      </c>
      <c r="F362" s="36"/>
      <c r="G362" s="75" t="s">
        <v>90</v>
      </c>
      <c r="H362" s="75" t="s">
        <v>321</v>
      </c>
      <c r="I362" s="84">
        <v>3496.5034965034965</v>
      </c>
      <c r="J362" s="36" t="s">
        <v>14</v>
      </c>
      <c r="K362" s="78" t="s">
        <v>14</v>
      </c>
      <c r="L362" s="36" t="s">
        <v>14</v>
      </c>
      <c r="M362" s="75" t="s">
        <v>225</v>
      </c>
      <c r="N362" s="36">
        <v>2025</v>
      </c>
    </row>
    <row r="363" spans="1:14">
      <c r="A363" s="36">
        <v>362</v>
      </c>
      <c r="B363" s="75" t="s">
        <v>42</v>
      </c>
      <c r="C363" s="36" t="s">
        <v>375</v>
      </c>
      <c r="D363" s="36" t="s">
        <v>19</v>
      </c>
      <c r="E363" s="36" t="s">
        <v>87</v>
      </c>
      <c r="F363" s="36"/>
      <c r="G363" s="75" t="s">
        <v>90</v>
      </c>
      <c r="H363" s="75" t="s">
        <v>321</v>
      </c>
      <c r="I363" s="84">
        <v>2867.132867132867</v>
      </c>
      <c r="J363" s="36" t="s">
        <v>14</v>
      </c>
      <c r="K363" s="78" t="s">
        <v>14</v>
      </c>
      <c r="L363" s="36" t="s">
        <v>14</v>
      </c>
      <c r="M363" s="75" t="s">
        <v>225</v>
      </c>
      <c r="N363" s="36">
        <v>2025</v>
      </c>
    </row>
    <row r="364" spans="1:14">
      <c r="A364" s="36">
        <v>363</v>
      </c>
      <c r="B364" s="75" t="s">
        <v>42</v>
      </c>
      <c r="C364" s="36" t="s">
        <v>50</v>
      </c>
      <c r="D364" s="36" t="s">
        <v>19</v>
      </c>
      <c r="E364" s="36" t="s">
        <v>87</v>
      </c>
      <c r="F364" s="36"/>
      <c r="G364" s="75" t="s">
        <v>90</v>
      </c>
      <c r="H364" s="75" t="s">
        <v>321</v>
      </c>
      <c r="I364" s="84">
        <v>34508.00225174825</v>
      </c>
      <c r="J364" s="36" t="s">
        <v>14</v>
      </c>
      <c r="K364" s="78" t="s">
        <v>14</v>
      </c>
      <c r="L364" s="36" t="s">
        <v>14</v>
      </c>
      <c r="M364" s="75" t="s">
        <v>225</v>
      </c>
      <c r="N364" s="36">
        <v>2025</v>
      </c>
    </row>
    <row r="365" spans="1:14">
      <c r="A365" s="36">
        <v>364</v>
      </c>
      <c r="B365" s="75" t="s">
        <v>42</v>
      </c>
      <c r="C365" s="36" t="s">
        <v>49</v>
      </c>
      <c r="D365" s="36" t="s">
        <v>19</v>
      </c>
      <c r="E365" s="36" t="s">
        <v>87</v>
      </c>
      <c r="F365" s="36"/>
      <c r="G365" s="75" t="s">
        <v>90</v>
      </c>
      <c r="H365" s="75" t="s">
        <v>321</v>
      </c>
      <c r="I365" s="84">
        <v>2517.4825174825173</v>
      </c>
      <c r="J365" s="36" t="s">
        <v>14</v>
      </c>
      <c r="K365" s="78" t="s">
        <v>14</v>
      </c>
      <c r="L365" s="36" t="s">
        <v>14</v>
      </c>
      <c r="M365" s="75" t="s">
        <v>225</v>
      </c>
      <c r="N365" s="36">
        <v>2025</v>
      </c>
    </row>
    <row r="366" spans="1:14">
      <c r="A366" s="36">
        <v>365</v>
      </c>
      <c r="B366" s="75" t="s">
        <v>42</v>
      </c>
      <c r="C366" s="36" t="s">
        <v>43</v>
      </c>
      <c r="D366" s="36" t="s">
        <v>19</v>
      </c>
      <c r="E366" s="36" t="s">
        <v>87</v>
      </c>
      <c r="F366" s="36"/>
      <c r="G366" s="75" t="s">
        <v>88</v>
      </c>
      <c r="H366" s="75" t="s">
        <v>321</v>
      </c>
      <c r="I366" s="84">
        <v>17872.980825174825</v>
      </c>
      <c r="J366" s="36" t="s">
        <v>14</v>
      </c>
      <c r="K366" s="78" t="s">
        <v>14</v>
      </c>
      <c r="L366" s="36" t="s">
        <v>14</v>
      </c>
      <c r="M366" s="75" t="s">
        <v>225</v>
      </c>
      <c r="N366" s="36">
        <v>2025</v>
      </c>
    </row>
    <row r="367" spans="1:14">
      <c r="A367" s="36">
        <v>366</v>
      </c>
      <c r="B367" s="75" t="s">
        <v>42</v>
      </c>
      <c r="C367" s="36" t="s">
        <v>44</v>
      </c>
      <c r="D367" s="36" t="s">
        <v>19</v>
      </c>
      <c r="E367" s="36" t="s">
        <v>87</v>
      </c>
      <c r="F367" s="36"/>
      <c r="G367" s="75" t="s">
        <v>88</v>
      </c>
      <c r="H367" s="75" t="s">
        <v>321</v>
      </c>
      <c r="I367" s="84">
        <v>11687.936783216783</v>
      </c>
      <c r="J367" s="36" t="s">
        <v>14</v>
      </c>
      <c r="K367" s="78" t="s">
        <v>14</v>
      </c>
      <c r="L367" s="36" t="s">
        <v>14</v>
      </c>
      <c r="M367" s="75" t="s">
        <v>225</v>
      </c>
      <c r="N367" s="36">
        <v>2025</v>
      </c>
    </row>
    <row r="368" spans="1:14">
      <c r="A368" s="36">
        <v>367</v>
      </c>
      <c r="B368" s="75" t="s">
        <v>42</v>
      </c>
      <c r="C368" s="36" t="s">
        <v>45</v>
      </c>
      <c r="D368" s="36" t="s">
        <v>19</v>
      </c>
      <c r="E368" s="36" t="s">
        <v>87</v>
      </c>
      <c r="F368" s="36"/>
      <c r="G368" s="75" t="s">
        <v>88</v>
      </c>
      <c r="H368" s="75" t="s">
        <v>321</v>
      </c>
      <c r="I368" s="84">
        <v>24424.53320979021</v>
      </c>
      <c r="J368" s="36" t="s">
        <v>14</v>
      </c>
      <c r="K368" s="78" t="s">
        <v>14</v>
      </c>
      <c r="L368" s="36" t="s">
        <v>14</v>
      </c>
      <c r="M368" s="75" t="s">
        <v>225</v>
      </c>
      <c r="N368" s="36">
        <v>2025</v>
      </c>
    </row>
    <row r="369" spans="1:14">
      <c r="A369" s="36">
        <v>368</v>
      </c>
      <c r="B369" s="75" t="s">
        <v>42</v>
      </c>
      <c r="C369" s="36" t="s">
        <v>46</v>
      </c>
      <c r="D369" s="36" t="s">
        <v>19</v>
      </c>
      <c r="E369" s="36" t="s">
        <v>87</v>
      </c>
      <c r="F369" s="36"/>
      <c r="G369" s="75" t="s">
        <v>88</v>
      </c>
      <c r="H369" s="75" t="s">
        <v>321</v>
      </c>
      <c r="I369" s="84">
        <v>10792.540447552448</v>
      </c>
      <c r="J369" s="36" t="s">
        <v>14</v>
      </c>
      <c r="K369" s="78" t="s">
        <v>14</v>
      </c>
      <c r="L369" s="36" t="s">
        <v>14</v>
      </c>
      <c r="M369" s="75" t="s">
        <v>225</v>
      </c>
      <c r="N369" s="36">
        <v>2025</v>
      </c>
    </row>
    <row r="370" spans="1:14">
      <c r="A370" s="36">
        <v>369</v>
      </c>
      <c r="B370" s="75" t="s">
        <v>42</v>
      </c>
      <c r="C370" s="36" t="s">
        <v>47</v>
      </c>
      <c r="D370" s="36" t="s">
        <v>19</v>
      </c>
      <c r="E370" s="36" t="s">
        <v>87</v>
      </c>
      <c r="F370" s="36"/>
      <c r="G370" s="75" t="s">
        <v>88</v>
      </c>
      <c r="H370" s="75" t="s">
        <v>321</v>
      </c>
      <c r="I370" s="84">
        <v>4708.6245594405591</v>
      </c>
      <c r="J370" s="36" t="s">
        <v>14</v>
      </c>
      <c r="K370" s="78" t="s">
        <v>14</v>
      </c>
      <c r="L370" s="36" t="s">
        <v>14</v>
      </c>
      <c r="M370" s="75" t="s">
        <v>225</v>
      </c>
      <c r="N370" s="36">
        <v>2025</v>
      </c>
    </row>
    <row r="371" spans="1:14">
      <c r="A371" s="36">
        <v>370</v>
      </c>
      <c r="B371" s="75" t="s">
        <v>42</v>
      </c>
      <c r="C371" s="36" t="s">
        <v>375</v>
      </c>
      <c r="D371" s="36" t="s">
        <v>19</v>
      </c>
      <c r="E371" s="36" t="s">
        <v>87</v>
      </c>
      <c r="F371" s="36"/>
      <c r="G371" s="75" t="s">
        <v>88</v>
      </c>
      <c r="H371" s="75" t="s">
        <v>321</v>
      </c>
      <c r="I371" s="84">
        <v>17217.423818181818</v>
      </c>
      <c r="J371" s="36" t="s">
        <v>14</v>
      </c>
      <c r="K371" s="78" t="s">
        <v>14</v>
      </c>
      <c r="L371" s="36" t="s">
        <v>14</v>
      </c>
      <c r="M371" s="75" t="s">
        <v>225</v>
      </c>
      <c r="N371" s="36">
        <v>2025</v>
      </c>
    </row>
    <row r="372" spans="1:14">
      <c r="A372" s="36">
        <v>371</v>
      </c>
      <c r="B372" s="75" t="s">
        <v>42</v>
      </c>
      <c r="C372" s="36" t="s">
        <v>50</v>
      </c>
      <c r="D372" s="36" t="s">
        <v>19</v>
      </c>
      <c r="E372" s="36" t="s">
        <v>87</v>
      </c>
      <c r="F372" s="36"/>
      <c r="G372" s="75" t="s">
        <v>88</v>
      </c>
      <c r="H372" s="75" t="s">
        <v>321</v>
      </c>
      <c r="I372" s="84">
        <v>21474.416664335662</v>
      </c>
      <c r="J372" s="36" t="s">
        <v>14</v>
      </c>
      <c r="K372" s="78" t="s">
        <v>14</v>
      </c>
      <c r="L372" s="36" t="s">
        <v>14</v>
      </c>
      <c r="M372" s="75" t="s">
        <v>225</v>
      </c>
      <c r="N372" s="36">
        <v>2025</v>
      </c>
    </row>
    <row r="373" spans="1:14">
      <c r="A373" s="36">
        <v>372</v>
      </c>
      <c r="B373" s="75" t="s">
        <v>42</v>
      </c>
      <c r="C373" s="36" t="s">
        <v>49</v>
      </c>
      <c r="D373" s="36" t="s">
        <v>19</v>
      </c>
      <c r="E373" s="36" t="s">
        <v>87</v>
      </c>
      <c r="F373" s="36"/>
      <c r="G373" s="75" t="s">
        <v>88</v>
      </c>
      <c r="H373" s="75" t="s">
        <v>321</v>
      </c>
      <c r="I373" s="84">
        <v>3863.6362447552447</v>
      </c>
      <c r="J373" s="36" t="s">
        <v>14</v>
      </c>
      <c r="K373" s="78" t="s">
        <v>14</v>
      </c>
      <c r="L373" s="36" t="s">
        <v>14</v>
      </c>
      <c r="M373" s="75" t="s">
        <v>225</v>
      </c>
      <c r="N373" s="36">
        <v>2025</v>
      </c>
    </row>
    <row r="374" spans="1:14">
      <c r="A374" s="36">
        <v>373</v>
      </c>
      <c r="B374" s="75" t="s">
        <v>42</v>
      </c>
      <c r="C374" s="36" t="s">
        <v>51</v>
      </c>
      <c r="D374" s="36" t="s">
        <v>19</v>
      </c>
      <c r="E374" s="36" t="s">
        <v>87</v>
      </c>
      <c r="F374" s="36"/>
      <c r="G374" s="75" t="s">
        <v>88</v>
      </c>
      <c r="H374" s="75" t="s">
        <v>321</v>
      </c>
      <c r="I374" s="84">
        <v>3712.121097902098</v>
      </c>
      <c r="J374" s="36" t="s">
        <v>14</v>
      </c>
      <c r="K374" s="78" t="s">
        <v>14</v>
      </c>
      <c r="L374" s="36" t="s">
        <v>14</v>
      </c>
      <c r="M374" s="75" t="s">
        <v>225</v>
      </c>
      <c r="N374" s="36">
        <v>2025</v>
      </c>
    </row>
    <row r="375" spans="1:14">
      <c r="A375" s="36">
        <v>374</v>
      </c>
      <c r="B375" s="36" t="s">
        <v>42</v>
      </c>
      <c r="C375" s="36" t="s">
        <v>51</v>
      </c>
      <c r="D375" s="36" t="s">
        <v>60</v>
      </c>
      <c r="E375" s="36" t="s">
        <v>97</v>
      </c>
      <c r="F375" s="36"/>
      <c r="G375" s="36" t="s">
        <v>94</v>
      </c>
      <c r="H375" s="36" t="s">
        <v>99</v>
      </c>
      <c r="I375" s="84">
        <v>1398.6013986013986</v>
      </c>
      <c r="J375" s="36">
        <v>2532</v>
      </c>
      <c r="K375" s="78">
        <v>45991</v>
      </c>
      <c r="L375" s="36" t="s">
        <v>14</v>
      </c>
      <c r="M375" s="36" t="s">
        <v>225</v>
      </c>
      <c r="N375" s="36"/>
    </row>
    <row r="376" spans="1:14">
      <c r="A376" s="36">
        <v>375</v>
      </c>
      <c r="B376" s="36" t="s">
        <v>42</v>
      </c>
      <c r="C376" s="36" t="s">
        <v>51</v>
      </c>
      <c r="D376" s="36" t="s">
        <v>60</v>
      </c>
      <c r="E376" s="36" t="s">
        <v>97</v>
      </c>
      <c r="F376" s="36"/>
      <c r="G376" s="36" t="s">
        <v>98</v>
      </c>
      <c r="H376" s="36" t="s">
        <v>99</v>
      </c>
      <c r="I376" s="84">
        <v>15000</v>
      </c>
      <c r="J376" s="36" t="s">
        <v>311</v>
      </c>
      <c r="K376" s="78">
        <v>45991</v>
      </c>
      <c r="L376" s="36" t="s">
        <v>14</v>
      </c>
      <c r="M376" s="36" t="s">
        <v>225</v>
      </c>
      <c r="N376" s="36"/>
    </row>
    <row r="377" spans="1:14">
      <c r="A377" s="36">
        <v>376</v>
      </c>
      <c r="B377" s="85" t="s">
        <v>42</v>
      </c>
      <c r="C377" s="85" t="s">
        <v>45</v>
      </c>
      <c r="D377" s="36" t="s">
        <v>60</v>
      </c>
      <c r="E377" s="36" t="s">
        <v>101</v>
      </c>
      <c r="F377" s="36"/>
      <c r="G377" s="36" t="s">
        <v>254</v>
      </c>
      <c r="H377" s="36" t="s">
        <v>101</v>
      </c>
      <c r="I377" s="84">
        <v>5000</v>
      </c>
      <c r="J377" s="36" t="s">
        <v>372</v>
      </c>
      <c r="K377" s="78">
        <v>45992</v>
      </c>
      <c r="L377" s="36">
        <v>2025404367</v>
      </c>
      <c r="M377" s="36" t="s">
        <v>225</v>
      </c>
      <c r="N377" s="36">
        <v>2025</v>
      </c>
    </row>
    <row r="378" spans="1:14">
      <c r="A378" s="36">
        <v>377</v>
      </c>
      <c r="B378" s="36" t="s">
        <v>42</v>
      </c>
      <c r="C378" s="36" t="s">
        <v>44</v>
      </c>
      <c r="D378" s="36" t="s">
        <v>60</v>
      </c>
      <c r="E378" s="88" t="s">
        <v>72</v>
      </c>
      <c r="F378" s="36"/>
      <c r="G378" s="87" t="s">
        <v>122</v>
      </c>
      <c r="H378" s="87" t="s">
        <v>123</v>
      </c>
      <c r="I378" s="84">
        <v>8892.7999999999993</v>
      </c>
      <c r="J378" s="87" t="s">
        <v>434</v>
      </c>
      <c r="K378" s="78">
        <v>45966</v>
      </c>
      <c r="L378" s="87">
        <v>2025403986</v>
      </c>
      <c r="M378" s="77" t="s">
        <v>225</v>
      </c>
      <c r="N378" s="36">
        <v>2025</v>
      </c>
    </row>
    <row r="379" spans="1:14">
      <c r="A379" s="36">
        <v>378</v>
      </c>
      <c r="B379" s="36" t="s">
        <v>42</v>
      </c>
      <c r="C379" s="36" t="s">
        <v>44</v>
      </c>
      <c r="D379" s="36" t="s">
        <v>60</v>
      </c>
      <c r="E379" s="88" t="s">
        <v>72</v>
      </c>
      <c r="F379" s="36"/>
      <c r="G379" s="36" t="s">
        <v>122</v>
      </c>
      <c r="H379" s="87" t="s">
        <v>123</v>
      </c>
      <c r="I379" s="84">
        <v>61620</v>
      </c>
      <c r="J379" s="36" t="s">
        <v>464</v>
      </c>
      <c r="K379" s="78">
        <v>45971</v>
      </c>
      <c r="L379" s="36">
        <v>2025404119</v>
      </c>
      <c r="M379" s="77" t="s">
        <v>225</v>
      </c>
      <c r="N379" s="36">
        <v>2025</v>
      </c>
    </row>
    <row r="380" spans="1:14">
      <c r="A380" s="36">
        <v>379</v>
      </c>
      <c r="B380" s="36" t="s">
        <v>42</v>
      </c>
      <c r="C380" s="36" t="s">
        <v>43</v>
      </c>
      <c r="D380" s="36" t="s">
        <v>60</v>
      </c>
      <c r="E380" s="88" t="s">
        <v>72</v>
      </c>
      <c r="F380" s="36"/>
      <c r="G380" s="87" t="s">
        <v>124</v>
      </c>
      <c r="H380" s="36" t="s">
        <v>121</v>
      </c>
      <c r="I380" s="84">
        <v>1120</v>
      </c>
      <c r="J380" s="87" t="s">
        <v>451</v>
      </c>
      <c r="K380" s="78">
        <v>45956</v>
      </c>
      <c r="L380" s="87">
        <v>2025404123</v>
      </c>
      <c r="M380" s="77" t="s">
        <v>225</v>
      </c>
      <c r="N380" s="36">
        <v>2025</v>
      </c>
    </row>
    <row r="381" spans="1:14">
      <c r="A381" s="36">
        <v>380</v>
      </c>
      <c r="B381" s="36" t="s">
        <v>42</v>
      </c>
      <c r="C381" s="36" t="s">
        <v>43</v>
      </c>
      <c r="D381" s="36" t="s">
        <v>60</v>
      </c>
      <c r="E381" s="88" t="s">
        <v>72</v>
      </c>
      <c r="F381" s="36"/>
      <c r="G381" s="36" t="s">
        <v>124</v>
      </c>
      <c r="H381" s="36" t="s">
        <v>121</v>
      </c>
      <c r="I381" s="84">
        <v>330.76923076923077</v>
      </c>
      <c r="J381" s="36" t="s">
        <v>571</v>
      </c>
      <c r="K381" s="78">
        <v>45979</v>
      </c>
      <c r="L381" s="36">
        <v>2025404396</v>
      </c>
      <c r="M381" s="77" t="s">
        <v>225</v>
      </c>
      <c r="N381" s="36">
        <v>2025</v>
      </c>
    </row>
    <row r="382" spans="1:14">
      <c r="A382" s="36">
        <v>381</v>
      </c>
      <c r="B382" s="36" t="s">
        <v>42</v>
      </c>
      <c r="C382" s="36" t="s">
        <v>50</v>
      </c>
      <c r="D382" s="36" t="s">
        <v>60</v>
      </c>
      <c r="E382" s="88" t="s">
        <v>72</v>
      </c>
      <c r="F382" s="36"/>
      <c r="G382" s="36" t="s">
        <v>124</v>
      </c>
      <c r="H382" s="36" t="s">
        <v>121</v>
      </c>
      <c r="I382" s="84">
        <v>524.47552447552448</v>
      </c>
      <c r="J382" s="36" t="s">
        <v>575</v>
      </c>
      <c r="K382" s="78">
        <v>45962</v>
      </c>
      <c r="L382" s="36">
        <v>2025404059</v>
      </c>
      <c r="M382" s="77" t="s">
        <v>225</v>
      </c>
      <c r="N382" s="36">
        <v>2025</v>
      </c>
    </row>
    <row r="383" spans="1:14">
      <c r="A383" s="36">
        <v>382</v>
      </c>
      <c r="B383" s="88" t="s">
        <v>42</v>
      </c>
      <c r="C383" s="88" t="s">
        <v>47</v>
      </c>
      <c r="D383" s="36" t="s">
        <v>60</v>
      </c>
      <c r="E383" s="36" t="s">
        <v>72</v>
      </c>
      <c r="F383" s="36"/>
      <c r="G383" s="36" t="s">
        <v>124</v>
      </c>
      <c r="H383" s="36" t="s">
        <v>121</v>
      </c>
      <c r="I383" s="84">
        <v>629.37062937062933</v>
      </c>
      <c r="J383" s="36" t="s">
        <v>576</v>
      </c>
      <c r="K383" s="78">
        <v>45969</v>
      </c>
      <c r="L383" s="36">
        <v>2025404133</v>
      </c>
      <c r="M383" s="77" t="s">
        <v>225</v>
      </c>
      <c r="N383" s="36">
        <v>2025</v>
      </c>
    </row>
    <row r="384" spans="1:14">
      <c r="A384" s="36">
        <v>383</v>
      </c>
      <c r="B384" s="36" t="s">
        <v>42</v>
      </c>
      <c r="C384" s="36" t="s">
        <v>50</v>
      </c>
      <c r="D384" s="36" t="s">
        <v>60</v>
      </c>
      <c r="E384" s="36" t="s">
        <v>72</v>
      </c>
      <c r="F384" s="36"/>
      <c r="G384" s="36" t="s">
        <v>424</v>
      </c>
      <c r="H384" s="36" t="s">
        <v>121</v>
      </c>
      <c r="I384" s="84">
        <v>14195.804195804196</v>
      </c>
      <c r="J384" s="36" t="s">
        <v>608</v>
      </c>
      <c r="K384" s="78">
        <v>45971</v>
      </c>
      <c r="L384" s="36">
        <v>2025404191</v>
      </c>
      <c r="M384" s="77" t="s">
        <v>225</v>
      </c>
      <c r="N384" s="36">
        <v>2025</v>
      </c>
    </row>
    <row r="385" spans="1:14">
      <c r="A385" s="36">
        <v>384</v>
      </c>
      <c r="B385" s="36" t="s">
        <v>42</v>
      </c>
      <c r="C385" s="36" t="s">
        <v>50</v>
      </c>
      <c r="D385" s="36" t="s">
        <v>60</v>
      </c>
      <c r="E385" s="88" t="s">
        <v>72</v>
      </c>
      <c r="F385" s="36"/>
      <c r="G385" s="36" t="s">
        <v>247</v>
      </c>
      <c r="H385" s="36" t="s">
        <v>251</v>
      </c>
      <c r="I385" s="84">
        <v>4090.909090909091</v>
      </c>
      <c r="J385" s="36" t="s">
        <v>591</v>
      </c>
      <c r="K385" s="78">
        <v>45959</v>
      </c>
      <c r="L385" s="36">
        <v>2025403933</v>
      </c>
      <c r="M385" s="77" t="s">
        <v>225</v>
      </c>
      <c r="N385" s="36">
        <v>2025</v>
      </c>
    </row>
    <row r="386" spans="1:14">
      <c r="A386" s="36">
        <v>385</v>
      </c>
      <c r="B386" s="36" t="s">
        <v>42</v>
      </c>
      <c r="C386" s="36" t="s">
        <v>50</v>
      </c>
      <c r="D386" s="36" t="s">
        <v>60</v>
      </c>
      <c r="E386" s="88" t="s">
        <v>72</v>
      </c>
      <c r="F386" s="36"/>
      <c r="G386" s="36" t="s">
        <v>247</v>
      </c>
      <c r="H386" s="36" t="s">
        <v>251</v>
      </c>
      <c r="I386" s="84">
        <v>4090.909090909091</v>
      </c>
      <c r="J386" s="36" t="s">
        <v>592</v>
      </c>
      <c r="K386" s="78">
        <v>45984</v>
      </c>
      <c r="L386" s="36">
        <v>2025404311</v>
      </c>
      <c r="M386" s="77" t="s">
        <v>225</v>
      </c>
      <c r="N386" s="36">
        <v>2025</v>
      </c>
    </row>
    <row r="387" spans="1:14">
      <c r="A387" s="36">
        <v>386</v>
      </c>
      <c r="B387" s="36" t="s">
        <v>42</v>
      </c>
      <c r="C387" s="36" t="s">
        <v>375</v>
      </c>
      <c r="D387" s="36" t="s">
        <v>60</v>
      </c>
      <c r="E387" s="88" t="s">
        <v>72</v>
      </c>
      <c r="F387" s="36"/>
      <c r="G387" s="36" t="s">
        <v>244</v>
      </c>
      <c r="H387" s="36" t="s">
        <v>252</v>
      </c>
      <c r="I387" s="84">
        <v>2097.9020979020979</v>
      </c>
      <c r="J387" s="36" t="s">
        <v>583</v>
      </c>
      <c r="K387" s="78">
        <v>45963</v>
      </c>
      <c r="L387" s="36">
        <v>2025404122</v>
      </c>
      <c r="M387" s="77" t="s">
        <v>225</v>
      </c>
      <c r="N387" s="36">
        <v>2025</v>
      </c>
    </row>
    <row r="388" spans="1:14">
      <c r="A388" s="36">
        <v>387</v>
      </c>
      <c r="B388" s="36" t="s">
        <v>42</v>
      </c>
      <c r="C388" s="36" t="s">
        <v>375</v>
      </c>
      <c r="D388" s="36" t="s">
        <v>60</v>
      </c>
      <c r="E388" s="88" t="s">
        <v>72</v>
      </c>
      <c r="F388" s="36"/>
      <c r="G388" s="36" t="s">
        <v>264</v>
      </c>
      <c r="H388" s="77" t="s">
        <v>253</v>
      </c>
      <c r="I388" s="84">
        <v>8000</v>
      </c>
      <c r="J388" s="36" t="s">
        <v>430</v>
      </c>
      <c r="K388" s="78">
        <v>45969</v>
      </c>
      <c r="L388" s="36">
        <v>2025402864</v>
      </c>
      <c r="M388" s="77" t="s">
        <v>225</v>
      </c>
      <c r="N388" s="36">
        <v>2025</v>
      </c>
    </row>
    <row r="389" spans="1:14">
      <c r="A389" s="36">
        <v>388</v>
      </c>
      <c r="B389" s="36" t="s">
        <v>42</v>
      </c>
      <c r="C389" s="36" t="s">
        <v>47</v>
      </c>
      <c r="D389" s="36" t="s">
        <v>60</v>
      </c>
      <c r="E389" s="36" t="s">
        <v>72</v>
      </c>
      <c r="F389" s="36"/>
      <c r="G389" s="36" t="s">
        <v>125</v>
      </c>
      <c r="H389" s="36" t="s">
        <v>121</v>
      </c>
      <c r="I389" s="84">
        <v>1488.3</v>
      </c>
      <c r="J389" s="36" t="s">
        <v>427</v>
      </c>
      <c r="K389" s="78">
        <v>45957</v>
      </c>
      <c r="L389" s="36">
        <v>2025403876</v>
      </c>
      <c r="M389" s="77" t="s">
        <v>225</v>
      </c>
      <c r="N389" s="36">
        <v>2025</v>
      </c>
    </row>
    <row r="390" spans="1:14">
      <c r="A390" s="36">
        <v>389</v>
      </c>
      <c r="B390" s="36" t="s">
        <v>42</v>
      </c>
      <c r="C390" s="36" t="s">
        <v>50</v>
      </c>
      <c r="D390" s="36" t="s">
        <v>60</v>
      </c>
      <c r="E390" s="88" t="s">
        <v>72</v>
      </c>
      <c r="F390" s="36"/>
      <c r="G390" s="36" t="s">
        <v>125</v>
      </c>
      <c r="H390" s="36" t="s">
        <v>121</v>
      </c>
      <c r="I390" s="84">
        <v>836.61</v>
      </c>
      <c r="J390" s="36" t="s">
        <v>488</v>
      </c>
      <c r="K390" s="78">
        <v>45979</v>
      </c>
      <c r="L390" s="36">
        <v>2025404221</v>
      </c>
      <c r="M390" s="77" t="s">
        <v>225</v>
      </c>
      <c r="N390" s="36">
        <v>2025</v>
      </c>
    </row>
    <row r="391" spans="1:14">
      <c r="A391" s="36">
        <v>390</v>
      </c>
      <c r="B391" s="36" t="s">
        <v>42</v>
      </c>
      <c r="C391" s="36" t="s">
        <v>50</v>
      </c>
      <c r="D391" s="36" t="s">
        <v>60</v>
      </c>
      <c r="E391" s="36" t="s">
        <v>72</v>
      </c>
      <c r="F391" s="36"/>
      <c r="G391" s="36" t="s">
        <v>125</v>
      </c>
      <c r="H391" s="36" t="s">
        <v>121</v>
      </c>
      <c r="I391" s="84">
        <v>832.84</v>
      </c>
      <c r="J391" s="36" t="s">
        <v>489</v>
      </c>
      <c r="K391" s="78">
        <v>45979</v>
      </c>
      <c r="L391" s="36">
        <v>2025404105</v>
      </c>
      <c r="M391" s="77" t="s">
        <v>225</v>
      </c>
      <c r="N391" s="36">
        <v>2025</v>
      </c>
    </row>
    <row r="392" spans="1:14">
      <c r="A392" s="36">
        <v>391</v>
      </c>
      <c r="B392" s="36" t="s">
        <v>42</v>
      </c>
      <c r="C392" s="36" t="s">
        <v>47</v>
      </c>
      <c r="D392" s="36" t="s">
        <v>60</v>
      </c>
      <c r="E392" s="88" t="s">
        <v>72</v>
      </c>
      <c r="F392" s="36"/>
      <c r="G392" s="36" t="s">
        <v>125</v>
      </c>
      <c r="H392" s="36" t="s">
        <v>121</v>
      </c>
      <c r="I392" s="84">
        <v>240.62</v>
      </c>
      <c r="J392" s="36" t="s">
        <v>518</v>
      </c>
      <c r="K392" s="78">
        <v>45979</v>
      </c>
      <c r="L392" s="36">
        <v>2025404225</v>
      </c>
      <c r="M392" s="77" t="s">
        <v>225</v>
      </c>
      <c r="N392" s="36">
        <v>2025</v>
      </c>
    </row>
    <row r="393" spans="1:14">
      <c r="A393" s="36">
        <v>392</v>
      </c>
      <c r="B393" s="36" t="s">
        <v>42</v>
      </c>
      <c r="C393" s="36" t="s">
        <v>375</v>
      </c>
      <c r="D393" s="36" t="s">
        <v>60</v>
      </c>
      <c r="E393" s="36" t="s">
        <v>72</v>
      </c>
      <c r="F393" s="36"/>
      <c r="G393" s="36" t="s">
        <v>125</v>
      </c>
      <c r="H393" s="36" t="s">
        <v>121</v>
      </c>
      <c r="I393" s="84">
        <v>333.3</v>
      </c>
      <c r="J393" s="36" t="s">
        <v>556</v>
      </c>
      <c r="K393" s="78">
        <v>45990</v>
      </c>
      <c r="L393" s="36">
        <v>2025404343</v>
      </c>
      <c r="M393" s="77" t="s">
        <v>225</v>
      </c>
      <c r="N393" s="36">
        <v>2025</v>
      </c>
    </row>
    <row r="394" spans="1:14">
      <c r="A394" s="36">
        <v>393</v>
      </c>
      <c r="B394" s="36" t="s">
        <v>42</v>
      </c>
      <c r="C394" s="36" t="s">
        <v>47</v>
      </c>
      <c r="D394" s="36" t="s">
        <v>60</v>
      </c>
      <c r="E394" s="88" t="s">
        <v>72</v>
      </c>
      <c r="F394" s="36"/>
      <c r="G394" s="36" t="s">
        <v>125</v>
      </c>
      <c r="H394" s="36" t="s">
        <v>121</v>
      </c>
      <c r="I394" s="84">
        <v>61.67</v>
      </c>
      <c r="J394" s="36" t="s">
        <v>557</v>
      </c>
      <c r="K394" s="78">
        <v>45991</v>
      </c>
      <c r="L394" s="36">
        <v>2025404331</v>
      </c>
      <c r="M394" s="77" t="s">
        <v>225</v>
      </c>
      <c r="N394" s="36">
        <v>2025</v>
      </c>
    </row>
    <row r="395" spans="1:14">
      <c r="A395" s="36">
        <v>394</v>
      </c>
      <c r="B395" s="36" t="s">
        <v>42</v>
      </c>
      <c r="C395" s="36" t="s">
        <v>71</v>
      </c>
      <c r="D395" s="36" t="s">
        <v>60</v>
      </c>
      <c r="E395" s="88" t="s">
        <v>72</v>
      </c>
      <c r="F395" s="36"/>
      <c r="G395" s="36" t="s">
        <v>125</v>
      </c>
      <c r="H395" s="36" t="s">
        <v>121</v>
      </c>
      <c r="I395" s="84">
        <v>689.22</v>
      </c>
      <c r="J395" s="36" t="s">
        <v>565</v>
      </c>
      <c r="K395" s="78">
        <v>45963</v>
      </c>
      <c r="L395" s="36">
        <v>2025403952</v>
      </c>
      <c r="M395" s="77" t="s">
        <v>225</v>
      </c>
      <c r="N395" s="36">
        <v>2025</v>
      </c>
    </row>
    <row r="396" spans="1:14">
      <c r="A396" s="36">
        <v>395</v>
      </c>
      <c r="B396" s="36" t="s">
        <v>42</v>
      </c>
      <c r="C396" s="36" t="s">
        <v>50</v>
      </c>
      <c r="D396" s="36" t="s">
        <v>60</v>
      </c>
      <c r="E396" s="88" t="s">
        <v>72</v>
      </c>
      <c r="F396" s="36"/>
      <c r="G396" s="36" t="s">
        <v>418</v>
      </c>
      <c r="H396" s="36" t="s">
        <v>121</v>
      </c>
      <c r="I396" s="84">
        <v>452.79720279720277</v>
      </c>
      <c r="J396" s="36" t="s">
        <v>574</v>
      </c>
      <c r="K396" s="78">
        <v>45979</v>
      </c>
      <c r="L396" s="36">
        <v>2025404091</v>
      </c>
      <c r="M396" s="77" t="s">
        <v>225</v>
      </c>
      <c r="N396" s="36">
        <v>2025</v>
      </c>
    </row>
    <row r="397" spans="1:14">
      <c r="A397" s="36">
        <v>396</v>
      </c>
      <c r="B397" s="88" t="s">
        <v>42</v>
      </c>
      <c r="C397" s="36" t="s">
        <v>47</v>
      </c>
      <c r="D397" s="36" t="s">
        <v>60</v>
      </c>
      <c r="E397" s="88" t="s">
        <v>72</v>
      </c>
      <c r="F397" s="36"/>
      <c r="G397" s="88" t="s">
        <v>126</v>
      </c>
      <c r="H397" s="36" t="s">
        <v>121</v>
      </c>
      <c r="I397" s="84">
        <v>60</v>
      </c>
      <c r="J397" s="36" t="s">
        <v>500</v>
      </c>
      <c r="K397" s="78">
        <v>45966</v>
      </c>
      <c r="L397" s="36">
        <v>2025404219</v>
      </c>
      <c r="M397" s="77" t="s">
        <v>225</v>
      </c>
      <c r="N397" s="36">
        <v>2025</v>
      </c>
    </row>
    <row r="398" spans="1:14">
      <c r="A398" s="36">
        <v>397</v>
      </c>
      <c r="B398" s="36" t="s">
        <v>42</v>
      </c>
      <c r="C398" s="36" t="s">
        <v>50</v>
      </c>
      <c r="D398" s="36" t="s">
        <v>60</v>
      </c>
      <c r="E398" s="88" t="s">
        <v>72</v>
      </c>
      <c r="F398" s="36"/>
      <c r="G398" s="36" t="s">
        <v>126</v>
      </c>
      <c r="H398" s="36" t="s">
        <v>121</v>
      </c>
      <c r="I398" s="84">
        <v>62.31</v>
      </c>
      <c r="J398" s="36" t="s">
        <v>548</v>
      </c>
      <c r="K398" s="78">
        <v>45958</v>
      </c>
      <c r="L398" s="36">
        <v>2025404316</v>
      </c>
      <c r="M398" s="77" t="s">
        <v>225</v>
      </c>
      <c r="N398" s="36">
        <v>2025</v>
      </c>
    </row>
    <row r="399" spans="1:14">
      <c r="A399" s="36">
        <v>398</v>
      </c>
      <c r="B399" s="88" t="s">
        <v>42</v>
      </c>
      <c r="C399" s="88" t="s">
        <v>375</v>
      </c>
      <c r="D399" s="36" t="s">
        <v>60</v>
      </c>
      <c r="E399" s="88" t="s">
        <v>72</v>
      </c>
      <c r="F399" s="36"/>
      <c r="G399" s="88" t="s">
        <v>126</v>
      </c>
      <c r="H399" s="36" t="s">
        <v>121</v>
      </c>
      <c r="I399" s="84">
        <v>2211</v>
      </c>
      <c r="J399" s="36" t="s">
        <v>558</v>
      </c>
      <c r="K399" s="78">
        <v>45958</v>
      </c>
      <c r="L399" s="36">
        <v>2025403993</v>
      </c>
      <c r="M399" s="77" t="s">
        <v>225</v>
      </c>
      <c r="N399" s="36">
        <v>2025</v>
      </c>
    </row>
    <row r="400" spans="1:14">
      <c r="A400" s="36">
        <v>399</v>
      </c>
      <c r="B400" s="36" t="s">
        <v>42</v>
      </c>
      <c r="C400" s="36" t="s">
        <v>46</v>
      </c>
      <c r="D400" s="36" t="s">
        <v>60</v>
      </c>
      <c r="E400" s="88" t="s">
        <v>72</v>
      </c>
      <c r="F400" s="36"/>
      <c r="G400" s="36" t="s">
        <v>423</v>
      </c>
      <c r="H400" s="36" t="s">
        <v>121</v>
      </c>
      <c r="I400" s="84">
        <v>7160.8391608391612</v>
      </c>
      <c r="J400" s="36" t="s">
        <v>602</v>
      </c>
      <c r="K400" s="78">
        <v>45965</v>
      </c>
      <c r="L400" s="36">
        <v>2025404057</v>
      </c>
      <c r="M400" s="77" t="s">
        <v>225</v>
      </c>
      <c r="N400" s="36">
        <v>2025</v>
      </c>
    </row>
    <row r="401" spans="1:14">
      <c r="A401" s="36">
        <v>400</v>
      </c>
      <c r="B401" s="36" t="s">
        <v>42</v>
      </c>
      <c r="C401" s="36" t="s">
        <v>50</v>
      </c>
      <c r="D401" s="36" t="s">
        <v>60</v>
      </c>
      <c r="E401" s="36" t="s">
        <v>72</v>
      </c>
      <c r="F401" s="36"/>
      <c r="G401" s="36" t="s">
        <v>127</v>
      </c>
      <c r="H401" s="36" t="s">
        <v>121</v>
      </c>
      <c r="I401" s="84">
        <v>9300.6993006993016</v>
      </c>
      <c r="J401" s="36" t="s">
        <v>606</v>
      </c>
      <c r="K401" s="78">
        <v>45964</v>
      </c>
      <c r="L401" s="36">
        <v>2025404090</v>
      </c>
      <c r="M401" s="77" t="s">
        <v>225</v>
      </c>
      <c r="N401" s="36">
        <v>2025</v>
      </c>
    </row>
    <row r="402" spans="1:14">
      <c r="A402" s="36">
        <v>401</v>
      </c>
      <c r="B402" s="36" t="s">
        <v>42</v>
      </c>
      <c r="C402" s="36" t="s">
        <v>45</v>
      </c>
      <c r="D402" s="36" t="s">
        <v>60</v>
      </c>
      <c r="E402" s="36" t="s">
        <v>72</v>
      </c>
      <c r="F402" s="36"/>
      <c r="G402" s="36" t="s">
        <v>241</v>
      </c>
      <c r="H402" s="36" t="s">
        <v>121</v>
      </c>
      <c r="I402" s="84">
        <v>1200</v>
      </c>
      <c r="J402" s="36" t="s">
        <v>509</v>
      </c>
      <c r="K402" s="78">
        <v>45978</v>
      </c>
      <c r="L402" s="36">
        <v>2025404272</v>
      </c>
      <c r="M402" s="77" t="s">
        <v>225</v>
      </c>
      <c r="N402" s="36">
        <v>2025</v>
      </c>
    </row>
    <row r="403" spans="1:14">
      <c r="A403" s="36">
        <v>402</v>
      </c>
      <c r="B403" s="36" t="s">
        <v>42</v>
      </c>
      <c r="C403" s="36" t="s">
        <v>46</v>
      </c>
      <c r="D403" s="36" t="s">
        <v>60</v>
      </c>
      <c r="E403" s="88" t="s">
        <v>72</v>
      </c>
      <c r="F403" s="36"/>
      <c r="G403" s="36" t="s">
        <v>242</v>
      </c>
      <c r="H403" s="36" t="s">
        <v>121</v>
      </c>
      <c r="I403" s="80">
        <v>839.16083916083915</v>
      </c>
      <c r="J403" s="36" t="s">
        <v>578</v>
      </c>
      <c r="K403" s="78">
        <v>45981</v>
      </c>
      <c r="L403" s="36">
        <v>2025404255</v>
      </c>
      <c r="M403" s="77" t="s">
        <v>225</v>
      </c>
      <c r="N403" s="36">
        <v>2025</v>
      </c>
    </row>
    <row r="404" spans="1:14">
      <c r="A404" s="36">
        <v>403</v>
      </c>
      <c r="B404" s="36" t="s">
        <v>42</v>
      </c>
      <c r="C404" s="36" t="s">
        <v>375</v>
      </c>
      <c r="D404" s="36" t="s">
        <v>60</v>
      </c>
      <c r="E404" s="36" t="s">
        <v>72</v>
      </c>
      <c r="F404" s="36"/>
      <c r="G404" s="36" t="s">
        <v>242</v>
      </c>
      <c r="H404" s="36" t="s">
        <v>121</v>
      </c>
      <c r="I404" s="84">
        <v>1084.6153846153845</v>
      </c>
      <c r="J404" s="36" t="s">
        <v>581</v>
      </c>
      <c r="K404" s="78">
        <v>45983</v>
      </c>
      <c r="L404" s="36">
        <v>2025404300</v>
      </c>
      <c r="M404" s="77" t="s">
        <v>225</v>
      </c>
      <c r="N404" s="36">
        <v>2025</v>
      </c>
    </row>
    <row r="405" spans="1:14">
      <c r="A405" s="36">
        <v>404</v>
      </c>
      <c r="B405" s="36" t="s">
        <v>42</v>
      </c>
      <c r="C405" s="36" t="s">
        <v>47</v>
      </c>
      <c r="D405" s="36" t="s">
        <v>60</v>
      </c>
      <c r="E405" s="88" t="s">
        <v>72</v>
      </c>
      <c r="F405" s="36"/>
      <c r="G405" s="36" t="s">
        <v>128</v>
      </c>
      <c r="H405" s="36" t="s">
        <v>121</v>
      </c>
      <c r="I405" s="84">
        <v>107.5</v>
      </c>
      <c r="J405" s="36" t="s">
        <v>431</v>
      </c>
      <c r="K405" s="78">
        <v>45969</v>
      </c>
      <c r="L405" s="36">
        <v>2025404007</v>
      </c>
      <c r="M405" s="77" t="s">
        <v>225</v>
      </c>
      <c r="N405" s="36">
        <v>2025</v>
      </c>
    </row>
    <row r="406" spans="1:14">
      <c r="A406" s="36">
        <v>405</v>
      </c>
      <c r="B406" s="36" t="s">
        <v>42</v>
      </c>
      <c r="C406" s="36" t="s">
        <v>375</v>
      </c>
      <c r="D406" s="36" t="s">
        <v>60</v>
      </c>
      <c r="E406" s="88" t="s">
        <v>72</v>
      </c>
      <c r="F406" s="36"/>
      <c r="G406" s="36" t="s">
        <v>128</v>
      </c>
      <c r="H406" s="36" t="s">
        <v>121</v>
      </c>
      <c r="I406" s="84">
        <v>560</v>
      </c>
      <c r="J406" s="36" t="s">
        <v>439</v>
      </c>
      <c r="K406" s="78">
        <v>45969</v>
      </c>
      <c r="L406" s="36">
        <v>2025403995</v>
      </c>
      <c r="M406" s="77" t="s">
        <v>225</v>
      </c>
      <c r="N406" s="36">
        <v>2025</v>
      </c>
    </row>
    <row r="407" spans="1:14">
      <c r="A407" s="36">
        <v>406</v>
      </c>
      <c r="B407" s="36" t="s">
        <v>42</v>
      </c>
      <c r="C407" s="36" t="s">
        <v>44</v>
      </c>
      <c r="D407" s="36" t="s">
        <v>60</v>
      </c>
      <c r="E407" s="88" t="s">
        <v>72</v>
      </c>
      <c r="F407" s="36"/>
      <c r="G407" s="36" t="s">
        <v>128</v>
      </c>
      <c r="H407" s="36" t="s">
        <v>121</v>
      </c>
      <c r="I407" s="84">
        <v>113</v>
      </c>
      <c r="J407" s="36" t="s">
        <v>442</v>
      </c>
      <c r="K407" s="78">
        <v>45969</v>
      </c>
      <c r="L407" s="36">
        <v>2025404033</v>
      </c>
      <c r="M407" s="77" t="s">
        <v>225</v>
      </c>
      <c r="N407" s="36">
        <v>2025</v>
      </c>
    </row>
    <row r="408" spans="1:14">
      <c r="A408" s="36">
        <v>407</v>
      </c>
      <c r="B408" s="36" t="s">
        <v>42</v>
      </c>
      <c r="C408" s="36" t="s">
        <v>49</v>
      </c>
      <c r="D408" s="36" t="s">
        <v>60</v>
      </c>
      <c r="E408" s="88" t="s">
        <v>72</v>
      </c>
      <c r="F408" s="36"/>
      <c r="G408" s="36" t="s">
        <v>128</v>
      </c>
      <c r="H408" s="36" t="s">
        <v>121</v>
      </c>
      <c r="I408" s="84">
        <v>104</v>
      </c>
      <c r="J408" s="36" t="s">
        <v>446</v>
      </c>
      <c r="K408" s="78">
        <v>45969</v>
      </c>
      <c r="L408" s="36">
        <v>2025403997</v>
      </c>
      <c r="M408" s="77" t="s">
        <v>225</v>
      </c>
      <c r="N408" s="36">
        <v>2025</v>
      </c>
    </row>
    <row r="409" spans="1:14">
      <c r="A409" s="36">
        <v>408</v>
      </c>
      <c r="B409" s="36" t="s">
        <v>42</v>
      </c>
      <c r="C409" s="36" t="s">
        <v>50</v>
      </c>
      <c r="D409" s="36" t="s">
        <v>60</v>
      </c>
      <c r="E409" s="88" t="s">
        <v>72</v>
      </c>
      <c r="F409" s="36"/>
      <c r="G409" s="36" t="s">
        <v>128</v>
      </c>
      <c r="H409" s="36" t="s">
        <v>121</v>
      </c>
      <c r="I409" s="84">
        <v>700</v>
      </c>
      <c r="J409" s="36" t="s">
        <v>447</v>
      </c>
      <c r="K409" s="78">
        <v>45969</v>
      </c>
      <c r="L409" s="36">
        <v>2025403991</v>
      </c>
      <c r="M409" s="77" t="s">
        <v>225</v>
      </c>
      <c r="N409" s="36">
        <v>2025</v>
      </c>
    </row>
    <row r="410" spans="1:14">
      <c r="A410" s="36">
        <v>409</v>
      </c>
      <c r="B410" s="36" t="s">
        <v>42</v>
      </c>
      <c r="C410" s="36" t="s">
        <v>49</v>
      </c>
      <c r="D410" s="36" t="s">
        <v>60</v>
      </c>
      <c r="E410" s="88" t="s">
        <v>72</v>
      </c>
      <c r="F410" s="36"/>
      <c r="G410" s="36" t="s">
        <v>128</v>
      </c>
      <c r="H410" s="36" t="s">
        <v>121</v>
      </c>
      <c r="I410" s="84">
        <v>702</v>
      </c>
      <c r="J410" s="36" t="s">
        <v>449</v>
      </c>
      <c r="K410" s="78">
        <v>45965</v>
      </c>
      <c r="L410" s="36">
        <v>2025403948</v>
      </c>
      <c r="M410" s="77" t="s">
        <v>225</v>
      </c>
      <c r="N410" s="36">
        <v>2025</v>
      </c>
    </row>
    <row r="411" spans="1:14">
      <c r="A411" s="36">
        <v>410</v>
      </c>
      <c r="B411" s="36" t="s">
        <v>42</v>
      </c>
      <c r="C411" s="36" t="s">
        <v>45</v>
      </c>
      <c r="D411" s="36" t="s">
        <v>60</v>
      </c>
      <c r="E411" s="88" t="s">
        <v>72</v>
      </c>
      <c r="F411" s="36"/>
      <c r="G411" s="36" t="s">
        <v>128</v>
      </c>
      <c r="H411" s="36" t="s">
        <v>121</v>
      </c>
      <c r="I411" s="80">
        <v>130</v>
      </c>
      <c r="J411" s="36" t="s">
        <v>454</v>
      </c>
      <c r="K411" s="78">
        <v>45970</v>
      </c>
      <c r="L411" s="36">
        <v>2025403980</v>
      </c>
      <c r="M411" s="77" t="s">
        <v>225</v>
      </c>
      <c r="N411" s="36">
        <v>2025</v>
      </c>
    </row>
    <row r="412" spans="1:14">
      <c r="A412" s="36">
        <v>411</v>
      </c>
      <c r="B412" s="36" t="s">
        <v>42</v>
      </c>
      <c r="C412" s="36" t="s">
        <v>50</v>
      </c>
      <c r="D412" s="36" t="s">
        <v>60</v>
      </c>
      <c r="E412" s="88" t="s">
        <v>72</v>
      </c>
      <c r="F412" s="36"/>
      <c r="G412" s="36" t="s">
        <v>128</v>
      </c>
      <c r="H412" s="36" t="s">
        <v>121</v>
      </c>
      <c r="I412" s="84">
        <v>1856.2</v>
      </c>
      <c r="J412" s="36" t="s">
        <v>456</v>
      </c>
      <c r="K412" s="78">
        <v>45971</v>
      </c>
      <c r="L412" s="36">
        <v>2025404022</v>
      </c>
      <c r="M412" s="77" t="s">
        <v>225</v>
      </c>
      <c r="N412" s="36">
        <v>2025</v>
      </c>
    </row>
    <row r="413" spans="1:14">
      <c r="A413" s="36">
        <v>412</v>
      </c>
      <c r="B413" s="36" t="s">
        <v>42</v>
      </c>
      <c r="C413" s="36" t="s">
        <v>45</v>
      </c>
      <c r="D413" s="36" t="s">
        <v>60</v>
      </c>
      <c r="E413" s="88" t="s">
        <v>72</v>
      </c>
      <c r="F413" s="36"/>
      <c r="G413" s="36" t="s">
        <v>128</v>
      </c>
      <c r="H413" s="36" t="s">
        <v>121</v>
      </c>
      <c r="I413" s="84">
        <v>50</v>
      </c>
      <c r="J413" s="36" t="s">
        <v>462</v>
      </c>
      <c r="K413" s="78">
        <v>45976</v>
      </c>
      <c r="L413" s="36">
        <v>2025404121</v>
      </c>
      <c r="M413" s="77" t="s">
        <v>225</v>
      </c>
      <c r="N413" s="36">
        <v>2025</v>
      </c>
    </row>
    <row r="414" spans="1:14">
      <c r="A414" s="36">
        <v>413</v>
      </c>
      <c r="B414" s="36" t="s">
        <v>42</v>
      </c>
      <c r="C414" s="36" t="s">
        <v>375</v>
      </c>
      <c r="D414" s="36" t="s">
        <v>60</v>
      </c>
      <c r="E414" s="88" t="s">
        <v>72</v>
      </c>
      <c r="F414" s="36"/>
      <c r="G414" s="36" t="s">
        <v>128</v>
      </c>
      <c r="H414" s="36" t="s">
        <v>121</v>
      </c>
      <c r="I414" s="84">
        <v>2133.1999999999998</v>
      </c>
      <c r="J414" s="36" t="s">
        <v>463</v>
      </c>
      <c r="K414" s="78">
        <v>45976</v>
      </c>
      <c r="L414" s="36">
        <v>2025404152</v>
      </c>
      <c r="M414" s="77" t="s">
        <v>225</v>
      </c>
      <c r="N414" s="36">
        <v>2025</v>
      </c>
    </row>
    <row r="415" spans="1:14">
      <c r="A415" s="36">
        <v>414</v>
      </c>
      <c r="B415" s="36" t="s">
        <v>42</v>
      </c>
      <c r="C415" s="36" t="s">
        <v>50</v>
      </c>
      <c r="D415" s="36" t="s">
        <v>60</v>
      </c>
      <c r="E415" s="88" t="s">
        <v>72</v>
      </c>
      <c r="F415" s="36"/>
      <c r="G415" s="36" t="s">
        <v>128</v>
      </c>
      <c r="H415" s="36" t="s">
        <v>121</v>
      </c>
      <c r="I415" s="84">
        <v>795</v>
      </c>
      <c r="J415" s="36" t="s">
        <v>466</v>
      </c>
      <c r="K415" s="78">
        <v>45976</v>
      </c>
      <c r="L415" s="36">
        <v>2025404153</v>
      </c>
      <c r="M415" s="77" t="s">
        <v>225</v>
      </c>
      <c r="N415" s="36">
        <v>2025</v>
      </c>
    </row>
    <row r="416" spans="1:14">
      <c r="A416" s="36">
        <v>415</v>
      </c>
      <c r="B416" s="36" t="s">
        <v>42</v>
      </c>
      <c r="C416" s="36" t="s">
        <v>375</v>
      </c>
      <c r="D416" s="36" t="s">
        <v>60</v>
      </c>
      <c r="E416" s="88" t="s">
        <v>72</v>
      </c>
      <c r="F416" s="36"/>
      <c r="G416" s="36" t="s">
        <v>128</v>
      </c>
      <c r="H416" s="36" t="s">
        <v>121</v>
      </c>
      <c r="I416" s="84">
        <v>75</v>
      </c>
      <c r="J416" s="36" t="s">
        <v>468</v>
      </c>
      <c r="K416" s="78">
        <v>45976</v>
      </c>
      <c r="L416" s="36">
        <v>2025404124</v>
      </c>
      <c r="M416" s="77" t="s">
        <v>225</v>
      </c>
      <c r="N416" s="36">
        <v>2025</v>
      </c>
    </row>
    <row r="417" spans="1:14">
      <c r="A417" s="36">
        <v>416</v>
      </c>
      <c r="B417" s="36" t="s">
        <v>42</v>
      </c>
      <c r="C417" s="36" t="s">
        <v>50</v>
      </c>
      <c r="D417" s="36" t="s">
        <v>60</v>
      </c>
      <c r="E417" s="88" t="s">
        <v>72</v>
      </c>
      <c r="F417" s="36"/>
      <c r="G417" s="36" t="s">
        <v>128</v>
      </c>
      <c r="H417" s="36" t="s">
        <v>121</v>
      </c>
      <c r="I417" s="84">
        <v>620</v>
      </c>
      <c r="J417" s="36" t="s">
        <v>474</v>
      </c>
      <c r="K417" s="78">
        <v>45976</v>
      </c>
      <c r="L417" s="36">
        <v>2025404078</v>
      </c>
      <c r="M417" s="77" t="s">
        <v>225</v>
      </c>
      <c r="N417" s="36">
        <v>2025</v>
      </c>
    </row>
    <row r="418" spans="1:14">
      <c r="A418" s="36">
        <v>417</v>
      </c>
      <c r="B418" s="36" t="s">
        <v>42</v>
      </c>
      <c r="C418" s="36" t="s">
        <v>45</v>
      </c>
      <c r="D418" s="36" t="s">
        <v>60</v>
      </c>
      <c r="E418" s="88" t="s">
        <v>72</v>
      </c>
      <c r="F418" s="36"/>
      <c r="G418" s="36" t="s">
        <v>128</v>
      </c>
      <c r="H418" s="36" t="s">
        <v>121</v>
      </c>
      <c r="I418" s="84">
        <v>830</v>
      </c>
      <c r="J418" s="36" t="s">
        <v>475</v>
      </c>
      <c r="K418" s="78">
        <v>45976</v>
      </c>
      <c r="L418" s="36">
        <v>2025404172</v>
      </c>
      <c r="M418" s="77" t="s">
        <v>225</v>
      </c>
      <c r="N418" s="36">
        <v>2025</v>
      </c>
    </row>
    <row r="419" spans="1:14">
      <c r="A419" s="36">
        <v>418</v>
      </c>
      <c r="B419" s="88" t="s">
        <v>42</v>
      </c>
      <c r="C419" s="88" t="s">
        <v>51</v>
      </c>
      <c r="D419" s="36" t="s">
        <v>60</v>
      </c>
      <c r="E419" s="88" t="s">
        <v>72</v>
      </c>
      <c r="F419" s="36"/>
      <c r="G419" s="88" t="s">
        <v>128</v>
      </c>
      <c r="H419" s="36" t="s">
        <v>121</v>
      </c>
      <c r="I419" s="84">
        <v>130</v>
      </c>
      <c r="J419" s="36" t="s">
        <v>476</v>
      </c>
      <c r="K419" s="78">
        <v>45976</v>
      </c>
      <c r="L419" s="36">
        <v>2025404136</v>
      </c>
      <c r="M419" s="77" t="s">
        <v>225</v>
      </c>
      <c r="N419" s="36">
        <v>2025</v>
      </c>
    </row>
    <row r="420" spans="1:14">
      <c r="A420" s="36">
        <v>419</v>
      </c>
      <c r="B420" s="36" t="s">
        <v>42</v>
      </c>
      <c r="C420" s="36" t="s">
        <v>50</v>
      </c>
      <c r="D420" s="36" t="s">
        <v>60</v>
      </c>
      <c r="E420" s="88" t="s">
        <v>72</v>
      </c>
      <c r="F420" s="36"/>
      <c r="G420" s="36" t="s">
        <v>128</v>
      </c>
      <c r="H420" s="36" t="s">
        <v>121</v>
      </c>
      <c r="I420" s="84">
        <v>226</v>
      </c>
      <c r="J420" s="36" t="s">
        <v>479</v>
      </c>
      <c r="K420" s="78">
        <v>45976</v>
      </c>
      <c r="L420" s="36">
        <v>2025404166</v>
      </c>
      <c r="M420" s="77" t="s">
        <v>225</v>
      </c>
      <c r="N420" s="36">
        <v>2025</v>
      </c>
    </row>
    <row r="421" spans="1:14">
      <c r="A421" s="36">
        <v>420</v>
      </c>
      <c r="B421" s="36" t="s">
        <v>42</v>
      </c>
      <c r="C421" s="36" t="s">
        <v>47</v>
      </c>
      <c r="D421" s="36" t="s">
        <v>60</v>
      </c>
      <c r="E421" s="36" t="s">
        <v>72</v>
      </c>
      <c r="F421" s="36"/>
      <c r="G421" s="36" t="s">
        <v>128</v>
      </c>
      <c r="H421" s="36" t="s">
        <v>121</v>
      </c>
      <c r="I421" s="84">
        <v>600</v>
      </c>
      <c r="J421" s="36" t="s">
        <v>484</v>
      </c>
      <c r="K421" s="78">
        <v>45979</v>
      </c>
      <c r="L421" s="36">
        <v>2025404183</v>
      </c>
      <c r="M421" s="77" t="s">
        <v>225</v>
      </c>
      <c r="N421" s="36">
        <v>2025</v>
      </c>
    </row>
    <row r="422" spans="1:14">
      <c r="A422" s="36">
        <v>421</v>
      </c>
      <c r="B422" s="36" t="s">
        <v>42</v>
      </c>
      <c r="C422" s="36" t="s">
        <v>43</v>
      </c>
      <c r="D422" s="36" t="s">
        <v>60</v>
      </c>
      <c r="E422" s="88" t="s">
        <v>72</v>
      </c>
      <c r="F422" s="36"/>
      <c r="G422" s="36" t="s">
        <v>128</v>
      </c>
      <c r="H422" s="36" t="s">
        <v>121</v>
      </c>
      <c r="I422" s="84">
        <v>796.5</v>
      </c>
      <c r="J422" s="36" t="s">
        <v>487</v>
      </c>
      <c r="K422" s="78">
        <v>45979</v>
      </c>
      <c r="L422" s="36">
        <v>2025404159</v>
      </c>
      <c r="M422" s="77" t="s">
        <v>225</v>
      </c>
      <c r="N422" s="36">
        <v>2025</v>
      </c>
    </row>
    <row r="423" spans="1:14">
      <c r="A423" s="36">
        <v>422</v>
      </c>
      <c r="B423" s="36" t="s">
        <v>42</v>
      </c>
      <c r="C423" s="36" t="s">
        <v>50</v>
      </c>
      <c r="D423" s="36" t="s">
        <v>60</v>
      </c>
      <c r="E423" s="88" t="s">
        <v>72</v>
      </c>
      <c r="F423" s="36"/>
      <c r="G423" s="36" t="s">
        <v>128</v>
      </c>
      <c r="H423" s="36" t="s">
        <v>121</v>
      </c>
      <c r="I423" s="84">
        <v>1250</v>
      </c>
      <c r="J423" s="36" t="s">
        <v>494</v>
      </c>
      <c r="K423" s="78">
        <v>45980</v>
      </c>
      <c r="L423" s="36">
        <v>2025404069</v>
      </c>
      <c r="M423" s="77" t="s">
        <v>225</v>
      </c>
      <c r="N423" s="36">
        <v>2025</v>
      </c>
    </row>
    <row r="424" spans="1:14">
      <c r="A424" s="36">
        <v>423</v>
      </c>
      <c r="B424" s="36" t="s">
        <v>42</v>
      </c>
      <c r="C424" s="36" t="s">
        <v>375</v>
      </c>
      <c r="D424" s="36" t="s">
        <v>60</v>
      </c>
      <c r="E424" s="88" t="s">
        <v>72</v>
      </c>
      <c r="F424" s="36"/>
      <c r="G424" s="36" t="s">
        <v>128</v>
      </c>
      <c r="H424" s="36" t="s">
        <v>121</v>
      </c>
      <c r="I424" s="84">
        <v>640</v>
      </c>
      <c r="J424" s="36" t="s">
        <v>511</v>
      </c>
      <c r="K424" s="78">
        <v>45985</v>
      </c>
      <c r="L424" s="36">
        <v>2025404252</v>
      </c>
      <c r="M424" s="77" t="s">
        <v>225</v>
      </c>
      <c r="N424" s="36">
        <v>2025</v>
      </c>
    </row>
    <row r="425" spans="1:14">
      <c r="A425" s="36">
        <v>424</v>
      </c>
      <c r="B425" s="36" t="s">
        <v>42</v>
      </c>
      <c r="C425" s="36" t="s">
        <v>50</v>
      </c>
      <c r="D425" s="36" t="s">
        <v>60</v>
      </c>
      <c r="E425" s="88" t="s">
        <v>72</v>
      </c>
      <c r="F425" s="36"/>
      <c r="G425" s="36" t="s">
        <v>128</v>
      </c>
      <c r="H425" s="36" t="s">
        <v>121</v>
      </c>
      <c r="I425" s="84">
        <v>67.5</v>
      </c>
      <c r="J425" s="36" t="s">
        <v>525</v>
      </c>
      <c r="K425" s="78">
        <v>45985</v>
      </c>
      <c r="L425" s="36">
        <v>2025404235</v>
      </c>
      <c r="M425" s="77" t="s">
        <v>225</v>
      </c>
      <c r="N425" s="36">
        <v>2025</v>
      </c>
    </row>
    <row r="426" spans="1:14">
      <c r="A426" s="36">
        <v>425</v>
      </c>
      <c r="B426" s="36" t="s">
        <v>42</v>
      </c>
      <c r="C426" s="36" t="s">
        <v>50</v>
      </c>
      <c r="D426" s="36" t="s">
        <v>60</v>
      </c>
      <c r="E426" s="88" t="s">
        <v>72</v>
      </c>
      <c r="F426" s="36"/>
      <c r="G426" s="36" t="s">
        <v>128</v>
      </c>
      <c r="H426" s="36" t="s">
        <v>121</v>
      </c>
      <c r="I426" s="84">
        <v>519</v>
      </c>
      <c r="J426" s="36" t="s">
        <v>526</v>
      </c>
      <c r="K426" s="78">
        <v>45985</v>
      </c>
      <c r="L426" s="36">
        <v>2025404233</v>
      </c>
      <c r="M426" s="77" t="s">
        <v>225</v>
      </c>
      <c r="N426" s="36">
        <v>2025</v>
      </c>
    </row>
    <row r="427" spans="1:14">
      <c r="A427" s="36">
        <v>426</v>
      </c>
      <c r="B427" s="88" t="s">
        <v>42</v>
      </c>
      <c r="C427" s="88" t="s">
        <v>50</v>
      </c>
      <c r="D427" s="36" t="s">
        <v>60</v>
      </c>
      <c r="E427" s="88" t="s">
        <v>72</v>
      </c>
      <c r="F427" s="36"/>
      <c r="G427" s="88" t="s">
        <v>128</v>
      </c>
      <c r="H427" s="36" t="s">
        <v>121</v>
      </c>
      <c r="I427" s="84">
        <v>184.5</v>
      </c>
      <c r="J427" s="36" t="s">
        <v>527</v>
      </c>
      <c r="K427" s="78">
        <v>45985</v>
      </c>
      <c r="L427" s="36">
        <v>2025404236</v>
      </c>
      <c r="M427" s="77" t="s">
        <v>225</v>
      </c>
      <c r="N427" s="36">
        <v>2025</v>
      </c>
    </row>
    <row r="428" spans="1:14">
      <c r="A428" s="36">
        <v>427</v>
      </c>
      <c r="B428" s="36" t="s">
        <v>42</v>
      </c>
      <c r="C428" s="36" t="s">
        <v>50</v>
      </c>
      <c r="D428" s="36" t="s">
        <v>60</v>
      </c>
      <c r="E428" s="88" t="s">
        <v>72</v>
      </c>
      <c r="F428" s="36"/>
      <c r="G428" s="36" t="s">
        <v>128</v>
      </c>
      <c r="H428" s="36" t="s">
        <v>121</v>
      </c>
      <c r="I428" s="84">
        <v>1549.33</v>
      </c>
      <c r="J428" s="36" t="s">
        <v>528</v>
      </c>
      <c r="K428" s="78">
        <v>45985</v>
      </c>
      <c r="L428" s="36">
        <v>2025404232</v>
      </c>
      <c r="M428" s="77" t="s">
        <v>225</v>
      </c>
      <c r="N428" s="36">
        <v>2025</v>
      </c>
    </row>
    <row r="429" spans="1:14">
      <c r="A429" s="36">
        <v>428</v>
      </c>
      <c r="B429" s="36" t="s">
        <v>42</v>
      </c>
      <c r="C429" s="36" t="s">
        <v>375</v>
      </c>
      <c r="D429" s="36" t="s">
        <v>60</v>
      </c>
      <c r="E429" s="36" t="s">
        <v>72</v>
      </c>
      <c r="F429" s="36"/>
      <c r="G429" s="36" t="s">
        <v>128</v>
      </c>
      <c r="H429" s="36" t="s">
        <v>121</v>
      </c>
      <c r="I429" s="84">
        <v>498</v>
      </c>
      <c r="J429" s="36" t="s">
        <v>531</v>
      </c>
      <c r="K429" s="78">
        <v>45985</v>
      </c>
      <c r="L429" s="36">
        <v>2025404230</v>
      </c>
      <c r="M429" s="77" t="s">
        <v>225</v>
      </c>
      <c r="N429" s="36">
        <v>2025</v>
      </c>
    </row>
    <row r="430" spans="1:14">
      <c r="A430" s="36">
        <v>429</v>
      </c>
      <c r="B430" s="36" t="s">
        <v>42</v>
      </c>
      <c r="C430" s="36" t="s">
        <v>50</v>
      </c>
      <c r="D430" s="36" t="s">
        <v>60</v>
      </c>
      <c r="E430" s="88" t="s">
        <v>72</v>
      </c>
      <c r="F430" s="36"/>
      <c r="G430" s="36" t="s">
        <v>128</v>
      </c>
      <c r="H430" s="36" t="s">
        <v>121</v>
      </c>
      <c r="I430" s="84">
        <v>400</v>
      </c>
      <c r="J430" s="36" t="s">
        <v>533</v>
      </c>
      <c r="K430" s="78">
        <v>45985</v>
      </c>
      <c r="L430" s="36">
        <v>2025404100</v>
      </c>
      <c r="M430" s="77" t="s">
        <v>225</v>
      </c>
      <c r="N430" s="36">
        <v>2025</v>
      </c>
    </row>
    <row r="431" spans="1:14">
      <c r="A431" s="36">
        <v>430</v>
      </c>
      <c r="B431" s="36" t="s">
        <v>42</v>
      </c>
      <c r="C431" s="36" t="s">
        <v>50</v>
      </c>
      <c r="D431" s="36" t="s">
        <v>60</v>
      </c>
      <c r="E431" s="88" t="s">
        <v>72</v>
      </c>
      <c r="F431" s="36"/>
      <c r="G431" s="36" t="s">
        <v>128</v>
      </c>
      <c r="H431" s="36" t="s">
        <v>121</v>
      </c>
      <c r="I431" s="84">
        <v>1120</v>
      </c>
      <c r="J431" s="36" t="s">
        <v>539</v>
      </c>
      <c r="K431" s="78">
        <v>45985</v>
      </c>
      <c r="L431" s="36">
        <v>2025404104</v>
      </c>
      <c r="M431" s="77" t="s">
        <v>225</v>
      </c>
      <c r="N431" s="36">
        <v>2025</v>
      </c>
    </row>
    <row r="432" spans="1:14">
      <c r="A432" s="36">
        <v>431</v>
      </c>
      <c r="B432" s="88" t="s">
        <v>42</v>
      </c>
      <c r="C432" s="88" t="s">
        <v>375</v>
      </c>
      <c r="D432" s="36" t="s">
        <v>60</v>
      </c>
      <c r="E432" s="88" t="s">
        <v>72</v>
      </c>
      <c r="F432" s="36"/>
      <c r="G432" s="88" t="s">
        <v>128</v>
      </c>
      <c r="H432" s="36" t="s">
        <v>121</v>
      </c>
      <c r="I432" s="84">
        <v>697.4</v>
      </c>
      <c r="J432" s="36" t="s">
        <v>540</v>
      </c>
      <c r="K432" s="78">
        <v>45985</v>
      </c>
      <c r="L432" s="36">
        <v>2025404092</v>
      </c>
      <c r="M432" s="77" t="s">
        <v>225</v>
      </c>
      <c r="N432" s="36">
        <v>2025</v>
      </c>
    </row>
    <row r="433" spans="1:14">
      <c r="A433" s="36">
        <v>432</v>
      </c>
      <c r="B433" s="36" t="s">
        <v>42</v>
      </c>
      <c r="C433" s="36" t="s">
        <v>375</v>
      </c>
      <c r="D433" s="36" t="s">
        <v>60</v>
      </c>
      <c r="E433" s="88" t="s">
        <v>72</v>
      </c>
      <c r="F433" s="36"/>
      <c r="G433" s="36" t="s">
        <v>128</v>
      </c>
      <c r="H433" s="36" t="s">
        <v>121</v>
      </c>
      <c r="I433" s="84">
        <v>942</v>
      </c>
      <c r="J433" s="36" t="s">
        <v>541</v>
      </c>
      <c r="K433" s="78">
        <v>45987</v>
      </c>
      <c r="L433" s="36">
        <v>2025404254</v>
      </c>
      <c r="M433" s="77" t="s">
        <v>225</v>
      </c>
      <c r="N433" s="36">
        <v>2025</v>
      </c>
    </row>
    <row r="434" spans="1:14">
      <c r="A434" s="36">
        <v>433</v>
      </c>
      <c r="B434" s="36" t="s">
        <v>42</v>
      </c>
      <c r="C434" s="36" t="s">
        <v>45</v>
      </c>
      <c r="D434" s="36" t="s">
        <v>60</v>
      </c>
      <c r="E434" s="88" t="s">
        <v>72</v>
      </c>
      <c r="F434" s="36"/>
      <c r="G434" s="36" t="s">
        <v>128</v>
      </c>
      <c r="H434" s="36" t="s">
        <v>121</v>
      </c>
      <c r="I434" s="84">
        <v>1870</v>
      </c>
      <c r="J434" s="36" t="s">
        <v>542</v>
      </c>
      <c r="K434" s="78">
        <v>45987</v>
      </c>
      <c r="L434" s="36">
        <v>2025404268</v>
      </c>
      <c r="M434" s="77" t="s">
        <v>225</v>
      </c>
      <c r="N434" s="36">
        <v>2025</v>
      </c>
    </row>
    <row r="435" spans="1:14">
      <c r="A435" s="36">
        <v>434</v>
      </c>
      <c r="B435" s="36" t="s">
        <v>42</v>
      </c>
      <c r="C435" s="36" t="s">
        <v>50</v>
      </c>
      <c r="D435" s="36" t="s">
        <v>60</v>
      </c>
      <c r="E435" s="88" t="s">
        <v>72</v>
      </c>
      <c r="F435" s="36"/>
      <c r="G435" s="36" t="s">
        <v>128</v>
      </c>
      <c r="H435" s="36" t="s">
        <v>121</v>
      </c>
      <c r="I435" s="84">
        <v>2439.1999999999998</v>
      </c>
      <c r="J435" s="36" t="s">
        <v>547</v>
      </c>
      <c r="K435" s="78">
        <v>45991</v>
      </c>
      <c r="L435" s="36">
        <v>2025404313</v>
      </c>
      <c r="M435" s="77" t="s">
        <v>225</v>
      </c>
      <c r="N435" s="36">
        <v>2025</v>
      </c>
    </row>
    <row r="436" spans="1:14">
      <c r="A436" s="36">
        <v>435</v>
      </c>
      <c r="B436" s="36" t="s">
        <v>42</v>
      </c>
      <c r="C436" s="36" t="s">
        <v>50</v>
      </c>
      <c r="D436" s="36" t="s">
        <v>60</v>
      </c>
      <c r="E436" s="88" t="s">
        <v>72</v>
      </c>
      <c r="F436" s="36"/>
      <c r="G436" s="36" t="s">
        <v>128</v>
      </c>
      <c r="H436" s="36" t="s">
        <v>121</v>
      </c>
      <c r="I436" s="84">
        <v>300</v>
      </c>
      <c r="J436" s="36" t="s">
        <v>560</v>
      </c>
      <c r="K436" s="78">
        <v>45990</v>
      </c>
      <c r="L436" s="36">
        <v>2025404309</v>
      </c>
      <c r="M436" s="77" t="s">
        <v>225</v>
      </c>
      <c r="N436" s="36">
        <v>2025</v>
      </c>
    </row>
    <row r="437" spans="1:14">
      <c r="A437" s="36">
        <v>436</v>
      </c>
      <c r="B437" s="36" t="s">
        <v>42</v>
      </c>
      <c r="C437" s="36" t="s">
        <v>45</v>
      </c>
      <c r="D437" s="36" t="s">
        <v>60</v>
      </c>
      <c r="E437" s="88" t="s">
        <v>72</v>
      </c>
      <c r="F437" s="36"/>
      <c r="G437" s="36" t="s">
        <v>128</v>
      </c>
      <c r="H437" s="36" t="s">
        <v>121</v>
      </c>
      <c r="I437" s="84">
        <v>2565.3000000000002</v>
      </c>
      <c r="J437" s="36" t="s">
        <v>562</v>
      </c>
      <c r="K437" s="78">
        <v>45991</v>
      </c>
      <c r="L437" s="36">
        <v>2025404310</v>
      </c>
      <c r="M437" s="77" t="s">
        <v>225</v>
      </c>
      <c r="N437" s="36">
        <v>2025</v>
      </c>
    </row>
    <row r="438" spans="1:14">
      <c r="A438" s="36">
        <v>437</v>
      </c>
      <c r="B438" s="36" t="s">
        <v>42</v>
      </c>
      <c r="C438" s="36" t="s">
        <v>43</v>
      </c>
      <c r="D438" s="36" t="s">
        <v>60</v>
      </c>
      <c r="E438" s="88" t="s">
        <v>72</v>
      </c>
      <c r="F438" s="36"/>
      <c r="G438" s="36" t="s">
        <v>128</v>
      </c>
      <c r="H438" s="36" t="s">
        <v>121</v>
      </c>
      <c r="I438" s="84">
        <v>1169.9000000000001</v>
      </c>
      <c r="J438" s="36" t="s">
        <v>563</v>
      </c>
      <c r="K438" s="78">
        <v>45980</v>
      </c>
      <c r="L438" s="36">
        <v>2025404011</v>
      </c>
      <c r="M438" s="77" t="s">
        <v>225</v>
      </c>
      <c r="N438" s="36">
        <v>2025</v>
      </c>
    </row>
    <row r="439" spans="1:14">
      <c r="A439" s="36">
        <v>438</v>
      </c>
      <c r="B439" s="36" t="s">
        <v>42</v>
      </c>
      <c r="C439" s="36" t="s">
        <v>43</v>
      </c>
      <c r="D439" s="36" t="s">
        <v>60</v>
      </c>
      <c r="E439" s="88" t="s">
        <v>72</v>
      </c>
      <c r="F439" s="36"/>
      <c r="G439" s="36" t="s">
        <v>128</v>
      </c>
      <c r="H439" s="36" t="s">
        <v>121</v>
      </c>
      <c r="I439" s="84">
        <v>1405.5</v>
      </c>
      <c r="J439" s="36" t="s">
        <v>566</v>
      </c>
      <c r="K439" s="78">
        <v>45976</v>
      </c>
      <c r="L439" s="36">
        <v>2025404134</v>
      </c>
      <c r="M439" s="77" t="s">
        <v>225</v>
      </c>
      <c r="N439" s="36">
        <v>2025</v>
      </c>
    </row>
    <row r="440" spans="1:14">
      <c r="A440" s="36">
        <v>439</v>
      </c>
      <c r="B440" s="36" t="s">
        <v>42</v>
      </c>
      <c r="C440" s="36" t="s">
        <v>45</v>
      </c>
      <c r="D440" s="36" t="s">
        <v>19</v>
      </c>
      <c r="E440" s="36" t="s">
        <v>81</v>
      </c>
      <c r="F440" s="36"/>
      <c r="G440" s="36" t="s">
        <v>91</v>
      </c>
      <c r="H440" s="36" t="s">
        <v>618</v>
      </c>
      <c r="I440" s="84">
        <v>35619.230769230766</v>
      </c>
      <c r="J440" s="36" t="s">
        <v>14</v>
      </c>
      <c r="K440" s="78" t="s">
        <v>14</v>
      </c>
      <c r="L440" s="36" t="s">
        <v>14</v>
      </c>
      <c r="M440" s="36" t="s">
        <v>225</v>
      </c>
      <c r="N440" s="36">
        <v>2025</v>
      </c>
    </row>
    <row r="441" spans="1:14">
      <c r="A441" s="36">
        <v>440</v>
      </c>
      <c r="B441" s="36" t="s">
        <v>42</v>
      </c>
      <c r="C441" s="36" t="s">
        <v>47</v>
      </c>
      <c r="D441" s="36" t="s">
        <v>19</v>
      </c>
      <c r="E441" s="36" t="s">
        <v>81</v>
      </c>
      <c r="F441" s="36"/>
      <c r="G441" s="36" t="s">
        <v>91</v>
      </c>
      <c r="H441" s="36" t="s">
        <v>618</v>
      </c>
      <c r="I441" s="84">
        <v>67027.594405594413</v>
      </c>
      <c r="J441" s="36" t="s">
        <v>14</v>
      </c>
      <c r="K441" s="78" t="s">
        <v>14</v>
      </c>
      <c r="L441" s="36" t="s">
        <v>14</v>
      </c>
      <c r="M441" s="36" t="s">
        <v>225</v>
      </c>
      <c r="N441" s="36">
        <v>2025</v>
      </c>
    </row>
    <row r="442" spans="1:14">
      <c r="A442" s="36">
        <v>441</v>
      </c>
      <c r="B442" s="36" t="s">
        <v>42</v>
      </c>
      <c r="C442" s="36" t="s">
        <v>43</v>
      </c>
      <c r="D442" s="36" t="s">
        <v>19</v>
      </c>
      <c r="E442" s="36" t="s">
        <v>81</v>
      </c>
      <c r="F442" s="36"/>
      <c r="G442" s="36" t="s">
        <v>91</v>
      </c>
      <c r="H442" s="36" t="s">
        <v>618</v>
      </c>
      <c r="I442" s="84">
        <v>10673.496503496504</v>
      </c>
      <c r="J442" s="36" t="s">
        <v>14</v>
      </c>
      <c r="K442" s="78" t="s">
        <v>14</v>
      </c>
      <c r="L442" s="36" t="s">
        <v>14</v>
      </c>
      <c r="M442" s="36" t="s">
        <v>225</v>
      </c>
      <c r="N442" s="36">
        <v>2025</v>
      </c>
    </row>
    <row r="443" spans="1:14">
      <c r="A443" s="36">
        <v>442</v>
      </c>
      <c r="B443" s="36" t="s">
        <v>42</v>
      </c>
      <c r="C443" s="36" t="s">
        <v>49</v>
      </c>
      <c r="D443" s="36" t="s">
        <v>19</v>
      </c>
      <c r="E443" s="36" t="s">
        <v>81</v>
      </c>
      <c r="F443" s="36"/>
      <c r="G443" s="36" t="s">
        <v>91</v>
      </c>
      <c r="H443" s="36" t="s">
        <v>618</v>
      </c>
      <c r="I443" s="84">
        <v>1019.5804195804196</v>
      </c>
      <c r="J443" s="36" t="s">
        <v>14</v>
      </c>
      <c r="K443" s="78" t="s">
        <v>14</v>
      </c>
      <c r="L443" s="36" t="s">
        <v>14</v>
      </c>
      <c r="M443" s="36" t="s">
        <v>225</v>
      </c>
      <c r="N443" s="36">
        <v>2025</v>
      </c>
    </row>
    <row r="444" spans="1:14">
      <c r="A444" s="36">
        <v>443</v>
      </c>
      <c r="B444" s="36" t="s">
        <v>42</v>
      </c>
      <c r="C444" s="36" t="s">
        <v>44</v>
      </c>
      <c r="D444" s="36" t="s">
        <v>19</v>
      </c>
      <c r="E444" s="36" t="s">
        <v>81</v>
      </c>
      <c r="F444" s="36"/>
      <c r="G444" s="36" t="s">
        <v>91</v>
      </c>
      <c r="H444" s="36" t="s">
        <v>618</v>
      </c>
      <c r="I444" s="84">
        <v>2039.1608391608393</v>
      </c>
      <c r="J444" s="36" t="s">
        <v>14</v>
      </c>
      <c r="K444" s="78" t="s">
        <v>14</v>
      </c>
      <c r="L444" s="36" t="s">
        <v>14</v>
      </c>
      <c r="M444" s="36" t="s">
        <v>225</v>
      </c>
      <c r="N444" s="36">
        <v>2025</v>
      </c>
    </row>
    <row r="445" spans="1:14">
      <c r="A445" s="36">
        <v>444</v>
      </c>
      <c r="B445" s="36" t="s">
        <v>42</v>
      </c>
      <c r="C445" s="36" t="s">
        <v>375</v>
      </c>
      <c r="D445" s="36" t="s">
        <v>19</v>
      </c>
      <c r="E445" s="36" t="s">
        <v>81</v>
      </c>
      <c r="F445" s="36"/>
      <c r="G445" s="36" t="s">
        <v>91</v>
      </c>
      <c r="H445" s="36" t="s">
        <v>618</v>
      </c>
      <c r="I445" s="84">
        <v>1359.4405594405594</v>
      </c>
      <c r="J445" s="36" t="s">
        <v>14</v>
      </c>
      <c r="K445" s="78" t="s">
        <v>14</v>
      </c>
      <c r="L445" s="36" t="s">
        <v>14</v>
      </c>
      <c r="M445" s="36" t="s">
        <v>225</v>
      </c>
      <c r="N445" s="36">
        <v>2025</v>
      </c>
    </row>
    <row r="446" spans="1:14">
      <c r="A446" s="36">
        <v>445</v>
      </c>
      <c r="B446" s="36" t="s">
        <v>42</v>
      </c>
      <c r="C446" s="36" t="s">
        <v>375</v>
      </c>
      <c r="D446" s="36" t="s">
        <v>60</v>
      </c>
      <c r="E446" s="36" t="s">
        <v>81</v>
      </c>
      <c r="F446" s="36"/>
      <c r="G446" s="36" t="s">
        <v>199</v>
      </c>
      <c r="H446" s="36" t="s">
        <v>619</v>
      </c>
      <c r="I446" s="84">
        <v>600</v>
      </c>
      <c r="J446" s="36" t="s">
        <v>389</v>
      </c>
      <c r="K446" s="78">
        <v>45962</v>
      </c>
      <c r="L446" s="36">
        <v>2025403971</v>
      </c>
      <c r="M446" s="36" t="s">
        <v>225</v>
      </c>
      <c r="N446" s="36">
        <v>2025</v>
      </c>
    </row>
    <row r="447" spans="1:14">
      <c r="A447" s="36">
        <v>446</v>
      </c>
      <c r="B447" s="36" t="s">
        <v>42</v>
      </c>
      <c r="C447" s="36" t="s">
        <v>50</v>
      </c>
      <c r="D447" s="36" t="s">
        <v>60</v>
      </c>
      <c r="E447" s="36" t="s">
        <v>81</v>
      </c>
      <c r="F447" s="36"/>
      <c r="G447" s="36" t="s">
        <v>381</v>
      </c>
      <c r="H447" s="36" t="s">
        <v>619</v>
      </c>
      <c r="I447" s="84">
        <v>540</v>
      </c>
      <c r="J447" s="36" t="s">
        <v>393</v>
      </c>
      <c r="K447" s="78">
        <v>45976</v>
      </c>
      <c r="L447" s="36">
        <v>2025404207</v>
      </c>
      <c r="M447" s="36" t="s">
        <v>225</v>
      </c>
      <c r="N447" s="36">
        <v>2025</v>
      </c>
    </row>
    <row r="448" spans="1:14">
      <c r="A448" s="36">
        <v>447</v>
      </c>
      <c r="B448" s="36" t="s">
        <v>42</v>
      </c>
      <c r="C448" s="36" t="s">
        <v>47</v>
      </c>
      <c r="D448" s="36" t="s">
        <v>60</v>
      </c>
      <c r="E448" s="36" t="s">
        <v>81</v>
      </c>
      <c r="F448" s="36"/>
      <c r="G448" s="36" t="s">
        <v>382</v>
      </c>
      <c r="H448" s="36" t="s">
        <v>619</v>
      </c>
      <c r="I448" s="84">
        <v>780</v>
      </c>
      <c r="J448" s="36" t="s">
        <v>394</v>
      </c>
      <c r="K448" s="78">
        <v>45976</v>
      </c>
      <c r="L448" s="36">
        <v>2025404199</v>
      </c>
      <c r="M448" s="36" t="s">
        <v>225</v>
      </c>
      <c r="N448" s="36">
        <v>2025</v>
      </c>
    </row>
    <row r="449" spans="1:14">
      <c r="A449" s="36">
        <v>448</v>
      </c>
      <c r="B449" s="36" t="s">
        <v>42</v>
      </c>
      <c r="C449" s="36" t="s">
        <v>49</v>
      </c>
      <c r="D449" s="36" t="s">
        <v>60</v>
      </c>
      <c r="E449" s="36" t="s">
        <v>81</v>
      </c>
      <c r="F449" s="36"/>
      <c r="G449" s="36" t="s">
        <v>383</v>
      </c>
      <c r="H449" s="36" t="s">
        <v>619</v>
      </c>
      <c r="I449" s="84">
        <v>34.965034965034967</v>
      </c>
      <c r="J449" s="36" t="s">
        <v>395</v>
      </c>
      <c r="K449" s="78">
        <v>45959</v>
      </c>
      <c r="L449" s="36">
        <v>2025404241</v>
      </c>
      <c r="M449" s="36" t="s">
        <v>225</v>
      </c>
      <c r="N449" s="36">
        <v>2025</v>
      </c>
    </row>
    <row r="450" spans="1:14">
      <c r="A450" s="36">
        <v>449</v>
      </c>
      <c r="B450" s="36" t="s">
        <v>42</v>
      </c>
      <c r="C450" s="36" t="s">
        <v>50</v>
      </c>
      <c r="D450" s="36" t="s">
        <v>60</v>
      </c>
      <c r="E450" s="36" t="s">
        <v>81</v>
      </c>
      <c r="F450" s="36"/>
      <c r="G450" s="36" t="s">
        <v>384</v>
      </c>
      <c r="H450" s="36" t="s">
        <v>619</v>
      </c>
      <c r="I450" s="84">
        <v>590.90909090909088</v>
      </c>
      <c r="J450" s="36" t="s">
        <v>398</v>
      </c>
      <c r="K450" s="78">
        <v>45984</v>
      </c>
      <c r="L450" s="36">
        <v>2025404344</v>
      </c>
      <c r="M450" s="36" t="s">
        <v>225</v>
      </c>
      <c r="N450" s="36">
        <v>2025</v>
      </c>
    </row>
    <row r="451" spans="1:14">
      <c r="A451" s="36">
        <v>450</v>
      </c>
      <c r="B451" s="36" t="s">
        <v>42</v>
      </c>
      <c r="C451" s="36" t="s">
        <v>44</v>
      </c>
      <c r="D451" s="36" t="s">
        <v>60</v>
      </c>
      <c r="E451" s="36" t="s">
        <v>81</v>
      </c>
      <c r="F451" s="36"/>
      <c r="G451" s="36" t="s">
        <v>294</v>
      </c>
      <c r="H451" s="36" t="s">
        <v>619</v>
      </c>
      <c r="I451" s="84">
        <v>4055.9440559440559</v>
      </c>
      <c r="J451" s="36" t="s">
        <v>403</v>
      </c>
      <c r="K451" s="78">
        <v>45958</v>
      </c>
      <c r="L451" s="36">
        <v>2025404068</v>
      </c>
      <c r="M451" s="36" t="s">
        <v>225</v>
      </c>
      <c r="N451" s="36">
        <v>2025</v>
      </c>
    </row>
    <row r="452" spans="1:14">
      <c r="A452" s="36">
        <v>451</v>
      </c>
      <c r="B452" s="36" t="s">
        <v>42</v>
      </c>
      <c r="C452" s="36" t="s">
        <v>45</v>
      </c>
      <c r="D452" s="36" t="s">
        <v>60</v>
      </c>
      <c r="E452" s="36" t="s">
        <v>81</v>
      </c>
      <c r="F452" s="36"/>
      <c r="G452" s="36" t="s">
        <v>387</v>
      </c>
      <c r="H452" s="36" t="s">
        <v>619</v>
      </c>
      <c r="I452" s="84">
        <v>5513.9860139860139</v>
      </c>
      <c r="J452" s="36" t="s">
        <v>404</v>
      </c>
      <c r="K452" s="78">
        <v>45958</v>
      </c>
      <c r="L452" s="36">
        <v>2025404209</v>
      </c>
      <c r="M452" s="36" t="s">
        <v>225</v>
      </c>
      <c r="N452" s="36">
        <v>2025</v>
      </c>
    </row>
    <row r="453" spans="1:14">
      <c r="A453" s="36">
        <v>452</v>
      </c>
      <c r="B453" s="36" t="s">
        <v>42</v>
      </c>
      <c r="C453" s="36" t="s">
        <v>375</v>
      </c>
      <c r="D453" s="36" t="s">
        <v>19</v>
      </c>
      <c r="E453" s="36" t="s">
        <v>110</v>
      </c>
      <c r="F453" s="36"/>
      <c r="G453" s="36" t="s">
        <v>88</v>
      </c>
      <c r="H453" s="36" t="s">
        <v>111</v>
      </c>
      <c r="I453" s="84">
        <v>981.81818181818187</v>
      </c>
      <c r="J453" s="36" t="s">
        <v>14</v>
      </c>
      <c r="K453" s="78" t="s">
        <v>14</v>
      </c>
      <c r="L453" s="36" t="s">
        <v>14</v>
      </c>
      <c r="M453" s="36" t="s">
        <v>225</v>
      </c>
      <c r="N453" s="36">
        <v>2025</v>
      </c>
    </row>
    <row r="454" spans="1:14">
      <c r="A454" s="36">
        <v>453</v>
      </c>
      <c r="B454" s="36" t="s">
        <v>42</v>
      </c>
      <c r="C454" s="36" t="s">
        <v>71</v>
      </c>
      <c r="D454" s="36" t="s">
        <v>19</v>
      </c>
      <c r="E454" s="36" t="s">
        <v>110</v>
      </c>
      <c r="F454" s="36"/>
      <c r="G454" s="36" t="s">
        <v>117</v>
      </c>
      <c r="H454" s="36" t="s">
        <v>110</v>
      </c>
      <c r="I454" s="84">
        <v>513.30054388470126</v>
      </c>
      <c r="J454" s="36" t="s">
        <v>14</v>
      </c>
      <c r="K454" s="78" t="s">
        <v>14</v>
      </c>
      <c r="L454" s="36" t="s">
        <v>14</v>
      </c>
      <c r="M454" s="36" t="s">
        <v>225</v>
      </c>
      <c r="N454" s="36">
        <v>2025</v>
      </c>
    </row>
    <row r="455" spans="1:14">
      <c r="A455" s="36">
        <v>454</v>
      </c>
      <c r="B455" s="36" t="s">
        <v>42</v>
      </c>
      <c r="C455" s="36" t="s">
        <v>43</v>
      </c>
      <c r="D455" s="36" t="s">
        <v>19</v>
      </c>
      <c r="E455" s="36" t="s">
        <v>110</v>
      </c>
      <c r="F455" s="36"/>
      <c r="G455" s="36" t="s">
        <v>117</v>
      </c>
      <c r="H455" s="36" t="s">
        <v>110</v>
      </c>
      <c r="I455" s="84">
        <v>45940.398677680765</v>
      </c>
      <c r="J455" s="36" t="s">
        <v>14</v>
      </c>
      <c r="K455" s="78" t="s">
        <v>14</v>
      </c>
      <c r="L455" s="36" t="s">
        <v>14</v>
      </c>
      <c r="M455" s="36" t="s">
        <v>225</v>
      </c>
      <c r="N455" s="36">
        <v>2025</v>
      </c>
    </row>
    <row r="456" spans="1:14">
      <c r="A456" s="36">
        <v>455</v>
      </c>
      <c r="B456" s="36" t="s">
        <v>42</v>
      </c>
      <c r="C456" s="36" t="s">
        <v>44</v>
      </c>
      <c r="D456" s="36" t="s">
        <v>19</v>
      </c>
      <c r="E456" s="36" t="s">
        <v>110</v>
      </c>
      <c r="F456" s="36"/>
      <c r="G456" s="36" t="s">
        <v>117</v>
      </c>
      <c r="H456" s="36" t="s">
        <v>110</v>
      </c>
      <c r="I456" s="84">
        <v>3849.7540791352594</v>
      </c>
      <c r="J456" s="36" t="s">
        <v>14</v>
      </c>
      <c r="K456" s="78" t="s">
        <v>14</v>
      </c>
      <c r="L456" s="36" t="s">
        <v>14</v>
      </c>
      <c r="M456" s="36" t="s">
        <v>225</v>
      </c>
      <c r="N456" s="36">
        <v>2025</v>
      </c>
    </row>
    <row r="457" spans="1:14">
      <c r="A457" s="36">
        <v>456</v>
      </c>
      <c r="B457" s="36" t="s">
        <v>42</v>
      </c>
      <c r="C457" s="36" t="s">
        <v>45</v>
      </c>
      <c r="D457" s="36" t="s">
        <v>19</v>
      </c>
      <c r="E457" s="36" t="s">
        <v>110</v>
      </c>
      <c r="F457" s="36"/>
      <c r="G457" s="36" t="s">
        <v>117</v>
      </c>
      <c r="H457" s="36" t="s">
        <v>110</v>
      </c>
      <c r="I457" s="84">
        <v>30220.569521211786</v>
      </c>
      <c r="J457" s="36" t="s">
        <v>14</v>
      </c>
      <c r="K457" s="78" t="s">
        <v>14</v>
      </c>
      <c r="L457" s="36" t="s">
        <v>14</v>
      </c>
      <c r="M457" s="36" t="s">
        <v>225</v>
      </c>
      <c r="N457" s="36">
        <v>2025</v>
      </c>
    </row>
    <row r="458" spans="1:14">
      <c r="A458" s="36">
        <v>457</v>
      </c>
      <c r="B458" s="36" t="s">
        <v>42</v>
      </c>
      <c r="C458" s="36" t="s">
        <v>46</v>
      </c>
      <c r="D458" s="36" t="s">
        <v>19</v>
      </c>
      <c r="E458" s="36" t="s">
        <v>110</v>
      </c>
      <c r="F458" s="36"/>
      <c r="G458" s="36" t="s">
        <v>117</v>
      </c>
      <c r="H458" s="36" t="s">
        <v>110</v>
      </c>
      <c r="I458" s="84">
        <v>83347.175813278373</v>
      </c>
      <c r="J458" s="36" t="s">
        <v>14</v>
      </c>
      <c r="K458" s="78" t="s">
        <v>14</v>
      </c>
      <c r="L458" s="36" t="s">
        <v>14</v>
      </c>
      <c r="M458" s="36" t="s">
        <v>225</v>
      </c>
      <c r="N458" s="36">
        <v>2025</v>
      </c>
    </row>
    <row r="459" spans="1:14">
      <c r="A459" s="36">
        <v>458</v>
      </c>
      <c r="B459" s="36" t="s">
        <v>42</v>
      </c>
      <c r="C459" s="36" t="s">
        <v>47</v>
      </c>
      <c r="D459" s="36" t="s">
        <v>19</v>
      </c>
      <c r="E459" s="36" t="s">
        <v>110</v>
      </c>
      <c r="F459" s="36"/>
      <c r="G459" s="36" t="s">
        <v>117</v>
      </c>
      <c r="H459" s="36" t="s">
        <v>110</v>
      </c>
      <c r="I459" s="84">
        <v>24895.076378408012</v>
      </c>
      <c r="J459" s="36" t="s">
        <v>14</v>
      </c>
      <c r="K459" s="78" t="s">
        <v>14</v>
      </c>
      <c r="L459" s="36" t="s">
        <v>14</v>
      </c>
      <c r="M459" s="36" t="s">
        <v>225</v>
      </c>
      <c r="N459" s="36">
        <v>2025</v>
      </c>
    </row>
    <row r="460" spans="1:14">
      <c r="A460" s="36">
        <v>459</v>
      </c>
      <c r="B460" s="36" t="s">
        <v>42</v>
      </c>
      <c r="C460" s="36" t="s">
        <v>49</v>
      </c>
      <c r="D460" s="36" t="s">
        <v>19</v>
      </c>
      <c r="E460" s="36" t="s">
        <v>110</v>
      </c>
      <c r="F460" s="36"/>
      <c r="G460" s="36" t="s">
        <v>117</v>
      </c>
      <c r="H460" s="36" t="s">
        <v>110</v>
      </c>
      <c r="I460" s="84">
        <v>17837.19389999337</v>
      </c>
      <c r="J460" s="36" t="s">
        <v>14</v>
      </c>
      <c r="K460" s="78" t="s">
        <v>14</v>
      </c>
      <c r="L460" s="36" t="s">
        <v>14</v>
      </c>
      <c r="M460" s="36" t="s">
        <v>225</v>
      </c>
      <c r="N460" s="36">
        <v>2025</v>
      </c>
    </row>
    <row r="461" spans="1:14">
      <c r="A461" s="36">
        <v>460</v>
      </c>
      <c r="B461" s="36" t="s">
        <v>42</v>
      </c>
      <c r="C461" s="36" t="s">
        <v>50</v>
      </c>
      <c r="D461" s="36" t="s">
        <v>19</v>
      </c>
      <c r="E461" s="36" t="s">
        <v>110</v>
      </c>
      <c r="F461" s="36"/>
      <c r="G461" s="36" t="s">
        <v>117</v>
      </c>
      <c r="H461" s="36" t="s">
        <v>110</v>
      </c>
      <c r="I461" s="84">
        <v>100286.0937614735</v>
      </c>
      <c r="J461" s="36" t="s">
        <v>14</v>
      </c>
      <c r="K461" s="78" t="s">
        <v>14</v>
      </c>
      <c r="L461" s="36" t="s">
        <v>14</v>
      </c>
      <c r="M461" s="36" t="s">
        <v>225</v>
      </c>
      <c r="N461" s="36">
        <v>2025</v>
      </c>
    </row>
    <row r="462" spans="1:14">
      <c r="A462" s="36">
        <v>461</v>
      </c>
      <c r="B462" s="36" t="s">
        <v>42</v>
      </c>
      <c r="C462" s="36" t="s">
        <v>51</v>
      </c>
      <c r="D462" s="36" t="s">
        <v>19</v>
      </c>
      <c r="E462" s="36" t="s">
        <v>110</v>
      </c>
      <c r="F462" s="36"/>
      <c r="G462" s="36" t="s">
        <v>117</v>
      </c>
      <c r="H462" s="36" t="s">
        <v>110</v>
      </c>
      <c r="I462" s="84">
        <v>64.162567985587657</v>
      </c>
      <c r="J462" s="36" t="s">
        <v>14</v>
      </c>
      <c r="K462" s="78" t="s">
        <v>14</v>
      </c>
      <c r="L462" s="36" t="s">
        <v>14</v>
      </c>
      <c r="M462" s="36" t="s">
        <v>225</v>
      </c>
      <c r="N462" s="36">
        <v>2025</v>
      </c>
    </row>
    <row r="463" spans="1:14">
      <c r="A463" s="36">
        <v>462</v>
      </c>
      <c r="B463" s="36" t="s">
        <v>42</v>
      </c>
      <c r="C463" s="36" t="s">
        <v>375</v>
      </c>
      <c r="D463" s="36" t="s">
        <v>19</v>
      </c>
      <c r="E463" s="36" t="s">
        <v>110</v>
      </c>
      <c r="F463" s="36"/>
      <c r="G463" s="36" t="s">
        <v>117</v>
      </c>
      <c r="H463" s="36" t="s">
        <v>110</v>
      </c>
      <c r="I463" s="84">
        <v>17708.868764022194</v>
      </c>
      <c r="J463" s="36" t="s">
        <v>14</v>
      </c>
      <c r="K463" s="78" t="s">
        <v>14</v>
      </c>
      <c r="L463" s="36" t="s">
        <v>14</v>
      </c>
      <c r="M463" s="36" t="s">
        <v>225</v>
      </c>
      <c r="N463" s="36">
        <v>2025</v>
      </c>
    </row>
    <row r="464" spans="1:14">
      <c r="A464" s="36">
        <v>463</v>
      </c>
      <c r="B464" s="36" t="s">
        <v>42</v>
      </c>
      <c r="C464" s="36" t="s">
        <v>51</v>
      </c>
      <c r="D464" s="36" t="s">
        <v>60</v>
      </c>
      <c r="E464" s="36" t="s">
        <v>110</v>
      </c>
      <c r="F464" s="36"/>
      <c r="G464" s="36" t="s">
        <v>94</v>
      </c>
      <c r="H464" s="36" t="s">
        <v>111</v>
      </c>
      <c r="I464" s="84">
        <f>7000000/1430</f>
        <v>4895.1048951048951</v>
      </c>
      <c r="J464" s="36" t="s">
        <v>14</v>
      </c>
      <c r="K464" s="78" t="s">
        <v>14</v>
      </c>
      <c r="L464" s="36" t="s">
        <v>14</v>
      </c>
      <c r="M464" s="36" t="s">
        <v>225</v>
      </c>
      <c r="N464" s="36">
        <v>2025</v>
      </c>
    </row>
    <row r="465" spans="1:14">
      <c r="A465" s="36">
        <v>464</v>
      </c>
      <c r="B465" s="36" t="s">
        <v>42</v>
      </c>
      <c r="C465" s="36" t="s">
        <v>45</v>
      </c>
      <c r="D465" s="36" t="s">
        <v>19</v>
      </c>
      <c r="E465" s="36" t="s">
        <v>114</v>
      </c>
      <c r="F465" s="36"/>
      <c r="G465" s="36" t="s">
        <v>254</v>
      </c>
      <c r="H465" s="36" t="s">
        <v>116</v>
      </c>
      <c r="I465" s="84">
        <v>133750</v>
      </c>
      <c r="J465" s="36" t="s">
        <v>14</v>
      </c>
      <c r="K465" s="78" t="s">
        <v>14</v>
      </c>
      <c r="L465" s="36" t="s">
        <v>14</v>
      </c>
      <c r="M465" s="77" t="s">
        <v>225</v>
      </c>
      <c r="N465" s="36">
        <v>2025</v>
      </c>
    </row>
    <row r="466" spans="1:14">
      <c r="A466" s="36">
        <v>465</v>
      </c>
      <c r="B466" s="36" t="s">
        <v>52</v>
      </c>
      <c r="C466" s="36" t="s">
        <v>62</v>
      </c>
      <c r="D466" s="36" t="s">
        <v>60</v>
      </c>
      <c r="E466" s="36" t="s">
        <v>103</v>
      </c>
      <c r="F466" s="36"/>
      <c r="G466" s="36" t="s">
        <v>106</v>
      </c>
      <c r="H466" s="36" t="s">
        <v>107</v>
      </c>
      <c r="I466" s="84">
        <v>897.49231667046638</v>
      </c>
      <c r="J466" s="36">
        <v>63</v>
      </c>
      <c r="K466" s="78">
        <v>45930</v>
      </c>
      <c r="L466" s="36" t="s">
        <v>14</v>
      </c>
      <c r="M466" s="36" t="s">
        <v>225</v>
      </c>
      <c r="N466" s="36">
        <v>2025</v>
      </c>
    </row>
    <row r="467" spans="1:14">
      <c r="A467" s="36">
        <v>466</v>
      </c>
      <c r="B467" s="36" t="s">
        <v>52</v>
      </c>
      <c r="C467" s="36" t="s">
        <v>62</v>
      </c>
      <c r="D467" s="36" t="s">
        <v>60</v>
      </c>
      <c r="E467" s="36" t="s">
        <v>20</v>
      </c>
      <c r="F467" s="36"/>
      <c r="G467" s="36" t="s">
        <v>21</v>
      </c>
      <c r="H467" s="36" t="s">
        <v>314</v>
      </c>
      <c r="I467" s="76">
        <v>335055</v>
      </c>
      <c r="J467" s="36" t="s">
        <v>14</v>
      </c>
      <c r="K467" s="78" t="s">
        <v>14</v>
      </c>
      <c r="L467" s="36" t="s">
        <v>14</v>
      </c>
      <c r="M467" s="36" t="s">
        <v>225</v>
      </c>
      <c r="N467" s="36">
        <v>2025</v>
      </c>
    </row>
    <row r="468" spans="1:14">
      <c r="A468" s="36">
        <v>467</v>
      </c>
      <c r="B468" s="36" t="s">
        <v>61</v>
      </c>
      <c r="C468" s="36" t="s">
        <v>62</v>
      </c>
      <c r="D468" s="36" t="s">
        <v>19</v>
      </c>
      <c r="E468" s="36" t="s">
        <v>56</v>
      </c>
      <c r="F468" s="36"/>
      <c r="G468" s="36" t="s">
        <v>298</v>
      </c>
      <c r="H468" s="36" t="s">
        <v>56</v>
      </c>
      <c r="I468" s="76">
        <v>7500</v>
      </c>
      <c r="J468" s="36" t="s">
        <v>14</v>
      </c>
      <c r="K468" s="78" t="s">
        <v>14</v>
      </c>
      <c r="L468" s="36" t="s">
        <v>14</v>
      </c>
      <c r="M468" s="75" t="s">
        <v>225</v>
      </c>
      <c r="N468" s="36">
        <v>2025</v>
      </c>
    </row>
    <row r="469" spans="1:14">
      <c r="A469" s="36">
        <v>468</v>
      </c>
      <c r="B469" s="36" t="s">
        <v>52</v>
      </c>
      <c r="C469" s="36" t="s">
        <v>62</v>
      </c>
      <c r="D469" s="36" t="s">
        <v>60</v>
      </c>
      <c r="E469" s="36" t="s">
        <v>63</v>
      </c>
      <c r="F469" s="36"/>
      <c r="G469" s="36" t="s">
        <v>64</v>
      </c>
      <c r="H469" s="79" t="s">
        <v>65</v>
      </c>
      <c r="I469" s="80">
        <v>349.65034965034965</v>
      </c>
      <c r="J469" s="36" t="s">
        <v>68</v>
      </c>
      <c r="K469" s="78">
        <v>45727</v>
      </c>
      <c r="L469" s="81" t="s">
        <v>14</v>
      </c>
      <c r="M469" s="75" t="s">
        <v>225</v>
      </c>
      <c r="N469" s="36">
        <v>2025</v>
      </c>
    </row>
    <row r="470" spans="1:14">
      <c r="A470" s="36">
        <v>469</v>
      </c>
      <c r="B470" s="36" t="s">
        <v>52</v>
      </c>
      <c r="C470" s="36" t="s">
        <v>62</v>
      </c>
      <c r="D470" s="36" t="s">
        <v>60</v>
      </c>
      <c r="E470" s="36" t="s">
        <v>63</v>
      </c>
      <c r="F470" s="36"/>
      <c r="G470" s="36" t="s">
        <v>64</v>
      </c>
      <c r="H470" s="79" t="s">
        <v>69</v>
      </c>
      <c r="I470" s="80">
        <v>349.65034965034965</v>
      </c>
      <c r="J470" s="36" t="s">
        <v>68</v>
      </c>
      <c r="K470" s="78">
        <v>45758</v>
      </c>
      <c r="L470" s="81" t="s">
        <v>14</v>
      </c>
      <c r="M470" s="75" t="s">
        <v>225</v>
      </c>
      <c r="N470" s="36">
        <v>2025</v>
      </c>
    </row>
    <row r="471" spans="1:14">
      <c r="A471" s="36">
        <v>470</v>
      </c>
      <c r="B471" s="36" t="s">
        <v>52</v>
      </c>
      <c r="C471" s="36" t="s">
        <v>62</v>
      </c>
      <c r="D471" s="36" t="s">
        <v>60</v>
      </c>
      <c r="E471" s="36" t="s">
        <v>63</v>
      </c>
      <c r="F471" s="36"/>
      <c r="G471" s="36" t="s">
        <v>64</v>
      </c>
      <c r="H471" s="79" t="s">
        <v>65</v>
      </c>
      <c r="I471" s="80">
        <v>314.68531468531467</v>
      </c>
      <c r="J471" s="36" t="s">
        <v>68</v>
      </c>
      <c r="K471" s="78">
        <v>45788</v>
      </c>
      <c r="L471" s="81" t="s">
        <v>14</v>
      </c>
      <c r="M471" s="75" t="s">
        <v>225</v>
      </c>
      <c r="N471" s="36">
        <v>2025</v>
      </c>
    </row>
    <row r="472" spans="1:14">
      <c r="A472" s="36">
        <v>471</v>
      </c>
      <c r="B472" s="36" t="s">
        <v>52</v>
      </c>
      <c r="C472" s="36" t="s">
        <v>62</v>
      </c>
      <c r="D472" s="36" t="s">
        <v>60</v>
      </c>
      <c r="E472" s="36" t="s">
        <v>72</v>
      </c>
      <c r="F472" s="36"/>
      <c r="G472" s="36" t="s">
        <v>64</v>
      </c>
      <c r="H472" s="79" t="s">
        <v>347</v>
      </c>
      <c r="I472" s="80">
        <v>1381.1188811188811</v>
      </c>
      <c r="J472" s="36" t="s">
        <v>68</v>
      </c>
      <c r="K472" s="78">
        <v>45880</v>
      </c>
      <c r="L472" s="81" t="s">
        <v>14</v>
      </c>
      <c r="M472" s="75" t="s">
        <v>225</v>
      </c>
      <c r="N472" s="36">
        <v>2025</v>
      </c>
    </row>
    <row r="473" spans="1:14">
      <c r="A473" s="36">
        <v>472</v>
      </c>
      <c r="B473" s="36" t="s">
        <v>52</v>
      </c>
      <c r="C473" s="36" t="s">
        <v>62</v>
      </c>
      <c r="D473" s="36" t="s">
        <v>60</v>
      </c>
      <c r="E473" s="36" t="s">
        <v>72</v>
      </c>
      <c r="F473" s="36"/>
      <c r="G473" s="36" t="s">
        <v>64</v>
      </c>
      <c r="H473" s="36" t="s">
        <v>285</v>
      </c>
      <c r="I473" s="80">
        <v>1897.5524475524476</v>
      </c>
      <c r="J473" s="36" t="s">
        <v>68</v>
      </c>
      <c r="K473" s="78">
        <v>45699</v>
      </c>
      <c r="L473" s="81" t="s">
        <v>14</v>
      </c>
      <c r="M473" s="75" t="s">
        <v>225</v>
      </c>
      <c r="N473" s="36">
        <v>2025</v>
      </c>
    </row>
    <row r="474" spans="1:14">
      <c r="A474" s="36">
        <v>473</v>
      </c>
      <c r="B474" s="36" t="s">
        <v>52</v>
      </c>
      <c r="C474" s="36" t="s">
        <v>62</v>
      </c>
      <c r="D474" s="36" t="s">
        <v>60</v>
      </c>
      <c r="E474" s="36" t="s">
        <v>72</v>
      </c>
      <c r="F474" s="36"/>
      <c r="G474" s="36" t="s">
        <v>64</v>
      </c>
      <c r="H474" s="79" t="s">
        <v>285</v>
      </c>
      <c r="I474" s="80">
        <v>1625.8741258741259</v>
      </c>
      <c r="J474" s="36" t="s">
        <v>68</v>
      </c>
      <c r="K474" s="78" t="s">
        <v>322</v>
      </c>
      <c r="L474" s="81" t="s">
        <v>14</v>
      </c>
      <c r="M474" s="75" t="s">
        <v>225</v>
      </c>
      <c r="N474" s="36">
        <v>2025</v>
      </c>
    </row>
    <row r="475" spans="1:14">
      <c r="A475" s="36">
        <v>474</v>
      </c>
      <c r="B475" s="36" t="s">
        <v>52</v>
      </c>
      <c r="C475" s="36" t="s">
        <v>62</v>
      </c>
      <c r="D475" s="36" t="s">
        <v>60</v>
      </c>
      <c r="E475" s="36" t="s">
        <v>72</v>
      </c>
      <c r="F475" s="36"/>
      <c r="G475" s="36" t="s">
        <v>64</v>
      </c>
      <c r="H475" s="79" t="s">
        <v>348</v>
      </c>
      <c r="I475" s="80">
        <v>944.05594405594411</v>
      </c>
      <c r="J475" s="36">
        <v>5045</v>
      </c>
      <c r="K475" s="78" t="s">
        <v>276</v>
      </c>
      <c r="L475" s="81" t="s">
        <v>14</v>
      </c>
      <c r="M475" s="75" t="s">
        <v>225</v>
      </c>
      <c r="N475" s="36">
        <v>2025</v>
      </c>
    </row>
    <row r="476" spans="1:14">
      <c r="A476" s="36">
        <v>475</v>
      </c>
      <c r="B476" s="36" t="s">
        <v>52</v>
      </c>
      <c r="C476" s="36" t="s">
        <v>62</v>
      </c>
      <c r="D476" s="36" t="s">
        <v>60</v>
      </c>
      <c r="E476" s="36" t="s">
        <v>56</v>
      </c>
      <c r="F476" s="36"/>
      <c r="G476" s="36" t="s">
        <v>64</v>
      </c>
      <c r="H476" s="36" t="s">
        <v>354</v>
      </c>
      <c r="I476" s="80">
        <v>87.412587412587413</v>
      </c>
      <c r="J476" s="36">
        <v>15861</v>
      </c>
      <c r="K476" s="78" t="s">
        <v>324</v>
      </c>
      <c r="L476" s="81" t="s">
        <v>14</v>
      </c>
      <c r="M476" s="75" t="s">
        <v>225</v>
      </c>
      <c r="N476" s="36">
        <v>2025</v>
      </c>
    </row>
    <row r="477" spans="1:14">
      <c r="A477" s="36">
        <v>476</v>
      </c>
      <c r="B477" s="36" t="s">
        <v>52</v>
      </c>
      <c r="C477" s="36" t="s">
        <v>62</v>
      </c>
      <c r="D477" s="36" t="s">
        <v>60</v>
      </c>
      <c r="E477" s="36" t="s">
        <v>72</v>
      </c>
      <c r="F477" s="36"/>
      <c r="G477" s="36" t="s">
        <v>64</v>
      </c>
      <c r="H477" s="79" t="s">
        <v>356</v>
      </c>
      <c r="I477" s="80">
        <v>769.23076923076928</v>
      </c>
      <c r="J477" s="36" t="s">
        <v>68</v>
      </c>
      <c r="K477" s="78">
        <v>45699</v>
      </c>
      <c r="L477" s="81" t="s">
        <v>14</v>
      </c>
      <c r="M477" s="75" t="s">
        <v>225</v>
      </c>
      <c r="N477" s="36">
        <v>2025</v>
      </c>
    </row>
    <row r="478" spans="1:14">
      <c r="A478" s="36">
        <v>477</v>
      </c>
      <c r="B478" s="36" t="s">
        <v>52</v>
      </c>
      <c r="C478" s="36" t="s">
        <v>62</v>
      </c>
      <c r="D478" s="36" t="s">
        <v>60</v>
      </c>
      <c r="E478" s="36" t="s">
        <v>72</v>
      </c>
      <c r="F478" s="36"/>
      <c r="G478" s="36" t="s">
        <v>64</v>
      </c>
      <c r="H478" s="36" t="s">
        <v>357</v>
      </c>
      <c r="I478" s="80">
        <v>1436.3636363636363</v>
      </c>
      <c r="J478" s="36" t="s">
        <v>68</v>
      </c>
      <c r="K478" s="78">
        <v>45819</v>
      </c>
      <c r="L478" s="81" t="s">
        <v>14</v>
      </c>
      <c r="M478" s="75" t="s">
        <v>225</v>
      </c>
      <c r="N478" s="36">
        <v>2025</v>
      </c>
    </row>
    <row r="479" spans="1:14">
      <c r="A479" s="36">
        <v>478</v>
      </c>
      <c r="B479" s="36" t="s">
        <v>52</v>
      </c>
      <c r="C479" s="36" t="s">
        <v>62</v>
      </c>
      <c r="D479" s="36" t="s">
        <v>60</v>
      </c>
      <c r="E479" s="36" t="s">
        <v>72</v>
      </c>
      <c r="F479" s="36"/>
      <c r="G479" s="36" t="s">
        <v>64</v>
      </c>
      <c r="H479" s="79" t="s">
        <v>357</v>
      </c>
      <c r="I479" s="80">
        <v>1092.3076923076924</v>
      </c>
      <c r="J479" s="78" t="s">
        <v>68</v>
      </c>
      <c r="K479" s="78" t="s">
        <v>326</v>
      </c>
      <c r="L479" s="81" t="s">
        <v>14</v>
      </c>
      <c r="M479" s="75" t="s">
        <v>225</v>
      </c>
      <c r="N479" s="36">
        <v>2025</v>
      </c>
    </row>
    <row r="480" spans="1:14">
      <c r="A480" s="36">
        <v>479</v>
      </c>
      <c r="B480" s="36" t="s">
        <v>52</v>
      </c>
      <c r="C480" s="36" t="s">
        <v>62</v>
      </c>
      <c r="D480" s="36" t="s">
        <v>60</v>
      </c>
      <c r="E480" s="36" t="s">
        <v>101</v>
      </c>
      <c r="F480" s="36"/>
      <c r="G480" s="36" t="s">
        <v>64</v>
      </c>
      <c r="H480" s="79" t="s">
        <v>360</v>
      </c>
      <c r="I480" s="80">
        <v>5937.0629370629367</v>
      </c>
      <c r="J480" s="36" t="s">
        <v>68</v>
      </c>
      <c r="K480" s="78">
        <v>45727</v>
      </c>
      <c r="L480" s="81" t="s">
        <v>14</v>
      </c>
      <c r="M480" s="75" t="s">
        <v>225</v>
      </c>
      <c r="N480" s="36">
        <v>2025</v>
      </c>
    </row>
    <row r="481" spans="1:14">
      <c r="A481" s="36">
        <v>480</v>
      </c>
      <c r="B481" s="36" t="s">
        <v>52</v>
      </c>
      <c r="C481" s="36" t="s">
        <v>62</v>
      </c>
      <c r="D481" s="36" t="s">
        <v>60</v>
      </c>
      <c r="E481" s="36" t="s">
        <v>103</v>
      </c>
      <c r="F481" s="36"/>
      <c r="G481" s="36" t="s">
        <v>64</v>
      </c>
      <c r="H481" s="79" t="s">
        <v>345</v>
      </c>
      <c r="I481" s="80">
        <v>176.92307692307693</v>
      </c>
      <c r="J481" s="36" t="s">
        <v>68</v>
      </c>
      <c r="K481" s="78" t="s">
        <v>325</v>
      </c>
      <c r="L481" s="81" t="s">
        <v>14</v>
      </c>
      <c r="M481" s="75" t="s">
        <v>225</v>
      </c>
      <c r="N481" s="36">
        <v>2025</v>
      </c>
    </row>
    <row r="482" spans="1:14">
      <c r="A482" s="36">
        <v>481</v>
      </c>
      <c r="B482" s="36" t="s">
        <v>52</v>
      </c>
      <c r="C482" s="36" t="s">
        <v>62</v>
      </c>
      <c r="D482" s="36" t="s">
        <v>19</v>
      </c>
      <c r="E482" s="36" t="s">
        <v>82</v>
      </c>
      <c r="F482" s="36"/>
      <c r="G482" s="36" t="s">
        <v>21</v>
      </c>
      <c r="H482" s="79" t="s">
        <v>371</v>
      </c>
      <c r="I482" s="84">
        <f>11600000/1430+11503.4965034965</f>
        <v>19615.384615384613</v>
      </c>
      <c r="J482" s="36" t="s">
        <v>14</v>
      </c>
      <c r="K482" s="78" t="s">
        <v>14</v>
      </c>
      <c r="L482" s="81" t="s">
        <v>14</v>
      </c>
      <c r="M482" s="36" t="s">
        <v>225</v>
      </c>
      <c r="N482" s="36">
        <v>2025</v>
      </c>
    </row>
    <row r="483" spans="1:14">
      <c r="A483" s="36">
        <v>482</v>
      </c>
      <c r="B483" s="75" t="s">
        <v>52</v>
      </c>
      <c r="C483" s="83" t="s">
        <v>62</v>
      </c>
      <c r="D483" s="36" t="s">
        <v>60</v>
      </c>
      <c r="E483" s="36" t="s">
        <v>63</v>
      </c>
      <c r="F483" s="36"/>
      <c r="G483" s="36" t="s">
        <v>21</v>
      </c>
      <c r="H483" s="36" t="s">
        <v>63</v>
      </c>
      <c r="I483" s="80">
        <v>2968.5314685314684</v>
      </c>
      <c r="J483" s="78" t="s">
        <v>14</v>
      </c>
      <c r="K483" s="78" t="s">
        <v>14</v>
      </c>
      <c r="L483" s="81" t="s">
        <v>14</v>
      </c>
      <c r="M483" s="75" t="s">
        <v>225</v>
      </c>
      <c r="N483" s="36">
        <v>2025</v>
      </c>
    </row>
    <row r="484" spans="1:14">
      <c r="A484" s="36">
        <v>483</v>
      </c>
      <c r="B484" s="85" t="s">
        <v>61</v>
      </c>
      <c r="C484" s="85" t="s">
        <v>62</v>
      </c>
      <c r="D484" s="36" t="s">
        <v>19</v>
      </c>
      <c r="E484" s="36" t="s">
        <v>87</v>
      </c>
      <c r="F484" s="36"/>
      <c r="G484" s="36" t="s">
        <v>95</v>
      </c>
      <c r="H484" s="36" t="s">
        <v>92</v>
      </c>
      <c r="I484" s="84">
        <v>2080</v>
      </c>
      <c r="J484" s="36" t="s">
        <v>14</v>
      </c>
      <c r="K484" s="78" t="s">
        <v>14</v>
      </c>
      <c r="L484" s="36" t="s">
        <v>14</v>
      </c>
      <c r="M484" s="75" t="s">
        <v>225</v>
      </c>
      <c r="N484" s="36">
        <v>2025</v>
      </c>
    </row>
    <row r="485" spans="1:14">
      <c r="A485" s="36">
        <v>484</v>
      </c>
      <c r="B485" s="75" t="s">
        <v>52</v>
      </c>
      <c r="C485" s="36" t="s">
        <v>62</v>
      </c>
      <c r="D485" s="36" t="s">
        <v>19</v>
      </c>
      <c r="E485" s="36" t="s">
        <v>87</v>
      </c>
      <c r="F485" s="36"/>
      <c r="G485" s="75" t="s">
        <v>91</v>
      </c>
      <c r="H485" s="75" t="s">
        <v>299</v>
      </c>
      <c r="I485" s="84">
        <v>28312.107888111888</v>
      </c>
      <c r="J485" s="36" t="s">
        <v>14</v>
      </c>
      <c r="K485" s="78" t="s">
        <v>14</v>
      </c>
      <c r="L485" s="36" t="s">
        <v>14</v>
      </c>
      <c r="M485" s="75" t="s">
        <v>225</v>
      </c>
      <c r="N485" s="36">
        <v>2025</v>
      </c>
    </row>
    <row r="486" spans="1:14">
      <c r="A486" s="36">
        <v>485</v>
      </c>
      <c r="B486" s="75" t="s">
        <v>52</v>
      </c>
      <c r="C486" s="36" t="s">
        <v>62</v>
      </c>
      <c r="D486" s="36" t="s">
        <v>19</v>
      </c>
      <c r="E486" s="36" t="s">
        <v>87</v>
      </c>
      <c r="F486" s="36"/>
      <c r="G486" s="75" t="s">
        <v>90</v>
      </c>
      <c r="H486" s="75" t="s">
        <v>299</v>
      </c>
      <c r="I486" s="84">
        <v>92010.146216783221</v>
      </c>
      <c r="J486" s="36" t="s">
        <v>14</v>
      </c>
      <c r="K486" s="78" t="s">
        <v>14</v>
      </c>
      <c r="L486" s="36" t="s">
        <v>14</v>
      </c>
      <c r="M486" s="75" t="s">
        <v>225</v>
      </c>
      <c r="N486" s="36">
        <v>2025</v>
      </c>
    </row>
    <row r="487" spans="1:14">
      <c r="A487" s="36">
        <v>486</v>
      </c>
      <c r="B487" s="75" t="s">
        <v>52</v>
      </c>
      <c r="C487" s="36" t="s">
        <v>62</v>
      </c>
      <c r="D487" s="36" t="s">
        <v>19</v>
      </c>
      <c r="E487" s="36" t="s">
        <v>87</v>
      </c>
      <c r="F487" s="36"/>
      <c r="G487" s="75" t="s">
        <v>88</v>
      </c>
      <c r="H487" s="75" t="s">
        <v>299</v>
      </c>
      <c r="I487" s="84">
        <v>191925.00557342661</v>
      </c>
      <c r="J487" s="36" t="s">
        <v>14</v>
      </c>
      <c r="K487" s="78" t="s">
        <v>14</v>
      </c>
      <c r="L487" s="36" t="s">
        <v>14</v>
      </c>
      <c r="M487" s="75" t="s">
        <v>225</v>
      </c>
      <c r="N487" s="36">
        <v>2025</v>
      </c>
    </row>
    <row r="488" spans="1:14">
      <c r="A488" s="36">
        <v>487</v>
      </c>
      <c r="B488" s="75" t="s">
        <v>52</v>
      </c>
      <c r="C488" s="36" t="s">
        <v>62</v>
      </c>
      <c r="D488" s="36" t="s">
        <v>19</v>
      </c>
      <c r="E488" s="36" t="s">
        <v>87</v>
      </c>
      <c r="F488" s="36"/>
      <c r="G488" s="75" t="s">
        <v>90</v>
      </c>
      <c r="H488" s="75" t="s">
        <v>321</v>
      </c>
      <c r="I488" s="84">
        <v>33360.863433566432</v>
      </c>
      <c r="J488" s="36" t="s">
        <v>14</v>
      </c>
      <c r="K488" s="78" t="s">
        <v>14</v>
      </c>
      <c r="L488" s="36" t="s">
        <v>14</v>
      </c>
      <c r="M488" s="75" t="s">
        <v>225</v>
      </c>
      <c r="N488" s="36">
        <v>2025</v>
      </c>
    </row>
    <row r="489" spans="1:14">
      <c r="A489" s="36">
        <v>488</v>
      </c>
      <c r="B489" s="75" t="s">
        <v>52</v>
      </c>
      <c r="C489" s="36" t="s">
        <v>62</v>
      </c>
      <c r="D489" s="36" t="s">
        <v>19</v>
      </c>
      <c r="E489" s="36" t="s">
        <v>87</v>
      </c>
      <c r="F489" s="36"/>
      <c r="G489" s="75" t="s">
        <v>88</v>
      </c>
      <c r="H489" s="75" t="s">
        <v>321</v>
      </c>
      <c r="I489" s="84">
        <v>91309.475818181818</v>
      </c>
      <c r="J489" s="36" t="s">
        <v>14</v>
      </c>
      <c r="K489" s="78" t="s">
        <v>14</v>
      </c>
      <c r="L489" s="36" t="s">
        <v>14</v>
      </c>
      <c r="M489" s="75" t="s">
        <v>225</v>
      </c>
      <c r="N489" s="36">
        <v>2025</v>
      </c>
    </row>
    <row r="490" spans="1:14">
      <c r="A490" s="36">
        <v>489</v>
      </c>
      <c r="B490" s="36" t="s">
        <v>52</v>
      </c>
      <c r="C490" s="36" t="s">
        <v>62</v>
      </c>
      <c r="D490" s="36" t="s">
        <v>60</v>
      </c>
      <c r="E490" s="36" t="s">
        <v>97</v>
      </c>
      <c r="F490" s="36"/>
      <c r="G490" s="36" t="s">
        <v>273</v>
      </c>
      <c r="H490" s="36" t="s">
        <v>99</v>
      </c>
      <c r="I490" s="84">
        <v>20485.2</v>
      </c>
      <c r="J490" s="86" t="s">
        <v>313</v>
      </c>
      <c r="K490" s="78">
        <v>45991</v>
      </c>
      <c r="L490" s="36" t="s">
        <v>14</v>
      </c>
      <c r="M490" s="36" t="s">
        <v>225</v>
      </c>
      <c r="N490" s="36"/>
    </row>
    <row r="491" spans="1:14">
      <c r="A491" s="36">
        <v>490</v>
      </c>
      <c r="B491" s="36" t="s">
        <v>52</v>
      </c>
      <c r="C491" s="36" t="s">
        <v>62</v>
      </c>
      <c r="D491" s="36" t="s">
        <v>60</v>
      </c>
      <c r="E491" s="36" t="s">
        <v>97</v>
      </c>
      <c r="F491" s="36"/>
      <c r="G491" s="36" t="s">
        <v>98</v>
      </c>
      <c r="H491" s="36" t="s">
        <v>99</v>
      </c>
      <c r="I491" s="84">
        <v>8646</v>
      </c>
      <c r="J491" s="36" t="s">
        <v>307</v>
      </c>
      <c r="K491" s="78">
        <v>45991</v>
      </c>
      <c r="L491" s="36" t="s">
        <v>14</v>
      </c>
      <c r="M491" s="36" t="s">
        <v>225</v>
      </c>
      <c r="N491" s="36"/>
    </row>
    <row r="492" spans="1:14">
      <c r="A492" s="36">
        <v>491</v>
      </c>
      <c r="B492" s="36" t="s">
        <v>52</v>
      </c>
      <c r="C492" s="36" t="s">
        <v>62</v>
      </c>
      <c r="D492" s="36" t="s">
        <v>60</v>
      </c>
      <c r="E492" s="36" t="s">
        <v>97</v>
      </c>
      <c r="F492" s="36"/>
      <c r="G492" s="36" t="s">
        <v>98</v>
      </c>
      <c r="H492" s="36" t="s">
        <v>99</v>
      </c>
      <c r="I492" s="84">
        <v>1500</v>
      </c>
      <c r="J492" s="36" t="s">
        <v>310</v>
      </c>
      <c r="K492" s="78">
        <v>45991</v>
      </c>
      <c r="L492" s="36" t="s">
        <v>14</v>
      </c>
      <c r="M492" s="36" t="s">
        <v>225</v>
      </c>
      <c r="N492" s="36"/>
    </row>
    <row r="493" spans="1:14">
      <c r="A493" s="36">
        <v>492</v>
      </c>
      <c r="B493" s="85" t="s">
        <v>52</v>
      </c>
      <c r="C493" s="85" t="s">
        <v>62</v>
      </c>
      <c r="D493" s="36" t="s">
        <v>60</v>
      </c>
      <c r="E493" s="36" t="s">
        <v>101</v>
      </c>
      <c r="F493" s="36"/>
      <c r="G493" s="36" t="s">
        <v>254</v>
      </c>
      <c r="H493" s="36" t="s">
        <v>101</v>
      </c>
      <c r="I493" s="84">
        <v>5000</v>
      </c>
      <c r="J493" s="36" t="s">
        <v>373</v>
      </c>
      <c r="K493" s="78">
        <v>45992</v>
      </c>
      <c r="L493" s="36">
        <v>2025404398</v>
      </c>
      <c r="M493" s="36" t="s">
        <v>225</v>
      </c>
      <c r="N493" s="36">
        <v>2025</v>
      </c>
    </row>
    <row r="494" spans="1:14">
      <c r="A494" s="36">
        <v>493</v>
      </c>
      <c r="B494" s="36" t="s">
        <v>52</v>
      </c>
      <c r="C494" s="36" t="s">
        <v>62</v>
      </c>
      <c r="D494" s="36" t="s">
        <v>60</v>
      </c>
      <c r="E494" s="88" t="s">
        <v>72</v>
      </c>
      <c r="F494" s="36"/>
      <c r="G494" s="36" t="s">
        <v>422</v>
      </c>
      <c r="H494" s="36" t="s">
        <v>121</v>
      </c>
      <c r="I494" s="84">
        <v>5181.818181818182</v>
      </c>
      <c r="J494" s="36" t="s">
        <v>594</v>
      </c>
      <c r="K494" s="78">
        <v>45962</v>
      </c>
      <c r="L494" s="36">
        <v>2025404013</v>
      </c>
      <c r="M494" s="77" t="s">
        <v>225</v>
      </c>
      <c r="N494" s="36">
        <v>2025</v>
      </c>
    </row>
    <row r="495" spans="1:14">
      <c r="A495" s="36">
        <v>494</v>
      </c>
      <c r="B495" s="36" t="s">
        <v>52</v>
      </c>
      <c r="C495" s="36" t="s">
        <v>62</v>
      </c>
      <c r="D495" s="36" t="s">
        <v>60</v>
      </c>
      <c r="E495" s="88" t="s">
        <v>72</v>
      </c>
      <c r="F495" s="36"/>
      <c r="G495" s="36" t="s">
        <v>122</v>
      </c>
      <c r="H495" s="87" t="s">
        <v>123</v>
      </c>
      <c r="I495" s="84">
        <v>4864</v>
      </c>
      <c r="J495" s="36" t="s">
        <v>452</v>
      </c>
      <c r="K495" s="78">
        <v>45970</v>
      </c>
      <c r="L495" s="36">
        <v>2025403985</v>
      </c>
      <c r="M495" s="77" t="s">
        <v>225</v>
      </c>
      <c r="N495" s="36">
        <v>2025</v>
      </c>
    </row>
    <row r="496" spans="1:14">
      <c r="A496" s="36">
        <v>495</v>
      </c>
      <c r="B496" s="36" t="s">
        <v>52</v>
      </c>
      <c r="C496" s="36" t="s">
        <v>62</v>
      </c>
      <c r="D496" s="36" t="s">
        <v>60</v>
      </c>
      <c r="E496" s="88" t="s">
        <v>72</v>
      </c>
      <c r="F496" s="36"/>
      <c r="G496" s="36" t="s">
        <v>122</v>
      </c>
      <c r="H496" s="87" t="s">
        <v>123</v>
      </c>
      <c r="I496" s="84">
        <v>4407</v>
      </c>
      <c r="J496" s="36" t="s">
        <v>453</v>
      </c>
      <c r="K496" s="78">
        <v>45970</v>
      </c>
      <c r="L496" s="36">
        <v>2025403983</v>
      </c>
      <c r="M496" s="77" t="s">
        <v>225</v>
      </c>
      <c r="N496" s="36">
        <v>2025</v>
      </c>
    </row>
    <row r="497" spans="1:14">
      <c r="A497" s="36">
        <v>496</v>
      </c>
      <c r="B497" s="36" t="s">
        <v>52</v>
      </c>
      <c r="C497" s="36" t="s">
        <v>62</v>
      </c>
      <c r="D497" s="36" t="s">
        <v>60</v>
      </c>
      <c r="E497" s="36" t="s">
        <v>72</v>
      </c>
      <c r="F497" s="36"/>
      <c r="G497" s="36" t="s">
        <v>122</v>
      </c>
      <c r="H497" s="87" t="s">
        <v>123</v>
      </c>
      <c r="I497" s="84">
        <v>3120</v>
      </c>
      <c r="J497" s="36" t="s">
        <v>461</v>
      </c>
      <c r="K497" s="78">
        <v>45963</v>
      </c>
      <c r="L497" s="36">
        <v>2025404006</v>
      </c>
      <c r="M497" s="77" t="s">
        <v>225</v>
      </c>
      <c r="N497" s="36">
        <v>2025</v>
      </c>
    </row>
    <row r="498" spans="1:14">
      <c r="A498" s="36">
        <v>497</v>
      </c>
      <c r="B498" s="36" t="s">
        <v>52</v>
      </c>
      <c r="C498" s="36" t="s">
        <v>62</v>
      </c>
      <c r="D498" s="36" t="s">
        <v>60</v>
      </c>
      <c r="E498" s="88" t="s">
        <v>72</v>
      </c>
      <c r="F498" s="36"/>
      <c r="G498" s="36" t="s">
        <v>124</v>
      </c>
      <c r="H498" s="36" t="s">
        <v>121</v>
      </c>
      <c r="I498" s="84">
        <v>139.86013986013987</v>
      </c>
      <c r="J498" s="36" t="s">
        <v>570</v>
      </c>
      <c r="K498" s="78">
        <v>45962</v>
      </c>
      <c r="L498" s="36">
        <v>2025404146</v>
      </c>
      <c r="M498" s="77" t="s">
        <v>225</v>
      </c>
      <c r="N498" s="36">
        <v>2025</v>
      </c>
    </row>
    <row r="499" spans="1:14">
      <c r="A499" s="36">
        <v>498</v>
      </c>
      <c r="B499" s="36" t="s">
        <v>52</v>
      </c>
      <c r="C499" s="36" t="s">
        <v>62</v>
      </c>
      <c r="D499" s="36" t="s">
        <v>60</v>
      </c>
      <c r="E499" s="88" t="s">
        <v>72</v>
      </c>
      <c r="F499" s="36"/>
      <c r="G499" s="36" t="s">
        <v>124</v>
      </c>
      <c r="H499" s="36" t="s">
        <v>121</v>
      </c>
      <c r="I499" s="84">
        <v>377.6223776223776</v>
      </c>
      <c r="J499" s="36" t="s">
        <v>573</v>
      </c>
      <c r="K499" s="78">
        <v>45978</v>
      </c>
      <c r="L499" s="36">
        <v>2025404267</v>
      </c>
      <c r="M499" s="77" t="s">
        <v>225</v>
      </c>
      <c r="N499" s="36">
        <v>2025</v>
      </c>
    </row>
    <row r="500" spans="1:14">
      <c r="A500" s="36">
        <v>499</v>
      </c>
      <c r="B500" s="36" t="s">
        <v>52</v>
      </c>
      <c r="C500" s="36" t="s">
        <v>62</v>
      </c>
      <c r="D500" s="36" t="s">
        <v>60</v>
      </c>
      <c r="E500" s="88" t="s">
        <v>72</v>
      </c>
      <c r="F500" s="36"/>
      <c r="G500" s="36" t="s">
        <v>265</v>
      </c>
      <c r="H500" s="36" t="s">
        <v>121</v>
      </c>
      <c r="I500" s="84">
        <v>7311.1888111888111</v>
      </c>
      <c r="J500" s="36" t="s">
        <v>603</v>
      </c>
      <c r="K500" s="78">
        <v>45963</v>
      </c>
      <c r="L500" s="36">
        <v>2025404120</v>
      </c>
      <c r="M500" s="77" t="s">
        <v>225</v>
      </c>
      <c r="N500" s="36">
        <v>2025</v>
      </c>
    </row>
    <row r="501" spans="1:14">
      <c r="A501" s="36">
        <v>500</v>
      </c>
      <c r="B501" s="36" t="s">
        <v>52</v>
      </c>
      <c r="C501" s="36" t="s">
        <v>62</v>
      </c>
      <c r="D501" s="36" t="s">
        <v>60</v>
      </c>
      <c r="E501" s="88" t="s">
        <v>72</v>
      </c>
      <c r="F501" s="36"/>
      <c r="G501" s="36" t="s">
        <v>125</v>
      </c>
      <c r="H501" s="36" t="s">
        <v>121</v>
      </c>
      <c r="I501" s="84">
        <v>935.1</v>
      </c>
      <c r="J501" s="36" t="s">
        <v>501</v>
      </c>
      <c r="K501" s="78">
        <v>45980</v>
      </c>
      <c r="L501" s="36">
        <v>2025404211</v>
      </c>
      <c r="M501" s="77" t="s">
        <v>225</v>
      </c>
      <c r="N501" s="36">
        <v>2025</v>
      </c>
    </row>
    <row r="502" spans="1:14">
      <c r="A502" s="36">
        <v>501</v>
      </c>
      <c r="B502" s="36" t="s">
        <v>52</v>
      </c>
      <c r="C502" s="36" t="s">
        <v>62</v>
      </c>
      <c r="D502" s="36" t="s">
        <v>60</v>
      </c>
      <c r="E502" s="36" t="s">
        <v>72</v>
      </c>
      <c r="F502" s="36"/>
      <c r="G502" s="36" t="s">
        <v>126</v>
      </c>
      <c r="H502" s="36" t="s">
        <v>121</v>
      </c>
      <c r="I502" s="84">
        <v>2000</v>
      </c>
      <c r="J502" s="36" t="s">
        <v>496</v>
      </c>
      <c r="K502" s="78">
        <v>45958</v>
      </c>
      <c r="L502" s="36">
        <v>2025404214</v>
      </c>
      <c r="M502" s="77" t="s">
        <v>225</v>
      </c>
      <c r="N502" s="36">
        <v>2025</v>
      </c>
    </row>
    <row r="503" spans="1:14">
      <c r="A503" s="36">
        <v>502</v>
      </c>
      <c r="B503" s="36" t="s">
        <v>52</v>
      </c>
      <c r="C503" s="36" t="s">
        <v>62</v>
      </c>
      <c r="D503" s="36" t="s">
        <v>60</v>
      </c>
      <c r="E503" s="88" t="s">
        <v>72</v>
      </c>
      <c r="F503" s="36"/>
      <c r="G503" s="36" t="s">
        <v>126</v>
      </c>
      <c r="H503" s="36" t="s">
        <v>121</v>
      </c>
      <c r="I503" s="84">
        <v>2502.0100000000002</v>
      </c>
      <c r="J503" s="36" t="s">
        <v>549</v>
      </c>
      <c r="K503" s="78">
        <v>45958</v>
      </c>
      <c r="L503" s="36">
        <v>2025404404</v>
      </c>
      <c r="M503" s="77" t="s">
        <v>225</v>
      </c>
      <c r="N503" s="36">
        <v>2025</v>
      </c>
    </row>
    <row r="504" spans="1:14">
      <c r="A504" s="36">
        <v>503</v>
      </c>
      <c r="B504" s="36" t="s">
        <v>52</v>
      </c>
      <c r="C504" s="36" t="s">
        <v>62</v>
      </c>
      <c r="D504" s="36" t="s">
        <v>60</v>
      </c>
      <c r="E504" s="88" t="s">
        <v>72</v>
      </c>
      <c r="F504" s="36"/>
      <c r="G504" s="36" t="s">
        <v>239</v>
      </c>
      <c r="H504" s="77" t="s">
        <v>250</v>
      </c>
      <c r="I504" s="84">
        <v>15200</v>
      </c>
      <c r="J504" s="36" t="s">
        <v>561</v>
      </c>
      <c r="K504" s="78">
        <v>45987</v>
      </c>
      <c r="L504" s="36">
        <v>2025404293</v>
      </c>
      <c r="M504" s="77" t="s">
        <v>225</v>
      </c>
      <c r="N504" s="36">
        <v>2025</v>
      </c>
    </row>
    <row r="505" spans="1:14">
      <c r="A505" s="36">
        <v>504</v>
      </c>
      <c r="B505" s="36" t="s">
        <v>52</v>
      </c>
      <c r="C505" s="36" t="s">
        <v>62</v>
      </c>
      <c r="D505" s="36" t="s">
        <v>60</v>
      </c>
      <c r="E505" s="36" t="s">
        <v>72</v>
      </c>
      <c r="F505" s="36"/>
      <c r="G505" s="36" t="s">
        <v>240</v>
      </c>
      <c r="H505" s="87" t="s">
        <v>123</v>
      </c>
      <c r="I505" s="84">
        <v>900</v>
      </c>
      <c r="J505" s="36" t="s">
        <v>428</v>
      </c>
      <c r="K505" s="78">
        <v>45957</v>
      </c>
      <c r="L505" s="36">
        <v>2025403970</v>
      </c>
      <c r="M505" s="77" t="s">
        <v>225</v>
      </c>
      <c r="N505" s="36">
        <v>2025</v>
      </c>
    </row>
    <row r="506" spans="1:14">
      <c r="A506" s="36">
        <v>505</v>
      </c>
      <c r="B506" s="88" t="s">
        <v>52</v>
      </c>
      <c r="C506" s="88" t="s">
        <v>62</v>
      </c>
      <c r="D506" s="36" t="s">
        <v>60</v>
      </c>
      <c r="E506" s="88" t="s">
        <v>72</v>
      </c>
      <c r="F506" s="36"/>
      <c r="G506" s="88" t="s">
        <v>416</v>
      </c>
      <c r="H506" s="36" t="s">
        <v>121</v>
      </c>
      <c r="I506" s="84">
        <v>4190</v>
      </c>
      <c r="J506" s="36" t="s">
        <v>503</v>
      </c>
      <c r="K506" s="78">
        <v>45978</v>
      </c>
      <c r="L506" s="36">
        <v>2025404248</v>
      </c>
      <c r="M506" s="77" t="s">
        <v>225</v>
      </c>
      <c r="N506" s="36">
        <v>2025</v>
      </c>
    </row>
    <row r="507" spans="1:14">
      <c r="A507" s="36">
        <v>506</v>
      </c>
      <c r="B507" s="36" t="s">
        <v>52</v>
      </c>
      <c r="C507" s="36" t="s">
        <v>62</v>
      </c>
      <c r="D507" s="36" t="s">
        <v>60</v>
      </c>
      <c r="E507" s="88" t="s">
        <v>72</v>
      </c>
      <c r="F507" s="36"/>
      <c r="G507" s="36" t="s">
        <v>243</v>
      </c>
      <c r="H507" s="36" t="s">
        <v>250</v>
      </c>
      <c r="I507" s="84">
        <v>6160.8391608391612</v>
      </c>
      <c r="J507" s="36" t="s">
        <v>600</v>
      </c>
      <c r="K507" s="78">
        <v>45978</v>
      </c>
      <c r="L507" s="36">
        <v>2025404168</v>
      </c>
      <c r="M507" s="77" t="s">
        <v>225</v>
      </c>
      <c r="N507" s="36">
        <v>2025</v>
      </c>
    </row>
    <row r="508" spans="1:14">
      <c r="A508" s="36">
        <v>507</v>
      </c>
      <c r="B508" s="36" t="s">
        <v>52</v>
      </c>
      <c r="C508" s="36" t="s">
        <v>62</v>
      </c>
      <c r="D508" s="36" t="s">
        <v>60</v>
      </c>
      <c r="E508" s="88" t="s">
        <v>72</v>
      </c>
      <c r="F508" s="36"/>
      <c r="G508" s="36" t="s">
        <v>384</v>
      </c>
      <c r="H508" s="36" t="s">
        <v>121</v>
      </c>
      <c r="I508" s="84">
        <v>1480</v>
      </c>
      <c r="J508" s="36" t="s">
        <v>559</v>
      </c>
      <c r="K508" s="78">
        <v>45960</v>
      </c>
      <c r="L508" s="36">
        <v>2025404106</v>
      </c>
      <c r="M508" s="77" t="s">
        <v>225</v>
      </c>
      <c r="N508" s="36">
        <v>2025</v>
      </c>
    </row>
    <row r="509" spans="1:14">
      <c r="A509" s="36">
        <v>508</v>
      </c>
      <c r="B509" s="36" t="s">
        <v>52</v>
      </c>
      <c r="C509" s="36" t="s">
        <v>62</v>
      </c>
      <c r="D509" s="36" t="s">
        <v>60</v>
      </c>
      <c r="E509" s="36" t="s">
        <v>72</v>
      </c>
      <c r="F509" s="36"/>
      <c r="G509" s="36" t="s">
        <v>417</v>
      </c>
      <c r="H509" s="36" t="s">
        <v>121</v>
      </c>
      <c r="I509" s="84">
        <v>1560</v>
      </c>
      <c r="J509" s="36" t="s">
        <v>506</v>
      </c>
      <c r="K509" s="78">
        <v>45967</v>
      </c>
      <c r="L509" s="36">
        <v>2025404190</v>
      </c>
      <c r="M509" s="77" t="s">
        <v>225</v>
      </c>
      <c r="N509" s="36">
        <v>2025</v>
      </c>
    </row>
    <row r="510" spans="1:14">
      <c r="A510" s="36">
        <v>509</v>
      </c>
      <c r="B510" s="36" t="s">
        <v>52</v>
      </c>
      <c r="C510" s="36" t="s">
        <v>62</v>
      </c>
      <c r="D510" s="36" t="s">
        <v>60</v>
      </c>
      <c r="E510" s="88" t="s">
        <v>72</v>
      </c>
      <c r="F510" s="36"/>
      <c r="G510" s="36" t="s">
        <v>128</v>
      </c>
      <c r="H510" s="36" t="s">
        <v>121</v>
      </c>
      <c r="I510" s="84">
        <v>190</v>
      </c>
      <c r="J510" s="36" t="s">
        <v>436</v>
      </c>
      <c r="K510" s="78">
        <v>45969</v>
      </c>
      <c r="L510" s="36">
        <v>2025403973</v>
      </c>
      <c r="M510" s="77" t="s">
        <v>225</v>
      </c>
      <c r="N510" s="36">
        <v>2025</v>
      </c>
    </row>
    <row r="511" spans="1:14">
      <c r="A511" s="36">
        <v>510</v>
      </c>
      <c r="B511" s="36" t="s">
        <v>52</v>
      </c>
      <c r="C511" s="36" t="s">
        <v>62</v>
      </c>
      <c r="D511" s="36" t="s">
        <v>60</v>
      </c>
      <c r="E511" s="88" t="s">
        <v>72</v>
      </c>
      <c r="F511" s="36"/>
      <c r="G511" s="36" t="s">
        <v>128</v>
      </c>
      <c r="H511" s="36" t="s">
        <v>121</v>
      </c>
      <c r="I511" s="84">
        <v>2359</v>
      </c>
      <c r="J511" s="36" t="s">
        <v>444</v>
      </c>
      <c r="K511" s="78">
        <v>45969</v>
      </c>
      <c r="L511" s="36">
        <v>2025403990</v>
      </c>
      <c r="M511" s="77" t="s">
        <v>225</v>
      </c>
      <c r="N511" s="36">
        <v>2025</v>
      </c>
    </row>
    <row r="512" spans="1:14">
      <c r="A512" s="36">
        <v>511</v>
      </c>
      <c r="B512" s="36" t="s">
        <v>52</v>
      </c>
      <c r="C512" s="36" t="s">
        <v>62</v>
      </c>
      <c r="D512" s="36" t="s">
        <v>60</v>
      </c>
      <c r="E512" s="88" t="s">
        <v>72</v>
      </c>
      <c r="F512" s="36"/>
      <c r="G512" s="36" t="s">
        <v>128</v>
      </c>
      <c r="H512" s="36" t="s">
        <v>121</v>
      </c>
      <c r="I512" s="84">
        <v>96</v>
      </c>
      <c r="J512" s="36" t="s">
        <v>465</v>
      </c>
      <c r="K512" s="78">
        <v>45976</v>
      </c>
      <c r="L512" s="36">
        <v>2025404135</v>
      </c>
      <c r="M512" s="77" t="s">
        <v>225</v>
      </c>
      <c r="N512" s="36">
        <v>2025</v>
      </c>
    </row>
    <row r="513" spans="1:14">
      <c r="A513" s="36">
        <v>512</v>
      </c>
      <c r="B513" s="36" t="s">
        <v>52</v>
      </c>
      <c r="C513" s="36" t="s">
        <v>62</v>
      </c>
      <c r="D513" s="36" t="s">
        <v>60</v>
      </c>
      <c r="E513" s="88" t="s">
        <v>72</v>
      </c>
      <c r="F513" s="36"/>
      <c r="G513" s="36" t="s">
        <v>128</v>
      </c>
      <c r="H513" s="36" t="s">
        <v>121</v>
      </c>
      <c r="I513" s="84">
        <v>465</v>
      </c>
      <c r="J513" s="36" t="s">
        <v>467</v>
      </c>
      <c r="K513" s="78">
        <v>45976</v>
      </c>
      <c r="L513" s="36">
        <v>2025404155</v>
      </c>
      <c r="M513" s="77" t="s">
        <v>225</v>
      </c>
      <c r="N513" s="36">
        <v>2025</v>
      </c>
    </row>
    <row r="514" spans="1:14">
      <c r="A514" s="36">
        <v>513</v>
      </c>
      <c r="B514" s="36" t="s">
        <v>52</v>
      </c>
      <c r="C514" s="36" t="s">
        <v>62</v>
      </c>
      <c r="D514" s="36" t="s">
        <v>60</v>
      </c>
      <c r="E514" s="88" t="s">
        <v>72</v>
      </c>
      <c r="F514" s="36"/>
      <c r="G514" s="36" t="s">
        <v>128</v>
      </c>
      <c r="H514" s="36" t="s">
        <v>121</v>
      </c>
      <c r="I514" s="84">
        <v>1242</v>
      </c>
      <c r="J514" s="36" t="s">
        <v>472</v>
      </c>
      <c r="K514" s="78">
        <v>45976</v>
      </c>
      <c r="L514" s="36">
        <v>2025404060</v>
      </c>
      <c r="M514" s="77" t="s">
        <v>225</v>
      </c>
      <c r="N514" s="36">
        <v>2025</v>
      </c>
    </row>
    <row r="515" spans="1:14">
      <c r="A515" s="36">
        <v>514</v>
      </c>
      <c r="B515" s="36" t="s">
        <v>52</v>
      </c>
      <c r="C515" s="36" t="s">
        <v>62</v>
      </c>
      <c r="D515" s="36" t="s">
        <v>60</v>
      </c>
      <c r="E515" s="88" t="s">
        <v>72</v>
      </c>
      <c r="F515" s="36"/>
      <c r="G515" s="36" t="s">
        <v>128</v>
      </c>
      <c r="H515" s="36" t="s">
        <v>121</v>
      </c>
      <c r="I515" s="84">
        <v>1293.2</v>
      </c>
      <c r="J515" s="36" t="s">
        <v>478</v>
      </c>
      <c r="K515" s="78">
        <v>45976</v>
      </c>
      <c r="L515" s="36">
        <v>2025404156</v>
      </c>
      <c r="M515" s="77" t="s">
        <v>225</v>
      </c>
      <c r="N515" s="36">
        <v>2025</v>
      </c>
    </row>
    <row r="516" spans="1:14">
      <c r="A516" s="36">
        <v>515</v>
      </c>
      <c r="B516" s="36" t="s">
        <v>52</v>
      </c>
      <c r="C516" s="36" t="s">
        <v>62</v>
      </c>
      <c r="D516" s="36" t="s">
        <v>60</v>
      </c>
      <c r="E516" s="88" t="s">
        <v>72</v>
      </c>
      <c r="F516" s="36"/>
      <c r="G516" s="36" t="s">
        <v>128</v>
      </c>
      <c r="H516" s="36" t="s">
        <v>121</v>
      </c>
      <c r="I516" s="84">
        <v>590.5</v>
      </c>
      <c r="J516" s="36" t="s">
        <v>480</v>
      </c>
      <c r="K516" s="78">
        <v>45976</v>
      </c>
      <c r="L516" s="36">
        <v>2025404086</v>
      </c>
      <c r="M516" s="77" t="s">
        <v>225</v>
      </c>
      <c r="N516" s="36">
        <v>2025</v>
      </c>
    </row>
    <row r="517" spans="1:14">
      <c r="A517" s="36">
        <v>516</v>
      </c>
      <c r="B517" s="36" t="s">
        <v>52</v>
      </c>
      <c r="C517" s="36" t="s">
        <v>62</v>
      </c>
      <c r="D517" s="36" t="s">
        <v>60</v>
      </c>
      <c r="E517" s="88" t="s">
        <v>72</v>
      </c>
      <c r="F517" s="36"/>
      <c r="G517" s="36" t="s">
        <v>128</v>
      </c>
      <c r="H517" s="36" t="s">
        <v>121</v>
      </c>
      <c r="I517" s="84">
        <v>512.5</v>
      </c>
      <c r="J517" s="36" t="s">
        <v>485</v>
      </c>
      <c r="K517" s="89">
        <v>45979</v>
      </c>
      <c r="L517" s="36">
        <v>2025404203</v>
      </c>
      <c r="M517" s="77" t="s">
        <v>225</v>
      </c>
      <c r="N517" s="36">
        <v>2025</v>
      </c>
    </row>
    <row r="518" spans="1:14">
      <c r="A518" s="36">
        <v>517</v>
      </c>
      <c r="B518" s="36" t="s">
        <v>52</v>
      </c>
      <c r="C518" s="36" t="s">
        <v>62</v>
      </c>
      <c r="D518" s="36" t="s">
        <v>60</v>
      </c>
      <c r="E518" s="88" t="s">
        <v>72</v>
      </c>
      <c r="F518" s="36"/>
      <c r="G518" s="87" t="s">
        <v>128</v>
      </c>
      <c r="H518" s="36" t="s">
        <v>121</v>
      </c>
      <c r="I518" s="84">
        <v>821</v>
      </c>
      <c r="J518" s="87" t="s">
        <v>486</v>
      </c>
      <c r="K518" s="78">
        <v>45979</v>
      </c>
      <c r="L518" s="87">
        <v>2025404187</v>
      </c>
      <c r="M518" s="77" t="s">
        <v>225</v>
      </c>
      <c r="N518" s="36">
        <v>2025</v>
      </c>
    </row>
    <row r="519" spans="1:14">
      <c r="A519" s="36">
        <v>518</v>
      </c>
      <c r="B519" s="36" t="s">
        <v>52</v>
      </c>
      <c r="C519" s="36" t="s">
        <v>62</v>
      </c>
      <c r="D519" s="36" t="s">
        <v>60</v>
      </c>
      <c r="E519" s="88" t="s">
        <v>72</v>
      </c>
      <c r="F519" s="36"/>
      <c r="G519" s="36" t="s">
        <v>128</v>
      </c>
      <c r="H519" s="36" t="s">
        <v>121</v>
      </c>
      <c r="I519" s="84">
        <v>164.5</v>
      </c>
      <c r="J519" s="36" t="s">
        <v>492</v>
      </c>
      <c r="K519" s="78">
        <v>45979</v>
      </c>
      <c r="L519" s="36">
        <v>2025404188</v>
      </c>
      <c r="M519" s="77" t="s">
        <v>225</v>
      </c>
      <c r="N519" s="36">
        <v>2025</v>
      </c>
    </row>
    <row r="520" spans="1:14">
      <c r="A520" s="36">
        <v>519</v>
      </c>
      <c r="B520" s="36" t="s">
        <v>52</v>
      </c>
      <c r="C520" s="36" t="s">
        <v>62</v>
      </c>
      <c r="D520" s="36" t="s">
        <v>60</v>
      </c>
      <c r="E520" s="36" t="s">
        <v>72</v>
      </c>
      <c r="F520" s="36"/>
      <c r="G520" s="36" t="s">
        <v>128</v>
      </c>
      <c r="H520" s="36" t="s">
        <v>121</v>
      </c>
      <c r="I520" s="84">
        <v>1120.5</v>
      </c>
      <c r="J520" s="36" t="s">
        <v>493</v>
      </c>
      <c r="K520" s="78">
        <v>45979</v>
      </c>
      <c r="L520" s="36">
        <v>2025404089</v>
      </c>
      <c r="M520" s="77" t="s">
        <v>225</v>
      </c>
      <c r="N520" s="36">
        <v>2025</v>
      </c>
    </row>
    <row r="521" spans="1:14">
      <c r="A521" s="36">
        <v>520</v>
      </c>
      <c r="B521" s="36" t="s">
        <v>52</v>
      </c>
      <c r="C521" s="36" t="s">
        <v>62</v>
      </c>
      <c r="D521" s="36" t="s">
        <v>60</v>
      </c>
      <c r="E521" s="36" t="s">
        <v>72</v>
      </c>
      <c r="F521" s="36"/>
      <c r="G521" s="36" t="s">
        <v>128</v>
      </c>
      <c r="H521" s="36" t="s">
        <v>121</v>
      </c>
      <c r="I521" s="84">
        <v>588</v>
      </c>
      <c r="J521" s="36" t="s">
        <v>513</v>
      </c>
      <c r="K521" s="78">
        <v>45980</v>
      </c>
      <c r="L521" s="36">
        <v>2025404154</v>
      </c>
      <c r="M521" s="77" t="s">
        <v>225</v>
      </c>
      <c r="N521" s="36">
        <v>2025</v>
      </c>
    </row>
    <row r="522" spans="1:14">
      <c r="A522" s="36">
        <v>521</v>
      </c>
      <c r="B522" s="36" t="s">
        <v>52</v>
      </c>
      <c r="C522" s="36" t="s">
        <v>62</v>
      </c>
      <c r="D522" s="36" t="s">
        <v>60</v>
      </c>
      <c r="E522" s="36" t="s">
        <v>72</v>
      </c>
      <c r="F522" s="36"/>
      <c r="G522" s="36" t="s">
        <v>128</v>
      </c>
      <c r="H522" s="36" t="s">
        <v>121</v>
      </c>
      <c r="I522" s="84">
        <v>413</v>
      </c>
      <c r="J522" s="36" t="s">
        <v>529</v>
      </c>
      <c r="K522" s="78">
        <v>45986</v>
      </c>
      <c r="L522" s="36">
        <v>2025404189</v>
      </c>
      <c r="M522" s="77" t="s">
        <v>225</v>
      </c>
      <c r="N522" s="36">
        <v>2025</v>
      </c>
    </row>
    <row r="523" spans="1:14">
      <c r="A523" s="36">
        <v>522</v>
      </c>
      <c r="B523" s="36" t="s">
        <v>52</v>
      </c>
      <c r="C523" s="36" t="s">
        <v>62</v>
      </c>
      <c r="D523" s="36" t="s">
        <v>60</v>
      </c>
      <c r="E523" s="36" t="s">
        <v>72</v>
      </c>
      <c r="F523" s="36"/>
      <c r="G523" s="36" t="s">
        <v>128</v>
      </c>
      <c r="H523" s="36" t="s">
        <v>121</v>
      </c>
      <c r="I523" s="84">
        <v>3656.5</v>
      </c>
      <c r="J523" s="36" t="s">
        <v>545</v>
      </c>
      <c r="K523" s="78">
        <v>45976</v>
      </c>
      <c r="L523" s="36">
        <v>2025404171</v>
      </c>
      <c r="M523" s="77" t="s">
        <v>225</v>
      </c>
      <c r="N523" s="36">
        <v>2025</v>
      </c>
    </row>
    <row r="524" spans="1:14">
      <c r="A524" s="36">
        <v>523</v>
      </c>
      <c r="B524" s="36" t="s">
        <v>52</v>
      </c>
      <c r="C524" s="36" t="s">
        <v>62</v>
      </c>
      <c r="D524" s="36" t="s">
        <v>60</v>
      </c>
      <c r="E524" s="36" t="s">
        <v>72</v>
      </c>
      <c r="F524" s="36"/>
      <c r="G524" s="36" t="s">
        <v>128</v>
      </c>
      <c r="H524" s="36" t="s">
        <v>121</v>
      </c>
      <c r="I524" s="84">
        <v>4532.5</v>
      </c>
      <c r="J524" s="36" t="s">
        <v>551</v>
      </c>
      <c r="K524" s="78">
        <v>45985</v>
      </c>
      <c r="L524" s="36">
        <v>2025404250</v>
      </c>
      <c r="M524" s="77" t="s">
        <v>225</v>
      </c>
      <c r="N524" s="36">
        <v>2025</v>
      </c>
    </row>
    <row r="525" spans="1:14">
      <c r="A525" s="36">
        <v>524</v>
      </c>
      <c r="B525" s="36" t="s">
        <v>52</v>
      </c>
      <c r="C525" s="36" t="s">
        <v>62</v>
      </c>
      <c r="D525" s="36" t="s">
        <v>60</v>
      </c>
      <c r="E525" s="88" t="s">
        <v>72</v>
      </c>
      <c r="F525" s="36"/>
      <c r="G525" s="36" t="s">
        <v>128</v>
      </c>
      <c r="H525" s="36" t="s">
        <v>121</v>
      </c>
      <c r="I525" s="84">
        <v>1320.1</v>
      </c>
      <c r="J525" s="36" t="s">
        <v>564</v>
      </c>
      <c r="K525" s="78">
        <v>45987</v>
      </c>
      <c r="L525" s="36">
        <v>2025404288</v>
      </c>
      <c r="M525" s="77" t="s">
        <v>225</v>
      </c>
      <c r="N525" s="36">
        <v>2025</v>
      </c>
    </row>
    <row r="526" spans="1:14">
      <c r="A526" s="36">
        <v>525</v>
      </c>
      <c r="B526" s="36" t="s">
        <v>52</v>
      </c>
      <c r="C526" s="36" t="s">
        <v>62</v>
      </c>
      <c r="D526" s="36" t="s">
        <v>19</v>
      </c>
      <c r="E526" s="36" t="s">
        <v>81</v>
      </c>
      <c r="F526" s="36"/>
      <c r="G526" s="36" t="s">
        <v>91</v>
      </c>
      <c r="H526" s="36" t="s">
        <v>618</v>
      </c>
      <c r="I526" s="84">
        <v>161623.32167832169</v>
      </c>
      <c r="J526" s="36" t="s">
        <v>14</v>
      </c>
      <c r="K526" s="78" t="s">
        <v>14</v>
      </c>
      <c r="L526" s="36" t="s">
        <v>14</v>
      </c>
      <c r="M526" s="36" t="s">
        <v>225</v>
      </c>
      <c r="N526" s="36">
        <v>2025</v>
      </c>
    </row>
    <row r="527" spans="1:14">
      <c r="A527" s="36">
        <v>526</v>
      </c>
      <c r="B527" s="36" t="s">
        <v>52</v>
      </c>
      <c r="C527" s="36" t="s">
        <v>62</v>
      </c>
      <c r="D527" s="36" t="s">
        <v>60</v>
      </c>
      <c r="E527" s="36" t="s">
        <v>81</v>
      </c>
      <c r="F527" s="36"/>
      <c r="G527" s="36" t="s">
        <v>384</v>
      </c>
      <c r="H527" s="36" t="s">
        <v>619</v>
      </c>
      <c r="I527" s="84">
        <v>104.89510489510489</v>
      </c>
      <c r="J527" s="36" t="s">
        <v>396</v>
      </c>
      <c r="K527" s="78">
        <v>45966</v>
      </c>
      <c r="L527" s="36">
        <v>2025403161</v>
      </c>
      <c r="M527" s="36" t="s">
        <v>225</v>
      </c>
      <c r="N527" s="36">
        <v>2025</v>
      </c>
    </row>
    <row r="528" spans="1:14">
      <c r="A528" s="36">
        <v>527</v>
      </c>
      <c r="B528" s="36" t="s">
        <v>52</v>
      </c>
      <c r="C528" s="36" t="s">
        <v>62</v>
      </c>
      <c r="D528" s="36" t="s">
        <v>60</v>
      </c>
      <c r="E528" s="36" t="s">
        <v>81</v>
      </c>
      <c r="F528" s="36"/>
      <c r="G528" s="36" t="s">
        <v>385</v>
      </c>
      <c r="H528" s="36" t="s">
        <v>619</v>
      </c>
      <c r="I528" s="84">
        <v>1048.951048951049</v>
      </c>
      <c r="J528" s="36" t="s">
        <v>400</v>
      </c>
      <c r="K528" s="78">
        <v>45870</v>
      </c>
      <c r="L528" s="36">
        <v>2025404280</v>
      </c>
      <c r="M528" s="36" t="s">
        <v>225</v>
      </c>
      <c r="N528" s="36">
        <v>2025</v>
      </c>
    </row>
    <row r="529" spans="1:14">
      <c r="A529" s="36">
        <v>528</v>
      </c>
      <c r="B529" s="36" t="s">
        <v>52</v>
      </c>
      <c r="C529" s="36" t="s">
        <v>62</v>
      </c>
      <c r="D529" s="36" t="s">
        <v>60</v>
      </c>
      <c r="E529" s="36" t="s">
        <v>81</v>
      </c>
      <c r="F529" s="36"/>
      <c r="G529" s="36" t="s">
        <v>386</v>
      </c>
      <c r="H529" s="36" t="s">
        <v>619</v>
      </c>
      <c r="I529" s="84">
        <v>1398.6013986013986</v>
      </c>
      <c r="J529" s="36" t="s">
        <v>401</v>
      </c>
      <c r="K529" s="78">
        <v>45976</v>
      </c>
      <c r="L529" s="36">
        <v>2025404276</v>
      </c>
      <c r="M529" s="36" t="s">
        <v>225</v>
      </c>
      <c r="N529" s="36">
        <v>2025</v>
      </c>
    </row>
    <row r="530" spans="1:14">
      <c r="A530" s="36">
        <v>529</v>
      </c>
      <c r="B530" s="36" t="s">
        <v>52</v>
      </c>
      <c r="C530" s="36" t="s">
        <v>62</v>
      </c>
      <c r="D530" s="36" t="s">
        <v>60</v>
      </c>
      <c r="E530" s="36" t="s">
        <v>81</v>
      </c>
      <c r="F530" s="36"/>
      <c r="G530" s="36" t="s">
        <v>113</v>
      </c>
      <c r="H530" s="36" t="s">
        <v>619</v>
      </c>
      <c r="I530" s="84">
        <v>3734.2657342657344</v>
      </c>
      <c r="J530" s="36" t="s">
        <v>402</v>
      </c>
      <c r="K530" s="78">
        <v>45978</v>
      </c>
      <c r="L530" s="36">
        <v>2025404352</v>
      </c>
      <c r="M530" s="36" t="s">
        <v>225</v>
      </c>
      <c r="N530" s="36">
        <v>2025</v>
      </c>
    </row>
    <row r="531" spans="1:14">
      <c r="A531" s="36">
        <v>530</v>
      </c>
      <c r="B531" s="36" t="s">
        <v>52</v>
      </c>
      <c r="C531" s="36" t="s">
        <v>62</v>
      </c>
      <c r="D531" s="36" t="s">
        <v>60</v>
      </c>
      <c r="E531" s="36" t="s">
        <v>81</v>
      </c>
      <c r="F531" s="36"/>
      <c r="G531" s="36" t="s">
        <v>113</v>
      </c>
      <c r="H531" s="36" t="s">
        <v>619</v>
      </c>
      <c r="I531" s="84">
        <v>6293.7062937062938</v>
      </c>
      <c r="J531" s="36" t="s">
        <v>405</v>
      </c>
      <c r="K531" s="78">
        <v>45959</v>
      </c>
      <c r="L531" s="36">
        <v>2025404259</v>
      </c>
      <c r="M531" s="36" t="s">
        <v>225</v>
      </c>
      <c r="N531" s="36">
        <v>2025</v>
      </c>
    </row>
    <row r="532" spans="1:14">
      <c r="A532" s="36">
        <v>531</v>
      </c>
      <c r="B532" s="36" t="s">
        <v>52</v>
      </c>
      <c r="C532" s="36" t="s">
        <v>62</v>
      </c>
      <c r="D532" s="36" t="s">
        <v>19</v>
      </c>
      <c r="E532" s="36" t="s">
        <v>110</v>
      </c>
      <c r="F532" s="36"/>
      <c r="G532" s="36" t="s">
        <v>117</v>
      </c>
      <c r="H532" s="36" t="s">
        <v>110</v>
      </c>
      <c r="I532" s="84">
        <v>131661.58950642587</v>
      </c>
      <c r="J532" s="36" t="s">
        <v>14</v>
      </c>
      <c r="K532" s="78" t="s">
        <v>14</v>
      </c>
      <c r="L532" s="36" t="s">
        <v>14</v>
      </c>
      <c r="M532" s="36" t="s">
        <v>225</v>
      </c>
      <c r="N532" s="36">
        <v>2025</v>
      </c>
    </row>
    <row r="533" spans="1:14">
      <c r="A533" s="36">
        <v>532</v>
      </c>
      <c r="B533" s="90" t="s">
        <v>52</v>
      </c>
      <c r="C533" s="90" t="s">
        <v>62</v>
      </c>
      <c r="D533" s="36" t="s">
        <v>19</v>
      </c>
      <c r="E533" s="36" t="s">
        <v>114</v>
      </c>
      <c r="F533" s="36"/>
      <c r="G533" s="36" t="s">
        <v>254</v>
      </c>
      <c r="H533" s="36" t="s">
        <v>116</v>
      </c>
      <c r="I533" s="84">
        <v>430872.65</v>
      </c>
      <c r="J533" s="36" t="s">
        <v>14</v>
      </c>
      <c r="K533" s="78" t="s">
        <v>14</v>
      </c>
      <c r="L533" s="36" t="s">
        <v>14</v>
      </c>
      <c r="M533" s="77" t="s">
        <v>225</v>
      </c>
      <c r="N533" s="36">
        <v>2025</v>
      </c>
    </row>
  </sheetData>
  <autoFilter ref="A1:N533" xr:uid="{00000000-0001-0000-0100-000000000000}">
    <sortState xmlns:xlrd2="http://schemas.microsoft.com/office/spreadsheetml/2017/richdata2" ref="A2:N533">
      <sortCondition ref="B1:B533"/>
    </sortState>
  </autoFilter>
  <conditionalFormatting sqref="L2:L27">
    <cfRule type="duplicateValues" dxfId="14" priority="261"/>
  </conditionalFormatting>
  <conditionalFormatting sqref="L28:L34">
    <cfRule type="duplicateValues" dxfId="13" priority="213"/>
  </conditionalFormatting>
  <conditionalFormatting sqref="L35:L119">
    <cfRule type="duplicateValues" dxfId="12" priority="5"/>
  </conditionalFormatting>
  <conditionalFormatting sqref="L120:L124">
    <cfRule type="duplicateValues" dxfId="11" priority="4"/>
  </conditionalFormatting>
  <conditionalFormatting sqref="L125:L131">
    <cfRule type="duplicateValues" dxfId="10" priority="3"/>
  </conditionalFormatting>
  <conditionalFormatting sqref="L132:L138">
    <cfRule type="duplicateValues" dxfId="9" priority="2"/>
  </conditionalFormatting>
  <conditionalFormatting sqref="L139:L146 L2:L27">
    <cfRule type="duplicateValues" dxfId="8" priority="267"/>
  </conditionalFormatting>
  <conditionalFormatting sqref="L147:L263 L450:L533">
    <cfRule type="duplicateValues" dxfId="7" priority="265"/>
  </conditionalFormatting>
  <conditionalFormatting sqref="L264:L449">
    <cfRule type="duplicateValues" dxfId="6" priority="1"/>
  </conditionalFormatting>
  <dataValidations count="2">
    <dataValidation type="list" allowBlank="1" showInputMessage="1" showErrorMessage="1" sqref="C157:C236 C526:C532 I264:I449 C510 C139:C155 B14 C247 C251:C252 C2:C29 C325:C329 C521 C523 C264:C312 C314:C316 C319:C323 C450:C452 C482:C484 C454:C466 C468" xr:uid="{00000000-0002-0000-0100-000001000000}">
      <formula1>INDIRECT(A2)</formula1>
    </dataValidation>
    <dataValidation type="list" allowBlank="1" showInputMessage="1" showErrorMessage="1" sqref="C132:C138 C35:C64 C67:C104 C106:C119 C125:C130" xr:uid="{00000000-0002-0000-0100-000004000000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List!$P$2:$P$11</xm:f>
          </x14:formula1>
          <xm:sqref>B526:B532 B31:B32 B29 B510:B511 B514 B2:B13 B16:B27 B151:B161 B163 B139:B148 B165:B180 B182:B183 B185:B202 B204:B205 B207:B221 B223:B225 B227:B236 B247 B251 B259 B264:B329 B521 B523 B450:B465 B467:B489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D2:D33 D139:D249 D251:D533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E2:E29 H248:H250 E139:E250 E264:E449 E488:E525</xm:sqref>
        </x14:dataValidation>
        <x14:dataValidation type="list" allowBlank="1" showInputMessage="1" showErrorMessage="1" xr:uid="{00000000-0002-0000-0100-000007000000}">
          <x14:formula1>
            <xm:f>List!$H$2:$H$13</xm:f>
          </x14:formula1>
          <xm:sqref>M2:M34 M139:M259 M264:M532</xm:sqref>
        </x14:dataValidation>
        <x14:dataValidation type="list" allowBlank="1" showInputMessage="1" showErrorMessage="1" xr:uid="{00000000-0002-0000-0100-000008000000}">
          <x14:formula1>
            <xm:f>List!$J$2:$J$4</xm:f>
          </x14:formula1>
          <xm:sqref>N2:N34 N139:N259 N264:N533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N293"/>
  <sheetViews>
    <sheetView topLeftCell="E10" workbookViewId="0">
      <selection activeCell="E17" sqref="E17"/>
    </sheetView>
  </sheetViews>
  <sheetFormatPr defaultColWidth="9" defaultRowHeight="14.4"/>
  <cols>
    <col min="1" max="1" width="5.33203125" customWidth="1"/>
    <col min="2" max="2" width="10.5546875" customWidth="1"/>
    <col min="3" max="3" width="10.6640625" customWidth="1"/>
    <col min="4" max="4" width="9" customWidth="1"/>
    <col min="5" max="5" width="24.77734375" customWidth="1"/>
    <col min="6" max="6" width="10.21875" customWidth="1"/>
    <col min="7" max="7" width="7" customWidth="1"/>
    <col min="8" max="8" width="33" bestFit="1" customWidth="1"/>
    <col min="9" max="9" width="13.77734375" bestFit="1" customWidth="1"/>
    <col min="10" max="10" width="10.109375" customWidth="1"/>
    <col min="11" max="11" width="11.21875" customWidth="1"/>
    <col min="12" max="12" width="10.5546875" customWidth="1"/>
    <col min="13" max="13" width="6.5546875" customWidth="1"/>
    <col min="14" max="14" width="4.77734375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16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4">
        <v>1</v>
      </c>
      <c r="B2" s="4" t="s">
        <v>17</v>
      </c>
      <c r="C2" s="4" t="s">
        <v>18</v>
      </c>
      <c r="D2" s="4" t="s">
        <v>60</v>
      </c>
      <c r="E2" s="4" t="s">
        <v>20</v>
      </c>
      <c r="F2" s="4"/>
      <c r="G2" s="4" t="s">
        <v>21</v>
      </c>
      <c r="H2" s="4" t="s">
        <v>314</v>
      </c>
      <c r="I2" s="31">
        <v>108532</v>
      </c>
      <c r="J2" s="4" t="s">
        <v>14</v>
      </c>
      <c r="K2" s="4" t="s">
        <v>14</v>
      </c>
      <c r="L2" s="4" t="s">
        <v>14</v>
      </c>
      <c r="M2" s="4" t="s">
        <v>225</v>
      </c>
      <c r="N2" s="4">
        <v>2025</v>
      </c>
    </row>
    <row r="3" spans="1:14">
      <c r="A3" s="4">
        <v>2</v>
      </c>
      <c r="B3" s="4" t="s">
        <v>17</v>
      </c>
      <c r="C3" s="4" t="s">
        <v>75</v>
      </c>
      <c r="D3" s="4" t="s">
        <v>60</v>
      </c>
      <c r="E3" s="4" t="s">
        <v>20</v>
      </c>
      <c r="F3" s="4"/>
      <c r="G3" s="4" t="s">
        <v>21</v>
      </c>
      <c r="H3" s="4" t="s">
        <v>314</v>
      </c>
      <c r="I3" s="31">
        <v>18744</v>
      </c>
      <c r="J3" s="4" t="s">
        <v>14</v>
      </c>
      <c r="K3" s="4" t="s">
        <v>14</v>
      </c>
      <c r="L3" s="4" t="s">
        <v>14</v>
      </c>
      <c r="M3" s="4" t="s">
        <v>225</v>
      </c>
      <c r="N3" s="4">
        <v>2025</v>
      </c>
    </row>
    <row r="4" spans="1:14">
      <c r="A4" s="4">
        <v>3</v>
      </c>
      <c r="B4" s="4" t="s">
        <v>17</v>
      </c>
      <c r="C4" s="4" t="s">
        <v>22</v>
      </c>
      <c r="D4" s="4" t="s">
        <v>60</v>
      </c>
      <c r="E4" s="4" t="s">
        <v>20</v>
      </c>
      <c r="F4" s="4"/>
      <c r="G4" s="4" t="s">
        <v>21</v>
      </c>
      <c r="H4" s="4" t="s">
        <v>314</v>
      </c>
      <c r="I4" s="31">
        <v>107578</v>
      </c>
      <c r="J4" s="4" t="s">
        <v>14</v>
      </c>
      <c r="K4" s="4" t="s">
        <v>14</v>
      </c>
      <c r="L4" s="4" t="s">
        <v>14</v>
      </c>
      <c r="M4" s="4" t="s">
        <v>225</v>
      </c>
      <c r="N4" s="4">
        <v>2025</v>
      </c>
    </row>
    <row r="5" spans="1:14">
      <c r="A5" s="4">
        <v>4</v>
      </c>
      <c r="B5" s="4" t="s">
        <v>17</v>
      </c>
      <c r="C5" s="4" t="s">
        <v>93</v>
      </c>
      <c r="D5" s="4" t="s">
        <v>60</v>
      </c>
      <c r="E5" s="4" t="s">
        <v>20</v>
      </c>
      <c r="F5" s="4"/>
      <c r="G5" s="4" t="s">
        <v>21</v>
      </c>
      <c r="H5" s="4" t="s">
        <v>314</v>
      </c>
      <c r="I5" s="31">
        <v>44196</v>
      </c>
      <c r="J5" s="4" t="s">
        <v>14</v>
      </c>
      <c r="K5" s="4" t="s">
        <v>14</v>
      </c>
      <c r="L5" s="4" t="s">
        <v>14</v>
      </c>
      <c r="M5" s="4" t="s">
        <v>225</v>
      </c>
      <c r="N5" s="4">
        <v>2025</v>
      </c>
    </row>
    <row r="6" spans="1:14">
      <c r="A6" s="4">
        <v>5</v>
      </c>
      <c r="B6" s="4" t="s">
        <v>17</v>
      </c>
      <c r="C6" s="4" t="s">
        <v>23</v>
      </c>
      <c r="D6" s="4" t="s">
        <v>60</v>
      </c>
      <c r="E6" s="4" t="s">
        <v>20</v>
      </c>
      <c r="F6" s="4"/>
      <c r="G6" s="4" t="s">
        <v>21</v>
      </c>
      <c r="H6" s="4" t="s">
        <v>314</v>
      </c>
      <c r="I6" s="31">
        <v>5471</v>
      </c>
      <c r="J6" s="4" t="s">
        <v>14</v>
      </c>
      <c r="K6" s="4" t="s">
        <v>14</v>
      </c>
      <c r="L6" s="4" t="s">
        <v>14</v>
      </c>
      <c r="M6" s="4" t="s">
        <v>225</v>
      </c>
      <c r="N6" s="4">
        <v>2025</v>
      </c>
    </row>
    <row r="7" spans="1:14">
      <c r="A7" s="4">
        <v>6</v>
      </c>
      <c r="B7" s="4" t="s">
        <v>17</v>
      </c>
      <c r="C7" s="4" t="s">
        <v>24</v>
      </c>
      <c r="D7" s="4" t="s">
        <v>60</v>
      </c>
      <c r="E7" s="4" t="s">
        <v>20</v>
      </c>
      <c r="F7" s="4"/>
      <c r="G7" s="4" t="s">
        <v>21</v>
      </c>
      <c r="H7" s="4" t="s">
        <v>314</v>
      </c>
      <c r="I7" s="31">
        <v>31670</v>
      </c>
      <c r="J7" s="4" t="s">
        <v>14</v>
      </c>
      <c r="K7" s="4" t="s">
        <v>14</v>
      </c>
      <c r="L7" s="4" t="s">
        <v>14</v>
      </c>
      <c r="M7" s="4" t="s">
        <v>225</v>
      </c>
      <c r="N7" s="4">
        <v>2025</v>
      </c>
    </row>
    <row r="8" spans="1:14">
      <c r="A8" s="4">
        <v>7</v>
      </c>
      <c r="B8" s="4" t="s">
        <v>17</v>
      </c>
      <c r="C8" s="4" t="s">
        <v>25</v>
      </c>
      <c r="D8" s="4" t="s">
        <v>60</v>
      </c>
      <c r="E8" s="4" t="s">
        <v>20</v>
      </c>
      <c r="F8" s="4"/>
      <c r="G8" s="4" t="s">
        <v>21</v>
      </c>
      <c r="H8" s="4" t="s">
        <v>314</v>
      </c>
      <c r="I8" s="31">
        <v>183652</v>
      </c>
      <c r="J8" s="4" t="s">
        <v>14</v>
      </c>
      <c r="K8" s="4" t="s">
        <v>14</v>
      </c>
      <c r="L8" s="4" t="s">
        <v>14</v>
      </c>
      <c r="M8" s="4" t="s">
        <v>225</v>
      </c>
      <c r="N8" s="4">
        <v>2025</v>
      </c>
    </row>
    <row r="9" spans="1:14">
      <c r="A9" s="4">
        <v>8</v>
      </c>
      <c r="B9" s="4" t="s">
        <v>17</v>
      </c>
      <c r="C9" s="4" t="s">
        <v>26</v>
      </c>
      <c r="D9" s="4" t="s">
        <v>60</v>
      </c>
      <c r="E9" s="4" t="s">
        <v>20</v>
      </c>
      <c r="F9" s="4"/>
      <c r="G9" s="4" t="s">
        <v>21</v>
      </c>
      <c r="H9" s="4" t="s">
        <v>314</v>
      </c>
      <c r="I9" s="31">
        <v>9090</v>
      </c>
      <c r="J9" s="4" t="s">
        <v>14</v>
      </c>
      <c r="K9" s="4" t="s">
        <v>14</v>
      </c>
      <c r="L9" s="4" t="s">
        <v>14</v>
      </c>
      <c r="M9" s="4" t="s">
        <v>225</v>
      </c>
      <c r="N9" s="4">
        <v>2025</v>
      </c>
    </row>
    <row r="10" spans="1:14">
      <c r="A10" s="4">
        <v>9</v>
      </c>
      <c r="B10" s="4" t="s">
        <v>27</v>
      </c>
      <c r="C10" s="4" t="s">
        <v>28</v>
      </c>
      <c r="D10" s="4" t="s">
        <v>60</v>
      </c>
      <c r="E10" s="4" t="s">
        <v>20</v>
      </c>
      <c r="F10" s="4"/>
      <c r="G10" s="4" t="s">
        <v>21</v>
      </c>
      <c r="H10" s="4" t="s">
        <v>314</v>
      </c>
      <c r="I10" s="31">
        <v>22322</v>
      </c>
      <c r="J10" s="4" t="s">
        <v>14</v>
      </c>
      <c r="K10" s="4" t="s">
        <v>14</v>
      </c>
      <c r="L10" s="4" t="s">
        <v>14</v>
      </c>
      <c r="M10" s="4" t="s">
        <v>225</v>
      </c>
      <c r="N10" s="4">
        <v>2025</v>
      </c>
    </row>
    <row r="11" spans="1:14">
      <c r="A11" s="4">
        <v>10</v>
      </c>
      <c r="B11" s="4" t="s">
        <v>58</v>
      </c>
      <c r="C11" s="4" t="s">
        <v>59</v>
      </c>
      <c r="D11" s="4" t="s">
        <v>60</v>
      </c>
      <c r="E11" s="4" t="s">
        <v>20</v>
      </c>
      <c r="F11" s="4"/>
      <c r="G11" s="4" t="s">
        <v>21</v>
      </c>
      <c r="H11" s="4" t="s">
        <v>314</v>
      </c>
      <c r="I11" s="31">
        <v>99014</v>
      </c>
      <c r="J11" s="4" t="s">
        <v>14</v>
      </c>
      <c r="K11" s="4" t="s">
        <v>14</v>
      </c>
      <c r="L11" s="4" t="s">
        <v>14</v>
      </c>
      <c r="M11" s="4" t="s">
        <v>225</v>
      </c>
      <c r="N11" s="4">
        <v>2025</v>
      </c>
    </row>
    <row r="12" spans="1:14">
      <c r="A12" s="4">
        <v>11</v>
      </c>
      <c r="B12" s="4" t="s">
        <v>29</v>
      </c>
      <c r="C12" s="4" t="s">
        <v>30</v>
      </c>
      <c r="D12" s="4" t="s">
        <v>60</v>
      </c>
      <c r="E12" s="4" t="s">
        <v>20</v>
      </c>
      <c r="F12" s="4"/>
      <c r="G12" s="4" t="s">
        <v>21</v>
      </c>
      <c r="H12" s="4" t="s">
        <v>314</v>
      </c>
      <c r="I12" s="31">
        <v>18062</v>
      </c>
      <c r="J12" s="4" t="s">
        <v>14</v>
      </c>
      <c r="K12" s="4" t="s">
        <v>14</v>
      </c>
      <c r="L12" s="4" t="s">
        <v>14</v>
      </c>
      <c r="M12" s="4" t="s">
        <v>225</v>
      </c>
      <c r="N12" s="4">
        <v>2025</v>
      </c>
    </row>
    <row r="13" spans="1:14">
      <c r="A13" s="4">
        <v>12</v>
      </c>
      <c r="B13" s="4" t="s">
        <v>96</v>
      </c>
      <c r="C13" s="4" t="s">
        <v>96</v>
      </c>
      <c r="D13" s="4" t="s">
        <v>60</v>
      </c>
      <c r="E13" s="4" t="s">
        <v>20</v>
      </c>
      <c r="F13" s="4"/>
      <c r="G13" s="4" t="s">
        <v>21</v>
      </c>
      <c r="H13" s="4" t="s">
        <v>314</v>
      </c>
      <c r="I13" s="31">
        <v>1705</v>
      </c>
      <c r="J13" s="4" t="s">
        <v>14</v>
      </c>
      <c r="K13" s="4" t="s">
        <v>14</v>
      </c>
      <c r="L13" s="4" t="s">
        <v>14</v>
      </c>
      <c r="M13" s="4" t="s">
        <v>225</v>
      </c>
      <c r="N13" s="4">
        <v>2025</v>
      </c>
    </row>
    <row r="14" spans="1:14">
      <c r="A14" s="4">
        <v>13</v>
      </c>
      <c r="B14" s="4" t="s">
        <v>33</v>
      </c>
      <c r="C14" s="4" t="s">
        <v>34</v>
      </c>
      <c r="D14" s="4" t="s">
        <v>60</v>
      </c>
      <c r="E14" s="38" t="s">
        <v>20</v>
      </c>
      <c r="F14" s="4"/>
      <c r="G14" s="4" t="s">
        <v>21</v>
      </c>
      <c r="H14" s="4" t="s">
        <v>314</v>
      </c>
      <c r="I14" s="31">
        <v>61641</v>
      </c>
      <c r="J14" s="4" t="s">
        <v>14</v>
      </c>
      <c r="K14" s="4" t="s">
        <v>14</v>
      </c>
      <c r="L14" s="4" t="s">
        <v>14</v>
      </c>
      <c r="M14" s="4" t="s">
        <v>225</v>
      </c>
      <c r="N14" s="4">
        <v>2025</v>
      </c>
    </row>
    <row r="15" spans="1:14">
      <c r="A15" s="4">
        <v>14</v>
      </c>
      <c r="B15" s="38" t="s">
        <v>35</v>
      </c>
      <c r="C15" s="4" t="s">
        <v>36</v>
      </c>
      <c r="D15" s="4" t="s">
        <v>60</v>
      </c>
      <c r="E15" s="4" t="s">
        <v>20</v>
      </c>
      <c r="F15" s="4"/>
      <c r="G15" s="4" t="s">
        <v>21</v>
      </c>
      <c r="H15" s="4" t="s">
        <v>314</v>
      </c>
      <c r="I15" s="31">
        <v>30733</v>
      </c>
      <c r="J15" s="4" t="s">
        <v>14</v>
      </c>
      <c r="K15" s="4" t="s">
        <v>14</v>
      </c>
      <c r="L15" s="4" t="s">
        <v>14</v>
      </c>
      <c r="M15" s="4" t="s">
        <v>225</v>
      </c>
      <c r="N15" s="4">
        <v>2025</v>
      </c>
    </row>
    <row r="16" spans="1:14">
      <c r="A16" s="4">
        <v>15</v>
      </c>
      <c r="B16" s="4" t="s">
        <v>35</v>
      </c>
      <c r="C16" s="4" t="s">
        <v>37</v>
      </c>
      <c r="D16" s="4" t="s">
        <v>60</v>
      </c>
      <c r="E16" s="4" t="s">
        <v>20</v>
      </c>
      <c r="F16" s="4"/>
      <c r="G16" s="4" t="s">
        <v>21</v>
      </c>
      <c r="H16" s="4" t="s">
        <v>314</v>
      </c>
      <c r="I16" s="31">
        <v>143690</v>
      </c>
      <c r="J16" s="4" t="s">
        <v>14</v>
      </c>
      <c r="K16" s="4" t="s">
        <v>14</v>
      </c>
      <c r="L16" s="4" t="s">
        <v>14</v>
      </c>
      <c r="M16" s="4" t="s">
        <v>225</v>
      </c>
      <c r="N16" s="4">
        <v>2025</v>
      </c>
    </row>
    <row r="17" spans="1:14">
      <c r="A17" s="4">
        <v>16</v>
      </c>
      <c r="B17" s="4" t="s">
        <v>35</v>
      </c>
      <c r="C17" s="4" t="s">
        <v>41</v>
      </c>
      <c r="D17" s="4" t="s">
        <v>60</v>
      </c>
      <c r="E17" s="4" t="s">
        <v>20</v>
      </c>
      <c r="F17" s="4"/>
      <c r="G17" s="4" t="s">
        <v>21</v>
      </c>
      <c r="H17" s="4" t="s">
        <v>314</v>
      </c>
      <c r="I17" s="31">
        <v>20381</v>
      </c>
      <c r="J17" s="4" t="s">
        <v>14</v>
      </c>
      <c r="K17" s="4" t="s">
        <v>14</v>
      </c>
      <c r="L17" s="4" t="s">
        <v>14</v>
      </c>
      <c r="M17" s="4" t="s">
        <v>225</v>
      </c>
      <c r="N17" s="4">
        <v>2025</v>
      </c>
    </row>
    <row r="18" spans="1:14">
      <c r="A18" s="4">
        <v>17</v>
      </c>
      <c r="B18" s="4" t="s">
        <v>42</v>
      </c>
      <c r="C18" s="4" t="s">
        <v>43</v>
      </c>
      <c r="D18" s="4" t="s">
        <v>60</v>
      </c>
      <c r="E18" s="4" t="s">
        <v>20</v>
      </c>
      <c r="F18" s="4"/>
      <c r="G18" s="4" t="s">
        <v>21</v>
      </c>
      <c r="H18" s="4" t="s">
        <v>314</v>
      </c>
      <c r="I18" s="31">
        <v>56660</v>
      </c>
      <c r="J18" s="4" t="s">
        <v>14</v>
      </c>
      <c r="K18" s="4" t="s">
        <v>14</v>
      </c>
      <c r="L18" s="4" t="s">
        <v>14</v>
      </c>
      <c r="M18" s="4" t="s">
        <v>225</v>
      </c>
      <c r="N18" s="4">
        <v>2025</v>
      </c>
    </row>
    <row r="19" spans="1:14">
      <c r="A19" s="4">
        <v>18</v>
      </c>
      <c r="B19" s="4" t="s">
        <v>42</v>
      </c>
      <c r="C19" s="4" t="s">
        <v>44</v>
      </c>
      <c r="D19" s="4" t="s">
        <v>60</v>
      </c>
      <c r="E19" s="4" t="s">
        <v>20</v>
      </c>
      <c r="F19" s="4"/>
      <c r="G19" s="4" t="s">
        <v>21</v>
      </c>
      <c r="H19" s="4" t="s">
        <v>314</v>
      </c>
      <c r="I19" s="31">
        <v>26073</v>
      </c>
      <c r="J19" s="4" t="s">
        <v>14</v>
      </c>
      <c r="K19" s="4" t="s">
        <v>14</v>
      </c>
      <c r="L19" s="4" t="s">
        <v>14</v>
      </c>
      <c r="M19" s="4" t="s">
        <v>225</v>
      </c>
      <c r="N19" s="4">
        <v>2025</v>
      </c>
    </row>
    <row r="20" spans="1:14">
      <c r="A20" s="4">
        <v>19</v>
      </c>
      <c r="B20" s="4" t="s">
        <v>42</v>
      </c>
      <c r="C20" s="4" t="s">
        <v>45</v>
      </c>
      <c r="D20" s="4" t="s">
        <v>60</v>
      </c>
      <c r="E20" s="4" t="s">
        <v>20</v>
      </c>
      <c r="F20" s="4"/>
      <c r="G20" s="4" t="s">
        <v>21</v>
      </c>
      <c r="H20" s="4" t="s">
        <v>314</v>
      </c>
      <c r="I20" s="31">
        <v>55736</v>
      </c>
      <c r="J20" s="4" t="s">
        <v>14</v>
      </c>
      <c r="K20" s="4" t="s">
        <v>14</v>
      </c>
      <c r="L20" s="4" t="s">
        <v>14</v>
      </c>
      <c r="M20" s="4" t="s">
        <v>225</v>
      </c>
      <c r="N20" s="4">
        <v>2025</v>
      </c>
    </row>
    <row r="21" spans="1:14">
      <c r="A21" s="4">
        <v>20</v>
      </c>
      <c r="B21" s="4" t="s">
        <v>42</v>
      </c>
      <c r="C21" s="4" t="s">
        <v>46</v>
      </c>
      <c r="D21" s="4" t="s">
        <v>60</v>
      </c>
      <c r="E21" s="4" t="s">
        <v>20</v>
      </c>
      <c r="F21" s="4"/>
      <c r="G21" s="4" t="s">
        <v>21</v>
      </c>
      <c r="H21" s="4" t="s">
        <v>314</v>
      </c>
      <c r="I21" s="31">
        <v>11261</v>
      </c>
      <c r="J21" s="4" t="s">
        <v>14</v>
      </c>
      <c r="K21" s="4" t="s">
        <v>14</v>
      </c>
      <c r="L21" s="4" t="s">
        <v>14</v>
      </c>
      <c r="M21" s="4" t="s">
        <v>225</v>
      </c>
      <c r="N21" s="4">
        <v>2025</v>
      </c>
    </row>
    <row r="22" spans="1:14">
      <c r="A22" s="4">
        <v>21</v>
      </c>
      <c r="B22" s="4" t="s">
        <v>42</v>
      </c>
      <c r="C22" s="4" t="s">
        <v>47</v>
      </c>
      <c r="D22" s="4" t="s">
        <v>60</v>
      </c>
      <c r="E22" s="4" t="s">
        <v>20</v>
      </c>
      <c r="F22" s="4"/>
      <c r="G22" s="4" t="s">
        <v>21</v>
      </c>
      <c r="H22" s="4" t="s">
        <v>314</v>
      </c>
      <c r="I22" s="31">
        <v>58882</v>
      </c>
      <c r="J22" s="4" t="s">
        <v>14</v>
      </c>
      <c r="K22" s="4" t="s">
        <v>14</v>
      </c>
      <c r="L22" s="4" t="s">
        <v>14</v>
      </c>
      <c r="M22" s="4" t="s">
        <v>225</v>
      </c>
      <c r="N22" s="4">
        <v>2025</v>
      </c>
    </row>
    <row r="23" spans="1:14">
      <c r="A23" s="4">
        <v>22</v>
      </c>
      <c r="B23" s="4" t="s">
        <v>42</v>
      </c>
      <c r="C23" s="4" t="s">
        <v>48</v>
      </c>
      <c r="D23" s="4" t="s">
        <v>60</v>
      </c>
      <c r="E23" s="4" t="s">
        <v>20</v>
      </c>
      <c r="F23" s="4"/>
      <c r="G23" s="4" t="s">
        <v>21</v>
      </c>
      <c r="H23" s="4" t="s">
        <v>314</v>
      </c>
      <c r="I23" s="31">
        <v>56512</v>
      </c>
      <c r="J23" s="4" t="s">
        <v>14</v>
      </c>
      <c r="K23" s="4" t="s">
        <v>14</v>
      </c>
      <c r="L23" s="4" t="s">
        <v>14</v>
      </c>
      <c r="M23" s="4" t="s">
        <v>225</v>
      </c>
      <c r="N23" s="4">
        <v>2025</v>
      </c>
    </row>
    <row r="24" spans="1:14">
      <c r="A24" s="4">
        <v>23</v>
      </c>
      <c r="B24" s="4" t="s">
        <v>42</v>
      </c>
      <c r="C24" s="4" t="s">
        <v>49</v>
      </c>
      <c r="D24" s="4" t="s">
        <v>60</v>
      </c>
      <c r="E24" s="4" t="s">
        <v>20</v>
      </c>
      <c r="F24" s="4"/>
      <c r="G24" s="4" t="s">
        <v>21</v>
      </c>
      <c r="H24" s="4" t="s">
        <v>314</v>
      </c>
      <c r="I24" s="31">
        <v>34850</v>
      </c>
      <c r="J24" s="4" t="s">
        <v>14</v>
      </c>
      <c r="K24" s="4" t="s">
        <v>14</v>
      </c>
      <c r="L24" s="4" t="s">
        <v>14</v>
      </c>
      <c r="M24" s="4" t="s">
        <v>225</v>
      </c>
      <c r="N24" s="4">
        <v>2025</v>
      </c>
    </row>
    <row r="25" spans="1:14">
      <c r="A25" s="4">
        <v>24</v>
      </c>
      <c r="B25" s="4" t="s">
        <v>42</v>
      </c>
      <c r="C25" s="4" t="s">
        <v>50</v>
      </c>
      <c r="D25" s="4" t="s">
        <v>60</v>
      </c>
      <c r="E25" s="4" t="s">
        <v>20</v>
      </c>
      <c r="F25" s="4"/>
      <c r="G25" s="4" t="s">
        <v>21</v>
      </c>
      <c r="H25" s="4" t="s">
        <v>314</v>
      </c>
      <c r="I25" s="31">
        <v>241913</v>
      </c>
      <c r="J25" s="4" t="s">
        <v>14</v>
      </c>
      <c r="K25" s="4" t="s">
        <v>14</v>
      </c>
      <c r="L25" s="4" t="s">
        <v>14</v>
      </c>
      <c r="M25" s="4" t="s">
        <v>225</v>
      </c>
      <c r="N25" s="4">
        <v>2025</v>
      </c>
    </row>
    <row r="26" spans="1:14">
      <c r="A26" s="4">
        <v>25</v>
      </c>
      <c r="B26" s="4" t="s">
        <v>42</v>
      </c>
      <c r="C26" s="4" t="s">
        <v>51</v>
      </c>
      <c r="D26" s="4" t="s">
        <v>60</v>
      </c>
      <c r="E26" s="4" t="s">
        <v>20</v>
      </c>
      <c r="F26" s="4"/>
      <c r="G26" s="4" t="s">
        <v>21</v>
      </c>
      <c r="H26" s="4" t="s">
        <v>314</v>
      </c>
      <c r="I26" s="31">
        <v>30979</v>
      </c>
      <c r="J26" s="4" t="s">
        <v>14</v>
      </c>
      <c r="K26" s="4" t="s">
        <v>14</v>
      </c>
      <c r="L26" s="4" t="s">
        <v>14</v>
      </c>
      <c r="M26" s="4" t="s">
        <v>225</v>
      </c>
      <c r="N26" s="4">
        <v>2025</v>
      </c>
    </row>
    <row r="27" spans="1:14">
      <c r="A27" s="4">
        <v>26</v>
      </c>
      <c r="B27" s="4" t="s">
        <v>52</v>
      </c>
      <c r="C27" s="4" t="s">
        <v>53</v>
      </c>
      <c r="D27" s="4" t="s">
        <v>60</v>
      </c>
      <c r="E27" s="4" t="s">
        <v>20</v>
      </c>
      <c r="F27" s="4"/>
      <c r="G27" s="4" t="s">
        <v>21</v>
      </c>
      <c r="H27" s="4" t="s">
        <v>314</v>
      </c>
      <c r="I27" s="31">
        <v>335055</v>
      </c>
      <c r="J27" s="4" t="s">
        <v>14</v>
      </c>
      <c r="K27" s="4" t="s">
        <v>14</v>
      </c>
      <c r="L27" s="4" t="s">
        <v>14</v>
      </c>
      <c r="M27" s="4" t="s">
        <v>225</v>
      </c>
      <c r="N27" s="4">
        <v>2025</v>
      </c>
    </row>
    <row r="28" spans="1:14">
      <c r="A28" s="4">
        <v>32</v>
      </c>
      <c r="B28" s="38" t="s">
        <v>58</v>
      </c>
      <c r="C28" s="4" t="s">
        <v>59</v>
      </c>
      <c r="D28" s="4" t="s">
        <v>60</v>
      </c>
      <c r="E28" s="4" t="s">
        <v>20</v>
      </c>
      <c r="F28" s="4"/>
      <c r="G28" s="4" t="s">
        <v>21</v>
      </c>
      <c r="H28" s="38" t="s">
        <v>315</v>
      </c>
      <c r="I28" s="31">
        <v>9500</v>
      </c>
      <c r="J28" s="4" t="s">
        <v>14</v>
      </c>
      <c r="K28" s="4" t="s">
        <v>14</v>
      </c>
      <c r="L28" s="4" t="s">
        <v>14</v>
      </c>
      <c r="M28" s="4" t="s">
        <v>225</v>
      </c>
      <c r="N28" s="4">
        <v>2025</v>
      </c>
    </row>
    <row r="29" spans="1:14">
      <c r="A29" s="4">
        <v>33</v>
      </c>
      <c r="B29" s="54" t="s">
        <v>317</v>
      </c>
      <c r="C29" s="4" t="s">
        <v>55</v>
      </c>
      <c r="D29" s="4" t="s">
        <v>19</v>
      </c>
      <c r="E29" s="4" t="s">
        <v>20</v>
      </c>
      <c r="F29" s="4"/>
      <c r="G29" s="53" t="s">
        <v>21</v>
      </c>
      <c r="H29" s="53" t="s">
        <v>316</v>
      </c>
      <c r="I29" s="55">
        <f>29592000/1430</f>
        <v>20693.706293706295</v>
      </c>
      <c r="J29" s="4" t="s">
        <v>14</v>
      </c>
      <c r="K29" s="4" t="s">
        <v>14</v>
      </c>
      <c r="L29" s="4" t="s">
        <v>14</v>
      </c>
      <c r="M29" s="4" t="s">
        <v>225</v>
      </c>
      <c r="N29" s="4">
        <v>2025</v>
      </c>
    </row>
    <row r="30" spans="1:14">
      <c r="A30" s="4"/>
      <c r="B30" s="4" t="s">
        <v>33</v>
      </c>
      <c r="C30" s="4" t="s">
        <v>34</v>
      </c>
      <c r="D30" s="4" t="s">
        <v>60</v>
      </c>
      <c r="E30" s="4" t="s">
        <v>20</v>
      </c>
      <c r="F30" s="4"/>
      <c r="G30" s="4" t="s">
        <v>21</v>
      </c>
      <c r="H30" s="4" t="s">
        <v>611</v>
      </c>
      <c r="I30" s="31">
        <f>7800000/1430</f>
        <v>5454.545454545455</v>
      </c>
      <c r="J30" s="4" t="s">
        <v>14</v>
      </c>
      <c r="K30" s="4" t="s">
        <v>14</v>
      </c>
      <c r="L30" s="4" t="s">
        <v>14</v>
      </c>
      <c r="M30" s="4" t="s">
        <v>225</v>
      </c>
      <c r="N30" s="4">
        <v>2025</v>
      </c>
    </row>
    <row r="31" spans="1:14">
      <c r="A31" s="4"/>
      <c r="B31" s="4"/>
      <c r="C31" s="4"/>
      <c r="D31" s="4"/>
      <c r="E31" s="4"/>
      <c r="F31" s="4"/>
      <c r="G31" s="4"/>
      <c r="H31" s="4"/>
      <c r="I31" s="31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31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31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31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31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31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31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31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31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31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31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31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31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31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31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31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31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31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31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31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31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31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31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31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31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31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31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31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31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31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31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31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31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31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31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31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31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31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31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31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31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31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31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31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31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31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31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31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31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31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31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31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31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31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31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31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31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31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31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31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31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31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31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31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31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31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31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31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31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31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31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31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31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31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31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31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31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31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31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31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31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31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31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31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31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31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31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31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31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31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31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31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31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31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31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31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31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31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31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31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31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31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31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31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31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31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31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31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31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31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31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31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31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31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31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31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31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31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31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31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31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31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31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31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31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31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31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31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31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31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31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31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31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31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31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31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31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31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31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31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31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31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31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31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31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31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31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31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31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31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31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31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31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31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31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31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31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31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31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31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31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31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31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31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31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31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31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31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31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31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31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31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31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31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31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31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31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31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31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31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31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31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31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31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31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31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31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31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31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31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31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31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31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31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31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31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31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31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31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31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31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31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31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31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31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31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31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31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31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31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31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31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31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31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31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31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31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31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31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31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31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31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31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31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31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31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31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31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31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31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31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31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31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31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31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31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31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31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31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31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31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31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31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31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31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31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31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31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I279" s="31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I280" s="31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I281" s="31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I282" s="31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I283" s="31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I284" s="31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I285" s="31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I286" s="31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I287" s="31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I288" s="31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I289" s="31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I290" s="31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I291" s="31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I292" s="31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I293" s="31"/>
      <c r="J293" s="4"/>
      <c r="K293" s="4"/>
      <c r="L293" s="4"/>
      <c r="M293" s="4"/>
      <c r="N293" s="4"/>
    </row>
  </sheetData>
  <autoFilter ref="A1:N1" xr:uid="{00000000-0001-0000-0200-000000000000}"/>
  <dataValidations count="1">
    <dataValidation type="list" allowBlank="1" showInputMessage="1" showErrorMessage="1" sqref="B14 C2:C293" xr:uid="{00000000-0002-0000-0200-000001000000}">
      <formula1>INDIRECT(A2)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List!$P$2:$P$11</xm:f>
          </x14:formula1>
          <xm:sqref>B2:B13 B16:B27 B29:B293</xm:sqref>
        </x14:dataValidation>
        <x14:dataValidation type="list" allowBlank="1" showInputMessage="1" showErrorMessage="1" xr:uid="{00000000-0002-0000-0200-000004000000}">
          <x14:formula1>
            <xm:f>List!$H$2:$H$13</xm:f>
          </x14:formula1>
          <xm:sqref>M2:M293</xm:sqref>
        </x14:dataValidation>
        <x14:dataValidation type="list" allowBlank="1" showInputMessage="1" showErrorMessage="1" xr:uid="{00000000-0002-0000-0200-000005000000}">
          <x14:formula1>
            <xm:f>List!$J$2:$J$4</xm:f>
          </x14:formula1>
          <xm:sqref>N2:N293</xm:sqref>
        </x14:dataValidation>
        <x14:dataValidation type="list" allowBlank="1" showInputMessage="1" showErrorMessage="1" xr:uid="{00000000-0002-0000-0200-000002000000}">
          <x14:formula1>
            <xm:f>List!$C$2:$C$3</xm:f>
          </x14:formula1>
          <xm:sqref>D2:D293</xm:sqref>
        </x14:dataValidation>
        <x14:dataValidation type="list" allowBlank="1" showInputMessage="1" showErrorMessage="1" xr:uid="{00000000-0002-0000-0200-000003000000}">
          <x14:formula1>
            <xm:f>List!$E$2:$E$32</xm:f>
          </x14:formula1>
          <xm:sqref>E2:E293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6"/>
  <sheetViews>
    <sheetView topLeftCell="D1" workbookViewId="0">
      <selection activeCell="A2" sqref="A2:N6"/>
    </sheetView>
  </sheetViews>
  <sheetFormatPr defaultColWidth="9" defaultRowHeight="14.4"/>
  <cols>
    <col min="1" max="1" width="5.33203125" customWidth="1"/>
    <col min="2" max="2" width="9.33203125" customWidth="1"/>
    <col min="3" max="3" width="9.6640625" customWidth="1"/>
    <col min="4" max="4" width="9" customWidth="1"/>
    <col min="5" max="5" width="17.21875" customWidth="1"/>
    <col min="6" max="6" width="10.21875" customWidth="1"/>
    <col min="7" max="7" width="42.44140625" customWidth="1"/>
    <col min="8" max="8" width="25.44140625" customWidth="1"/>
    <col min="9" max="9" width="18.109375" customWidth="1"/>
    <col min="10" max="10" width="10.109375" customWidth="1"/>
    <col min="11" max="11" width="11.21875" customWidth="1"/>
    <col min="12" max="12" width="10.77734375" customWidth="1"/>
    <col min="13" max="13" width="6.5546875" customWidth="1"/>
    <col min="14" max="14" width="4.7773437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</v>
      </c>
      <c r="B2" s="4" t="s">
        <v>61</v>
      </c>
      <c r="C2" s="4" t="s">
        <v>62</v>
      </c>
      <c r="D2" s="4" t="s">
        <v>19</v>
      </c>
      <c r="E2" s="4" t="s">
        <v>56</v>
      </c>
      <c r="F2" s="4"/>
      <c r="G2" s="4" t="s">
        <v>298</v>
      </c>
      <c r="H2" s="4" t="s">
        <v>56</v>
      </c>
      <c r="I2" s="31">
        <v>7500</v>
      </c>
      <c r="J2" s="4" t="s">
        <v>14</v>
      </c>
      <c r="K2" s="4" t="s">
        <v>14</v>
      </c>
      <c r="L2" s="4" t="s">
        <v>14</v>
      </c>
      <c r="M2" s="54" t="s">
        <v>225</v>
      </c>
      <c r="N2" s="4">
        <v>2025</v>
      </c>
    </row>
    <row r="3" spans="1:14">
      <c r="A3" s="4">
        <v>2</v>
      </c>
      <c r="B3" s="54" t="s">
        <v>42</v>
      </c>
      <c r="C3" s="53" t="s">
        <v>48</v>
      </c>
      <c r="D3" s="4" t="s">
        <v>19</v>
      </c>
      <c r="E3" s="4" t="s">
        <v>56</v>
      </c>
      <c r="F3" s="4"/>
      <c r="G3" s="54" t="s">
        <v>320</v>
      </c>
      <c r="H3" s="4" t="s">
        <v>56</v>
      </c>
      <c r="I3" s="31">
        <v>7000</v>
      </c>
      <c r="J3" s="4" t="s">
        <v>14</v>
      </c>
      <c r="K3" s="4" t="s">
        <v>14</v>
      </c>
      <c r="L3" s="4" t="s">
        <v>14</v>
      </c>
      <c r="M3" s="54" t="s">
        <v>225</v>
      </c>
      <c r="N3" s="4">
        <v>2025</v>
      </c>
    </row>
    <row r="4" spans="1:14">
      <c r="A4" s="4">
        <v>3</v>
      </c>
      <c r="B4" s="54" t="s">
        <v>42</v>
      </c>
      <c r="C4" s="53" t="s">
        <v>48</v>
      </c>
      <c r="D4" s="4" t="s">
        <v>19</v>
      </c>
      <c r="E4" s="4" t="s">
        <v>56</v>
      </c>
      <c r="F4" s="4"/>
      <c r="G4" s="54" t="s">
        <v>320</v>
      </c>
      <c r="H4" s="4" t="s">
        <v>56</v>
      </c>
      <c r="I4" s="31">
        <v>7500</v>
      </c>
      <c r="J4" s="4" t="s">
        <v>14</v>
      </c>
      <c r="K4" s="4" t="s">
        <v>14</v>
      </c>
      <c r="L4" s="4" t="s">
        <v>14</v>
      </c>
      <c r="M4" s="54" t="s">
        <v>225</v>
      </c>
      <c r="N4" s="4">
        <v>2025</v>
      </c>
    </row>
    <row r="5" spans="1:14">
      <c r="A5" s="4">
        <v>4</v>
      </c>
      <c r="B5" s="53" t="s">
        <v>17</v>
      </c>
      <c r="C5" s="53" t="s">
        <v>25</v>
      </c>
      <c r="D5" s="4" t="s">
        <v>19</v>
      </c>
      <c r="E5" s="4" t="s">
        <v>56</v>
      </c>
      <c r="F5" s="4"/>
      <c r="G5" s="54" t="s">
        <v>320</v>
      </c>
      <c r="H5" s="4" t="s">
        <v>56</v>
      </c>
      <c r="I5" s="31">
        <v>7600</v>
      </c>
      <c r="J5" s="4" t="s">
        <v>14</v>
      </c>
      <c r="K5" s="4" t="s">
        <v>14</v>
      </c>
      <c r="L5" s="4" t="s">
        <v>14</v>
      </c>
      <c r="M5" s="54" t="s">
        <v>225</v>
      </c>
      <c r="N5" s="4">
        <v>2025</v>
      </c>
    </row>
    <row r="6" spans="1:14">
      <c r="B6" t="s">
        <v>54</v>
      </c>
      <c r="C6" s="66" t="s">
        <v>55</v>
      </c>
      <c r="D6" s="4" t="s">
        <v>60</v>
      </c>
      <c r="E6" s="4" t="s">
        <v>56</v>
      </c>
      <c r="F6" s="4"/>
      <c r="G6" t="s">
        <v>378</v>
      </c>
      <c r="H6" s="4" t="s">
        <v>56</v>
      </c>
      <c r="I6" s="31">
        <v>1700</v>
      </c>
      <c r="J6" s="58">
        <v>45961</v>
      </c>
      <c r="K6" t="s">
        <v>379</v>
      </c>
      <c r="L6">
        <v>2025404258</v>
      </c>
      <c r="M6" s="54" t="s">
        <v>225</v>
      </c>
      <c r="N6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List!$P$2:$P$11</xm:f>
          </x14:formula1>
          <xm:sqref>B3:B4</xm:sqref>
        </x14:dataValidation>
        <x14:dataValidation type="list" allowBlank="1" showInputMessage="1" showErrorMessage="1" xr:uid="{00000000-0002-0000-0300-000002000000}">
          <x14:formula1>
            <xm:f>List!$C$2:$C$3</xm:f>
          </x14:formula1>
          <xm:sqref>D2:D5</xm:sqref>
        </x14:dataValidation>
        <x14:dataValidation type="list" allowBlank="1" showInputMessage="1" showErrorMessage="1" xr:uid="{00000000-0002-0000-0300-000003000000}">
          <x14:formula1>
            <xm:f>List!$H$2:$H$13</xm:f>
          </x14:formula1>
          <xm:sqref>M2:M6</xm:sqref>
        </x14:dataValidation>
        <x14:dataValidation type="list" allowBlank="1" showInputMessage="1" showErrorMessage="1" xr:uid="{00000000-0002-0000-0300-000004000000}">
          <x14:formula1>
            <xm:f>List!$J$2:$J$4</xm:f>
          </x14:formula1>
          <xm:sqref>N2:N6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429"/>
  <sheetViews>
    <sheetView topLeftCell="A67" workbookViewId="0">
      <selection activeCell="A2" sqref="A2:N86"/>
    </sheetView>
  </sheetViews>
  <sheetFormatPr defaultColWidth="9" defaultRowHeight="14.4"/>
  <cols>
    <col min="1" max="1" width="5.33203125" customWidth="1"/>
    <col min="2" max="2" width="9.33203125" customWidth="1"/>
    <col min="3" max="3" width="10.44140625" customWidth="1"/>
    <col min="4" max="4" width="8.88671875" customWidth="1"/>
    <col min="5" max="5" width="24.77734375" customWidth="1"/>
    <col min="6" max="6" width="10.109375" customWidth="1"/>
    <col min="7" max="7" width="9.44140625" customWidth="1"/>
    <col min="8" max="8" width="22.33203125" customWidth="1"/>
    <col min="9" max="9" width="18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77734375" customWidth="1"/>
  </cols>
  <sheetData>
    <row r="1" spans="1:1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>
      <c r="A2" s="18">
        <v>1</v>
      </c>
      <c r="B2" s="18" t="s">
        <v>17</v>
      </c>
      <c r="C2" s="19" t="s">
        <v>18</v>
      </c>
      <c r="D2" s="18" t="s">
        <v>60</v>
      </c>
      <c r="E2" s="18" t="s">
        <v>63</v>
      </c>
      <c r="F2" s="18"/>
      <c r="G2" s="18" t="s">
        <v>64</v>
      </c>
      <c r="H2" s="26" t="s">
        <v>340</v>
      </c>
      <c r="I2" s="25">
        <v>139.86013986013987</v>
      </c>
      <c r="J2" s="19" t="s">
        <v>68</v>
      </c>
      <c r="K2" s="47" t="s">
        <v>322</v>
      </c>
      <c r="L2" s="21" t="s">
        <v>14</v>
      </c>
      <c r="M2" s="61" t="s">
        <v>225</v>
      </c>
      <c r="N2" s="18">
        <v>2025</v>
      </c>
    </row>
    <row r="3" spans="1:14">
      <c r="A3" s="18">
        <v>2</v>
      </c>
      <c r="B3" s="18" t="s">
        <v>33</v>
      </c>
      <c r="C3" s="19" t="s">
        <v>34</v>
      </c>
      <c r="D3" s="18" t="s">
        <v>60</v>
      </c>
      <c r="E3" s="12" t="s">
        <v>63</v>
      </c>
      <c r="F3" s="18"/>
      <c r="G3" s="18" t="s">
        <v>64</v>
      </c>
      <c r="H3" s="26" t="s">
        <v>341</v>
      </c>
      <c r="I3" s="25">
        <v>349.65034965034965</v>
      </c>
      <c r="J3" s="18" t="s">
        <v>68</v>
      </c>
      <c r="K3" s="47">
        <v>45668</v>
      </c>
      <c r="L3" s="21" t="s">
        <v>14</v>
      </c>
      <c r="M3" s="61" t="s">
        <v>225</v>
      </c>
      <c r="N3" s="18">
        <v>2025</v>
      </c>
    </row>
    <row r="4" spans="1:14">
      <c r="A4" s="18">
        <v>3</v>
      </c>
      <c r="B4" s="18" t="s">
        <v>33</v>
      </c>
      <c r="C4" s="19" t="s">
        <v>34</v>
      </c>
      <c r="D4" s="18" t="s">
        <v>60</v>
      </c>
      <c r="E4" s="12" t="s">
        <v>63</v>
      </c>
      <c r="F4" s="18"/>
      <c r="G4" s="18" t="s">
        <v>64</v>
      </c>
      <c r="H4" s="26" t="s">
        <v>67</v>
      </c>
      <c r="I4" s="25">
        <v>524.47552447552448</v>
      </c>
      <c r="J4" s="19" t="s">
        <v>68</v>
      </c>
      <c r="K4" s="47">
        <v>45758</v>
      </c>
      <c r="L4" s="21" t="s">
        <v>14</v>
      </c>
      <c r="M4" s="61" t="s">
        <v>225</v>
      </c>
      <c r="N4" s="18">
        <v>2025</v>
      </c>
    </row>
    <row r="5" spans="1:14">
      <c r="A5" s="18">
        <v>4</v>
      </c>
      <c r="B5" s="18" t="s">
        <v>33</v>
      </c>
      <c r="C5" s="19" t="s">
        <v>34</v>
      </c>
      <c r="D5" s="18" t="s">
        <v>60</v>
      </c>
      <c r="E5" s="12" t="s">
        <v>63</v>
      </c>
      <c r="F5" s="18"/>
      <c r="G5" s="18" t="s">
        <v>64</v>
      </c>
      <c r="H5" s="26" t="s">
        <v>65</v>
      </c>
      <c r="I5" s="25">
        <v>524.47552447552448</v>
      </c>
      <c r="J5" s="18" t="s">
        <v>68</v>
      </c>
      <c r="K5" s="47" t="s">
        <v>323</v>
      </c>
      <c r="L5" s="21" t="s">
        <v>14</v>
      </c>
      <c r="M5" s="61" t="s">
        <v>225</v>
      </c>
      <c r="N5" s="18">
        <v>2025</v>
      </c>
    </row>
    <row r="6" spans="1:14">
      <c r="A6" s="18">
        <v>5</v>
      </c>
      <c r="B6" s="18" t="s">
        <v>33</v>
      </c>
      <c r="C6" s="19" t="s">
        <v>34</v>
      </c>
      <c r="D6" s="18" t="s">
        <v>60</v>
      </c>
      <c r="E6" s="12" t="s">
        <v>63</v>
      </c>
      <c r="F6" s="18"/>
      <c r="G6" s="18" t="s">
        <v>64</v>
      </c>
      <c r="H6" s="26" t="s">
        <v>65</v>
      </c>
      <c r="I6" s="25">
        <v>349.65034965034965</v>
      </c>
      <c r="J6" s="18" t="s">
        <v>68</v>
      </c>
      <c r="K6" s="47" t="s">
        <v>277</v>
      </c>
      <c r="L6" s="21" t="s">
        <v>14</v>
      </c>
      <c r="M6" s="61" t="s">
        <v>225</v>
      </c>
      <c r="N6" s="18">
        <v>2025</v>
      </c>
    </row>
    <row r="7" spans="1:14">
      <c r="A7" s="18">
        <v>6</v>
      </c>
      <c r="B7" s="18" t="s">
        <v>52</v>
      </c>
      <c r="C7" s="19" t="s">
        <v>53</v>
      </c>
      <c r="D7" s="18" t="s">
        <v>60</v>
      </c>
      <c r="E7" s="12" t="s">
        <v>63</v>
      </c>
      <c r="F7" s="18"/>
      <c r="G7" s="18" t="s">
        <v>64</v>
      </c>
      <c r="H7" s="26" t="s">
        <v>65</v>
      </c>
      <c r="I7" s="25">
        <v>349.65034965034965</v>
      </c>
      <c r="J7" s="18" t="s">
        <v>68</v>
      </c>
      <c r="K7" s="47">
        <v>45727</v>
      </c>
      <c r="L7" s="21" t="s">
        <v>14</v>
      </c>
      <c r="M7" s="61" t="s">
        <v>225</v>
      </c>
      <c r="N7" s="18">
        <v>2025</v>
      </c>
    </row>
    <row r="8" spans="1:14">
      <c r="A8" s="18">
        <v>7</v>
      </c>
      <c r="B8" s="18" t="s">
        <v>52</v>
      </c>
      <c r="C8" s="19" t="s">
        <v>53</v>
      </c>
      <c r="D8" s="18" t="s">
        <v>60</v>
      </c>
      <c r="E8" s="12" t="s">
        <v>63</v>
      </c>
      <c r="F8" s="18"/>
      <c r="G8" s="18" t="s">
        <v>64</v>
      </c>
      <c r="H8" s="26" t="s">
        <v>69</v>
      </c>
      <c r="I8" s="25">
        <v>349.65034965034965</v>
      </c>
      <c r="J8" s="18" t="s">
        <v>68</v>
      </c>
      <c r="K8" s="47">
        <v>45758</v>
      </c>
      <c r="L8" s="21" t="s">
        <v>14</v>
      </c>
      <c r="M8" s="61" t="s">
        <v>225</v>
      </c>
      <c r="N8" s="18">
        <v>2025</v>
      </c>
    </row>
    <row r="9" spans="1:14">
      <c r="A9" s="18">
        <v>8</v>
      </c>
      <c r="B9" s="18" t="s">
        <v>52</v>
      </c>
      <c r="C9" s="19" t="s">
        <v>53</v>
      </c>
      <c r="D9" s="18" t="s">
        <v>60</v>
      </c>
      <c r="E9" s="12" t="s">
        <v>63</v>
      </c>
      <c r="F9" s="18"/>
      <c r="G9" s="18" t="s">
        <v>64</v>
      </c>
      <c r="H9" s="26" t="s">
        <v>65</v>
      </c>
      <c r="I9" s="25">
        <v>314.68531468531467</v>
      </c>
      <c r="J9" s="18" t="s">
        <v>68</v>
      </c>
      <c r="K9" s="47">
        <v>45788</v>
      </c>
      <c r="L9" s="21" t="s">
        <v>14</v>
      </c>
      <c r="M9" s="61" t="s">
        <v>225</v>
      </c>
      <c r="N9" s="18">
        <v>2025</v>
      </c>
    </row>
    <row r="10" spans="1:14">
      <c r="A10" s="18">
        <v>9</v>
      </c>
      <c r="B10" s="18" t="s">
        <v>58</v>
      </c>
      <c r="C10" s="19" t="s">
        <v>59</v>
      </c>
      <c r="D10" s="18" t="s">
        <v>60</v>
      </c>
      <c r="E10" s="12" t="s">
        <v>63</v>
      </c>
      <c r="F10" s="18"/>
      <c r="G10" s="18" t="s">
        <v>64</v>
      </c>
      <c r="H10" s="26" t="s">
        <v>279</v>
      </c>
      <c r="I10" s="25">
        <v>4144.0559440559437</v>
      </c>
      <c r="J10" s="18" t="s">
        <v>68</v>
      </c>
      <c r="K10" s="47" t="s">
        <v>324</v>
      </c>
      <c r="L10" s="21" t="s">
        <v>14</v>
      </c>
      <c r="M10" s="61" t="s">
        <v>225</v>
      </c>
      <c r="N10" s="18">
        <v>2025</v>
      </c>
    </row>
    <row r="11" spans="1:14">
      <c r="A11" s="18">
        <v>10</v>
      </c>
      <c r="B11" s="18" t="s">
        <v>58</v>
      </c>
      <c r="C11" s="19" t="s">
        <v>59</v>
      </c>
      <c r="D11" s="18" t="s">
        <v>60</v>
      </c>
      <c r="E11" s="12" t="s">
        <v>63</v>
      </c>
      <c r="F11" s="18"/>
      <c r="G11" s="18" t="s">
        <v>64</v>
      </c>
      <c r="H11" s="26" t="s">
        <v>65</v>
      </c>
      <c r="I11" s="25">
        <v>2448.2517482517483</v>
      </c>
      <c r="J11" s="26" t="s">
        <v>68</v>
      </c>
      <c r="K11" s="47" t="s">
        <v>325</v>
      </c>
      <c r="L11" s="21" t="s">
        <v>14</v>
      </c>
      <c r="M11" s="61" t="s">
        <v>225</v>
      </c>
      <c r="N11" s="18">
        <v>2025</v>
      </c>
    </row>
    <row r="12" spans="1:14">
      <c r="A12" s="18">
        <v>11</v>
      </c>
      <c r="B12" s="18" t="s">
        <v>58</v>
      </c>
      <c r="C12" s="19" t="s">
        <v>59</v>
      </c>
      <c r="D12" s="18" t="s">
        <v>60</v>
      </c>
      <c r="E12" s="12" t="s">
        <v>63</v>
      </c>
      <c r="F12" s="18"/>
      <c r="G12" s="18" t="s">
        <v>64</v>
      </c>
      <c r="H12" s="26" t="s">
        <v>342</v>
      </c>
      <c r="I12" s="25">
        <v>1048.951048951049</v>
      </c>
      <c r="J12" s="18" t="s">
        <v>68</v>
      </c>
      <c r="K12" s="47">
        <v>45788</v>
      </c>
      <c r="L12" s="21" t="s">
        <v>14</v>
      </c>
      <c r="M12" s="61" t="s">
        <v>225</v>
      </c>
      <c r="N12" s="18">
        <v>2025</v>
      </c>
    </row>
    <row r="13" spans="1:14">
      <c r="A13" s="18">
        <v>12</v>
      </c>
      <c r="B13" s="18" t="s">
        <v>58</v>
      </c>
      <c r="C13" s="19" t="s">
        <v>59</v>
      </c>
      <c r="D13" s="18" t="s">
        <v>60</v>
      </c>
      <c r="E13" s="12" t="s">
        <v>63</v>
      </c>
      <c r="F13" s="18"/>
      <c r="G13" s="18" t="s">
        <v>64</v>
      </c>
      <c r="H13" s="26" t="s">
        <v>343</v>
      </c>
      <c r="I13" s="25">
        <v>391.60839160839163</v>
      </c>
      <c r="J13" s="18" t="s">
        <v>68</v>
      </c>
      <c r="K13" s="47">
        <v>45819</v>
      </c>
      <c r="L13" s="21" t="s">
        <v>14</v>
      </c>
      <c r="M13" s="61" t="s">
        <v>225</v>
      </c>
      <c r="N13" s="18">
        <v>2025</v>
      </c>
    </row>
    <row r="14" spans="1:14">
      <c r="A14" s="18">
        <v>13</v>
      </c>
      <c r="B14" s="18" t="s">
        <v>58</v>
      </c>
      <c r="C14" s="19" t="s">
        <v>59</v>
      </c>
      <c r="D14" s="18" t="s">
        <v>60</v>
      </c>
      <c r="E14" s="12" t="s">
        <v>63</v>
      </c>
      <c r="F14" s="18"/>
      <c r="G14" s="18" t="s">
        <v>64</v>
      </c>
      <c r="H14" s="26" t="s">
        <v>344</v>
      </c>
      <c r="I14" s="25">
        <v>734.2657342657343</v>
      </c>
      <c r="J14" s="18" t="s">
        <v>68</v>
      </c>
      <c r="K14" s="47" t="s">
        <v>326</v>
      </c>
      <c r="L14" s="21" t="s">
        <v>14</v>
      </c>
      <c r="M14" s="61" t="s">
        <v>225</v>
      </c>
      <c r="N14" s="18">
        <v>2025</v>
      </c>
    </row>
    <row r="15" spans="1:14">
      <c r="A15" s="18">
        <v>14</v>
      </c>
      <c r="B15" s="12" t="s">
        <v>17</v>
      </c>
      <c r="C15" s="12" t="s">
        <v>22</v>
      </c>
      <c r="D15" s="18" t="s">
        <v>60</v>
      </c>
      <c r="E15" s="12" t="s">
        <v>63</v>
      </c>
      <c r="F15" s="18"/>
      <c r="G15" s="18" t="s">
        <v>64</v>
      </c>
      <c r="H15" s="26" t="s">
        <v>66</v>
      </c>
      <c r="I15" s="25">
        <v>909.09090909090912</v>
      </c>
      <c r="J15" s="18" t="s">
        <v>68</v>
      </c>
      <c r="K15" s="47">
        <v>45758</v>
      </c>
      <c r="L15" s="21" t="s">
        <v>14</v>
      </c>
      <c r="M15" s="61" t="s">
        <v>225</v>
      </c>
      <c r="N15" s="18">
        <v>2025</v>
      </c>
    </row>
    <row r="16" spans="1:14">
      <c r="A16" s="18">
        <v>15</v>
      </c>
      <c r="B16" s="18" t="s">
        <v>42</v>
      </c>
      <c r="C16" s="19" t="s">
        <v>51</v>
      </c>
      <c r="D16" s="18" t="s">
        <v>60</v>
      </c>
      <c r="E16" s="12" t="s">
        <v>63</v>
      </c>
      <c r="F16" s="18"/>
      <c r="G16" s="18" t="s">
        <v>64</v>
      </c>
      <c r="H16" s="26" t="s">
        <v>65</v>
      </c>
      <c r="I16" s="25">
        <v>1748.2517482517483</v>
      </c>
      <c r="J16" s="18" t="s">
        <v>68</v>
      </c>
      <c r="K16" s="47" t="s">
        <v>326</v>
      </c>
      <c r="L16" s="21" t="s">
        <v>14</v>
      </c>
      <c r="M16" s="61" t="s">
        <v>225</v>
      </c>
      <c r="N16" s="18">
        <v>2025</v>
      </c>
    </row>
    <row r="17" spans="1:14">
      <c r="A17" s="18">
        <v>16</v>
      </c>
      <c r="B17" s="18" t="s">
        <v>42</v>
      </c>
      <c r="C17" s="19" t="s">
        <v>74</v>
      </c>
      <c r="D17" s="18" t="s">
        <v>60</v>
      </c>
      <c r="E17" s="12" t="s">
        <v>63</v>
      </c>
      <c r="F17" s="18"/>
      <c r="G17" s="18" t="s">
        <v>64</v>
      </c>
      <c r="H17" s="26" t="s">
        <v>65</v>
      </c>
      <c r="I17" s="25">
        <v>1416.0839160839162</v>
      </c>
      <c r="J17" s="18" t="s">
        <v>68</v>
      </c>
      <c r="K17" s="47">
        <v>45941</v>
      </c>
      <c r="L17" s="21" t="s">
        <v>14</v>
      </c>
      <c r="M17" s="61" t="s">
        <v>225</v>
      </c>
      <c r="N17" s="18">
        <v>2025</v>
      </c>
    </row>
    <row r="18" spans="1:14">
      <c r="A18" s="18">
        <v>17</v>
      </c>
      <c r="B18" s="18" t="s">
        <v>17</v>
      </c>
      <c r="C18" s="19" t="s">
        <v>18</v>
      </c>
      <c r="D18" s="18" t="s">
        <v>60</v>
      </c>
      <c r="E18" s="12" t="s">
        <v>72</v>
      </c>
      <c r="F18" s="18"/>
      <c r="G18" s="18" t="s">
        <v>64</v>
      </c>
      <c r="H18" s="26" t="s">
        <v>280</v>
      </c>
      <c r="I18" s="25">
        <v>864.33566433566432</v>
      </c>
      <c r="J18" s="18" t="s">
        <v>68</v>
      </c>
      <c r="K18" s="47" t="s">
        <v>276</v>
      </c>
      <c r="L18" s="21" t="s">
        <v>14</v>
      </c>
      <c r="M18" s="61" t="s">
        <v>225</v>
      </c>
      <c r="N18" s="18">
        <v>2025</v>
      </c>
    </row>
    <row r="19" spans="1:14">
      <c r="A19" s="18">
        <v>18</v>
      </c>
      <c r="B19" s="18" t="s">
        <v>54</v>
      </c>
      <c r="C19" s="18" t="s">
        <v>55</v>
      </c>
      <c r="D19" s="18" t="s">
        <v>60</v>
      </c>
      <c r="E19" s="18" t="s">
        <v>72</v>
      </c>
      <c r="F19" s="18"/>
      <c r="G19" s="18" t="s">
        <v>64</v>
      </c>
      <c r="H19" s="18" t="s">
        <v>76</v>
      </c>
      <c r="I19" s="29">
        <v>1519.5804195804196</v>
      </c>
      <c r="J19" s="18" t="s">
        <v>335</v>
      </c>
      <c r="K19" s="47">
        <v>45880</v>
      </c>
      <c r="L19" s="21" t="s">
        <v>14</v>
      </c>
      <c r="M19" s="61" t="s">
        <v>225</v>
      </c>
      <c r="N19" s="18">
        <v>2025</v>
      </c>
    </row>
    <row r="20" spans="1:14">
      <c r="A20" s="18">
        <v>19</v>
      </c>
      <c r="B20" s="18" t="s">
        <v>54</v>
      </c>
      <c r="C20" s="18" t="s">
        <v>55</v>
      </c>
      <c r="D20" s="18" t="s">
        <v>60</v>
      </c>
      <c r="E20" s="18" t="s">
        <v>72</v>
      </c>
      <c r="F20" s="18"/>
      <c r="G20" s="18" t="s">
        <v>64</v>
      </c>
      <c r="H20" s="18" t="s">
        <v>76</v>
      </c>
      <c r="I20" s="29">
        <v>1478.3216783216783</v>
      </c>
      <c r="J20" s="18" t="s">
        <v>336</v>
      </c>
      <c r="K20" s="47" t="s">
        <v>327</v>
      </c>
      <c r="L20" s="21" t="s">
        <v>14</v>
      </c>
      <c r="M20" s="61" t="s">
        <v>225</v>
      </c>
      <c r="N20" s="18">
        <v>2025</v>
      </c>
    </row>
    <row r="21" spans="1:14">
      <c r="A21" s="18">
        <v>20</v>
      </c>
      <c r="B21" s="18" t="s">
        <v>54</v>
      </c>
      <c r="C21" s="18" t="s">
        <v>55</v>
      </c>
      <c r="D21" s="18" t="s">
        <v>60</v>
      </c>
      <c r="E21" s="18" t="s">
        <v>72</v>
      </c>
      <c r="F21" s="18"/>
      <c r="G21" s="18" t="s">
        <v>64</v>
      </c>
      <c r="H21" s="18" t="s">
        <v>76</v>
      </c>
      <c r="I21" s="29">
        <v>1753.1468531468531</v>
      </c>
      <c r="J21" s="18" t="s">
        <v>337</v>
      </c>
      <c r="K21" s="47" t="s">
        <v>328</v>
      </c>
      <c r="L21" s="21" t="s">
        <v>14</v>
      </c>
      <c r="M21" s="61" t="s">
        <v>225</v>
      </c>
      <c r="N21" s="18">
        <v>2025</v>
      </c>
    </row>
    <row r="22" spans="1:14">
      <c r="A22" s="18">
        <v>21</v>
      </c>
      <c r="B22" s="18" t="s">
        <v>54</v>
      </c>
      <c r="C22" s="18" t="s">
        <v>55</v>
      </c>
      <c r="D22" s="18" t="s">
        <v>60</v>
      </c>
      <c r="E22" s="18" t="s">
        <v>72</v>
      </c>
      <c r="F22" s="18"/>
      <c r="G22" s="18" t="s">
        <v>64</v>
      </c>
      <c r="H22" s="18" t="s">
        <v>76</v>
      </c>
      <c r="I22" s="29">
        <v>1730.7692307692307</v>
      </c>
      <c r="J22" s="18" t="s">
        <v>338</v>
      </c>
      <c r="K22" s="47" t="s">
        <v>329</v>
      </c>
      <c r="L22" s="21" t="s">
        <v>14</v>
      </c>
      <c r="M22" s="61" t="s">
        <v>225</v>
      </c>
      <c r="N22" s="18">
        <v>2025</v>
      </c>
    </row>
    <row r="23" spans="1:14">
      <c r="A23" s="18">
        <v>22</v>
      </c>
      <c r="B23" s="18" t="s">
        <v>54</v>
      </c>
      <c r="C23" s="18" t="s">
        <v>55</v>
      </c>
      <c r="D23" s="18" t="s">
        <v>60</v>
      </c>
      <c r="E23" s="18" t="s">
        <v>103</v>
      </c>
      <c r="F23" s="18"/>
      <c r="G23" s="18" t="s">
        <v>64</v>
      </c>
      <c r="H23" s="18" t="s">
        <v>345</v>
      </c>
      <c r="I23" s="29">
        <v>230.76923076923077</v>
      </c>
      <c r="J23" s="18" t="s">
        <v>68</v>
      </c>
      <c r="K23" s="47" t="s">
        <v>325</v>
      </c>
      <c r="L23" s="21" t="s">
        <v>14</v>
      </c>
      <c r="M23" s="61" t="s">
        <v>225</v>
      </c>
      <c r="N23" s="18">
        <v>2025</v>
      </c>
    </row>
    <row r="24" spans="1:14">
      <c r="A24" s="18">
        <v>23</v>
      </c>
      <c r="B24" s="18" t="s">
        <v>35</v>
      </c>
      <c r="C24" s="19" t="s">
        <v>36</v>
      </c>
      <c r="D24" s="18" t="s">
        <v>60</v>
      </c>
      <c r="E24" s="12" t="s">
        <v>72</v>
      </c>
      <c r="F24" s="18"/>
      <c r="G24" s="18" t="s">
        <v>64</v>
      </c>
      <c r="H24" s="26" t="s">
        <v>283</v>
      </c>
      <c r="I24" s="25">
        <v>2093.0069930069931</v>
      </c>
      <c r="J24" s="18" t="s">
        <v>68</v>
      </c>
      <c r="K24" s="47" t="s">
        <v>330</v>
      </c>
      <c r="L24" s="21" t="s">
        <v>14</v>
      </c>
      <c r="M24" s="61" t="s">
        <v>225</v>
      </c>
      <c r="N24" s="18">
        <v>2025</v>
      </c>
    </row>
    <row r="25" spans="1:14">
      <c r="A25" s="18">
        <v>24</v>
      </c>
      <c r="B25" s="18" t="s">
        <v>42</v>
      </c>
      <c r="C25" s="19" t="s">
        <v>37</v>
      </c>
      <c r="D25" s="18" t="s">
        <v>60</v>
      </c>
      <c r="E25" s="12" t="s">
        <v>72</v>
      </c>
      <c r="F25" s="18"/>
      <c r="G25" s="18" t="s">
        <v>64</v>
      </c>
      <c r="H25" s="26" t="s">
        <v>282</v>
      </c>
      <c r="I25" s="25">
        <v>2828.6713286713289</v>
      </c>
      <c r="J25" s="18" t="s">
        <v>68</v>
      </c>
      <c r="K25" s="47" t="s">
        <v>326</v>
      </c>
      <c r="L25" s="21" t="s">
        <v>14</v>
      </c>
      <c r="M25" s="61" t="s">
        <v>225</v>
      </c>
      <c r="N25" s="18">
        <v>2025</v>
      </c>
    </row>
    <row r="26" spans="1:14">
      <c r="A26" s="18">
        <v>25</v>
      </c>
      <c r="B26" s="18" t="s">
        <v>42</v>
      </c>
      <c r="C26" s="19" t="s">
        <v>37</v>
      </c>
      <c r="D26" s="18" t="s">
        <v>60</v>
      </c>
      <c r="E26" s="12" t="s">
        <v>72</v>
      </c>
      <c r="F26" s="18"/>
      <c r="G26" s="18" t="s">
        <v>64</v>
      </c>
      <c r="H26" s="26" t="s">
        <v>282</v>
      </c>
      <c r="I26" s="25">
        <v>1999.6503496503497</v>
      </c>
      <c r="J26" s="18" t="s">
        <v>68</v>
      </c>
      <c r="K26" s="47" t="s">
        <v>331</v>
      </c>
      <c r="L26" s="21" t="s">
        <v>14</v>
      </c>
      <c r="M26" s="61" t="s">
        <v>225</v>
      </c>
      <c r="N26" s="18">
        <v>2025</v>
      </c>
    </row>
    <row r="27" spans="1:14">
      <c r="A27" s="18">
        <v>26</v>
      </c>
      <c r="B27" s="18" t="s">
        <v>42</v>
      </c>
      <c r="C27" s="19" t="s">
        <v>44</v>
      </c>
      <c r="D27" s="18" t="s">
        <v>60</v>
      </c>
      <c r="E27" s="12" t="s">
        <v>72</v>
      </c>
      <c r="F27" s="18"/>
      <c r="G27" s="18" t="s">
        <v>64</v>
      </c>
      <c r="H27" s="26" t="s">
        <v>284</v>
      </c>
      <c r="I27" s="25">
        <v>219.23076923076923</v>
      </c>
      <c r="J27" s="18" t="s">
        <v>68</v>
      </c>
      <c r="K27" s="47">
        <v>45941</v>
      </c>
      <c r="L27" s="21" t="s">
        <v>14</v>
      </c>
      <c r="M27" s="61" t="s">
        <v>225</v>
      </c>
      <c r="N27" s="18">
        <v>2025</v>
      </c>
    </row>
    <row r="28" spans="1:14">
      <c r="A28" s="18">
        <v>27</v>
      </c>
      <c r="B28" s="18" t="s">
        <v>33</v>
      </c>
      <c r="C28" s="19" t="s">
        <v>34</v>
      </c>
      <c r="D28" s="18" t="s">
        <v>60</v>
      </c>
      <c r="E28" s="12" t="s">
        <v>72</v>
      </c>
      <c r="F28" s="18"/>
      <c r="G28" s="18" t="s">
        <v>64</v>
      </c>
      <c r="H28" s="28" t="s">
        <v>281</v>
      </c>
      <c r="I28" s="25">
        <v>1223.7762237762238</v>
      </c>
      <c r="J28" s="18" t="s">
        <v>68</v>
      </c>
      <c r="K28" s="47" t="s">
        <v>278</v>
      </c>
      <c r="L28" s="21" t="s">
        <v>14</v>
      </c>
      <c r="M28" s="61" t="s">
        <v>225</v>
      </c>
      <c r="N28" s="18">
        <v>2025</v>
      </c>
    </row>
    <row r="29" spans="1:14">
      <c r="A29" s="18">
        <v>28</v>
      </c>
      <c r="B29" s="18" t="s">
        <v>33</v>
      </c>
      <c r="C29" s="19" t="s">
        <v>34</v>
      </c>
      <c r="D29" s="18" t="s">
        <v>60</v>
      </c>
      <c r="E29" s="12" t="s">
        <v>72</v>
      </c>
      <c r="F29" s="18"/>
      <c r="G29" s="18" t="s">
        <v>64</v>
      </c>
      <c r="H29" s="26" t="s">
        <v>346</v>
      </c>
      <c r="I29" s="25">
        <v>238.8111888111888</v>
      </c>
      <c r="J29" s="18" t="s">
        <v>68</v>
      </c>
      <c r="K29" s="47">
        <v>45941</v>
      </c>
      <c r="L29" s="21" t="s">
        <v>14</v>
      </c>
      <c r="M29" s="61" t="s">
        <v>225</v>
      </c>
      <c r="N29" s="18">
        <v>2025</v>
      </c>
    </row>
    <row r="30" spans="1:14">
      <c r="A30" s="18">
        <v>29</v>
      </c>
      <c r="B30" s="18" t="s">
        <v>33</v>
      </c>
      <c r="C30" s="19" t="s">
        <v>34</v>
      </c>
      <c r="D30" s="18" t="s">
        <v>60</v>
      </c>
      <c r="E30" s="12" t="s">
        <v>72</v>
      </c>
      <c r="F30" s="18"/>
      <c r="G30" s="18" t="s">
        <v>64</v>
      </c>
      <c r="H30" s="26" t="s">
        <v>281</v>
      </c>
      <c r="I30" s="25">
        <v>209.79020979020979</v>
      </c>
      <c r="J30" s="18" t="s">
        <v>68</v>
      </c>
      <c r="K30" s="47" t="s">
        <v>325</v>
      </c>
      <c r="L30" s="21" t="s">
        <v>14</v>
      </c>
      <c r="M30" s="61" t="s">
        <v>225</v>
      </c>
      <c r="N30" s="18">
        <v>2025</v>
      </c>
    </row>
    <row r="31" spans="1:14">
      <c r="A31" s="18">
        <v>30</v>
      </c>
      <c r="B31" s="18" t="s">
        <v>52</v>
      </c>
      <c r="C31" s="19" t="s">
        <v>53</v>
      </c>
      <c r="D31" s="18" t="s">
        <v>60</v>
      </c>
      <c r="E31" s="12" t="s">
        <v>72</v>
      </c>
      <c r="F31" s="18"/>
      <c r="G31" s="18" t="s">
        <v>64</v>
      </c>
      <c r="H31" s="26" t="s">
        <v>347</v>
      </c>
      <c r="I31" s="25">
        <v>1381.1188811188811</v>
      </c>
      <c r="J31" s="18" t="s">
        <v>68</v>
      </c>
      <c r="K31" s="47">
        <v>45880</v>
      </c>
      <c r="L31" s="21" t="s">
        <v>14</v>
      </c>
      <c r="M31" s="61" t="s">
        <v>225</v>
      </c>
      <c r="N31" s="18">
        <v>2025</v>
      </c>
    </row>
    <row r="32" spans="1:14">
      <c r="A32" s="18">
        <v>31</v>
      </c>
      <c r="B32" s="18" t="s">
        <v>52</v>
      </c>
      <c r="C32" s="18" t="s">
        <v>53</v>
      </c>
      <c r="D32" s="18" t="s">
        <v>60</v>
      </c>
      <c r="E32" s="18" t="s">
        <v>72</v>
      </c>
      <c r="F32" s="18"/>
      <c r="G32" s="18" t="s">
        <v>64</v>
      </c>
      <c r="H32" s="18" t="s">
        <v>285</v>
      </c>
      <c r="I32" s="29">
        <v>1897.5524475524476</v>
      </c>
      <c r="J32" s="18" t="s">
        <v>68</v>
      </c>
      <c r="K32" s="47">
        <v>45699</v>
      </c>
      <c r="L32" s="21" t="s">
        <v>14</v>
      </c>
      <c r="M32" s="61" t="s">
        <v>225</v>
      </c>
      <c r="N32" s="18">
        <v>2025</v>
      </c>
    </row>
    <row r="33" spans="1:14">
      <c r="A33" s="18">
        <v>32</v>
      </c>
      <c r="B33" s="18" t="s">
        <v>52</v>
      </c>
      <c r="C33" s="19" t="s">
        <v>53</v>
      </c>
      <c r="D33" s="18" t="s">
        <v>60</v>
      </c>
      <c r="E33" s="12" t="s">
        <v>72</v>
      </c>
      <c r="F33" s="18"/>
      <c r="G33" s="18" t="s">
        <v>64</v>
      </c>
      <c r="H33" s="26" t="s">
        <v>285</v>
      </c>
      <c r="I33" s="25">
        <v>1625.8741258741259</v>
      </c>
      <c r="J33" s="18" t="s">
        <v>68</v>
      </c>
      <c r="K33" s="47" t="s">
        <v>322</v>
      </c>
      <c r="L33" s="21" t="s">
        <v>14</v>
      </c>
      <c r="M33" s="61" t="s">
        <v>225</v>
      </c>
      <c r="N33" s="18">
        <v>2025</v>
      </c>
    </row>
    <row r="34" spans="1:14">
      <c r="A34" s="18">
        <v>33</v>
      </c>
      <c r="B34" s="18" t="s">
        <v>52</v>
      </c>
      <c r="C34" s="19" t="s">
        <v>53</v>
      </c>
      <c r="D34" s="18" t="s">
        <v>60</v>
      </c>
      <c r="E34" s="12" t="s">
        <v>72</v>
      </c>
      <c r="F34" s="18"/>
      <c r="G34" s="18" t="s">
        <v>64</v>
      </c>
      <c r="H34" s="26" t="s">
        <v>348</v>
      </c>
      <c r="I34" s="25">
        <v>944.05594405594411</v>
      </c>
      <c r="J34" s="18">
        <v>5045</v>
      </c>
      <c r="K34" s="47" t="s">
        <v>276</v>
      </c>
      <c r="L34" s="21" t="s">
        <v>14</v>
      </c>
      <c r="M34" s="61" t="s">
        <v>225</v>
      </c>
      <c r="N34" s="18">
        <v>2025</v>
      </c>
    </row>
    <row r="35" spans="1:14">
      <c r="A35" s="18">
        <v>34</v>
      </c>
      <c r="B35" s="18" t="s">
        <v>58</v>
      </c>
      <c r="C35" s="19" t="s">
        <v>59</v>
      </c>
      <c r="D35" s="18" t="s">
        <v>60</v>
      </c>
      <c r="E35" s="12" t="s">
        <v>72</v>
      </c>
      <c r="F35" s="18"/>
      <c r="G35" s="18" t="s">
        <v>64</v>
      </c>
      <c r="H35" s="26" t="s">
        <v>349</v>
      </c>
      <c r="I35" s="25">
        <v>524.47552447552448</v>
      </c>
      <c r="J35" s="18" t="s">
        <v>68</v>
      </c>
      <c r="K35" s="47">
        <v>45727</v>
      </c>
      <c r="L35" s="21" t="s">
        <v>14</v>
      </c>
      <c r="M35" s="61" t="s">
        <v>225</v>
      </c>
      <c r="N35" s="18">
        <v>2025</v>
      </c>
    </row>
    <row r="36" spans="1:14">
      <c r="A36" s="18">
        <v>35</v>
      </c>
      <c r="B36" s="18" t="s">
        <v>58</v>
      </c>
      <c r="C36" s="19" t="s">
        <v>59</v>
      </c>
      <c r="D36" s="18" t="s">
        <v>60</v>
      </c>
      <c r="E36" s="12" t="s">
        <v>72</v>
      </c>
      <c r="F36" s="18"/>
      <c r="G36" s="18" t="s">
        <v>64</v>
      </c>
      <c r="H36" s="26" t="s">
        <v>350</v>
      </c>
      <c r="I36" s="25">
        <v>524.47552447552448</v>
      </c>
      <c r="J36" s="18" t="s">
        <v>68</v>
      </c>
      <c r="K36" s="47" t="s">
        <v>325</v>
      </c>
      <c r="L36" s="21" t="s">
        <v>14</v>
      </c>
      <c r="M36" s="61" t="s">
        <v>225</v>
      </c>
      <c r="N36" s="18">
        <v>2025</v>
      </c>
    </row>
    <row r="37" spans="1:14">
      <c r="A37" s="18">
        <v>36</v>
      </c>
      <c r="B37" s="18" t="s">
        <v>17</v>
      </c>
      <c r="C37" s="19" t="s">
        <v>22</v>
      </c>
      <c r="D37" s="18" t="s">
        <v>60</v>
      </c>
      <c r="E37" s="12" t="s">
        <v>72</v>
      </c>
      <c r="F37" s="18"/>
      <c r="G37" s="18" t="s">
        <v>64</v>
      </c>
      <c r="H37" s="26" t="s">
        <v>351</v>
      </c>
      <c r="I37" s="25">
        <v>594.40559440559446</v>
      </c>
      <c r="J37" s="18">
        <v>2126</v>
      </c>
      <c r="K37" s="47">
        <v>45931</v>
      </c>
      <c r="L37" s="21" t="s">
        <v>14</v>
      </c>
      <c r="M37" s="61" t="s">
        <v>225</v>
      </c>
      <c r="N37" s="18">
        <v>2025</v>
      </c>
    </row>
    <row r="38" spans="1:14">
      <c r="A38" s="18">
        <v>37</v>
      </c>
      <c r="B38" s="18" t="s">
        <v>17</v>
      </c>
      <c r="C38" s="19" t="s">
        <v>22</v>
      </c>
      <c r="D38" s="18" t="s">
        <v>60</v>
      </c>
      <c r="E38" s="12" t="s">
        <v>72</v>
      </c>
      <c r="F38" s="18"/>
      <c r="G38" s="18" t="s">
        <v>64</v>
      </c>
      <c r="H38" s="26" t="s">
        <v>73</v>
      </c>
      <c r="I38" s="25">
        <v>760.13986013986016</v>
      </c>
      <c r="J38" s="18" t="s">
        <v>68</v>
      </c>
      <c r="K38" s="47" t="s">
        <v>70</v>
      </c>
      <c r="L38" s="21" t="s">
        <v>14</v>
      </c>
      <c r="M38" s="61" t="s">
        <v>225</v>
      </c>
      <c r="N38" s="18">
        <v>2025</v>
      </c>
    </row>
    <row r="39" spans="1:14">
      <c r="A39" s="18">
        <v>38</v>
      </c>
      <c r="B39" s="18" t="s">
        <v>17</v>
      </c>
      <c r="C39" s="19" t="s">
        <v>22</v>
      </c>
      <c r="D39" s="18" t="s">
        <v>60</v>
      </c>
      <c r="E39" s="12" t="s">
        <v>72</v>
      </c>
      <c r="F39" s="18"/>
      <c r="G39" s="18" t="s">
        <v>64</v>
      </c>
      <c r="H39" s="26" t="s">
        <v>73</v>
      </c>
      <c r="I39" s="25">
        <v>748.25174825174827</v>
      </c>
      <c r="J39" s="18" t="s">
        <v>68</v>
      </c>
      <c r="K39" s="47" t="s">
        <v>332</v>
      </c>
      <c r="L39" s="21" t="s">
        <v>14</v>
      </c>
      <c r="M39" s="61" t="s">
        <v>225</v>
      </c>
      <c r="N39" s="18">
        <v>2025</v>
      </c>
    </row>
    <row r="40" spans="1:14">
      <c r="A40" s="18">
        <v>39</v>
      </c>
      <c r="B40" s="18" t="s">
        <v>42</v>
      </c>
      <c r="C40" s="19" t="s">
        <v>48</v>
      </c>
      <c r="D40" s="18" t="s">
        <v>60</v>
      </c>
      <c r="E40" s="12" t="s">
        <v>72</v>
      </c>
      <c r="F40" s="18"/>
      <c r="G40" s="18" t="s">
        <v>64</v>
      </c>
      <c r="H40" s="26" t="s">
        <v>286</v>
      </c>
      <c r="I40" s="25">
        <v>572.72727272727275</v>
      </c>
      <c r="J40" s="18" t="s">
        <v>68</v>
      </c>
      <c r="K40" s="47">
        <v>45941</v>
      </c>
      <c r="L40" s="21" t="s">
        <v>14</v>
      </c>
      <c r="M40" s="61" t="s">
        <v>225</v>
      </c>
      <c r="N40" s="18">
        <v>2025</v>
      </c>
    </row>
    <row r="41" spans="1:14">
      <c r="A41" s="18">
        <v>40</v>
      </c>
      <c r="B41" s="18" t="s">
        <v>42</v>
      </c>
      <c r="C41" s="19" t="s">
        <v>50</v>
      </c>
      <c r="D41" s="18" t="s">
        <v>60</v>
      </c>
      <c r="E41" s="12" t="s">
        <v>72</v>
      </c>
      <c r="F41" s="18"/>
      <c r="G41" s="18" t="s">
        <v>64</v>
      </c>
      <c r="H41" s="26" t="s">
        <v>287</v>
      </c>
      <c r="I41" s="25">
        <v>1364.3356643356644</v>
      </c>
      <c r="J41" s="18" t="s">
        <v>68</v>
      </c>
      <c r="K41" s="47">
        <v>45699</v>
      </c>
      <c r="L41" s="21" t="s">
        <v>14</v>
      </c>
      <c r="M41" s="61" t="s">
        <v>225</v>
      </c>
      <c r="N41" s="18">
        <v>2025</v>
      </c>
    </row>
    <row r="42" spans="1:14">
      <c r="A42" s="18">
        <v>41</v>
      </c>
      <c r="B42" s="18" t="s">
        <v>42</v>
      </c>
      <c r="C42" s="19" t="s">
        <v>50</v>
      </c>
      <c r="D42" s="18" t="s">
        <v>60</v>
      </c>
      <c r="E42" s="12" t="s">
        <v>72</v>
      </c>
      <c r="F42" s="18"/>
      <c r="G42" s="18" t="s">
        <v>64</v>
      </c>
      <c r="H42" s="26" t="s">
        <v>287</v>
      </c>
      <c r="I42" s="25">
        <v>1536.3636363636363</v>
      </c>
      <c r="J42" s="18" t="s">
        <v>68</v>
      </c>
      <c r="K42" s="47">
        <v>45819</v>
      </c>
      <c r="L42" s="21" t="s">
        <v>14</v>
      </c>
      <c r="M42" s="61" t="s">
        <v>225</v>
      </c>
      <c r="N42" s="18">
        <v>2025</v>
      </c>
    </row>
    <row r="43" spans="1:14">
      <c r="A43" s="18">
        <v>42</v>
      </c>
      <c r="B43" s="18" t="s">
        <v>42</v>
      </c>
      <c r="C43" s="19" t="s">
        <v>51</v>
      </c>
      <c r="D43" s="18" t="s">
        <v>60</v>
      </c>
      <c r="E43" s="12" t="s">
        <v>72</v>
      </c>
      <c r="F43" s="18"/>
      <c r="G43" s="18" t="s">
        <v>64</v>
      </c>
      <c r="H43" s="26" t="s">
        <v>352</v>
      </c>
      <c r="I43" s="25">
        <v>754.5454545454545</v>
      </c>
      <c r="J43" s="18" t="s">
        <v>68</v>
      </c>
      <c r="K43" s="47" t="s">
        <v>323</v>
      </c>
      <c r="L43" s="21" t="s">
        <v>14</v>
      </c>
      <c r="M43" s="61" t="s">
        <v>225</v>
      </c>
      <c r="N43" s="18">
        <v>2025</v>
      </c>
    </row>
    <row r="44" spans="1:14">
      <c r="A44" s="18">
        <v>43</v>
      </c>
      <c r="B44" s="18" t="s">
        <v>42</v>
      </c>
      <c r="C44" s="19" t="s">
        <v>51</v>
      </c>
      <c r="D44" s="18" t="s">
        <v>60</v>
      </c>
      <c r="E44" s="12" t="s">
        <v>72</v>
      </c>
      <c r="F44" s="18"/>
      <c r="G44" s="18" t="s">
        <v>64</v>
      </c>
      <c r="H44" s="26" t="s">
        <v>352</v>
      </c>
      <c r="I44" s="25">
        <v>818.88111888111894</v>
      </c>
      <c r="J44" s="18" t="s">
        <v>68</v>
      </c>
      <c r="K44" s="47" t="s">
        <v>275</v>
      </c>
      <c r="L44" s="21" t="s">
        <v>14</v>
      </c>
      <c r="M44" s="61" t="s">
        <v>225</v>
      </c>
      <c r="N44" s="18">
        <v>2025</v>
      </c>
    </row>
    <row r="45" spans="1:14">
      <c r="A45" s="18">
        <v>44</v>
      </c>
      <c r="B45" s="18" t="s">
        <v>17</v>
      </c>
      <c r="C45" s="19" t="s">
        <v>23</v>
      </c>
      <c r="D45" s="18" t="s">
        <v>60</v>
      </c>
      <c r="E45" s="12" t="s">
        <v>72</v>
      </c>
      <c r="F45" s="18"/>
      <c r="G45" s="18" t="s">
        <v>64</v>
      </c>
      <c r="H45" s="26" t="s">
        <v>288</v>
      </c>
      <c r="I45" s="25">
        <v>1045.4545454545455</v>
      </c>
      <c r="J45" s="18" t="s">
        <v>68</v>
      </c>
      <c r="K45" s="47" t="s">
        <v>333</v>
      </c>
      <c r="L45" s="21" t="s">
        <v>14</v>
      </c>
      <c r="M45" s="61" t="s">
        <v>225</v>
      </c>
      <c r="N45" s="18">
        <v>2025</v>
      </c>
    </row>
    <row r="46" spans="1:14">
      <c r="A46" s="18">
        <v>45</v>
      </c>
      <c r="B46" s="18" t="s">
        <v>17</v>
      </c>
      <c r="C46" s="19" t="s">
        <v>24</v>
      </c>
      <c r="D46" s="18" t="s">
        <v>60</v>
      </c>
      <c r="E46" s="12" t="s">
        <v>72</v>
      </c>
      <c r="F46" s="18"/>
      <c r="G46" s="18" t="s">
        <v>64</v>
      </c>
      <c r="H46" s="26" t="s">
        <v>289</v>
      </c>
      <c r="I46" s="25">
        <v>691.25874125874122</v>
      </c>
      <c r="J46" s="18" t="s">
        <v>68</v>
      </c>
      <c r="K46" s="47">
        <v>45699</v>
      </c>
      <c r="L46" s="21" t="s">
        <v>14</v>
      </c>
      <c r="M46" s="61" t="s">
        <v>225</v>
      </c>
      <c r="N46" s="18">
        <v>2025</v>
      </c>
    </row>
    <row r="47" spans="1:14">
      <c r="A47" s="18">
        <v>46</v>
      </c>
      <c r="B47" s="18" t="s">
        <v>17</v>
      </c>
      <c r="C47" s="18" t="s">
        <v>24</v>
      </c>
      <c r="D47" s="18" t="s">
        <v>60</v>
      </c>
      <c r="E47" s="18" t="s">
        <v>72</v>
      </c>
      <c r="F47" s="18"/>
      <c r="G47" s="18" t="s">
        <v>64</v>
      </c>
      <c r="H47" s="18" t="s">
        <v>289</v>
      </c>
      <c r="I47" s="29">
        <v>594.40559440559446</v>
      </c>
      <c r="J47" s="18" t="s">
        <v>68</v>
      </c>
      <c r="K47" s="47" t="s">
        <v>278</v>
      </c>
      <c r="L47" s="21" t="s">
        <v>14</v>
      </c>
      <c r="M47" s="61" t="s">
        <v>225</v>
      </c>
      <c r="N47" s="18">
        <v>2025</v>
      </c>
    </row>
    <row r="48" spans="1:14">
      <c r="A48" s="18">
        <v>47</v>
      </c>
      <c r="B48" s="18" t="s">
        <v>17</v>
      </c>
      <c r="C48" s="19" t="s">
        <v>25</v>
      </c>
      <c r="D48" s="18" t="s">
        <v>60</v>
      </c>
      <c r="E48" s="18" t="s">
        <v>72</v>
      </c>
      <c r="F48" s="18"/>
      <c r="G48" s="18" t="s">
        <v>64</v>
      </c>
      <c r="H48" s="26" t="s">
        <v>290</v>
      </c>
      <c r="I48" s="29">
        <v>2355.9440559440559</v>
      </c>
      <c r="J48" s="18" t="s">
        <v>68</v>
      </c>
      <c r="K48" s="47">
        <v>45668</v>
      </c>
      <c r="L48" s="21" t="s">
        <v>14</v>
      </c>
      <c r="M48" s="61" t="s">
        <v>225</v>
      </c>
      <c r="N48" s="18">
        <v>2025</v>
      </c>
    </row>
    <row r="49" spans="1:14">
      <c r="A49" s="18">
        <v>48</v>
      </c>
      <c r="B49" s="18" t="s">
        <v>42</v>
      </c>
      <c r="C49" s="18" t="s">
        <v>74</v>
      </c>
      <c r="D49" s="18" t="s">
        <v>60</v>
      </c>
      <c r="E49" s="18" t="s">
        <v>72</v>
      </c>
      <c r="F49" s="18"/>
      <c r="G49" s="18" t="s">
        <v>64</v>
      </c>
      <c r="H49" s="18" t="s">
        <v>291</v>
      </c>
      <c r="I49" s="29">
        <v>2721.6783216783215</v>
      </c>
      <c r="J49" s="18" t="s">
        <v>68</v>
      </c>
      <c r="K49" s="47" t="s">
        <v>322</v>
      </c>
      <c r="L49" s="21" t="s">
        <v>14</v>
      </c>
      <c r="M49" s="61" t="s">
        <v>225</v>
      </c>
      <c r="N49" s="18">
        <v>2025</v>
      </c>
    </row>
    <row r="50" spans="1:14">
      <c r="A50" s="18">
        <v>49</v>
      </c>
      <c r="B50" s="18" t="s">
        <v>58</v>
      </c>
      <c r="C50" s="18" t="s">
        <v>59</v>
      </c>
      <c r="D50" s="18" t="s">
        <v>60</v>
      </c>
      <c r="E50" s="18" t="s">
        <v>20</v>
      </c>
      <c r="F50" s="18"/>
      <c r="G50" s="18" t="s">
        <v>64</v>
      </c>
      <c r="H50" s="18" t="s">
        <v>353</v>
      </c>
      <c r="I50" s="29">
        <v>1003.4965034965035</v>
      </c>
      <c r="J50" s="18" t="s">
        <v>68</v>
      </c>
      <c r="K50" s="47" t="s">
        <v>333</v>
      </c>
      <c r="L50" s="21" t="s">
        <v>14</v>
      </c>
      <c r="M50" s="61" t="s">
        <v>225</v>
      </c>
      <c r="N50" s="18">
        <v>2025</v>
      </c>
    </row>
    <row r="51" spans="1:14">
      <c r="A51" s="18">
        <v>50</v>
      </c>
      <c r="B51" s="18" t="s">
        <v>52</v>
      </c>
      <c r="C51" s="18" t="s">
        <v>53</v>
      </c>
      <c r="D51" s="18" t="s">
        <v>60</v>
      </c>
      <c r="E51" s="18" t="s">
        <v>56</v>
      </c>
      <c r="F51" s="18"/>
      <c r="G51" s="18" t="s">
        <v>64</v>
      </c>
      <c r="H51" s="18" t="s">
        <v>354</v>
      </c>
      <c r="I51" s="29">
        <v>87.412587412587413</v>
      </c>
      <c r="J51" s="18">
        <v>15861</v>
      </c>
      <c r="K51" s="47" t="s">
        <v>324</v>
      </c>
      <c r="L51" s="21" t="s">
        <v>14</v>
      </c>
      <c r="M51" s="61" t="s">
        <v>225</v>
      </c>
      <c r="N51" s="18">
        <v>2025</v>
      </c>
    </row>
    <row r="52" spans="1:14">
      <c r="A52" s="18">
        <v>51</v>
      </c>
      <c r="B52" s="18" t="s">
        <v>54</v>
      </c>
      <c r="C52" s="18" t="s">
        <v>55</v>
      </c>
      <c r="D52" s="18" t="s">
        <v>60</v>
      </c>
      <c r="E52" s="18" t="s">
        <v>72</v>
      </c>
      <c r="F52" s="18"/>
      <c r="G52" s="18" t="s">
        <v>64</v>
      </c>
      <c r="H52" s="18" t="s">
        <v>292</v>
      </c>
      <c r="I52" s="29">
        <v>492.30769230769232</v>
      </c>
      <c r="J52" s="18" t="s">
        <v>68</v>
      </c>
      <c r="K52" s="47" t="s">
        <v>324</v>
      </c>
      <c r="L52" s="21" t="s">
        <v>14</v>
      </c>
      <c r="M52" s="61" t="s">
        <v>225</v>
      </c>
      <c r="N52" s="18">
        <v>2025</v>
      </c>
    </row>
    <row r="53" spans="1:14">
      <c r="A53" s="18">
        <v>52</v>
      </c>
      <c r="B53" s="18" t="s">
        <v>54</v>
      </c>
      <c r="C53" s="18" t="s">
        <v>55</v>
      </c>
      <c r="D53" s="18" t="s">
        <v>60</v>
      </c>
      <c r="E53" s="18" t="s">
        <v>72</v>
      </c>
      <c r="F53" s="18"/>
      <c r="G53" s="18" t="s">
        <v>64</v>
      </c>
      <c r="H53" s="18" t="s">
        <v>355</v>
      </c>
      <c r="I53" s="29">
        <v>379.72027972027973</v>
      </c>
      <c r="J53" s="18" t="s">
        <v>68</v>
      </c>
      <c r="K53" s="47" t="s">
        <v>334</v>
      </c>
      <c r="L53" s="21" t="s">
        <v>14</v>
      </c>
      <c r="M53" s="61" t="s">
        <v>225</v>
      </c>
      <c r="N53" s="18">
        <v>2025</v>
      </c>
    </row>
    <row r="54" spans="1:14">
      <c r="A54" s="18">
        <v>53</v>
      </c>
      <c r="B54" s="18" t="s">
        <v>54</v>
      </c>
      <c r="C54" s="18" t="s">
        <v>55</v>
      </c>
      <c r="D54" s="18" t="s">
        <v>60</v>
      </c>
      <c r="E54" s="18" t="s">
        <v>72</v>
      </c>
      <c r="F54" s="18"/>
      <c r="G54" s="18" t="s">
        <v>64</v>
      </c>
      <c r="H54" s="26" t="s">
        <v>76</v>
      </c>
      <c r="I54" s="29">
        <v>1298.951048951049</v>
      </c>
      <c r="J54" s="18" t="s">
        <v>339</v>
      </c>
      <c r="K54" s="47" t="s">
        <v>333</v>
      </c>
      <c r="L54" s="21" t="s">
        <v>14</v>
      </c>
      <c r="M54" s="61" t="s">
        <v>225</v>
      </c>
      <c r="N54" s="18">
        <v>2025</v>
      </c>
    </row>
    <row r="55" spans="1:14">
      <c r="A55" s="18">
        <v>54</v>
      </c>
      <c r="B55" s="18" t="s">
        <v>52</v>
      </c>
      <c r="C55" s="19" t="s">
        <v>53</v>
      </c>
      <c r="D55" s="18" t="s">
        <v>60</v>
      </c>
      <c r="E55" s="12" t="s">
        <v>72</v>
      </c>
      <c r="F55" s="18"/>
      <c r="G55" s="18" t="s">
        <v>64</v>
      </c>
      <c r="H55" s="26" t="s">
        <v>356</v>
      </c>
      <c r="I55" s="25">
        <v>769.23076923076928</v>
      </c>
      <c r="J55" s="18" t="s">
        <v>68</v>
      </c>
      <c r="K55" s="47">
        <v>45699</v>
      </c>
      <c r="L55" s="21" t="s">
        <v>14</v>
      </c>
      <c r="M55" s="61" t="s">
        <v>225</v>
      </c>
      <c r="N55" s="18">
        <v>2025</v>
      </c>
    </row>
    <row r="56" spans="1:14">
      <c r="A56" s="18">
        <v>55</v>
      </c>
      <c r="B56" s="18" t="s">
        <v>52</v>
      </c>
      <c r="C56" s="18" t="s">
        <v>53</v>
      </c>
      <c r="D56" s="18" t="s">
        <v>60</v>
      </c>
      <c r="E56" s="18" t="s">
        <v>72</v>
      </c>
      <c r="F56" s="18"/>
      <c r="G56" s="18" t="s">
        <v>64</v>
      </c>
      <c r="H56" s="18" t="s">
        <v>357</v>
      </c>
      <c r="I56" s="29">
        <v>1436.3636363636363</v>
      </c>
      <c r="J56" s="18" t="s">
        <v>68</v>
      </c>
      <c r="K56" s="47">
        <v>45819</v>
      </c>
      <c r="L56" s="21" t="s">
        <v>14</v>
      </c>
      <c r="M56" s="61" t="s">
        <v>225</v>
      </c>
      <c r="N56" s="18">
        <v>2025</v>
      </c>
    </row>
    <row r="57" spans="1:14">
      <c r="A57" s="18">
        <v>56</v>
      </c>
      <c r="B57" s="18" t="s">
        <v>52</v>
      </c>
      <c r="C57" s="19" t="s">
        <v>53</v>
      </c>
      <c r="D57" s="18" t="s">
        <v>60</v>
      </c>
      <c r="E57" s="18" t="s">
        <v>72</v>
      </c>
      <c r="F57" s="18"/>
      <c r="G57" s="18" t="s">
        <v>64</v>
      </c>
      <c r="H57" s="26" t="s">
        <v>357</v>
      </c>
      <c r="I57" s="25">
        <v>1092.3076923076924</v>
      </c>
      <c r="J57" s="19" t="s">
        <v>68</v>
      </c>
      <c r="K57" s="47" t="s">
        <v>326</v>
      </c>
      <c r="L57" s="21" t="s">
        <v>14</v>
      </c>
      <c r="M57" s="61" t="s">
        <v>225</v>
      </c>
      <c r="N57" s="18">
        <v>2025</v>
      </c>
    </row>
    <row r="58" spans="1:14">
      <c r="A58" s="18">
        <v>57</v>
      </c>
      <c r="B58" s="18" t="s">
        <v>58</v>
      </c>
      <c r="C58" s="19" t="s">
        <v>59</v>
      </c>
      <c r="D58" s="18" t="s">
        <v>60</v>
      </c>
      <c r="E58" s="12" t="s">
        <v>82</v>
      </c>
      <c r="F58" s="18"/>
      <c r="G58" s="18" t="s">
        <v>64</v>
      </c>
      <c r="H58" s="26" t="s">
        <v>358</v>
      </c>
      <c r="I58" s="25">
        <v>1468.5314685314686</v>
      </c>
      <c r="J58" s="18" t="s">
        <v>68</v>
      </c>
      <c r="K58" s="47">
        <v>45788</v>
      </c>
      <c r="L58" s="21" t="s">
        <v>14</v>
      </c>
      <c r="M58" s="61" t="s">
        <v>225</v>
      </c>
      <c r="N58" s="18">
        <v>2025</v>
      </c>
    </row>
    <row r="59" spans="1:14">
      <c r="A59" s="18">
        <v>58</v>
      </c>
      <c r="B59" s="18" t="s">
        <v>58</v>
      </c>
      <c r="C59" s="19" t="s">
        <v>59</v>
      </c>
      <c r="D59" s="18" t="s">
        <v>60</v>
      </c>
      <c r="E59" s="12" t="s">
        <v>82</v>
      </c>
      <c r="F59" s="18"/>
      <c r="G59" s="18" t="s">
        <v>64</v>
      </c>
      <c r="H59" s="26" t="s">
        <v>359</v>
      </c>
      <c r="I59" s="25">
        <v>125.87412587412588</v>
      </c>
      <c r="J59" s="18" t="s">
        <v>68</v>
      </c>
      <c r="K59" s="47" t="s">
        <v>322</v>
      </c>
      <c r="L59" s="21" t="s">
        <v>14</v>
      </c>
      <c r="M59" s="61" t="s">
        <v>225</v>
      </c>
      <c r="N59" s="18">
        <v>2025</v>
      </c>
    </row>
    <row r="60" spans="1:14">
      <c r="A60" s="18">
        <v>59</v>
      </c>
      <c r="B60" s="18" t="s">
        <v>52</v>
      </c>
      <c r="C60" s="19" t="s">
        <v>53</v>
      </c>
      <c r="D60" s="18" t="s">
        <v>60</v>
      </c>
      <c r="E60" s="12" t="s">
        <v>101</v>
      </c>
      <c r="F60" s="18"/>
      <c r="G60" s="18" t="s">
        <v>64</v>
      </c>
      <c r="H60" s="26" t="s">
        <v>360</v>
      </c>
      <c r="I60" s="25">
        <v>5937.0629370629367</v>
      </c>
      <c r="J60" s="18" t="s">
        <v>68</v>
      </c>
      <c r="K60" s="47">
        <v>45727</v>
      </c>
      <c r="L60" s="21" t="s">
        <v>14</v>
      </c>
      <c r="M60" s="61" t="s">
        <v>225</v>
      </c>
      <c r="N60" s="18">
        <v>2025</v>
      </c>
    </row>
    <row r="61" spans="1:14">
      <c r="A61" s="18">
        <v>60</v>
      </c>
      <c r="B61" s="18" t="s">
        <v>54</v>
      </c>
      <c r="C61" s="18" t="s">
        <v>55</v>
      </c>
      <c r="D61" s="18" t="s">
        <v>60</v>
      </c>
      <c r="E61" s="18" t="s">
        <v>81</v>
      </c>
      <c r="F61" s="18"/>
      <c r="G61" s="18" t="s">
        <v>64</v>
      </c>
      <c r="H61" s="18" t="s">
        <v>361</v>
      </c>
      <c r="I61" s="29">
        <v>595.80419580419584</v>
      </c>
      <c r="J61" s="18">
        <v>308</v>
      </c>
      <c r="K61" s="47" t="s">
        <v>276</v>
      </c>
      <c r="L61" s="21" t="s">
        <v>14</v>
      </c>
      <c r="M61" s="61" t="s">
        <v>225</v>
      </c>
      <c r="N61" s="18">
        <v>2025</v>
      </c>
    </row>
    <row r="62" spans="1:14">
      <c r="A62" s="18">
        <v>61</v>
      </c>
      <c r="B62" s="12" t="s">
        <v>54</v>
      </c>
      <c r="C62" s="12" t="s">
        <v>55</v>
      </c>
      <c r="D62" s="18" t="s">
        <v>60</v>
      </c>
      <c r="E62" s="12" t="s">
        <v>81</v>
      </c>
      <c r="F62" s="18"/>
      <c r="G62" s="18" t="s">
        <v>64</v>
      </c>
      <c r="H62" s="26" t="s">
        <v>361</v>
      </c>
      <c r="I62" s="25">
        <v>503.49650349650352</v>
      </c>
      <c r="J62" s="18">
        <v>307</v>
      </c>
      <c r="K62" s="47" t="s">
        <v>333</v>
      </c>
      <c r="L62" s="21" t="s">
        <v>14</v>
      </c>
      <c r="M62" s="61" t="s">
        <v>225</v>
      </c>
      <c r="N62" s="18">
        <v>2025</v>
      </c>
    </row>
    <row r="63" spans="1:14">
      <c r="A63" s="18">
        <v>62</v>
      </c>
      <c r="B63" s="18" t="s">
        <v>58</v>
      </c>
      <c r="C63" s="19" t="s">
        <v>59</v>
      </c>
      <c r="D63" s="18" t="s">
        <v>60</v>
      </c>
      <c r="E63" s="12" t="s">
        <v>81</v>
      </c>
      <c r="F63" s="18"/>
      <c r="G63" s="18" t="s">
        <v>64</v>
      </c>
      <c r="H63" s="26" t="s">
        <v>293</v>
      </c>
      <c r="I63" s="25">
        <v>988.98601398601397</v>
      </c>
      <c r="J63" s="18" t="s">
        <v>68</v>
      </c>
      <c r="K63" s="47" t="s">
        <v>326</v>
      </c>
      <c r="L63" s="21" t="s">
        <v>14</v>
      </c>
      <c r="M63" s="61" t="s">
        <v>225</v>
      </c>
      <c r="N63" s="18">
        <v>2025</v>
      </c>
    </row>
    <row r="64" spans="1:14">
      <c r="A64" s="18">
        <v>63</v>
      </c>
      <c r="B64" s="18" t="s">
        <v>17</v>
      </c>
      <c r="C64" s="18" t="s">
        <v>18</v>
      </c>
      <c r="D64" s="18" t="s">
        <v>60</v>
      </c>
      <c r="E64" s="18" t="s">
        <v>103</v>
      </c>
      <c r="F64" s="18"/>
      <c r="G64" s="18" t="s">
        <v>64</v>
      </c>
      <c r="H64" s="18" t="s">
        <v>345</v>
      </c>
      <c r="I64" s="29">
        <v>222.37762237762237</v>
      </c>
      <c r="J64" s="18" t="s">
        <v>68</v>
      </c>
      <c r="K64" s="47" t="s">
        <v>325</v>
      </c>
      <c r="L64" s="21" t="s">
        <v>14</v>
      </c>
      <c r="M64" s="61" t="s">
        <v>225</v>
      </c>
      <c r="N64" s="18">
        <v>2025</v>
      </c>
    </row>
    <row r="65" spans="1:14">
      <c r="A65" s="18">
        <v>64</v>
      </c>
      <c r="B65" s="18" t="s">
        <v>54</v>
      </c>
      <c r="C65" s="19" t="s">
        <v>55</v>
      </c>
      <c r="D65" s="18" t="s">
        <v>60</v>
      </c>
      <c r="E65" s="12" t="s">
        <v>103</v>
      </c>
      <c r="F65" s="18"/>
      <c r="G65" s="18" t="s">
        <v>64</v>
      </c>
      <c r="H65" s="26" t="s">
        <v>345</v>
      </c>
      <c r="I65" s="25">
        <v>278.32167832167835</v>
      </c>
      <c r="J65" s="18" t="s">
        <v>68</v>
      </c>
      <c r="K65" s="47" t="s">
        <v>325</v>
      </c>
      <c r="L65" s="21" t="s">
        <v>14</v>
      </c>
      <c r="M65" s="61" t="s">
        <v>225</v>
      </c>
      <c r="N65" s="18">
        <v>2025</v>
      </c>
    </row>
    <row r="66" spans="1:14">
      <c r="A66" s="18">
        <v>65</v>
      </c>
      <c r="B66" s="18" t="s">
        <v>42</v>
      </c>
      <c r="C66" s="19" t="s">
        <v>71</v>
      </c>
      <c r="D66" s="18" t="s">
        <v>60</v>
      </c>
      <c r="E66" s="12" t="s">
        <v>103</v>
      </c>
      <c r="F66" s="18"/>
      <c r="G66" s="18" t="s">
        <v>64</v>
      </c>
      <c r="H66" s="26" t="s">
        <v>345</v>
      </c>
      <c r="I66" s="25">
        <v>407.69230769230768</v>
      </c>
      <c r="J66" s="18" t="s">
        <v>68</v>
      </c>
      <c r="K66" s="47" t="s">
        <v>325</v>
      </c>
      <c r="L66" s="21" t="s">
        <v>14</v>
      </c>
      <c r="M66" s="61" t="s">
        <v>225</v>
      </c>
      <c r="N66" s="18">
        <v>2025</v>
      </c>
    </row>
    <row r="67" spans="1:14">
      <c r="A67" s="18">
        <v>66</v>
      </c>
      <c r="B67" s="18" t="s">
        <v>35</v>
      </c>
      <c r="C67" s="19" t="s">
        <v>36</v>
      </c>
      <c r="D67" s="18" t="s">
        <v>60</v>
      </c>
      <c r="E67" s="12" t="s">
        <v>103</v>
      </c>
      <c r="F67" s="18"/>
      <c r="G67" s="18" t="s">
        <v>64</v>
      </c>
      <c r="H67" s="26" t="s">
        <v>345</v>
      </c>
      <c r="I67" s="25">
        <v>37.06293706293706</v>
      </c>
      <c r="J67" s="18" t="s">
        <v>68</v>
      </c>
      <c r="K67" s="47" t="s">
        <v>325</v>
      </c>
      <c r="L67" s="21" t="s">
        <v>14</v>
      </c>
      <c r="M67" s="61" t="s">
        <v>225</v>
      </c>
      <c r="N67" s="18">
        <v>2025</v>
      </c>
    </row>
    <row r="68" spans="1:14">
      <c r="A68" s="18">
        <v>67</v>
      </c>
      <c r="B68" s="18" t="s">
        <v>42</v>
      </c>
      <c r="C68" s="19" t="s">
        <v>45</v>
      </c>
      <c r="D68" s="18" t="s">
        <v>60</v>
      </c>
      <c r="E68" s="12" t="s">
        <v>103</v>
      </c>
      <c r="F68" s="18"/>
      <c r="G68" s="18" t="s">
        <v>64</v>
      </c>
      <c r="H68" s="26" t="s">
        <v>345</v>
      </c>
      <c r="I68" s="25">
        <v>365.03496503496501</v>
      </c>
      <c r="J68" s="18" t="s">
        <v>68</v>
      </c>
      <c r="K68" s="47" t="s">
        <v>325</v>
      </c>
      <c r="L68" s="21" t="s">
        <v>14</v>
      </c>
      <c r="M68" s="61" t="s">
        <v>225</v>
      </c>
      <c r="N68" s="18">
        <v>2025</v>
      </c>
    </row>
    <row r="69" spans="1:14">
      <c r="A69" s="18">
        <v>68</v>
      </c>
      <c r="B69" s="18" t="s">
        <v>33</v>
      </c>
      <c r="C69" s="19" t="s">
        <v>34</v>
      </c>
      <c r="D69" s="18" t="s">
        <v>60</v>
      </c>
      <c r="E69" s="12" t="s">
        <v>103</v>
      </c>
      <c r="F69" s="18"/>
      <c r="G69" s="18" t="s">
        <v>64</v>
      </c>
      <c r="H69" s="26" t="s">
        <v>345</v>
      </c>
      <c r="I69" s="25">
        <v>333.56643356643355</v>
      </c>
      <c r="J69" s="18" t="s">
        <v>68</v>
      </c>
      <c r="K69" s="47" t="s">
        <v>325</v>
      </c>
      <c r="L69" s="21" t="s">
        <v>14</v>
      </c>
      <c r="M69" s="61" t="s">
        <v>225</v>
      </c>
      <c r="N69" s="18">
        <v>2025</v>
      </c>
    </row>
    <row r="70" spans="1:14">
      <c r="A70" s="18">
        <v>69</v>
      </c>
      <c r="B70" s="18" t="s">
        <v>52</v>
      </c>
      <c r="C70" s="19" t="s">
        <v>53</v>
      </c>
      <c r="D70" s="18" t="s">
        <v>60</v>
      </c>
      <c r="E70" s="12" t="s">
        <v>103</v>
      </c>
      <c r="F70" s="18"/>
      <c r="G70" s="18" t="s">
        <v>64</v>
      </c>
      <c r="H70" s="26" t="s">
        <v>345</v>
      </c>
      <c r="I70" s="25">
        <v>176.92307692307693</v>
      </c>
      <c r="J70" s="18" t="s">
        <v>68</v>
      </c>
      <c r="K70" s="47" t="s">
        <v>325</v>
      </c>
      <c r="L70" s="21" t="s">
        <v>14</v>
      </c>
      <c r="M70" s="61" t="s">
        <v>225</v>
      </c>
      <c r="N70" s="18">
        <v>2025</v>
      </c>
    </row>
    <row r="71" spans="1:14">
      <c r="A71" s="18">
        <v>70</v>
      </c>
      <c r="B71" s="18" t="s">
        <v>58</v>
      </c>
      <c r="C71" s="19" t="s">
        <v>59</v>
      </c>
      <c r="D71" s="18" t="s">
        <v>60</v>
      </c>
      <c r="E71" s="12" t="s">
        <v>81</v>
      </c>
      <c r="F71" s="18"/>
      <c r="G71" s="18" t="s">
        <v>64</v>
      </c>
      <c r="H71" s="26" t="s">
        <v>362</v>
      </c>
      <c r="I71" s="25">
        <v>433.56643356643355</v>
      </c>
      <c r="J71" s="18">
        <v>401809</v>
      </c>
      <c r="K71" s="47" t="s">
        <v>329</v>
      </c>
      <c r="L71" s="21" t="s">
        <v>14</v>
      </c>
      <c r="M71" s="61" t="s">
        <v>225</v>
      </c>
      <c r="N71" s="18">
        <v>2025</v>
      </c>
    </row>
    <row r="72" spans="1:14">
      <c r="A72" s="18">
        <v>71</v>
      </c>
      <c r="B72" s="12" t="s">
        <v>58</v>
      </c>
      <c r="C72" s="12" t="s">
        <v>59</v>
      </c>
      <c r="D72" s="18" t="s">
        <v>60</v>
      </c>
      <c r="E72" s="12" t="s">
        <v>103</v>
      </c>
      <c r="F72" s="18"/>
      <c r="G72" s="18" t="s">
        <v>64</v>
      </c>
      <c r="H72" s="26" t="s">
        <v>363</v>
      </c>
      <c r="I72" s="25">
        <v>1084.6153846153845</v>
      </c>
      <c r="J72" s="18" t="s">
        <v>68</v>
      </c>
      <c r="K72" s="47" t="s">
        <v>325</v>
      </c>
      <c r="L72" s="21" t="s">
        <v>14</v>
      </c>
      <c r="M72" s="61" t="s">
        <v>225</v>
      </c>
      <c r="N72" s="18">
        <v>2025</v>
      </c>
    </row>
    <row r="73" spans="1:14">
      <c r="A73" s="18">
        <v>72</v>
      </c>
      <c r="B73" s="18" t="s">
        <v>58</v>
      </c>
      <c r="C73" s="19" t="s">
        <v>59</v>
      </c>
      <c r="D73" s="18" t="s">
        <v>60</v>
      </c>
      <c r="E73" s="12" t="s">
        <v>72</v>
      </c>
      <c r="F73" s="18"/>
      <c r="G73" s="18" t="s">
        <v>64</v>
      </c>
      <c r="H73" s="26" t="s">
        <v>83</v>
      </c>
      <c r="I73" s="25">
        <v>82.167832167832174</v>
      </c>
      <c r="J73" s="18" t="s">
        <v>68</v>
      </c>
      <c r="K73" s="47" t="s">
        <v>325</v>
      </c>
      <c r="L73" s="21" t="s">
        <v>14</v>
      </c>
      <c r="M73" s="61" t="s">
        <v>225</v>
      </c>
      <c r="N73" s="18">
        <v>2025</v>
      </c>
    </row>
    <row r="74" spans="1:14">
      <c r="A74" s="18">
        <v>73</v>
      </c>
      <c r="B74" s="18" t="s">
        <v>42</v>
      </c>
      <c r="C74" s="19" t="s">
        <v>47</v>
      </c>
      <c r="D74" s="18" t="s">
        <v>60</v>
      </c>
      <c r="E74" s="12" t="s">
        <v>103</v>
      </c>
      <c r="F74" s="18"/>
      <c r="G74" s="18" t="s">
        <v>64</v>
      </c>
      <c r="H74" s="26" t="s">
        <v>345</v>
      </c>
      <c r="I74" s="25">
        <v>37.06293706293706</v>
      </c>
      <c r="J74" s="18" t="s">
        <v>68</v>
      </c>
      <c r="K74" s="47" t="s">
        <v>325</v>
      </c>
      <c r="L74" s="21" t="s">
        <v>14</v>
      </c>
      <c r="M74" s="61" t="s">
        <v>225</v>
      </c>
      <c r="N74" s="18">
        <v>2025</v>
      </c>
    </row>
    <row r="75" spans="1:14">
      <c r="A75" s="18">
        <v>74</v>
      </c>
      <c r="B75" s="18" t="s">
        <v>42</v>
      </c>
      <c r="C75" s="19" t="s">
        <v>50</v>
      </c>
      <c r="D75" s="18" t="s">
        <v>60</v>
      </c>
      <c r="E75" s="12" t="s">
        <v>103</v>
      </c>
      <c r="F75" s="18"/>
      <c r="G75" s="18" t="s">
        <v>64</v>
      </c>
      <c r="H75" s="26" t="s">
        <v>345</v>
      </c>
      <c r="I75" s="25">
        <v>258.74125874125872</v>
      </c>
      <c r="J75" s="18" t="s">
        <v>68</v>
      </c>
      <c r="K75" s="47" t="s">
        <v>325</v>
      </c>
      <c r="L75" s="21" t="s">
        <v>14</v>
      </c>
      <c r="M75" s="61" t="s">
        <v>225</v>
      </c>
      <c r="N75" s="18">
        <v>2025</v>
      </c>
    </row>
    <row r="76" spans="1:14">
      <c r="A76" s="18">
        <v>75</v>
      </c>
      <c r="B76" s="18" t="s">
        <v>17</v>
      </c>
      <c r="C76" s="19" t="s">
        <v>23</v>
      </c>
      <c r="D76" s="18" t="s">
        <v>60</v>
      </c>
      <c r="E76" s="12" t="s">
        <v>103</v>
      </c>
      <c r="F76" s="18"/>
      <c r="G76" s="18" t="s">
        <v>64</v>
      </c>
      <c r="H76" s="26" t="s">
        <v>345</v>
      </c>
      <c r="I76" s="25">
        <v>74.12587412587412</v>
      </c>
      <c r="J76" s="18" t="s">
        <v>68</v>
      </c>
      <c r="K76" s="47" t="s">
        <v>325</v>
      </c>
      <c r="L76" s="21" t="s">
        <v>14</v>
      </c>
      <c r="M76" s="61" t="s">
        <v>225</v>
      </c>
      <c r="N76" s="18">
        <v>2025</v>
      </c>
    </row>
    <row r="77" spans="1:14">
      <c r="A77" s="18">
        <v>76</v>
      </c>
      <c r="B77" s="18" t="s">
        <v>17</v>
      </c>
      <c r="C77" s="19" t="s">
        <v>25</v>
      </c>
      <c r="D77" s="18" t="s">
        <v>60</v>
      </c>
      <c r="E77" s="12" t="s">
        <v>103</v>
      </c>
      <c r="F77" s="18"/>
      <c r="G77" s="18" t="s">
        <v>64</v>
      </c>
      <c r="H77" s="26" t="s">
        <v>345</v>
      </c>
      <c r="I77" s="25">
        <v>241.25874125874125</v>
      </c>
      <c r="J77" s="18" t="s">
        <v>68</v>
      </c>
      <c r="K77" s="47" t="s">
        <v>325</v>
      </c>
      <c r="L77" s="21" t="s">
        <v>14</v>
      </c>
      <c r="M77" s="61" t="s">
        <v>225</v>
      </c>
      <c r="N77" s="18">
        <v>2025</v>
      </c>
    </row>
    <row r="78" spans="1:14">
      <c r="A78" s="18">
        <v>77</v>
      </c>
      <c r="B78" s="18" t="s">
        <v>58</v>
      </c>
      <c r="C78" s="19" t="s">
        <v>59</v>
      </c>
      <c r="D78" s="18" t="s">
        <v>60</v>
      </c>
      <c r="E78" s="12" t="s">
        <v>274</v>
      </c>
      <c r="F78" s="18"/>
      <c r="G78" s="18" t="s">
        <v>64</v>
      </c>
      <c r="H78" s="26" t="s">
        <v>364</v>
      </c>
      <c r="I78" s="25">
        <v>192.30769230769232</v>
      </c>
      <c r="J78" s="18" t="s">
        <v>68</v>
      </c>
      <c r="K78" s="47">
        <v>45699</v>
      </c>
      <c r="L78" s="21" t="s">
        <v>14</v>
      </c>
      <c r="M78" s="61" t="s">
        <v>225</v>
      </c>
      <c r="N78" s="18">
        <v>2025</v>
      </c>
    </row>
    <row r="79" spans="1:14">
      <c r="A79" s="18">
        <v>78</v>
      </c>
      <c r="B79" s="18" t="s">
        <v>58</v>
      </c>
      <c r="C79" s="19" t="s">
        <v>59</v>
      </c>
      <c r="D79" s="18" t="s">
        <v>60</v>
      </c>
      <c r="E79" s="12" t="s">
        <v>274</v>
      </c>
      <c r="F79" s="18"/>
      <c r="G79" s="18" t="s">
        <v>64</v>
      </c>
      <c r="H79" s="26" t="s">
        <v>365</v>
      </c>
      <c r="I79" s="25">
        <v>1979.020979020979</v>
      </c>
      <c r="J79" s="18" t="s">
        <v>68</v>
      </c>
      <c r="K79" s="47">
        <v>45727</v>
      </c>
      <c r="L79" s="21" t="s">
        <v>14</v>
      </c>
      <c r="M79" s="61" t="s">
        <v>225</v>
      </c>
      <c r="N79" s="18">
        <v>2025</v>
      </c>
    </row>
    <row r="80" spans="1:14">
      <c r="A80" s="18">
        <v>79</v>
      </c>
      <c r="B80" s="18" t="s">
        <v>58</v>
      </c>
      <c r="C80" s="19" t="s">
        <v>59</v>
      </c>
      <c r="D80" s="18" t="s">
        <v>60</v>
      </c>
      <c r="E80" s="12" t="s">
        <v>274</v>
      </c>
      <c r="F80" s="18"/>
      <c r="G80" s="18" t="s">
        <v>64</v>
      </c>
      <c r="H80" s="26" t="s">
        <v>364</v>
      </c>
      <c r="I80" s="25">
        <v>534.96503496503499</v>
      </c>
      <c r="J80" s="18" t="s">
        <v>68</v>
      </c>
      <c r="K80" s="47">
        <v>45758</v>
      </c>
      <c r="L80" s="21" t="s">
        <v>14</v>
      </c>
      <c r="M80" s="61" t="s">
        <v>225</v>
      </c>
      <c r="N80" s="18">
        <v>2025</v>
      </c>
    </row>
    <row r="81" spans="1:14">
      <c r="A81" s="18">
        <v>80</v>
      </c>
      <c r="B81" s="18" t="s">
        <v>58</v>
      </c>
      <c r="C81" s="19" t="s">
        <v>59</v>
      </c>
      <c r="D81" s="18" t="s">
        <v>60</v>
      </c>
      <c r="E81" s="12" t="s">
        <v>274</v>
      </c>
      <c r="F81" s="18"/>
      <c r="G81" s="18" t="s">
        <v>64</v>
      </c>
      <c r="H81" s="26" t="s">
        <v>366</v>
      </c>
      <c r="I81" s="25">
        <v>1573.4265734265734</v>
      </c>
      <c r="J81" s="18" t="s">
        <v>68</v>
      </c>
      <c r="K81" s="47">
        <v>45911</v>
      </c>
      <c r="L81" s="21" t="s">
        <v>14</v>
      </c>
      <c r="M81" s="61" t="s">
        <v>225</v>
      </c>
      <c r="N81" s="18">
        <v>2025</v>
      </c>
    </row>
    <row r="82" spans="1:14">
      <c r="A82" s="18">
        <v>81</v>
      </c>
      <c r="B82" s="18" t="s">
        <v>58</v>
      </c>
      <c r="C82" s="19" t="s">
        <v>59</v>
      </c>
      <c r="D82" s="18" t="s">
        <v>60</v>
      </c>
      <c r="E82" s="12" t="s">
        <v>274</v>
      </c>
      <c r="F82" s="18"/>
      <c r="G82" s="18" t="s">
        <v>64</v>
      </c>
      <c r="H82" s="26" t="s">
        <v>367</v>
      </c>
      <c r="I82" s="25">
        <v>2552.4475524475524</v>
      </c>
      <c r="J82" s="18" t="s">
        <v>68</v>
      </c>
      <c r="K82" s="47" t="s">
        <v>323</v>
      </c>
      <c r="L82" s="21" t="s">
        <v>14</v>
      </c>
      <c r="M82" s="61" t="s">
        <v>225</v>
      </c>
      <c r="N82" s="18">
        <v>2025</v>
      </c>
    </row>
    <row r="83" spans="1:14">
      <c r="A83" s="18">
        <v>82</v>
      </c>
      <c r="B83" s="18" t="s">
        <v>58</v>
      </c>
      <c r="C83" s="19" t="s">
        <v>59</v>
      </c>
      <c r="D83" s="18" t="s">
        <v>60</v>
      </c>
      <c r="E83" s="12" t="s">
        <v>274</v>
      </c>
      <c r="F83" s="18"/>
      <c r="G83" s="18" t="s">
        <v>64</v>
      </c>
      <c r="H83" s="26" t="s">
        <v>364</v>
      </c>
      <c r="I83" s="25">
        <v>374.12587412587413</v>
      </c>
      <c r="J83" s="18" t="s">
        <v>68</v>
      </c>
      <c r="K83" s="47" t="s">
        <v>326</v>
      </c>
      <c r="L83" s="21" t="s">
        <v>14</v>
      </c>
      <c r="M83" s="61" t="s">
        <v>225</v>
      </c>
      <c r="N83" s="18">
        <v>2025</v>
      </c>
    </row>
    <row r="84" spans="1:14">
      <c r="A84" s="18">
        <v>83</v>
      </c>
      <c r="B84" s="18" t="s">
        <v>58</v>
      </c>
      <c r="C84" s="19" t="s">
        <v>59</v>
      </c>
      <c r="D84" s="18" t="s">
        <v>60</v>
      </c>
      <c r="E84" s="12" t="s">
        <v>274</v>
      </c>
      <c r="F84" s="18"/>
      <c r="G84" s="18" t="s">
        <v>64</v>
      </c>
      <c r="H84" s="26" t="s">
        <v>368</v>
      </c>
      <c r="I84" s="25">
        <v>1398.6013986013986</v>
      </c>
      <c r="J84" s="18" t="s">
        <v>68</v>
      </c>
      <c r="K84" s="47" t="s">
        <v>334</v>
      </c>
      <c r="L84" s="21" t="s">
        <v>14</v>
      </c>
      <c r="M84" s="61" t="s">
        <v>225</v>
      </c>
      <c r="N84" s="18">
        <v>2025</v>
      </c>
    </row>
    <row r="85" spans="1:14">
      <c r="A85" s="18">
        <v>84</v>
      </c>
      <c r="B85" s="18" t="s">
        <v>58</v>
      </c>
      <c r="C85" s="19" t="s">
        <v>59</v>
      </c>
      <c r="D85" s="18" t="s">
        <v>60</v>
      </c>
      <c r="E85" s="12" t="s">
        <v>274</v>
      </c>
      <c r="F85" s="18"/>
      <c r="G85" s="18" t="s">
        <v>64</v>
      </c>
      <c r="H85" s="26" t="s">
        <v>369</v>
      </c>
      <c r="I85" s="25">
        <v>104.89510489510489</v>
      </c>
      <c r="J85" s="18" t="s">
        <v>68</v>
      </c>
      <c r="K85" s="47" t="s">
        <v>324</v>
      </c>
      <c r="L85" s="21" t="s">
        <v>14</v>
      </c>
      <c r="M85" s="61" t="s">
        <v>225</v>
      </c>
      <c r="N85" s="18">
        <v>2025</v>
      </c>
    </row>
    <row r="86" spans="1:14">
      <c r="A86" s="18">
        <v>85</v>
      </c>
      <c r="B86" s="18" t="s">
        <v>58</v>
      </c>
      <c r="C86" s="19" t="s">
        <v>59</v>
      </c>
      <c r="D86" s="18" t="s">
        <v>60</v>
      </c>
      <c r="E86" s="12" t="s">
        <v>274</v>
      </c>
      <c r="F86" s="18"/>
      <c r="G86" s="18" t="s">
        <v>64</v>
      </c>
      <c r="H86" s="26" t="s">
        <v>364</v>
      </c>
      <c r="I86" s="25">
        <v>83.91608391608392</v>
      </c>
      <c r="J86" s="18" t="s">
        <v>68</v>
      </c>
      <c r="K86" s="47" t="s">
        <v>326</v>
      </c>
      <c r="L86" s="21" t="s">
        <v>14</v>
      </c>
      <c r="M86" s="61" t="s">
        <v>225</v>
      </c>
      <c r="N86" s="18">
        <v>2025</v>
      </c>
    </row>
    <row r="87" spans="1:14">
      <c r="A87" s="18"/>
      <c r="B87" s="12"/>
      <c r="C87" s="12"/>
      <c r="D87" s="13"/>
      <c r="E87" s="18"/>
      <c r="F87" s="12"/>
      <c r="G87" s="18"/>
      <c r="H87" s="18"/>
      <c r="I87" s="30"/>
      <c r="J87" s="18"/>
      <c r="K87" s="19"/>
      <c r="L87" s="21"/>
      <c r="M87" s="18"/>
      <c r="N87" s="18"/>
    </row>
    <row r="88" spans="1:14">
      <c r="A88" s="18"/>
      <c r="B88" s="12"/>
      <c r="C88" s="12"/>
      <c r="D88" s="13"/>
      <c r="E88" s="18"/>
      <c r="F88" s="12"/>
      <c r="G88" s="18"/>
      <c r="H88" s="18"/>
      <c r="I88" s="30"/>
      <c r="J88" s="18"/>
      <c r="K88" s="19"/>
      <c r="L88" s="21"/>
      <c r="M88" s="18"/>
      <c r="N88" s="18"/>
    </row>
    <row r="89" spans="1:14">
      <c r="A89" s="18"/>
      <c r="B89" s="12"/>
      <c r="C89" s="12"/>
      <c r="D89" s="13"/>
      <c r="E89" s="18"/>
      <c r="F89" s="12"/>
      <c r="G89" s="18"/>
      <c r="H89" s="18"/>
      <c r="I89" s="30"/>
      <c r="J89" s="18"/>
      <c r="K89" s="19"/>
      <c r="L89" s="21"/>
      <c r="M89" s="18"/>
      <c r="N89" s="18"/>
    </row>
    <row r="90" spans="1:14">
      <c r="A90" s="18"/>
      <c r="B90" s="12"/>
      <c r="C90" s="12"/>
      <c r="D90" s="13"/>
      <c r="E90" s="18"/>
      <c r="F90" s="12"/>
      <c r="G90" s="18"/>
      <c r="H90" s="26"/>
      <c r="I90" s="30"/>
      <c r="J90" s="26"/>
      <c r="K90" s="19"/>
      <c r="L90" s="21"/>
      <c r="M90" s="18"/>
      <c r="N90" s="18"/>
    </row>
    <row r="91" spans="1:14">
      <c r="A91" s="18"/>
      <c r="B91" s="12"/>
      <c r="C91" s="12"/>
      <c r="D91" s="13"/>
      <c r="E91" s="18"/>
      <c r="F91" s="12"/>
      <c r="G91" s="18"/>
      <c r="H91" s="26"/>
      <c r="I91" s="30"/>
      <c r="J91" s="26"/>
      <c r="K91" s="19"/>
      <c r="L91" s="21"/>
      <c r="M91" s="18"/>
      <c r="N91" s="18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</sheetData>
  <autoFilter ref="A1:N86" xr:uid="{00000000-0009-0000-0000-000004000000}">
    <sortState xmlns:xlrd2="http://schemas.microsoft.com/office/spreadsheetml/2017/richdata2" ref="A2:N86">
      <sortCondition ref="B1:B86"/>
    </sortState>
  </autoFilter>
  <conditionalFormatting sqref="L2:L86">
    <cfRule type="duplicateValues" dxfId="5" priority="260"/>
  </conditionalFormatting>
  <conditionalFormatting sqref="L87:L91">
    <cfRule type="duplicateValues" dxfId="4" priority="261"/>
  </conditionalFormatting>
  <dataValidations count="2">
    <dataValidation type="list" allowBlank="1" showInputMessage="1" showErrorMessage="1" sqref="C2:C31 C34:C71 C73:C91" xr:uid="{00000000-0002-0000-0400-000001000000}">
      <formula1>Level_2</formula1>
    </dataValidation>
    <dataValidation type="list" allowBlank="1" showInputMessage="1" showErrorMessage="1" sqref="C92:C429" xr:uid="{00000000-0002-0000-0400-000002000000}">
      <formula1>INDIRECT(B92)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List!$P$2:$P$11</xm:f>
          </x14:formula1>
          <xm:sqref>B92:B429</xm:sqref>
        </x14:dataValidation>
        <x14:dataValidation type="list" allowBlank="1" showInputMessage="1" showErrorMessage="1" xr:uid="{00000000-0002-0000-0400-000003000000}">
          <x14:formula1>
            <xm:f>List!$C$2:$C$3</xm:f>
          </x14:formula1>
          <xm:sqref>D92:D429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E92:E429</xm:sqref>
        </x14:dataValidation>
        <x14:dataValidation type="list" allowBlank="1" showInputMessage="1" showErrorMessage="1" xr:uid="{00000000-0002-0000-0400-000005000000}">
          <x14:formula1>
            <xm:f>List!$H$2:$H$13</xm:f>
          </x14:formula1>
          <xm:sqref>M92:M429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N92:N429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7"/>
  <sheetViews>
    <sheetView workbookViewId="0">
      <selection activeCell="A3" sqref="A3:N7"/>
    </sheetView>
  </sheetViews>
  <sheetFormatPr defaultColWidth="9" defaultRowHeight="14.4"/>
  <cols>
    <col min="1" max="1" width="5.33203125" customWidth="1"/>
    <col min="2" max="2" width="8.6640625" customWidth="1"/>
    <col min="3" max="3" width="9.6640625" customWidth="1"/>
    <col min="4" max="4" width="9" customWidth="1"/>
    <col min="5" max="5" width="14.33203125" customWidth="1"/>
    <col min="6" max="6" width="10.21875" customWidth="1"/>
    <col min="7" max="7" width="7" customWidth="1"/>
    <col min="8" max="8" width="18.21875" customWidth="1"/>
    <col min="9" max="9" width="18.109375" customWidth="1"/>
    <col min="10" max="10" width="10.109375" customWidth="1"/>
    <col min="11" max="11" width="11.21875" customWidth="1"/>
    <col min="12" max="12" width="10.5546875" customWidth="1"/>
    <col min="13" max="13" width="6.5546875" customWidth="1"/>
    <col min="14" max="14" width="4.77734375" customWidth="1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8">
        <v>1</v>
      </c>
      <c r="B2" s="13" t="s">
        <v>54</v>
      </c>
      <c r="C2" s="13" t="s">
        <v>55</v>
      </c>
      <c r="D2" s="18" t="s">
        <v>60</v>
      </c>
      <c r="E2" s="12" t="s">
        <v>82</v>
      </c>
      <c r="F2" s="18"/>
      <c r="G2" s="18" t="s">
        <v>21</v>
      </c>
      <c r="H2" s="26" t="s">
        <v>370</v>
      </c>
      <c r="I2" s="27">
        <v>0</v>
      </c>
      <c r="J2" s="18" t="s">
        <v>14</v>
      </c>
      <c r="K2" s="19" t="s">
        <v>14</v>
      </c>
      <c r="L2" s="21" t="s">
        <v>14</v>
      </c>
      <c r="M2" s="18" t="s">
        <v>225</v>
      </c>
      <c r="N2" s="18">
        <v>2025</v>
      </c>
    </row>
    <row r="3" spans="1:14">
      <c r="A3" s="18">
        <v>2</v>
      </c>
      <c r="B3" s="12" t="s">
        <v>42</v>
      </c>
      <c r="C3" s="69" t="s">
        <v>43</v>
      </c>
      <c r="D3" s="18" t="s">
        <v>19</v>
      </c>
      <c r="E3" s="12" t="s">
        <v>82</v>
      </c>
      <c r="F3" s="12"/>
      <c r="G3" s="18" t="s">
        <v>21</v>
      </c>
      <c r="H3" s="26" t="s">
        <v>371</v>
      </c>
      <c r="I3" s="15">
        <f>800000/1430</f>
        <v>559.44055944055947</v>
      </c>
      <c r="J3" s="18" t="s">
        <v>14</v>
      </c>
      <c r="K3" s="19" t="s">
        <v>14</v>
      </c>
      <c r="L3" s="21" t="s">
        <v>14</v>
      </c>
      <c r="M3" s="18" t="s">
        <v>225</v>
      </c>
      <c r="N3" s="18">
        <v>2025</v>
      </c>
    </row>
    <row r="4" spans="1:14">
      <c r="A4" s="18">
        <v>3</v>
      </c>
      <c r="B4" s="12" t="s">
        <v>42</v>
      </c>
      <c r="C4" s="12" t="s">
        <v>50</v>
      </c>
      <c r="D4" s="18" t="s">
        <v>19</v>
      </c>
      <c r="E4" s="12" t="s">
        <v>82</v>
      </c>
      <c r="F4" s="12"/>
      <c r="G4" s="18" t="s">
        <v>21</v>
      </c>
      <c r="H4" s="26" t="s">
        <v>371</v>
      </c>
      <c r="I4" s="15">
        <f>6100000/1430</f>
        <v>4265.734265734266</v>
      </c>
      <c r="J4" s="18" t="s">
        <v>14</v>
      </c>
      <c r="K4" s="19" t="s">
        <v>14</v>
      </c>
      <c r="L4" s="21" t="s">
        <v>14</v>
      </c>
      <c r="M4" s="18" t="s">
        <v>225</v>
      </c>
      <c r="N4" s="18">
        <v>2025</v>
      </c>
    </row>
    <row r="5" spans="1:14">
      <c r="A5" s="18">
        <v>4</v>
      </c>
      <c r="B5" s="12" t="s">
        <v>52</v>
      </c>
      <c r="C5" s="12" t="s">
        <v>62</v>
      </c>
      <c r="D5" s="18" t="s">
        <v>19</v>
      </c>
      <c r="E5" s="12" t="s">
        <v>82</v>
      </c>
      <c r="F5" s="12"/>
      <c r="G5" s="18" t="s">
        <v>21</v>
      </c>
      <c r="H5" s="26" t="s">
        <v>371</v>
      </c>
      <c r="I5" s="15">
        <f>11600000/1430+11503.4965034965</f>
        <v>19615.384615384613</v>
      </c>
      <c r="J5" s="18" t="s">
        <v>14</v>
      </c>
      <c r="K5" s="19" t="s">
        <v>14</v>
      </c>
      <c r="L5" s="21" t="s">
        <v>14</v>
      </c>
      <c r="M5" s="18" t="s">
        <v>225</v>
      </c>
      <c r="N5" s="18">
        <v>2025</v>
      </c>
    </row>
    <row r="6" spans="1:14">
      <c r="A6" s="18">
        <v>5</v>
      </c>
      <c r="B6" s="12" t="s">
        <v>17</v>
      </c>
      <c r="C6" s="12" t="s">
        <v>25</v>
      </c>
      <c r="D6" s="18" t="s">
        <v>19</v>
      </c>
      <c r="E6" s="12" t="s">
        <v>82</v>
      </c>
      <c r="F6" s="12"/>
      <c r="G6" s="18" t="s">
        <v>21</v>
      </c>
      <c r="H6" s="26" t="s">
        <v>371</v>
      </c>
      <c r="I6" s="15">
        <f>3650000/1430</f>
        <v>2552.4475524475524</v>
      </c>
      <c r="J6" s="18" t="s">
        <v>14</v>
      </c>
      <c r="K6" s="19" t="s">
        <v>14</v>
      </c>
      <c r="L6" s="21" t="s">
        <v>14</v>
      </c>
      <c r="M6" s="18" t="s">
        <v>225</v>
      </c>
      <c r="N6" s="18">
        <v>2025</v>
      </c>
    </row>
    <row r="7" spans="1:14">
      <c r="A7" s="18">
        <v>6</v>
      </c>
      <c r="B7" s="12" t="s">
        <v>17</v>
      </c>
      <c r="C7" s="12" t="s">
        <v>22</v>
      </c>
      <c r="D7" s="18" t="s">
        <v>19</v>
      </c>
      <c r="E7" s="12" t="s">
        <v>82</v>
      </c>
      <c r="F7" s="12"/>
      <c r="G7" s="18" t="s">
        <v>21</v>
      </c>
      <c r="H7" s="26" t="s">
        <v>371</v>
      </c>
      <c r="I7" s="15">
        <f>4620000/1430</f>
        <v>3230.7692307692309</v>
      </c>
      <c r="J7" s="18" t="s">
        <v>14</v>
      </c>
      <c r="K7" s="19" t="s">
        <v>14</v>
      </c>
      <c r="L7" s="21" t="s">
        <v>14</v>
      </c>
      <c r="M7" s="18" t="s">
        <v>225</v>
      </c>
      <c r="N7" s="18">
        <v>2025</v>
      </c>
    </row>
  </sheetData>
  <conditionalFormatting sqref="L2:L7">
    <cfRule type="duplicateValues" dxfId="3" priority="1"/>
  </conditionalFormatting>
  <dataValidations count="1">
    <dataValidation type="list" allowBlank="1" showInputMessage="1" showErrorMessage="1" sqref="C2" xr:uid="{00000000-0002-0000-05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List!$P$2:$P$11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8"/>
  <sheetViews>
    <sheetView workbookViewId="0">
      <selection activeCell="A2" sqref="A2:N8"/>
    </sheetView>
  </sheetViews>
  <sheetFormatPr defaultColWidth="9" defaultRowHeight="14.4"/>
  <cols>
    <col min="1" max="1" width="5.33203125" customWidth="1"/>
    <col min="2" max="2" width="8.88671875" customWidth="1"/>
    <col min="3" max="3" width="9.44140625" customWidth="1"/>
    <col min="4" max="4" width="9" customWidth="1"/>
    <col min="5" max="5" width="21.44140625" customWidth="1"/>
    <col min="6" max="6" width="10.21875" customWidth="1"/>
    <col min="7" max="7" width="9.44140625" customWidth="1"/>
    <col min="8" max="8" width="21.44140625" customWidth="1"/>
    <col min="9" max="9" width="18.109375" customWidth="1"/>
    <col min="10" max="10" width="10.109375" customWidth="1"/>
    <col min="11" max="11" width="11.21875" customWidth="1"/>
    <col min="12" max="12" width="10.5546875" customWidth="1"/>
    <col min="13" max="13" width="6.5546875" customWidth="1"/>
    <col min="14" max="14" width="4.77734375" customWidth="1"/>
  </cols>
  <sheetData>
    <row r="1" spans="1:1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>
      <c r="A2" s="18">
        <v>1</v>
      </c>
      <c r="B2" s="61" t="s">
        <v>52</v>
      </c>
      <c r="C2" s="62" t="s">
        <v>62</v>
      </c>
      <c r="D2" s="18" t="s">
        <v>60</v>
      </c>
      <c r="E2" s="18" t="s">
        <v>63</v>
      </c>
      <c r="F2" s="18"/>
      <c r="G2" s="18" t="s">
        <v>21</v>
      </c>
      <c r="H2" s="18" t="s">
        <v>63</v>
      </c>
      <c r="I2" s="25">
        <v>2968.5314685314684</v>
      </c>
      <c r="J2" s="19" t="s">
        <v>14</v>
      </c>
      <c r="K2" s="19" t="s">
        <v>14</v>
      </c>
      <c r="L2" s="21" t="s">
        <v>14</v>
      </c>
      <c r="M2" s="61" t="s">
        <v>225</v>
      </c>
      <c r="N2" s="18">
        <v>2025</v>
      </c>
    </row>
    <row r="3" spans="1:14">
      <c r="A3" s="18">
        <v>2</v>
      </c>
      <c r="B3" s="68" t="s">
        <v>58</v>
      </c>
      <c r="C3" s="19" t="s">
        <v>59</v>
      </c>
      <c r="D3" s="18" t="s">
        <v>60</v>
      </c>
      <c r="E3" s="18" t="s">
        <v>63</v>
      </c>
      <c r="F3" s="18"/>
      <c r="G3" s="18" t="s">
        <v>21</v>
      </c>
      <c r="H3" s="18" t="s">
        <v>63</v>
      </c>
      <c r="I3" s="25">
        <v>10489.510489510489</v>
      </c>
      <c r="J3" s="19" t="s">
        <v>14</v>
      </c>
      <c r="K3" s="19" t="s">
        <v>14</v>
      </c>
      <c r="L3" s="21" t="s">
        <v>14</v>
      </c>
      <c r="M3" s="61" t="s">
        <v>225</v>
      </c>
      <c r="N3" s="18">
        <v>2025</v>
      </c>
    </row>
    <row r="4" spans="1:14">
      <c r="A4" s="18">
        <v>3</v>
      </c>
      <c r="B4" s="68" t="s">
        <v>58</v>
      </c>
      <c r="C4" s="19" t="s">
        <v>59</v>
      </c>
      <c r="D4" s="18" t="s">
        <v>60</v>
      </c>
      <c r="E4" s="18" t="s">
        <v>63</v>
      </c>
      <c r="F4" s="18"/>
      <c r="G4" s="18" t="s">
        <v>21</v>
      </c>
      <c r="H4" s="18" t="s">
        <v>63</v>
      </c>
      <c r="I4" s="25">
        <v>3496.5034965034965</v>
      </c>
      <c r="J4" s="19" t="s">
        <v>14</v>
      </c>
      <c r="K4" s="19" t="s">
        <v>14</v>
      </c>
      <c r="L4" s="21" t="s">
        <v>14</v>
      </c>
      <c r="M4" s="61" t="s">
        <v>225</v>
      </c>
      <c r="N4" s="18">
        <v>2025</v>
      </c>
    </row>
    <row r="5" spans="1:14">
      <c r="A5" s="18">
        <v>4</v>
      </c>
      <c r="B5" s="68" t="s">
        <v>58</v>
      </c>
      <c r="C5" s="19" t="s">
        <v>59</v>
      </c>
      <c r="D5" s="18" t="s">
        <v>60</v>
      </c>
      <c r="E5" s="18" t="s">
        <v>63</v>
      </c>
      <c r="F5" s="12"/>
      <c r="G5" s="18" t="s">
        <v>21</v>
      </c>
      <c r="H5" s="18" t="s">
        <v>63</v>
      </c>
      <c r="I5" s="41">
        <v>8181.818181818182</v>
      </c>
      <c r="J5" s="19" t="s">
        <v>14</v>
      </c>
      <c r="K5" s="19" t="s">
        <v>14</v>
      </c>
      <c r="L5" s="21" t="s">
        <v>14</v>
      </c>
      <c r="M5" s="61" t="s">
        <v>225</v>
      </c>
      <c r="N5" s="18">
        <v>2025</v>
      </c>
    </row>
    <row r="6" spans="1:14">
      <c r="A6" s="18">
        <v>5</v>
      </c>
      <c r="B6" s="68" t="s">
        <v>58</v>
      </c>
      <c r="C6" s="19" t="s">
        <v>59</v>
      </c>
      <c r="D6" s="18" t="s">
        <v>60</v>
      </c>
      <c r="E6" s="18" t="s">
        <v>63</v>
      </c>
      <c r="F6" s="12"/>
      <c r="G6" s="18" t="s">
        <v>21</v>
      </c>
      <c r="H6" s="18" t="s">
        <v>63</v>
      </c>
      <c r="I6" s="41">
        <v>10489.510489510489</v>
      </c>
      <c r="J6" s="19" t="s">
        <v>14</v>
      </c>
      <c r="K6" s="19" t="s">
        <v>14</v>
      </c>
      <c r="L6" s="21" t="s">
        <v>14</v>
      </c>
      <c r="M6" s="61" t="s">
        <v>225</v>
      </c>
      <c r="N6" s="18">
        <v>2025</v>
      </c>
    </row>
    <row r="7" spans="1:14">
      <c r="A7" s="18">
        <v>6</v>
      </c>
      <c r="B7" s="68" t="s">
        <v>33</v>
      </c>
      <c r="C7" s="19" t="s">
        <v>34</v>
      </c>
      <c r="D7" s="18" t="s">
        <v>60</v>
      </c>
      <c r="E7" s="18" t="s">
        <v>63</v>
      </c>
      <c r="F7" s="12"/>
      <c r="G7" s="18" t="s">
        <v>21</v>
      </c>
      <c r="H7" s="18" t="s">
        <v>63</v>
      </c>
      <c r="I7" s="41">
        <v>3496.5034965034965</v>
      </c>
      <c r="J7" s="19" t="s">
        <v>14</v>
      </c>
      <c r="K7" s="19" t="s">
        <v>14</v>
      </c>
      <c r="L7" s="21" t="s">
        <v>14</v>
      </c>
      <c r="M7" s="61" t="s">
        <v>225</v>
      </c>
      <c r="N7" s="18">
        <v>2025</v>
      </c>
    </row>
    <row r="8" spans="1:14">
      <c r="A8" s="18">
        <v>6</v>
      </c>
      <c r="B8" s="56" t="s">
        <v>42</v>
      </c>
      <c r="C8" s="56" t="s">
        <v>48</v>
      </c>
      <c r="D8" s="18" t="s">
        <v>60</v>
      </c>
      <c r="E8" s="18" t="s">
        <v>63</v>
      </c>
      <c r="F8" s="12"/>
      <c r="G8" s="18" t="s">
        <v>21</v>
      </c>
      <c r="H8" s="18" t="s">
        <v>63</v>
      </c>
      <c r="I8" s="39">
        <v>5069.9300699300702</v>
      </c>
      <c r="J8" s="19" t="s">
        <v>14</v>
      </c>
      <c r="K8" s="19" t="s">
        <v>14</v>
      </c>
      <c r="L8" s="21" t="s">
        <v>14</v>
      </c>
      <c r="M8" s="61" t="s">
        <v>225</v>
      </c>
      <c r="N8" s="18">
        <v>2025</v>
      </c>
    </row>
  </sheetData>
  <conditionalFormatting sqref="L2:L8">
    <cfRule type="duplicateValues" dxfId="2" priority="1"/>
  </conditionalFormatting>
  <dataValidations count="1">
    <dataValidation type="list" allowBlank="1" showInputMessage="1" showErrorMessage="1" sqref="C2:C7" xr:uid="{00000000-0002-0000-0600-000000000000}">
      <formula1>Level_2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8"/>
  <sheetViews>
    <sheetView topLeftCell="D1" workbookViewId="0">
      <selection activeCell="A2" sqref="A2:N8"/>
    </sheetView>
  </sheetViews>
  <sheetFormatPr defaultColWidth="9" defaultRowHeight="14.4"/>
  <cols>
    <col min="1" max="1" width="5.5546875" bestFit="1" customWidth="1"/>
    <col min="2" max="2" width="7.21875" bestFit="1" customWidth="1"/>
    <col min="3" max="3" width="9.5546875" bestFit="1" customWidth="1"/>
    <col min="4" max="4" width="9.21875" bestFit="1" customWidth="1"/>
    <col min="5" max="5" width="14.5546875" bestFit="1" customWidth="1"/>
    <col min="6" max="6" width="10.5546875" bestFit="1" customWidth="1"/>
    <col min="7" max="7" width="26.33203125" bestFit="1" customWidth="1"/>
    <col min="8" max="8" width="37" bestFit="1" customWidth="1"/>
    <col min="9" max="9" width="18.6640625" bestFit="1" customWidth="1"/>
    <col min="10" max="10" width="11" bestFit="1" customWidth="1"/>
    <col min="11" max="11" width="11.44140625" bestFit="1" customWidth="1"/>
    <col min="12" max="12" width="10.77734375" bestFit="1" customWidth="1"/>
    <col min="13" max="13" width="6.77734375" bestFit="1" customWidth="1"/>
    <col min="14" max="14" width="5" bestFit="1" customWidth="1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8">
        <v>1</v>
      </c>
      <c r="B2" s="18" t="s">
        <v>58</v>
      </c>
      <c r="C2" s="19" t="s">
        <v>59</v>
      </c>
      <c r="D2" s="18" t="s">
        <v>60</v>
      </c>
      <c r="E2" s="18" t="s">
        <v>85</v>
      </c>
      <c r="F2" s="18"/>
      <c r="G2" s="18" t="s">
        <v>21</v>
      </c>
      <c r="H2" s="18" t="s">
        <v>300</v>
      </c>
      <c r="I2" s="20">
        <f>3000000/1430</f>
        <v>2097.9020979020979</v>
      </c>
      <c r="J2" s="19" t="s">
        <v>14</v>
      </c>
      <c r="K2" s="19" t="s">
        <v>14</v>
      </c>
      <c r="L2" s="21" t="s">
        <v>14</v>
      </c>
      <c r="M2" s="18" t="s">
        <v>225</v>
      </c>
      <c r="N2" s="18">
        <v>2025</v>
      </c>
    </row>
    <row r="3" spans="1:14">
      <c r="A3" s="18">
        <v>2</v>
      </c>
      <c r="B3" s="18" t="s">
        <v>58</v>
      </c>
      <c r="C3" s="19" t="s">
        <v>59</v>
      </c>
      <c r="D3" s="18" t="s">
        <v>60</v>
      </c>
      <c r="E3" s="18" t="s">
        <v>85</v>
      </c>
      <c r="F3" s="18"/>
      <c r="G3" s="18" t="s">
        <v>21</v>
      </c>
      <c r="H3" s="18" t="s">
        <v>301</v>
      </c>
      <c r="I3" s="20">
        <f>5000000/1430</f>
        <v>3496.5034965034965</v>
      </c>
      <c r="J3" s="19" t="s">
        <v>14</v>
      </c>
      <c r="K3" s="19" t="s">
        <v>14</v>
      </c>
      <c r="L3" s="21" t="s">
        <v>14</v>
      </c>
      <c r="M3" s="18" t="s">
        <v>225</v>
      </c>
      <c r="N3" s="18">
        <v>2025</v>
      </c>
    </row>
    <row r="4" spans="1:14">
      <c r="A4" s="18">
        <v>3</v>
      </c>
      <c r="B4" s="18" t="s">
        <v>58</v>
      </c>
      <c r="C4" s="19" t="s">
        <v>59</v>
      </c>
      <c r="D4" s="18" t="s">
        <v>60</v>
      </c>
      <c r="E4" s="18" t="s">
        <v>85</v>
      </c>
      <c r="F4" s="18"/>
      <c r="G4" s="18" t="s">
        <v>21</v>
      </c>
      <c r="H4" s="18" t="s">
        <v>302</v>
      </c>
      <c r="I4" s="20">
        <v>2000</v>
      </c>
      <c r="J4" s="19" t="s">
        <v>14</v>
      </c>
      <c r="K4" s="19" t="s">
        <v>14</v>
      </c>
      <c r="L4" s="21" t="s">
        <v>14</v>
      </c>
      <c r="M4" s="18" t="s">
        <v>225</v>
      </c>
      <c r="N4" s="18">
        <v>2025</v>
      </c>
    </row>
    <row r="5" spans="1:14">
      <c r="A5" s="18">
        <v>4</v>
      </c>
      <c r="B5" s="18" t="s">
        <v>58</v>
      </c>
      <c r="C5" s="19" t="s">
        <v>59</v>
      </c>
      <c r="D5" s="18" t="s">
        <v>60</v>
      </c>
      <c r="E5" s="18" t="s">
        <v>85</v>
      </c>
      <c r="F5" s="18"/>
      <c r="G5" s="18" t="s">
        <v>21</v>
      </c>
      <c r="H5" s="12" t="s">
        <v>303</v>
      </c>
      <c r="I5" s="22">
        <f>1250000/1430</f>
        <v>874.12587412587413</v>
      </c>
      <c r="J5" s="19" t="s">
        <v>14</v>
      </c>
      <c r="K5" s="19" t="s">
        <v>14</v>
      </c>
      <c r="L5" s="21" t="s">
        <v>14</v>
      </c>
      <c r="M5" s="18" t="s">
        <v>225</v>
      </c>
      <c r="N5" s="18">
        <v>2025</v>
      </c>
    </row>
    <row r="6" spans="1:14">
      <c r="A6" s="18">
        <v>5</v>
      </c>
      <c r="B6" s="18" t="s">
        <v>58</v>
      </c>
      <c r="C6" s="19" t="s">
        <v>59</v>
      </c>
      <c r="D6" s="18" t="s">
        <v>60</v>
      </c>
      <c r="E6" s="18" t="s">
        <v>85</v>
      </c>
      <c r="F6" s="18"/>
      <c r="G6" s="18" t="s">
        <v>21</v>
      </c>
      <c r="H6" s="12" t="s">
        <v>304</v>
      </c>
      <c r="I6" s="22">
        <v>4500</v>
      </c>
      <c r="J6" s="19" t="s">
        <v>14</v>
      </c>
      <c r="K6" s="19" t="s">
        <v>14</v>
      </c>
      <c r="L6" s="21" t="s">
        <v>14</v>
      </c>
      <c r="M6" s="18" t="s">
        <v>225</v>
      </c>
      <c r="N6" s="18">
        <v>2025</v>
      </c>
    </row>
    <row r="7" spans="1:14">
      <c r="A7" s="18">
        <v>6</v>
      </c>
      <c r="B7" s="18" t="s">
        <v>58</v>
      </c>
      <c r="C7" s="19" t="s">
        <v>59</v>
      </c>
      <c r="D7" s="18" t="s">
        <v>60</v>
      </c>
      <c r="E7" s="18" t="s">
        <v>85</v>
      </c>
      <c r="F7" s="18"/>
      <c r="G7" s="18" t="s">
        <v>21</v>
      </c>
      <c r="H7" s="12" t="s">
        <v>305</v>
      </c>
      <c r="I7" s="22">
        <v>6000</v>
      </c>
      <c r="J7" s="19" t="s">
        <v>14</v>
      </c>
      <c r="K7" s="19" t="s">
        <v>14</v>
      </c>
      <c r="L7" s="21" t="s">
        <v>14</v>
      </c>
      <c r="M7" s="18" t="s">
        <v>225</v>
      </c>
      <c r="N7" s="18">
        <v>2025</v>
      </c>
    </row>
    <row r="8" spans="1:14">
      <c r="A8" s="18">
        <v>7</v>
      </c>
      <c r="B8" s="18" t="s">
        <v>58</v>
      </c>
      <c r="C8" s="19" t="s">
        <v>59</v>
      </c>
      <c r="D8" s="18" t="s">
        <v>19</v>
      </c>
      <c r="E8" s="18" t="s">
        <v>85</v>
      </c>
      <c r="F8" s="18"/>
      <c r="G8" s="12" t="s">
        <v>86</v>
      </c>
      <c r="H8" s="12" t="s">
        <v>306</v>
      </c>
      <c r="I8" s="23">
        <v>3290</v>
      </c>
      <c r="J8" s="18" t="s">
        <v>617</v>
      </c>
      <c r="K8" s="19">
        <v>45991</v>
      </c>
      <c r="L8" s="21" t="s">
        <v>14</v>
      </c>
      <c r="M8" s="18" t="s">
        <v>225</v>
      </c>
      <c r="N8" s="18">
        <v>2025</v>
      </c>
    </row>
  </sheetData>
  <conditionalFormatting sqref="L2:L8">
    <cfRule type="duplicateValues" dxfId="1" priority="1"/>
  </conditionalFormatting>
  <dataValidations count="1">
    <dataValidation type="list" allowBlank="1" showInputMessage="1" showErrorMessage="1" sqref="C2:C8" xr:uid="{00000000-0002-0000-07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N547"/>
  <sheetViews>
    <sheetView topLeftCell="H94" workbookViewId="0">
      <selection activeCell="A2" sqref="A2:N99"/>
    </sheetView>
  </sheetViews>
  <sheetFormatPr defaultColWidth="9" defaultRowHeight="14.4"/>
  <cols>
    <col min="1" max="1" width="7.6640625" customWidth="1"/>
    <col min="2" max="2" width="9.33203125" customWidth="1"/>
    <col min="3" max="3" width="10.6640625" customWidth="1"/>
    <col min="4" max="4" width="11.21875" customWidth="1"/>
    <col min="5" max="5" width="29" customWidth="1"/>
    <col min="6" max="6" width="12.33203125" customWidth="1"/>
    <col min="7" max="7" width="28.6640625" customWidth="1"/>
    <col min="8" max="8" width="21.109375" customWidth="1"/>
    <col min="9" max="9" width="20.21875" style="8" customWidth="1"/>
    <col min="10" max="10" width="12.33203125" customWidth="1"/>
    <col min="11" max="11" width="13.33203125" customWidth="1"/>
    <col min="12" max="12" width="12.77734375" customWidth="1"/>
    <col min="13" max="13" width="8.77734375" customWidth="1"/>
    <col min="14" max="14" width="6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42</v>
      </c>
      <c r="C2" s="4" t="s">
        <v>51</v>
      </c>
      <c r="D2" s="4" t="s">
        <v>60</v>
      </c>
      <c r="E2" s="4" t="s">
        <v>87</v>
      </c>
      <c r="F2" s="4"/>
      <c r="G2" s="4" t="s">
        <v>94</v>
      </c>
      <c r="H2" s="4" t="s">
        <v>92</v>
      </c>
      <c r="I2" s="50">
        <f>2000000/1430</f>
        <v>1398.6013986013986</v>
      </c>
      <c r="J2" s="4">
        <v>2531</v>
      </c>
      <c r="K2" s="16">
        <v>45991</v>
      </c>
      <c r="L2" s="4" t="s">
        <v>14</v>
      </c>
      <c r="M2" s="54" t="s">
        <v>225</v>
      </c>
      <c r="N2" s="4">
        <v>2025</v>
      </c>
    </row>
    <row r="3" spans="1:14">
      <c r="A3" s="4">
        <v>2</v>
      </c>
      <c r="B3" s="42" t="s">
        <v>61</v>
      </c>
      <c r="C3" s="42" t="s">
        <v>62</v>
      </c>
      <c r="D3" s="4" t="s">
        <v>19</v>
      </c>
      <c r="E3" s="4" t="s">
        <v>87</v>
      </c>
      <c r="F3" s="4"/>
      <c r="G3" s="4" t="s">
        <v>95</v>
      </c>
      <c r="H3" s="4" t="s">
        <v>92</v>
      </c>
      <c r="I3" s="7">
        <v>2080</v>
      </c>
      <c r="J3" s="4" t="s">
        <v>14</v>
      </c>
      <c r="K3" s="4" t="s">
        <v>14</v>
      </c>
      <c r="L3" s="4" t="s">
        <v>14</v>
      </c>
      <c r="M3" s="54" t="s">
        <v>225</v>
      </c>
      <c r="N3" s="4">
        <v>2025</v>
      </c>
    </row>
    <row r="4" spans="1:14">
      <c r="A4" s="4">
        <v>3</v>
      </c>
      <c r="B4" s="4" t="s">
        <v>17</v>
      </c>
      <c r="C4" s="42" t="s">
        <v>23</v>
      </c>
      <c r="D4" s="4" t="s">
        <v>19</v>
      </c>
      <c r="E4" s="4" t="s">
        <v>87</v>
      </c>
      <c r="F4" s="4"/>
      <c r="G4" s="4" t="s">
        <v>95</v>
      </c>
      <c r="H4" s="4" t="s">
        <v>92</v>
      </c>
      <c r="I4" s="7">
        <v>1620</v>
      </c>
      <c r="J4" s="4" t="s">
        <v>14</v>
      </c>
      <c r="K4" s="4" t="s">
        <v>14</v>
      </c>
      <c r="L4" s="4" t="s">
        <v>14</v>
      </c>
      <c r="M4" s="54" t="s">
        <v>225</v>
      </c>
      <c r="N4" s="4">
        <v>2025</v>
      </c>
    </row>
    <row r="5" spans="1:14">
      <c r="A5" s="4"/>
      <c r="B5" s="54" t="s">
        <v>54</v>
      </c>
      <c r="C5" s="4" t="s">
        <v>55</v>
      </c>
      <c r="D5" s="4" t="s">
        <v>19</v>
      </c>
      <c r="E5" s="4" t="s">
        <v>87</v>
      </c>
      <c r="F5" s="4"/>
      <c r="G5" s="53" t="s">
        <v>91</v>
      </c>
      <c r="H5" s="54" t="s">
        <v>299</v>
      </c>
      <c r="I5" s="7">
        <v>15603.146818181818</v>
      </c>
      <c r="J5" s="4" t="s">
        <v>14</v>
      </c>
      <c r="K5" s="4" t="s">
        <v>14</v>
      </c>
      <c r="L5" s="4" t="s">
        <v>14</v>
      </c>
      <c r="M5" s="54" t="s">
        <v>225</v>
      </c>
      <c r="N5" s="4">
        <v>2025</v>
      </c>
    </row>
    <row r="6" spans="1:14">
      <c r="A6" s="4"/>
      <c r="B6" s="54" t="s">
        <v>42</v>
      </c>
      <c r="C6" s="54" t="s">
        <v>43</v>
      </c>
      <c r="D6" s="4" t="s">
        <v>19</v>
      </c>
      <c r="E6" s="4" t="s">
        <v>87</v>
      </c>
      <c r="F6" s="4"/>
      <c r="G6" s="53" t="s">
        <v>91</v>
      </c>
      <c r="H6" s="54" t="s">
        <v>299</v>
      </c>
      <c r="I6" s="7">
        <v>6455.083391608392</v>
      </c>
      <c r="J6" s="4" t="s">
        <v>14</v>
      </c>
      <c r="K6" s="4" t="s">
        <v>14</v>
      </c>
      <c r="L6" s="4" t="s">
        <v>14</v>
      </c>
      <c r="M6" s="54" t="s">
        <v>225</v>
      </c>
      <c r="N6" s="4">
        <v>2025</v>
      </c>
    </row>
    <row r="7" spans="1:14">
      <c r="A7" s="4"/>
      <c r="B7" s="54" t="s">
        <v>35</v>
      </c>
      <c r="C7" s="4" t="s">
        <v>36</v>
      </c>
      <c r="D7" s="4" t="s">
        <v>19</v>
      </c>
      <c r="E7" s="4" t="s">
        <v>87</v>
      </c>
      <c r="F7" s="4"/>
      <c r="G7" s="53" t="s">
        <v>91</v>
      </c>
      <c r="H7" s="54" t="s">
        <v>299</v>
      </c>
      <c r="I7" s="7">
        <v>516.40667132867134</v>
      </c>
      <c r="J7" s="4" t="s">
        <v>14</v>
      </c>
      <c r="K7" s="4" t="s">
        <v>14</v>
      </c>
      <c r="L7" s="4" t="s">
        <v>14</v>
      </c>
      <c r="M7" s="54" t="s">
        <v>225</v>
      </c>
      <c r="N7" s="4">
        <v>2025</v>
      </c>
    </row>
    <row r="8" spans="1:14">
      <c r="A8" s="4"/>
      <c r="B8" s="54" t="s">
        <v>35</v>
      </c>
      <c r="C8" s="4" t="s">
        <v>37</v>
      </c>
      <c r="D8" s="4" t="s">
        <v>19</v>
      </c>
      <c r="E8" s="4" t="s">
        <v>87</v>
      </c>
      <c r="F8" s="4"/>
      <c r="G8" s="53" t="s">
        <v>91</v>
      </c>
      <c r="H8" s="54" t="s">
        <v>299</v>
      </c>
      <c r="I8" s="7">
        <v>201.72135664335664</v>
      </c>
      <c r="J8" s="4" t="s">
        <v>14</v>
      </c>
      <c r="K8" s="4" t="s">
        <v>14</v>
      </c>
      <c r="L8" s="4" t="s">
        <v>14</v>
      </c>
      <c r="M8" s="54" t="s">
        <v>225</v>
      </c>
      <c r="N8" s="4">
        <v>2025</v>
      </c>
    </row>
    <row r="9" spans="1:14">
      <c r="A9" s="4"/>
      <c r="B9" s="54" t="s">
        <v>42</v>
      </c>
      <c r="C9" s="4" t="s">
        <v>44</v>
      </c>
      <c r="D9" s="4" t="s">
        <v>19</v>
      </c>
      <c r="E9" s="4" t="s">
        <v>87</v>
      </c>
      <c r="F9" s="4"/>
      <c r="G9" s="53" t="s">
        <v>91</v>
      </c>
      <c r="H9" s="54" t="s">
        <v>299</v>
      </c>
      <c r="I9" s="7">
        <v>233.99676923076925</v>
      </c>
      <c r="J9" s="4" t="s">
        <v>14</v>
      </c>
      <c r="K9" s="4" t="s">
        <v>14</v>
      </c>
      <c r="L9" s="4" t="s">
        <v>14</v>
      </c>
      <c r="M9" s="54" t="s">
        <v>225</v>
      </c>
      <c r="N9" s="4">
        <v>2025</v>
      </c>
    </row>
    <row r="10" spans="1:14">
      <c r="A10" s="4"/>
      <c r="B10" s="54" t="s">
        <v>42</v>
      </c>
      <c r="C10" s="4" t="s">
        <v>45</v>
      </c>
      <c r="D10" s="4" t="s">
        <v>19</v>
      </c>
      <c r="E10" s="4" t="s">
        <v>87</v>
      </c>
      <c r="F10" s="4"/>
      <c r="G10" s="53" t="s">
        <v>91</v>
      </c>
      <c r="H10" s="54" t="s">
        <v>299</v>
      </c>
      <c r="I10" s="7">
        <v>6457.2014545454549</v>
      </c>
      <c r="J10" s="4" t="s">
        <v>14</v>
      </c>
      <c r="K10" s="4" t="s">
        <v>14</v>
      </c>
      <c r="L10" s="4" t="s">
        <v>14</v>
      </c>
      <c r="M10" s="54" t="s">
        <v>225</v>
      </c>
      <c r="N10" s="4">
        <v>2025</v>
      </c>
    </row>
    <row r="11" spans="1:14">
      <c r="A11" s="4"/>
      <c r="B11" s="54" t="s">
        <v>33</v>
      </c>
      <c r="C11" s="4" t="s">
        <v>34</v>
      </c>
      <c r="D11" s="4" t="s">
        <v>19</v>
      </c>
      <c r="E11" s="4" t="s">
        <v>87</v>
      </c>
      <c r="F11" s="4"/>
      <c r="G11" s="53" t="s">
        <v>91</v>
      </c>
      <c r="H11" s="54" t="s">
        <v>299</v>
      </c>
      <c r="I11" s="7">
        <v>3716.7832727272726</v>
      </c>
      <c r="J11" s="4" t="s">
        <v>14</v>
      </c>
      <c r="K11" s="4" t="s">
        <v>14</v>
      </c>
      <c r="L11" s="4" t="s">
        <v>14</v>
      </c>
      <c r="M11" s="54" t="s">
        <v>225</v>
      </c>
      <c r="N11" s="4">
        <v>2025</v>
      </c>
    </row>
    <row r="12" spans="1:14">
      <c r="A12" s="4"/>
      <c r="B12" s="54" t="s">
        <v>52</v>
      </c>
      <c r="C12" s="4" t="s">
        <v>53</v>
      </c>
      <c r="D12" s="4" t="s">
        <v>19</v>
      </c>
      <c r="E12" s="4" t="s">
        <v>87</v>
      </c>
      <c r="F12" s="4"/>
      <c r="G12" s="53" t="s">
        <v>91</v>
      </c>
      <c r="H12" s="54" t="s">
        <v>299</v>
      </c>
      <c r="I12" s="7">
        <v>28312.107888111888</v>
      </c>
      <c r="J12" s="4" t="s">
        <v>14</v>
      </c>
      <c r="K12" s="4" t="s">
        <v>14</v>
      </c>
      <c r="L12" s="4" t="s">
        <v>14</v>
      </c>
      <c r="M12" s="54" t="s">
        <v>225</v>
      </c>
      <c r="N12" s="4">
        <v>2025</v>
      </c>
    </row>
    <row r="13" spans="1:14">
      <c r="A13" s="4"/>
      <c r="B13" s="54" t="s">
        <v>29</v>
      </c>
      <c r="C13" s="4" t="s">
        <v>30</v>
      </c>
      <c r="D13" s="4" t="s">
        <v>19</v>
      </c>
      <c r="E13" s="4" t="s">
        <v>87</v>
      </c>
      <c r="F13" s="4"/>
      <c r="G13" s="53" t="s">
        <v>91</v>
      </c>
      <c r="H13" s="54" t="s">
        <v>299</v>
      </c>
      <c r="I13" s="7">
        <v>4607.7192307692312</v>
      </c>
      <c r="J13" s="4" t="s">
        <v>14</v>
      </c>
      <c r="K13" s="4" t="s">
        <v>14</v>
      </c>
      <c r="L13" s="4" t="s">
        <v>14</v>
      </c>
      <c r="M13" s="54" t="s">
        <v>225</v>
      </c>
      <c r="N13" s="4">
        <v>2025</v>
      </c>
    </row>
    <row r="14" spans="1:14">
      <c r="A14" s="4"/>
      <c r="B14" s="54" t="s">
        <v>42</v>
      </c>
      <c r="C14" s="4" t="s">
        <v>48</v>
      </c>
      <c r="D14" s="4" t="s">
        <v>19</v>
      </c>
      <c r="E14" s="4" t="s">
        <v>87</v>
      </c>
      <c r="F14" s="4"/>
      <c r="G14" s="53" t="s">
        <v>91</v>
      </c>
      <c r="H14" s="54" t="s">
        <v>299</v>
      </c>
      <c r="I14" s="7">
        <v>435.7181258741258</v>
      </c>
      <c r="J14" s="4" t="s">
        <v>14</v>
      </c>
      <c r="K14" s="4" t="s">
        <v>14</v>
      </c>
      <c r="L14" s="4" t="s">
        <v>14</v>
      </c>
      <c r="M14" s="54" t="s">
        <v>225</v>
      </c>
      <c r="N14" s="4">
        <v>2025</v>
      </c>
    </row>
    <row r="15" spans="1:14">
      <c r="A15" s="4"/>
      <c r="B15" s="54" t="s">
        <v>42</v>
      </c>
      <c r="C15" s="4" t="s">
        <v>50</v>
      </c>
      <c r="D15" s="4" t="s">
        <v>19</v>
      </c>
      <c r="E15" s="4" t="s">
        <v>87</v>
      </c>
      <c r="F15" s="4"/>
      <c r="G15" s="53" t="s">
        <v>91</v>
      </c>
      <c r="H15" s="54" t="s">
        <v>299</v>
      </c>
      <c r="I15" s="7">
        <v>40327.494811188808</v>
      </c>
      <c r="J15" s="4" t="s">
        <v>14</v>
      </c>
      <c r="K15" s="4" t="s">
        <v>14</v>
      </c>
      <c r="L15" s="4" t="s">
        <v>14</v>
      </c>
      <c r="M15" s="54" t="s">
        <v>225</v>
      </c>
      <c r="N15" s="4">
        <v>2025</v>
      </c>
    </row>
    <row r="16" spans="1:14">
      <c r="A16" s="4"/>
      <c r="B16" s="54" t="s">
        <v>17</v>
      </c>
      <c r="C16" s="4" t="s">
        <v>25</v>
      </c>
      <c r="D16" s="4" t="s">
        <v>19</v>
      </c>
      <c r="E16" s="4" t="s">
        <v>87</v>
      </c>
      <c r="F16" s="4"/>
      <c r="G16" s="53" t="s">
        <v>91</v>
      </c>
      <c r="H16" s="54" t="s">
        <v>299</v>
      </c>
      <c r="I16" s="7">
        <v>8811.9957482517475</v>
      </c>
      <c r="J16" s="4" t="s">
        <v>14</v>
      </c>
      <c r="K16" s="4" t="s">
        <v>14</v>
      </c>
      <c r="L16" s="4" t="s">
        <v>14</v>
      </c>
      <c r="M16" s="54" t="s">
        <v>225</v>
      </c>
      <c r="N16" s="4">
        <v>2025</v>
      </c>
    </row>
    <row r="17" spans="1:14">
      <c r="A17" s="4"/>
      <c r="B17" s="54" t="s">
        <v>17</v>
      </c>
      <c r="C17" s="4" t="s">
        <v>89</v>
      </c>
      <c r="D17" s="4" t="s">
        <v>19</v>
      </c>
      <c r="E17" s="4" t="s">
        <v>87</v>
      </c>
      <c r="F17" s="4"/>
      <c r="G17" s="53" t="s">
        <v>90</v>
      </c>
      <c r="H17" s="54" t="s">
        <v>299</v>
      </c>
      <c r="I17" s="7">
        <v>21887.175804195802</v>
      </c>
      <c r="J17" s="4" t="s">
        <v>14</v>
      </c>
      <c r="K17" s="4" t="s">
        <v>14</v>
      </c>
      <c r="L17" s="4" t="s">
        <v>14</v>
      </c>
      <c r="M17" s="54" t="s">
        <v>225</v>
      </c>
      <c r="N17" s="4">
        <v>2025</v>
      </c>
    </row>
    <row r="18" spans="1:14">
      <c r="A18" s="4"/>
      <c r="B18" s="54" t="s">
        <v>54</v>
      </c>
      <c r="C18" s="4" t="s">
        <v>55</v>
      </c>
      <c r="D18" s="4" t="s">
        <v>19</v>
      </c>
      <c r="E18" s="4" t="s">
        <v>87</v>
      </c>
      <c r="F18" s="4"/>
      <c r="G18" s="53" t="s">
        <v>90</v>
      </c>
      <c r="H18" s="54" t="s">
        <v>299</v>
      </c>
      <c r="I18" s="7">
        <v>306.61646153846152</v>
      </c>
      <c r="J18" s="4" t="s">
        <v>14</v>
      </c>
      <c r="K18" s="4" t="s">
        <v>14</v>
      </c>
      <c r="L18" s="4" t="s">
        <v>14</v>
      </c>
      <c r="M18" s="54" t="s">
        <v>225</v>
      </c>
      <c r="N18" s="4">
        <v>2025</v>
      </c>
    </row>
    <row r="19" spans="1:14">
      <c r="A19" s="4"/>
      <c r="B19" s="54" t="s">
        <v>42</v>
      </c>
      <c r="C19" s="54" t="s">
        <v>43</v>
      </c>
      <c r="D19" s="4" t="s">
        <v>19</v>
      </c>
      <c r="E19" s="4" t="s">
        <v>87</v>
      </c>
      <c r="F19" s="4"/>
      <c r="G19" s="53" t="s">
        <v>90</v>
      </c>
      <c r="H19" s="54" t="s">
        <v>299</v>
      </c>
      <c r="I19" s="7">
        <v>5152.770335664336</v>
      </c>
      <c r="J19" s="4" t="s">
        <v>14</v>
      </c>
      <c r="K19" s="4" t="s">
        <v>14</v>
      </c>
      <c r="L19" s="4" t="s">
        <v>14</v>
      </c>
      <c r="M19" s="54" t="s">
        <v>225</v>
      </c>
      <c r="N19" s="4">
        <v>2025</v>
      </c>
    </row>
    <row r="20" spans="1:14">
      <c r="A20" s="4"/>
      <c r="B20" s="54" t="s">
        <v>35</v>
      </c>
      <c r="C20" s="4" t="s">
        <v>36</v>
      </c>
      <c r="D20" s="4" t="s">
        <v>19</v>
      </c>
      <c r="E20" s="4" t="s">
        <v>87</v>
      </c>
      <c r="F20" s="4"/>
      <c r="G20" s="53" t="s">
        <v>90</v>
      </c>
      <c r="H20" s="54" t="s">
        <v>299</v>
      </c>
      <c r="I20" s="7">
        <v>1642.9531958041957</v>
      </c>
      <c r="J20" s="4" t="s">
        <v>14</v>
      </c>
      <c r="K20" s="4" t="s">
        <v>14</v>
      </c>
      <c r="L20" s="4" t="s">
        <v>14</v>
      </c>
      <c r="M20" s="54" t="s">
        <v>225</v>
      </c>
      <c r="N20" s="4">
        <v>2025</v>
      </c>
    </row>
    <row r="21" spans="1:14">
      <c r="A21" s="4"/>
      <c r="B21" s="54" t="s">
        <v>35</v>
      </c>
      <c r="C21" s="4" t="s">
        <v>37</v>
      </c>
      <c r="D21" s="4" t="s">
        <v>19</v>
      </c>
      <c r="E21" s="4" t="s">
        <v>87</v>
      </c>
      <c r="F21" s="4"/>
      <c r="G21" s="53" t="s">
        <v>90</v>
      </c>
      <c r="H21" s="54" t="s">
        <v>299</v>
      </c>
      <c r="I21" s="7">
        <v>6013.9859790209794</v>
      </c>
      <c r="J21" s="4" t="s">
        <v>14</v>
      </c>
      <c r="K21" s="4" t="s">
        <v>14</v>
      </c>
      <c r="L21" s="4" t="s">
        <v>14</v>
      </c>
      <c r="M21" s="54" t="s">
        <v>225</v>
      </c>
      <c r="N21" s="4">
        <v>2025</v>
      </c>
    </row>
    <row r="22" spans="1:14">
      <c r="A22" s="4"/>
      <c r="B22" s="54" t="s">
        <v>42</v>
      </c>
      <c r="C22" s="4" t="s">
        <v>44</v>
      </c>
      <c r="D22" s="4" t="s">
        <v>19</v>
      </c>
      <c r="E22" s="4" t="s">
        <v>87</v>
      </c>
      <c r="F22" s="4"/>
      <c r="G22" s="53" t="s">
        <v>90</v>
      </c>
      <c r="H22" s="54" t="s">
        <v>299</v>
      </c>
      <c r="I22" s="7">
        <v>1124.2603496503498</v>
      </c>
      <c r="J22" s="4" t="s">
        <v>14</v>
      </c>
      <c r="K22" s="4" t="s">
        <v>14</v>
      </c>
      <c r="L22" s="4" t="s">
        <v>14</v>
      </c>
      <c r="M22" s="54" t="s">
        <v>225</v>
      </c>
      <c r="N22" s="4">
        <v>2025</v>
      </c>
    </row>
    <row r="23" spans="1:14">
      <c r="A23" s="4"/>
      <c r="B23" s="54" t="s">
        <v>42</v>
      </c>
      <c r="C23" s="4" t="s">
        <v>45</v>
      </c>
      <c r="D23" s="4" t="s">
        <v>19</v>
      </c>
      <c r="E23" s="4" t="s">
        <v>87</v>
      </c>
      <c r="F23" s="4"/>
      <c r="G23" s="53" t="s">
        <v>90</v>
      </c>
      <c r="H23" s="54" t="s">
        <v>299</v>
      </c>
      <c r="I23" s="7">
        <v>17266.94448951049</v>
      </c>
      <c r="J23" s="4" t="s">
        <v>14</v>
      </c>
      <c r="K23" s="4" t="s">
        <v>14</v>
      </c>
      <c r="L23" s="4" t="s">
        <v>14</v>
      </c>
      <c r="M23" s="54" t="s">
        <v>225</v>
      </c>
      <c r="N23" s="4">
        <v>2025</v>
      </c>
    </row>
    <row r="24" spans="1:14">
      <c r="A24" s="4"/>
      <c r="B24" s="54" t="s">
        <v>33</v>
      </c>
      <c r="C24" s="4" t="s">
        <v>34</v>
      </c>
      <c r="D24" s="4" t="s">
        <v>19</v>
      </c>
      <c r="E24" s="4" t="s">
        <v>87</v>
      </c>
      <c r="F24" s="4"/>
      <c r="G24" s="53" t="s">
        <v>90</v>
      </c>
      <c r="H24" s="54" t="s">
        <v>299</v>
      </c>
      <c r="I24" s="7">
        <v>212.0763846153846</v>
      </c>
      <c r="J24" s="4" t="s">
        <v>14</v>
      </c>
      <c r="K24" s="4" t="s">
        <v>14</v>
      </c>
      <c r="L24" s="4" t="s">
        <v>14</v>
      </c>
      <c r="M24" s="54" t="s">
        <v>225</v>
      </c>
      <c r="N24" s="4">
        <v>2025</v>
      </c>
    </row>
    <row r="25" spans="1:14">
      <c r="A25" s="4"/>
      <c r="B25" s="54" t="s">
        <v>52</v>
      </c>
      <c r="C25" s="4" t="s">
        <v>53</v>
      </c>
      <c r="D25" s="4" t="s">
        <v>19</v>
      </c>
      <c r="E25" s="4" t="s">
        <v>87</v>
      </c>
      <c r="F25" s="4"/>
      <c r="G25" s="53" t="s">
        <v>90</v>
      </c>
      <c r="H25" s="54" t="s">
        <v>299</v>
      </c>
      <c r="I25" s="7">
        <v>92010.146216783221</v>
      </c>
      <c r="J25" s="4" t="s">
        <v>14</v>
      </c>
      <c r="K25" s="4" t="s">
        <v>14</v>
      </c>
      <c r="L25" s="4" t="s">
        <v>14</v>
      </c>
      <c r="M25" s="54" t="s">
        <v>225</v>
      </c>
      <c r="N25" s="4">
        <v>2025</v>
      </c>
    </row>
    <row r="26" spans="1:14">
      <c r="A26" s="4"/>
      <c r="B26" s="54" t="s">
        <v>17</v>
      </c>
      <c r="C26" s="4" t="s">
        <v>22</v>
      </c>
      <c r="D26" s="4" t="s">
        <v>19</v>
      </c>
      <c r="E26" s="4" t="s">
        <v>87</v>
      </c>
      <c r="F26" s="4"/>
      <c r="G26" s="53" t="s">
        <v>90</v>
      </c>
      <c r="H26" s="54" t="s">
        <v>299</v>
      </c>
      <c r="I26" s="7">
        <v>45235.309244755241</v>
      </c>
      <c r="J26" s="4" t="s">
        <v>14</v>
      </c>
      <c r="K26" s="4" t="s">
        <v>14</v>
      </c>
      <c r="L26" s="4" t="s">
        <v>14</v>
      </c>
      <c r="M26" s="54" t="s">
        <v>225</v>
      </c>
      <c r="N26" s="4">
        <v>2025</v>
      </c>
    </row>
    <row r="27" spans="1:14">
      <c r="A27" s="4"/>
      <c r="B27" s="54" t="s">
        <v>29</v>
      </c>
      <c r="C27" s="4" t="s">
        <v>30</v>
      </c>
      <c r="D27" s="4" t="s">
        <v>19</v>
      </c>
      <c r="E27" s="4" t="s">
        <v>87</v>
      </c>
      <c r="F27" s="4"/>
      <c r="G27" s="53" t="s">
        <v>90</v>
      </c>
      <c r="H27" s="54" t="s">
        <v>299</v>
      </c>
      <c r="I27" s="7">
        <v>562.13017482517489</v>
      </c>
      <c r="J27" s="4" t="s">
        <v>14</v>
      </c>
      <c r="K27" s="4" t="s">
        <v>14</v>
      </c>
      <c r="L27" s="4" t="s">
        <v>14</v>
      </c>
      <c r="M27" s="54" t="s">
        <v>225</v>
      </c>
      <c r="N27" s="4">
        <v>2025</v>
      </c>
    </row>
    <row r="28" spans="1:14">
      <c r="A28" s="4"/>
      <c r="B28" s="54" t="s">
        <v>42</v>
      </c>
      <c r="C28" s="4" t="s">
        <v>47</v>
      </c>
      <c r="D28" s="4" t="s">
        <v>19</v>
      </c>
      <c r="E28" s="4" t="s">
        <v>87</v>
      </c>
      <c r="F28" s="4"/>
      <c r="G28" s="53" t="s">
        <v>90</v>
      </c>
      <c r="H28" s="54" t="s">
        <v>299</v>
      </c>
      <c r="I28" s="7">
        <v>1380.849916083916</v>
      </c>
      <c r="J28" s="4" t="s">
        <v>14</v>
      </c>
      <c r="K28" s="4" t="s">
        <v>14</v>
      </c>
      <c r="L28" s="4" t="s">
        <v>14</v>
      </c>
      <c r="M28" s="54" t="s">
        <v>225</v>
      </c>
      <c r="N28" s="4">
        <v>2025</v>
      </c>
    </row>
    <row r="29" spans="1:14">
      <c r="A29" s="4"/>
      <c r="B29" s="54" t="s">
        <v>42</v>
      </c>
      <c r="C29" s="4" t="s">
        <v>48</v>
      </c>
      <c r="D29" s="4" t="s">
        <v>19</v>
      </c>
      <c r="E29" s="4" t="s">
        <v>87</v>
      </c>
      <c r="F29" s="4"/>
      <c r="G29" s="53" t="s">
        <v>90</v>
      </c>
      <c r="H29" s="54" t="s">
        <v>299</v>
      </c>
      <c r="I29" s="7">
        <v>1124.2603496503498</v>
      </c>
      <c r="J29" s="4" t="s">
        <v>14</v>
      </c>
      <c r="K29" s="4" t="s">
        <v>14</v>
      </c>
      <c r="L29" s="4" t="s">
        <v>14</v>
      </c>
      <c r="M29" s="54" t="s">
        <v>225</v>
      </c>
      <c r="N29" s="4">
        <v>2025</v>
      </c>
    </row>
    <row r="30" spans="1:14">
      <c r="A30" s="4"/>
      <c r="B30" s="54" t="s">
        <v>42</v>
      </c>
      <c r="C30" s="4" t="s">
        <v>50</v>
      </c>
      <c r="D30" s="4" t="s">
        <v>19</v>
      </c>
      <c r="E30" s="4" t="s">
        <v>87</v>
      </c>
      <c r="F30" s="4"/>
      <c r="G30" s="53" t="s">
        <v>90</v>
      </c>
      <c r="H30" s="54" t="s">
        <v>299</v>
      </c>
      <c r="I30" s="7">
        <v>132973.10907692308</v>
      </c>
      <c r="J30" s="4" t="s">
        <v>14</v>
      </c>
      <c r="K30" s="4" t="s">
        <v>14</v>
      </c>
      <c r="L30" s="4" t="s">
        <v>14</v>
      </c>
      <c r="M30" s="54" t="s">
        <v>225</v>
      </c>
      <c r="N30" s="4">
        <v>2025</v>
      </c>
    </row>
    <row r="31" spans="1:14">
      <c r="A31" s="4"/>
      <c r="B31" s="54" t="s">
        <v>42</v>
      </c>
      <c r="C31" s="54" t="s">
        <v>49</v>
      </c>
      <c r="D31" s="4" t="s">
        <v>19</v>
      </c>
      <c r="E31" s="4" t="s">
        <v>87</v>
      </c>
      <c r="F31" s="4"/>
      <c r="G31" s="53" t="s">
        <v>90</v>
      </c>
      <c r="H31" s="54" t="s">
        <v>299</v>
      </c>
      <c r="I31" s="7">
        <v>1686.3905174825175</v>
      </c>
      <c r="J31" s="4" t="s">
        <v>14</v>
      </c>
      <c r="K31" s="4" t="s">
        <v>14</v>
      </c>
      <c r="L31" s="4" t="s">
        <v>14</v>
      </c>
      <c r="M31" s="54" t="s">
        <v>225</v>
      </c>
      <c r="N31" s="4">
        <v>2025</v>
      </c>
    </row>
    <row r="32" spans="1:14">
      <c r="A32" s="4"/>
      <c r="B32" s="54" t="s">
        <v>17</v>
      </c>
      <c r="C32" s="4" t="s">
        <v>319</v>
      </c>
      <c r="D32" s="4" t="s">
        <v>19</v>
      </c>
      <c r="E32" s="4" t="s">
        <v>87</v>
      </c>
      <c r="F32" s="4"/>
      <c r="G32" s="53" t="s">
        <v>90</v>
      </c>
      <c r="H32" s="54" t="s">
        <v>299</v>
      </c>
      <c r="I32" s="7">
        <v>4029.0478741258739</v>
      </c>
      <c r="J32" s="4" t="s">
        <v>14</v>
      </c>
      <c r="K32" s="4" t="s">
        <v>14</v>
      </c>
      <c r="L32" s="4" t="s">
        <v>14</v>
      </c>
      <c r="M32" s="54" t="s">
        <v>225</v>
      </c>
      <c r="N32" s="4">
        <v>2025</v>
      </c>
    </row>
    <row r="33" spans="1:14">
      <c r="A33" s="4"/>
      <c r="B33" s="54" t="s">
        <v>17</v>
      </c>
      <c r="C33" s="4" t="s">
        <v>24</v>
      </c>
      <c r="D33" s="4" t="s">
        <v>19</v>
      </c>
      <c r="E33" s="4" t="s">
        <v>87</v>
      </c>
      <c r="F33" s="4"/>
      <c r="G33" s="53" t="s">
        <v>90</v>
      </c>
      <c r="H33" s="54" t="s">
        <v>299</v>
      </c>
      <c r="I33" s="7">
        <v>5613.3673846153843</v>
      </c>
      <c r="J33" s="4" t="s">
        <v>14</v>
      </c>
      <c r="K33" s="4" t="s">
        <v>14</v>
      </c>
      <c r="L33" s="4" t="s">
        <v>14</v>
      </c>
      <c r="M33" s="54" t="s">
        <v>225</v>
      </c>
      <c r="N33" s="4">
        <v>2025</v>
      </c>
    </row>
    <row r="34" spans="1:14">
      <c r="A34" s="4"/>
      <c r="B34" s="54" t="s">
        <v>17</v>
      </c>
      <c r="C34" s="4" t="s">
        <v>25</v>
      </c>
      <c r="D34" s="4" t="s">
        <v>19</v>
      </c>
      <c r="E34" s="4" t="s">
        <v>87</v>
      </c>
      <c r="F34" s="4"/>
      <c r="G34" s="53" t="s">
        <v>90</v>
      </c>
      <c r="H34" s="54" t="s">
        <v>299</v>
      </c>
      <c r="I34" s="7">
        <v>98835.233755244757</v>
      </c>
      <c r="J34" s="4" t="s">
        <v>14</v>
      </c>
      <c r="K34" s="4" t="s">
        <v>14</v>
      </c>
      <c r="L34" s="4" t="s">
        <v>14</v>
      </c>
      <c r="M34" s="54" t="s">
        <v>225</v>
      </c>
      <c r="N34" s="4">
        <v>2025</v>
      </c>
    </row>
    <row r="35" spans="1:14">
      <c r="A35" s="4"/>
      <c r="B35" s="54" t="s">
        <v>17</v>
      </c>
      <c r="C35" s="4" t="s">
        <v>26</v>
      </c>
      <c r="D35" s="4" t="s">
        <v>19</v>
      </c>
      <c r="E35" s="4" t="s">
        <v>87</v>
      </c>
      <c r="F35" s="4"/>
      <c r="G35" s="53" t="s">
        <v>90</v>
      </c>
      <c r="H35" s="54" t="s">
        <v>299</v>
      </c>
      <c r="I35" s="7">
        <v>1387.4394825174825</v>
      </c>
      <c r="J35" s="4" t="s">
        <v>14</v>
      </c>
      <c r="K35" s="4" t="s">
        <v>14</v>
      </c>
      <c r="L35" s="4" t="s">
        <v>14</v>
      </c>
      <c r="M35" s="54" t="s">
        <v>225</v>
      </c>
      <c r="N35" s="4">
        <v>2025</v>
      </c>
    </row>
    <row r="36" spans="1:14">
      <c r="A36" s="4"/>
      <c r="B36" s="54" t="s">
        <v>17</v>
      </c>
      <c r="C36" s="4" t="s">
        <v>89</v>
      </c>
      <c r="D36" s="4" t="s">
        <v>19</v>
      </c>
      <c r="E36" s="4" t="s">
        <v>87</v>
      </c>
      <c r="F36" s="4"/>
      <c r="G36" s="53" t="s">
        <v>88</v>
      </c>
      <c r="H36" s="54" t="s">
        <v>299</v>
      </c>
      <c r="I36" s="7">
        <v>476.06239860139857</v>
      </c>
      <c r="J36" s="4" t="s">
        <v>14</v>
      </c>
      <c r="K36" s="4" t="s">
        <v>14</v>
      </c>
      <c r="L36" s="4" t="s">
        <v>14</v>
      </c>
      <c r="M36" s="54" t="s">
        <v>225</v>
      </c>
      <c r="N36" s="4">
        <v>2025</v>
      </c>
    </row>
    <row r="37" spans="1:14">
      <c r="A37" s="4"/>
      <c r="B37" s="54" t="s">
        <v>54</v>
      </c>
      <c r="C37" s="4" t="s">
        <v>55</v>
      </c>
      <c r="D37" s="4" t="s">
        <v>19</v>
      </c>
      <c r="E37" s="4" t="s">
        <v>87</v>
      </c>
      <c r="F37" s="4"/>
      <c r="G37" s="53" t="s">
        <v>88</v>
      </c>
      <c r="H37" s="54" t="s">
        <v>299</v>
      </c>
      <c r="I37" s="7">
        <v>12988.714286713286</v>
      </c>
      <c r="J37" s="4" t="s">
        <v>14</v>
      </c>
      <c r="K37" s="4" t="s">
        <v>14</v>
      </c>
      <c r="L37" s="4" t="s">
        <v>14</v>
      </c>
      <c r="M37" s="54" t="s">
        <v>225</v>
      </c>
      <c r="N37" s="4">
        <v>2025</v>
      </c>
    </row>
    <row r="38" spans="1:14">
      <c r="A38" s="4"/>
      <c r="B38" s="54" t="s">
        <v>42</v>
      </c>
      <c r="C38" s="4" t="s">
        <v>228</v>
      </c>
      <c r="D38" s="4" t="s">
        <v>19</v>
      </c>
      <c r="E38" s="4" t="s">
        <v>87</v>
      </c>
      <c r="F38" s="4"/>
      <c r="G38" s="53" t="s">
        <v>88</v>
      </c>
      <c r="H38" s="54" t="s">
        <v>299</v>
      </c>
      <c r="I38" s="7">
        <v>4745.1209720279721</v>
      </c>
      <c r="J38" s="4" t="s">
        <v>14</v>
      </c>
      <c r="K38" s="4" t="s">
        <v>14</v>
      </c>
      <c r="L38" s="4" t="s">
        <v>14</v>
      </c>
      <c r="M38" s="54" t="s">
        <v>225</v>
      </c>
      <c r="N38" s="4">
        <v>2025</v>
      </c>
    </row>
    <row r="39" spans="1:14">
      <c r="A39" s="4"/>
      <c r="B39" s="54" t="s">
        <v>35</v>
      </c>
      <c r="C39" s="4" t="s">
        <v>36</v>
      </c>
      <c r="D39" s="4" t="s">
        <v>19</v>
      </c>
      <c r="E39" s="4" t="s">
        <v>87</v>
      </c>
      <c r="F39" s="4"/>
      <c r="G39" s="53" t="s">
        <v>88</v>
      </c>
      <c r="H39" s="54" t="s">
        <v>299</v>
      </c>
      <c r="I39" s="7">
        <v>4209.2522307692307</v>
      </c>
      <c r="J39" s="4" t="s">
        <v>14</v>
      </c>
      <c r="K39" s="4" t="s">
        <v>14</v>
      </c>
      <c r="L39" s="4" t="s">
        <v>14</v>
      </c>
      <c r="M39" s="54" t="s">
        <v>225</v>
      </c>
      <c r="N39" s="4">
        <v>2025</v>
      </c>
    </row>
    <row r="40" spans="1:14">
      <c r="A40" s="4"/>
      <c r="B40" s="54" t="s">
        <v>35</v>
      </c>
      <c r="C40" s="4" t="s">
        <v>37</v>
      </c>
      <c r="D40" s="4" t="s">
        <v>19</v>
      </c>
      <c r="E40" s="4" t="s">
        <v>87</v>
      </c>
      <c r="F40" s="4"/>
      <c r="G40" s="53" t="s">
        <v>88</v>
      </c>
      <c r="H40" s="54" t="s">
        <v>299</v>
      </c>
      <c r="I40" s="7">
        <v>25318.558209790212</v>
      </c>
      <c r="J40" s="4" t="s">
        <v>14</v>
      </c>
      <c r="K40" s="4" t="s">
        <v>14</v>
      </c>
      <c r="L40" s="4" t="s">
        <v>14</v>
      </c>
      <c r="M40" s="54" t="s">
        <v>225</v>
      </c>
      <c r="N40" s="4">
        <v>2025</v>
      </c>
    </row>
    <row r="41" spans="1:14">
      <c r="A41" s="4"/>
      <c r="B41" s="54" t="s">
        <v>42</v>
      </c>
      <c r="C41" s="4" t="s">
        <v>44</v>
      </c>
      <c r="D41" s="4" t="s">
        <v>19</v>
      </c>
      <c r="E41" s="4" t="s">
        <v>87</v>
      </c>
      <c r="F41" s="4"/>
      <c r="G41" s="53" t="s">
        <v>88</v>
      </c>
      <c r="H41" s="54" t="s">
        <v>299</v>
      </c>
      <c r="I41" s="7">
        <v>32504.679825174822</v>
      </c>
      <c r="J41" s="4" t="s">
        <v>14</v>
      </c>
      <c r="K41" s="4" t="s">
        <v>14</v>
      </c>
      <c r="L41" s="4" t="s">
        <v>14</v>
      </c>
      <c r="M41" s="54" t="s">
        <v>225</v>
      </c>
      <c r="N41" s="4">
        <v>2025</v>
      </c>
    </row>
    <row r="42" spans="1:14">
      <c r="A42" s="4"/>
      <c r="B42" s="54" t="s">
        <v>42</v>
      </c>
      <c r="C42" s="4" t="s">
        <v>45</v>
      </c>
      <c r="D42" s="4" t="s">
        <v>19</v>
      </c>
      <c r="E42" s="4" t="s">
        <v>87</v>
      </c>
      <c r="F42" s="4"/>
      <c r="G42" s="53" t="s">
        <v>88</v>
      </c>
      <c r="H42" s="54" t="s">
        <v>299</v>
      </c>
      <c r="I42" s="7">
        <v>64413.304538461533</v>
      </c>
      <c r="J42" s="4" t="s">
        <v>14</v>
      </c>
      <c r="K42" s="4" t="s">
        <v>14</v>
      </c>
      <c r="L42" s="4" t="s">
        <v>14</v>
      </c>
      <c r="M42" s="54" t="s">
        <v>225</v>
      </c>
      <c r="N42" s="4">
        <v>2025</v>
      </c>
    </row>
    <row r="43" spans="1:14">
      <c r="A43" s="4"/>
      <c r="B43" s="54" t="s">
        <v>33</v>
      </c>
      <c r="C43" s="4" t="s">
        <v>34</v>
      </c>
      <c r="D43" s="4" t="s">
        <v>19</v>
      </c>
      <c r="E43" s="4" t="s">
        <v>87</v>
      </c>
      <c r="F43" s="4"/>
      <c r="G43" s="53" t="s">
        <v>88</v>
      </c>
      <c r="H43" s="54" t="s">
        <v>299</v>
      </c>
      <c r="I43" s="7">
        <v>22134.696041958043</v>
      </c>
      <c r="J43" s="4" t="s">
        <v>14</v>
      </c>
      <c r="K43" s="4" t="s">
        <v>14</v>
      </c>
      <c r="L43" s="4" t="s">
        <v>14</v>
      </c>
      <c r="M43" s="54" t="s">
        <v>225</v>
      </c>
      <c r="N43" s="4">
        <v>2025</v>
      </c>
    </row>
    <row r="44" spans="1:14">
      <c r="A44" s="4"/>
      <c r="B44" s="54" t="s">
        <v>61</v>
      </c>
      <c r="C44" s="4" t="s">
        <v>53</v>
      </c>
      <c r="D44" s="4" t="s">
        <v>19</v>
      </c>
      <c r="E44" s="4" t="s">
        <v>87</v>
      </c>
      <c r="F44" s="4"/>
      <c r="G44" s="53" t="s">
        <v>88</v>
      </c>
      <c r="H44" s="54" t="s">
        <v>299</v>
      </c>
      <c r="I44" s="7">
        <v>191925.00557342661</v>
      </c>
      <c r="J44" s="4" t="s">
        <v>14</v>
      </c>
      <c r="K44" s="4" t="s">
        <v>14</v>
      </c>
      <c r="L44" s="4" t="s">
        <v>14</v>
      </c>
      <c r="M44" s="54" t="s">
        <v>225</v>
      </c>
      <c r="N44" s="4">
        <v>2025</v>
      </c>
    </row>
    <row r="45" spans="1:14">
      <c r="A45" s="4"/>
      <c r="B45" s="54" t="s">
        <v>17</v>
      </c>
      <c r="C45" s="4" t="s">
        <v>22</v>
      </c>
      <c r="D45" s="4" t="s">
        <v>19</v>
      </c>
      <c r="E45" s="4" t="s">
        <v>87</v>
      </c>
      <c r="F45" s="4"/>
      <c r="G45" s="53" t="s">
        <v>88</v>
      </c>
      <c r="H45" s="54" t="s">
        <v>299</v>
      </c>
      <c r="I45" s="7">
        <v>4105.551307692308</v>
      </c>
      <c r="J45" s="4" t="s">
        <v>14</v>
      </c>
      <c r="K45" s="4" t="s">
        <v>14</v>
      </c>
      <c r="L45" s="4" t="s">
        <v>14</v>
      </c>
      <c r="M45" s="54" t="s">
        <v>225</v>
      </c>
      <c r="N45" s="4">
        <v>2025</v>
      </c>
    </row>
    <row r="46" spans="1:14">
      <c r="A46" s="4"/>
      <c r="B46" s="54" t="s">
        <v>42</v>
      </c>
      <c r="C46" s="4" t="s">
        <v>46</v>
      </c>
      <c r="D46" s="4" t="s">
        <v>19</v>
      </c>
      <c r="E46" s="4" t="s">
        <v>87</v>
      </c>
      <c r="F46" s="4"/>
      <c r="G46" s="53" t="s">
        <v>88</v>
      </c>
      <c r="H46" s="54" t="s">
        <v>299</v>
      </c>
      <c r="I46" s="7">
        <v>2054.8681818181817</v>
      </c>
      <c r="J46" s="4" t="s">
        <v>14</v>
      </c>
      <c r="K46" s="4" t="s">
        <v>14</v>
      </c>
      <c r="L46" s="4" t="s">
        <v>14</v>
      </c>
      <c r="M46" s="54" t="s">
        <v>225</v>
      </c>
      <c r="N46" s="4">
        <v>2025</v>
      </c>
    </row>
    <row r="47" spans="1:14">
      <c r="A47" s="4"/>
      <c r="B47" s="54" t="s">
        <v>29</v>
      </c>
      <c r="C47" s="4" t="s">
        <v>30</v>
      </c>
      <c r="D47" s="4" t="s">
        <v>19</v>
      </c>
      <c r="E47" s="4" t="s">
        <v>87</v>
      </c>
      <c r="F47" s="4"/>
      <c r="G47" s="53" t="s">
        <v>88</v>
      </c>
      <c r="H47" s="54" t="s">
        <v>299</v>
      </c>
      <c r="I47" s="7">
        <v>10439.483503496504</v>
      </c>
      <c r="J47" s="4" t="s">
        <v>14</v>
      </c>
      <c r="K47" s="4" t="s">
        <v>14</v>
      </c>
      <c r="L47" s="4" t="s">
        <v>14</v>
      </c>
      <c r="M47" s="54" t="s">
        <v>225</v>
      </c>
      <c r="N47" s="4">
        <v>2025</v>
      </c>
    </row>
    <row r="48" spans="1:14">
      <c r="A48" s="4"/>
      <c r="B48" s="54" t="s">
        <v>35</v>
      </c>
      <c r="C48" s="4" t="s">
        <v>40</v>
      </c>
      <c r="D48" s="4" t="s">
        <v>19</v>
      </c>
      <c r="E48" s="4" t="s">
        <v>87</v>
      </c>
      <c r="F48" s="4"/>
      <c r="G48" s="53" t="s">
        <v>88</v>
      </c>
      <c r="H48" s="54" t="s">
        <v>299</v>
      </c>
      <c r="I48" s="7">
        <v>282.4098951048951</v>
      </c>
      <c r="J48" s="4" t="s">
        <v>14</v>
      </c>
      <c r="K48" s="4" t="s">
        <v>14</v>
      </c>
      <c r="L48" s="4" t="s">
        <v>14</v>
      </c>
      <c r="M48" s="54" t="s">
        <v>225</v>
      </c>
      <c r="N48" s="4">
        <v>2025</v>
      </c>
    </row>
    <row r="49" spans="1:14">
      <c r="A49" s="4"/>
      <c r="B49" s="54" t="s">
        <v>35</v>
      </c>
      <c r="C49" s="4" t="s">
        <v>41</v>
      </c>
      <c r="D49" s="4" t="s">
        <v>19</v>
      </c>
      <c r="E49" s="4" t="s">
        <v>87</v>
      </c>
      <c r="F49" s="4"/>
      <c r="G49" s="53" t="s">
        <v>88</v>
      </c>
      <c r="H49" s="54" t="s">
        <v>299</v>
      </c>
      <c r="I49" s="7">
        <v>2487.8966713286713</v>
      </c>
      <c r="J49" s="4" t="s">
        <v>14</v>
      </c>
      <c r="K49" s="4" t="s">
        <v>14</v>
      </c>
      <c r="L49" s="4" t="s">
        <v>14</v>
      </c>
      <c r="M49" s="54" t="s">
        <v>225</v>
      </c>
      <c r="N49" s="4">
        <v>2025</v>
      </c>
    </row>
    <row r="50" spans="1:14">
      <c r="A50" s="4"/>
      <c r="B50" s="54" t="s">
        <v>42</v>
      </c>
      <c r="C50" s="4" t="s">
        <v>47</v>
      </c>
      <c r="D50" s="4" t="s">
        <v>19</v>
      </c>
      <c r="E50" s="4" t="s">
        <v>87</v>
      </c>
      <c r="F50" s="4"/>
      <c r="G50" s="53" t="s">
        <v>88</v>
      </c>
      <c r="H50" s="54" t="s">
        <v>299</v>
      </c>
      <c r="I50" s="7">
        <v>15185.045643356643</v>
      </c>
      <c r="J50" s="4" t="s">
        <v>14</v>
      </c>
      <c r="K50" s="4" t="s">
        <v>14</v>
      </c>
      <c r="L50" s="4" t="s">
        <v>14</v>
      </c>
      <c r="M50" s="54" t="s">
        <v>225</v>
      </c>
      <c r="N50" s="4">
        <v>2025</v>
      </c>
    </row>
    <row r="51" spans="1:14">
      <c r="A51" s="4"/>
      <c r="B51" s="54" t="s">
        <v>42</v>
      </c>
      <c r="C51" s="4" t="s">
        <v>48</v>
      </c>
      <c r="D51" s="4" t="s">
        <v>19</v>
      </c>
      <c r="E51" s="4" t="s">
        <v>87</v>
      </c>
      <c r="F51" s="4"/>
      <c r="G51" s="53" t="s">
        <v>88</v>
      </c>
      <c r="H51" s="54" t="s">
        <v>299</v>
      </c>
      <c r="I51" s="7">
        <v>25198.321636363635</v>
      </c>
      <c r="J51" s="4" t="s">
        <v>14</v>
      </c>
      <c r="K51" s="4" t="s">
        <v>14</v>
      </c>
      <c r="L51" s="4" t="s">
        <v>14</v>
      </c>
      <c r="M51" s="54" t="s">
        <v>225</v>
      </c>
      <c r="N51" s="4">
        <v>2025</v>
      </c>
    </row>
    <row r="52" spans="1:14">
      <c r="A52" s="4"/>
      <c r="B52" s="54" t="s">
        <v>42</v>
      </c>
      <c r="C52" s="4" t="s">
        <v>50</v>
      </c>
      <c r="D52" s="4" t="s">
        <v>19</v>
      </c>
      <c r="E52" s="4" t="s">
        <v>87</v>
      </c>
      <c r="F52" s="4"/>
      <c r="G52" s="53" t="s">
        <v>88</v>
      </c>
      <c r="H52" s="54" t="s">
        <v>299</v>
      </c>
      <c r="I52" s="7">
        <v>82693.888944055943</v>
      </c>
      <c r="J52" s="4" t="s">
        <v>14</v>
      </c>
      <c r="K52" s="4" t="s">
        <v>14</v>
      </c>
      <c r="L52" s="4" t="s">
        <v>14</v>
      </c>
      <c r="M52" s="54" t="s">
        <v>225</v>
      </c>
      <c r="N52" s="4">
        <v>2025</v>
      </c>
    </row>
    <row r="53" spans="1:14">
      <c r="A53" s="4"/>
      <c r="B53" s="54" t="s">
        <v>42</v>
      </c>
      <c r="C53" s="4" t="s">
        <v>318</v>
      </c>
      <c r="D53" s="4" t="s">
        <v>19</v>
      </c>
      <c r="E53" s="4" t="s">
        <v>87</v>
      </c>
      <c r="F53" s="4"/>
      <c r="G53" s="53" t="s">
        <v>88</v>
      </c>
      <c r="H53" s="54" t="s">
        <v>299</v>
      </c>
      <c r="I53" s="7">
        <v>605.1640699300699</v>
      </c>
      <c r="J53" s="4" t="s">
        <v>14</v>
      </c>
      <c r="K53" s="4" t="s">
        <v>14</v>
      </c>
      <c r="L53" s="4" t="s">
        <v>14</v>
      </c>
      <c r="M53" s="54" t="s">
        <v>225</v>
      </c>
      <c r="N53" s="4">
        <v>2025</v>
      </c>
    </row>
    <row r="54" spans="1:14">
      <c r="A54" s="4"/>
      <c r="B54" s="54" t="s">
        <v>42</v>
      </c>
      <c r="C54" s="4" t="s">
        <v>51</v>
      </c>
      <c r="D54" s="4" t="s">
        <v>19</v>
      </c>
      <c r="E54" s="4" t="s">
        <v>87</v>
      </c>
      <c r="F54" s="4"/>
      <c r="G54" s="53" t="s">
        <v>88</v>
      </c>
      <c r="H54" s="54" t="s">
        <v>299</v>
      </c>
      <c r="I54" s="7">
        <v>17624.884223776226</v>
      </c>
      <c r="J54" s="4" t="s">
        <v>14</v>
      </c>
      <c r="K54" s="4" t="s">
        <v>14</v>
      </c>
      <c r="L54" s="4" t="s">
        <v>14</v>
      </c>
      <c r="M54" s="54" t="s">
        <v>225</v>
      </c>
      <c r="N54" s="4">
        <v>2025</v>
      </c>
    </row>
    <row r="55" spans="1:14">
      <c r="A55" s="4"/>
      <c r="B55" s="54" t="s">
        <v>17</v>
      </c>
      <c r="C55" s="4" t="s">
        <v>319</v>
      </c>
      <c r="D55" s="4" t="s">
        <v>19</v>
      </c>
      <c r="E55" s="4" t="s">
        <v>87</v>
      </c>
      <c r="F55" s="4"/>
      <c r="G55" s="53" t="s">
        <v>88</v>
      </c>
      <c r="H55" s="54" t="s">
        <v>299</v>
      </c>
      <c r="I55" s="7">
        <v>228.12264335664335</v>
      </c>
      <c r="J55" s="4" t="s">
        <v>14</v>
      </c>
      <c r="K55" s="4" t="s">
        <v>14</v>
      </c>
      <c r="L55" s="4" t="s">
        <v>14</v>
      </c>
      <c r="M55" s="54" t="s">
        <v>225</v>
      </c>
      <c r="N55" s="4">
        <v>2025</v>
      </c>
    </row>
    <row r="56" spans="1:14">
      <c r="A56" s="4"/>
      <c r="B56" s="54" t="s">
        <v>17</v>
      </c>
      <c r="C56" s="4" t="s">
        <v>24</v>
      </c>
      <c r="D56" s="4" t="s">
        <v>19</v>
      </c>
      <c r="E56" s="4" t="s">
        <v>87</v>
      </c>
      <c r="F56" s="4"/>
      <c r="G56" s="53" t="s">
        <v>88</v>
      </c>
      <c r="H56" s="54" t="s">
        <v>299</v>
      </c>
      <c r="I56" s="7">
        <v>4070.4625804195807</v>
      </c>
      <c r="J56" s="4" t="s">
        <v>14</v>
      </c>
      <c r="K56" s="4" t="s">
        <v>14</v>
      </c>
      <c r="L56" s="4" t="s">
        <v>14</v>
      </c>
      <c r="M56" s="54" t="s">
        <v>225</v>
      </c>
      <c r="N56" s="4">
        <v>2025</v>
      </c>
    </row>
    <row r="57" spans="1:14">
      <c r="A57" s="4"/>
      <c r="B57" s="54" t="s">
        <v>17</v>
      </c>
      <c r="C57" s="4" t="s">
        <v>25</v>
      </c>
      <c r="D57" s="4" t="s">
        <v>19</v>
      </c>
      <c r="E57" s="4" t="s">
        <v>87</v>
      </c>
      <c r="F57" s="4"/>
      <c r="G57" s="53" t="s">
        <v>88</v>
      </c>
      <c r="H57" s="54" t="s">
        <v>299</v>
      </c>
      <c r="I57" s="7">
        <v>24568.047174825177</v>
      </c>
      <c r="J57" s="4" t="s">
        <v>14</v>
      </c>
      <c r="K57" s="4" t="s">
        <v>14</v>
      </c>
      <c r="L57" s="4" t="s">
        <v>14</v>
      </c>
      <c r="M57" s="54" t="s">
        <v>225</v>
      </c>
      <c r="N57" s="4">
        <v>2025</v>
      </c>
    </row>
    <row r="58" spans="1:14">
      <c r="A58" s="4"/>
      <c r="B58" s="54" t="s">
        <v>17</v>
      </c>
      <c r="C58" s="4" t="s">
        <v>89</v>
      </c>
      <c r="D58" s="4" t="s">
        <v>19</v>
      </c>
      <c r="E58" s="4" t="s">
        <v>87</v>
      </c>
      <c r="F58" s="4"/>
      <c r="G58" s="53" t="s">
        <v>90</v>
      </c>
      <c r="H58" s="54" t="s">
        <v>321</v>
      </c>
      <c r="I58" s="7">
        <v>23994.954111888113</v>
      </c>
      <c r="J58" s="4" t="s">
        <v>14</v>
      </c>
      <c r="K58" s="4" t="s">
        <v>14</v>
      </c>
      <c r="L58" s="4" t="s">
        <v>14</v>
      </c>
      <c r="M58" s="54" t="s">
        <v>225</v>
      </c>
      <c r="N58" s="4">
        <v>2025</v>
      </c>
    </row>
    <row r="59" spans="1:14">
      <c r="A59" s="4"/>
      <c r="B59" s="54" t="s">
        <v>54</v>
      </c>
      <c r="C59" s="4" t="s">
        <v>55</v>
      </c>
      <c r="D59" s="4" t="s">
        <v>19</v>
      </c>
      <c r="E59" s="4" t="s">
        <v>87</v>
      </c>
      <c r="F59" s="4"/>
      <c r="G59" s="53" t="s">
        <v>90</v>
      </c>
      <c r="H59" s="54" t="s">
        <v>321</v>
      </c>
      <c r="I59" s="7">
        <v>7062.9370629370633</v>
      </c>
      <c r="J59" s="4" t="s">
        <v>14</v>
      </c>
      <c r="K59" s="4" t="s">
        <v>14</v>
      </c>
      <c r="L59" s="4" t="s">
        <v>14</v>
      </c>
      <c r="M59" s="54" t="s">
        <v>225</v>
      </c>
      <c r="N59" s="4">
        <v>2025</v>
      </c>
    </row>
    <row r="60" spans="1:14">
      <c r="A60" s="4"/>
      <c r="B60" s="54" t="s">
        <v>42</v>
      </c>
      <c r="C60" s="4" t="s">
        <v>228</v>
      </c>
      <c r="D60" s="4" t="s">
        <v>19</v>
      </c>
      <c r="E60" s="4" t="s">
        <v>87</v>
      </c>
      <c r="F60" s="4"/>
      <c r="G60" s="53" t="s">
        <v>90</v>
      </c>
      <c r="H60" s="54" t="s">
        <v>321</v>
      </c>
      <c r="I60" s="7">
        <v>1958.041958041958</v>
      </c>
      <c r="J60" s="4" t="s">
        <v>14</v>
      </c>
      <c r="K60" s="4" t="s">
        <v>14</v>
      </c>
      <c r="L60" s="4" t="s">
        <v>14</v>
      </c>
      <c r="M60" s="54" t="s">
        <v>225</v>
      </c>
      <c r="N60" s="4">
        <v>2025</v>
      </c>
    </row>
    <row r="61" spans="1:14">
      <c r="A61" s="4"/>
      <c r="B61" s="54" t="s">
        <v>35</v>
      </c>
      <c r="C61" s="4" t="s">
        <v>36</v>
      </c>
      <c r="D61" s="4" t="s">
        <v>19</v>
      </c>
      <c r="E61" s="4" t="s">
        <v>87</v>
      </c>
      <c r="F61" s="4"/>
      <c r="G61" s="53" t="s">
        <v>90</v>
      </c>
      <c r="H61" s="54" t="s">
        <v>321</v>
      </c>
      <c r="I61" s="7">
        <v>5396.2703916083919</v>
      </c>
      <c r="J61" s="4" t="s">
        <v>14</v>
      </c>
      <c r="K61" s="4" t="s">
        <v>14</v>
      </c>
      <c r="L61" s="4" t="s">
        <v>14</v>
      </c>
      <c r="M61" s="54" t="s">
        <v>225</v>
      </c>
      <c r="N61" s="4">
        <v>2025</v>
      </c>
    </row>
    <row r="62" spans="1:14">
      <c r="A62" s="4"/>
      <c r="B62" s="54" t="s">
        <v>35</v>
      </c>
      <c r="C62" s="4" t="s">
        <v>37</v>
      </c>
      <c r="D62" s="4" t="s">
        <v>19</v>
      </c>
      <c r="E62" s="4" t="s">
        <v>87</v>
      </c>
      <c r="F62" s="4"/>
      <c r="G62" s="53" t="s">
        <v>90</v>
      </c>
      <c r="H62" s="54" t="s">
        <v>321</v>
      </c>
      <c r="I62" s="7">
        <v>6993.0069930069931</v>
      </c>
      <c r="J62" s="4" t="s">
        <v>14</v>
      </c>
      <c r="K62" s="4" t="s">
        <v>14</v>
      </c>
      <c r="L62" s="4" t="s">
        <v>14</v>
      </c>
      <c r="M62" s="54" t="s">
        <v>225</v>
      </c>
      <c r="N62" s="4">
        <v>2025</v>
      </c>
    </row>
    <row r="63" spans="1:14">
      <c r="A63" s="4"/>
      <c r="B63" s="54" t="s">
        <v>42</v>
      </c>
      <c r="C63" s="4" t="s">
        <v>44</v>
      </c>
      <c r="D63" s="4" t="s">
        <v>19</v>
      </c>
      <c r="E63" s="4" t="s">
        <v>87</v>
      </c>
      <c r="F63" s="4"/>
      <c r="G63" s="53" t="s">
        <v>90</v>
      </c>
      <c r="H63" s="54" t="s">
        <v>321</v>
      </c>
      <c r="I63" s="7">
        <v>2237.7622377622379</v>
      </c>
      <c r="J63" s="4" t="s">
        <v>14</v>
      </c>
      <c r="K63" s="4" t="s">
        <v>14</v>
      </c>
      <c r="L63" s="4" t="s">
        <v>14</v>
      </c>
      <c r="M63" s="54" t="s">
        <v>225</v>
      </c>
      <c r="N63" s="4">
        <v>2025</v>
      </c>
    </row>
    <row r="64" spans="1:14">
      <c r="A64" s="4"/>
      <c r="B64" s="54" t="s">
        <v>42</v>
      </c>
      <c r="C64" s="4" t="s">
        <v>45</v>
      </c>
      <c r="D64" s="4" t="s">
        <v>19</v>
      </c>
      <c r="E64" s="4" t="s">
        <v>87</v>
      </c>
      <c r="F64" s="4"/>
      <c r="G64" s="53" t="s">
        <v>90</v>
      </c>
      <c r="H64" s="54" t="s">
        <v>321</v>
      </c>
      <c r="I64" s="7">
        <v>5422.2701048951049</v>
      </c>
      <c r="J64" s="4" t="s">
        <v>14</v>
      </c>
      <c r="K64" s="4" t="s">
        <v>14</v>
      </c>
      <c r="L64" s="4" t="s">
        <v>14</v>
      </c>
      <c r="M64" s="54" t="s">
        <v>225</v>
      </c>
      <c r="N64" s="4">
        <v>2025</v>
      </c>
    </row>
    <row r="65" spans="1:14">
      <c r="A65" s="4"/>
      <c r="B65" s="54" t="s">
        <v>33</v>
      </c>
      <c r="C65" s="4" t="s">
        <v>34</v>
      </c>
      <c r="D65" s="4" t="s">
        <v>19</v>
      </c>
      <c r="E65" s="4" t="s">
        <v>87</v>
      </c>
      <c r="F65" s="4"/>
      <c r="G65" s="53" t="s">
        <v>90</v>
      </c>
      <c r="H65" s="54" t="s">
        <v>321</v>
      </c>
      <c r="I65" s="7">
        <v>8504.5723636363637</v>
      </c>
      <c r="J65" s="4" t="s">
        <v>14</v>
      </c>
      <c r="K65" s="4" t="s">
        <v>14</v>
      </c>
      <c r="L65" s="4" t="s">
        <v>14</v>
      </c>
      <c r="M65" s="54" t="s">
        <v>225</v>
      </c>
      <c r="N65" s="4">
        <v>2025</v>
      </c>
    </row>
    <row r="66" spans="1:14">
      <c r="A66" s="4"/>
      <c r="B66" s="54" t="s">
        <v>61</v>
      </c>
      <c r="C66" s="4" t="s">
        <v>53</v>
      </c>
      <c r="D66" s="4" t="s">
        <v>19</v>
      </c>
      <c r="E66" s="4" t="s">
        <v>87</v>
      </c>
      <c r="F66" s="4"/>
      <c r="G66" s="53" t="s">
        <v>90</v>
      </c>
      <c r="H66" s="54" t="s">
        <v>321</v>
      </c>
      <c r="I66" s="7">
        <v>33360.863433566432</v>
      </c>
      <c r="J66" s="4" t="s">
        <v>14</v>
      </c>
      <c r="K66" s="4" t="s">
        <v>14</v>
      </c>
      <c r="L66" s="4" t="s">
        <v>14</v>
      </c>
      <c r="M66" s="54" t="s">
        <v>225</v>
      </c>
      <c r="N66" s="4">
        <v>2025</v>
      </c>
    </row>
    <row r="67" spans="1:14">
      <c r="A67" s="4"/>
      <c r="B67" s="54" t="s">
        <v>17</v>
      </c>
      <c r="C67" s="4" t="s">
        <v>22</v>
      </c>
      <c r="D67" s="4" t="s">
        <v>19</v>
      </c>
      <c r="E67" s="4" t="s">
        <v>87</v>
      </c>
      <c r="F67" s="4"/>
      <c r="G67" s="53" t="s">
        <v>90</v>
      </c>
      <c r="H67" s="54" t="s">
        <v>321</v>
      </c>
      <c r="I67" s="7">
        <v>12312.860643356642</v>
      </c>
      <c r="J67" s="4" t="s">
        <v>14</v>
      </c>
      <c r="K67" s="4" t="s">
        <v>14</v>
      </c>
      <c r="L67" s="4" t="s">
        <v>14</v>
      </c>
      <c r="M67" s="54" t="s">
        <v>225</v>
      </c>
      <c r="N67" s="4">
        <v>2025</v>
      </c>
    </row>
    <row r="68" spans="1:14">
      <c r="A68" s="4"/>
      <c r="B68" s="54" t="s">
        <v>17</v>
      </c>
      <c r="C68" s="4" t="s">
        <v>93</v>
      </c>
      <c r="D68" s="4" t="s">
        <v>19</v>
      </c>
      <c r="E68" s="4" t="s">
        <v>87</v>
      </c>
      <c r="F68" s="4"/>
      <c r="G68" s="53" t="s">
        <v>90</v>
      </c>
      <c r="H68" s="54" t="s">
        <v>321</v>
      </c>
      <c r="I68" s="7">
        <v>6293.7062937062938</v>
      </c>
      <c r="J68" s="4" t="s">
        <v>14</v>
      </c>
      <c r="K68" s="4" t="s">
        <v>14</v>
      </c>
      <c r="L68" s="4" t="s">
        <v>14</v>
      </c>
      <c r="M68" s="54" t="s">
        <v>225</v>
      </c>
      <c r="N68" s="4">
        <v>2025</v>
      </c>
    </row>
    <row r="69" spans="1:14">
      <c r="A69" s="4"/>
      <c r="B69" s="54" t="s">
        <v>29</v>
      </c>
      <c r="C69" s="4" t="s">
        <v>30</v>
      </c>
      <c r="D69" s="4" t="s">
        <v>19</v>
      </c>
      <c r="E69" s="4" t="s">
        <v>87</v>
      </c>
      <c r="F69" s="4"/>
      <c r="G69" s="53" t="s">
        <v>90</v>
      </c>
      <c r="H69" s="54" t="s">
        <v>321</v>
      </c>
      <c r="I69" s="7">
        <v>2197.4179720279722</v>
      </c>
      <c r="J69" s="4" t="s">
        <v>14</v>
      </c>
      <c r="K69" s="4" t="s">
        <v>14</v>
      </c>
      <c r="L69" s="4" t="s">
        <v>14</v>
      </c>
      <c r="M69" s="54" t="s">
        <v>225</v>
      </c>
      <c r="N69" s="4">
        <v>2025</v>
      </c>
    </row>
    <row r="70" spans="1:14">
      <c r="A70" s="4"/>
      <c r="B70" s="54" t="s">
        <v>35</v>
      </c>
      <c r="C70" s="4" t="s">
        <v>41</v>
      </c>
      <c r="D70" s="4" t="s">
        <v>19</v>
      </c>
      <c r="E70" s="4" t="s">
        <v>87</v>
      </c>
      <c r="F70" s="4"/>
      <c r="G70" s="53" t="s">
        <v>90</v>
      </c>
      <c r="H70" s="54" t="s">
        <v>321</v>
      </c>
      <c r="I70" s="7">
        <v>139.86013986013987</v>
      </c>
      <c r="J70" s="4" t="s">
        <v>14</v>
      </c>
      <c r="K70" s="4" t="s">
        <v>14</v>
      </c>
      <c r="L70" s="4" t="s">
        <v>14</v>
      </c>
      <c r="M70" s="54" t="s">
        <v>225</v>
      </c>
      <c r="N70" s="4">
        <v>2025</v>
      </c>
    </row>
    <row r="71" spans="1:14">
      <c r="A71" s="4"/>
      <c r="B71" s="54" t="s">
        <v>42</v>
      </c>
      <c r="C71" s="4" t="s">
        <v>47</v>
      </c>
      <c r="D71" s="4" t="s">
        <v>19</v>
      </c>
      <c r="E71" s="4" t="s">
        <v>87</v>
      </c>
      <c r="F71" s="4"/>
      <c r="G71" s="53" t="s">
        <v>90</v>
      </c>
      <c r="H71" s="54" t="s">
        <v>321</v>
      </c>
      <c r="I71" s="7">
        <v>3496.5034965034965</v>
      </c>
      <c r="J71" s="4" t="s">
        <v>14</v>
      </c>
      <c r="K71" s="4" t="s">
        <v>14</v>
      </c>
      <c r="L71" s="4" t="s">
        <v>14</v>
      </c>
      <c r="M71" s="54" t="s">
        <v>225</v>
      </c>
      <c r="N71" s="4">
        <v>2025</v>
      </c>
    </row>
    <row r="72" spans="1:14">
      <c r="A72" s="4"/>
      <c r="B72" s="54" t="s">
        <v>42</v>
      </c>
      <c r="C72" s="4" t="s">
        <v>48</v>
      </c>
      <c r="D72" s="4" t="s">
        <v>19</v>
      </c>
      <c r="E72" s="4" t="s">
        <v>87</v>
      </c>
      <c r="F72" s="4"/>
      <c r="G72" s="53" t="s">
        <v>90</v>
      </c>
      <c r="H72" s="54" t="s">
        <v>321</v>
      </c>
      <c r="I72" s="7">
        <v>2867.132867132867</v>
      </c>
      <c r="J72" s="4" t="s">
        <v>14</v>
      </c>
      <c r="K72" s="4" t="s">
        <v>14</v>
      </c>
      <c r="L72" s="4" t="s">
        <v>14</v>
      </c>
      <c r="M72" s="54" t="s">
        <v>225</v>
      </c>
      <c r="N72" s="4">
        <v>2025</v>
      </c>
    </row>
    <row r="73" spans="1:14">
      <c r="A73" s="4"/>
      <c r="B73" s="54" t="s">
        <v>42</v>
      </c>
      <c r="C73" s="4" t="s">
        <v>50</v>
      </c>
      <c r="D73" s="4" t="s">
        <v>19</v>
      </c>
      <c r="E73" s="4" t="s">
        <v>87</v>
      </c>
      <c r="F73" s="4"/>
      <c r="G73" s="53" t="s">
        <v>90</v>
      </c>
      <c r="H73" s="54" t="s">
        <v>321</v>
      </c>
      <c r="I73" s="7">
        <v>34508.00225174825</v>
      </c>
      <c r="J73" s="4" t="s">
        <v>14</v>
      </c>
      <c r="K73" s="4" t="s">
        <v>14</v>
      </c>
      <c r="L73" s="4" t="s">
        <v>14</v>
      </c>
      <c r="M73" s="54" t="s">
        <v>225</v>
      </c>
      <c r="N73" s="4">
        <v>2025</v>
      </c>
    </row>
    <row r="74" spans="1:14">
      <c r="A74" s="4"/>
      <c r="B74" s="54" t="s">
        <v>42</v>
      </c>
      <c r="C74" s="4" t="s">
        <v>318</v>
      </c>
      <c r="D74" s="4" t="s">
        <v>19</v>
      </c>
      <c r="E74" s="4" t="s">
        <v>87</v>
      </c>
      <c r="F74" s="4"/>
      <c r="G74" s="53" t="s">
        <v>90</v>
      </c>
      <c r="H74" s="54" t="s">
        <v>321</v>
      </c>
      <c r="I74" s="7">
        <v>2517.4825174825173</v>
      </c>
      <c r="J74" s="4" t="s">
        <v>14</v>
      </c>
      <c r="K74" s="4" t="s">
        <v>14</v>
      </c>
      <c r="L74" s="4" t="s">
        <v>14</v>
      </c>
      <c r="M74" s="54" t="s">
        <v>225</v>
      </c>
      <c r="N74" s="4">
        <v>2025</v>
      </c>
    </row>
    <row r="75" spans="1:14">
      <c r="A75" s="4"/>
      <c r="B75" s="54" t="s">
        <v>17</v>
      </c>
      <c r="C75" s="4" t="s">
        <v>24</v>
      </c>
      <c r="D75" s="4" t="s">
        <v>19</v>
      </c>
      <c r="E75" s="4" t="s">
        <v>87</v>
      </c>
      <c r="F75" s="4"/>
      <c r="G75" s="53" t="s">
        <v>90</v>
      </c>
      <c r="H75" s="54" t="s">
        <v>321</v>
      </c>
      <c r="I75" s="7">
        <v>4803.6579020979016</v>
      </c>
      <c r="J75" s="4" t="s">
        <v>14</v>
      </c>
      <c r="K75" s="4" t="s">
        <v>14</v>
      </c>
      <c r="L75" s="4" t="s">
        <v>14</v>
      </c>
      <c r="M75" s="54" t="s">
        <v>225</v>
      </c>
      <c r="N75" s="4">
        <v>2025</v>
      </c>
    </row>
    <row r="76" spans="1:14">
      <c r="A76" s="4"/>
      <c r="B76" s="54" t="s">
        <v>17</v>
      </c>
      <c r="C76" s="4" t="s">
        <v>25</v>
      </c>
      <c r="D76" s="4" t="s">
        <v>19</v>
      </c>
      <c r="E76" s="4" t="s">
        <v>87</v>
      </c>
      <c r="F76" s="4"/>
      <c r="G76" s="53" t="s">
        <v>90</v>
      </c>
      <c r="H76" s="54" t="s">
        <v>321</v>
      </c>
      <c r="I76" s="7">
        <v>19417.755734265735</v>
      </c>
      <c r="J76" s="4" t="s">
        <v>14</v>
      </c>
      <c r="K76" s="4" t="s">
        <v>14</v>
      </c>
      <c r="L76" s="4" t="s">
        <v>14</v>
      </c>
      <c r="M76" s="54" t="s">
        <v>225</v>
      </c>
      <c r="N76" s="4">
        <v>2025</v>
      </c>
    </row>
    <row r="77" spans="1:14">
      <c r="A77" s="4"/>
      <c r="B77" s="54" t="s">
        <v>17</v>
      </c>
      <c r="C77" s="4" t="s">
        <v>89</v>
      </c>
      <c r="D77" s="4" t="s">
        <v>19</v>
      </c>
      <c r="E77" s="4" t="s">
        <v>87</v>
      </c>
      <c r="F77" s="4"/>
      <c r="G77" s="53" t="s">
        <v>88</v>
      </c>
      <c r="H77" s="54" t="s">
        <v>321</v>
      </c>
      <c r="I77" s="7">
        <v>12847.901776223776</v>
      </c>
      <c r="J77" s="4" t="s">
        <v>14</v>
      </c>
      <c r="K77" s="4" t="s">
        <v>14</v>
      </c>
      <c r="L77" s="4" t="s">
        <v>14</v>
      </c>
      <c r="M77" s="54" t="s">
        <v>225</v>
      </c>
      <c r="N77" s="4">
        <v>2025</v>
      </c>
    </row>
    <row r="78" spans="1:14">
      <c r="A78" s="4"/>
      <c r="B78" s="54" t="s">
        <v>54</v>
      </c>
      <c r="C78" s="4" t="s">
        <v>55</v>
      </c>
      <c r="D78" s="4" t="s">
        <v>19</v>
      </c>
      <c r="E78" s="4" t="s">
        <v>87</v>
      </c>
      <c r="F78" s="4"/>
      <c r="G78" s="53" t="s">
        <v>88</v>
      </c>
      <c r="H78" s="54" t="s">
        <v>321</v>
      </c>
      <c r="I78" s="7">
        <v>26655.710881118885</v>
      </c>
      <c r="J78" s="4" t="s">
        <v>14</v>
      </c>
      <c r="K78" s="4" t="s">
        <v>14</v>
      </c>
      <c r="L78" s="4" t="s">
        <v>14</v>
      </c>
      <c r="M78" s="54" t="s">
        <v>225</v>
      </c>
      <c r="N78" s="4">
        <v>2025</v>
      </c>
    </row>
    <row r="79" spans="1:14">
      <c r="A79" s="4"/>
      <c r="B79" s="54" t="s">
        <v>42</v>
      </c>
      <c r="C79" s="4" t="s">
        <v>228</v>
      </c>
      <c r="D79" s="4" t="s">
        <v>19</v>
      </c>
      <c r="E79" s="4" t="s">
        <v>87</v>
      </c>
      <c r="F79" s="4"/>
      <c r="G79" s="53" t="s">
        <v>88</v>
      </c>
      <c r="H79" s="54" t="s">
        <v>321</v>
      </c>
      <c r="I79" s="7">
        <v>17872.980825174825</v>
      </c>
      <c r="J79" s="4" t="s">
        <v>14</v>
      </c>
      <c r="K79" s="4" t="s">
        <v>14</v>
      </c>
      <c r="L79" s="4" t="s">
        <v>14</v>
      </c>
      <c r="M79" s="54" t="s">
        <v>225</v>
      </c>
      <c r="N79" s="4">
        <v>2025</v>
      </c>
    </row>
    <row r="80" spans="1:14">
      <c r="A80" s="4"/>
      <c r="B80" s="54" t="s">
        <v>35</v>
      </c>
      <c r="C80" s="4" t="s">
        <v>36</v>
      </c>
      <c r="D80" s="4" t="s">
        <v>19</v>
      </c>
      <c r="E80" s="4" t="s">
        <v>87</v>
      </c>
      <c r="F80" s="4"/>
      <c r="G80" s="53" t="s">
        <v>88</v>
      </c>
      <c r="H80" s="54" t="s">
        <v>321</v>
      </c>
      <c r="I80" s="7">
        <v>3030.3029370629374</v>
      </c>
      <c r="J80" s="4" t="s">
        <v>14</v>
      </c>
      <c r="K80" s="4" t="s">
        <v>14</v>
      </c>
      <c r="L80" s="4" t="s">
        <v>14</v>
      </c>
      <c r="M80" s="54" t="s">
        <v>225</v>
      </c>
      <c r="N80" s="4">
        <v>2025</v>
      </c>
    </row>
    <row r="81" spans="1:14">
      <c r="A81" s="4"/>
      <c r="B81" s="54" t="s">
        <v>35</v>
      </c>
      <c r="C81" s="4" t="s">
        <v>37</v>
      </c>
      <c r="D81" s="4" t="s">
        <v>19</v>
      </c>
      <c r="E81" s="4" t="s">
        <v>87</v>
      </c>
      <c r="F81" s="4"/>
      <c r="G81" s="53" t="s">
        <v>88</v>
      </c>
      <c r="H81" s="54" t="s">
        <v>321</v>
      </c>
      <c r="I81" s="7">
        <v>18671.328258741258</v>
      </c>
      <c r="J81" s="4" t="s">
        <v>14</v>
      </c>
      <c r="K81" s="4" t="s">
        <v>14</v>
      </c>
      <c r="L81" s="4" t="s">
        <v>14</v>
      </c>
      <c r="M81" s="54" t="s">
        <v>225</v>
      </c>
      <c r="N81" s="4">
        <v>2025</v>
      </c>
    </row>
    <row r="82" spans="1:14">
      <c r="A82" s="4"/>
      <c r="B82" s="54" t="s">
        <v>42</v>
      </c>
      <c r="C82" s="4" t="s">
        <v>44</v>
      </c>
      <c r="D82" s="4" t="s">
        <v>19</v>
      </c>
      <c r="E82" s="4" t="s">
        <v>87</v>
      </c>
      <c r="F82" s="4"/>
      <c r="G82" s="53" t="s">
        <v>88</v>
      </c>
      <c r="H82" s="54" t="s">
        <v>321</v>
      </c>
      <c r="I82" s="7">
        <v>11687.936783216783</v>
      </c>
      <c r="J82" s="4" t="s">
        <v>14</v>
      </c>
      <c r="K82" s="4" t="s">
        <v>14</v>
      </c>
      <c r="L82" s="4" t="s">
        <v>14</v>
      </c>
      <c r="M82" s="54" t="s">
        <v>225</v>
      </c>
      <c r="N82" s="4">
        <v>2025</v>
      </c>
    </row>
    <row r="83" spans="1:14">
      <c r="A83" s="4"/>
      <c r="B83" s="54" t="s">
        <v>42</v>
      </c>
      <c r="C83" s="4" t="s">
        <v>45</v>
      </c>
      <c r="D83" s="4" t="s">
        <v>19</v>
      </c>
      <c r="E83" s="4" t="s">
        <v>87</v>
      </c>
      <c r="F83" s="4"/>
      <c r="G83" s="53" t="s">
        <v>88</v>
      </c>
      <c r="H83" s="54" t="s">
        <v>321</v>
      </c>
      <c r="I83" s="7">
        <v>24424.53320979021</v>
      </c>
      <c r="J83" s="4" t="s">
        <v>14</v>
      </c>
      <c r="K83" s="4" t="s">
        <v>14</v>
      </c>
      <c r="L83" s="4" t="s">
        <v>14</v>
      </c>
      <c r="M83" s="54" t="s">
        <v>225</v>
      </c>
      <c r="N83" s="4">
        <v>2025</v>
      </c>
    </row>
    <row r="84" spans="1:14">
      <c r="A84" s="4"/>
      <c r="B84" s="54" t="s">
        <v>33</v>
      </c>
      <c r="C84" s="4" t="s">
        <v>34</v>
      </c>
      <c r="D84" s="4" t="s">
        <v>19</v>
      </c>
      <c r="E84" s="4" t="s">
        <v>87</v>
      </c>
      <c r="F84" s="4"/>
      <c r="G84" s="53" t="s">
        <v>88</v>
      </c>
      <c r="H84" s="54" t="s">
        <v>321</v>
      </c>
      <c r="I84" s="7">
        <v>29513.439657342657</v>
      </c>
      <c r="J84" s="4" t="s">
        <v>14</v>
      </c>
      <c r="K84" s="4" t="s">
        <v>14</v>
      </c>
      <c r="L84" s="4" t="s">
        <v>14</v>
      </c>
      <c r="M84" s="54" t="s">
        <v>225</v>
      </c>
      <c r="N84" s="4">
        <v>2025</v>
      </c>
    </row>
    <row r="85" spans="1:14">
      <c r="A85" s="4"/>
      <c r="B85" s="54" t="s">
        <v>61</v>
      </c>
      <c r="C85" s="4" t="s">
        <v>53</v>
      </c>
      <c r="D85" s="4" t="s">
        <v>19</v>
      </c>
      <c r="E85" s="4" t="s">
        <v>87</v>
      </c>
      <c r="F85" s="4"/>
      <c r="G85" s="53" t="s">
        <v>88</v>
      </c>
      <c r="H85" s="54" t="s">
        <v>321</v>
      </c>
      <c r="I85" s="7">
        <v>91309.475818181818</v>
      </c>
      <c r="J85" s="4" t="s">
        <v>14</v>
      </c>
      <c r="K85" s="4" t="s">
        <v>14</v>
      </c>
      <c r="L85" s="4" t="s">
        <v>14</v>
      </c>
      <c r="M85" s="54" t="s">
        <v>225</v>
      </c>
      <c r="N85" s="4">
        <v>2025</v>
      </c>
    </row>
    <row r="86" spans="1:14">
      <c r="A86" s="4"/>
      <c r="B86" s="54" t="s">
        <v>58</v>
      </c>
      <c r="C86" s="4" t="s">
        <v>59</v>
      </c>
      <c r="D86" s="4" t="s">
        <v>19</v>
      </c>
      <c r="E86" s="4" t="s">
        <v>87</v>
      </c>
      <c r="F86" s="4"/>
      <c r="G86" s="53" t="s">
        <v>88</v>
      </c>
      <c r="H86" s="54" t="s">
        <v>321</v>
      </c>
      <c r="I86" s="7">
        <v>6107.2258951048943</v>
      </c>
      <c r="J86" s="4" t="s">
        <v>14</v>
      </c>
      <c r="K86" s="4" t="s">
        <v>14</v>
      </c>
      <c r="L86" s="4" t="s">
        <v>14</v>
      </c>
      <c r="M86" s="54" t="s">
        <v>225</v>
      </c>
      <c r="N86" s="4">
        <v>2025</v>
      </c>
    </row>
    <row r="87" spans="1:14">
      <c r="A87" s="4"/>
      <c r="B87" s="54" t="s">
        <v>17</v>
      </c>
      <c r="C87" s="4" t="s">
        <v>22</v>
      </c>
      <c r="D87" s="4" t="s">
        <v>19</v>
      </c>
      <c r="E87" s="4" t="s">
        <v>87</v>
      </c>
      <c r="F87" s="4"/>
      <c r="G87" s="53" t="s">
        <v>88</v>
      </c>
      <c r="H87" s="54" t="s">
        <v>321</v>
      </c>
      <c r="I87" s="7">
        <v>4905.0115034965038</v>
      </c>
      <c r="J87" s="4" t="s">
        <v>14</v>
      </c>
      <c r="K87" s="4" t="s">
        <v>14</v>
      </c>
      <c r="L87" s="4" t="s">
        <v>14</v>
      </c>
      <c r="M87" s="54" t="s">
        <v>225</v>
      </c>
      <c r="N87" s="4">
        <v>2025</v>
      </c>
    </row>
    <row r="88" spans="1:14">
      <c r="A88" s="4"/>
      <c r="B88" s="54" t="s">
        <v>42</v>
      </c>
      <c r="C88" s="4" t="s">
        <v>46</v>
      </c>
      <c r="D88" s="4" t="s">
        <v>19</v>
      </c>
      <c r="E88" s="4" t="s">
        <v>87</v>
      </c>
      <c r="F88" s="4"/>
      <c r="G88" s="53" t="s">
        <v>88</v>
      </c>
      <c r="H88" s="54" t="s">
        <v>321</v>
      </c>
      <c r="I88" s="7">
        <v>10792.540447552448</v>
      </c>
      <c r="J88" s="4" t="s">
        <v>14</v>
      </c>
      <c r="K88" s="4" t="s">
        <v>14</v>
      </c>
      <c r="L88" s="4" t="s">
        <v>14</v>
      </c>
      <c r="M88" s="54" t="s">
        <v>225</v>
      </c>
      <c r="N88" s="4">
        <v>2025</v>
      </c>
    </row>
    <row r="89" spans="1:14">
      <c r="A89" s="4"/>
      <c r="B89" s="54" t="s">
        <v>29</v>
      </c>
      <c r="C89" s="4" t="s">
        <v>30</v>
      </c>
      <c r="D89" s="4" t="s">
        <v>19</v>
      </c>
      <c r="E89" s="4" t="s">
        <v>87</v>
      </c>
      <c r="F89" s="4"/>
      <c r="G89" s="53" t="s">
        <v>88</v>
      </c>
      <c r="H89" s="54" t="s">
        <v>321</v>
      </c>
      <c r="I89" s="7">
        <v>5119.477713286713</v>
      </c>
      <c r="J89" s="4" t="s">
        <v>14</v>
      </c>
      <c r="K89" s="4" t="s">
        <v>14</v>
      </c>
      <c r="L89" s="4" t="s">
        <v>14</v>
      </c>
      <c r="M89" s="54" t="s">
        <v>225</v>
      </c>
      <c r="N89" s="4">
        <v>2025</v>
      </c>
    </row>
    <row r="90" spans="1:14">
      <c r="A90" s="4"/>
      <c r="B90" s="54" t="s">
        <v>35</v>
      </c>
      <c r="C90" s="4" t="s">
        <v>39</v>
      </c>
      <c r="D90" s="4" t="s">
        <v>19</v>
      </c>
      <c r="E90" s="4" t="s">
        <v>87</v>
      </c>
      <c r="F90" s="4"/>
      <c r="G90" s="53" t="s">
        <v>88</v>
      </c>
      <c r="H90" s="54" t="s">
        <v>321</v>
      </c>
      <c r="I90" s="7">
        <v>1893.9393356643357</v>
      </c>
      <c r="J90" s="4" t="s">
        <v>14</v>
      </c>
      <c r="K90" s="4" t="s">
        <v>14</v>
      </c>
      <c r="L90" s="4" t="s">
        <v>14</v>
      </c>
      <c r="M90" s="54" t="s">
        <v>225</v>
      </c>
      <c r="N90" s="4">
        <v>2025</v>
      </c>
    </row>
    <row r="91" spans="1:14">
      <c r="A91" s="4"/>
      <c r="B91" s="54" t="s">
        <v>35</v>
      </c>
      <c r="C91" s="4" t="s">
        <v>41</v>
      </c>
      <c r="D91" s="4" t="s">
        <v>19</v>
      </c>
      <c r="E91" s="4" t="s">
        <v>87</v>
      </c>
      <c r="F91" s="4"/>
      <c r="G91" s="53" t="s">
        <v>88</v>
      </c>
      <c r="H91" s="54" t="s">
        <v>321</v>
      </c>
      <c r="I91" s="7">
        <v>3021.5616783216783</v>
      </c>
      <c r="J91" s="4" t="s">
        <v>14</v>
      </c>
      <c r="K91" s="4" t="s">
        <v>14</v>
      </c>
      <c r="L91" s="4" t="s">
        <v>14</v>
      </c>
      <c r="M91" s="54" t="s">
        <v>225</v>
      </c>
      <c r="N91" s="4">
        <v>2025</v>
      </c>
    </row>
    <row r="92" spans="1:14">
      <c r="A92" s="4"/>
      <c r="B92" s="54" t="s">
        <v>42</v>
      </c>
      <c r="C92" s="4" t="s">
        <v>47</v>
      </c>
      <c r="D92" s="4" t="s">
        <v>19</v>
      </c>
      <c r="E92" s="4" t="s">
        <v>87</v>
      </c>
      <c r="F92" s="4"/>
      <c r="G92" s="53" t="s">
        <v>88</v>
      </c>
      <c r="H92" s="54" t="s">
        <v>321</v>
      </c>
      <c r="I92" s="7">
        <v>4708.6245594405591</v>
      </c>
      <c r="J92" s="4" t="s">
        <v>14</v>
      </c>
      <c r="K92" s="4" t="s">
        <v>14</v>
      </c>
      <c r="L92" s="4" t="s">
        <v>14</v>
      </c>
      <c r="M92" s="54" t="s">
        <v>225</v>
      </c>
      <c r="N92" s="4">
        <v>2025</v>
      </c>
    </row>
    <row r="93" spans="1:14">
      <c r="A93" s="4"/>
      <c r="B93" s="54" t="s">
        <v>42</v>
      </c>
      <c r="C93" s="4" t="s">
        <v>48</v>
      </c>
      <c r="D93" s="4" t="s">
        <v>19</v>
      </c>
      <c r="E93" s="4" t="s">
        <v>87</v>
      </c>
      <c r="F93" s="4"/>
      <c r="G93" s="53" t="s">
        <v>88</v>
      </c>
      <c r="H93" s="54" t="s">
        <v>321</v>
      </c>
      <c r="I93" s="7">
        <v>17217.423818181818</v>
      </c>
      <c r="J93" s="4" t="s">
        <v>14</v>
      </c>
      <c r="K93" s="4" t="s">
        <v>14</v>
      </c>
      <c r="L93" s="4" t="s">
        <v>14</v>
      </c>
      <c r="M93" s="54" t="s">
        <v>225</v>
      </c>
      <c r="N93" s="4">
        <v>2025</v>
      </c>
    </row>
    <row r="94" spans="1:14">
      <c r="A94" s="4"/>
      <c r="B94" s="54" t="s">
        <v>42</v>
      </c>
      <c r="C94" s="4" t="s">
        <v>50</v>
      </c>
      <c r="D94" s="4" t="s">
        <v>19</v>
      </c>
      <c r="E94" s="4" t="s">
        <v>87</v>
      </c>
      <c r="F94" s="4"/>
      <c r="G94" s="53" t="s">
        <v>88</v>
      </c>
      <c r="H94" s="54" t="s">
        <v>321</v>
      </c>
      <c r="I94" s="7">
        <v>21474.416664335662</v>
      </c>
      <c r="J94" s="4" t="s">
        <v>14</v>
      </c>
      <c r="K94" s="4" t="s">
        <v>14</v>
      </c>
      <c r="L94" s="4" t="s">
        <v>14</v>
      </c>
      <c r="M94" s="54" t="s">
        <v>225</v>
      </c>
      <c r="N94" s="4">
        <v>2025</v>
      </c>
    </row>
    <row r="95" spans="1:14">
      <c r="A95" s="4"/>
      <c r="B95" s="54" t="s">
        <v>42</v>
      </c>
      <c r="C95" s="4" t="s">
        <v>318</v>
      </c>
      <c r="D95" s="4" t="s">
        <v>19</v>
      </c>
      <c r="E95" s="4" t="s">
        <v>87</v>
      </c>
      <c r="F95" s="4"/>
      <c r="G95" s="53" t="s">
        <v>88</v>
      </c>
      <c r="H95" s="54" t="s">
        <v>321</v>
      </c>
      <c r="I95" s="7">
        <v>3863.6362447552447</v>
      </c>
      <c r="J95" s="4" t="s">
        <v>14</v>
      </c>
      <c r="K95" s="4" t="s">
        <v>14</v>
      </c>
      <c r="L95" s="4" t="s">
        <v>14</v>
      </c>
      <c r="M95" s="54" t="s">
        <v>225</v>
      </c>
      <c r="N95" s="4">
        <v>2025</v>
      </c>
    </row>
    <row r="96" spans="1:14">
      <c r="A96" s="4"/>
      <c r="B96" s="54" t="s">
        <v>42</v>
      </c>
      <c r="C96" s="4" t="s">
        <v>51</v>
      </c>
      <c r="D96" s="4" t="s">
        <v>19</v>
      </c>
      <c r="E96" s="4" t="s">
        <v>87</v>
      </c>
      <c r="F96" s="4"/>
      <c r="G96" s="53" t="s">
        <v>88</v>
      </c>
      <c r="H96" s="54" t="s">
        <v>321</v>
      </c>
      <c r="I96" s="7">
        <v>3712.121097902098</v>
      </c>
      <c r="J96" s="4" t="s">
        <v>14</v>
      </c>
      <c r="K96" s="4" t="s">
        <v>14</v>
      </c>
      <c r="L96" s="4" t="s">
        <v>14</v>
      </c>
      <c r="M96" s="54" t="s">
        <v>225</v>
      </c>
      <c r="N96" s="4">
        <v>2025</v>
      </c>
    </row>
    <row r="97" spans="1:14">
      <c r="A97" s="4"/>
      <c r="B97" s="54" t="s">
        <v>17</v>
      </c>
      <c r="C97" s="4" t="s">
        <v>24</v>
      </c>
      <c r="D97" s="4" t="s">
        <v>19</v>
      </c>
      <c r="E97" s="4" t="s">
        <v>87</v>
      </c>
      <c r="F97" s="4"/>
      <c r="G97" s="53" t="s">
        <v>88</v>
      </c>
      <c r="H97" s="54" t="s">
        <v>321</v>
      </c>
      <c r="I97" s="7">
        <v>11360.722258741258</v>
      </c>
      <c r="J97" s="4" t="s">
        <v>14</v>
      </c>
      <c r="K97" s="4" t="s">
        <v>14</v>
      </c>
      <c r="L97" s="4" t="s">
        <v>14</v>
      </c>
      <c r="M97" s="54" t="s">
        <v>225</v>
      </c>
      <c r="N97" s="4">
        <v>2025</v>
      </c>
    </row>
    <row r="98" spans="1:14">
      <c r="A98" s="4"/>
      <c r="B98" s="54" t="s">
        <v>17</v>
      </c>
      <c r="C98" s="4" t="s">
        <v>25</v>
      </c>
      <c r="D98" s="4" t="s">
        <v>19</v>
      </c>
      <c r="E98" s="4" t="s">
        <v>87</v>
      </c>
      <c r="F98" s="4"/>
      <c r="G98" s="53" t="s">
        <v>88</v>
      </c>
      <c r="H98" s="54" t="s">
        <v>321</v>
      </c>
      <c r="I98" s="7">
        <v>12101.454797202798</v>
      </c>
      <c r="J98" s="4" t="s">
        <v>14</v>
      </c>
      <c r="K98" s="4" t="s">
        <v>14</v>
      </c>
      <c r="L98" s="4" t="s">
        <v>14</v>
      </c>
      <c r="M98" s="54" t="s">
        <v>225</v>
      </c>
      <c r="N98" s="4">
        <v>2025</v>
      </c>
    </row>
    <row r="99" spans="1:14">
      <c r="A99" s="4"/>
      <c r="B99" s="54" t="s">
        <v>17</v>
      </c>
      <c r="C99" s="4" t="s">
        <v>26</v>
      </c>
      <c r="D99" s="4" t="s">
        <v>19</v>
      </c>
      <c r="E99" s="4" t="s">
        <v>87</v>
      </c>
      <c r="F99" s="4"/>
      <c r="G99" s="53" t="s">
        <v>88</v>
      </c>
      <c r="H99" s="54" t="s">
        <v>321</v>
      </c>
      <c r="I99" s="7">
        <v>2121.2120559440559</v>
      </c>
      <c r="J99" s="4" t="s">
        <v>14</v>
      </c>
      <c r="K99" s="4" t="s">
        <v>14</v>
      </c>
      <c r="L99" s="4" t="s">
        <v>14</v>
      </c>
      <c r="M99" s="54" t="s">
        <v>225</v>
      </c>
      <c r="N99" s="4">
        <v>2025</v>
      </c>
    </row>
    <row r="100" spans="1:14">
      <c r="A100" s="4"/>
      <c r="B100" s="4"/>
      <c r="C100" s="4"/>
      <c r="D100" s="4"/>
      <c r="E100" s="4"/>
      <c r="F100" s="4"/>
      <c r="H100" s="4"/>
      <c r="I100" s="7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H101" s="4"/>
      <c r="I101" s="7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H102" s="4"/>
      <c r="I102" s="7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H103" s="4"/>
      <c r="I103" s="7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H104" s="4"/>
      <c r="I104" s="7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H105" s="4"/>
      <c r="I105" s="7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H106" s="4"/>
      <c r="I106" s="7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H107" s="4"/>
      <c r="I107" s="7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H108" s="4"/>
      <c r="I108" s="7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H109" s="4"/>
      <c r="I109" s="7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H110" s="4"/>
      <c r="I110" s="7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H111" s="4"/>
      <c r="I111" s="7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H112" s="4"/>
      <c r="I112" s="7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H113" s="4"/>
      <c r="I113" s="7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H114" s="4"/>
      <c r="I114" s="7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H115" s="4"/>
      <c r="I115" s="7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H116" s="4"/>
      <c r="I116" s="7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H117" s="4"/>
      <c r="I117" s="7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H118" s="4"/>
      <c r="I118" s="7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H119" s="4"/>
      <c r="I119" s="7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H120" s="4"/>
      <c r="I120" s="7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H121" s="4"/>
      <c r="I121" s="7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H122" s="4"/>
      <c r="I122" s="7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H123" s="4"/>
      <c r="I123" s="7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H124" s="4"/>
      <c r="I124" s="7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H125" s="4"/>
      <c r="I125" s="7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H126" s="4"/>
      <c r="I126" s="7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H127" s="4"/>
      <c r="I127" s="7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H128" s="4"/>
      <c r="I128" s="7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H129" s="4"/>
      <c r="I129" s="7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H130" s="4"/>
      <c r="I130" s="7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H131" s="4"/>
      <c r="I131" s="7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H132" s="4"/>
      <c r="I132" s="7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H133" s="4"/>
      <c r="I133" s="7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H134" s="4"/>
      <c r="I134" s="7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H135" s="4"/>
      <c r="I135" s="7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H136" s="4"/>
      <c r="I136" s="7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H137" s="4"/>
      <c r="I137" s="7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H138" s="4"/>
      <c r="I138" s="7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H139" s="4"/>
      <c r="I139" s="7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H140" s="4"/>
      <c r="I140" s="7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H141" s="4"/>
      <c r="I141" s="7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H142" s="4"/>
      <c r="I142" s="7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H143" s="4"/>
      <c r="I143" s="7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H144" s="4"/>
      <c r="I144" s="7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H145" s="4"/>
      <c r="I145" s="7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H146" s="4"/>
      <c r="I146" s="7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H147" s="4"/>
      <c r="I147" s="7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H148" s="4"/>
      <c r="I148" s="7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H149" s="4"/>
      <c r="I149" s="7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H150" s="4"/>
      <c r="I150" s="7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H151" s="4"/>
      <c r="I151" s="7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H152" s="4"/>
      <c r="I152" s="7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H153" s="4"/>
      <c r="I153" s="7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H154" s="4"/>
      <c r="I154" s="7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H155" s="4"/>
      <c r="I155" s="7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H156" s="4"/>
      <c r="I156" s="7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H157" s="4"/>
      <c r="I157" s="7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H158" s="4"/>
      <c r="I158" s="7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H159" s="4"/>
      <c r="I159" s="7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H160" s="4"/>
      <c r="I160" s="7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H161" s="4"/>
      <c r="I161" s="7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H162" s="4"/>
      <c r="I162" s="7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H163" s="4"/>
      <c r="I163" s="7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H164" s="4"/>
      <c r="I164" s="7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H165" s="4"/>
      <c r="I165" s="7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H166" s="4"/>
      <c r="I166" s="7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H167" s="4"/>
      <c r="I167" s="7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H168" s="4"/>
      <c r="I168" s="7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H169" s="4"/>
      <c r="I169" s="7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H170" s="4"/>
      <c r="I170" s="7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H171" s="4"/>
      <c r="I171" s="7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H172" s="4"/>
      <c r="I172" s="7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H173" s="4"/>
      <c r="I173" s="7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H174" s="4"/>
      <c r="I174" s="7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H175" s="4"/>
      <c r="I175" s="7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H176" s="4"/>
      <c r="I176" s="7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H177" s="4"/>
      <c r="I177" s="7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H178" s="4"/>
      <c r="I178" s="7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H179" s="4"/>
      <c r="I179" s="7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H180" s="4"/>
      <c r="I180" s="7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H181" s="4"/>
      <c r="I181" s="7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H182" s="4"/>
      <c r="I182" s="7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H183" s="4"/>
      <c r="I183" s="7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H184" s="4"/>
      <c r="I184" s="7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H185" s="4"/>
      <c r="I185" s="7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H186" s="4"/>
      <c r="I186" s="7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H187" s="4"/>
      <c r="I187" s="7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H188" s="4"/>
      <c r="I188" s="7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H189" s="4"/>
      <c r="I189" s="7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H190" s="4"/>
      <c r="I190" s="7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H191" s="4"/>
      <c r="I191" s="7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H192" s="4"/>
      <c r="I192" s="7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H193" s="4"/>
      <c r="I193" s="7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H194" s="4"/>
      <c r="I194" s="7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H195" s="4"/>
      <c r="I195" s="7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H196" s="4"/>
      <c r="I196" s="7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H197" s="4"/>
      <c r="I197" s="7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H198" s="4"/>
      <c r="I198" s="7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H199" s="4"/>
      <c r="I199" s="7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H200" s="4"/>
      <c r="I200" s="7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H201" s="4"/>
      <c r="I201" s="7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H202" s="4"/>
      <c r="I202" s="7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H203" s="4"/>
      <c r="I203" s="7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H204" s="4"/>
      <c r="I204" s="7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H205" s="4"/>
      <c r="I205" s="7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H206" s="4"/>
      <c r="I206" s="7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H207" s="4"/>
      <c r="I207" s="7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H208" s="4"/>
      <c r="I208" s="7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H209" s="4"/>
      <c r="I209" s="7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H210" s="4"/>
      <c r="I210" s="7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H211" s="4"/>
      <c r="I211" s="7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H212" s="4"/>
      <c r="I212" s="7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H213" s="4"/>
      <c r="I213" s="7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H214" s="4"/>
      <c r="I214" s="7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H215" s="4"/>
      <c r="I215" s="7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H216" s="4"/>
      <c r="I216" s="7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H217" s="4"/>
      <c r="I217" s="7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H218" s="4"/>
      <c r="I218" s="7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H219" s="4"/>
      <c r="I219" s="7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H220" s="4"/>
      <c r="I220" s="7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H221" s="4"/>
      <c r="I221" s="7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H222" s="4"/>
      <c r="I222" s="7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H223" s="4"/>
      <c r="I223" s="7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H224" s="4"/>
      <c r="I224" s="7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H225" s="4"/>
      <c r="I225" s="7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H226" s="4"/>
      <c r="I226" s="7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H227" s="4"/>
      <c r="I227" s="7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H228" s="4"/>
      <c r="I228" s="7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H229" s="4"/>
      <c r="I229" s="7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H230" s="4"/>
      <c r="I230" s="7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H231" s="4"/>
      <c r="I231" s="7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H232" s="4"/>
      <c r="I232" s="7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H233" s="4"/>
      <c r="I233" s="7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H234" s="4"/>
      <c r="I234" s="7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H235" s="4"/>
      <c r="I235" s="7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H236" s="4"/>
      <c r="I236" s="7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H237" s="4"/>
      <c r="I237" s="7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H238" s="4"/>
      <c r="I238" s="7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H239" s="4"/>
      <c r="I239" s="7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H240" s="4"/>
      <c r="I240" s="7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H241" s="4"/>
      <c r="I241" s="7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H242" s="4"/>
      <c r="I242" s="7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H243" s="4"/>
      <c r="I243" s="7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H244" s="4"/>
      <c r="I244" s="7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H245" s="4"/>
      <c r="I245" s="7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H246" s="4"/>
      <c r="I246" s="7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H247" s="4"/>
      <c r="I247" s="7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H248" s="4"/>
      <c r="I248" s="7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H249" s="4"/>
      <c r="I249" s="7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H250" s="4"/>
      <c r="I250" s="7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H251" s="4"/>
      <c r="I251" s="7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H252" s="4"/>
      <c r="I252" s="7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H253" s="4"/>
      <c r="I253" s="7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H254" s="4"/>
      <c r="I254" s="7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H255" s="4"/>
      <c r="I255" s="7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H256" s="4"/>
      <c r="I256" s="7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H257" s="4"/>
      <c r="I257" s="7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H258" s="4"/>
      <c r="I258" s="7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H259" s="4"/>
      <c r="I259" s="7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H260" s="4"/>
      <c r="I260" s="7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H261" s="4"/>
      <c r="I261" s="7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H262" s="4"/>
      <c r="I262" s="7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H263" s="4"/>
      <c r="I263" s="7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H264" s="4"/>
      <c r="I264" s="7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H265" s="4"/>
      <c r="I265" s="7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H266" s="4"/>
      <c r="I266" s="7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H267" s="4"/>
      <c r="I267" s="7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H268" s="4"/>
      <c r="I268" s="7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H269" s="4"/>
      <c r="I269" s="7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H270" s="4"/>
      <c r="I270" s="7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H271" s="4"/>
      <c r="I271" s="7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H272" s="4"/>
      <c r="I272" s="7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H273" s="4"/>
      <c r="I273" s="7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H274" s="4"/>
      <c r="I274" s="7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H275" s="4"/>
      <c r="I275" s="7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H276" s="4"/>
      <c r="I276" s="7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H277" s="4"/>
      <c r="I277" s="7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H278" s="4"/>
      <c r="I278" s="7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H279" s="4"/>
      <c r="I279" s="7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H280" s="4"/>
      <c r="I280" s="7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H281" s="4"/>
      <c r="I281" s="7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H282" s="4"/>
      <c r="I282" s="7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H283" s="4"/>
      <c r="I283" s="7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H284" s="4"/>
      <c r="I284" s="7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H285" s="4"/>
      <c r="I285" s="7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H286" s="4"/>
      <c r="I286" s="7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H287" s="4"/>
      <c r="I287" s="7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H288" s="4"/>
      <c r="I288" s="7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H289" s="4"/>
      <c r="I289" s="7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H290" s="4"/>
      <c r="I290" s="7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H291" s="4"/>
      <c r="I291" s="7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H292" s="4"/>
      <c r="I292" s="7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H293" s="4"/>
      <c r="I293" s="7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H294" s="4"/>
      <c r="I294" s="7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H295" s="4"/>
      <c r="I295" s="7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H296" s="4"/>
      <c r="I296" s="7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H297" s="4"/>
      <c r="I297" s="7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H298" s="4"/>
      <c r="I298" s="7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H299" s="4"/>
      <c r="I299" s="7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H300" s="4"/>
      <c r="I300" s="7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H301" s="4"/>
      <c r="I301" s="7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H302" s="4"/>
      <c r="I302" s="7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H303" s="4"/>
      <c r="I303" s="7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H304" s="4"/>
      <c r="I304" s="7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H305" s="4"/>
      <c r="I305" s="7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H306" s="4"/>
      <c r="I306" s="7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H307" s="4"/>
      <c r="I307" s="7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H308" s="4"/>
      <c r="I308" s="7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H309" s="4"/>
      <c r="I309" s="7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H310" s="4"/>
      <c r="I310" s="7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H311" s="4"/>
      <c r="I311" s="7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H312" s="4"/>
      <c r="I312" s="7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H313" s="4"/>
      <c r="I313" s="7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H314" s="4"/>
      <c r="I314" s="7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H315" s="4"/>
      <c r="I315" s="7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H316" s="4"/>
      <c r="I316" s="7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H317" s="4"/>
      <c r="I317" s="7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H318" s="4"/>
      <c r="I318" s="7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H319" s="4"/>
      <c r="I319" s="7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H320" s="4"/>
      <c r="I320" s="7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H321" s="4"/>
      <c r="I321" s="7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H322" s="4"/>
      <c r="I322" s="7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H323" s="4"/>
      <c r="I323" s="7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H324" s="4"/>
      <c r="I324" s="7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H325" s="4"/>
      <c r="I325" s="7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H326" s="4"/>
      <c r="I326" s="7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H327" s="4"/>
      <c r="I327" s="7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H328" s="4"/>
      <c r="I328" s="7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H329" s="4"/>
      <c r="I329" s="7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H330" s="4"/>
      <c r="I330" s="7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H331" s="4"/>
      <c r="I331" s="7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H332" s="4"/>
      <c r="I332" s="7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H333" s="4"/>
      <c r="I333" s="7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H334" s="4"/>
      <c r="I334" s="7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H335" s="4"/>
      <c r="I335" s="7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H336" s="4"/>
      <c r="I336" s="7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H337" s="4"/>
      <c r="I337" s="7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H338" s="4"/>
      <c r="I338" s="7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H339" s="4"/>
      <c r="I339" s="7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H340" s="4"/>
      <c r="I340" s="7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H341" s="4"/>
      <c r="I341" s="7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H342" s="4"/>
      <c r="I342" s="7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H343" s="4"/>
      <c r="I343" s="7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H344" s="4"/>
      <c r="I344" s="7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H345" s="4"/>
      <c r="I345" s="7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H346" s="4"/>
      <c r="I346" s="7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H347" s="4"/>
      <c r="I347" s="7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H348" s="4"/>
      <c r="I348" s="7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H349" s="4"/>
      <c r="I349" s="7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H350" s="4"/>
      <c r="I350" s="7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H351" s="4"/>
      <c r="I351" s="7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H352" s="4"/>
      <c r="I352" s="7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H353" s="4"/>
      <c r="I353" s="7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H354" s="4"/>
      <c r="I354" s="7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H355" s="4"/>
      <c r="I355" s="7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H356" s="4"/>
      <c r="I356" s="7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H357" s="4"/>
      <c r="I357" s="7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H358" s="4"/>
      <c r="I358" s="7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H359" s="4"/>
      <c r="I359" s="7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H360" s="4"/>
      <c r="I360" s="7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H361" s="4"/>
      <c r="I361" s="7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H362" s="4"/>
      <c r="I362" s="7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H363" s="4"/>
      <c r="I363" s="7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H364" s="4"/>
      <c r="I364" s="7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H365" s="4"/>
      <c r="I365" s="7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H366" s="4"/>
      <c r="I366" s="7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H367" s="4"/>
      <c r="I367" s="7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H368" s="4"/>
      <c r="I368" s="7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H369" s="4"/>
      <c r="I369" s="7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H370" s="4"/>
      <c r="I370" s="7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H371" s="4"/>
      <c r="I371" s="7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H372" s="4"/>
      <c r="I372" s="7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H373" s="4"/>
      <c r="I373" s="7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H374" s="4"/>
      <c r="I374" s="7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H375" s="4"/>
      <c r="I375" s="7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H376" s="4"/>
      <c r="I376" s="7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H377" s="4"/>
      <c r="I377" s="7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H378" s="4"/>
      <c r="I378" s="7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H379" s="4"/>
      <c r="I379" s="7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H380" s="4"/>
      <c r="I380" s="7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H381" s="4"/>
      <c r="I381" s="7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H382" s="4"/>
      <c r="I382" s="7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H383" s="4"/>
      <c r="I383" s="7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H384" s="4"/>
      <c r="I384" s="7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H385" s="4"/>
      <c r="I385" s="7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H386" s="4"/>
      <c r="I386" s="7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H387" s="4"/>
      <c r="I387" s="7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H388" s="4"/>
      <c r="I388" s="7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H389" s="4"/>
      <c r="I389" s="7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H390" s="4"/>
      <c r="I390" s="7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H391" s="4"/>
      <c r="I391" s="7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H392" s="4"/>
      <c r="I392" s="7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H393" s="4"/>
      <c r="I393" s="7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H394" s="4"/>
      <c r="I394" s="7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H395" s="4"/>
      <c r="I395" s="7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H396" s="4"/>
      <c r="I396" s="7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H397" s="4"/>
      <c r="I397" s="7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H398" s="4"/>
      <c r="I398" s="7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H399" s="4"/>
      <c r="I399" s="7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H400" s="4"/>
      <c r="I400" s="7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H401" s="4"/>
      <c r="I401" s="7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H402" s="4"/>
      <c r="I402" s="7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H403" s="4"/>
      <c r="I403" s="7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H404" s="4"/>
      <c r="I404" s="7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H405" s="4"/>
      <c r="I405" s="7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H406" s="4"/>
      <c r="I406" s="7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H407" s="4"/>
      <c r="I407" s="7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H408" s="4"/>
      <c r="I408" s="7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H409" s="4"/>
      <c r="I409" s="7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H410" s="4"/>
      <c r="I410" s="7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H411" s="4"/>
      <c r="I411" s="7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H412" s="4"/>
      <c r="I412" s="7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H413" s="4"/>
      <c r="I413" s="7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H414" s="4"/>
      <c r="I414" s="7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H415" s="4"/>
      <c r="I415" s="7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H416" s="4"/>
      <c r="I416" s="7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H417" s="4"/>
      <c r="I417" s="7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H418" s="4"/>
      <c r="I418" s="7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H419" s="4"/>
      <c r="I419" s="7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H420" s="4"/>
      <c r="I420" s="7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H421" s="4"/>
      <c r="I421" s="7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H422" s="4"/>
      <c r="I422" s="7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H423" s="4"/>
      <c r="I423" s="7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H424" s="4"/>
      <c r="I424" s="7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H425" s="4"/>
      <c r="I425" s="7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H426" s="4"/>
      <c r="I426" s="7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H427" s="4"/>
      <c r="I427" s="7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H428" s="4"/>
      <c r="I428" s="7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H429" s="4"/>
      <c r="I429" s="7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H430" s="4"/>
      <c r="I430" s="7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H431" s="4"/>
      <c r="I431" s="7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H432" s="4"/>
      <c r="I432" s="7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H433" s="4"/>
      <c r="I433" s="7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H434" s="4"/>
      <c r="I434" s="7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H435" s="4"/>
      <c r="I435" s="7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H436" s="4"/>
      <c r="I436" s="7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H437" s="4"/>
      <c r="I437" s="7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H438" s="4"/>
      <c r="I438" s="7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H439" s="4"/>
      <c r="I439" s="7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H440" s="4"/>
      <c r="I440" s="7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H441" s="4"/>
      <c r="I441" s="7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H442" s="4"/>
      <c r="I442" s="7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H443" s="4"/>
      <c r="I443" s="7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H444" s="4"/>
      <c r="I444" s="7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H445" s="4"/>
      <c r="I445" s="7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H446" s="4"/>
      <c r="I446" s="7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H447" s="4"/>
      <c r="I447" s="7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H448" s="4"/>
      <c r="I448" s="7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H449" s="4"/>
      <c r="I449" s="7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H450" s="4"/>
      <c r="I450" s="7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H451" s="4"/>
      <c r="I451" s="7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H452" s="4"/>
      <c r="I452" s="7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H453" s="4"/>
      <c r="I453" s="7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H454" s="4"/>
      <c r="I454" s="7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H455" s="4"/>
      <c r="I455" s="7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H456" s="4"/>
      <c r="I456" s="7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H457" s="4"/>
      <c r="I457" s="7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H458" s="4"/>
      <c r="I458" s="7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H459" s="4"/>
      <c r="I459" s="7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H460" s="4"/>
      <c r="I460" s="7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H461" s="4"/>
      <c r="I461" s="7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H462" s="4"/>
      <c r="I462" s="7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H463" s="4"/>
      <c r="I463" s="7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H464" s="4"/>
      <c r="I464" s="7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H465" s="4"/>
      <c r="I465" s="7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H466" s="4"/>
      <c r="I466" s="7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H467" s="4"/>
      <c r="I467" s="7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H468" s="4"/>
      <c r="I468" s="7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H469" s="4"/>
      <c r="I469" s="7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H470" s="4"/>
      <c r="I470" s="7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H471" s="4"/>
      <c r="I471" s="7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H472" s="4"/>
      <c r="I472" s="7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H473" s="4"/>
      <c r="I473" s="7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H474" s="4"/>
      <c r="I474" s="7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H475" s="4"/>
      <c r="I475" s="7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H476" s="4"/>
      <c r="I476" s="7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H477" s="4"/>
      <c r="I477" s="7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H478" s="4"/>
      <c r="I478" s="7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H479" s="4"/>
      <c r="I479" s="7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H480" s="4"/>
      <c r="I480" s="7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H481" s="4"/>
      <c r="I481" s="7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H482" s="4"/>
      <c r="I482" s="7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H483" s="4"/>
      <c r="I483" s="7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H484" s="4"/>
      <c r="I484" s="7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H485" s="4"/>
      <c r="I485" s="7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H486" s="4"/>
      <c r="I486" s="7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H487" s="4"/>
      <c r="I487" s="7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H488" s="4"/>
      <c r="I488" s="7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H489" s="4"/>
      <c r="I489" s="7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H490" s="4"/>
      <c r="I490" s="7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H491" s="4"/>
      <c r="I491" s="7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H492" s="4"/>
      <c r="I492" s="7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H493" s="4"/>
      <c r="I493" s="7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H494" s="4"/>
      <c r="I494" s="7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H495" s="4"/>
      <c r="I495" s="7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H496" s="4"/>
      <c r="I496" s="7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H497" s="4"/>
      <c r="I497" s="7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H498" s="4"/>
      <c r="I498" s="7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H499" s="4"/>
      <c r="I499" s="7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H500" s="4"/>
      <c r="I500" s="7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H501" s="4"/>
      <c r="I501" s="7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H502" s="4"/>
      <c r="I502" s="7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H503" s="4"/>
      <c r="I503" s="7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H504" s="4"/>
      <c r="I504" s="7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H505" s="4"/>
      <c r="I505" s="7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H506" s="4"/>
      <c r="I506" s="7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H507" s="4"/>
      <c r="I507" s="7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H508" s="4"/>
      <c r="I508" s="7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H509" s="4"/>
      <c r="I509" s="7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H510" s="4"/>
      <c r="I510" s="7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H511" s="4"/>
      <c r="I511" s="7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H512" s="4"/>
      <c r="I512" s="7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H513" s="4"/>
      <c r="I513" s="7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H514" s="4"/>
      <c r="I514" s="7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H515" s="4"/>
      <c r="I515" s="7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H516" s="4"/>
      <c r="I516" s="7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H517" s="4"/>
      <c r="I517" s="7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H518" s="4"/>
      <c r="I518" s="7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H519" s="4"/>
      <c r="I519" s="7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H520" s="4"/>
      <c r="I520" s="7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H521" s="4"/>
      <c r="I521" s="7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H522" s="4"/>
      <c r="I522" s="7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H523" s="4"/>
      <c r="I523" s="7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H524" s="4"/>
      <c r="I524" s="7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H525" s="4"/>
      <c r="I525" s="7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H526" s="4"/>
      <c r="I526" s="7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H527" s="4"/>
      <c r="I527" s="7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H528" s="4"/>
      <c r="I528" s="7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H529" s="4"/>
      <c r="I529" s="7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H530" s="4"/>
      <c r="I530" s="7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H531" s="4"/>
      <c r="I531" s="7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H532" s="4"/>
      <c r="I532" s="7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H533" s="4"/>
      <c r="I533" s="7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H534" s="4"/>
      <c r="I534" s="7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H535" s="4"/>
      <c r="I535" s="7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H536" s="4"/>
      <c r="I536" s="7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H537" s="4"/>
      <c r="I537" s="7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H538" s="4"/>
      <c r="I538" s="7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H539" s="4"/>
      <c r="I539" s="7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H540" s="4"/>
      <c r="I540" s="7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H541" s="4"/>
      <c r="I541" s="7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H542" s="4"/>
      <c r="I542" s="7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H543" s="4"/>
      <c r="I543" s="7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H544" s="4"/>
      <c r="I544" s="7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H545" s="4"/>
      <c r="I545" s="7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H546" s="4"/>
      <c r="I546" s="7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H547" s="4"/>
      <c r="I547" s="7"/>
      <c r="J547" s="4"/>
      <c r="K547" s="4"/>
      <c r="L547" s="4"/>
      <c r="M547" s="4"/>
      <c r="N547" s="4"/>
    </row>
  </sheetData>
  <autoFilter ref="A1:N2" xr:uid="{00000000-0009-0000-0000-000008000000}">
    <sortState xmlns:xlrd2="http://schemas.microsoft.com/office/spreadsheetml/2017/richdata2" ref="A2:N51">
      <sortCondition ref="G1:G2"/>
    </sortState>
  </autoFilter>
  <dataValidations count="1">
    <dataValidation type="list" allowBlank="1" showInputMessage="1" showErrorMessage="1" sqref="C20:C547 C2:C18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B14:B24 B26 B2:B11 B28:B43 B45:B46 B48:B65 B67:B68 B70:B84 B86:B88 B90:B547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D2:D547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E2:E547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M2:M547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N2:N547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11"/>
  <sheetViews>
    <sheetView workbookViewId="0">
      <selection activeCell="A2" sqref="A2:M11"/>
    </sheetView>
  </sheetViews>
  <sheetFormatPr defaultColWidth="9" defaultRowHeight="14.4"/>
  <cols>
    <col min="1" max="1" width="5.33203125" customWidth="1"/>
    <col min="2" max="2" width="8.6640625" customWidth="1"/>
    <col min="3" max="3" width="8.33203125" customWidth="1"/>
    <col min="4" max="4" width="8.88671875" customWidth="1"/>
    <col min="5" max="5" width="8.21875" customWidth="1"/>
    <col min="6" max="6" width="10.109375" customWidth="1"/>
    <col min="7" max="7" width="41.21875" customWidth="1"/>
    <col min="8" max="8" width="21.109375" customWidth="1"/>
    <col min="9" max="9" width="18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t="s">
        <v>52</v>
      </c>
      <c r="C2" t="s">
        <v>62</v>
      </c>
      <c r="D2" s="4" t="s">
        <v>60</v>
      </c>
      <c r="E2" s="4" t="s">
        <v>97</v>
      </c>
      <c r="F2" s="4"/>
      <c r="G2" t="s">
        <v>273</v>
      </c>
      <c r="H2" s="4" t="s">
        <v>99</v>
      </c>
      <c r="I2" s="44">
        <v>20485.2</v>
      </c>
      <c r="J2" s="52" t="s">
        <v>313</v>
      </c>
      <c r="K2" s="46">
        <v>45991</v>
      </c>
      <c r="L2" s="4" t="s">
        <v>14</v>
      </c>
      <c r="M2" s="4" t="s">
        <v>225</v>
      </c>
      <c r="N2" s="4">
        <v>2025</v>
      </c>
    </row>
    <row r="3" spans="1:14">
      <c r="A3" s="4">
        <v>2</v>
      </c>
      <c r="B3" t="s">
        <v>42</v>
      </c>
      <c r="C3" t="s">
        <v>51</v>
      </c>
      <c r="D3" s="4" t="s">
        <v>60</v>
      </c>
      <c r="E3" s="4" t="s">
        <v>97</v>
      </c>
      <c r="F3" s="4"/>
      <c r="G3" t="s">
        <v>94</v>
      </c>
      <c r="H3" s="4" t="s">
        <v>99</v>
      </c>
      <c r="I3" s="39">
        <v>1398.6013986013986</v>
      </c>
      <c r="J3" s="4">
        <v>2532</v>
      </c>
      <c r="K3" s="46">
        <v>45991</v>
      </c>
      <c r="L3" s="4" t="s">
        <v>14</v>
      </c>
      <c r="M3" s="4" t="s">
        <v>225</v>
      </c>
      <c r="N3" s="4">
        <v>2025</v>
      </c>
    </row>
    <row r="4" spans="1:14">
      <c r="A4" s="4">
        <v>3</v>
      </c>
      <c r="B4" t="s">
        <v>52</v>
      </c>
      <c r="C4" t="s">
        <v>62</v>
      </c>
      <c r="D4" s="4" t="s">
        <v>60</v>
      </c>
      <c r="E4" s="4" t="s">
        <v>97</v>
      </c>
      <c r="F4" s="4"/>
      <c r="G4" t="s">
        <v>98</v>
      </c>
      <c r="H4" s="4" t="s">
        <v>99</v>
      </c>
      <c r="I4" s="39">
        <v>8646</v>
      </c>
      <c r="J4" s="4" t="s">
        <v>307</v>
      </c>
      <c r="K4" s="46">
        <v>45991</v>
      </c>
      <c r="L4" s="4" t="s">
        <v>14</v>
      </c>
      <c r="M4" s="4" t="s">
        <v>225</v>
      </c>
      <c r="N4" s="4">
        <v>2025</v>
      </c>
    </row>
    <row r="5" spans="1:14">
      <c r="A5" s="4">
        <v>4</v>
      </c>
      <c r="B5" t="s">
        <v>33</v>
      </c>
      <c r="C5" t="s">
        <v>34</v>
      </c>
      <c r="D5" s="4" t="s">
        <v>60</v>
      </c>
      <c r="E5" s="4" t="s">
        <v>97</v>
      </c>
      <c r="G5" t="s">
        <v>98</v>
      </c>
      <c r="H5" s="4" t="s">
        <v>99</v>
      </c>
      <c r="I5" s="39">
        <v>1800</v>
      </c>
      <c r="J5" s="4" t="s">
        <v>308</v>
      </c>
      <c r="K5" s="46">
        <v>45991</v>
      </c>
      <c r="L5" s="4" t="s">
        <v>14</v>
      </c>
      <c r="M5" s="4" t="s">
        <v>225</v>
      </c>
      <c r="N5" s="4">
        <v>2025</v>
      </c>
    </row>
    <row r="6" spans="1:14">
      <c r="A6" s="4">
        <v>5</v>
      </c>
      <c r="B6" t="s">
        <v>17</v>
      </c>
      <c r="C6" t="s">
        <v>25</v>
      </c>
      <c r="D6" s="4" t="s">
        <v>60</v>
      </c>
      <c r="E6" s="4" t="s">
        <v>97</v>
      </c>
      <c r="G6" t="s">
        <v>98</v>
      </c>
      <c r="H6" s="4" t="s">
        <v>272</v>
      </c>
      <c r="I6" s="39">
        <v>3600</v>
      </c>
      <c r="J6" s="4" t="s">
        <v>309</v>
      </c>
      <c r="K6" s="46">
        <v>45991</v>
      </c>
      <c r="L6" s="4" t="s">
        <v>14</v>
      </c>
      <c r="M6" s="4" t="s">
        <v>225</v>
      </c>
      <c r="N6" s="4">
        <v>2025</v>
      </c>
    </row>
    <row r="7" spans="1:14">
      <c r="A7" s="4">
        <v>6</v>
      </c>
      <c r="B7" t="s">
        <v>52</v>
      </c>
      <c r="C7" t="s">
        <v>62</v>
      </c>
      <c r="D7" s="4" t="s">
        <v>60</v>
      </c>
      <c r="E7" s="4" t="s">
        <v>97</v>
      </c>
      <c r="G7" t="s">
        <v>98</v>
      </c>
      <c r="H7" s="4" t="s">
        <v>99</v>
      </c>
      <c r="I7" s="39">
        <v>1500</v>
      </c>
      <c r="J7" s="4" t="s">
        <v>310</v>
      </c>
      <c r="K7" s="46">
        <v>45991</v>
      </c>
      <c r="L7" s="4" t="s">
        <v>14</v>
      </c>
      <c r="M7" s="4" t="s">
        <v>225</v>
      </c>
      <c r="N7" s="4">
        <v>2025</v>
      </c>
    </row>
    <row r="8" spans="1:14">
      <c r="A8" s="4">
        <v>7</v>
      </c>
      <c r="B8" t="s">
        <v>42</v>
      </c>
      <c r="C8" t="s">
        <v>51</v>
      </c>
      <c r="D8" s="4" t="s">
        <v>60</v>
      </c>
      <c r="E8" s="4" t="s">
        <v>97</v>
      </c>
      <c r="G8" t="s">
        <v>98</v>
      </c>
      <c r="H8" s="4" t="s">
        <v>99</v>
      </c>
      <c r="I8" s="39">
        <v>15000</v>
      </c>
      <c r="J8" s="4" t="s">
        <v>311</v>
      </c>
      <c r="K8" s="46">
        <v>45991</v>
      </c>
      <c r="L8" s="4" t="s">
        <v>14</v>
      </c>
      <c r="M8" s="4" t="s">
        <v>225</v>
      </c>
      <c r="N8" s="4">
        <v>2025</v>
      </c>
    </row>
    <row r="9" spans="1:14">
      <c r="A9" s="4">
        <v>8</v>
      </c>
      <c r="B9" t="s">
        <v>260</v>
      </c>
      <c r="C9" t="s">
        <v>55</v>
      </c>
      <c r="D9" s="4" t="s">
        <v>60</v>
      </c>
      <c r="E9" s="4" t="s">
        <v>97</v>
      </c>
      <c r="G9" t="s">
        <v>100</v>
      </c>
      <c r="H9" s="4" t="s">
        <v>99</v>
      </c>
      <c r="I9" s="45">
        <v>11520</v>
      </c>
      <c r="J9" s="4" t="s">
        <v>312</v>
      </c>
      <c r="K9" s="46">
        <v>45964</v>
      </c>
      <c r="L9" s="4" t="s">
        <v>14</v>
      </c>
      <c r="M9" s="4" t="s">
        <v>225</v>
      </c>
      <c r="N9" s="4">
        <v>2025</v>
      </c>
    </row>
    <row r="10" spans="1:14">
      <c r="A10" s="4">
        <v>9</v>
      </c>
      <c r="B10" t="s">
        <v>17</v>
      </c>
      <c r="C10" t="s">
        <v>23</v>
      </c>
      <c r="D10" s="4" t="s">
        <v>60</v>
      </c>
      <c r="E10" s="4" t="s">
        <v>97</v>
      </c>
      <c r="G10" t="s">
        <v>100</v>
      </c>
      <c r="H10" t="s">
        <v>99</v>
      </c>
      <c r="I10" s="39">
        <v>4500</v>
      </c>
      <c r="J10" t="s">
        <v>312</v>
      </c>
      <c r="K10" s="46">
        <v>45964</v>
      </c>
      <c r="L10" s="4" t="s">
        <v>14</v>
      </c>
      <c r="M10" s="4" t="s">
        <v>225</v>
      </c>
      <c r="N10" s="4">
        <v>2025</v>
      </c>
    </row>
    <row r="11" spans="1:14">
      <c r="A11" s="4">
        <v>10</v>
      </c>
      <c r="B11" t="s">
        <v>17</v>
      </c>
      <c r="C11" t="s">
        <v>23</v>
      </c>
      <c r="D11" s="4" t="s">
        <v>60</v>
      </c>
      <c r="E11" s="4" t="s">
        <v>97</v>
      </c>
      <c r="G11" t="s">
        <v>100</v>
      </c>
      <c r="H11" t="s">
        <v>272</v>
      </c>
      <c r="I11" s="39">
        <v>1000</v>
      </c>
      <c r="J11" t="s">
        <v>312</v>
      </c>
      <c r="K11" s="46">
        <v>45964</v>
      </c>
      <c r="L11" s="4" t="s">
        <v>14</v>
      </c>
      <c r="M11" s="4" t="s">
        <v>225</v>
      </c>
      <c r="N11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900-000002000000}">
          <x14:formula1>
            <xm:f>List!$C$2:$C$3</xm:f>
          </x14:formula1>
          <xm:sqref>D2:D11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E2:E11</xm:sqref>
        </x14:dataValidation>
        <x14:dataValidation type="list" allowBlank="1" showInputMessage="1" showErrorMessage="1" xr:uid="{00000000-0002-0000-0900-000004000000}">
          <x14:formula1>
            <xm:f>List!$H$2:$H$13</xm:f>
          </x14:formula1>
          <xm:sqref>M2:M11</xm:sqref>
        </x14:dataValidation>
        <x14:dataValidation type="list" allowBlank="1" showInputMessage="1" showErrorMessage="1" xr:uid="{00000000-0002-0000-0900-000005000000}">
          <x14:formula1>
            <xm:f>List!$J$2:$J$4</xm:f>
          </x14:formula1>
          <xm:sqref>N2:N11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5"/>
  <sheetViews>
    <sheetView topLeftCell="C1" workbookViewId="0">
      <selection activeCell="A2" sqref="A2:N5"/>
    </sheetView>
  </sheetViews>
  <sheetFormatPr defaultColWidth="9" defaultRowHeight="14.4"/>
  <cols>
    <col min="1" max="1" width="5.33203125" customWidth="1"/>
    <col min="2" max="2" width="9.33203125" bestFit="1" customWidth="1"/>
    <col min="3" max="3" width="9.6640625" bestFit="1" customWidth="1"/>
    <col min="4" max="4" width="8.88671875" customWidth="1"/>
    <col min="5" max="5" width="11.5546875" bestFit="1" customWidth="1"/>
    <col min="6" max="6" width="10.109375" customWidth="1"/>
    <col min="7" max="7" width="48.21875" bestFit="1" customWidth="1"/>
    <col min="8" max="8" width="17.21875" bestFit="1" customWidth="1"/>
    <col min="9" max="9" width="18" customWidth="1"/>
    <col min="10" max="10" width="10.109375" customWidth="1"/>
    <col min="11" max="11" width="11.109375" customWidth="1"/>
    <col min="12" max="12" width="10.77734375" bestFit="1" customWidth="1"/>
    <col min="13" max="13" width="6.44140625" customWidth="1"/>
    <col min="14" max="14" width="4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9">
        <v>1</v>
      </c>
      <c r="B2" s="4" t="s">
        <v>54</v>
      </c>
      <c r="C2" s="4" t="s">
        <v>55</v>
      </c>
      <c r="D2" s="4" t="s">
        <v>60</v>
      </c>
      <c r="E2" s="4" t="s">
        <v>101</v>
      </c>
      <c r="F2" s="4"/>
      <c r="G2" t="s">
        <v>21</v>
      </c>
      <c r="H2" s="4" t="s">
        <v>102</v>
      </c>
      <c r="I2" s="7">
        <v>4000</v>
      </c>
      <c r="J2" s="4" t="s">
        <v>14</v>
      </c>
      <c r="K2" s="16" t="s">
        <v>14</v>
      </c>
      <c r="L2" s="4" t="s">
        <v>14</v>
      </c>
      <c r="M2" s="4" t="s">
        <v>225</v>
      </c>
      <c r="N2" s="4">
        <v>2025</v>
      </c>
    </row>
    <row r="3" spans="1:14">
      <c r="A3" s="49">
        <v>2</v>
      </c>
      <c r="B3" s="48" t="s">
        <v>42</v>
      </c>
      <c r="C3" s="48" t="s">
        <v>45</v>
      </c>
      <c r="D3" s="4" t="s">
        <v>60</v>
      </c>
      <c r="E3" s="4" t="s">
        <v>101</v>
      </c>
      <c r="G3" s="4" t="s">
        <v>254</v>
      </c>
      <c r="H3" s="4" t="s">
        <v>101</v>
      </c>
      <c r="I3" s="8">
        <v>5000</v>
      </c>
      <c r="J3" s="4" t="s">
        <v>372</v>
      </c>
      <c r="K3" s="16">
        <v>45992</v>
      </c>
      <c r="L3" s="4">
        <v>2025404367</v>
      </c>
      <c r="M3" s="4" t="s">
        <v>225</v>
      </c>
      <c r="N3" s="4">
        <v>2025</v>
      </c>
    </row>
    <row r="4" spans="1:14">
      <c r="A4" s="49">
        <v>3</v>
      </c>
      <c r="B4" s="48" t="s">
        <v>52</v>
      </c>
      <c r="C4" s="48" t="s">
        <v>62</v>
      </c>
      <c r="D4" s="4" t="s">
        <v>60</v>
      </c>
      <c r="E4" s="4" t="s">
        <v>101</v>
      </c>
      <c r="G4" s="4" t="s">
        <v>254</v>
      </c>
      <c r="H4" s="4" t="s">
        <v>101</v>
      </c>
      <c r="I4" s="8">
        <v>5000</v>
      </c>
      <c r="J4" s="4" t="s">
        <v>373</v>
      </c>
      <c r="K4" s="16">
        <v>45992</v>
      </c>
      <c r="L4" s="4">
        <v>2025404398</v>
      </c>
      <c r="M4" s="4" t="s">
        <v>225</v>
      </c>
      <c r="N4" s="4">
        <v>2025</v>
      </c>
    </row>
    <row r="5" spans="1:14">
      <c r="A5" s="49">
        <v>4</v>
      </c>
      <c r="B5" t="s">
        <v>17</v>
      </c>
      <c r="C5" t="s">
        <v>25</v>
      </c>
      <c r="D5" s="4" t="s">
        <v>19</v>
      </c>
      <c r="E5" s="4" t="s">
        <v>101</v>
      </c>
      <c r="G5" s="4" t="s">
        <v>254</v>
      </c>
      <c r="H5" s="4" t="s">
        <v>101</v>
      </c>
      <c r="I5" s="63">
        <v>5500</v>
      </c>
      <c r="J5" s="4" t="s">
        <v>14</v>
      </c>
      <c r="K5" s="16" t="s">
        <v>14</v>
      </c>
      <c r="L5" s="4" t="s">
        <v>14</v>
      </c>
      <c r="M5" s="4" t="s">
        <v>225</v>
      </c>
      <c r="N5" s="4">
        <v>2025</v>
      </c>
    </row>
  </sheetData>
  <dataValidations count="1">
    <dataValidation type="list" allowBlank="1" showInputMessage="1" showErrorMessage="1" sqref="C2" xr:uid="{00000000-0002-0000-0A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A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A00-000002000000}">
          <x14:formula1>
            <xm:f>List!$C$2:$C$3</xm:f>
          </x14:formula1>
          <xm:sqref>D2:D4</xm:sqref>
        </x14:dataValidation>
        <x14:dataValidation type="list" allowBlank="1" showInputMessage="1" showErrorMessage="1" xr:uid="{00000000-0002-0000-0A00-000003000000}">
          <x14:formula1>
            <xm:f>List!$E$2:$E$32</xm:f>
          </x14:formula1>
          <xm:sqref>H3:H5 E2:E5</xm:sqref>
        </x14:dataValidation>
        <x14:dataValidation type="list" allowBlank="1" showInputMessage="1" showErrorMessage="1" xr:uid="{00000000-0002-0000-0A00-000004000000}">
          <x14:formula1>
            <xm:f>List!$H$2:$H$13</xm:f>
          </x14:formula1>
          <xm:sqref>M2:M5</xm:sqref>
        </x14:dataValidation>
        <x14:dataValidation type="list" allowBlank="1" showInputMessage="1" showErrorMessage="1" xr:uid="{00000000-0002-0000-0A00-000005000000}">
          <x14:formula1>
            <xm:f>List!$J$2:$J$4</xm:f>
          </x14:formula1>
          <xm:sqref>N2:N5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20"/>
  <sheetViews>
    <sheetView workbookViewId="0">
      <selection activeCell="B2" sqref="B2:N9"/>
    </sheetView>
  </sheetViews>
  <sheetFormatPr defaultColWidth="9" defaultRowHeight="14.4"/>
  <cols>
    <col min="1" max="1" width="5.44140625" bestFit="1" customWidth="1"/>
    <col min="2" max="2" width="9.33203125" bestFit="1" customWidth="1"/>
    <col min="3" max="3" width="10.6640625" bestFit="1" customWidth="1"/>
    <col min="4" max="4" width="9" bestFit="1" customWidth="1"/>
    <col min="5" max="5" width="22.88671875" bestFit="1" customWidth="1"/>
    <col min="6" max="6" width="10.21875" bestFit="1" customWidth="1"/>
    <col min="7" max="7" width="13.77734375" bestFit="1" customWidth="1"/>
    <col min="8" max="8" width="19" customWidth="1"/>
    <col min="9" max="9" width="17.88671875" bestFit="1" customWidth="1"/>
    <col min="10" max="10" width="11.88671875" bestFit="1" customWidth="1"/>
    <col min="11" max="11" width="11.21875" bestFit="1" customWidth="1"/>
    <col min="12" max="12" width="10.33203125" bestFit="1" customWidth="1"/>
    <col min="13" max="13" width="6.44140625" customWidth="1"/>
    <col min="14" max="14" width="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>
      <c r="A2" s="4">
        <v>1</v>
      </c>
      <c r="B2" s="4" t="s">
        <v>17</v>
      </c>
      <c r="C2" s="4" t="s">
        <v>22</v>
      </c>
      <c r="D2" s="4" t="s">
        <v>19</v>
      </c>
      <c r="E2" s="4" t="s">
        <v>103</v>
      </c>
      <c r="F2" s="4"/>
      <c r="G2" t="s">
        <v>104</v>
      </c>
      <c r="H2" s="4" t="s">
        <v>105</v>
      </c>
      <c r="I2" s="7">
        <f>1683000/1430</f>
        <v>1176.9230769230769</v>
      </c>
      <c r="J2" s="4" t="s">
        <v>14</v>
      </c>
      <c r="K2" s="16" t="s">
        <v>14</v>
      </c>
      <c r="L2" s="4" t="s">
        <v>14</v>
      </c>
      <c r="M2" s="4" t="s">
        <v>225</v>
      </c>
      <c r="N2" s="4">
        <v>2025</v>
      </c>
    </row>
    <row r="3" spans="1:16">
      <c r="A3" s="4">
        <v>4</v>
      </c>
      <c r="B3" t="s">
        <v>29</v>
      </c>
      <c r="C3" s="4" t="s">
        <v>30</v>
      </c>
      <c r="D3" s="4" t="s">
        <v>60</v>
      </c>
      <c r="E3" s="4" t="s">
        <v>103</v>
      </c>
      <c r="G3" t="s">
        <v>106</v>
      </c>
      <c r="H3" s="4" t="s">
        <v>107</v>
      </c>
      <c r="I3" s="8">
        <v>161.51516052231824</v>
      </c>
      <c r="J3" s="4">
        <v>63</v>
      </c>
      <c r="K3" s="16">
        <v>45930</v>
      </c>
      <c r="L3" s="4" t="s">
        <v>14</v>
      </c>
      <c r="M3" s="4" t="s">
        <v>225</v>
      </c>
      <c r="N3" s="4">
        <v>2025</v>
      </c>
    </row>
    <row r="4" spans="1:16">
      <c r="A4" s="4">
        <v>5</v>
      </c>
      <c r="B4" t="s">
        <v>27</v>
      </c>
      <c r="C4" t="s">
        <v>262</v>
      </c>
      <c r="D4" s="4" t="s">
        <v>60</v>
      </c>
      <c r="E4" s="4" t="s">
        <v>103</v>
      </c>
      <c r="G4" t="s">
        <v>106</v>
      </c>
      <c r="H4" s="4" t="s">
        <v>107</v>
      </c>
      <c r="I4" s="8">
        <v>1391.2517004942633</v>
      </c>
      <c r="J4" s="4">
        <v>63</v>
      </c>
      <c r="K4" s="16">
        <v>45930</v>
      </c>
      <c r="L4" s="4" t="s">
        <v>14</v>
      </c>
      <c r="M4" s="4" t="s">
        <v>225</v>
      </c>
      <c r="N4" s="4">
        <v>2025</v>
      </c>
    </row>
    <row r="5" spans="1:16">
      <c r="A5" s="4">
        <v>6</v>
      </c>
      <c r="B5" t="s">
        <v>54</v>
      </c>
      <c r="C5" t="s">
        <v>55</v>
      </c>
      <c r="D5" s="4" t="s">
        <v>60</v>
      </c>
      <c r="E5" s="4" t="s">
        <v>103</v>
      </c>
      <c r="G5" t="s">
        <v>106</v>
      </c>
      <c r="H5" s="4" t="s">
        <v>107</v>
      </c>
      <c r="I5" s="8">
        <v>435.04415567240517</v>
      </c>
      <c r="J5" s="4">
        <v>63</v>
      </c>
      <c r="K5" s="16">
        <v>45930</v>
      </c>
      <c r="L5" s="4" t="s">
        <v>14</v>
      </c>
      <c r="M5" s="4" t="s">
        <v>225</v>
      </c>
      <c r="N5" s="4">
        <v>2025</v>
      </c>
    </row>
    <row r="6" spans="1:16">
      <c r="A6" s="4">
        <v>7</v>
      </c>
      <c r="B6" t="s">
        <v>58</v>
      </c>
      <c r="C6" t="s">
        <v>59</v>
      </c>
      <c r="D6" s="4" t="s">
        <v>60</v>
      </c>
      <c r="E6" s="4" t="s">
        <v>103</v>
      </c>
      <c r="G6" t="s">
        <v>106</v>
      </c>
      <c r="H6" s="4" t="s">
        <v>107</v>
      </c>
      <c r="I6" s="39">
        <v>390.47513475894499</v>
      </c>
      <c r="J6" s="4">
        <v>63</v>
      </c>
      <c r="K6" s="16">
        <v>45930</v>
      </c>
      <c r="L6" s="4" t="s">
        <v>14</v>
      </c>
      <c r="M6" s="4" t="s">
        <v>225</v>
      </c>
      <c r="N6" s="4">
        <v>2025</v>
      </c>
    </row>
    <row r="7" spans="1:16">
      <c r="A7" s="4">
        <v>8</v>
      </c>
      <c r="B7" t="s">
        <v>259</v>
      </c>
      <c r="C7" t="s">
        <v>32</v>
      </c>
      <c r="D7" s="4" t="s">
        <v>60</v>
      </c>
      <c r="E7" s="4" t="s">
        <v>103</v>
      </c>
      <c r="G7" t="s">
        <v>106</v>
      </c>
      <c r="H7" s="4" t="s">
        <v>107</v>
      </c>
      <c r="I7" s="39">
        <v>0.63882263309292686</v>
      </c>
      <c r="J7" s="4">
        <v>63</v>
      </c>
      <c r="K7" s="16">
        <v>45930</v>
      </c>
      <c r="L7" s="4" t="s">
        <v>14</v>
      </c>
      <c r="M7" s="4" t="s">
        <v>225</v>
      </c>
      <c r="N7" s="4">
        <v>2025</v>
      </c>
    </row>
    <row r="8" spans="1:16">
      <c r="A8" s="4">
        <v>9</v>
      </c>
      <c r="B8" t="s">
        <v>33</v>
      </c>
      <c r="C8" t="s">
        <v>263</v>
      </c>
      <c r="D8" s="4" t="s">
        <v>60</v>
      </c>
      <c r="E8" s="4" t="s">
        <v>103</v>
      </c>
      <c r="G8" t="s">
        <v>106</v>
      </c>
      <c r="H8" s="4" t="s">
        <v>107</v>
      </c>
      <c r="I8" s="39">
        <v>2406.1001917659919</v>
      </c>
      <c r="J8" s="4">
        <v>63</v>
      </c>
      <c r="K8" s="16">
        <v>45930</v>
      </c>
      <c r="L8" s="4" t="s">
        <v>14</v>
      </c>
      <c r="M8" s="4" t="s">
        <v>225</v>
      </c>
      <c r="N8" s="4">
        <v>2025</v>
      </c>
    </row>
    <row r="9" spans="1:16">
      <c r="A9" s="4">
        <v>10</v>
      </c>
      <c r="B9" t="s">
        <v>261</v>
      </c>
      <c r="C9" t="s">
        <v>62</v>
      </c>
      <c r="D9" s="4" t="s">
        <v>60</v>
      </c>
      <c r="E9" s="4" t="s">
        <v>103</v>
      </c>
      <c r="G9" t="s">
        <v>106</v>
      </c>
      <c r="H9" s="4" t="s">
        <v>107</v>
      </c>
      <c r="I9" s="39">
        <v>897.49231667046638</v>
      </c>
      <c r="J9" s="4">
        <v>63</v>
      </c>
      <c r="K9" s="16">
        <v>45930</v>
      </c>
      <c r="L9" s="4" t="s">
        <v>14</v>
      </c>
      <c r="M9" s="4" t="s">
        <v>225</v>
      </c>
      <c r="N9" s="4">
        <v>2025</v>
      </c>
    </row>
    <row r="10" spans="1:16">
      <c r="I10" s="8"/>
    </row>
    <row r="11" spans="1:16">
      <c r="I11" s="39"/>
    </row>
    <row r="14" spans="1:16">
      <c r="H14" s="60"/>
      <c r="I14" s="7"/>
      <c r="J14" s="8"/>
      <c r="K14" s="8"/>
      <c r="L14" s="8"/>
      <c r="M14" s="39"/>
      <c r="N14" s="39"/>
      <c r="O14" s="39"/>
      <c r="P14" s="39"/>
    </row>
    <row r="15" spans="1:16">
      <c r="H15" s="60"/>
      <c r="I15" s="7"/>
      <c r="J15" s="59"/>
      <c r="K15" s="59"/>
      <c r="L15" s="59"/>
      <c r="M15" s="59"/>
      <c r="N15" s="59"/>
      <c r="O15" s="59"/>
      <c r="P15" s="59"/>
    </row>
    <row r="16" spans="1:16">
      <c r="H16" s="60"/>
      <c r="I16" s="7"/>
    </row>
    <row r="17" spans="8:9">
      <c r="H17" s="60"/>
      <c r="I17" s="7"/>
    </row>
    <row r="18" spans="8:9">
      <c r="H18" s="60"/>
      <c r="I18" s="7"/>
    </row>
    <row r="19" spans="8:9">
      <c r="H19" s="60"/>
      <c r="I19" s="7"/>
    </row>
    <row r="20" spans="8:9">
      <c r="H20" s="60"/>
      <c r="I20" s="7"/>
    </row>
  </sheetData>
  <dataValidations count="1">
    <dataValidation type="list" allowBlank="1" showInputMessage="1" showErrorMessage="1" sqref="C2:C3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B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D2:D9</xm:sqref>
        </x14:dataValidation>
        <x14:dataValidation type="list" allowBlank="1" showInputMessage="1" showErrorMessage="1" xr:uid="{00000000-0002-0000-0B00-000003000000}">
          <x14:formula1>
            <xm:f>List!$H$2:$H$13</xm:f>
          </x14:formula1>
          <xm:sqref>M2:M9</xm:sqref>
        </x14:dataValidation>
        <x14:dataValidation type="list" allowBlank="1" showInputMessage="1" showErrorMessage="1" xr:uid="{00000000-0002-0000-0B00-000004000000}">
          <x14:formula1>
            <xm:f>List!$J$2:$J$4</xm:f>
          </x14:formula1>
          <xm:sqref>N2:N9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N2"/>
  <sheetViews>
    <sheetView workbookViewId="0">
      <selection activeCell="A2" sqref="A2:N2"/>
    </sheetView>
  </sheetViews>
  <sheetFormatPr defaultColWidth="9" defaultRowHeight="14.4"/>
  <cols>
    <col min="1" max="1" width="5.33203125" customWidth="1"/>
    <col min="2" max="2" width="6.88671875" customWidth="1"/>
    <col min="3" max="3" width="9.33203125" customWidth="1"/>
    <col min="4" max="4" width="8.88671875" customWidth="1"/>
    <col min="5" max="5" width="12.44140625" customWidth="1"/>
    <col min="6" max="6" width="10.109375" customWidth="1"/>
    <col min="7" max="7" width="13.88671875" customWidth="1"/>
    <col min="8" max="8" width="12.44140625" customWidth="1"/>
    <col min="9" max="9" width="18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58</v>
      </c>
      <c r="C2" t="s">
        <v>108</v>
      </c>
      <c r="D2" s="4" t="s">
        <v>19</v>
      </c>
      <c r="E2" s="4" t="s">
        <v>109</v>
      </c>
      <c r="F2" s="4"/>
      <c r="G2" t="s">
        <v>21</v>
      </c>
      <c r="H2" s="4" t="s">
        <v>109</v>
      </c>
      <c r="I2" s="7">
        <v>25000</v>
      </c>
      <c r="J2" s="4" t="s">
        <v>14</v>
      </c>
      <c r="K2" s="4" t="s">
        <v>14</v>
      </c>
      <c r="L2" s="4" t="s">
        <v>14</v>
      </c>
      <c r="M2" s="4" t="s">
        <v>225</v>
      </c>
      <c r="N2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C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</xm:sqref>
        </x14:dataValidation>
        <x14:dataValidation type="list" allowBlank="1" showInputMessage="1" showErrorMessage="1" xr:uid="{00000000-0002-0000-0C00-000002000000}">
          <x14:formula1>
            <xm:f>List!$H$2:$H$13</xm:f>
          </x14:formula1>
          <xm:sqref>M2</xm:sqref>
        </x14:dataValidation>
        <x14:dataValidation type="list" allowBlank="1" showInputMessage="1" showErrorMessage="1" xr:uid="{00000000-0002-0000-0C00-000003000000}">
          <x14:formula1>
            <xm:f>List!$J$2:$J$4</xm:f>
          </x14:formula1>
          <xm:sqref>N2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2"/>
  <sheetViews>
    <sheetView workbookViewId="0">
      <selection activeCell="A2" sqref="A2:N2"/>
    </sheetView>
  </sheetViews>
  <sheetFormatPr defaultColWidth="9" defaultRowHeight="14.4"/>
  <cols>
    <col min="1" max="1" width="5.33203125" bestFit="1" customWidth="1"/>
    <col min="2" max="2" width="6.88671875" bestFit="1" customWidth="1"/>
    <col min="3" max="3" width="9.44140625" bestFit="1" customWidth="1"/>
    <col min="5" max="5" width="15.6640625" bestFit="1" customWidth="1"/>
    <col min="6" max="6" width="10.21875" bestFit="1" customWidth="1"/>
    <col min="7" max="7" width="7" bestFit="1" customWidth="1"/>
    <col min="8" max="8" width="15.6640625" bestFit="1" customWidth="1"/>
    <col min="9" max="9" width="18.109375" bestFit="1" customWidth="1"/>
    <col min="10" max="10" width="10.109375" bestFit="1" customWidth="1"/>
    <col min="11" max="11" width="11.21875" bestFit="1" customWidth="1"/>
    <col min="12" max="12" width="10.5546875" bestFit="1" customWidth="1"/>
    <col min="13" max="13" width="6.5546875" bestFit="1" customWidth="1"/>
    <col min="14" max="14" width="4.77734375" bestFit="1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12">
        <v>1</v>
      </c>
      <c r="B2" s="34" t="s">
        <v>58</v>
      </c>
      <c r="C2" s="34" t="s">
        <v>59</v>
      </c>
      <c r="D2" s="13" t="s">
        <v>60</v>
      </c>
      <c r="E2" s="34" t="s">
        <v>233</v>
      </c>
      <c r="F2" s="12"/>
      <c r="G2" s="34" t="s">
        <v>21</v>
      </c>
      <c r="H2" s="34" t="s">
        <v>233</v>
      </c>
      <c r="I2" s="14">
        <v>507717</v>
      </c>
      <c r="J2" s="12" t="s">
        <v>14</v>
      </c>
      <c r="K2" s="12" t="s">
        <v>14</v>
      </c>
      <c r="L2" s="12" t="s">
        <v>14</v>
      </c>
      <c r="M2" s="56" t="s">
        <v>225</v>
      </c>
      <c r="N2" s="12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rgb="FFFFFF00"/>
  </sheetPr>
  <dimension ref="A1:N5"/>
  <sheetViews>
    <sheetView workbookViewId="0">
      <selection activeCell="A2" sqref="A2:N4"/>
    </sheetView>
  </sheetViews>
  <sheetFormatPr defaultRowHeight="14.4"/>
  <cols>
    <col min="1" max="1" width="5.33203125" bestFit="1" customWidth="1"/>
    <col min="2" max="2" width="8.88671875" bestFit="1" customWidth="1"/>
    <col min="3" max="3" width="9.44140625" bestFit="1" customWidth="1"/>
    <col min="4" max="4" width="9" bestFit="1" customWidth="1"/>
    <col min="5" max="5" width="15.6640625" bestFit="1" customWidth="1"/>
    <col min="6" max="6" width="10.21875" bestFit="1" customWidth="1"/>
    <col min="7" max="7" width="14.5546875" bestFit="1" customWidth="1"/>
    <col min="8" max="8" width="15.6640625" bestFit="1" customWidth="1"/>
    <col min="9" max="9" width="18.109375" bestFit="1" customWidth="1"/>
    <col min="10" max="10" width="10.109375" bestFit="1" customWidth="1"/>
    <col min="11" max="11" width="11.21875" bestFit="1" customWidth="1"/>
    <col min="12" max="12" width="10.5546875" bestFit="1" customWidth="1"/>
    <col min="13" max="13" width="6.5546875" bestFit="1" customWidth="1"/>
    <col min="14" max="14" width="4.77734375" bestFit="1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12">
        <v>1</v>
      </c>
      <c r="B2" s="34" t="s">
        <v>58</v>
      </c>
      <c r="C2" s="34" t="s">
        <v>59</v>
      </c>
      <c r="D2" s="35" t="s">
        <v>19</v>
      </c>
      <c r="E2" s="34" t="s">
        <v>133</v>
      </c>
      <c r="F2" s="12"/>
      <c r="G2" s="34" t="s">
        <v>234</v>
      </c>
      <c r="H2" s="34" t="s">
        <v>133</v>
      </c>
      <c r="I2" s="14">
        <f>3925000/1430</f>
        <v>2744.7552447552448</v>
      </c>
      <c r="J2" s="12">
        <v>77</v>
      </c>
      <c r="K2" s="57">
        <v>45995</v>
      </c>
      <c r="L2" s="12" t="s">
        <v>14</v>
      </c>
      <c r="M2" s="56" t="s">
        <v>225</v>
      </c>
      <c r="N2" s="12">
        <v>2025</v>
      </c>
    </row>
    <row r="3" spans="1:14">
      <c r="A3" s="12">
        <v>1</v>
      </c>
      <c r="B3" s="34" t="s">
        <v>33</v>
      </c>
      <c r="C3" s="34" t="s">
        <v>34</v>
      </c>
      <c r="D3" s="35" t="s">
        <v>19</v>
      </c>
      <c r="E3" s="34" t="s">
        <v>133</v>
      </c>
      <c r="F3" s="12"/>
      <c r="G3" s="34" t="s">
        <v>234</v>
      </c>
      <c r="H3" s="34" t="s">
        <v>133</v>
      </c>
      <c r="I3" s="14">
        <v>800</v>
      </c>
      <c r="J3" s="12">
        <v>78</v>
      </c>
      <c r="K3" s="57">
        <v>45995</v>
      </c>
      <c r="L3" s="12" t="s">
        <v>14</v>
      </c>
      <c r="M3" s="56" t="s">
        <v>225</v>
      </c>
      <c r="N3" s="12">
        <v>2025</v>
      </c>
    </row>
    <row r="4" spans="1:14">
      <c r="A4" s="12">
        <v>1</v>
      </c>
      <c r="B4" s="34" t="s">
        <v>58</v>
      </c>
      <c r="C4" s="34" t="s">
        <v>59</v>
      </c>
      <c r="D4" s="35" t="s">
        <v>19</v>
      </c>
      <c r="E4" s="34" t="s">
        <v>133</v>
      </c>
      <c r="F4" s="12"/>
      <c r="G4" s="34" t="s">
        <v>234</v>
      </c>
      <c r="H4" s="34" t="s">
        <v>133</v>
      </c>
      <c r="I4" s="14">
        <v>3545</v>
      </c>
      <c r="J4" s="12">
        <v>77</v>
      </c>
      <c r="K4" s="57">
        <v>45995</v>
      </c>
      <c r="L4" s="12" t="s">
        <v>14</v>
      </c>
      <c r="M4" s="56" t="s">
        <v>225</v>
      </c>
      <c r="N4" s="12">
        <v>2025</v>
      </c>
    </row>
    <row r="5" spans="1:14">
      <c r="K5" s="5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D2:D4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N187"/>
  <sheetViews>
    <sheetView topLeftCell="H181" workbookViewId="0">
      <selection activeCell="A2" sqref="A2:N187"/>
    </sheetView>
  </sheetViews>
  <sheetFormatPr defaultColWidth="9" defaultRowHeight="14.4"/>
  <cols>
    <col min="1" max="1" width="5.33203125" style="4" customWidth="1"/>
    <col min="2" max="4" width="18.44140625" style="4" customWidth="1"/>
    <col min="5" max="5" width="33.6640625" style="4" customWidth="1"/>
    <col min="6" max="6" width="10.6640625" style="4" customWidth="1"/>
    <col min="7" max="7" width="44.33203125" style="4" customWidth="1"/>
    <col min="8" max="8" width="23.21875" style="4" bestFit="1" customWidth="1"/>
    <col min="9" max="13" width="18.44140625" style="4" customWidth="1"/>
    <col min="14" max="14" width="10.33203125" style="4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166</v>
      </c>
      <c r="B2" s="4" t="s">
        <v>17</v>
      </c>
      <c r="C2" s="4" t="s">
        <v>25</v>
      </c>
      <c r="D2" s="4" t="s">
        <v>60</v>
      </c>
      <c r="E2" s="32" t="s">
        <v>72</v>
      </c>
      <c r="G2" s="4" t="s">
        <v>119</v>
      </c>
      <c r="H2" s="4" t="s">
        <v>120</v>
      </c>
      <c r="I2" s="7">
        <v>3608.3916083916083</v>
      </c>
      <c r="J2" s="4" t="s">
        <v>589</v>
      </c>
      <c r="K2" s="16">
        <v>45958</v>
      </c>
      <c r="L2" s="4">
        <v>2025403592</v>
      </c>
      <c r="M2" s="67" t="s">
        <v>225</v>
      </c>
      <c r="N2" s="4">
        <v>2025</v>
      </c>
    </row>
    <row r="3" spans="1:14">
      <c r="A3" s="4">
        <v>181</v>
      </c>
      <c r="B3" s="4" t="s">
        <v>33</v>
      </c>
      <c r="C3" s="4" t="s">
        <v>34</v>
      </c>
      <c r="D3" s="4" t="s">
        <v>60</v>
      </c>
      <c r="E3" s="32" t="s">
        <v>72</v>
      </c>
      <c r="G3" s="4" t="s">
        <v>119</v>
      </c>
      <c r="H3" s="4" t="s">
        <v>120</v>
      </c>
      <c r="I3" s="7">
        <v>8146.8531468531464</v>
      </c>
      <c r="J3" s="4" t="s">
        <v>604</v>
      </c>
      <c r="K3" s="16">
        <v>45958</v>
      </c>
      <c r="L3" s="4">
        <v>2025403896</v>
      </c>
      <c r="M3" s="67" t="s">
        <v>225</v>
      </c>
      <c r="N3" s="4">
        <v>2025</v>
      </c>
    </row>
    <row r="4" spans="1:14">
      <c r="A4" s="4">
        <v>184</v>
      </c>
      <c r="B4" s="4" t="s">
        <v>54</v>
      </c>
      <c r="C4" s="4" t="s">
        <v>55</v>
      </c>
      <c r="D4" s="4" t="s">
        <v>60</v>
      </c>
      <c r="E4" s="32" t="s">
        <v>72</v>
      </c>
      <c r="G4" s="4" t="s">
        <v>119</v>
      </c>
      <c r="H4" s="4" t="s">
        <v>120</v>
      </c>
      <c r="I4" s="7">
        <v>13269.23076923077</v>
      </c>
      <c r="J4" s="4" t="s">
        <v>607</v>
      </c>
      <c r="K4" s="16">
        <v>45974</v>
      </c>
      <c r="L4" s="4">
        <v>2025403925</v>
      </c>
      <c r="M4" s="67" t="s">
        <v>225</v>
      </c>
      <c r="N4" s="4">
        <v>2025</v>
      </c>
    </row>
    <row r="5" spans="1:14">
      <c r="A5" s="4">
        <v>171</v>
      </c>
      <c r="B5" s="4" t="s">
        <v>52</v>
      </c>
      <c r="C5" s="4" t="s">
        <v>62</v>
      </c>
      <c r="D5" s="4" t="s">
        <v>60</v>
      </c>
      <c r="E5" s="32" t="s">
        <v>72</v>
      </c>
      <c r="G5" s="4" t="s">
        <v>422</v>
      </c>
      <c r="H5" s="4" t="s">
        <v>121</v>
      </c>
      <c r="I5" s="7">
        <v>5181.818181818182</v>
      </c>
      <c r="J5" s="4" t="s">
        <v>594</v>
      </c>
      <c r="K5" s="16">
        <v>45962</v>
      </c>
      <c r="L5" s="4">
        <v>2025404013</v>
      </c>
      <c r="M5" s="67" t="s">
        <v>225</v>
      </c>
      <c r="N5" s="4">
        <v>2025</v>
      </c>
    </row>
    <row r="6" spans="1:14">
      <c r="A6" s="4">
        <v>143</v>
      </c>
      <c r="B6" s="4" t="s">
        <v>54</v>
      </c>
      <c r="C6" s="4" t="s">
        <v>96</v>
      </c>
      <c r="D6" s="4" t="s">
        <v>60</v>
      </c>
      <c r="E6" s="32" t="s">
        <v>72</v>
      </c>
      <c r="G6" s="4" t="s">
        <v>246</v>
      </c>
      <c r="H6" s="4" t="s">
        <v>271</v>
      </c>
      <c r="I6" s="9">
        <v>41.95804195804196</v>
      </c>
      <c r="J6" s="4" t="s">
        <v>568</v>
      </c>
      <c r="K6" s="16">
        <v>45984</v>
      </c>
      <c r="L6" s="4">
        <v>2025404305</v>
      </c>
      <c r="M6" s="67" t="s">
        <v>225</v>
      </c>
      <c r="N6" s="4">
        <v>2025</v>
      </c>
    </row>
    <row r="7" spans="1:14">
      <c r="A7" s="4">
        <v>147</v>
      </c>
      <c r="B7" s="4" t="s">
        <v>54</v>
      </c>
      <c r="C7" s="4" t="s">
        <v>96</v>
      </c>
      <c r="D7" s="4" t="s">
        <v>60</v>
      </c>
      <c r="E7" s="4" t="s">
        <v>72</v>
      </c>
      <c r="G7" s="4" t="s">
        <v>246</v>
      </c>
      <c r="H7" s="4" t="s">
        <v>271</v>
      </c>
      <c r="I7" s="7">
        <v>340.90909090909093</v>
      </c>
      <c r="J7" s="4" t="s">
        <v>572</v>
      </c>
      <c r="K7" s="16">
        <v>45984</v>
      </c>
      <c r="L7" s="4">
        <v>2025404304</v>
      </c>
      <c r="M7" s="67" t="s">
        <v>225</v>
      </c>
      <c r="N7" s="4">
        <v>2025</v>
      </c>
    </row>
    <row r="8" spans="1:14">
      <c r="A8" s="4">
        <v>9</v>
      </c>
      <c r="B8" s="4" t="s">
        <v>42</v>
      </c>
      <c r="C8" s="4" t="s">
        <v>44</v>
      </c>
      <c r="D8" s="4" t="s">
        <v>60</v>
      </c>
      <c r="E8" s="32" t="s">
        <v>72</v>
      </c>
      <c r="G8" s="33" t="s">
        <v>122</v>
      </c>
      <c r="H8" s="33" t="s">
        <v>123</v>
      </c>
      <c r="I8" s="7">
        <v>8892.7999999999993</v>
      </c>
      <c r="J8" s="33" t="s">
        <v>434</v>
      </c>
      <c r="K8" s="16">
        <v>45966</v>
      </c>
      <c r="L8" s="33">
        <v>2025403986</v>
      </c>
      <c r="M8" s="67" t="s">
        <v>225</v>
      </c>
      <c r="N8" s="4">
        <v>2025</v>
      </c>
    </row>
    <row r="9" spans="1:14">
      <c r="A9" s="4">
        <v>27</v>
      </c>
      <c r="B9" s="4" t="s">
        <v>52</v>
      </c>
      <c r="C9" s="4" t="s">
        <v>62</v>
      </c>
      <c r="D9" s="4" t="s">
        <v>60</v>
      </c>
      <c r="E9" s="32" t="s">
        <v>72</v>
      </c>
      <c r="G9" s="4" t="s">
        <v>122</v>
      </c>
      <c r="H9" s="33" t="s">
        <v>123</v>
      </c>
      <c r="I9" s="7">
        <v>4864</v>
      </c>
      <c r="J9" s="4" t="s">
        <v>452</v>
      </c>
      <c r="K9" s="16">
        <v>45970</v>
      </c>
      <c r="L9" s="4">
        <v>2025403985</v>
      </c>
      <c r="M9" s="67" t="s">
        <v>225</v>
      </c>
      <c r="N9" s="4">
        <v>2025</v>
      </c>
    </row>
    <row r="10" spans="1:14">
      <c r="A10" s="4">
        <v>28</v>
      </c>
      <c r="B10" s="4" t="s">
        <v>52</v>
      </c>
      <c r="C10" s="4" t="s">
        <v>62</v>
      </c>
      <c r="D10" s="4" t="s">
        <v>60</v>
      </c>
      <c r="E10" s="32" t="s">
        <v>72</v>
      </c>
      <c r="G10" s="4" t="s">
        <v>122</v>
      </c>
      <c r="H10" s="33" t="s">
        <v>123</v>
      </c>
      <c r="I10" s="7">
        <v>4407</v>
      </c>
      <c r="J10" s="4" t="s">
        <v>453</v>
      </c>
      <c r="K10" s="16">
        <v>45970</v>
      </c>
      <c r="L10" s="4">
        <v>2025403983</v>
      </c>
      <c r="M10" s="67" t="s">
        <v>225</v>
      </c>
      <c r="N10" s="4">
        <v>2025</v>
      </c>
    </row>
    <row r="11" spans="1:14">
      <c r="A11" s="4">
        <v>36</v>
      </c>
      <c r="B11" s="4" t="s">
        <v>52</v>
      </c>
      <c r="C11" s="4" t="s">
        <v>62</v>
      </c>
      <c r="D11" s="4" t="s">
        <v>60</v>
      </c>
      <c r="E11" s="4" t="s">
        <v>72</v>
      </c>
      <c r="G11" s="4" t="s">
        <v>122</v>
      </c>
      <c r="H11" s="33" t="s">
        <v>123</v>
      </c>
      <c r="I11" s="7">
        <v>3120</v>
      </c>
      <c r="J11" s="4" t="s">
        <v>461</v>
      </c>
      <c r="K11" s="16">
        <v>45963</v>
      </c>
      <c r="L11" s="4">
        <v>2025404006</v>
      </c>
      <c r="M11" s="67" t="s">
        <v>225</v>
      </c>
      <c r="N11" s="4">
        <v>2025</v>
      </c>
    </row>
    <row r="12" spans="1:14">
      <c r="A12" s="4">
        <v>39</v>
      </c>
      <c r="B12" s="4" t="s">
        <v>42</v>
      </c>
      <c r="C12" s="4" t="s">
        <v>44</v>
      </c>
      <c r="D12" s="4" t="s">
        <v>60</v>
      </c>
      <c r="E12" s="32" t="s">
        <v>72</v>
      </c>
      <c r="G12" s="4" t="s">
        <v>122</v>
      </c>
      <c r="H12" s="33" t="s">
        <v>123</v>
      </c>
      <c r="I12" s="7">
        <v>61620</v>
      </c>
      <c r="J12" s="4" t="s">
        <v>464</v>
      </c>
      <c r="K12" s="16">
        <v>45971</v>
      </c>
      <c r="L12" s="4">
        <v>2025404119</v>
      </c>
      <c r="M12" s="67" t="s">
        <v>225</v>
      </c>
      <c r="N12" s="4">
        <v>2025</v>
      </c>
    </row>
    <row r="13" spans="1:14">
      <c r="A13" s="4">
        <v>92</v>
      </c>
      <c r="B13" s="4" t="s">
        <v>17</v>
      </c>
      <c r="C13" s="4" t="s">
        <v>25</v>
      </c>
      <c r="D13" s="4" t="s">
        <v>60</v>
      </c>
      <c r="E13" s="32" t="s">
        <v>72</v>
      </c>
      <c r="G13" s="4" t="s">
        <v>122</v>
      </c>
      <c r="H13" s="33" t="s">
        <v>123</v>
      </c>
      <c r="I13" s="7">
        <v>383.7</v>
      </c>
      <c r="J13" s="4" t="s">
        <v>517</v>
      </c>
      <c r="K13" s="16">
        <v>45984</v>
      </c>
      <c r="L13" s="4">
        <v>2025404277</v>
      </c>
      <c r="M13" s="67" t="s">
        <v>225</v>
      </c>
      <c r="N13" s="4">
        <v>2025</v>
      </c>
    </row>
    <row r="14" spans="1:14">
      <c r="A14" s="4">
        <v>80</v>
      </c>
      <c r="B14" s="4" t="s">
        <v>17</v>
      </c>
      <c r="C14" s="4" t="s">
        <v>25</v>
      </c>
      <c r="D14" s="4" t="s">
        <v>60</v>
      </c>
      <c r="E14" s="4" t="s">
        <v>72</v>
      </c>
      <c r="G14" s="4" t="s">
        <v>237</v>
      </c>
      <c r="H14" s="4" t="s">
        <v>250</v>
      </c>
      <c r="I14" s="7">
        <v>3270</v>
      </c>
      <c r="J14" s="4" t="s">
        <v>505</v>
      </c>
      <c r="K14" s="16">
        <v>45980</v>
      </c>
      <c r="L14" s="4">
        <v>2025404245</v>
      </c>
      <c r="M14" s="67" t="s">
        <v>225</v>
      </c>
      <c r="N14" s="4">
        <v>2025</v>
      </c>
    </row>
    <row r="15" spans="1:14">
      <c r="A15" s="4">
        <v>26</v>
      </c>
      <c r="B15" s="4" t="s">
        <v>42</v>
      </c>
      <c r="C15" s="4" t="s">
        <v>43</v>
      </c>
      <c r="D15" s="4" t="s">
        <v>60</v>
      </c>
      <c r="E15" s="32" t="s">
        <v>72</v>
      </c>
      <c r="G15" s="33" t="s">
        <v>124</v>
      </c>
      <c r="H15" s="4" t="s">
        <v>121</v>
      </c>
      <c r="I15" s="7">
        <v>1120</v>
      </c>
      <c r="J15" s="33" t="s">
        <v>451</v>
      </c>
      <c r="K15" s="16">
        <v>45956</v>
      </c>
      <c r="L15" s="33">
        <v>2025404123</v>
      </c>
      <c r="M15" s="67" t="s">
        <v>225</v>
      </c>
      <c r="N15" s="4">
        <v>2025</v>
      </c>
    </row>
    <row r="16" spans="1:14">
      <c r="A16" s="4">
        <v>142</v>
      </c>
      <c r="B16" s="4" t="s">
        <v>35</v>
      </c>
      <c r="C16" s="4" t="s">
        <v>36</v>
      </c>
      <c r="D16" s="4" t="s">
        <v>60</v>
      </c>
      <c r="E16" s="4" t="s">
        <v>72</v>
      </c>
      <c r="G16" s="4" t="s">
        <v>124</v>
      </c>
      <c r="H16" s="4" t="s">
        <v>121</v>
      </c>
      <c r="I16" s="7">
        <v>25.174825174825173</v>
      </c>
      <c r="J16" s="4" t="s">
        <v>567</v>
      </c>
      <c r="K16" s="16">
        <v>45981</v>
      </c>
      <c r="L16" s="4">
        <v>2025404299</v>
      </c>
      <c r="M16" s="67" t="s">
        <v>225</v>
      </c>
      <c r="N16" s="4">
        <v>2025</v>
      </c>
    </row>
    <row r="17" spans="1:14">
      <c r="A17" s="4">
        <v>144</v>
      </c>
      <c r="B17" s="4" t="s">
        <v>35</v>
      </c>
      <c r="C17" s="4" t="s">
        <v>36</v>
      </c>
      <c r="D17" s="4" t="s">
        <v>60</v>
      </c>
      <c r="E17" s="4" t="s">
        <v>72</v>
      </c>
      <c r="G17" s="4" t="s">
        <v>124</v>
      </c>
      <c r="H17" s="4" t="s">
        <v>121</v>
      </c>
      <c r="I17" s="7">
        <v>55.944055944055947</v>
      </c>
      <c r="J17" s="4" t="s">
        <v>569</v>
      </c>
      <c r="K17" s="16">
        <v>45981</v>
      </c>
      <c r="L17" s="4">
        <v>2025404390</v>
      </c>
      <c r="M17" s="67" t="s">
        <v>225</v>
      </c>
      <c r="N17" s="4">
        <v>2025</v>
      </c>
    </row>
    <row r="18" spans="1:14">
      <c r="A18" s="4">
        <v>145</v>
      </c>
      <c r="B18" s="4" t="s">
        <v>52</v>
      </c>
      <c r="C18" s="4" t="s">
        <v>62</v>
      </c>
      <c r="D18" s="4" t="s">
        <v>60</v>
      </c>
      <c r="E18" s="32" t="s">
        <v>72</v>
      </c>
      <c r="G18" s="4" t="s">
        <v>124</v>
      </c>
      <c r="H18" s="4" t="s">
        <v>121</v>
      </c>
      <c r="I18" s="7">
        <v>139.86013986013987</v>
      </c>
      <c r="J18" s="4" t="s">
        <v>570</v>
      </c>
      <c r="K18" s="16">
        <v>45962</v>
      </c>
      <c r="L18" s="4">
        <v>2025404146</v>
      </c>
      <c r="M18" s="67" t="s">
        <v>225</v>
      </c>
      <c r="N18" s="4">
        <v>2025</v>
      </c>
    </row>
    <row r="19" spans="1:14">
      <c r="A19" s="4">
        <v>146</v>
      </c>
      <c r="B19" s="4" t="s">
        <v>42</v>
      </c>
      <c r="C19" s="4" t="s">
        <v>43</v>
      </c>
      <c r="D19" s="4" t="s">
        <v>60</v>
      </c>
      <c r="E19" s="32" t="s">
        <v>72</v>
      </c>
      <c r="G19" s="4" t="s">
        <v>124</v>
      </c>
      <c r="H19" s="4" t="s">
        <v>121</v>
      </c>
      <c r="I19" s="7">
        <v>330.76923076923077</v>
      </c>
      <c r="J19" s="4" t="s">
        <v>571</v>
      </c>
      <c r="K19" s="16">
        <v>45979</v>
      </c>
      <c r="L19" s="4">
        <v>2025404396</v>
      </c>
      <c r="M19" s="67" t="s">
        <v>225</v>
      </c>
      <c r="N19" s="4">
        <v>2025</v>
      </c>
    </row>
    <row r="20" spans="1:14">
      <c r="A20" s="4">
        <v>148</v>
      </c>
      <c r="B20" s="4" t="s">
        <v>52</v>
      </c>
      <c r="C20" s="4" t="s">
        <v>62</v>
      </c>
      <c r="D20" s="4" t="s">
        <v>60</v>
      </c>
      <c r="E20" s="32" t="s">
        <v>72</v>
      </c>
      <c r="G20" s="4" t="s">
        <v>124</v>
      </c>
      <c r="H20" s="4" t="s">
        <v>121</v>
      </c>
      <c r="I20" s="7">
        <v>377.6223776223776</v>
      </c>
      <c r="J20" s="4" t="s">
        <v>573</v>
      </c>
      <c r="K20" s="16">
        <v>45978</v>
      </c>
      <c r="L20" s="4">
        <v>2025404267</v>
      </c>
      <c r="M20" s="67" t="s">
        <v>225</v>
      </c>
      <c r="N20" s="4">
        <v>2025</v>
      </c>
    </row>
    <row r="21" spans="1:14">
      <c r="A21" s="4">
        <v>150</v>
      </c>
      <c r="B21" s="4" t="s">
        <v>42</v>
      </c>
      <c r="C21" s="4" t="s">
        <v>50</v>
      </c>
      <c r="D21" s="4" t="s">
        <v>60</v>
      </c>
      <c r="E21" s="32" t="s">
        <v>72</v>
      </c>
      <c r="G21" s="4" t="s">
        <v>124</v>
      </c>
      <c r="H21" s="4" t="s">
        <v>121</v>
      </c>
      <c r="I21" s="7">
        <v>524.47552447552448</v>
      </c>
      <c r="J21" s="4" t="s">
        <v>575</v>
      </c>
      <c r="K21" s="16">
        <v>45962</v>
      </c>
      <c r="L21" s="4">
        <v>2025404059</v>
      </c>
      <c r="M21" s="67" t="s">
        <v>225</v>
      </c>
      <c r="N21" s="4">
        <v>2025</v>
      </c>
    </row>
    <row r="22" spans="1:14">
      <c r="A22" s="4">
        <v>151</v>
      </c>
      <c r="B22" s="32" t="s">
        <v>42</v>
      </c>
      <c r="C22" s="32" t="s">
        <v>47</v>
      </c>
      <c r="D22" s="4" t="s">
        <v>60</v>
      </c>
      <c r="E22" s="4" t="s">
        <v>72</v>
      </c>
      <c r="G22" s="4" t="s">
        <v>124</v>
      </c>
      <c r="H22" s="4" t="s">
        <v>121</v>
      </c>
      <c r="I22" s="7">
        <v>629.37062937062933</v>
      </c>
      <c r="J22" s="4" t="s">
        <v>576</v>
      </c>
      <c r="K22" s="16">
        <v>45969</v>
      </c>
      <c r="L22" s="4">
        <v>2025404133</v>
      </c>
      <c r="M22" s="67" t="s">
        <v>225</v>
      </c>
      <c r="N22" s="4">
        <v>2025</v>
      </c>
    </row>
    <row r="23" spans="1:14">
      <c r="A23" s="4">
        <v>155</v>
      </c>
      <c r="B23" s="4" t="s">
        <v>17</v>
      </c>
      <c r="C23" s="4" t="s">
        <v>24</v>
      </c>
      <c r="D23" s="4" t="s">
        <v>60</v>
      </c>
      <c r="E23" s="32" t="s">
        <v>72</v>
      </c>
      <c r="G23" s="4" t="s">
        <v>124</v>
      </c>
      <c r="H23" s="4" t="s">
        <v>121</v>
      </c>
      <c r="I23" s="7">
        <v>979.02097902097898</v>
      </c>
      <c r="J23" s="4" t="s">
        <v>580</v>
      </c>
      <c r="K23" s="16">
        <v>45978</v>
      </c>
      <c r="L23" s="4">
        <v>2025404266</v>
      </c>
      <c r="M23" s="67" t="s">
        <v>225</v>
      </c>
      <c r="N23" s="4">
        <v>2025</v>
      </c>
    </row>
    <row r="24" spans="1:14">
      <c r="A24" s="4">
        <v>185</v>
      </c>
      <c r="B24" s="4" t="s">
        <v>42</v>
      </c>
      <c r="C24" s="4" t="s">
        <v>50</v>
      </c>
      <c r="D24" s="4" t="s">
        <v>60</v>
      </c>
      <c r="E24" s="4" t="s">
        <v>72</v>
      </c>
      <c r="G24" s="4" t="s">
        <v>424</v>
      </c>
      <c r="H24" s="4" t="s">
        <v>121</v>
      </c>
      <c r="I24" s="7">
        <v>14195.804195804196</v>
      </c>
      <c r="J24" s="4" t="s">
        <v>608</v>
      </c>
      <c r="K24" s="16">
        <v>45971</v>
      </c>
      <c r="L24" s="4">
        <v>2025404191</v>
      </c>
      <c r="M24" s="67" t="s">
        <v>225</v>
      </c>
      <c r="N24" s="4">
        <v>2025</v>
      </c>
    </row>
    <row r="25" spans="1:14">
      <c r="A25" s="4">
        <v>167</v>
      </c>
      <c r="B25" s="4" t="s">
        <v>54</v>
      </c>
      <c r="C25" s="4" t="s">
        <v>55</v>
      </c>
      <c r="D25" s="4" t="s">
        <v>60</v>
      </c>
      <c r="E25" s="32" t="s">
        <v>72</v>
      </c>
      <c r="G25" s="4" t="s">
        <v>248</v>
      </c>
      <c r="H25" s="4" t="s">
        <v>121</v>
      </c>
      <c r="I25" s="7">
        <v>3671.3286713286711</v>
      </c>
      <c r="J25" s="4" t="s">
        <v>590</v>
      </c>
      <c r="K25" s="16">
        <v>45969</v>
      </c>
      <c r="L25" s="4">
        <v>2025403935</v>
      </c>
      <c r="M25" s="67" t="s">
        <v>225</v>
      </c>
      <c r="N25" s="4">
        <v>2025</v>
      </c>
    </row>
    <row r="26" spans="1:14">
      <c r="A26" s="4">
        <v>168</v>
      </c>
      <c r="B26" s="4" t="s">
        <v>42</v>
      </c>
      <c r="C26" s="4" t="s">
        <v>50</v>
      </c>
      <c r="D26" s="4" t="s">
        <v>60</v>
      </c>
      <c r="E26" s="32" t="s">
        <v>72</v>
      </c>
      <c r="G26" s="4" t="s">
        <v>247</v>
      </c>
      <c r="H26" s="4" t="s">
        <v>251</v>
      </c>
      <c r="I26" s="7">
        <v>4090.909090909091</v>
      </c>
      <c r="J26" s="4" t="s">
        <v>591</v>
      </c>
      <c r="K26" s="16">
        <v>45959</v>
      </c>
      <c r="L26" s="4">
        <v>2025403933</v>
      </c>
      <c r="M26" s="67" t="s">
        <v>225</v>
      </c>
      <c r="N26" s="4">
        <v>2025</v>
      </c>
    </row>
    <row r="27" spans="1:14">
      <c r="A27" s="4">
        <v>169</v>
      </c>
      <c r="B27" s="4" t="s">
        <v>42</v>
      </c>
      <c r="C27" s="4" t="s">
        <v>50</v>
      </c>
      <c r="D27" s="4" t="s">
        <v>60</v>
      </c>
      <c r="E27" s="32" t="s">
        <v>72</v>
      </c>
      <c r="G27" s="4" t="s">
        <v>247</v>
      </c>
      <c r="H27" s="4" t="s">
        <v>251</v>
      </c>
      <c r="I27" s="7">
        <v>4090.909090909091</v>
      </c>
      <c r="J27" s="4" t="s">
        <v>592</v>
      </c>
      <c r="K27" s="16">
        <v>45984</v>
      </c>
      <c r="L27" s="4">
        <v>2025404311</v>
      </c>
      <c r="M27" s="67" t="s">
        <v>225</v>
      </c>
      <c r="N27" s="4">
        <v>2025</v>
      </c>
    </row>
    <row r="28" spans="1:14">
      <c r="A28" s="4">
        <v>172</v>
      </c>
      <c r="B28" s="32" t="s">
        <v>54</v>
      </c>
      <c r="C28" s="32" t="s">
        <v>55</v>
      </c>
      <c r="D28" s="4" t="s">
        <v>60</v>
      </c>
      <c r="E28" s="32" t="s">
        <v>72</v>
      </c>
      <c r="G28" s="32" t="s">
        <v>247</v>
      </c>
      <c r="H28" s="4" t="s">
        <v>251</v>
      </c>
      <c r="I28" s="7">
        <v>5672.727272727273</v>
      </c>
      <c r="J28" s="4" t="s">
        <v>595</v>
      </c>
      <c r="K28" s="16">
        <v>45960</v>
      </c>
      <c r="L28" s="4">
        <v>2025404028</v>
      </c>
      <c r="M28" s="67" t="s">
        <v>225</v>
      </c>
      <c r="N28" s="4">
        <v>2025</v>
      </c>
    </row>
    <row r="29" spans="1:14">
      <c r="A29" s="4">
        <v>173</v>
      </c>
      <c r="B29" s="4" t="s">
        <v>54</v>
      </c>
      <c r="C29" s="4" t="s">
        <v>55</v>
      </c>
      <c r="D29" s="4" t="s">
        <v>60</v>
      </c>
      <c r="E29" s="32" t="s">
        <v>72</v>
      </c>
      <c r="G29" s="4" t="s">
        <v>247</v>
      </c>
      <c r="H29" s="4" t="s">
        <v>251</v>
      </c>
      <c r="I29" s="7">
        <v>5672.727272727273</v>
      </c>
      <c r="J29" s="4" t="s">
        <v>596</v>
      </c>
      <c r="K29" s="16">
        <v>45976</v>
      </c>
      <c r="L29" s="4">
        <v>2025404249</v>
      </c>
      <c r="M29" s="67" t="s">
        <v>225</v>
      </c>
      <c r="N29" s="4">
        <v>2025</v>
      </c>
    </row>
    <row r="30" spans="1:14">
      <c r="A30" s="4">
        <v>174</v>
      </c>
      <c r="B30" s="4" t="s">
        <v>54</v>
      </c>
      <c r="C30" s="4" t="s">
        <v>55</v>
      </c>
      <c r="D30" s="4" t="s">
        <v>60</v>
      </c>
      <c r="E30" s="32" t="s">
        <v>72</v>
      </c>
      <c r="G30" s="4" t="s">
        <v>247</v>
      </c>
      <c r="H30" s="4" t="s">
        <v>251</v>
      </c>
      <c r="I30" s="7">
        <v>5672.727272727273</v>
      </c>
      <c r="J30" s="4" t="s">
        <v>597</v>
      </c>
      <c r="K30" s="16">
        <v>45983</v>
      </c>
      <c r="L30" s="4">
        <v>2025404318</v>
      </c>
      <c r="M30" s="67" t="s">
        <v>225</v>
      </c>
      <c r="N30" s="4">
        <v>2025</v>
      </c>
    </row>
    <row r="31" spans="1:14">
      <c r="A31" s="4">
        <v>175</v>
      </c>
      <c r="B31" s="32" t="s">
        <v>17</v>
      </c>
      <c r="C31" s="32" t="s">
        <v>25</v>
      </c>
      <c r="D31" s="4" t="s">
        <v>60</v>
      </c>
      <c r="E31" s="4" t="s">
        <v>72</v>
      </c>
      <c r="G31" s="4" t="s">
        <v>247</v>
      </c>
      <c r="H31" s="4" t="s">
        <v>251</v>
      </c>
      <c r="I31" s="7">
        <v>5672.727272727273</v>
      </c>
      <c r="J31" s="4" t="s">
        <v>598</v>
      </c>
      <c r="K31" s="16">
        <v>45985</v>
      </c>
      <c r="L31" s="4">
        <v>2025404384</v>
      </c>
      <c r="M31" s="67" t="s">
        <v>225</v>
      </c>
      <c r="N31" s="4">
        <v>2025</v>
      </c>
    </row>
    <row r="32" spans="1:14">
      <c r="A32" s="4">
        <v>178</v>
      </c>
      <c r="B32" s="4" t="s">
        <v>54</v>
      </c>
      <c r="C32" s="4" t="s">
        <v>55</v>
      </c>
      <c r="D32" s="4" t="s">
        <v>60</v>
      </c>
      <c r="E32" s="4" t="s">
        <v>72</v>
      </c>
      <c r="G32" s="4" t="s">
        <v>247</v>
      </c>
      <c r="H32" s="4" t="s">
        <v>251</v>
      </c>
      <c r="I32" s="7">
        <v>7036.363636363636</v>
      </c>
      <c r="J32" s="4" t="s">
        <v>601</v>
      </c>
      <c r="K32" s="16">
        <v>45965</v>
      </c>
      <c r="L32" s="4">
        <v>2025404175</v>
      </c>
      <c r="M32" s="67" t="s">
        <v>225</v>
      </c>
      <c r="N32" s="4">
        <v>2025</v>
      </c>
    </row>
    <row r="33" spans="1:14">
      <c r="A33" s="4">
        <v>159</v>
      </c>
      <c r="B33" s="4" t="s">
        <v>42</v>
      </c>
      <c r="C33" s="4" t="s">
        <v>375</v>
      </c>
      <c r="D33" s="4" t="s">
        <v>60</v>
      </c>
      <c r="E33" s="32" t="s">
        <v>72</v>
      </c>
      <c r="G33" s="4" t="s">
        <v>244</v>
      </c>
      <c r="H33" s="4" t="s">
        <v>252</v>
      </c>
      <c r="I33" s="7">
        <v>2097.9020979020979</v>
      </c>
      <c r="J33" s="4" t="s">
        <v>583</v>
      </c>
      <c r="K33" s="16">
        <v>45963</v>
      </c>
      <c r="L33" s="4">
        <v>2025404122</v>
      </c>
      <c r="M33" s="67" t="s">
        <v>225</v>
      </c>
      <c r="N33" s="4">
        <v>2025</v>
      </c>
    </row>
    <row r="34" spans="1:14">
      <c r="A34" s="4">
        <v>5</v>
      </c>
      <c r="B34" s="4" t="s">
        <v>42</v>
      </c>
      <c r="C34" s="4" t="s">
        <v>375</v>
      </c>
      <c r="D34" s="4" t="s">
        <v>60</v>
      </c>
      <c r="E34" s="32" t="s">
        <v>72</v>
      </c>
      <c r="G34" s="4" t="s">
        <v>264</v>
      </c>
      <c r="H34" s="67" t="s">
        <v>253</v>
      </c>
      <c r="I34" s="7">
        <v>8000</v>
      </c>
      <c r="J34" s="4" t="s">
        <v>430</v>
      </c>
      <c r="K34" s="16">
        <v>45969</v>
      </c>
      <c r="L34" s="4">
        <v>2025402864</v>
      </c>
      <c r="M34" s="67" t="s">
        <v>225</v>
      </c>
      <c r="N34" s="4">
        <v>2025</v>
      </c>
    </row>
    <row r="35" spans="1:14">
      <c r="A35" s="4">
        <v>154</v>
      </c>
      <c r="B35" s="4" t="s">
        <v>35</v>
      </c>
      <c r="C35" s="4" t="s">
        <v>36</v>
      </c>
      <c r="D35" s="4" t="s">
        <v>60</v>
      </c>
      <c r="E35" s="32" t="s">
        <v>72</v>
      </c>
      <c r="G35" s="4" t="s">
        <v>419</v>
      </c>
      <c r="H35" s="4" t="s">
        <v>121</v>
      </c>
      <c r="I35" s="7">
        <v>856.6433566433567</v>
      </c>
      <c r="J35" s="4" t="s">
        <v>579</v>
      </c>
      <c r="K35" s="16">
        <v>45979</v>
      </c>
      <c r="L35" s="4">
        <v>2025404415</v>
      </c>
      <c r="M35" s="67" t="s">
        <v>225</v>
      </c>
      <c r="N35" s="4">
        <v>2025</v>
      </c>
    </row>
    <row r="36" spans="1:14">
      <c r="A36" s="4">
        <v>180</v>
      </c>
      <c r="B36" s="4" t="s">
        <v>52</v>
      </c>
      <c r="C36" s="4" t="s">
        <v>62</v>
      </c>
      <c r="D36" s="4" t="s">
        <v>60</v>
      </c>
      <c r="E36" s="32" t="s">
        <v>72</v>
      </c>
      <c r="G36" s="4" t="s">
        <v>265</v>
      </c>
      <c r="H36" s="4" t="s">
        <v>121</v>
      </c>
      <c r="I36" s="7">
        <v>7311.1888111888111</v>
      </c>
      <c r="J36" s="4" t="s">
        <v>603</v>
      </c>
      <c r="K36" s="16">
        <v>45963</v>
      </c>
      <c r="L36" s="4">
        <v>2025404120</v>
      </c>
      <c r="M36" s="67" t="s">
        <v>225</v>
      </c>
      <c r="N36" s="4">
        <v>2025</v>
      </c>
    </row>
    <row r="37" spans="1:14">
      <c r="A37" s="4">
        <v>157</v>
      </c>
      <c r="B37" s="4" t="s">
        <v>54</v>
      </c>
      <c r="C37" s="4" t="s">
        <v>96</v>
      </c>
      <c r="D37" s="4" t="s">
        <v>60</v>
      </c>
      <c r="E37" s="4" t="s">
        <v>72</v>
      </c>
      <c r="G37" s="4" t="s">
        <v>266</v>
      </c>
      <c r="H37" s="4" t="s">
        <v>121</v>
      </c>
      <c r="I37" s="7">
        <v>1748.2517482517483</v>
      </c>
      <c r="J37" s="4" t="s">
        <v>582</v>
      </c>
      <c r="K37" s="16">
        <v>45966</v>
      </c>
      <c r="L37" s="4">
        <v>2025403888</v>
      </c>
      <c r="M37" s="67" t="s">
        <v>225</v>
      </c>
      <c r="N37" s="4">
        <v>2025</v>
      </c>
    </row>
    <row r="38" spans="1:14">
      <c r="A38" s="4">
        <v>2</v>
      </c>
      <c r="B38" s="4" t="s">
        <v>42</v>
      </c>
      <c r="C38" s="4" t="s">
        <v>47</v>
      </c>
      <c r="D38" s="4" t="s">
        <v>60</v>
      </c>
      <c r="E38" s="4" t="s">
        <v>72</v>
      </c>
      <c r="G38" s="4" t="s">
        <v>125</v>
      </c>
      <c r="H38" s="4" t="s">
        <v>121</v>
      </c>
      <c r="I38" s="7">
        <v>1488.3</v>
      </c>
      <c r="J38" s="4" t="s">
        <v>427</v>
      </c>
      <c r="K38" s="16">
        <v>45957</v>
      </c>
      <c r="L38" s="4">
        <v>2025403876</v>
      </c>
      <c r="M38" s="67" t="s">
        <v>225</v>
      </c>
      <c r="N38" s="4">
        <v>2025</v>
      </c>
    </row>
    <row r="39" spans="1:14">
      <c r="A39" s="4">
        <v>8</v>
      </c>
      <c r="B39" s="4" t="s">
        <v>54</v>
      </c>
      <c r="C39" s="4" t="s">
        <v>96</v>
      </c>
      <c r="D39" s="4" t="s">
        <v>60</v>
      </c>
      <c r="E39" s="32" t="s">
        <v>72</v>
      </c>
      <c r="G39" s="4" t="s">
        <v>125</v>
      </c>
      <c r="H39" s="4" t="s">
        <v>121</v>
      </c>
      <c r="I39" s="7">
        <v>1267.54</v>
      </c>
      <c r="J39" s="4" t="s">
        <v>433</v>
      </c>
      <c r="K39" s="43">
        <v>45966</v>
      </c>
      <c r="L39" s="4">
        <v>2025403994</v>
      </c>
      <c r="M39" s="67" t="s">
        <v>225</v>
      </c>
      <c r="N39" s="4">
        <v>2025</v>
      </c>
    </row>
    <row r="40" spans="1:14">
      <c r="A40" s="4">
        <v>63</v>
      </c>
      <c r="B40" s="4" t="s">
        <v>42</v>
      </c>
      <c r="C40" s="4" t="s">
        <v>50</v>
      </c>
      <c r="D40" s="4" t="s">
        <v>60</v>
      </c>
      <c r="E40" s="32" t="s">
        <v>72</v>
      </c>
      <c r="G40" s="4" t="s">
        <v>125</v>
      </c>
      <c r="H40" s="4" t="s">
        <v>121</v>
      </c>
      <c r="I40" s="7">
        <v>836.61</v>
      </c>
      <c r="J40" s="4" t="s">
        <v>488</v>
      </c>
      <c r="K40" s="16">
        <v>45979</v>
      </c>
      <c r="L40" s="4">
        <v>2025404221</v>
      </c>
      <c r="M40" s="67" t="s">
        <v>225</v>
      </c>
      <c r="N40" s="4">
        <v>2025</v>
      </c>
    </row>
    <row r="41" spans="1:14">
      <c r="A41" s="4">
        <v>64</v>
      </c>
      <c r="B41" s="4" t="s">
        <v>42</v>
      </c>
      <c r="C41" s="4" t="s">
        <v>50</v>
      </c>
      <c r="D41" s="4" t="s">
        <v>60</v>
      </c>
      <c r="E41" s="4" t="s">
        <v>72</v>
      </c>
      <c r="G41" s="4" t="s">
        <v>125</v>
      </c>
      <c r="H41" s="4" t="s">
        <v>121</v>
      </c>
      <c r="I41" s="7">
        <v>832.84</v>
      </c>
      <c r="J41" s="4" t="s">
        <v>489</v>
      </c>
      <c r="K41" s="16">
        <v>45979</v>
      </c>
      <c r="L41" s="4">
        <v>2025404105</v>
      </c>
      <c r="M41" s="67" t="s">
        <v>225</v>
      </c>
      <c r="N41" s="4">
        <v>2025</v>
      </c>
    </row>
    <row r="42" spans="1:14">
      <c r="A42" s="4">
        <v>65</v>
      </c>
      <c r="B42" s="4" t="s">
        <v>35</v>
      </c>
      <c r="C42" s="4" t="s">
        <v>36</v>
      </c>
      <c r="D42" s="4" t="s">
        <v>60</v>
      </c>
      <c r="E42" s="4" t="s">
        <v>72</v>
      </c>
      <c r="G42" s="4" t="s">
        <v>125</v>
      </c>
      <c r="H42" s="4" t="s">
        <v>121</v>
      </c>
      <c r="I42" s="7">
        <v>136.43</v>
      </c>
      <c r="J42" s="4" t="s">
        <v>490</v>
      </c>
      <c r="K42" s="16">
        <v>45979</v>
      </c>
      <c r="L42" s="4">
        <v>2025404149</v>
      </c>
      <c r="M42" s="67" t="s">
        <v>225</v>
      </c>
      <c r="N42" s="4">
        <v>2025</v>
      </c>
    </row>
    <row r="43" spans="1:14">
      <c r="A43" s="4">
        <v>66</v>
      </c>
      <c r="B43" s="4" t="s">
        <v>17</v>
      </c>
      <c r="C43" s="4" t="s">
        <v>25</v>
      </c>
      <c r="D43" s="4" t="s">
        <v>60</v>
      </c>
      <c r="E43" s="4" t="s">
        <v>72</v>
      </c>
      <c r="G43" s="4" t="s">
        <v>125</v>
      </c>
      <c r="H43" s="4" t="s">
        <v>121</v>
      </c>
      <c r="I43" s="7">
        <v>809.87</v>
      </c>
      <c r="J43" s="4" t="s">
        <v>491</v>
      </c>
      <c r="K43" s="16">
        <v>45980</v>
      </c>
      <c r="L43" s="4">
        <v>2025404212</v>
      </c>
      <c r="M43" s="67" t="s">
        <v>225</v>
      </c>
      <c r="N43" s="4">
        <v>2025</v>
      </c>
    </row>
    <row r="44" spans="1:14">
      <c r="A44" s="4">
        <v>76</v>
      </c>
      <c r="B44" s="4" t="s">
        <v>52</v>
      </c>
      <c r="C44" s="4" t="s">
        <v>62</v>
      </c>
      <c r="D44" s="4" t="s">
        <v>60</v>
      </c>
      <c r="E44" s="32" t="s">
        <v>72</v>
      </c>
      <c r="G44" s="4" t="s">
        <v>125</v>
      </c>
      <c r="H44" s="4" t="s">
        <v>121</v>
      </c>
      <c r="I44" s="7">
        <v>935.1</v>
      </c>
      <c r="J44" s="4" t="s">
        <v>501</v>
      </c>
      <c r="K44" s="16">
        <v>45980</v>
      </c>
      <c r="L44" s="4">
        <v>2025404211</v>
      </c>
      <c r="M44" s="67" t="s">
        <v>225</v>
      </c>
      <c r="N44" s="4">
        <v>2025</v>
      </c>
    </row>
    <row r="45" spans="1:14">
      <c r="A45" s="4">
        <v>77</v>
      </c>
      <c r="B45" s="4" t="s">
        <v>35</v>
      </c>
      <c r="C45" s="4" t="s">
        <v>36</v>
      </c>
      <c r="D45" s="4" t="s">
        <v>60</v>
      </c>
      <c r="E45" s="32" t="s">
        <v>72</v>
      </c>
      <c r="G45" s="4" t="s">
        <v>125</v>
      </c>
      <c r="H45" s="4" t="s">
        <v>121</v>
      </c>
      <c r="I45" s="7">
        <v>209.16</v>
      </c>
      <c r="J45" s="4" t="s">
        <v>502</v>
      </c>
      <c r="K45" s="16">
        <v>45979</v>
      </c>
      <c r="L45" s="4">
        <v>2025404197</v>
      </c>
      <c r="M45" s="67" t="s">
        <v>225</v>
      </c>
      <c r="N45" s="4">
        <v>2025</v>
      </c>
    </row>
    <row r="46" spans="1:14">
      <c r="A46" s="4">
        <v>82</v>
      </c>
      <c r="B46" s="4" t="s">
        <v>17</v>
      </c>
      <c r="C46" s="4" t="s">
        <v>22</v>
      </c>
      <c r="D46" s="4" t="s">
        <v>60</v>
      </c>
      <c r="E46" s="4" t="s">
        <v>72</v>
      </c>
      <c r="G46" s="4" t="s">
        <v>125</v>
      </c>
      <c r="H46" s="4" t="s">
        <v>121</v>
      </c>
      <c r="I46" s="7">
        <v>319.88</v>
      </c>
      <c r="J46" s="4" t="s">
        <v>507</v>
      </c>
      <c r="K46" s="16">
        <v>45980</v>
      </c>
      <c r="L46" s="4">
        <v>2025404220</v>
      </c>
      <c r="M46" s="67" t="s">
        <v>225</v>
      </c>
      <c r="N46" s="4">
        <v>2025</v>
      </c>
    </row>
    <row r="47" spans="1:14">
      <c r="A47" s="4">
        <v>93</v>
      </c>
      <c r="B47" s="4" t="s">
        <v>42</v>
      </c>
      <c r="C47" s="4" t="s">
        <v>47</v>
      </c>
      <c r="D47" s="4" t="s">
        <v>60</v>
      </c>
      <c r="E47" s="32" t="s">
        <v>72</v>
      </c>
      <c r="G47" s="4" t="s">
        <v>125</v>
      </c>
      <c r="H47" s="4" t="s">
        <v>121</v>
      </c>
      <c r="I47" s="7">
        <v>240.62</v>
      </c>
      <c r="J47" s="4" t="s">
        <v>518</v>
      </c>
      <c r="K47" s="16">
        <v>45979</v>
      </c>
      <c r="L47" s="4">
        <v>2025404225</v>
      </c>
      <c r="M47" s="67" t="s">
        <v>225</v>
      </c>
      <c r="N47" s="4">
        <v>2025</v>
      </c>
    </row>
    <row r="48" spans="1:14">
      <c r="A48" s="4">
        <v>128</v>
      </c>
      <c r="B48" s="4" t="s">
        <v>35</v>
      </c>
      <c r="C48" s="4" t="s">
        <v>36</v>
      </c>
      <c r="D48" s="4" t="s">
        <v>60</v>
      </c>
      <c r="E48" s="32" t="s">
        <v>72</v>
      </c>
      <c r="G48" s="4" t="s">
        <v>125</v>
      </c>
      <c r="H48" s="4" t="s">
        <v>121</v>
      </c>
      <c r="I48" s="7">
        <v>2180</v>
      </c>
      <c r="J48" s="4" t="s">
        <v>553</v>
      </c>
      <c r="K48" s="16">
        <v>45991</v>
      </c>
      <c r="L48" s="4">
        <v>2025404349</v>
      </c>
      <c r="M48" s="67" t="s">
        <v>225</v>
      </c>
      <c r="N48" s="4">
        <v>2025</v>
      </c>
    </row>
    <row r="49" spans="1:14">
      <c r="A49" s="4">
        <v>129</v>
      </c>
      <c r="B49" s="4" t="s">
        <v>17</v>
      </c>
      <c r="C49" s="4" t="s">
        <v>25</v>
      </c>
      <c r="D49" s="4" t="s">
        <v>60</v>
      </c>
      <c r="E49" s="32" t="s">
        <v>72</v>
      </c>
      <c r="G49" s="4" t="s">
        <v>125</v>
      </c>
      <c r="H49" s="4" t="s">
        <v>121</v>
      </c>
      <c r="I49" s="7">
        <v>223.85</v>
      </c>
      <c r="J49" s="4" t="s">
        <v>554</v>
      </c>
      <c r="K49" s="16">
        <v>45991</v>
      </c>
      <c r="L49" s="4">
        <v>2025404334</v>
      </c>
      <c r="M49" s="67" t="s">
        <v>225</v>
      </c>
      <c r="N49" s="4">
        <v>2025</v>
      </c>
    </row>
    <row r="50" spans="1:14">
      <c r="A50" s="4">
        <v>130</v>
      </c>
      <c r="B50" s="4" t="s">
        <v>35</v>
      </c>
      <c r="C50" s="4" t="s">
        <v>36</v>
      </c>
      <c r="D50" s="4" t="s">
        <v>60</v>
      </c>
      <c r="E50" s="32" t="s">
        <v>72</v>
      </c>
      <c r="G50" s="4" t="s">
        <v>125</v>
      </c>
      <c r="H50" s="4" t="s">
        <v>121</v>
      </c>
      <c r="I50" s="7">
        <v>2180</v>
      </c>
      <c r="J50" s="4" t="s">
        <v>555</v>
      </c>
      <c r="K50" s="16">
        <v>45991</v>
      </c>
      <c r="L50" s="4">
        <v>2025404341</v>
      </c>
      <c r="M50" s="67" t="s">
        <v>225</v>
      </c>
      <c r="N50" s="4">
        <v>2025</v>
      </c>
    </row>
    <row r="51" spans="1:14">
      <c r="A51" s="4">
        <v>131</v>
      </c>
      <c r="B51" s="4" t="s">
        <v>42</v>
      </c>
      <c r="C51" s="4" t="s">
        <v>375</v>
      </c>
      <c r="D51" s="4" t="s">
        <v>60</v>
      </c>
      <c r="E51" s="4" t="s">
        <v>72</v>
      </c>
      <c r="G51" s="4" t="s">
        <v>125</v>
      </c>
      <c r="H51" s="4" t="s">
        <v>121</v>
      </c>
      <c r="I51" s="7">
        <v>333.3</v>
      </c>
      <c r="J51" s="4" t="s">
        <v>556</v>
      </c>
      <c r="K51" s="16">
        <v>45990</v>
      </c>
      <c r="L51" s="4">
        <v>2025404343</v>
      </c>
      <c r="M51" s="67" t="s">
        <v>225</v>
      </c>
      <c r="N51" s="4">
        <v>2025</v>
      </c>
    </row>
    <row r="52" spans="1:14">
      <c r="A52" s="4">
        <v>132</v>
      </c>
      <c r="B52" s="4" t="s">
        <v>42</v>
      </c>
      <c r="C52" s="4" t="s">
        <v>47</v>
      </c>
      <c r="D52" s="4" t="s">
        <v>60</v>
      </c>
      <c r="E52" s="32" t="s">
        <v>72</v>
      </c>
      <c r="G52" s="4" t="s">
        <v>125</v>
      </c>
      <c r="H52" s="4" t="s">
        <v>121</v>
      </c>
      <c r="I52" s="7">
        <v>61.67</v>
      </c>
      <c r="J52" s="4" t="s">
        <v>557</v>
      </c>
      <c r="K52" s="16">
        <v>45991</v>
      </c>
      <c r="L52" s="4">
        <v>2025404331</v>
      </c>
      <c r="M52" s="67" t="s">
        <v>225</v>
      </c>
      <c r="N52" s="4">
        <v>2025</v>
      </c>
    </row>
    <row r="53" spans="1:14">
      <c r="A53" s="4">
        <v>140</v>
      </c>
      <c r="B53" s="4" t="s">
        <v>42</v>
      </c>
      <c r="C53" s="4" t="s">
        <v>71</v>
      </c>
      <c r="D53" s="4" t="s">
        <v>60</v>
      </c>
      <c r="E53" s="32" t="s">
        <v>72</v>
      </c>
      <c r="G53" s="4" t="s">
        <v>125</v>
      </c>
      <c r="H53" s="4" t="s">
        <v>121</v>
      </c>
      <c r="I53" s="7">
        <v>689.22</v>
      </c>
      <c r="J53" s="4" t="s">
        <v>565</v>
      </c>
      <c r="K53" s="16">
        <v>45963</v>
      </c>
      <c r="L53" s="4">
        <v>2025403952</v>
      </c>
      <c r="M53" s="67" t="s">
        <v>225</v>
      </c>
      <c r="N53" s="4">
        <v>2025</v>
      </c>
    </row>
    <row r="54" spans="1:14">
      <c r="A54" s="4">
        <v>149</v>
      </c>
      <c r="B54" s="4" t="s">
        <v>42</v>
      </c>
      <c r="C54" s="4" t="s">
        <v>50</v>
      </c>
      <c r="D54" s="4" t="s">
        <v>60</v>
      </c>
      <c r="E54" s="32" t="s">
        <v>72</v>
      </c>
      <c r="G54" s="4" t="s">
        <v>418</v>
      </c>
      <c r="H54" s="4" t="s">
        <v>121</v>
      </c>
      <c r="I54" s="7">
        <v>452.79720279720277</v>
      </c>
      <c r="J54" s="4" t="s">
        <v>574</v>
      </c>
      <c r="K54" s="16">
        <v>45979</v>
      </c>
      <c r="L54" s="4">
        <v>2025404091</v>
      </c>
      <c r="M54" s="67" t="s">
        <v>225</v>
      </c>
      <c r="N54" s="4">
        <v>2025</v>
      </c>
    </row>
    <row r="55" spans="1:14">
      <c r="A55" s="4">
        <v>158</v>
      </c>
      <c r="B55" s="4" t="s">
        <v>17</v>
      </c>
      <c r="C55" s="4" t="s">
        <v>89</v>
      </c>
      <c r="D55" s="4" t="s">
        <v>60</v>
      </c>
      <c r="E55" s="32" t="s">
        <v>72</v>
      </c>
      <c r="G55" s="4" t="s">
        <v>420</v>
      </c>
      <c r="H55" s="4" t="s">
        <v>121</v>
      </c>
      <c r="I55" s="7">
        <v>2011.8881118881118</v>
      </c>
      <c r="J55" s="4" t="s">
        <v>249</v>
      </c>
      <c r="K55" s="16">
        <v>45991</v>
      </c>
      <c r="L55" s="4">
        <v>2025404369</v>
      </c>
      <c r="M55" s="67" t="s">
        <v>225</v>
      </c>
      <c r="N55" s="4">
        <v>2025</v>
      </c>
    </row>
    <row r="56" spans="1:14">
      <c r="A56" s="4">
        <v>160</v>
      </c>
      <c r="B56" s="4" t="s">
        <v>17</v>
      </c>
      <c r="C56" s="4" t="s">
        <v>89</v>
      </c>
      <c r="D56" s="4" t="s">
        <v>60</v>
      </c>
      <c r="E56" s="32" t="s">
        <v>72</v>
      </c>
      <c r="G56" s="4" t="s">
        <v>420</v>
      </c>
      <c r="H56" s="4" t="s">
        <v>121</v>
      </c>
      <c r="I56" s="7">
        <v>2237.7622377622379</v>
      </c>
      <c r="J56" s="4" t="s">
        <v>249</v>
      </c>
      <c r="K56" s="16">
        <v>45991</v>
      </c>
      <c r="L56" s="4">
        <v>2025404420</v>
      </c>
      <c r="M56" s="67" t="s">
        <v>225</v>
      </c>
      <c r="N56" s="4">
        <v>2025</v>
      </c>
    </row>
    <row r="57" spans="1:14">
      <c r="A57" s="4">
        <v>4</v>
      </c>
      <c r="B57" s="4" t="s">
        <v>17</v>
      </c>
      <c r="C57" s="4" t="s">
        <v>18</v>
      </c>
      <c r="D57" s="4" t="s">
        <v>60</v>
      </c>
      <c r="E57" s="32" t="s">
        <v>72</v>
      </c>
      <c r="G57" s="4" t="s">
        <v>126</v>
      </c>
      <c r="H57" s="4" t="s">
        <v>121</v>
      </c>
      <c r="I57" s="7">
        <v>191.78</v>
      </c>
      <c r="J57" s="4" t="s">
        <v>429</v>
      </c>
      <c r="K57" s="16">
        <v>45958</v>
      </c>
      <c r="L57" s="4">
        <v>2025403999</v>
      </c>
      <c r="M57" s="67" t="s">
        <v>225</v>
      </c>
      <c r="N57" s="4">
        <v>2025</v>
      </c>
    </row>
    <row r="58" spans="1:14">
      <c r="A58" s="4">
        <v>25</v>
      </c>
      <c r="B58" s="4" t="s">
        <v>17</v>
      </c>
      <c r="C58" s="4" t="s">
        <v>22</v>
      </c>
      <c r="D58" s="4" t="s">
        <v>60</v>
      </c>
      <c r="E58" s="32" t="s">
        <v>72</v>
      </c>
      <c r="G58" s="4" t="s">
        <v>126</v>
      </c>
      <c r="H58" s="4" t="s">
        <v>121</v>
      </c>
      <c r="I58" s="7">
        <v>526.16</v>
      </c>
      <c r="J58" s="4" t="s">
        <v>450</v>
      </c>
      <c r="K58" s="43">
        <v>45956</v>
      </c>
      <c r="L58" s="4">
        <v>2025404063</v>
      </c>
      <c r="M58" s="67" t="s">
        <v>225</v>
      </c>
      <c r="N58" s="4">
        <v>2025</v>
      </c>
    </row>
    <row r="59" spans="1:14">
      <c r="A59" s="4">
        <v>70</v>
      </c>
      <c r="B59" s="32" t="s">
        <v>35</v>
      </c>
      <c r="C59" s="32" t="s">
        <v>36</v>
      </c>
      <c r="D59" s="4" t="s">
        <v>60</v>
      </c>
      <c r="E59" s="32" t="s">
        <v>72</v>
      </c>
      <c r="G59" s="32" t="s">
        <v>126</v>
      </c>
      <c r="H59" s="4" t="s">
        <v>121</v>
      </c>
      <c r="I59" s="7">
        <v>791.17</v>
      </c>
      <c r="J59" s="4" t="s">
        <v>495</v>
      </c>
      <c r="K59" s="16">
        <v>45964</v>
      </c>
      <c r="L59" s="4">
        <v>2025404193</v>
      </c>
      <c r="M59" s="67" t="s">
        <v>225</v>
      </c>
      <c r="N59" s="4">
        <v>2025</v>
      </c>
    </row>
    <row r="60" spans="1:14">
      <c r="A60" s="4">
        <v>71</v>
      </c>
      <c r="B60" s="4" t="s">
        <v>52</v>
      </c>
      <c r="C60" s="4" t="s">
        <v>62</v>
      </c>
      <c r="D60" s="4" t="s">
        <v>60</v>
      </c>
      <c r="E60" s="4" t="s">
        <v>72</v>
      </c>
      <c r="G60" s="4" t="s">
        <v>126</v>
      </c>
      <c r="H60" s="4" t="s">
        <v>121</v>
      </c>
      <c r="I60" s="7">
        <v>2000</v>
      </c>
      <c r="J60" s="4" t="s">
        <v>496</v>
      </c>
      <c r="K60" s="16">
        <v>45958</v>
      </c>
      <c r="L60" s="4">
        <v>2025404214</v>
      </c>
      <c r="M60" s="67" t="s">
        <v>225</v>
      </c>
      <c r="N60" s="4">
        <v>2025</v>
      </c>
    </row>
    <row r="61" spans="1:14">
      <c r="A61" s="4">
        <v>72</v>
      </c>
      <c r="B61" s="32" t="s">
        <v>17</v>
      </c>
      <c r="C61" s="32" t="s">
        <v>22</v>
      </c>
      <c r="D61" s="4" t="s">
        <v>60</v>
      </c>
      <c r="E61" s="4" t="s">
        <v>72</v>
      </c>
      <c r="G61" s="4" t="s">
        <v>126</v>
      </c>
      <c r="H61" s="4" t="s">
        <v>121</v>
      </c>
      <c r="I61" s="7">
        <v>830.71</v>
      </c>
      <c r="J61" s="4" t="s">
        <v>497</v>
      </c>
      <c r="K61" s="16">
        <v>45966</v>
      </c>
      <c r="L61" s="4">
        <v>2025404216</v>
      </c>
      <c r="M61" s="67" t="s">
        <v>225</v>
      </c>
      <c r="N61" s="4">
        <v>2025</v>
      </c>
    </row>
    <row r="62" spans="1:14">
      <c r="A62" s="4">
        <v>73</v>
      </c>
      <c r="B62" s="4" t="s">
        <v>17</v>
      </c>
      <c r="C62" s="4" t="s">
        <v>22</v>
      </c>
      <c r="D62" s="4" t="s">
        <v>60</v>
      </c>
      <c r="E62" s="32" t="s">
        <v>72</v>
      </c>
      <c r="G62" s="4" t="s">
        <v>126</v>
      </c>
      <c r="H62" s="4" t="s">
        <v>121</v>
      </c>
      <c r="I62" s="7">
        <v>314.05</v>
      </c>
      <c r="J62" s="4" t="s">
        <v>498</v>
      </c>
      <c r="K62" s="16">
        <v>45958</v>
      </c>
      <c r="L62" s="4">
        <v>2025404217</v>
      </c>
      <c r="M62" s="67" t="s">
        <v>225</v>
      </c>
      <c r="N62" s="4">
        <v>2025</v>
      </c>
    </row>
    <row r="63" spans="1:14">
      <c r="A63" s="4">
        <v>74</v>
      </c>
      <c r="B63" s="4" t="s">
        <v>35</v>
      </c>
      <c r="C63" s="4" t="s">
        <v>36</v>
      </c>
      <c r="D63" s="4" t="s">
        <v>60</v>
      </c>
      <c r="E63" s="32" t="s">
        <v>72</v>
      </c>
      <c r="G63" s="4" t="s">
        <v>126</v>
      </c>
      <c r="H63" s="4" t="s">
        <v>121</v>
      </c>
      <c r="I63" s="7">
        <v>1262.8499999999999</v>
      </c>
      <c r="J63" s="4" t="s">
        <v>499</v>
      </c>
      <c r="K63" s="16">
        <v>45965</v>
      </c>
      <c r="L63" s="4">
        <v>2025404218</v>
      </c>
      <c r="M63" s="67" t="s">
        <v>225</v>
      </c>
      <c r="N63" s="4">
        <v>2025</v>
      </c>
    </row>
    <row r="64" spans="1:14">
      <c r="A64" s="4">
        <v>75</v>
      </c>
      <c r="B64" s="32" t="s">
        <v>42</v>
      </c>
      <c r="C64" s="32" t="s">
        <v>610</v>
      </c>
      <c r="D64" s="4" t="s">
        <v>60</v>
      </c>
      <c r="E64" s="32" t="s">
        <v>72</v>
      </c>
      <c r="G64" s="32" t="s">
        <v>126</v>
      </c>
      <c r="H64" s="4" t="s">
        <v>121</v>
      </c>
      <c r="I64" s="7">
        <v>60</v>
      </c>
      <c r="J64" s="4" t="s">
        <v>500</v>
      </c>
      <c r="K64" s="16">
        <v>45966</v>
      </c>
      <c r="L64" s="4">
        <v>2025404219</v>
      </c>
      <c r="M64" s="67" t="s">
        <v>225</v>
      </c>
      <c r="N64" s="4">
        <v>2025</v>
      </c>
    </row>
    <row r="65" spans="1:14">
      <c r="A65" s="4">
        <v>121</v>
      </c>
      <c r="B65" s="4" t="s">
        <v>54</v>
      </c>
      <c r="C65" s="4" t="s">
        <v>96</v>
      </c>
      <c r="D65" s="4" t="s">
        <v>60</v>
      </c>
      <c r="E65" s="32" t="s">
        <v>72</v>
      </c>
      <c r="G65" s="4" t="s">
        <v>126</v>
      </c>
      <c r="H65" s="4" t="s">
        <v>121</v>
      </c>
      <c r="I65" s="9">
        <v>83</v>
      </c>
      <c r="J65" s="4" t="s">
        <v>546</v>
      </c>
      <c r="K65" s="16">
        <v>45958</v>
      </c>
      <c r="L65" s="4">
        <v>2025404312</v>
      </c>
      <c r="M65" s="67" t="s">
        <v>225</v>
      </c>
      <c r="N65" s="4">
        <v>2025</v>
      </c>
    </row>
    <row r="66" spans="1:14">
      <c r="A66" s="4">
        <v>123</v>
      </c>
      <c r="B66" s="4" t="s">
        <v>42</v>
      </c>
      <c r="C66" s="4" t="s">
        <v>50</v>
      </c>
      <c r="D66" s="4" t="s">
        <v>60</v>
      </c>
      <c r="E66" s="32" t="s">
        <v>72</v>
      </c>
      <c r="G66" s="4" t="s">
        <v>126</v>
      </c>
      <c r="H66" s="4" t="s">
        <v>121</v>
      </c>
      <c r="I66" s="7">
        <v>62.31</v>
      </c>
      <c r="J66" s="4" t="s">
        <v>548</v>
      </c>
      <c r="K66" s="16">
        <v>45958</v>
      </c>
      <c r="L66" s="4">
        <v>2025404316</v>
      </c>
      <c r="M66" s="67" t="s">
        <v>225</v>
      </c>
      <c r="N66" s="4">
        <v>2025</v>
      </c>
    </row>
    <row r="67" spans="1:14">
      <c r="A67" s="4">
        <v>124</v>
      </c>
      <c r="B67" s="4" t="s">
        <v>52</v>
      </c>
      <c r="C67" s="4" t="s">
        <v>62</v>
      </c>
      <c r="D67" s="4" t="s">
        <v>60</v>
      </c>
      <c r="E67" s="32" t="s">
        <v>72</v>
      </c>
      <c r="G67" s="4" t="s">
        <v>126</v>
      </c>
      <c r="H67" s="4" t="s">
        <v>121</v>
      </c>
      <c r="I67" s="7">
        <v>2502.0100000000002</v>
      </c>
      <c r="J67" s="4" t="s">
        <v>549</v>
      </c>
      <c r="K67" s="16">
        <v>45958</v>
      </c>
      <c r="L67" s="4">
        <v>2025404404</v>
      </c>
      <c r="M67" s="67" t="s">
        <v>225</v>
      </c>
      <c r="N67" s="4">
        <v>2025</v>
      </c>
    </row>
    <row r="68" spans="1:14">
      <c r="A68" s="4">
        <v>133</v>
      </c>
      <c r="B68" s="32" t="s">
        <v>42</v>
      </c>
      <c r="C68" s="32" t="s">
        <v>375</v>
      </c>
      <c r="D68" s="4" t="s">
        <v>60</v>
      </c>
      <c r="E68" s="32" t="s">
        <v>72</v>
      </c>
      <c r="G68" s="32" t="s">
        <v>126</v>
      </c>
      <c r="H68" s="4" t="s">
        <v>121</v>
      </c>
      <c r="I68" s="7">
        <v>2211</v>
      </c>
      <c r="J68" s="4" t="s">
        <v>558</v>
      </c>
      <c r="K68" s="16">
        <v>45958</v>
      </c>
      <c r="L68" s="4">
        <v>2025403993</v>
      </c>
      <c r="M68" s="67" t="s">
        <v>225</v>
      </c>
      <c r="N68" s="4">
        <v>2025</v>
      </c>
    </row>
    <row r="69" spans="1:14">
      <c r="A69" s="4">
        <v>176</v>
      </c>
      <c r="B69" s="4" t="s">
        <v>17</v>
      </c>
      <c r="C69" s="4" t="s">
        <v>25</v>
      </c>
      <c r="D69" s="4" t="s">
        <v>60</v>
      </c>
      <c r="E69" s="32" t="s">
        <v>72</v>
      </c>
      <c r="G69" s="4" t="s">
        <v>267</v>
      </c>
      <c r="H69" s="4" t="s">
        <v>121</v>
      </c>
      <c r="I69" s="7">
        <v>5818.181818181818</v>
      </c>
      <c r="J69" s="4" t="s">
        <v>599</v>
      </c>
      <c r="K69" s="16">
        <v>45965</v>
      </c>
      <c r="L69" s="4">
        <v>2025404142</v>
      </c>
      <c r="M69" s="67" t="s">
        <v>225</v>
      </c>
      <c r="N69" s="4">
        <v>2025</v>
      </c>
    </row>
    <row r="70" spans="1:14">
      <c r="A70" s="4">
        <v>182</v>
      </c>
      <c r="B70" s="4" t="s">
        <v>17</v>
      </c>
      <c r="C70" s="4" t="s">
        <v>25</v>
      </c>
      <c r="D70" s="4" t="s">
        <v>60</v>
      </c>
      <c r="E70" s="4" t="s">
        <v>72</v>
      </c>
      <c r="G70" s="4" t="s">
        <v>267</v>
      </c>
      <c r="H70" s="4" t="s">
        <v>121</v>
      </c>
      <c r="I70" s="7">
        <v>9041.9580419580416</v>
      </c>
      <c r="J70" s="4" t="s">
        <v>605</v>
      </c>
      <c r="K70" s="16">
        <v>45956</v>
      </c>
      <c r="L70" s="4">
        <v>2025404143</v>
      </c>
      <c r="M70" s="67" t="s">
        <v>225</v>
      </c>
      <c r="N70" s="4">
        <v>2025</v>
      </c>
    </row>
    <row r="71" spans="1:14">
      <c r="A71" s="4">
        <v>165</v>
      </c>
      <c r="B71" s="4" t="s">
        <v>17</v>
      </c>
      <c r="C71" s="4" t="s">
        <v>22</v>
      </c>
      <c r="D71" s="4" t="s">
        <v>60</v>
      </c>
      <c r="E71" s="4" t="s">
        <v>72</v>
      </c>
      <c r="G71" s="4" t="s">
        <v>245</v>
      </c>
      <c r="H71" s="4" t="s">
        <v>121</v>
      </c>
      <c r="I71" s="7">
        <v>3524.4755244755243</v>
      </c>
      <c r="J71" s="4" t="s">
        <v>588</v>
      </c>
      <c r="K71" s="16">
        <v>45978</v>
      </c>
      <c r="L71" s="4">
        <v>2025404173</v>
      </c>
      <c r="M71" s="67" t="s">
        <v>225</v>
      </c>
      <c r="N71" s="4">
        <v>2025</v>
      </c>
    </row>
    <row r="72" spans="1:14">
      <c r="A72" s="4">
        <v>179</v>
      </c>
      <c r="B72" s="4" t="s">
        <v>42</v>
      </c>
      <c r="C72" s="4" t="s">
        <v>46</v>
      </c>
      <c r="D72" s="4" t="s">
        <v>60</v>
      </c>
      <c r="E72" s="32" t="s">
        <v>72</v>
      </c>
      <c r="G72" s="4" t="s">
        <v>423</v>
      </c>
      <c r="H72" s="4" t="s">
        <v>121</v>
      </c>
      <c r="I72" s="7">
        <v>7160.8391608391612</v>
      </c>
      <c r="J72" s="4" t="s">
        <v>602</v>
      </c>
      <c r="K72" s="16">
        <v>45965</v>
      </c>
      <c r="L72" s="4">
        <v>2025404057</v>
      </c>
      <c r="M72" s="67" t="s">
        <v>225</v>
      </c>
      <c r="N72" s="4">
        <v>2025</v>
      </c>
    </row>
    <row r="73" spans="1:14">
      <c r="A73" s="4">
        <v>7</v>
      </c>
      <c r="B73" s="4" t="s">
        <v>17</v>
      </c>
      <c r="C73" s="4" t="s">
        <v>18</v>
      </c>
      <c r="D73" s="4" t="s">
        <v>60</v>
      </c>
      <c r="E73" s="32" t="s">
        <v>72</v>
      </c>
      <c r="G73" s="4" t="s">
        <v>239</v>
      </c>
      <c r="H73" s="67" t="s">
        <v>250</v>
      </c>
      <c r="I73" s="7">
        <v>3120</v>
      </c>
      <c r="J73" s="4" t="s">
        <v>432</v>
      </c>
      <c r="K73" s="16">
        <v>45967</v>
      </c>
      <c r="L73" s="4">
        <v>2025404087</v>
      </c>
      <c r="M73" s="67" t="s">
        <v>225</v>
      </c>
      <c r="N73" s="4">
        <v>2025</v>
      </c>
    </row>
    <row r="74" spans="1:14">
      <c r="A74" s="4">
        <v>136</v>
      </c>
      <c r="B74" s="4" t="s">
        <v>52</v>
      </c>
      <c r="C74" s="4" t="s">
        <v>62</v>
      </c>
      <c r="D74" s="4" t="s">
        <v>60</v>
      </c>
      <c r="E74" s="32" t="s">
        <v>72</v>
      </c>
      <c r="G74" s="4" t="s">
        <v>239</v>
      </c>
      <c r="H74" s="67" t="s">
        <v>250</v>
      </c>
      <c r="I74" s="7">
        <v>15200</v>
      </c>
      <c r="J74" s="4" t="s">
        <v>561</v>
      </c>
      <c r="K74" s="16">
        <v>45987</v>
      </c>
      <c r="L74" s="4">
        <v>2025404293</v>
      </c>
      <c r="M74" s="67" t="s">
        <v>225</v>
      </c>
      <c r="N74" s="4">
        <v>2025</v>
      </c>
    </row>
    <row r="75" spans="1:14">
      <c r="A75" s="4">
        <v>1</v>
      </c>
      <c r="B75" s="4" t="s">
        <v>17</v>
      </c>
      <c r="C75" s="4" t="s">
        <v>26</v>
      </c>
      <c r="D75" s="4" t="s">
        <v>60</v>
      </c>
      <c r="E75" s="32" t="s">
        <v>72</v>
      </c>
      <c r="G75" s="33" t="s">
        <v>240</v>
      </c>
      <c r="H75" s="33" t="s">
        <v>123</v>
      </c>
      <c r="I75" s="7">
        <v>126</v>
      </c>
      <c r="J75" s="33" t="s">
        <v>426</v>
      </c>
      <c r="K75" s="43">
        <v>45602</v>
      </c>
      <c r="L75" s="33">
        <v>2025402871</v>
      </c>
      <c r="M75" s="67" t="s">
        <v>225</v>
      </c>
      <c r="N75" s="4">
        <v>2025</v>
      </c>
    </row>
    <row r="76" spans="1:14">
      <c r="A76" s="4">
        <v>3</v>
      </c>
      <c r="B76" s="4" t="s">
        <v>52</v>
      </c>
      <c r="C76" s="4" t="s">
        <v>62</v>
      </c>
      <c r="D76" s="4" t="s">
        <v>60</v>
      </c>
      <c r="E76" s="4" t="s">
        <v>72</v>
      </c>
      <c r="G76" s="4" t="s">
        <v>240</v>
      </c>
      <c r="H76" s="33" t="s">
        <v>123</v>
      </c>
      <c r="I76" s="7">
        <v>900</v>
      </c>
      <c r="J76" s="4" t="s">
        <v>428</v>
      </c>
      <c r="K76" s="16">
        <v>45957</v>
      </c>
      <c r="L76" s="4">
        <v>2025403970</v>
      </c>
      <c r="M76" s="67" t="s">
        <v>225</v>
      </c>
      <c r="N76" s="4">
        <v>2025</v>
      </c>
    </row>
    <row r="77" spans="1:14">
      <c r="A77" s="4">
        <v>33</v>
      </c>
      <c r="B77" s="4" t="s">
        <v>54</v>
      </c>
      <c r="C77" s="4" t="s">
        <v>96</v>
      </c>
      <c r="D77" s="4" t="s">
        <v>60</v>
      </c>
      <c r="E77" s="32" t="s">
        <v>72</v>
      </c>
      <c r="G77" s="4" t="s">
        <v>240</v>
      </c>
      <c r="H77" s="33" t="s">
        <v>123</v>
      </c>
      <c r="I77" s="7">
        <v>2464</v>
      </c>
      <c r="J77" s="4" t="s">
        <v>458</v>
      </c>
      <c r="K77" s="16">
        <v>45966</v>
      </c>
      <c r="L77" s="4">
        <v>2025404127</v>
      </c>
      <c r="M77" s="67" t="s">
        <v>225</v>
      </c>
      <c r="N77" s="4">
        <v>2025</v>
      </c>
    </row>
    <row r="78" spans="1:14">
      <c r="A78" s="4">
        <v>34</v>
      </c>
      <c r="B78" s="4" t="s">
        <v>54</v>
      </c>
      <c r="C78" s="4" t="s">
        <v>96</v>
      </c>
      <c r="D78" s="4" t="s">
        <v>60</v>
      </c>
      <c r="E78" s="32" t="s">
        <v>72</v>
      </c>
      <c r="G78" s="4" t="s">
        <v>240</v>
      </c>
      <c r="H78" s="33" t="s">
        <v>123</v>
      </c>
      <c r="I78" s="7">
        <v>8440</v>
      </c>
      <c r="J78" s="4" t="s">
        <v>459</v>
      </c>
      <c r="K78" s="16">
        <v>45966</v>
      </c>
      <c r="L78" s="4">
        <v>2025404126</v>
      </c>
      <c r="M78" s="67" t="s">
        <v>225</v>
      </c>
      <c r="N78" s="4">
        <v>2025</v>
      </c>
    </row>
    <row r="79" spans="1:14">
      <c r="A79" s="4">
        <v>78</v>
      </c>
      <c r="B79" s="32" t="s">
        <v>52</v>
      </c>
      <c r="C79" s="32" t="s">
        <v>62</v>
      </c>
      <c r="D79" s="4" t="s">
        <v>60</v>
      </c>
      <c r="E79" s="32" t="s">
        <v>72</v>
      </c>
      <c r="G79" s="32" t="s">
        <v>416</v>
      </c>
      <c r="H79" s="4" t="s">
        <v>121</v>
      </c>
      <c r="I79" s="7">
        <v>4190</v>
      </c>
      <c r="J79" s="4" t="s">
        <v>503</v>
      </c>
      <c r="K79" s="16">
        <v>45978</v>
      </c>
      <c r="L79" s="4">
        <v>2025404248</v>
      </c>
      <c r="M79" s="67" t="s">
        <v>225</v>
      </c>
      <c r="N79" s="4">
        <v>2025</v>
      </c>
    </row>
    <row r="80" spans="1:14">
      <c r="A80" s="4">
        <v>163</v>
      </c>
      <c r="B80" s="4" t="s">
        <v>54</v>
      </c>
      <c r="C80" s="4" t="s">
        <v>96</v>
      </c>
      <c r="D80" s="4" t="s">
        <v>60</v>
      </c>
      <c r="E80" s="4" t="s">
        <v>72</v>
      </c>
      <c r="G80" s="4" t="s">
        <v>297</v>
      </c>
      <c r="H80" s="4" t="s">
        <v>121</v>
      </c>
      <c r="I80" s="7">
        <v>2447.5524475524476</v>
      </c>
      <c r="J80" s="4" t="s">
        <v>586</v>
      </c>
      <c r="K80" s="16">
        <v>45963</v>
      </c>
      <c r="L80" s="4">
        <v>2025403889</v>
      </c>
      <c r="M80" s="67" t="s">
        <v>225</v>
      </c>
      <c r="N80" s="4">
        <v>2025</v>
      </c>
    </row>
    <row r="81" spans="1:14">
      <c r="A81" s="4">
        <v>183</v>
      </c>
      <c r="B81" s="4" t="s">
        <v>42</v>
      </c>
      <c r="C81" s="4" t="s">
        <v>50</v>
      </c>
      <c r="D81" s="4" t="s">
        <v>60</v>
      </c>
      <c r="E81" s="4" t="s">
        <v>72</v>
      </c>
      <c r="G81" s="4" t="s">
        <v>127</v>
      </c>
      <c r="H81" s="4" t="s">
        <v>121</v>
      </c>
      <c r="I81" s="7">
        <v>9300.6993006993016</v>
      </c>
      <c r="J81" s="4" t="s">
        <v>606</v>
      </c>
      <c r="K81" s="16">
        <v>45964</v>
      </c>
      <c r="L81" s="4">
        <v>2025404090</v>
      </c>
      <c r="M81" s="67" t="s">
        <v>225</v>
      </c>
      <c r="N81" s="4">
        <v>2025</v>
      </c>
    </row>
    <row r="82" spans="1:14">
      <c r="A82" s="4">
        <v>152</v>
      </c>
      <c r="B82" s="32" t="s">
        <v>17</v>
      </c>
      <c r="C82" s="32" t="s">
        <v>22</v>
      </c>
      <c r="D82" s="4" t="s">
        <v>60</v>
      </c>
      <c r="E82" s="4" t="s">
        <v>72</v>
      </c>
      <c r="G82" s="4" t="s">
        <v>243</v>
      </c>
      <c r="H82" s="4" t="s">
        <v>250</v>
      </c>
      <c r="I82" s="7">
        <v>685.31468531468533</v>
      </c>
      <c r="J82" s="4" t="s">
        <v>577</v>
      </c>
      <c r="K82" s="16">
        <v>45960</v>
      </c>
      <c r="L82" s="4">
        <v>2025403850</v>
      </c>
      <c r="M82" s="67" t="s">
        <v>225</v>
      </c>
      <c r="N82" s="4">
        <v>2025</v>
      </c>
    </row>
    <row r="83" spans="1:14">
      <c r="A83" s="4">
        <v>177</v>
      </c>
      <c r="B83" s="4" t="s">
        <v>52</v>
      </c>
      <c r="C83" s="4" t="s">
        <v>62</v>
      </c>
      <c r="D83" s="4" t="s">
        <v>60</v>
      </c>
      <c r="E83" s="32" t="s">
        <v>72</v>
      </c>
      <c r="G83" s="4" t="s">
        <v>243</v>
      </c>
      <c r="H83" s="4" t="s">
        <v>250</v>
      </c>
      <c r="I83" s="7">
        <v>6160.8391608391612</v>
      </c>
      <c r="J83" s="4" t="s">
        <v>600</v>
      </c>
      <c r="K83" s="16">
        <v>45978</v>
      </c>
      <c r="L83" s="4">
        <v>2025404168</v>
      </c>
      <c r="M83" s="67" t="s">
        <v>225</v>
      </c>
      <c r="N83" s="4">
        <v>2025</v>
      </c>
    </row>
    <row r="84" spans="1:14">
      <c r="A84" s="4">
        <v>84</v>
      </c>
      <c r="B84" s="4" t="s">
        <v>42</v>
      </c>
      <c r="C84" s="4" t="s">
        <v>45</v>
      </c>
      <c r="D84" s="4" t="s">
        <v>60</v>
      </c>
      <c r="E84" s="4" t="s">
        <v>72</v>
      </c>
      <c r="G84" s="4" t="s">
        <v>241</v>
      </c>
      <c r="H84" s="4" t="s">
        <v>121</v>
      </c>
      <c r="I84" s="7">
        <v>1200</v>
      </c>
      <c r="J84" s="4" t="s">
        <v>509</v>
      </c>
      <c r="K84" s="16">
        <v>45978</v>
      </c>
      <c r="L84" s="4">
        <v>2025404272</v>
      </c>
      <c r="M84" s="67" t="s">
        <v>225</v>
      </c>
      <c r="N84" s="4">
        <v>2025</v>
      </c>
    </row>
    <row r="85" spans="1:14">
      <c r="A85" s="4">
        <v>164</v>
      </c>
      <c r="B85" s="4" t="s">
        <v>35</v>
      </c>
      <c r="C85" s="4" t="s">
        <v>37</v>
      </c>
      <c r="D85" s="4" t="s">
        <v>60</v>
      </c>
      <c r="E85" s="32" t="s">
        <v>72</v>
      </c>
      <c r="G85" s="4" t="s">
        <v>421</v>
      </c>
      <c r="H85" s="4" t="s">
        <v>121</v>
      </c>
      <c r="I85" s="7">
        <v>2664.3356643356642</v>
      </c>
      <c r="J85" s="4" t="s">
        <v>587</v>
      </c>
      <c r="K85" s="16">
        <v>45962</v>
      </c>
      <c r="L85" s="4">
        <v>2025404037</v>
      </c>
      <c r="M85" s="67" t="s">
        <v>225</v>
      </c>
      <c r="N85" s="4">
        <v>2025</v>
      </c>
    </row>
    <row r="86" spans="1:14">
      <c r="A86" s="4">
        <v>186</v>
      </c>
      <c r="B86" s="4" t="s">
        <v>17</v>
      </c>
      <c r="C86" s="4" t="s">
        <v>22</v>
      </c>
      <c r="D86" s="4" t="s">
        <v>60</v>
      </c>
      <c r="E86" s="32" t="s">
        <v>72</v>
      </c>
      <c r="G86" s="4" t="s">
        <v>425</v>
      </c>
      <c r="H86" s="42" t="s">
        <v>250</v>
      </c>
      <c r="I86" s="7">
        <v>14475.524475524475</v>
      </c>
      <c r="J86" s="4" t="s">
        <v>609</v>
      </c>
      <c r="K86" s="16">
        <v>45962</v>
      </c>
      <c r="L86" s="4">
        <v>2025404147</v>
      </c>
      <c r="M86" s="67" t="s">
        <v>225</v>
      </c>
      <c r="N86" s="4">
        <v>2025</v>
      </c>
    </row>
    <row r="87" spans="1:14">
      <c r="A87" s="4">
        <v>153</v>
      </c>
      <c r="B87" s="4" t="s">
        <v>42</v>
      </c>
      <c r="C87" s="4" t="s">
        <v>46</v>
      </c>
      <c r="D87" s="4" t="s">
        <v>60</v>
      </c>
      <c r="E87" s="32" t="s">
        <v>72</v>
      </c>
      <c r="G87" s="4" t="s">
        <v>242</v>
      </c>
      <c r="H87" s="4" t="s">
        <v>121</v>
      </c>
      <c r="I87" s="9">
        <v>839.16083916083915</v>
      </c>
      <c r="J87" s="4" t="s">
        <v>578</v>
      </c>
      <c r="K87" s="16">
        <v>45981</v>
      </c>
      <c r="L87" s="4">
        <v>2025404255</v>
      </c>
      <c r="M87" s="67" t="s">
        <v>225</v>
      </c>
      <c r="N87" s="4">
        <v>2025</v>
      </c>
    </row>
    <row r="88" spans="1:14">
      <c r="A88" s="4">
        <v>156</v>
      </c>
      <c r="B88" s="4" t="s">
        <v>42</v>
      </c>
      <c r="C88" s="4" t="s">
        <v>375</v>
      </c>
      <c r="D88" s="4" t="s">
        <v>60</v>
      </c>
      <c r="E88" s="4" t="s">
        <v>72</v>
      </c>
      <c r="G88" s="4" t="s">
        <v>242</v>
      </c>
      <c r="H88" s="4" t="s">
        <v>121</v>
      </c>
      <c r="I88" s="7">
        <v>1084.6153846153845</v>
      </c>
      <c r="J88" s="4" t="s">
        <v>581</v>
      </c>
      <c r="K88" s="16">
        <v>45983</v>
      </c>
      <c r="L88" s="4">
        <v>2025404300</v>
      </c>
      <c r="M88" s="67" t="s">
        <v>225</v>
      </c>
      <c r="N88" s="4">
        <v>2025</v>
      </c>
    </row>
    <row r="89" spans="1:14">
      <c r="A89" s="4">
        <v>170</v>
      </c>
      <c r="B89" s="4" t="s">
        <v>17</v>
      </c>
      <c r="C89" s="4" t="s">
        <v>25</v>
      </c>
      <c r="D89" s="4" t="s">
        <v>60</v>
      </c>
      <c r="E89" s="32" t="s">
        <v>72</v>
      </c>
      <c r="G89" s="4" t="s">
        <v>269</v>
      </c>
      <c r="H89" s="4" t="s">
        <v>121</v>
      </c>
      <c r="I89" s="7">
        <v>4643.356643356643</v>
      </c>
      <c r="J89" s="4" t="s">
        <v>593</v>
      </c>
      <c r="K89" s="16">
        <v>45839</v>
      </c>
      <c r="L89" s="4">
        <v>2025402365</v>
      </c>
      <c r="M89" s="67" t="s">
        <v>225</v>
      </c>
      <c r="N89" s="4">
        <v>2025</v>
      </c>
    </row>
    <row r="90" spans="1:14">
      <c r="A90" s="4">
        <v>134</v>
      </c>
      <c r="B90" s="4" t="s">
        <v>52</v>
      </c>
      <c r="C90" s="4" t="s">
        <v>62</v>
      </c>
      <c r="D90" s="4" t="s">
        <v>60</v>
      </c>
      <c r="E90" s="32" t="s">
        <v>72</v>
      </c>
      <c r="G90" s="4" t="s">
        <v>384</v>
      </c>
      <c r="H90" s="4" t="s">
        <v>121</v>
      </c>
      <c r="I90" s="7">
        <v>1480</v>
      </c>
      <c r="J90" s="4" t="s">
        <v>559</v>
      </c>
      <c r="K90" s="16">
        <v>45960</v>
      </c>
      <c r="L90" s="4">
        <v>2025404106</v>
      </c>
      <c r="M90" s="67" t="s">
        <v>225</v>
      </c>
      <c r="N90" s="4">
        <v>2025</v>
      </c>
    </row>
    <row r="91" spans="1:14">
      <c r="A91" s="4">
        <v>161</v>
      </c>
      <c r="B91" s="4" t="s">
        <v>17</v>
      </c>
      <c r="C91" s="4" t="s">
        <v>25</v>
      </c>
      <c r="D91" s="4" t="s">
        <v>60</v>
      </c>
      <c r="E91" s="32" t="s">
        <v>72</v>
      </c>
      <c r="G91" s="4" t="s">
        <v>270</v>
      </c>
      <c r="H91" s="4" t="s">
        <v>121</v>
      </c>
      <c r="I91" s="7">
        <v>2381.1188811188813</v>
      </c>
      <c r="J91" s="4" t="s">
        <v>584</v>
      </c>
      <c r="K91" s="16">
        <v>45830</v>
      </c>
      <c r="L91" s="4">
        <v>2025402363</v>
      </c>
      <c r="M91" s="67" t="s">
        <v>225</v>
      </c>
      <c r="N91" s="4">
        <v>2025</v>
      </c>
    </row>
    <row r="92" spans="1:14">
      <c r="A92" s="4">
        <v>162</v>
      </c>
      <c r="B92" s="32" t="s">
        <v>17</v>
      </c>
      <c r="C92" s="32" t="s">
        <v>25</v>
      </c>
      <c r="D92" s="4" t="s">
        <v>60</v>
      </c>
      <c r="E92" s="4" t="s">
        <v>72</v>
      </c>
      <c r="G92" s="4" t="s">
        <v>270</v>
      </c>
      <c r="H92" s="4" t="s">
        <v>121</v>
      </c>
      <c r="I92" s="7">
        <v>2413.2867132867132</v>
      </c>
      <c r="J92" s="4" t="s">
        <v>585</v>
      </c>
      <c r="K92" s="16">
        <v>45836</v>
      </c>
      <c r="L92" s="4">
        <v>2025402364</v>
      </c>
      <c r="M92" s="67" t="s">
        <v>225</v>
      </c>
      <c r="N92" s="4">
        <v>2025</v>
      </c>
    </row>
    <row r="93" spans="1:14">
      <c r="A93" s="4">
        <v>81</v>
      </c>
      <c r="B93" s="4" t="s">
        <v>52</v>
      </c>
      <c r="C93" s="4" t="s">
        <v>62</v>
      </c>
      <c r="D93" s="4" t="s">
        <v>60</v>
      </c>
      <c r="E93" s="4" t="s">
        <v>72</v>
      </c>
      <c r="G93" s="4" t="s">
        <v>417</v>
      </c>
      <c r="H93" s="4" t="s">
        <v>121</v>
      </c>
      <c r="I93" s="7">
        <v>1560</v>
      </c>
      <c r="J93" s="4" t="s">
        <v>506</v>
      </c>
      <c r="K93" s="16">
        <v>45967</v>
      </c>
      <c r="L93" s="4">
        <v>2025404190</v>
      </c>
      <c r="M93" s="67" t="s">
        <v>225</v>
      </c>
      <c r="N93" s="4">
        <v>2025</v>
      </c>
    </row>
    <row r="94" spans="1:14">
      <c r="A94" s="4">
        <v>6</v>
      </c>
      <c r="B94" s="4" t="s">
        <v>42</v>
      </c>
      <c r="C94" s="4" t="s">
        <v>47</v>
      </c>
      <c r="D94" s="4" t="s">
        <v>60</v>
      </c>
      <c r="E94" s="32" t="s">
        <v>72</v>
      </c>
      <c r="G94" s="4" t="s">
        <v>128</v>
      </c>
      <c r="H94" s="4" t="s">
        <v>121</v>
      </c>
      <c r="I94" s="7">
        <v>107.5</v>
      </c>
      <c r="J94" s="4" t="s">
        <v>431</v>
      </c>
      <c r="K94" s="16">
        <v>45969</v>
      </c>
      <c r="L94" s="4">
        <v>2025404007</v>
      </c>
      <c r="M94" s="67" t="s">
        <v>225</v>
      </c>
      <c r="N94" s="4">
        <v>2025</v>
      </c>
    </row>
    <row r="95" spans="1:14">
      <c r="A95" s="4">
        <v>10</v>
      </c>
      <c r="B95" s="4" t="s">
        <v>17</v>
      </c>
      <c r="C95" s="4" t="s">
        <v>22</v>
      </c>
      <c r="D95" s="4" t="s">
        <v>60</v>
      </c>
      <c r="E95" s="32" t="s">
        <v>72</v>
      </c>
      <c r="G95" s="4" t="s">
        <v>128</v>
      </c>
      <c r="H95" s="4" t="s">
        <v>121</v>
      </c>
      <c r="I95" s="7">
        <v>320</v>
      </c>
      <c r="J95" s="4" t="s">
        <v>435</v>
      </c>
      <c r="K95" s="16">
        <v>45969</v>
      </c>
      <c r="L95" s="4">
        <v>2025404045</v>
      </c>
      <c r="M95" s="67" t="s">
        <v>225</v>
      </c>
      <c r="N95" s="4">
        <v>2025</v>
      </c>
    </row>
    <row r="96" spans="1:14">
      <c r="A96" s="4">
        <v>11</v>
      </c>
      <c r="B96" s="4" t="s">
        <v>52</v>
      </c>
      <c r="C96" s="4" t="s">
        <v>62</v>
      </c>
      <c r="D96" s="4" t="s">
        <v>60</v>
      </c>
      <c r="E96" s="32" t="s">
        <v>72</v>
      </c>
      <c r="G96" s="4" t="s">
        <v>128</v>
      </c>
      <c r="H96" s="4" t="s">
        <v>121</v>
      </c>
      <c r="I96" s="7">
        <v>190</v>
      </c>
      <c r="J96" s="4" t="s">
        <v>436</v>
      </c>
      <c r="K96" s="16">
        <v>45969</v>
      </c>
      <c r="L96" s="4">
        <v>2025403973</v>
      </c>
      <c r="M96" s="67" t="s">
        <v>225</v>
      </c>
      <c r="N96" s="4">
        <v>2025</v>
      </c>
    </row>
    <row r="97" spans="1:14">
      <c r="A97" s="4">
        <v>12</v>
      </c>
      <c r="B97" s="4" t="s">
        <v>17</v>
      </c>
      <c r="C97" s="4" t="s">
        <v>25</v>
      </c>
      <c r="D97" s="4" t="s">
        <v>60</v>
      </c>
      <c r="E97" s="32" t="s">
        <v>72</v>
      </c>
      <c r="G97" s="4" t="s">
        <v>128</v>
      </c>
      <c r="H97" s="4" t="s">
        <v>121</v>
      </c>
      <c r="I97" s="7">
        <v>474</v>
      </c>
      <c r="J97" s="4" t="s">
        <v>437</v>
      </c>
      <c r="K97" s="43">
        <v>45969</v>
      </c>
      <c r="L97" s="4">
        <v>2025404031</v>
      </c>
      <c r="M97" s="67" t="s">
        <v>225</v>
      </c>
      <c r="N97" s="4">
        <v>2025</v>
      </c>
    </row>
    <row r="98" spans="1:14">
      <c r="A98" s="4">
        <v>13</v>
      </c>
      <c r="B98" s="4" t="s">
        <v>35</v>
      </c>
      <c r="C98" s="4" t="s">
        <v>36</v>
      </c>
      <c r="D98" s="4" t="s">
        <v>60</v>
      </c>
      <c r="E98" s="32" t="s">
        <v>72</v>
      </c>
      <c r="G98" s="33" t="s">
        <v>128</v>
      </c>
      <c r="H98" s="4" t="s">
        <v>121</v>
      </c>
      <c r="I98" s="7">
        <v>1116.5</v>
      </c>
      <c r="J98" s="33" t="s">
        <v>438</v>
      </c>
      <c r="K98" s="16">
        <v>45969</v>
      </c>
      <c r="L98" s="33">
        <v>2025403996</v>
      </c>
      <c r="M98" s="67" t="s">
        <v>225</v>
      </c>
      <c r="N98" s="4">
        <v>2025</v>
      </c>
    </row>
    <row r="99" spans="1:14">
      <c r="A99" s="4">
        <v>14</v>
      </c>
      <c r="B99" s="4" t="s">
        <v>42</v>
      </c>
      <c r="C99" s="4" t="s">
        <v>375</v>
      </c>
      <c r="D99" s="4" t="s">
        <v>60</v>
      </c>
      <c r="E99" s="32" t="s">
        <v>72</v>
      </c>
      <c r="G99" s="4" t="s">
        <v>128</v>
      </c>
      <c r="H99" s="4" t="s">
        <v>121</v>
      </c>
      <c r="I99" s="7">
        <v>560</v>
      </c>
      <c r="J99" s="4" t="s">
        <v>439</v>
      </c>
      <c r="K99" s="16">
        <v>45969</v>
      </c>
      <c r="L99" s="4">
        <v>2025403995</v>
      </c>
      <c r="M99" s="67" t="s">
        <v>225</v>
      </c>
      <c r="N99" s="4">
        <v>2025</v>
      </c>
    </row>
    <row r="100" spans="1:14">
      <c r="A100" s="4">
        <v>15</v>
      </c>
      <c r="B100" s="4" t="s">
        <v>17</v>
      </c>
      <c r="C100" s="4" t="s">
        <v>18</v>
      </c>
      <c r="D100" s="4" t="s">
        <v>60</v>
      </c>
      <c r="E100" s="32" t="s">
        <v>72</v>
      </c>
      <c r="G100" s="4" t="s">
        <v>128</v>
      </c>
      <c r="H100" s="4" t="s">
        <v>121</v>
      </c>
      <c r="I100" s="7">
        <v>2058.1999999999998</v>
      </c>
      <c r="J100" s="4" t="s">
        <v>440</v>
      </c>
      <c r="K100" s="16">
        <v>45969</v>
      </c>
      <c r="L100" s="4">
        <v>2025404023</v>
      </c>
      <c r="M100" s="67" t="s">
        <v>225</v>
      </c>
      <c r="N100" s="4">
        <v>2025</v>
      </c>
    </row>
    <row r="101" spans="1:14">
      <c r="A101" s="4">
        <v>16</v>
      </c>
      <c r="B101" s="4" t="s">
        <v>54</v>
      </c>
      <c r="C101" s="4" t="s">
        <v>55</v>
      </c>
      <c r="D101" s="4" t="s">
        <v>60</v>
      </c>
      <c r="E101" s="32" t="s">
        <v>72</v>
      </c>
      <c r="G101" s="4" t="s">
        <v>128</v>
      </c>
      <c r="H101" s="4" t="s">
        <v>121</v>
      </c>
      <c r="I101" s="7">
        <v>250</v>
      </c>
      <c r="J101" s="4" t="s">
        <v>441</v>
      </c>
      <c r="K101" s="16">
        <v>45969</v>
      </c>
      <c r="L101" s="4">
        <v>2025403974</v>
      </c>
      <c r="M101" s="67" t="s">
        <v>225</v>
      </c>
      <c r="N101" s="4">
        <v>2025</v>
      </c>
    </row>
    <row r="102" spans="1:14">
      <c r="A102" s="4">
        <v>17</v>
      </c>
      <c r="B102" s="4" t="s">
        <v>42</v>
      </c>
      <c r="C102" s="4" t="s">
        <v>44</v>
      </c>
      <c r="D102" s="4" t="s">
        <v>60</v>
      </c>
      <c r="E102" s="32" t="s">
        <v>72</v>
      </c>
      <c r="G102" s="4" t="s">
        <v>128</v>
      </c>
      <c r="H102" s="4" t="s">
        <v>121</v>
      </c>
      <c r="I102" s="7">
        <v>113</v>
      </c>
      <c r="J102" s="4" t="s">
        <v>442</v>
      </c>
      <c r="K102" s="16">
        <v>45969</v>
      </c>
      <c r="L102" s="4">
        <v>2025404033</v>
      </c>
      <c r="M102" s="67" t="s">
        <v>225</v>
      </c>
      <c r="N102" s="4">
        <v>2025</v>
      </c>
    </row>
    <row r="103" spans="1:14">
      <c r="A103" s="4">
        <v>18</v>
      </c>
      <c r="B103" s="4" t="s">
        <v>35</v>
      </c>
      <c r="C103" s="4" t="s">
        <v>36</v>
      </c>
      <c r="D103" s="4" t="s">
        <v>60</v>
      </c>
      <c r="E103" s="32" t="s">
        <v>72</v>
      </c>
      <c r="G103" s="4" t="s">
        <v>128</v>
      </c>
      <c r="H103" s="4" t="s">
        <v>121</v>
      </c>
      <c r="I103" s="7">
        <v>200</v>
      </c>
      <c r="J103" s="4" t="s">
        <v>443</v>
      </c>
      <c r="K103" s="16">
        <v>45969</v>
      </c>
      <c r="L103" s="33">
        <v>2025404019</v>
      </c>
      <c r="M103" s="67" t="s">
        <v>225</v>
      </c>
      <c r="N103" s="4">
        <v>2025</v>
      </c>
    </row>
    <row r="104" spans="1:14">
      <c r="A104" s="4">
        <v>19</v>
      </c>
      <c r="B104" s="4" t="s">
        <v>52</v>
      </c>
      <c r="C104" s="4" t="s">
        <v>62</v>
      </c>
      <c r="D104" s="4" t="s">
        <v>60</v>
      </c>
      <c r="E104" s="32" t="s">
        <v>72</v>
      </c>
      <c r="G104" s="4" t="s">
        <v>128</v>
      </c>
      <c r="H104" s="4" t="s">
        <v>121</v>
      </c>
      <c r="I104" s="7">
        <v>2359</v>
      </c>
      <c r="J104" s="4" t="s">
        <v>444</v>
      </c>
      <c r="K104" s="16">
        <v>45969</v>
      </c>
      <c r="L104" s="4">
        <v>2025403990</v>
      </c>
      <c r="M104" s="67" t="s">
        <v>225</v>
      </c>
      <c r="N104" s="4">
        <v>2025</v>
      </c>
    </row>
    <row r="105" spans="1:14">
      <c r="A105" s="4">
        <v>20</v>
      </c>
      <c r="B105" s="4" t="s">
        <v>35</v>
      </c>
      <c r="C105" s="4" t="s">
        <v>36</v>
      </c>
      <c r="D105" s="4" t="s">
        <v>60</v>
      </c>
      <c r="E105" s="32" t="s">
        <v>72</v>
      </c>
      <c r="G105" s="4" t="s">
        <v>128</v>
      </c>
      <c r="H105" s="4" t="s">
        <v>121</v>
      </c>
      <c r="I105" s="7">
        <v>2114</v>
      </c>
      <c r="J105" s="4" t="s">
        <v>445</v>
      </c>
      <c r="K105" s="16">
        <v>45969</v>
      </c>
      <c r="L105" s="4">
        <v>2025403998</v>
      </c>
      <c r="M105" s="67" t="s">
        <v>225</v>
      </c>
      <c r="N105" s="4">
        <v>2025</v>
      </c>
    </row>
    <row r="106" spans="1:14">
      <c r="A106" s="4">
        <v>21</v>
      </c>
      <c r="B106" s="4" t="s">
        <v>42</v>
      </c>
      <c r="C106" s="4" t="s">
        <v>49</v>
      </c>
      <c r="D106" s="4" t="s">
        <v>60</v>
      </c>
      <c r="E106" s="32" t="s">
        <v>72</v>
      </c>
      <c r="G106" s="4" t="s">
        <v>128</v>
      </c>
      <c r="H106" s="4" t="s">
        <v>121</v>
      </c>
      <c r="I106" s="7">
        <v>104</v>
      </c>
      <c r="J106" s="4" t="s">
        <v>446</v>
      </c>
      <c r="K106" s="16">
        <v>45969</v>
      </c>
      <c r="L106" s="4">
        <v>2025403997</v>
      </c>
      <c r="M106" s="67" t="s">
        <v>225</v>
      </c>
      <c r="N106" s="4">
        <v>2025</v>
      </c>
    </row>
    <row r="107" spans="1:14">
      <c r="A107" s="4">
        <v>22</v>
      </c>
      <c r="B107" s="4" t="s">
        <v>42</v>
      </c>
      <c r="C107" s="4" t="s">
        <v>50</v>
      </c>
      <c r="D107" s="4" t="s">
        <v>60</v>
      </c>
      <c r="E107" s="32" t="s">
        <v>72</v>
      </c>
      <c r="G107" s="4" t="s">
        <v>128</v>
      </c>
      <c r="H107" s="4" t="s">
        <v>121</v>
      </c>
      <c r="I107" s="7">
        <v>700</v>
      </c>
      <c r="J107" s="4" t="s">
        <v>447</v>
      </c>
      <c r="K107" s="16">
        <v>45969</v>
      </c>
      <c r="L107" s="4">
        <v>2025403991</v>
      </c>
      <c r="M107" s="67" t="s">
        <v>225</v>
      </c>
      <c r="N107" s="4">
        <v>2025</v>
      </c>
    </row>
    <row r="108" spans="1:14">
      <c r="A108" s="4">
        <v>23</v>
      </c>
      <c r="B108" s="4" t="s">
        <v>54</v>
      </c>
      <c r="C108" s="4" t="s">
        <v>96</v>
      </c>
      <c r="D108" s="4" t="s">
        <v>60</v>
      </c>
      <c r="E108" s="32" t="s">
        <v>72</v>
      </c>
      <c r="G108" s="4" t="s">
        <v>128</v>
      </c>
      <c r="H108" s="4" t="s">
        <v>121</v>
      </c>
      <c r="I108" s="7">
        <v>152</v>
      </c>
      <c r="J108" s="4" t="s">
        <v>448</v>
      </c>
      <c r="K108" s="16">
        <v>45969</v>
      </c>
      <c r="L108" s="4">
        <v>2025403982</v>
      </c>
      <c r="M108" s="67" t="s">
        <v>225</v>
      </c>
      <c r="N108" s="4">
        <v>2025</v>
      </c>
    </row>
    <row r="109" spans="1:14">
      <c r="A109" s="4">
        <v>24</v>
      </c>
      <c r="B109" s="4" t="s">
        <v>42</v>
      </c>
      <c r="C109" s="4" t="s">
        <v>49</v>
      </c>
      <c r="D109" s="4" t="s">
        <v>60</v>
      </c>
      <c r="E109" s="32" t="s">
        <v>72</v>
      </c>
      <c r="G109" s="4" t="s">
        <v>128</v>
      </c>
      <c r="H109" s="4" t="s">
        <v>121</v>
      </c>
      <c r="I109" s="7">
        <v>702</v>
      </c>
      <c r="J109" s="4" t="s">
        <v>449</v>
      </c>
      <c r="K109" s="16">
        <v>45965</v>
      </c>
      <c r="L109" s="4">
        <v>2025403948</v>
      </c>
      <c r="M109" s="67" t="s">
        <v>225</v>
      </c>
      <c r="N109" s="4">
        <v>2025</v>
      </c>
    </row>
    <row r="110" spans="1:14">
      <c r="A110" s="4">
        <v>29</v>
      </c>
      <c r="B110" s="4" t="s">
        <v>42</v>
      </c>
      <c r="C110" s="4" t="s">
        <v>45</v>
      </c>
      <c r="D110" s="4" t="s">
        <v>60</v>
      </c>
      <c r="E110" s="32" t="s">
        <v>72</v>
      </c>
      <c r="G110" s="4" t="s">
        <v>128</v>
      </c>
      <c r="H110" s="4" t="s">
        <v>121</v>
      </c>
      <c r="I110" s="9">
        <v>130</v>
      </c>
      <c r="J110" s="4" t="s">
        <v>454</v>
      </c>
      <c r="K110" s="16">
        <v>45970</v>
      </c>
      <c r="L110" s="4">
        <v>2025403980</v>
      </c>
      <c r="M110" s="67" t="s">
        <v>225</v>
      </c>
      <c r="N110" s="4">
        <v>2025</v>
      </c>
    </row>
    <row r="111" spans="1:14">
      <c r="A111" s="4">
        <v>30</v>
      </c>
      <c r="B111" s="4" t="s">
        <v>17</v>
      </c>
      <c r="C111" s="4" t="s">
        <v>25</v>
      </c>
      <c r="D111" s="4" t="s">
        <v>60</v>
      </c>
      <c r="E111" s="4" t="s">
        <v>72</v>
      </c>
      <c r="G111" s="4" t="s">
        <v>128</v>
      </c>
      <c r="H111" s="4" t="s">
        <v>121</v>
      </c>
      <c r="I111" s="7">
        <v>1103.5999999999999</v>
      </c>
      <c r="J111" s="4" t="s">
        <v>455</v>
      </c>
      <c r="K111" s="16">
        <v>45973</v>
      </c>
      <c r="L111" s="4">
        <v>2025404046</v>
      </c>
      <c r="M111" s="67" t="s">
        <v>225</v>
      </c>
      <c r="N111" s="4">
        <v>2025</v>
      </c>
    </row>
    <row r="112" spans="1:14">
      <c r="A112" s="4">
        <v>31</v>
      </c>
      <c r="B112" s="4" t="s">
        <v>42</v>
      </c>
      <c r="C112" s="4" t="s">
        <v>50</v>
      </c>
      <c r="D112" s="4" t="s">
        <v>60</v>
      </c>
      <c r="E112" s="32" t="s">
        <v>72</v>
      </c>
      <c r="G112" s="4" t="s">
        <v>128</v>
      </c>
      <c r="H112" s="4" t="s">
        <v>121</v>
      </c>
      <c r="I112" s="7">
        <v>1856.2</v>
      </c>
      <c r="J112" s="4" t="s">
        <v>456</v>
      </c>
      <c r="K112" s="16">
        <v>45971</v>
      </c>
      <c r="L112" s="4">
        <v>2025404022</v>
      </c>
      <c r="M112" s="67" t="s">
        <v>225</v>
      </c>
      <c r="N112" s="4">
        <v>2025</v>
      </c>
    </row>
    <row r="113" spans="1:14">
      <c r="A113" s="4">
        <v>32</v>
      </c>
      <c r="B113" s="4" t="s">
        <v>35</v>
      </c>
      <c r="C113" s="4" t="s">
        <v>36</v>
      </c>
      <c r="D113" s="4" t="s">
        <v>60</v>
      </c>
      <c r="E113" s="32" t="s">
        <v>72</v>
      </c>
      <c r="G113" s="4" t="s">
        <v>128</v>
      </c>
      <c r="H113" s="4" t="s">
        <v>121</v>
      </c>
      <c r="I113" s="7">
        <v>60</v>
      </c>
      <c r="J113" s="4" t="s">
        <v>457</v>
      </c>
      <c r="K113" s="16">
        <v>45973</v>
      </c>
      <c r="L113" s="4">
        <v>2025403886</v>
      </c>
      <c r="M113" s="67" t="s">
        <v>225</v>
      </c>
      <c r="N113" s="4">
        <v>2025</v>
      </c>
    </row>
    <row r="114" spans="1:14">
      <c r="A114" s="4">
        <v>35</v>
      </c>
      <c r="B114" s="4" t="s">
        <v>17</v>
      </c>
      <c r="C114" s="4" t="s">
        <v>22</v>
      </c>
      <c r="D114" s="4" t="s">
        <v>60</v>
      </c>
      <c r="E114" s="32" t="s">
        <v>72</v>
      </c>
      <c r="G114" s="4" t="s">
        <v>128</v>
      </c>
      <c r="H114" s="4" t="s">
        <v>121</v>
      </c>
      <c r="I114" s="7">
        <v>1320.9</v>
      </c>
      <c r="J114" s="4" t="s">
        <v>460</v>
      </c>
      <c r="K114" s="16">
        <v>45970</v>
      </c>
      <c r="L114" s="4">
        <v>2025404047</v>
      </c>
      <c r="M114" s="67" t="s">
        <v>225</v>
      </c>
      <c r="N114" s="4">
        <v>2025</v>
      </c>
    </row>
    <row r="115" spans="1:14">
      <c r="A115" s="4">
        <v>37</v>
      </c>
      <c r="B115" s="4" t="s">
        <v>42</v>
      </c>
      <c r="C115" s="4" t="s">
        <v>45</v>
      </c>
      <c r="D115" s="4" t="s">
        <v>60</v>
      </c>
      <c r="E115" s="32" t="s">
        <v>72</v>
      </c>
      <c r="G115" s="4" t="s">
        <v>128</v>
      </c>
      <c r="H115" s="4" t="s">
        <v>121</v>
      </c>
      <c r="I115" s="7">
        <v>50</v>
      </c>
      <c r="J115" s="4" t="s">
        <v>462</v>
      </c>
      <c r="K115" s="16">
        <v>45976</v>
      </c>
      <c r="L115" s="4">
        <v>2025404121</v>
      </c>
      <c r="M115" s="67" t="s">
        <v>225</v>
      </c>
      <c r="N115" s="4">
        <v>2025</v>
      </c>
    </row>
    <row r="116" spans="1:14">
      <c r="A116" s="4">
        <v>38</v>
      </c>
      <c r="B116" s="4" t="s">
        <v>42</v>
      </c>
      <c r="C116" s="4" t="s">
        <v>375</v>
      </c>
      <c r="D116" s="4" t="s">
        <v>60</v>
      </c>
      <c r="E116" s="32" t="s">
        <v>72</v>
      </c>
      <c r="G116" s="4" t="s">
        <v>128</v>
      </c>
      <c r="H116" s="4" t="s">
        <v>121</v>
      </c>
      <c r="I116" s="7">
        <v>2133.1999999999998</v>
      </c>
      <c r="J116" s="4" t="s">
        <v>463</v>
      </c>
      <c r="K116" s="16">
        <v>45976</v>
      </c>
      <c r="L116" s="4">
        <v>2025404152</v>
      </c>
      <c r="M116" s="67" t="s">
        <v>225</v>
      </c>
      <c r="N116" s="4">
        <v>2025</v>
      </c>
    </row>
    <row r="117" spans="1:14">
      <c r="A117" s="4">
        <v>40</v>
      </c>
      <c r="B117" s="4" t="s">
        <v>52</v>
      </c>
      <c r="C117" s="4" t="s">
        <v>62</v>
      </c>
      <c r="D117" s="4" t="s">
        <v>60</v>
      </c>
      <c r="E117" s="32" t="s">
        <v>72</v>
      </c>
      <c r="G117" s="4" t="s">
        <v>128</v>
      </c>
      <c r="H117" s="4" t="s">
        <v>121</v>
      </c>
      <c r="I117" s="7">
        <v>96</v>
      </c>
      <c r="J117" s="4" t="s">
        <v>465</v>
      </c>
      <c r="K117" s="16">
        <v>45976</v>
      </c>
      <c r="L117" s="4">
        <v>2025404135</v>
      </c>
      <c r="M117" s="67" t="s">
        <v>225</v>
      </c>
      <c r="N117" s="4">
        <v>2025</v>
      </c>
    </row>
    <row r="118" spans="1:14">
      <c r="A118" s="4">
        <v>41</v>
      </c>
      <c r="B118" s="4" t="s">
        <v>42</v>
      </c>
      <c r="C118" s="4" t="s">
        <v>50</v>
      </c>
      <c r="D118" s="4" t="s">
        <v>60</v>
      </c>
      <c r="E118" s="32" t="s">
        <v>72</v>
      </c>
      <c r="G118" s="4" t="s">
        <v>128</v>
      </c>
      <c r="H118" s="4" t="s">
        <v>121</v>
      </c>
      <c r="I118" s="7">
        <v>795</v>
      </c>
      <c r="J118" s="4" t="s">
        <v>466</v>
      </c>
      <c r="K118" s="16">
        <v>45976</v>
      </c>
      <c r="L118" s="4">
        <v>2025404153</v>
      </c>
      <c r="M118" s="67" t="s">
        <v>225</v>
      </c>
      <c r="N118" s="4">
        <v>2025</v>
      </c>
    </row>
    <row r="119" spans="1:14">
      <c r="A119" s="4">
        <v>42</v>
      </c>
      <c r="B119" s="4" t="s">
        <v>52</v>
      </c>
      <c r="C119" s="4" t="s">
        <v>62</v>
      </c>
      <c r="D119" s="4" t="s">
        <v>60</v>
      </c>
      <c r="E119" s="32" t="s">
        <v>72</v>
      </c>
      <c r="G119" s="4" t="s">
        <v>128</v>
      </c>
      <c r="H119" s="4" t="s">
        <v>121</v>
      </c>
      <c r="I119" s="7">
        <v>465</v>
      </c>
      <c r="J119" s="4" t="s">
        <v>467</v>
      </c>
      <c r="K119" s="16">
        <v>45976</v>
      </c>
      <c r="L119" s="4">
        <v>2025404155</v>
      </c>
      <c r="M119" s="67" t="s">
        <v>225</v>
      </c>
      <c r="N119" s="4">
        <v>2025</v>
      </c>
    </row>
    <row r="120" spans="1:14">
      <c r="A120" s="4">
        <v>43</v>
      </c>
      <c r="B120" s="4" t="s">
        <v>42</v>
      </c>
      <c r="C120" s="4" t="s">
        <v>375</v>
      </c>
      <c r="D120" s="4" t="s">
        <v>60</v>
      </c>
      <c r="E120" s="32" t="s">
        <v>72</v>
      </c>
      <c r="G120" s="4" t="s">
        <v>128</v>
      </c>
      <c r="H120" s="4" t="s">
        <v>121</v>
      </c>
      <c r="I120" s="7">
        <v>75</v>
      </c>
      <c r="J120" s="4" t="s">
        <v>468</v>
      </c>
      <c r="K120" s="16">
        <v>45976</v>
      </c>
      <c r="L120" s="4">
        <v>2025404124</v>
      </c>
      <c r="M120" s="67" t="s">
        <v>225</v>
      </c>
      <c r="N120" s="4">
        <v>2025</v>
      </c>
    </row>
    <row r="121" spans="1:14">
      <c r="A121" s="4">
        <v>44</v>
      </c>
      <c r="B121" s="4" t="s">
        <v>33</v>
      </c>
      <c r="C121" s="4" t="s">
        <v>34</v>
      </c>
      <c r="D121" s="4" t="s">
        <v>60</v>
      </c>
      <c r="E121" s="32" t="s">
        <v>72</v>
      </c>
      <c r="G121" s="4" t="s">
        <v>128</v>
      </c>
      <c r="H121" s="4" t="s">
        <v>121</v>
      </c>
      <c r="I121" s="7">
        <v>1472.4</v>
      </c>
      <c r="J121" s="4" t="s">
        <v>469</v>
      </c>
      <c r="K121" s="16">
        <v>45976</v>
      </c>
      <c r="L121" s="4">
        <v>2025404150</v>
      </c>
      <c r="M121" s="67" t="s">
        <v>225</v>
      </c>
      <c r="N121" s="4">
        <v>2025</v>
      </c>
    </row>
    <row r="122" spans="1:14">
      <c r="A122" s="4">
        <v>45</v>
      </c>
      <c r="B122" s="4" t="s">
        <v>35</v>
      </c>
      <c r="C122" s="4" t="s">
        <v>36</v>
      </c>
      <c r="D122" s="4" t="s">
        <v>60</v>
      </c>
      <c r="E122" s="32" t="s">
        <v>72</v>
      </c>
      <c r="G122" s="4" t="s">
        <v>128</v>
      </c>
      <c r="H122" s="4" t="s">
        <v>121</v>
      </c>
      <c r="I122" s="7">
        <v>210</v>
      </c>
      <c r="J122" s="4" t="s">
        <v>470</v>
      </c>
      <c r="K122" s="16">
        <v>45976</v>
      </c>
      <c r="L122" s="4">
        <v>2025404125</v>
      </c>
      <c r="M122" s="67" t="s">
        <v>225</v>
      </c>
      <c r="N122" s="4">
        <v>2025</v>
      </c>
    </row>
    <row r="123" spans="1:14">
      <c r="A123" s="4">
        <v>46</v>
      </c>
      <c r="B123" s="4" t="s">
        <v>54</v>
      </c>
      <c r="C123" s="4" t="s">
        <v>96</v>
      </c>
      <c r="D123" s="4" t="s">
        <v>60</v>
      </c>
      <c r="E123" s="32" t="s">
        <v>72</v>
      </c>
      <c r="G123" s="4" t="s">
        <v>128</v>
      </c>
      <c r="H123" s="4" t="s">
        <v>121</v>
      </c>
      <c r="I123" s="7">
        <v>1322</v>
      </c>
      <c r="J123" s="4" t="s">
        <v>471</v>
      </c>
      <c r="K123" s="16">
        <v>45976</v>
      </c>
      <c r="L123" s="4">
        <v>2025404170</v>
      </c>
      <c r="M123" s="67" t="s">
        <v>225</v>
      </c>
      <c r="N123" s="4">
        <v>2025</v>
      </c>
    </row>
    <row r="124" spans="1:14">
      <c r="A124" s="4">
        <v>47</v>
      </c>
      <c r="B124" s="4" t="s">
        <v>52</v>
      </c>
      <c r="C124" s="4" t="s">
        <v>62</v>
      </c>
      <c r="D124" s="4" t="s">
        <v>60</v>
      </c>
      <c r="E124" s="32" t="s">
        <v>72</v>
      </c>
      <c r="G124" s="4" t="s">
        <v>128</v>
      </c>
      <c r="H124" s="4" t="s">
        <v>121</v>
      </c>
      <c r="I124" s="7">
        <v>1242</v>
      </c>
      <c r="J124" s="4" t="s">
        <v>472</v>
      </c>
      <c r="K124" s="16">
        <v>45976</v>
      </c>
      <c r="L124" s="4">
        <v>2025404060</v>
      </c>
      <c r="M124" s="67" t="s">
        <v>225</v>
      </c>
      <c r="N124" s="4">
        <v>2025</v>
      </c>
    </row>
    <row r="125" spans="1:14">
      <c r="A125" s="4">
        <v>48</v>
      </c>
      <c r="B125" s="4" t="s">
        <v>33</v>
      </c>
      <c r="C125" s="4" t="s">
        <v>34</v>
      </c>
      <c r="D125" s="4" t="s">
        <v>60</v>
      </c>
      <c r="E125" s="32" t="s">
        <v>72</v>
      </c>
      <c r="G125" s="4" t="s">
        <v>128</v>
      </c>
      <c r="H125" s="4" t="s">
        <v>121</v>
      </c>
      <c r="I125" s="7">
        <v>107.9</v>
      </c>
      <c r="J125" s="4" t="s">
        <v>473</v>
      </c>
      <c r="K125" s="16">
        <v>45976</v>
      </c>
      <c r="L125" s="4">
        <v>2025404079</v>
      </c>
      <c r="M125" s="67" t="s">
        <v>225</v>
      </c>
      <c r="N125" s="4">
        <v>2025</v>
      </c>
    </row>
    <row r="126" spans="1:14">
      <c r="A126" s="4">
        <v>49</v>
      </c>
      <c r="B126" s="4" t="s">
        <v>42</v>
      </c>
      <c r="C126" s="4" t="s">
        <v>50</v>
      </c>
      <c r="D126" s="4" t="s">
        <v>60</v>
      </c>
      <c r="E126" s="32" t="s">
        <v>72</v>
      </c>
      <c r="G126" s="4" t="s">
        <v>128</v>
      </c>
      <c r="H126" s="4" t="s">
        <v>121</v>
      </c>
      <c r="I126" s="7">
        <v>620</v>
      </c>
      <c r="J126" s="4" t="s">
        <v>474</v>
      </c>
      <c r="K126" s="16">
        <v>45976</v>
      </c>
      <c r="L126" s="4">
        <v>2025404078</v>
      </c>
      <c r="M126" s="67" t="s">
        <v>225</v>
      </c>
      <c r="N126" s="4">
        <v>2025</v>
      </c>
    </row>
    <row r="127" spans="1:14">
      <c r="A127" s="4">
        <v>50</v>
      </c>
      <c r="B127" s="4" t="s">
        <v>42</v>
      </c>
      <c r="C127" s="4" t="s">
        <v>45</v>
      </c>
      <c r="D127" s="4" t="s">
        <v>60</v>
      </c>
      <c r="E127" s="32" t="s">
        <v>72</v>
      </c>
      <c r="G127" s="4" t="s">
        <v>128</v>
      </c>
      <c r="H127" s="4" t="s">
        <v>121</v>
      </c>
      <c r="I127" s="7">
        <v>830</v>
      </c>
      <c r="J127" s="4" t="s">
        <v>475</v>
      </c>
      <c r="K127" s="16">
        <v>45976</v>
      </c>
      <c r="L127" s="4">
        <v>2025404172</v>
      </c>
      <c r="M127" s="67" t="s">
        <v>225</v>
      </c>
      <c r="N127" s="4">
        <v>2025</v>
      </c>
    </row>
    <row r="128" spans="1:14">
      <c r="A128" s="4">
        <v>51</v>
      </c>
      <c r="B128" s="32" t="s">
        <v>42</v>
      </c>
      <c r="C128" s="32" t="s">
        <v>51</v>
      </c>
      <c r="D128" s="4" t="s">
        <v>60</v>
      </c>
      <c r="E128" s="32" t="s">
        <v>72</v>
      </c>
      <c r="G128" s="32" t="s">
        <v>128</v>
      </c>
      <c r="H128" s="4" t="s">
        <v>121</v>
      </c>
      <c r="I128" s="7">
        <v>130</v>
      </c>
      <c r="J128" s="4" t="s">
        <v>476</v>
      </c>
      <c r="K128" s="16">
        <v>45976</v>
      </c>
      <c r="L128" s="4">
        <v>2025404136</v>
      </c>
      <c r="M128" s="67" t="s">
        <v>225</v>
      </c>
      <c r="N128" s="4">
        <v>2025</v>
      </c>
    </row>
    <row r="129" spans="1:14">
      <c r="A129" s="4">
        <v>52</v>
      </c>
      <c r="B129" s="4" t="s">
        <v>29</v>
      </c>
      <c r="C129" s="4" t="s">
        <v>232</v>
      </c>
      <c r="D129" s="4" t="s">
        <v>60</v>
      </c>
      <c r="E129" s="32" t="s">
        <v>72</v>
      </c>
      <c r="G129" s="4" t="s">
        <v>128</v>
      </c>
      <c r="H129" s="4" t="s">
        <v>121</v>
      </c>
      <c r="I129" s="7">
        <v>150</v>
      </c>
      <c r="J129" s="4" t="s">
        <v>477</v>
      </c>
      <c r="K129" s="16">
        <v>45976</v>
      </c>
      <c r="L129" s="4">
        <v>2025404138</v>
      </c>
      <c r="M129" s="67" t="s">
        <v>225</v>
      </c>
      <c r="N129" s="4">
        <v>2025</v>
      </c>
    </row>
    <row r="130" spans="1:14">
      <c r="A130" s="4">
        <v>53</v>
      </c>
      <c r="B130" s="4" t="s">
        <v>52</v>
      </c>
      <c r="C130" s="4" t="s">
        <v>62</v>
      </c>
      <c r="D130" s="4" t="s">
        <v>60</v>
      </c>
      <c r="E130" s="32" t="s">
        <v>72</v>
      </c>
      <c r="G130" s="4" t="s">
        <v>128</v>
      </c>
      <c r="H130" s="4" t="s">
        <v>121</v>
      </c>
      <c r="I130" s="7">
        <v>1293.2</v>
      </c>
      <c r="J130" s="4" t="s">
        <v>478</v>
      </c>
      <c r="K130" s="16">
        <v>45976</v>
      </c>
      <c r="L130" s="4">
        <v>2025404156</v>
      </c>
      <c r="M130" s="67" t="s">
        <v>225</v>
      </c>
      <c r="N130" s="4">
        <v>2025</v>
      </c>
    </row>
    <row r="131" spans="1:14">
      <c r="A131" s="4">
        <v>54</v>
      </c>
      <c r="B131" s="4" t="s">
        <v>42</v>
      </c>
      <c r="C131" s="4" t="s">
        <v>50</v>
      </c>
      <c r="D131" s="4" t="s">
        <v>60</v>
      </c>
      <c r="E131" s="32" t="s">
        <v>72</v>
      </c>
      <c r="G131" s="4" t="s">
        <v>128</v>
      </c>
      <c r="H131" s="4" t="s">
        <v>121</v>
      </c>
      <c r="I131" s="7">
        <v>226</v>
      </c>
      <c r="J131" s="4" t="s">
        <v>479</v>
      </c>
      <c r="K131" s="16">
        <v>45976</v>
      </c>
      <c r="L131" s="4">
        <v>2025404166</v>
      </c>
      <c r="M131" s="67" t="s">
        <v>225</v>
      </c>
      <c r="N131" s="4">
        <v>2025</v>
      </c>
    </row>
    <row r="132" spans="1:14">
      <c r="A132" s="4">
        <v>55</v>
      </c>
      <c r="B132" s="4" t="s">
        <v>52</v>
      </c>
      <c r="C132" s="4" t="s">
        <v>62</v>
      </c>
      <c r="D132" s="4" t="s">
        <v>60</v>
      </c>
      <c r="E132" s="32" t="s">
        <v>72</v>
      </c>
      <c r="G132" s="4" t="s">
        <v>128</v>
      </c>
      <c r="H132" s="4" t="s">
        <v>121</v>
      </c>
      <c r="I132" s="7">
        <v>590.5</v>
      </c>
      <c r="J132" s="4" t="s">
        <v>480</v>
      </c>
      <c r="K132" s="16">
        <v>45976</v>
      </c>
      <c r="L132" s="4">
        <v>2025404086</v>
      </c>
      <c r="M132" s="67" t="s">
        <v>225</v>
      </c>
      <c r="N132" s="4">
        <v>2025</v>
      </c>
    </row>
    <row r="133" spans="1:14">
      <c r="A133" s="4">
        <v>56</v>
      </c>
      <c r="B133" s="4" t="s">
        <v>17</v>
      </c>
      <c r="C133" s="4" t="s">
        <v>18</v>
      </c>
      <c r="D133" s="4" t="s">
        <v>60</v>
      </c>
      <c r="E133" s="4" t="s">
        <v>72</v>
      </c>
      <c r="G133" s="4" t="s">
        <v>128</v>
      </c>
      <c r="H133" s="4" t="s">
        <v>121</v>
      </c>
      <c r="I133" s="7">
        <v>3750</v>
      </c>
      <c r="J133" s="4" t="s">
        <v>481</v>
      </c>
      <c r="K133" s="16">
        <v>45971</v>
      </c>
      <c r="L133" s="4">
        <v>2025404065</v>
      </c>
      <c r="M133" s="67" t="s">
        <v>225</v>
      </c>
      <c r="N133" s="4">
        <v>2025</v>
      </c>
    </row>
    <row r="134" spans="1:14">
      <c r="A134" s="4">
        <v>57</v>
      </c>
      <c r="B134" s="4" t="s">
        <v>54</v>
      </c>
      <c r="C134" s="4" t="s">
        <v>55</v>
      </c>
      <c r="D134" s="4" t="s">
        <v>60</v>
      </c>
      <c r="E134" s="32" t="s">
        <v>72</v>
      </c>
      <c r="G134" s="4" t="s">
        <v>128</v>
      </c>
      <c r="H134" s="4" t="s">
        <v>121</v>
      </c>
      <c r="I134" s="7">
        <v>260</v>
      </c>
      <c r="J134" s="4" t="s">
        <v>482</v>
      </c>
      <c r="K134" s="16">
        <v>45985</v>
      </c>
      <c r="L134" s="4">
        <v>2025404253</v>
      </c>
      <c r="M134" s="67" t="s">
        <v>225</v>
      </c>
      <c r="N134" s="4">
        <v>2025</v>
      </c>
    </row>
    <row r="135" spans="1:14">
      <c r="A135" s="4">
        <v>58</v>
      </c>
      <c r="B135" s="4" t="s">
        <v>54</v>
      </c>
      <c r="C135" s="4" t="s">
        <v>55</v>
      </c>
      <c r="D135" s="4" t="s">
        <v>60</v>
      </c>
      <c r="E135" s="32" t="s">
        <v>72</v>
      </c>
      <c r="G135" s="4" t="s">
        <v>128</v>
      </c>
      <c r="H135" s="4" t="s">
        <v>121</v>
      </c>
      <c r="I135" s="7">
        <v>642.9</v>
      </c>
      <c r="J135" s="4" t="s">
        <v>483</v>
      </c>
      <c r="K135" s="16">
        <v>45987</v>
      </c>
      <c r="L135" s="4">
        <v>2025404320</v>
      </c>
      <c r="M135" s="67" t="s">
        <v>225</v>
      </c>
      <c r="N135" s="4">
        <v>2025</v>
      </c>
    </row>
    <row r="136" spans="1:14">
      <c r="A136" s="4">
        <v>59</v>
      </c>
      <c r="B136" s="4" t="s">
        <v>42</v>
      </c>
      <c r="C136" s="4" t="s">
        <v>47</v>
      </c>
      <c r="D136" s="4" t="s">
        <v>60</v>
      </c>
      <c r="E136" s="4" t="s">
        <v>72</v>
      </c>
      <c r="G136" s="4" t="s">
        <v>128</v>
      </c>
      <c r="H136" s="4" t="s">
        <v>121</v>
      </c>
      <c r="I136" s="7">
        <v>600</v>
      </c>
      <c r="J136" s="4" t="s">
        <v>484</v>
      </c>
      <c r="K136" s="16">
        <v>45979</v>
      </c>
      <c r="L136" s="4">
        <v>2025404183</v>
      </c>
      <c r="M136" s="67" t="s">
        <v>225</v>
      </c>
      <c r="N136" s="4">
        <v>2025</v>
      </c>
    </row>
    <row r="137" spans="1:14">
      <c r="A137" s="4">
        <v>60</v>
      </c>
      <c r="B137" s="4" t="s">
        <v>52</v>
      </c>
      <c r="C137" s="4" t="s">
        <v>62</v>
      </c>
      <c r="D137" s="4" t="s">
        <v>60</v>
      </c>
      <c r="E137" s="32" t="s">
        <v>72</v>
      </c>
      <c r="G137" s="4" t="s">
        <v>128</v>
      </c>
      <c r="H137" s="4" t="s">
        <v>121</v>
      </c>
      <c r="I137" s="7">
        <v>512.5</v>
      </c>
      <c r="J137" s="4" t="s">
        <v>485</v>
      </c>
      <c r="K137" s="43">
        <v>45979</v>
      </c>
      <c r="L137" s="4">
        <v>2025404203</v>
      </c>
      <c r="M137" s="67" t="s">
        <v>225</v>
      </c>
      <c r="N137" s="4">
        <v>2025</v>
      </c>
    </row>
    <row r="138" spans="1:14">
      <c r="A138" s="4">
        <v>61</v>
      </c>
      <c r="B138" s="4" t="s">
        <v>52</v>
      </c>
      <c r="C138" s="4" t="s">
        <v>62</v>
      </c>
      <c r="D138" s="4" t="s">
        <v>60</v>
      </c>
      <c r="E138" s="32" t="s">
        <v>72</v>
      </c>
      <c r="G138" s="33" t="s">
        <v>128</v>
      </c>
      <c r="H138" s="4" t="s">
        <v>121</v>
      </c>
      <c r="I138" s="7">
        <v>821</v>
      </c>
      <c r="J138" s="33" t="s">
        <v>486</v>
      </c>
      <c r="K138" s="16">
        <v>45979</v>
      </c>
      <c r="L138" s="33">
        <v>2025404187</v>
      </c>
      <c r="M138" s="67" t="s">
        <v>225</v>
      </c>
      <c r="N138" s="4">
        <v>2025</v>
      </c>
    </row>
    <row r="139" spans="1:14">
      <c r="A139" s="4">
        <v>62</v>
      </c>
      <c r="B139" s="4" t="s">
        <v>42</v>
      </c>
      <c r="C139" s="4" t="s">
        <v>43</v>
      </c>
      <c r="D139" s="4" t="s">
        <v>60</v>
      </c>
      <c r="E139" s="32" t="s">
        <v>72</v>
      </c>
      <c r="G139" s="4" t="s">
        <v>128</v>
      </c>
      <c r="H139" s="4" t="s">
        <v>121</v>
      </c>
      <c r="I139" s="7">
        <v>796.5</v>
      </c>
      <c r="J139" s="4" t="s">
        <v>487</v>
      </c>
      <c r="K139" s="16">
        <v>45979</v>
      </c>
      <c r="L139" s="4">
        <v>2025404159</v>
      </c>
      <c r="M139" s="67" t="s">
        <v>225</v>
      </c>
      <c r="N139" s="4">
        <v>2025</v>
      </c>
    </row>
    <row r="140" spans="1:14">
      <c r="A140" s="4">
        <v>67</v>
      </c>
      <c r="B140" s="4" t="s">
        <v>52</v>
      </c>
      <c r="C140" s="4" t="s">
        <v>62</v>
      </c>
      <c r="D140" s="4" t="s">
        <v>60</v>
      </c>
      <c r="E140" s="32" t="s">
        <v>72</v>
      </c>
      <c r="G140" s="4" t="s">
        <v>128</v>
      </c>
      <c r="H140" s="4" t="s">
        <v>121</v>
      </c>
      <c r="I140" s="7">
        <v>164.5</v>
      </c>
      <c r="J140" s="4" t="s">
        <v>492</v>
      </c>
      <c r="K140" s="16">
        <v>45979</v>
      </c>
      <c r="L140" s="4">
        <v>2025404188</v>
      </c>
      <c r="M140" s="67" t="s">
        <v>225</v>
      </c>
      <c r="N140" s="4">
        <v>2025</v>
      </c>
    </row>
    <row r="141" spans="1:14">
      <c r="A141" s="4">
        <v>68</v>
      </c>
      <c r="B141" s="4" t="s">
        <v>52</v>
      </c>
      <c r="C141" s="4" t="s">
        <v>62</v>
      </c>
      <c r="D141" s="4" t="s">
        <v>60</v>
      </c>
      <c r="E141" s="4" t="s">
        <v>72</v>
      </c>
      <c r="G141" s="4" t="s">
        <v>128</v>
      </c>
      <c r="H141" s="4" t="s">
        <v>121</v>
      </c>
      <c r="I141" s="7">
        <v>1120.5</v>
      </c>
      <c r="J141" s="4" t="s">
        <v>493</v>
      </c>
      <c r="K141" s="16">
        <v>45979</v>
      </c>
      <c r="L141" s="4">
        <v>2025404089</v>
      </c>
      <c r="M141" s="67" t="s">
        <v>225</v>
      </c>
      <c r="N141" s="4">
        <v>2025</v>
      </c>
    </row>
    <row r="142" spans="1:14">
      <c r="A142" s="4">
        <v>69</v>
      </c>
      <c r="B142" s="4" t="s">
        <v>42</v>
      </c>
      <c r="C142" s="4" t="s">
        <v>50</v>
      </c>
      <c r="D142" s="4" t="s">
        <v>60</v>
      </c>
      <c r="E142" s="32" t="s">
        <v>72</v>
      </c>
      <c r="G142" s="4" t="s">
        <v>128</v>
      </c>
      <c r="H142" s="4" t="s">
        <v>121</v>
      </c>
      <c r="I142" s="7">
        <v>1250</v>
      </c>
      <c r="J142" s="4" t="s">
        <v>494</v>
      </c>
      <c r="K142" s="16">
        <v>45980</v>
      </c>
      <c r="L142" s="4">
        <v>2025404069</v>
      </c>
      <c r="M142" s="67" t="s">
        <v>225</v>
      </c>
      <c r="N142" s="4">
        <v>2025</v>
      </c>
    </row>
    <row r="143" spans="1:14">
      <c r="A143" s="4">
        <v>79</v>
      </c>
      <c r="B143" s="4" t="s">
        <v>17</v>
      </c>
      <c r="C143" s="4" t="s">
        <v>25</v>
      </c>
      <c r="D143" s="4" t="s">
        <v>60</v>
      </c>
      <c r="E143" s="32" t="s">
        <v>72</v>
      </c>
      <c r="G143" s="4" t="s">
        <v>128</v>
      </c>
      <c r="H143" s="4" t="s">
        <v>121</v>
      </c>
      <c r="I143" s="7">
        <v>1457.8</v>
      </c>
      <c r="J143" s="4" t="s">
        <v>504</v>
      </c>
      <c r="K143" s="16">
        <v>45983</v>
      </c>
      <c r="L143" s="4">
        <v>2025404186</v>
      </c>
      <c r="M143" s="67" t="s">
        <v>225</v>
      </c>
      <c r="N143" s="4">
        <v>2025</v>
      </c>
    </row>
    <row r="144" spans="1:14">
      <c r="A144" s="4">
        <v>83</v>
      </c>
      <c r="B144" s="4" t="s">
        <v>17</v>
      </c>
      <c r="C144" s="4" t="s">
        <v>18</v>
      </c>
      <c r="D144" s="4" t="s">
        <v>60</v>
      </c>
      <c r="E144" s="32" t="s">
        <v>72</v>
      </c>
      <c r="G144" s="4" t="s">
        <v>128</v>
      </c>
      <c r="H144" s="4" t="s">
        <v>121</v>
      </c>
      <c r="I144" s="7">
        <v>1693.1</v>
      </c>
      <c r="J144" s="4" t="s">
        <v>508</v>
      </c>
      <c r="K144" s="16">
        <v>45980</v>
      </c>
      <c r="L144" s="4">
        <v>2025404202</v>
      </c>
      <c r="M144" s="67" t="s">
        <v>225</v>
      </c>
      <c r="N144" s="4">
        <v>2025</v>
      </c>
    </row>
    <row r="145" spans="1:14">
      <c r="A145" s="4">
        <v>85</v>
      </c>
      <c r="B145" s="4" t="s">
        <v>54</v>
      </c>
      <c r="C145" s="4" t="s">
        <v>55</v>
      </c>
      <c r="D145" s="4" t="s">
        <v>60</v>
      </c>
      <c r="E145" s="4" t="s">
        <v>72</v>
      </c>
      <c r="G145" s="4" t="s">
        <v>128</v>
      </c>
      <c r="H145" s="4" t="s">
        <v>121</v>
      </c>
      <c r="I145" s="7">
        <v>800</v>
      </c>
      <c r="J145" s="4" t="s">
        <v>510</v>
      </c>
      <c r="K145" s="16">
        <v>45979</v>
      </c>
      <c r="L145" s="4">
        <v>2025404185</v>
      </c>
      <c r="M145" s="67" t="s">
        <v>225</v>
      </c>
      <c r="N145" s="4">
        <v>2025</v>
      </c>
    </row>
    <row r="146" spans="1:14">
      <c r="A146" s="4">
        <v>86</v>
      </c>
      <c r="B146" s="4" t="s">
        <v>42</v>
      </c>
      <c r="C146" s="4" t="s">
        <v>375</v>
      </c>
      <c r="D146" s="4" t="s">
        <v>60</v>
      </c>
      <c r="E146" s="32" t="s">
        <v>72</v>
      </c>
      <c r="G146" s="4" t="s">
        <v>128</v>
      </c>
      <c r="H146" s="4" t="s">
        <v>121</v>
      </c>
      <c r="I146" s="7">
        <v>640</v>
      </c>
      <c r="J146" s="4" t="s">
        <v>511</v>
      </c>
      <c r="K146" s="16">
        <v>45985</v>
      </c>
      <c r="L146" s="4">
        <v>2025404252</v>
      </c>
      <c r="M146" s="67" t="s">
        <v>225</v>
      </c>
      <c r="N146" s="4">
        <v>2025</v>
      </c>
    </row>
    <row r="147" spans="1:14">
      <c r="A147" s="4">
        <v>87</v>
      </c>
      <c r="B147" s="4" t="s">
        <v>54</v>
      </c>
      <c r="C147" s="4" t="s">
        <v>96</v>
      </c>
      <c r="D147" s="4" t="s">
        <v>60</v>
      </c>
      <c r="E147" s="32" t="s">
        <v>72</v>
      </c>
      <c r="G147" s="4" t="s">
        <v>128</v>
      </c>
      <c r="H147" s="4" t="s">
        <v>121</v>
      </c>
      <c r="I147" s="7">
        <v>555</v>
      </c>
      <c r="J147" s="4" t="s">
        <v>512</v>
      </c>
      <c r="K147" s="16">
        <v>45985</v>
      </c>
      <c r="L147" s="4">
        <v>2025404251</v>
      </c>
      <c r="M147" s="67" t="s">
        <v>225</v>
      </c>
      <c r="N147" s="4">
        <v>2025</v>
      </c>
    </row>
    <row r="148" spans="1:14">
      <c r="A148" s="4">
        <v>88</v>
      </c>
      <c r="B148" s="4" t="s">
        <v>52</v>
      </c>
      <c r="C148" s="4" t="s">
        <v>62</v>
      </c>
      <c r="D148" s="4" t="s">
        <v>60</v>
      </c>
      <c r="E148" s="4" t="s">
        <v>72</v>
      </c>
      <c r="G148" s="4" t="s">
        <v>128</v>
      </c>
      <c r="H148" s="4" t="s">
        <v>121</v>
      </c>
      <c r="I148" s="7">
        <v>588</v>
      </c>
      <c r="J148" s="4" t="s">
        <v>513</v>
      </c>
      <c r="K148" s="16">
        <v>45980</v>
      </c>
      <c r="L148" s="4">
        <v>2025404154</v>
      </c>
      <c r="M148" s="67" t="s">
        <v>225</v>
      </c>
      <c r="N148" s="4">
        <v>2025</v>
      </c>
    </row>
    <row r="149" spans="1:14">
      <c r="A149" s="4">
        <v>89</v>
      </c>
      <c r="B149" s="4" t="s">
        <v>17</v>
      </c>
      <c r="C149" s="4" t="s">
        <v>25</v>
      </c>
      <c r="D149" s="4" t="s">
        <v>60</v>
      </c>
      <c r="E149" s="32" t="s">
        <v>72</v>
      </c>
      <c r="G149" s="4" t="s">
        <v>128</v>
      </c>
      <c r="H149" s="4" t="s">
        <v>121</v>
      </c>
      <c r="I149" s="7">
        <v>2160.1999999999998</v>
      </c>
      <c r="J149" s="4" t="s">
        <v>514</v>
      </c>
      <c r="K149" s="16">
        <v>45980</v>
      </c>
      <c r="L149" s="4">
        <v>2025404049</v>
      </c>
      <c r="M149" s="67" t="s">
        <v>225</v>
      </c>
      <c r="N149" s="4">
        <v>2025</v>
      </c>
    </row>
    <row r="150" spans="1:14">
      <c r="A150" s="4">
        <v>90</v>
      </c>
      <c r="B150" s="4" t="s">
        <v>17</v>
      </c>
      <c r="C150" s="4" t="s">
        <v>22</v>
      </c>
      <c r="D150" s="4" t="s">
        <v>60</v>
      </c>
      <c r="E150" s="32" t="s">
        <v>72</v>
      </c>
      <c r="G150" s="4" t="s">
        <v>128</v>
      </c>
      <c r="H150" s="4" t="s">
        <v>121</v>
      </c>
      <c r="I150" s="7">
        <v>739</v>
      </c>
      <c r="J150" s="4" t="s">
        <v>515</v>
      </c>
      <c r="K150" s="16">
        <v>45979</v>
      </c>
      <c r="L150" s="4">
        <v>2025404200</v>
      </c>
      <c r="M150" s="67" t="s">
        <v>225</v>
      </c>
      <c r="N150" s="4">
        <v>2025</v>
      </c>
    </row>
    <row r="151" spans="1:14">
      <c r="A151" s="4">
        <v>91</v>
      </c>
      <c r="B151" s="4" t="s">
        <v>17</v>
      </c>
      <c r="C151" s="4" t="s">
        <v>93</v>
      </c>
      <c r="D151" s="4" t="s">
        <v>60</v>
      </c>
      <c r="E151" s="32" t="s">
        <v>72</v>
      </c>
      <c r="G151" s="4" t="s">
        <v>128</v>
      </c>
      <c r="H151" s="4" t="s">
        <v>121</v>
      </c>
      <c r="I151" s="7">
        <v>647</v>
      </c>
      <c r="J151" s="4" t="s">
        <v>516</v>
      </c>
      <c r="K151" s="16">
        <v>45979</v>
      </c>
      <c r="L151" s="4">
        <v>2025404160</v>
      </c>
      <c r="M151" s="67" t="s">
        <v>225</v>
      </c>
      <c r="N151" s="4">
        <v>2025</v>
      </c>
    </row>
    <row r="152" spans="1:14">
      <c r="A152" s="4">
        <v>94</v>
      </c>
      <c r="B152" s="4" t="s">
        <v>17</v>
      </c>
      <c r="C152" s="4" t="s">
        <v>18</v>
      </c>
      <c r="D152" s="4" t="s">
        <v>60</v>
      </c>
      <c r="E152" s="32" t="s">
        <v>72</v>
      </c>
      <c r="G152" s="4" t="s">
        <v>128</v>
      </c>
      <c r="H152" s="4" t="s">
        <v>121</v>
      </c>
      <c r="I152" s="7">
        <v>695</v>
      </c>
      <c r="J152" s="4" t="s">
        <v>519</v>
      </c>
      <c r="K152" s="16">
        <v>45987</v>
      </c>
      <c r="L152" s="4">
        <v>2025404307</v>
      </c>
      <c r="M152" s="67" t="s">
        <v>225</v>
      </c>
      <c r="N152" s="4">
        <v>2025</v>
      </c>
    </row>
    <row r="153" spans="1:14">
      <c r="A153" s="4">
        <v>95</v>
      </c>
      <c r="B153" s="32" t="s">
        <v>54</v>
      </c>
      <c r="C153" s="32" t="s">
        <v>96</v>
      </c>
      <c r="D153" s="4" t="s">
        <v>60</v>
      </c>
      <c r="E153" s="32" t="s">
        <v>72</v>
      </c>
      <c r="G153" s="32" t="s">
        <v>128</v>
      </c>
      <c r="H153" s="4" t="s">
        <v>121</v>
      </c>
      <c r="I153" s="7">
        <v>2055</v>
      </c>
      <c r="J153" s="4" t="s">
        <v>520</v>
      </c>
      <c r="K153" s="16">
        <v>45987</v>
      </c>
      <c r="L153" s="4">
        <v>2025404263</v>
      </c>
      <c r="M153" s="67" t="s">
        <v>225</v>
      </c>
      <c r="N153" s="4">
        <v>2025</v>
      </c>
    </row>
    <row r="154" spans="1:14">
      <c r="A154" s="4">
        <v>96</v>
      </c>
      <c r="B154" s="4" t="s">
        <v>17</v>
      </c>
      <c r="C154" s="4" t="s">
        <v>22</v>
      </c>
      <c r="D154" s="4" t="s">
        <v>60</v>
      </c>
      <c r="E154" s="4" t="s">
        <v>72</v>
      </c>
      <c r="G154" s="4" t="s">
        <v>128</v>
      </c>
      <c r="H154" s="4" t="s">
        <v>121</v>
      </c>
      <c r="I154" s="7">
        <v>1609</v>
      </c>
      <c r="J154" s="4" t="s">
        <v>521</v>
      </c>
      <c r="K154" s="16">
        <v>45979</v>
      </c>
      <c r="L154" s="4">
        <v>2025404201</v>
      </c>
      <c r="M154" s="67" t="s">
        <v>225</v>
      </c>
      <c r="N154" s="4">
        <v>2025</v>
      </c>
    </row>
    <row r="155" spans="1:14">
      <c r="A155" s="4">
        <v>97</v>
      </c>
      <c r="B155" s="4" t="s">
        <v>17</v>
      </c>
      <c r="C155" s="4" t="s">
        <v>18</v>
      </c>
      <c r="D155" s="4" t="s">
        <v>60</v>
      </c>
      <c r="E155" s="32" t="s">
        <v>72</v>
      </c>
      <c r="G155" s="4" t="s">
        <v>128</v>
      </c>
      <c r="H155" s="4" t="s">
        <v>121</v>
      </c>
      <c r="I155" s="7">
        <v>826</v>
      </c>
      <c r="J155" s="4" t="s">
        <v>522</v>
      </c>
      <c r="K155" s="16">
        <v>45976</v>
      </c>
      <c r="L155" s="4">
        <v>2025404163</v>
      </c>
      <c r="M155" s="67" t="s">
        <v>225</v>
      </c>
      <c r="N155" s="4">
        <v>2025</v>
      </c>
    </row>
    <row r="156" spans="1:14">
      <c r="A156" s="4">
        <v>98</v>
      </c>
      <c r="B156" s="4" t="s">
        <v>17</v>
      </c>
      <c r="C156" s="4" t="s">
        <v>25</v>
      </c>
      <c r="D156" s="4" t="s">
        <v>60</v>
      </c>
      <c r="E156" s="4" t="s">
        <v>72</v>
      </c>
      <c r="G156" s="4" t="s">
        <v>128</v>
      </c>
      <c r="H156" s="4" t="s">
        <v>121</v>
      </c>
      <c r="I156" s="7">
        <v>73</v>
      </c>
      <c r="J156" s="4" t="s">
        <v>523</v>
      </c>
      <c r="K156" s="16">
        <v>45985</v>
      </c>
      <c r="L156" s="4">
        <v>2025404234</v>
      </c>
      <c r="M156" s="67" t="s">
        <v>225</v>
      </c>
      <c r="N156" s="4">
        <v>2025</v>
      </c>
    </row>
    <row r="157" spans="1:14">
      <c r="A157" s="4">
        <v>99</v>
      </c>
      <c r="B157" s="4" t="s">
        <v>35</v>
      </c>
      <c r="C157" s="4" t="s">
        <v>37</v>
      </c>
      <c r="D157" s="4" t="s">
        <v>60</v>
      </c>
      <c r="E157" s="32" t="s">
        <v>72</v>
      </c>
      <c r="G157" s="4" t="s">
        <v>128</v>
      </c>
      <c r="H157" s="4" t="s">
        <v>121</v>
      </c>
      <c r="I157" s="7">
        <v>3287</v>
      </c>
      <c r="J157" s="4" t="s">
        <v>524</v>
      </c>
      <c r="K157" s="16">
        <v>45985</v>
      </c>
      <c r="L157" s="4">
        <v>2025404095</v>
      </c>
      <c r="M157" s="67" t="s">
        <v>225</v>
      </c>
      <c r="N157" s="4">
        <v>2025</v>
      </c>
    </row>
    <row r="158" spans="1:14">
      <c r="A158" s="4">
        <v>100</v>
      </c>
      <c r="B158" s="4" t="s">
        <v>42</v>
      </c>
      <c r="C158" s="4" t="s">
        <v>50</v>
      </c>
      <c r="D158" s="4" t="s">
        <v>60</v>
      </c>
      <c r="E158" s="32" t="s">
        <v>72</v>
      </c>
      <c r="G158" s="4" t="s">
        <v>128</v>
      </c>
      <c r="H158" s="4" t="s">
        <v>121</v>
      </c>
      <c r="I158" s="7">
        <v>67.5</v>
      </c>
      <c r="J158" s="4" t="s">
        <v>525</v>
      </c>
      <c r="K158" s="16">
        <v>45985</v>
      </c>
      <c r="L158" s="4">
        <v>2025404235</v>
      </c>
      <c r="M158" s="67" t="s">
        <v>225</v>
      </c>
      <c r="N158" s="4">
        <v>2025</v>
      </c>
    </row>
    <row r="159" spans="1:14">
      <c r="A159" s="4">
        <v>101</v>
      </c>
      <c r="B159" s="4" t="s">
        <v>42</v>
      </c>
      <c r="C159" s="4" t="s">
        <v>50</v>
      </c>
      <c r="D159" s="4" t="s">
        <v>60</v>
      </c>
      <c r="E159" s="32" t="s">
        <v>72</v>
      </c>
      <c r="G159" s="4" t="s">
        <v>128</v>
      </c>
      <c r="H159" s="4" t="s">
        <v>121</v>
      </c>
      <c r="I159" s="7">
        <v>519</v>
      </c>
      <c r="J159" s="4" t="s">
        <v>526</v>
      </c>
      <c r="K159" s="16">
        <v>45985</v>
      </c>
      <c r="L159" s="4">
        <v>2025404233</v>
      </c>
      <c r="M159" s="67" t="s">
        <v>225</v>
      </c>
      <c r="N159" s="4">
        <v>2025</v>
      </c>
    </row>
    <row r="160" spans="1:14">
      <c r="A160" s="4">
        <v>102</v>
      </c>
      <c r="B160" s="32" t="s">
        <v>42</v>
      </c>
      <c r="C160" s="32" t="s">
        <v>50</v>
      </c>
      <c r="D160" s="4" t="s">
        <v>60</v>
      </c>
      <c r="E160" s="32" t="s">
        <v>72</v>
      </c>
      <c r="G160" s="32" t="s">
        <v>128</v>
      </c>
      <c r="H160" s="4" t="s">
        <v>121</v>
      </c>
      <c r="I160" s="7">
        <v>184.5</v>
      </c>
      <c r="J160" s="4" t="s">
        <v>527</v>
      </c>
      <c r="K160" s="16">
        <v>45985</v>
      </c>
      <c r="L160" s="4">
        <v>2025404236</v>
      </c>
      <c r="M160" s="67" t="s">
        <v>225</v>
      </c>
      <c r="N160" s="4">
        <v>2025</v>
      </c>
    </row>
    <row r="161" spans="1:14">
      <c r="A161" s="4">
        <v>103</v>
      </c>
      <c r="B161" s="4" t="s">
        <v>42</v>
      </c>
      <c r="C161" s="4" t="s">
        <v>50</v>
      </c>
      <c r="D161" s="4" t="s">
        <v>60</v>
      </c>
      <c r="E161" s="32" t="s">
        <v>72</v>
      </c>
      <c r="G161" s="4" t="s">
        <v>128</v>
      </c>
      <c r="H161" s="4" t="s">
        <v>121</v>
      </c>
      <c r="I161" s="7">
        <v>1549.33</v>
      </c>
      <c r="J161" s="4" t="s">
        <v>528</v>
      </c>
      <c r="K161" s="16">
        <v>45985</v>
      </c>
      <c r="L161" s="4">
        <v>2025404232</v>
      </c>
      <c r="M161" s="67" t="s">
        <v>225</v>
      </c>
      <c r="N161" s="4">
        <v>2025</v>
      </c>
    </row>
    <row r="162" spans="1:14">
      <c r="A162" s="4">
        <v>104</v>
      </c>
      <c r="B162" s="4" t="s">
        <v>52</v>
      </c>
      <c r="C162" s="4" t="s">
        <v>62</v>
      </c>
      <c r="D162" s="4" t="s">
        <v>60</v>
      </c>
      <c r="E162" s="4" t="s">
        <v>72</v>
      </c>
      <c r="G162" s="4" t="s">
        <v>128</v>
      </c>
      <c r="H162" s="4" t="s">
        <v>121</v>
      </c>
      <c r="I162" s="8">
        <v>413</v>
      </c>
      <c r="J162" s="4" t="s">
        <v>529</v>
      </c>
      <c r="K162" s="16">
        <v>45986</v>
      </c>
      <c r="L162" s="4">
        <v>2025404189</v>
      </c>
      <c r="M162" s="67" t="s">
        <v>225</v>
      </c>
      <c r="N162" s="4">
        <v>2025</v>
      </c>
    </row>
    <row r="163" spans="1:14">
      <c r="A163" s="4">
        <v>105</v>
      </c>
      <c r="B163" s="4" t="s">
        <v>17</v>
      </c>
      <c r="C163" s="4" t="s">
        <v>25</v>
      </c>
      <c r="D163" s="4" t="s">
        <v>60</v>
      </c>
      <c r="E163" s="32" t="s">
        <v>72</v>
      </c>
      <c r="G163" s="4" t="s">
        <v>128</v>
      </c>
      <c r="H163" s="4" t="s">
        <v>121</v>
      </c>
      <c r="I163" s="7">
        <v>1846.7</v>
      </c>
      <c r="J163" s="4" t="s">
        <v>530</v>
      </c>
      <c r="K163" s="16">
        <v>45986</v>
      </c>
      <c r="L163" s="4">
        <v>2025404194</v>
      </c>
      <c r="M163" s="67" t="s">
        <v>225</v>
      </c>
      <c r="N163" s="4">
        <v>2025</v>
      </c>
    </row>
    <row r="164" spans="1:14">
      <c r="A164" s="4">
        <v>106</v>
      </c>
      <c r="B164" s="4" t="s">
        <v>42</v>
      </c>
      <c r="C164" s="4" t="s">
        <v>375</v>
      </c>
      <c r="D164" s="4" t="s">
        <v>60</v>
      </c>
      <c r="E164" s="4" t="s">
        <v>72</v>
      </c>
      <c r="G164" s="4" t="s">
        <v>128</v>
      </c>
      <c r="H164" s="4" t="s">
        <v>121</v>
      </c>
      <c r="I164" s="7">
        <v>498</v>
      </c>
      <c r="J164" s="4" t="s">
        <v>531</v>
      </c>
      <c r="K164" s="16">
        <v>45985</v>
      </c>
      <c r="L164" s="4">
        <v>2025404230</v>
      </c>
      <c r="M164" s="67" t="s">
        <v>225</v>
      </c>
      <c r="N164" s="4">
        <v>2025</v>
      </c>
    </row>
    <row r="165" spans="1:14">
      <c r="A165" s="4">
        <v>107</v>
      </c>
      <c r="B165" s="4" t="s">
        <v>17</v>
      </c>
      <c r="C165" s="4" t="s">
        <v>22</v>
      </c>
      <c r="D165" s="4" t="s">
        <v>60</v>
      </c>
      <c r="E165" s="32" t="s">
        <v>72</v>
      </c>
      <c r="G165" s="4" t="s">
        <v>128</v>
      </c>
      <c r="H165" s="4" t="s">
        <v>121</v>
      </c>
      <c r="I165" s="7">
        <v>84</v>
      </c>
      <c r="J165" s="4" t="s">
        <v>532</v>
      </c>
      <c r="K165" s="16">
        <v>45985</v>
      </c>
      <c r="L165" s="4">
        <v>2025404097</v>
      </c>
      <c r="M165" s="67" t="s">
        <v>225</v>
      </c>
      <c r="N165" s="4">
        <v>2025</v>
      </c>
    </row>
    <row r="166" spans="1:14">
      <c r="A166" s="4">
        <v>108</v>
      </c>
      <c r="B166" s="4" t="s">
        <v>42</v>
      </c>
      <c r="C166" s="4" t="s">
        <v>50</v>
      </c>
      <c r="D166" s="4" t="s">
        <v>60</v>
      </c>
      <c r="E166" s="32" t="s">
        <v>72</v>
      </c>
      <c r="G166" s="4" t="s">
        <v>128</v>
      </c>
      <c r="H166" s="4" t="s">
        <v>121</v>
      </c>
      <c r="I166" s="7">
        <v>400</v>
      </c>
      <c r="J166" s="4" t="s">
        <v>533</v>
      </c>
      <c r="K166" s="16">
        <v>45985</v>
      </c>
      <c r="L166" s="4">
        <v>2025404100</v>
      </c>
      <c r="M166" s="67" t="s">
        <v>225</v>
      </c>
      <c r="N166" s="4">
        <v>2025</v>
      </c>
    </row>
    <row r="167" spans="1:14">
      <c r="A167" s="4">
        <v>109</v>
      </c>
      <c r="B167" s="32" t="s">
        <v>17</v>
      </c>
      <c r="C167" s="32" t="s">
        <v>18</v>
      </c>
      <c r="D167" s="4" t="s">
        <v>60</v>
      </c>
      <c r="E167" s="32" t="s">
        <v>72</v>
      </c>
      <c r="G167" s="32" t="s">
        <v>128</v>
      </c>
      <c r="H167" s="4" t="s">
        <v>121</v>
      </c>
      <c r="I167" s="7">
        <v>947</v>
      </c>
      <c r="J167" s="4" t="s">
        <v>534</v>
      </c>
      <c r="K167" s="16">
        <v>45985</v>
      </c>
      <c r="L167" s="4">
        <v>2025404102</v>
      </c>
      <c r="M167" s="67" t="s">
        <v>225</v>
      </c>
      <c r="N167" s="4">
        <v>2025</v>
      </c>
    </row>
    <row r="168" spans="1:14">
      <c r="A168" s="4">
        <v>110</v>
      </c>
      <c r="B168" s="4" t="s">
        <v>17</v>
      </c>
      <c r="C168" s="4" t="s">
        <v>18</v>
      </c>
      <c r="D168" s="4" t="s">
        <v>60</v>
      </c>
      <c r="E168" s="32" t="s">
        <v>72</v>
      </c>
      <c r="G168" s="4" t="s">
        <v>128</v>
      </c>
      <c r="H168" s="4" t="s">
        <v>121</v>
      </c>
      <c r="I168" s="7">
        <v>675</v>
      </c>
      <c r="J168" s="4" t="s">
        <v>535</v>
      </c>
      <c r="K168" s="16">
        <v>45985</v>
      </c>
      <c r="L168" s="4">
        <v>2025404098</v>
      </c>
      <c r="M168" s="67" t="s">
        <v>225</v>
      </c>
      <c r="N168" s="4">
        <v>2025</v>
      </c>
    </row>
    <row r="169" spans="1:14">
      <c r="A169" s="4">
        <v>111</v>
      </c>
      <c r="B169" s="4" t="s">
        <v>17</v>
      </c>
      <c r="C169" s="4" t="s">
        <v>18</v>
      </c>
      <c r="D169" s="4" t="s">
        <v>60</v>
      </c>
      <c r="E169" s="32" t="s">
        <v>72</v>
      </c>
      <c r="G169" s="4" t="s">
        <v>128</v>
      </c>
      <c r="H169" s="4" t="s">
        <v>121</v>
      </c>
      <c r="I169" s="7">
        <v>729</v>
      </c>
      <c r="J169" s="4" t="s">
        <v>536</v>
      </c>
      <c r="K169" s="16">
        <v>45985</v>
      </c>
      <c r="L169" s="4">
        <v>2025404231</v>
      </c>
      <c r="M169" s="67" t="s">
        <v>225</v>
      </c>
      <c r="N169" s="4">
        <v>2025</v>
      </c>
    </row>
    <row r="170" spans="1:14">
      <c r="A170" s="4">
        <v>112</v>
      </c>
      <c r="B170" s="4" t="s">
        <v>17</v>
      </c>
      <c r="C170" s="4" t="s">
        <v>25</v>
      </c>
      <c r="D170" s="4" t="s">
        <v>60</v>
      </c>
      <c r="E170" s="32" t="s">
        <v>72</v>
      </c>
      <c r="G170" s="4" t="s">
        <v>128</v>
      </c>
      <c r="H170" s="4" t="s">
        <v>121</v>
      </c>
      <c r="I170" s="7">
        <v>2844.5</v>
      </c>
      <c r="J170" s="4" t="s">
        <v>537</v>
      </c>
      <c r="K170" s="16">
        <v>45986</v>
      </c>
      <c r="L170" s="4">
        <v>2025404108</v>
      </c>
      <c r="M170" s="67" t="s">
        <v>225</v>
      </c>
      <c r="N170" s="4">
        <v>2025</v>
      </c>
    </row>
    <row r="171" spans="1:14">
      <c r="A171" s="4">
        <v>113</v>
      </c>
      <c r="B171" s="4" t="s">
        <v>54</v>
      </c>
      <c r="C171" s="4" t="s">
        <v>55</v>
      </c>
      <c r="D171" s="4" t="s">
        <v>60</v>
      </c>
      <c r="E171" s="32" t="s">
        <v>72</v>
      </c>
      <c r="G171" s="4" t="s">
        <v>128</v>
      </c>
      <c r="H171" s="4" t="s">
        <v>121</v>
      </c>
      <c r="I171" s="7">
        <v>800</v>
      </c>
      <c r="J171" s="4" t="s">
        <v>538</v>
      </c>
      <c r="K171" s="16">
        <v>45991</v>
      </c>
      <c r="L171" s="4">
        <v>2025404319</v>
      </c>
      <c r="M171" s="67" t="s">
        <v>225</v>
      </c>
      <c r="N171" s="4">
        <v>2025</v>
      </c>
    </row>
    <row r="172" spans="1:14">
      <c r="A172" s="4">
        <v>114</v>
      </c>
      <c r="B172" s="4" t="s">
        <v>42</v>
      </c>
      <c r="C172" s="4" t="s">
        <v>50</v>
      </c>
      <c r="D172" s="4" t="s">
        <v>60</v>
      </c>
      <c r="E172" s="32" t="s">
        <v>72</v>
      </c>
      <c r="G172" s="4" t="s">
        <v>128</v>
      </c>
      <c r="H172" s="4" t="s">
        <v>121</v>
      </c>
      <c r="I172" s="7">
        <v>1120</v>
      </c>
      <c r="J172" s="4" t="s">
        <v>539</v>
      </c>
      <c r="K172" s="16">
        <v>45985</v>
      </c>
      <c r="L172" s="4">
        <v>2025404104</v>
      </c>
      <c r="M172" s="67" t="s">
        <v>225</v>
      </c>
      <c r="N172" s="4">
        <v>2025</v>
      </c>
    </row>
    <row r="173" spans="1:14">
      <c r="A173" s="4">
        <v>115</v>
      </c>
      <c r="B173" s="32" t="s">
        <v>42</v>
      </c>
      <c r="C173" s="32" t="s">
        <v>375</v>
      </c>
      <c r="D173" s="4" t="s">
        <v>60</v>
      </c>
      <c r="E173" s="32" t="s">
        <v>72</v>
      </c>
      <c r="G173" s="32" t="s">
        <v>128</v>
      </c>
      <c r="H173" s="4" t="s">
        <v>121</v>
      </c>
      <c r="I173" s="7">
        <v>697.4</v>
      </c>
      <c r="J173" s="4" t="s">
        <v>540</v>
      </c>
      <c r="K173" s="16">
        <v>45985</v>
      </c>
      <c r="L173" s="4">
        <v>2025404092</v>
      </c>
      <c r="M173" s="67" t="s">
        <v>225</v>
      </c>
      <c r="N173" s="4">
        <v>2025</v>
      </c>
    </row>
    <row r="174" spans="1:14">
      <c r="A174" s="4">
        <v>116</v>
      </c>
      <c r="B174" s="4" t="s">
        <v>42</v>
      </c>
      <c r="C174" s="4" t="s">
        <v>375</v>
      </c>
      <c r="D174" s="4" t="s">
        <v>60</v>
      </c>
      <c r="E174" s="32" t="s">
        <v>72</v>
      </c>
      <c r="G174" s="4" t="s">
        <v>128</v>
      </c>
      <c r="H174" s="4" t="s">
        <v>121</v>
      </c>
      <c r="I174" s="7">
        <v>942</v>
      </c>
      <c r="J174" s="4" t="s">
        <v>541</v>
      </c>
      <c r="K174" s="16">
        <v>45987</v>
      </c>
      <c r="L174" s="4">
        <v>2025404254</v>
      </c>
      <c r="M174" s="67" t="s">
        <v>225</v>
      </c>
      <c r="N174" s="4">
        <v>2025</v>
      </c>
    </row>
    <row r="175" spans="1:14">
      <c r="A175" s="4">
        <v>117</v>
      </c>
      <c r="B175" s="4" t="s">
        <v>42</v>
      </c>
      <c r="C175" s="4" t="s">
        <v>45</v>
      </c>
      <c r="D175" s="4" t="s">
        <v>60</v>
      </c>
      <c r="E175" s="32" t="s">
        <v>72</v>
      </c>
      <c r="G175" s="4" t="s">
        <v>128</v>
      </c>
      <c r="H175" s="4" t="s">
        <v>121</v>
      </c>
      <c r="I175" s="7">
        <v>1870</v>
      </c>
      <c r="J175" s="4" t="s">
        <v>542</v>
      </c>
      <c r="K175" s="16">
        <v>45987</v>
      </c>
      <c r="L175" s="4">
        <v>2025404268</v>
      </c>
      <c r="M175" s="67" t="s">
        <v>225</v>
      </c>
      <c r="N175" s="4">
        <v>2025</v>
      </c>
    </row>
    <row r="176" spans="1:14">
      <c r="A176" s="4">
        <v>118</v>
      </c>
      <c r="B176" s="4" t="s">
        <v>35</v>
      </c>
      <c r="C176" s="4" t="s">
        <v>37</v>
      </c>
      <c r="D176" s="4" t="s">
        <v>60</v>
      </c>
      <c r="E176" s="4" t="s">
        <v>72</v>
      </c>
      <c r="G176" s="4" t="s">
        <v>128</v>
      </c>
      <c r="H176" s="4" t="s">
        <v>121</v>
      </c>
      <c r="I176" s="7">
        <v>363</v>
      </c>
      <c r="J176" s="4" t="s">
        <v>543</v>
      </c>
      <c r="K176" s="16">
        <v>45969</v>
      </c>
      <c r="L176" s="4">
        <v>2025403981</v>
      </c>
      <c r="M176" s="67" t="s">
        <v>225</v>
      </c>
      <c r="N176" s="4">
        <v>2025</v>
      </c>
    </row>
    <row r="177" spans="1:14">
      <c r="A177" s="4">
        <v>119</v>
      </c>
      <c r="B177" s="4" t="s">
        <v>54</v>
      </c>
      <c r="C177" s="4" t="s">
        <v>55</v>
      </c>
      <c r="D177" s="4" t="s">
        <v>60</v>
      </c>
      <c r="E177" s="32" t="s">
        <v>72</v>
      </c>
      <c r="G177" s="4" t="s">
        <v>128</v>
      </c>
      <c r="H177" s="4" t="s">
        <v>121</v>
      </c>
      <c r="I177" s="7">
        <v>2188.9</v>
      </c>
      <c r="J177" s="4" t="s">
        <v>544</v>
      </c>
      <c r="K177" s="16">
        <v>45979</v>
      </c>
      <c r="L177" s="4">
        <v>2025404027</v>
      </c>
      <c r="M177" s="67" t="s">
        <v>225</v>
      </c>
      <c r="N177" s="4">
        <v>2025</v>
      </c>
    </row>
    <row r="178" spans="1:14">
      <c r="A178" s="4">
        <v>120</v>
      </c>
      <c r="B178" s="4" t="s">
        <v>52</v>
      </c>
      <c r="C178" s="4" t="s">
        <v>62</v>
      </c>
      <c r="D178" s="4" t="s">
        <v>60</v>
      </c>
      <c r="E178" s="4" t="s">
        <v>72</v>
      </c>
      <c r="G178" s="4" t="s">
        <v>128</v>
      </c>
      <c r="H178" s="4" t="s">
        <v>121</v>
      </c>
      <c r="I178" s="7">
        <v>3656.5</v>
      </c>
      <c r="J178" s="4" t="s">
        <v>545</v>
      </c>
      <c r="K178" s="16">
        <v>45976</v>
      </c>
      <c r="L178" s="4">
        <v>2025404171</v>
      </c>
      <c r="M178" s="67" t="s">
        <v>225</v>
      </c>
      <c r="N178" s="4">
        <v>2025</v>
      </c>
    </row>
    <row r="179" spans="1:14">
      <c r="A179" s="4">
        <v>122</v>
      </c>
      <c r="B179" s="4" t="s">
        <v>42</v>
      </c>
      <c r="C179" s="4" t="s">
        <v>50</v>
      </c>
      <c r="D179" s="4" t="s">
        <v>60</v>
      </c>
      <c r="E179" s="32" t="s">
        <v>72</v>
      </c>
      <c r="G179" s="4" t="s">
        <v>128</v>
      </c>
      <c r="H179" s="4" t="s">
        <v>121</v>
      </c>
      <c r="I179" s="7">
        <v>2439.1999999999998</v>
      </c>
      <c r="J179" s="4" t="s">
        <v>547</v>
      </c>
      <c r="K179" s="16">
        <v>45991</v>
      </c>
      <c r="L179" s="4">
        <v>2025404313</v>
      </c>
      <c r="M179" s="67" t="s">
        <v>225</v>
      </c>
      <c r="N179" s="4">
        <v>2025</v>
      </c>
    </row>
    <row r="180" spans="1:14">
      <c r="A180" s="4">
        <v>125</v>
      </c>
      <c r="B180" s="4" t="s">
        <v>54</v>
      </c>
      <c r="C180" s="4" t="s">
        <v>96</v>
      </c>
      <c r="D180" s="4" t="s">
        <v>60</v>
      </c>
      <c r="E180" s="32" t="s">
        <v>72</v>
      </c>
      <c r="G180" s="4" t="s">
        <v>128</v>
      </c>
      <c r="H180" s="4" t="s">
        <v>121</v>
      </c>
      <c r="I180" s="7">
        <v>2585.6999999999998</v>
      </c>
      <c r="J180" s="4" t="s">
        <v>550</v>
      </c>
      <c r="K180" s="16">
        <v>45987</v>
      </c>
      <c r="L180" s="4">
        <v>2025404303</v>
      </c>
      <c r="M180" s="67" t="s">
        <v>225</v>
      </c>
      <c r="N180" s="4">
        <v>2025</v>
      </c>
    </row>
    <row r="181" spans="1:14">
      <c r="A181" s="4">
        <v>126</v>
      </c>
      <c r="B181" s="4" t="s">
        <v>52</v>
      </c>
      <c r="C181" s="4" t="s">
        <v>62</v>
      </c>
      <c r="D181" s="4" t="s">
        <v>60</v>
      </c>
      <c r="E181" s="4" t="s">
        <v>72</v>
      </c>
      <c r="G181" s="4" t="s">
        <v>128</v>
      </c>
      <c r="H181" s="4" t="s">
        <v>121</v>
      </c>
      <c r="I181" s="7">
        <v>4532.5</v>
      </c>
      <c r="J181" s="4" t="s">
        <v>551</v>
      </c>
      <c r="K181" s="16">
        <v>45985</v>
      </c>
      <c r="L181" s="4">
        <v>2025404250</v>
      </c>
      <c r="M181" s="67" t="s">
        <v>225</v>
      </c>
      <c r="N181" s="4">
        <v>2025</v>
      </c>
    </row>
    <row r="182" spans="1:14">
      <c r="A182" s="4">
        <v>127</v>
      </c>
      <c r="B182" s="4" t="s">
        <v>17</v>
      </c>
      <c r="C182" s="4" t="s">
        <v>89</v>
      </c>
      <c r="D182" s="4" t="s">
        <v>60</v>
      </c>
      <c r="E182" s="32" t="s">
        <v>72</v>
      </c>
      <c r="G182" s="4" t="s">
        <v>128</v>
      </c>
      <c r="H182" s="4" t="s">
        <v>121</v>
      </c>
      <c r="I182" s="7">
        <v>731</v>
      </c>
      <c r="J182" s="4" t="s">
        <v>552</v>
      </c>
      <c r="K182" s="16">
        <v>45985</v>
      </c>
      <c r="L182" s="4">
        <v>2025404192</v>
      </c>
      <c r="M182" s="67" t="s">
        <v>225</v>
      </c>
      <c r="N182" s="4">
        <v>2025</v>
      </c>
    </row>
    <row r="183" spans="1:14">
      <c r="A183" s="4">
        <v>135</v>
      </c>
      <c r="B183" s="4" t="s">
        <v>42</v>
      </c>
      <c r="C183" s="4" t="s">
        <v>50</v>
      </c>
      <c r="D183" s="4" t="s">
        <v>60</v>
      </c>
      <c r="E183" s="32" t="s">
        <v>72</v>
      </c>
      <c r="G183" s="4" t="s">
        <v>128</v>
      </c>
      <c r="H183" s="4" t="s">
        <v>121</v>
      </c>
      <c r="I183" s="7">
        <v>300</v>
      </c>
      <c r="J183" s="4" t="s">
        <v>560</v>
      </c>
      <c r="K183" s="16">
        <v>45990</v>
      </c>
      <c r="L183" s="4">
        <v>2025404309</v>
      </c>
      <c r="M183" s="67" t="s">
        <v>225</v>
      </c>
      <c r="N183" s="4">
        <v>2025</v>
      </c>
    </row>
    <row r="184" spans="1:14">
      <c r="A184" s="4">
        <v>137</v>
      </c>
      <c r="B184" s="4" t="s">
        <v>42</v>
      </c>
      <c r="C184" s="4" t="s">
        <v>45</v>
      </c>
      <c r="D184" s="4" t="s">
        <v>60</v>
      </c>
      <c r="E184" s="32" t="s">
        <v>72</v>
      </c>
      <c r="G184" s="4" t="s">
        <v>128</v>
      </c>
      <c r="H184" s="4" t="s">
        <v>121</v>
      </c>
      <c r="I184" s="7">
        <v>2565.3000000000002</v>
      </c>
      <c r="J184" s="4" t="s">
        <v>562</v>
      </c>
      <c r="K184" s="16">
        <v>45991</v>
      </c>
      <c r="L184" s="4">
        <v>2025404310</v>
      </c>
      <c r="M184" s="67" t="s">
        <v>225</v>
      </c>
      <c r="N184" s="4">
        <v>2025</v>
      </c>
    </row>
    <row r="185" spans="1:14">
      <c r="A185" s="4">
        <v>138</v>
      </c>
      <c r="B185" s="4" t="s">
        <v>42</v>
      </c>
      <c r="C185" s="4" t="s">
        <v>43</v>
      </c>
      <c r="D185" s="4" t="s">
        <v>60</v>
      </c>
      <c r="E185" s="32" t="s">
        <v>72</v>
      </c>
      <c r="G185" s="4" t="s">
        <v>128</v>
      </c>
      <c r="H185" s="4" t="s">
        <v>121</v>
      </c>
      <c r="I185" s="7">
        <v>1169.9000000000001</v>
      </c>
      <c r="J185" s="4" t="s">
        <v>563</v>
      </c>
      <c r="K185" s="16">
        <v>45980</v>
      </c>
      <c r="L185" s="4">
        <v>2025404011</v>
      </c>
      <c r="M185" s="67" t="s">
        <v>225</v>
      </c>
      <c r="N185" s="4">
        <v>2025</v>
      </c>
    </row>
    <row r="186" spans="1:14">
      <c r="A186" s="4">
        <v>139</v>
      </c>
      <c r="B186" s="4" t="s">
        <v>52</v>
      </c>
      <c r="C186" s="4" t="s">
        <v>62</v>
      </c>
      <c r="D186" s="4" t="s">
        <v>60</v>
      </c>
      <c r="E186" s="32" t="s">
        <v>72</v>
      </c>
      <c r="G186" s="4" t="s">
        <v>128</v>
      </c>
      <c r="H186" s="4" t="s">
        <v>121</v>
      </c>
      <c r="I186" s="7">
        <v>1320.1</v>
      </c>
      <c r="J186" s="4" t="s">
        <v>564</v>
      </c>
      <c r="K186" s="16">
        <v>45987</v>
      </c>
      <c r="L186" s="4">
        <v>2025404288</v>
      </c>
      <c r="M186" s="67" t="s">
        <v>225</v>
      </c>
      <c r="N186" s="4">
        <v>2025</v>
      </c>
    </row>
    <row r="187" spans="1:14">
      <c r="A187" s="4">
        <v>141</v>
      </c>
      <c r="B187" s="4" t="s">
        <v>42</v>
      </c>
      <c r="C187" s="4" t="s">
        <v>43</v>
      </c>
      <c r="D187" s="4" t="s">
        <v>60</v>
      </c>
      <c r="E187" s="32" t="s">
        <v>72</v>
      </c>
      <c r="G187" s="4" t="s">
        <v>128</v>
      </c>
      <c r="H187" s="4" t="s">
        <v>121</v>
      </c>
      <c r="I187" s="7">
        <v>1405.5</v>
      </c>
      <c r="J187" s="4" t="s">
        <v>566</v>
      </c>
      <c r="K187" s="16">
        <v>45976</v>
      </c>
      <c r="L187" s="4">
        <v>2025404134</v>
      </c>
      <c r="M187" s="67" t="s">
        <v>225</v>
      </c>
      <c r="N187" s="4">
        <v>2025</v>
      </c>
    </row>
  </sheetData>
  <autoFilter ref="A1:N187" xr:uid="{00000000-0009-0000-0000-000011000000}">
    <sortState xmlns:xlrd2="http://schemas.microsoft.com/office/spreadsheetml/2017/richdata2" ref="A2:N187">
      <sortCondition ref="G1:G187"/>
    </sortState>
  </autoFilter>
  <conditionalFormatting sqref="L1:L1048576">
    <cfRule type="duplicateValues" dxfId="0" priority="1"/>
  </conditionalFormatting>
  <dataValidations count="1">
    <dataValidation type="list" allowBlank="1" showInputMessage="1" showErrorMessage="1" sqref="C2:C67 I2:I187" xr:uid="{00000000-0002-0000-11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100-000000000000}">
          <x14:formula1>
            <xm:f>List!$P$2:$P$11</xm:f>
          </x14:formula1>
          <xm:sqref>B2:B67</xm:sqref>
        </x14:dataValidation>
        <x14:dataValidation type="list" allowBlank="1" showInputMessage="1" showErrorMessage="1" xr:uid="{00000000-0002-0000-1100-000002000000}">
          <x14:formula1>
            <xm:f>List!$C$2:$C$3</xm:f>
          </x14:formula1>
          <xm:sqref>D2:D187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E2:E187</xm:sqref>
        </x14:dataValidation>
        <x14:dataValidation type="list" allowBlank="1" showInputMessage="1" showErrorMessage="1" xr:uid="{00000000-0002-0000-1100-000004000000}">
          <x14:formula1>
            <xm:f>List!$H$2:$H$13</xm:f>
          </x14:formula1>
          <xm:sqref>M2:M187</xm:sqref>
        </x14:dataValidation>
        <x14:dataValidation type="list" allowBlank="1" showInputMessage="1" showErrorMessage="1" xr:uid="{00000000-0002-0000-1100-000005000000}">
          <x14:formula1>
            <xm:f>List!$J$2:$J$4</xm:f>
          </x14:formula1>
          <xm:sqref>N2:N187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N526"/>
  <sheetViews>
    <sheetView topLeftCell="G1" workbookViewId="0">
      <selection activeCell="G1" sqref="G1"/>
    </sheetView>
  </sheetViews>
  <sheetFormatPr defaultColWidth="9" defaultRowHeight="14.4"/>
  <cols>
    <col min="1" max="1" width="5.33203125" customWidth="1"/>
    <col min="2" max="2" width="9.33203125" customWidth="1"/>
    <col min="3" max="3" width="9.6640625" customWidth="1"/>
    <col min="4" max="4" width="9" customWidth="1"/>
    <col min="5" max="5" width="25.44140625" customWidth="1"/>
    <col min="6" max="6" width="10.21875" customWidth="1"/>
    <col min="7" max="7" width="51.77734375" customWidth="1"/>
    <col min="8" max="8" width="26.77734375" customWidth="1"/>
    <col min="9" max="9" width="18.109375" style="8" customWidth="1"/>
    <col min="10" max="10" width="10.109375" customWidth="1"/>
    <col min="11" max="11" width="11.21875" customWidth="1"/>
    <col min="12" max="12" width="10.77734375" customWidth="1"/>
    <col min="13" max="13" width="6.5546875" customWidth="1"/>
    <col min="14" max="14" width="4.77734375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4"/>
      <c r="B2" s="4" t="s">
        <v>52</v>
      </c>
      <c r="C2" s="4" t="s">
        <v>62</v>
      </c>
      <c r="D2" s="4" t="s">
        <v>19</v>
      </c>
      <c r="E2" s="4" t="s">
        <v>112</v>
      </c>
      <c r="F2" s="4"/>
      <c r="G2" s="4" t="s">
        <v>91</v>
      </c>
      <c r="H2" s="4"/>
      <c r="I2" s="8">
        <v>161623.32167832169</v>
      </c>
      <c r="J2" s="4" t="s">
        <v>14</v>
      </c>
      <c r="K2" s="4" t="s">
        <v>14</v>
      </c>
      <c r="L2" s="4" t="s">
        <v>14</v>
      </c>
      <c r="M2" s="4" t="s">
        <v>225</v>
      </c>
      <c r="N2" s="4">
        <v>2025</v>
      </c>
    </row>
    <row r="3" spans="1:14">
      <c r="A3" s="4"/>
      <c r="B3" s="4" t="s">
        <v>35</v>
      </c>
      <c r="C3" s="4" t="s">
        <v>37</v>
      </c>
      <c r="D3" s="4" t="s">
        <v>19</v>
      </c>
      <c r="E3" s="4" t="s">
        <v>112</v>
      </c>
      <c r="F3" s="4"/>
      <c r="G3" s="4" t="s">
        <v>91</v>
      </c>
      <c r="H3" s="4"/>
      <c r="I3" s="8">
        <v>16581.398601398603</v>
      </c>
      <c r="J3" s="4" t="s">
        <v>14</v>
      </c>
      <c r="K3" s="4" t="s">
        <v>14</v>
      </c>
      <c r="L3" s="4" t="s">
        <v>14</v>
      </c>
      <c r="M3" s="4" t="s">
        <v>225</v>
      </c>
      <c r="N3" s="4">
        <v>2025</v>
      </c>
    </row>
    <row r="4" spans="1:14">
      <c r="A4" s="4"/>
      <c r="B4" s="4" t="s">
        <v>35</v>
      </c>
      <c r="C4" s="4" t="s">
        <v>36</v>
      </c>
      <c r="D4" s="4" t="s">
        <v>19</v>
      </c>
      <c r="E4" s="4" t="s">
        <v>112</v>
      </c>
      <c r="F4" s="4"/>
      <c r="G4" s="4" t="s">
        <v>91</v>
      </c>
      <c r="H4" s="4"/>
      <c r="I4" s="8">
        <v>3738.4615384615386</v>
      </c>
      <c r="J4" s="4" t="s">
        <v>14</v>
      </c>
      <c r="K4" s="4" t="s">
        <v>14</v>
      </c>
      <c r="L4" s="4" t="s">
        <v>14</v>
      </c>
      <c r="M4" s="4" t="s">
        <v>225</v>
      </c>
      <c r="N4" s="4">
        <v>2025</v>
      </c>
    </row>
    <row r="5" spans="1:14">
      <c r="A5" s="4"/>
      <c r="B5" s="4" t="s">
        <v>42</v>
      </c>
      <c r="C5" s="4" t="s">
        <v>45</v>
      </c>
      <c r="D5" s="4" t="s">
        <v>19</v>
      </c>
      <c r="E5" s="4" t="s">
        <v>112</v>
      </c>
      <c r="F5" s="4"/>
      <c r="G5" s="4" t="s">
        <v>91</v>
      </c>
      <c r="H5" s="4"/>
      <c r="I5" s="8">
        <v>35619.230769230766</v>
      </c>
      <c r="J5" s="4" t="s">
        <v>14</v>
      </c>
      <c r="K5" s="4" t="s">
        <v>14</v>
      </c>
      <c r="L5" s="4" t="s">
        <v>14</v>
      </c>
      <c r="M5" s="4" t="s">
        <v>225</v>
      </c>
      <c r="N5" s="4">
        <v>2025</v>
      </c>
    </row>
    <row r="6" spans="1:14">
      <c r="A6" s="4"/>
      <c r="B6" s="4" t="s">
        <v>17</v>
      </c>
      <c r="C6" s="4" t="s">
        <v>22</v>
      </c>
      <c r="D6" s="4" t="s">
        <v>19</v>
      </c>
      <c r="E6" s="4" t="s">
        <v>112</v>
      </c>
      <c r="F6" s="4"/>
      <c r="G6" s="4" t="s">
        <v>91</v>
      </c>
      <c r="H6" s="4"/>
      <c r="I6" s="8">
        <v>15096.398601398601</v>
      </c>
      <c r="J6" s="4" t="s">
        <v>14</v>
      </c>
      <c r="K6" s="4" t="s">
        <v>14</v>
      </c>
      <c r="L6" s="4" t="s">
        <v>14</v>
      </c>
      <c r="M6" s="4" t="s">
        <v>225</v>
      </c>
      <c r="N6" s="4">
        <v>2025</v>
      </c>
    </row>
    <row r="7" spans="1:14">
      <c r="A7" s="4"/>
      <c r="B7" s="4" t="s">
        <v>42</v>
      </c>
      <c r="C7" s="4" t="s">
        <v>47</v>
      </c>
      <c r="D7" s="4" t="s">
        <v>19</v>
      </c>
      <c r="E7" s="4" t="s">
        <v>112</v>
      </c>
      <c r="F7" s="4"/>
      <c r="G7" s="4" t="s">
        <v>91</v>
      </c>
      <c r="H7" s="4"/>
      <c r="I7" s="8">
        <v>67027.594405594413</v>
      </c>
      <c r="J7" s="4" t="s">
        <v>14</v>
      </c>
      <c r="K7" s="4" t="s">
        <v>14</v>
      </c>
      <c r="L7" s="4" t="s">
        <v>14</v>
      </c>
      <c r="M7" s="4" t="s">
        <v>225</v>
      </c>
      <c r="N7" s="4">
        <v>2025</v>
      </c>
    </row>
    <row r="8" spans="1:14">
      <c r="A8" s="4"/>
      <c r="B8" s="4" t="s">
        <v>17</v>
      </c>
      <c r="C8" s="4" t="s">
        <v>23</v>
      </c>
      <c r="D8" s="4" t="s">
        <v>19</v>
      </c>
      <c r="E8" s="4" t="s">
        <v>112</v>
      </c>
      <c r="F8" s="4"/>
      <c r="G8" s="4" t="s">
        <v>91</v>
      </c>
      <c r="H8" s="4"/>
      <c r="I8" s="8">
        <v>16381.258741258742</v>
      </c>
      <c r="J8" s="4" t="s">
        <v>14</v>
      </c>
      <c r="K8" s="4" t="s">
        <v>14</v>
      </c>
      <c r="L8" s="4" t="s">
        <v>14</v>
      </c>
      <c r="M8" s="4" t="s">
        <v>225</v>
      </c>
      <c r="N8" s="4">
        <v>2025</v>
      </c>
    </row>
    <row r="9" spans="1:14">
      <c r="A9" s="4"/>
      <c r="B9" s="4" t="s">
        <v>42</v>
      </c>
      <c r="C9" s="4" t="s">
        <v>376</v>
      </c>
      <c r="D9" s="4" t="s">
        <v>19</v>
      </c>
      <c r="E9" s="4" t="s">
        <v>112</v>
      </c>
      <c r="F9" s="4"/>
      <c r="G9" s="4" t="s">
        <v>91</v>
      </c>
      <c r="H9" s="4"/>
      <c r="I9" s="8">
        <v>10673.496503496504</v>
      </c>
      <c r="J9" s="4" t="s">
        <v>14</v>
      </c>
      <c r="K9" s="4" t="s">
        <v>14</v>
      </c>
      <c r="L9" s="4" t="s">
        <v>14</v>
      </c>
      <c r="M9" s="4" t="s">
        <v>225</v>
      </c>
      <c r="N9" s="4">
        <v>2025</v>
      </c>
    </row>
    <row r="10" spans="1:14">
      <c r="A10" s="4"/>
      <c r="B10" s="4" t="s">
        <v>42</v>
      </c>
      <c r="C10" s="4" t="s">
        <v>49</v>
      </c>
      <c r="D10" s="4" t="s">
        <v>19</v>
      </c>
      <c r="E10" s="4" t="s">
        <v>112</v>
      </c>
      <c r="F10" s="4"/>
      <c r="G10" s="4" t="s">
        <v>91</v>
      </c>
      <c r="H10" s="4"/>
      <c r="I10" s="8">
        <v>1019.5804195804196</v>
      </c>
      <c r="J10" s="4" t="s">
        <v>14</v>
      </c>
      <c r="K10" s="4" t="s">
        <v>14</v>
      </c>
      <c r="L10" s="4" t="s">
        <v>14</v>
      </c>
      <c r="M10" s="4" t="s">
        <v>225</v>
      </c>
      <c r="N10" s="4">
        <v>2025</v>
      </c>
    </row>
    <row r="11" spans="1:14">
      <c r="A11" s="4"/>
      <c r="B11" s="4" t="s">
        <v>17</v>
      </c>
      <c r="C11" s="4" t="s">
        <v>25</v>
      </c>
      <c r="D11" s="4" t="s">
        <v>19</v>
      </c>
      <c r="E11" s="4" t="s">
        <v>112</v>
      </c>
      <c r="F11" s="4"/>
      <c r="G11" s="4" t="s">
        <v>91</v>
      </c>
      <c r="H11" s="4"/>
      <c r="I11" s="8">
        <v>4978.9510489510485</v>
      </c>
      <c r="J11" s="4" t="s">
        <v>14</v>
      </c>
      <c r="K11" s="4" t="s">
        <v>14</v>
      </c>
      <c r="L11" s="4" t="s">
        <v>14</v>
      </c>
      <c r="M11" s="4" t="s">
        <v>225</v>
      </c>
      <c r="N11" s="4">
        <v>2025</v>
      </c>
    </row>
    <row r="12" spans="1:14">
      <c r="A12" s="4"/>
      <c r="B12" s="4" t="s">
        <v>17</v>
      </c>
      <c r="C12" s="4" t="s">
        <v>26</v>
      </c>
      <c r="D12" s="4" t="s">
        <v>19</v>
      </c>
      <c r="E12" s="4" t="s">
        <v>112</v>
      </c>
      <c r="F12" s="4"/>
      <c r="G12" s="4" t="s">
        <v>91</v>
      </c>
      <c r="H12" s="4"/>
      <c r="I12" s="8">
        <v>5422.6573426573423</v>
      </c>
      <c r="J12" s="4" t="s">
        <v>14</v>
      </c>
      <c r="K12" s="4" t="s">
        <v>14</v>
      </c>
      <c r="L12" s="4" t="s">
        <v>14</v>
      </c>
      <c r="M12" s="4" t="s">
        <v>225</v>
      </c>
      <c r="N12" s="4">
        <v>2025</v>
      </c>
    </row>
    <row r="13" spans="1:14">
      <c r="A13" s="4"/>
      <c r="B13" s="4" t="s">
        <v>42</v>
      </c>
      <c r="C13" s="4" t="s">
        <v>44</v>
      </c>
      <c r="D13" s="4" t="s">
        <v>19</v>
      </c>
      <c r="E13" s="4" t="s">
        <v>112</v>
      </c>
      <c r="F13" s="4"/>
      <c r="G13" s="4" t="s">
        <v>91</v>
      </c>
      <c r="H13" s="4"/>
      <c r="I13" s="8">
        <v>2039.1608391608393</v>
      </c>
      <c r="J13" s="4" t="s">
        <v>14</v>
      </c>
      <c r="K13" s="4" t="s">
        <v>14</v>
      </c>
      <c r="L13" s="4" t="s">
        <v>14</v>
      </c>
      <c r="M13" s="4" t="s">
        <v>225</v>
      </c>
      <c r="N13" s="4">
        <v>2025</v>
      </c>
    </row>
    <row r="14" spans="1:14">
      <c r="A14" s="4"/>
      <c r="B14" s="4" t="s">
        <v>17</v>
      </c>
      <c r="C14" s="4" t="s">
        <v>377</v>
      </c>
      <c r="D14" s="4" t="s">
        <v>19</v>
      </c>
      <c r="E14" s="4" t="s">
        <v>112</v>
      </c>
      <c r="F14" s="4"/>
      <c r="G14" s="4" t="s">
        <v>91</v>
      </c>
      <c r="H14" s="4"/>
      <c r="I14" s="8">
        <v>4910.9790209790208</v>
      </c>
      <c r="J14" s="4" t="s">
        <v>14</v>
      </c>
      <c r="K14" s="4" t="s">
        <v>14</v>
      </c>
      <c r="L14" s="4" t="s">
        <v>14</v>
      </c>
      <c r="M14" s="4" t="s">
        <v>225</v>
      </c>
      <c r="N14" s="4">
        <v>2025</v>
      </c>
    </row>
    <row r="15" spans="1:14">
      <c r="A15" s="4"/>
      <c r="B15" s="4" t="s">
        <v>17</v>
      </c>
      <c r="C15" s="4" t="s">
        <v>24</v>
      </c>
      <c r="D15" s="4" t="s">
        <v>19</v>
      </c>
      <c r="E15" s="4" t="s">
        <v>112</v>
      </c>
      <c r="F15" s="4"/>
      <c r="G15" s="4" t="s">
        <v>91</v>
      </c>
      <c r="H15" s="4"/>
      <c r="I15" s="8">
        <v>12506.853146853147</v>
      </c>
      <c r="J15" s="4" t="s">
        <v>14</v>
      </c>
      <c r="K15" s="4" t="s">
        <v>14</v>
      </c>
      <c r="L15" s="4" t="s">
        <v>14</v>
      </c>
      <c r="M15" s="4" t="s">
        <v>225</v>
      </c>
      <c r="N15" s="4">
        <v>2025</v>
      </c>
    </row>
    <row r="16" spans="1:14">
      <c r="A16" s="4"/>
      <c r="B16" s="4" t="s">
        <v>42</v>
      </c>
      <c r="C16" s="4" t="s">
        <v>375</v>
      </c>
      <c r="D16" s="4" t="s">
        <v>19</v>
      </c>
      <c r="E16" s="4" t="s">
        <v>112</v>
      </c>
      <c r="F16" s="4"/>
      <c r="G16" s="4" t="s">
        <v>91</v>
      </c>
      <c r="H16" s="4"/>
      <c r="I16" s="8">
        <v>1359.4405594405594</v>
      </c>
      <c r="J16" s="4" t="s">
        <v>14</v>
      </c>
      <c r="K16" s="4" t="s">
        <v>14</v>
      </c>
      <c r="L16" s="4" t="s">
        <v>14</v>
      </c>
      <c r="M16" s="4" t="s">
        <v>225</v>
      </c>
      <c r="N16" s="4">
        <v>2025</v>
      </c>
    </row>
    <row r="17" spans="1:14">
      <c r="A17" s="4"/>
      <c r="B17" s="4" t="s">
        <v>58</v>
      </c>
      <c r="C17" s="4" t="s">
        <v>59</v>
      </c>
      <c r="D17" s="4" t="s">
        <v>60</v>
      </c>
      <c r="E17" s="4" t="s">
        <v>112</v>
      </c>
      <c r="F17" s="4"/>
      <c r="G17" s="4" t="s">
        <v>235</v>
      </c>
      <c r="H17" s="4"/>
      <c r="I17" s="8">
        <v>1266</v>
      </c>
      <c r="J17" s="4" t="s">
        <v>295</v>
      </c>
      <c r="K17" s="16">
        <v>45931</v>
      </c>
      <c r="L17" s="4" t="s">
        <v>14</v>
      </c>
      <c r="M17" s="4" t="s">
        <v>225</v>
      </c>
      <c r="N17" s="4">
        <v>2025</v>
      </c>
    </row>
    <row r="18" spans="1:14">
      <c r="A18" s="4"/>
      <c r="B18" s="4" t="s">
        <v>17</v>
      </c>
      <c r="C18" s="4" t="s">
        <v>23</v>
      </c>
      <c r="D18" s="4" t="s">
        <v>60</v>
      </c>
      <c r="E18" s="4" t="s">
        <v>112</v>
      </c>
      <c r="F18" s="4"/>
      <c r="G18" s="4" t="s">
        <v>380</v>
      </c>
      <c r="H18" s="4"/>
      <c r="I18" s="8">
        <v>8270</v>
      </c>
      <c r="J18" s="4" t="s">
        <v>388</v>
      </c>
      <c r="K18" s="16">
        <v>45970</v>
      </c>
      <c r="L18" s="4">
        <v>2024403561</v>
      </c>
      <c r="M18" s="4" t="s">
        <v>225</v>
      </c>
      <c r="N18" s="4">
        <v>2025</v>
      </c>
    </row>
    <row r="19" spans="1:14">
      <c r="A19" s="4"/>
      <c r="B19" s="4" t="s">
        <v>42</v>
      </c>
      <c r="C19" s="4" t="s">
        <v>375</v>
      </c>
      <c r="D19" s="4" t="s">
        <v>60</v>
      </c>
      <c r="E19" s="4" t="s">
        <v>112</v>
      </c>
      <c r="F19" s="4"/>
      <c r="G19" s="4" t="s">
        <v>199</v>
      </c>
      <c r="H19" s="4"/>
      <c r="I19" s="8">
        <v>600</v>
      </c>
      <c r="J19" s="4" t="s">
        <v>389</v>
      </c>
      <c r="K19" s="16">
        <v>45962</v>
      </c>
      <c r="L19" s="4">
        <v>2025403971</v>
      </c>
      <c r="M19" s="4" t="s">
        <v>225</v>
      </c>
      <c r="N19" s="4">
        <v>2025</v>
      </c>
    </row>
    <row r="20" spans="1:14">
      <c r="A20" s="4"/>
      <c r="B20" s="4" t="s">
        <v>17</v>
      </c>
      <c r="C20" s="4" t="s">
        <v>25</v>
      </c>
      <c r="D20" s="4" t="s">
        <v>60</v>
      </c>
      <c r="E20" s="4" t="s">
        <v>112</v>
      </c>
      <c r="F20" s="4"/>
      <c r="G20" s="4" t="s">
        <v>236</v>
      </c>
      <c r="H20" s="4"/>
      <c r="I20" s="8">
        <v>1920</v>
      </c>
      <c r="J20" s="4" t="s">
        <v>390</v>
      </c>
      <c r="K20" s="16">
        <v>45965</v>
      </c>
      <c r="L20" s="4">
        <v>2025404377</v>
      </c>
      <c r="M20" s="4" t="s">
        <v>225</v>
      </c>
      <c r="N20" s="4">
        <v>2025</v>
      </c>
    </row>
    <row r="21" spans="1:14">
      <c r="A21" s="4"/>
      <c r="B21" s="4" t="s">
        <v>35</v>
      </c>
      <c r="C21" s="4" t="s">
        <v>37</v>
      </c>
      <c r="D21" s="4" t="s">
        <v>60</v>
      </c>
      <c r="E21" s="4" t="s">
        <v>112</v>
      </c>
      <c r="F21" s="4"/>
      <c r="G21" s="4" t="s">
        <v>199</v>
      </c>
      <c r="H21" s="4"/>
      <c r="I21" s="8">
        <v>500</v>
      </c>
      <c r="J21" s="4" t="s">
        <v>391</v>
      </c>
      <c r="K21" s="16">
        <v>45978</v>
      </c>
      <c r="L21" s="4">
        <v>2025404325</v>
      </c>
      <c r="M21" s="4" t="s">
        <v>225</v>
      </c>
      <c r="N21" s="4">
        <v>2025</v>
      </c>
    </row>
    <row r="22" spans="1:14">
      <c r="A22" s="4"/>
      <c r="B22" s="4" t="s">
        <v>35</v>
      </c>
      <c r="C22" s="4" t="s">
        <v>37</v>
      </c>
      <c r="D22" s="4" t="s">
        <v>60</v>
      </c>
      <c r="E22" s="4" t="s">
        <v>112</v>
      </c>
      <c r="F22" s="4"/>
      <c r="G22" s="4" t="s">
        <v>238</v>
      </c>
      <c r="H22" s="4"/>
      <c r="I22" s="8">
        <v>10000</v>
      </c>
      <c r="J22" s="4" t="s">
        <v>249</v>
      </c>
      <c r="K22" s="16">
        <v>45955</v>
      </c>
      <c r="L22" s="4">
        <v>2025404103</v>
      </c>
      <c r="M22" s="4" t="s">
        <v>225</v>
      </c>
      <c r="N22" s="4">
        <v>2025</v>
      </c>
    </row>
    <row r="23" spans="1:14">
      <c r="A23" s="4"/>
      <c r="B23" s="4" t="s">
        <v>17</v>
      </c>
      <c r="C23" s="4" t="s">
        <v>22</v>
      </c>
      <c r="D23" s="4" t="s">
        <v>60</v>
      </c>
      <c r="E23" s="4" t="s">
        <v>112</v>
      </c>
      <c r="F23" s="4"/>
      <c r="G23" s="4" t="s">
        <v>236</v>
      </c>
      <c r="H23" s="4"/>
      <c r="I23" s="8">
        <v>300</v>
      </c>
      <c r="J23" s="4" t="s">
        <v>392</v>
      </c>
      <c r="K23" s="16">
        <v>45968</v>
      </c>
      <c r="L23" s="4">
        <v>2025404389</v>
      </c>
      <c r="M23" s="4" t="s">
        <v>225</v>
      </c>
      <c r="N23" s="4">
        <v>2025</v>
      </c>
    </row>
    <row r="24" spans="1:14">
      <c r="A24" s="4"/>
      <c r="B24" s="4" t="s">
        <v>42</v>
      </c>
      <c r="C24" s="4" t="s">
        <v>50</v>
      </c>
      <c r="D24" s="4" t="s">
        <v>60</v>
      </c>
      <c r="E24" s="4" t="s">
        <v>112</v>
      </c>
      <c r="F24" s="4"/>
      <c r="G24" s="4" t="s">
        <v>381</v>
      </c>
      <c r="H24" s="4"/>
      <c r="I24" s="8">
        <v>540</v>
      </c>
      <c r="J24" s="4" t="s">
        <v>393</v>
      </c>
      <c r="K24" s="16">
        <v>45976</v>
      </c>
      <c r="L24" s="4">
        <v>2025404207</v>
      </c>
      <c r="M24" s="4" t="s">
        <v>225</v>
      </c>
      <c r="N24" s="4">
        <v>2025</v>
      </c>
    </row>
    <row r="25" spans="1:14">
      <c r="A25" s="4"/>
      <c r="B25" s="4" t="s">
        <v>42</v>
      </c>
      <c r="C25" s="4" t="s">
        <v>47</v>
      </c>
      <c r="D25" s="4" t="s">
        <v>60</v>
      </c>
      <c r="E25" s="4" t="s">
        <v>112</v>
      </c>
      <c r="F25" s="4"/>
      <c r="G25" s="4" t="s">
        <v>382</v>
      </c>
      <c r="H25" s="4"/>
      <c r="I25" s="8">
        <v>780</v>
      </c>
      <c r="J25" s="4" t="s">
        <v>394</v>
      </c>
      <c r="K25" s="16">
        <v>45976</v>
      </c>
      <c r="L25" s="4">
        <v>2025404199</v>
      </c>
      <c r="M25" s="4" t="s">
        <v>225</v>
      </c>
      <c r="N25" s="4">
        <v>2025</v>
      </c>
    </row>
    <row r="26" spans="1:14">
      <c r="A26" s="4"/>
      <c r="B26" s="4" t="s">
        <v>42</v>
      </c>
      <c r="C26" s="4" t="s">
        <v>49</v>
      </c>
      <c r="D26" s="4" t="s">
        <v>60</v>
      </c>
      <c r="E26" s="4" t="s">
        <v>112</v>
      </c>
      <c r="F26" s="4"/>
      <c r="G26" s="4" t="s">
        <v>383</v>
      </c>
      <c r="H26" s="4"/>
      <c r="I26" s="8">
        <v>34.965034965034967</v>
      </c>
      <c r="J26" s="4" t="s">
        <v>395</v>
      </c>
      <c r="K26" s="16">
        <v>45959</v>
      </c>
      <c r="L26" s="4">
        <v>2025404241</v>
      </c>
      <c r="M26" s="4" t="s">
        <v>225</v>
      </c>
      <c r="N26" s="4">
        <v>2025</v>
      </c>
    </row>
    <row r="27" spans="1:14">
      <c r="A27" s="4"/>
      <c r="B27" s="4" t="s">
        <v>52</v>
      </c>
      <c r="C27" s="4" t="s">
        <v>62</v>
      </c>
      <c r="D27" s="4" t="s">
        <v>60</v>
      </c>
      <c r="E27" s="4" t="s">
        <v>112</v>
      </c>
      <c r="F27" s="4"/>
      <c r="G27" s="4" t="s">
        <v>384</v>
      </c>
      <c r="H27" s="4"/>
      <c r="I27" s="8">
        <v>104.89510489510489</v>
      </c>
      <c r="J27" s="4" t="s">
        <v>396</v>
      </c>
      <c r="K27" s="16">
        <v>45966</v>
      </c>
      <c r="L27" s="4">
        <v>2025403161</v>
      </c>
      <c r="M27" s="4" t="s">
        <v>225</v>
      </c>
      <c r="N27" s="4">
        <v>2025</v>
      </c>
    </row>
    <row r="28" spans="1:14">
      <c r="A28" s="4"/>
      <c r="B28" s="4" t="s">
        <v>35</v>
      </c>
      <c r="C28" s="4" t="s">
        <v>36</v>
      </c>
      <c r="D28" s="4" t="s">
        <v>60</v>
      </c>
      <c r="E28" s="4" t="s">
        <v>112</v>
      </c>
      <c r="F28" s="4"/>
      <c r="G28" s="4" t="s">
        <v>383</v>
      </c>
      <c r="H28" s="4"/>
      <c r="I28" s="8">
        <v>349.65034965034965</v>
      </c>
      <c r="J28" s="4" t="s">
        <v>397</v>
      </c>
      <c r="K28" s="16">
        <v>45958</v>
      </c>
      <c r="L28" s="4">
        <v>2025404239</v>
      </c>
      <c r="M28" s="4" t="s">
        <v>225</v>
      </c>
      <c r="N28" s="4">
        <v>2025</v>
      </c>
    </row>
    <row r="29" spans="1:14">
      <c r="A29" s="4"/>
      <c r="B29" s="4" t="s">
        <v>42</v>
      </c>
      <c r="C29" s="4" t="s">
        <v>50</v>
      </c>
      <c r="D29" s="4" t="s">
        <v>60</v>
      </c>
      <c r="E29" s="4" t="s">
        <v>112</v>
      </c>
      <c r="F29" s="4"/>
      <c r="G29" s="4" t="s">
        <v>384</v>
      </c>
      <c r="H29" s="4"/>
      <c r="I29" s="8">
        <v>590.90909090909088</v>
      </c>
      <c r="J29" s="4" t="s">
        <v>398</v>
      </c>
      <c r="K29" s="16">
        <v>45984</v>
      </c>
      <c r="L29" s="4">
        <v>2025404344</v>
      </c>
      <c r="M29" s="4" t="s">
        <v>225</v>
      </c>
      <c r="N29" s="4">
        <v>2025</v>
      </c>
    </row>
    <row r="30" spans="1:14">
      <c r="A30" s="4"/>
      <c r="B30" s="4" t="s">
        <v>35</v>
      </c>
      <c r="C30" s="4" t="s">
        <v>36</v>
      </c>
      <c r="D30" s="4" t="s">
        <v>60</v>
      </c>
      <c r="E30" s="4" t="s">
        <v>112</v>
      </c>
      <c r="F30" s="4"/>
      <c r="G30" s="4" t="s">
        <v>383</v>
      </c>
      <c r="H30" s="4"/>
      <c r="I30" s="8">
        <v>839.16083916083915</v>
      </c>
      <c r="J30" s="4" t="s">
        <v>399</v>
      </c>
      <c r="K30" s="16">
        <v>45959</v>
      </c>
      <c r="L30" s="4">
        <v>2025404240</v>
      </c>
      <c r="M30" s="4" t="s">
        <v>225</v>
      </c>
      <c r="N30" s="4">
        <v>2025</v>
      </c>
    </row>
    <row r="31" spans="1:14">
      <c r="A31" s="4"/>
      <c r="B31" s="4" t="s">
        <v>52</v>
      </c>
      <c r="C31" s="4" t="s">
        <v>62</v>
      </c>
      <c r="D31" s="4" t="s">
        <v>60</v>
      </c>
      <c r="E31" s="4" t="s">
        <v>112</v>
      </c>
      <c r="F31" s="4"/>
      <c r="G31" s="4" t="s">
        <v>385</v>
      </c>
      <c r="H31" s="4"/>
      <c r="I31" s="8">
        <v>1048.951048951049</v>
      </c>
      <c r="J31" s="4" t="s">
        <v>400</v>
      </c>
      <c r="K31" s="16">
        <v>45870</v>
      </c>
      <c r="L31" s="4">
        <v>2025404280</v>
      </c>
      <c r="M31" s="4" t="s">
        <v>225</v>
      </c>
      <c r="N31" s="4">
        <v>2025</v>
      </c>
    </row>
    <row r="32" spans="1:14">
      <c r="A32" s="4"/>
      <c r="B32" s="4" t="s">
        <v>52</v>
      </c>
      <c r="C32" s="4" t="s">
        <v>62</v>
      </c>
      <c r="D32" s="4" t="s">
        <v>60</v>
      </c>
      <c r="E32" s="4" t="s">
        <v>112</v>
      </c>
      <c r="F32" s="4"/>
      <c r="G32" s="4" t="s">
        <v>386</v>
      </c>
      <c r="H32" s="4"/>
      <c r="I32" s="8">
        <v>1398.6013986013986</v>
      </c>
      <c r="J32" s="4" t="s">
        <v>401</v>
      </c>
      <c r="K32" s="16">
        <v>45976</v>
      </c>
      <c r="L32" s="4">
        <v>2025404276</v>
      </c>
      <c r="M32" s="4" t="s">
        <v>225</v>
      </c>
      <c r="N32" s="4">
        <v>2025</v>
      </c>
    </row>
    <row r="33" spans="1:14">
      <c r="A33" s="4"/>
      <c r="B33" s="4" t="s">
        <v>52</v>
      </c>
      <c r="C33" s="4" t="s">
        <v>62</v>
      </c>
      <c r="D33" s="4" t="s">
        <v>60</v>
      </c>
      <c r="E33" s="4" t="s">
        <v>112</v>
      </c>
      <c r="F33" s="4"/>
      <c r="G33" s="4" t="s">
        <v>113</v>
      </c>
      <c r="H33" s="4"/>
      <c r="I33" s="8">
        <v>3734.2657342657344</v>
      </c>
      <c r="J33" s="4" t="s">
        <v>402</v>
      </c>
      <c r="K33" s="16">
        <v>45978</v>
      </c>
      <c r="L33" s="4">
        <v>2025404352</v>
      </c>
      <c r="M33" s="4" t="s">
        <v>225</v>
      </c>
      <c r="N33" s="4">
        <v>2025</v>
      </c>
    </row>
    <row r="34" spans="1:14">
      <c r="A34" s="4"/>
      <c r="B34" s="4" t="s">
        <v>42</v>
      </c>
      <c r="C34" s="4" t="s">
        <v>44</v>
      </c>
      <c r="D34" s="4" t="s">
        <v>60</v>
      </c>
      <c r="E34" s="4" t="s">
        <v>112</v>
      </c>
      <c r="F34" s="4"/>
      <c r="G34" s="4" t="s">
        <v>294</v>
      </c>
      <c r="H34" s="4"/>
      <c r="I34" s="8">
        <v>4055.9440559440559</v>
      </c>
      <c r="J34" s="4" t="s">
        <v>403</v>
      </c>
      <c r="K34" s="16">
        <v>45958</v>
      </c>
      <c r="L34" s="4">
        <v>2025404068</v>
      </c>
      <c r="M34" s="4" t="s">
        <v>225</v>
      </c>
      <c r="N34" s="4">
        <v>2025</v>
      </c>
    </row>
    <row r="35" spans="1:14">
      <c r="A35" s="4"/>
      <c r="B35" s="4" t="s">
        <v>42</v>
      </c>
      <c r="C35" s="4" t="s">
        <v>45</v>
      </c>
      <c r="D35" s="4" t="s">
        <v>60</v>
      </c>
      <c r="E35" s="4" t="s">
        <v>112</v>
      </c>
      <c r="F35" s="4"/>
      <c r="G35" s="4" t="s">
        <v>387</v>
      </c>
      <c r="H35" s="4"/>
      <c r="I35" s="8">
        <v>5513.9860139860139</v>
      </c>
      <c r="J35" s="4" t="s">
        <v>404</v>
      </c>
      <c r="K35" s="16">
        <v>45958</v>
      </c>
      <c r="L35" s="4">
        <v>2025404209</v>
      </c>
      <c r="M35" s="4" t="s">
        <v>225</v>
      </c>
      <c r="N35" s="4">
        <v>2025</v>
      </c>
    </row>
    <row r="36" spans="1:14">
      <c r="A36" s="4"/>
      <c r="B36" s="4" t="s">
        <v>52</v>
      </c>
      <c r="C36" s="4" t="s">
        <v>62</v>
      </c>
      <c r="D36" s="4" t="s">
        <v>60</v>
      </c>
      <c r="E36" s="4" t="s">
        <v>112</v>
      </c>
      <c r="F36" s="4"/>
      <c r="G36" s="4" t="s">
        <v>113</v>
      </c>
      <c r="H36" s="4"/>
      <c r="I36" s="8">
        <v>6293.7062937062938</v>
      </c>
      <c r="J36" s="4" t="s">
        <v>405</v>
      </c>
      <c r="K36" s="16">
        <v>45959</v>
      </c>
      <c r="L36" s="4">
        <v>2025404259</v>
      </c>
      <c r="M36" s="4" t="s">
        <v>225</v>
      </c>
      <c r="N36" s="4">
        <v>2025</v>
      </c>
    </row>
    <row r="37" spans="1:14">
      <c r="A37" s="4"/>
      <c r="B37" s="4" t="s">
        <v>54</v>
      </c>
      <c r="C37" s="4" t="s">
        <v>55</v>
      </c>
      <c r="D37" s="4" t="s">
        <v>60</v>
      </c>
      <c r="E37" s="4" t="s">
        <v>112</v>
      </c>
      <c r="F37" s="4"/>
      <c r="G37" s="4" t="s">
        <v>236</v>
      </c>
      <c r="H37" s="4"/>
      <c r="I37" s="8">
        <v>6503.4965034965035</v>
      </c>
      <c r="J37" s="4" t="s">
        <v>406</v>
      </c>
      <c r="K37" s="16">
        <v>45981</v>
      </c>
      <c r="L37" s="4">
        <v>2025404081</v>
      </c>
      <c r="M37" s="4" t="s">
        <v>225</v>
      </c>
      <c r="N37" s="4">
        <v>2025</v>
      </c>
    </row>
    <row r="38" spans="1:14">
      <c r="A38" s="4"/>
      <c r="B38" s="4" t="s">
        <v>17</v>
      </c>
      <c r="C38" s="4" t="s">
        <v>25</v>
      </c>
      <c r="D38" s="4" t="s">
        <v>60</v>
      </c>
      <c r="E38" s="4" t="s">
        <v>112</v>
      </c>
      <c r="F38" s="4"/>
      <c r="G38" s="4" t="s">
        <v>267</v>
      </c>
      <c r="H38" s="4"/>
      <c r="I38" s="8">
        <v>8537.0629370629376</v>
      </c>
      <c r="J38" s="4" t="s">
        <v>407</v>
      </c>
      <c r="K38" s="16">
        <v>45959</v>
      </c>
      <c r="L38" s="4">
        <v>2025404144</v>
      </c>
      <c r="M38" s="4" t="s">
        <v>225</v>
      </c>
      <c r="N38" s="4">
        <v>2025</v>
      </c>
    </row>
    <row r="39" spans="1:14">
      <c r="A39" s="4">
        <v>4</v>
      </c>
      <c r="B39" s="67" t="s">
        <v>35</v>
      </c>
      <c r="C39" s="67" t="s">
        <v>37</v>
      </c>
      <c r="D39" s="4" t="s">
        <v>19</v>
      </c>
      <c r="E39" s="4" t="s">
        <v>112</v>
      </c>
      <c r="F39" s="4"/>
      <c r="G39" s="4" t="s">
        <v>613</v>
      </c>
      <c r="H39" s="4" t="s">
        <v>614</v>
      </c>
      <c r="I39" s="8">
        <v>28080</v>
      </c>
      <c r="J39" s="4" t="s">
        <v>14</v>
      </c>
      <c r="K39" s="4" t="s">
        <v>14</v>
      </c>
      <c r="L39" s="4" t="s">
        <v>14</v>
      </c>
      <c r="M39" s="67" t="s">
        <v>225</v>
      </c>
      <c r="N39" s="4">
        <v>2025</v>
      </c>
    </row>
    <row r="40" spans="1:14">
      <c r="A40" s="4"/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</sheetData>
  <autoFilter ref="A1:N1" xr:uid="{00000000-0009-0000-0000-00000F000000}"/>
  <dataValidations count="1">
    <dataValidation type="list" allowBlank="1" showInputMessage="1" showErrorMessage="1" sqref="C2:C38 C40:C526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List!$P$2:$P$11</xm:f>
          </x14:formula1>
          <xm:sqref>B2:B38 B40:B526</xm:sqref>
        </x14:dataValidation>
        <x14:dataValidation type="list" allowBlank="1" showInputMessage="1" showErrorMessage="1" xr:uid="{00000000-0002-0000-0F00-000003000000}">
          <x14:formula1>
            <xm:f>List!$E$2:$E$32</xm:f>
          </x14:formula1>
          <xm:sqref>E40:E526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D2:D526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M2:M526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N2:N526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1048509"/>
  <sheetViews>
    <sheetView topLeftCell="B29" workbookViewId="0">
      <selection activeCell="A2" sqref="A2:N34"/>
    </sheetView>
  </sheetViews>
  <sheetFormatPr defaultColWidth="9" defaultRowHeight="14.4"/>
  <cols>
    <col min="1" max="1" width="5.33203125" customWidth="1"/>
    <col min="2" max="2" width="9.33203125" customWidth="1"/>
    <col min="3" max="3" width="10.6640625" bestFit="1" customWidth="1"/>
    <col min="4" max="4" width="9" customWidth="1"/>
    <col min="5" max="5" width="19.77734375" customWidth="1"/>
    <col min="6" max="6" width="10.21875" customWidth="1"/>
    <col min="7" max="7" width="19.88671875" bestFit="1" customWidth="1"/>
    <col min="8" max="8" width="19.77734375" bestFit="1" customWidth="1"/>
    <col min="9" max="9" width="18.109375" customWidth="1"/>
    <col min="10" max="10" width="10.109375" customWidth="1"/>
    <col min="11" max="11" width="11.21875" customWidth="1"/>
    <col min="12" max="12" width="10.5546875" customWidth="1"/>
    <col min="13" max="13" width="6.5546875" customWidth="1"/>
    <col min="14" max="14" width="4.77734375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36">
        <v>40</v>
      </c>
      <c r="B2" s="12" t="s">
        <v>17</v>
      </c>
      <c r="C2" s="12" t="s">
        <v>22</v>
      </c>
      <c r="D2" s="36" t="s">
        <v>19</v>
      </c>
      <c r="E2" s="36" t="s">
        <v>110</v>
      </c>
      <c r="F2" s="12"/>
      <c r="G2" s="12" t="s">
        <v>88</v>
      </c>
      <c r="H2" s="36" t="s">
        <v>111</v>
      </c>
      <c r="I2" s="40">
        <v>2454.5454545454545</v>
      </c>
      <c r="J2" s="36" t="s">
        <v>14</v>
      </c>
      <c r="K2" s="36" t="s">
        <v>14</v>
      </c>
      <c r="L2" s="36" t="s">
        <v>14</v>
      </c>
      <c r="M2" s="36" t="s">
        <v>225</v>
      </c>
      <c r="N2" s="36">
        <v>2025</v>
      </c>
    </row>
    <row r="3" spans="1:14">
      <c r="A3" s="36">
        <v>41</v>
      </c>
      <c r="B3" s="12" t="s">
        <v>17</v>
      </c>
      <c r="C3" s="12" t="s">
        <v>26</v>
      </c>
      <c r="D3" s="36" t="s">
        <v>19</v>
      </c>
      <c r="E3" s="36" t="s">
        <v>110</v>
      </c>
      <c r="F3" s="12"/>
      <c r="G3" s="12" t="s">
        <v>88</v>
      </c>
      <c r="H3" s="36" t="s">
        <v>111</v>
      </c>
      <c r="I3" s="40">
        <v>1132.8671328671328</v>
      </c>
      <c r="J3" s="36" t="s">
        <v>14</v>
      </c>
      <c r="K3" s="36" t="s">
        <v>14</v>
      </c>
      <c r="L3" s="36" t="s">
        <v>14</v>
      </c>
      <c r="M3" s="36" t="s">
        <v>225</v>
      </c>
      <c r="N3" s="36">
        <v>2025</v>
      </c>
    </row>
    <row r="4" spans="1:14">
      <c r="A4" s="36">
        <v>42</v>
      </c>
      <c r="B4" s="12" t="s">
        <v>17</v>
      </c>
      <c r="C4" s="12" t="s">
        <v>24</v>
      </c>
      <c r="D4" s="36" t="s">
        <v>19</v>
      </c>
      <c r="E4" s="36" t="s">
        <v>110</v>
      </c>
      <c r="F4" s="12"/>
      <c r="G4" s="12" t="s">
        <v>88</v>
      </c>
      <c r="H4" s="36" t="s">
        <v>111</v>
      </c>
      <c r="I4" s="40">
        <v>1170.6293706293707</v>
      </c>
      <c r="J4" s="36" t="s">
        <v>14</v>
      </c>
      <c r="K4" s="36" t="s">
        <v>14</v>
      </c>
      <c r="L4" s="36" t="s">
        <v>14</v>
      </c>
      <c r="M4" s="36" t="s">
        <v>225</v>
      </c>
      <c r="N4" s="36">
        <v>2025</v>
      </c>
    </row>
    <row r="5" spans="1:14">
      <c r="A5" s="36">
        <v>43</v>
      </c>
      <c r="B5" s="12" t="s">
        <v>17</v>
      </c>
      <c r="C5" s="12" t="s">
        <v>25</v>
      </c>
      <c r="D5" s="36" t="s">
        <v>19</v>
      </c>
      <c r="E5" s="36" t="s">
        <v>110</v>
      </c>
      <c r="F5" s="12"/>
      <c r="G5" s="12" t="s">
        <v>88</v>
      </c>
      <c r="H5" s="36" t="s">
        <v>111</v>
      </c>
      <c r="I5" s="40">
        <v>35420.979020979023</v>
      </c>
      <c r="J5" s="36" t="s">
        <v>14</v>
      </c>
      <c r="K5" s="36" t="s">
        <v>14</v>
      </c>
      <c r="L5" s="36" t="s">
        <v>14</v>
      </c>
      <c r="M5" s="36" t="s">
        <v>225</v>
      </c>
      <c r="N5" s="36">
        <v>2025</v>
      </c>
    </row>
    <row r="6" spans="1:14">
      <c r="A6" s="36">
        <v>44</v>
      </c>
      <c r="B6" s="12" t="s">
        <v>17</v>
      </c>
      <c r="C6" s="12" t="s">
        <v>26</v>
      </c>
      <c r="D6" s="36" t="s">
        <v>19</v>
      </c>
      <c r="E6" s="36" t="s">
        <v>110</v>
      </c>
      <c r="F6" s="12"/>
      <c r="G6" s="12" t="s">
        <v>88</v>
      </c>
      <c r="H6" s="36" t="s">
        <v>111</v>
      </c>
      <c r="I6" s="40">
        <v>1132.8671328671328</v>
      </c>
      <c r="J6" s="36" t="s">
        <v>14</v>
      </c>
      <c r="K6" s="36" t="s">
        <v>14</v>
      </c>
      <c r="L6" s="36" t="s">
        <v>14</v>
      </c>
      <c r="M6" s="36" t="s">
        <v>225</v>
      </c>
      <c r="N6" s="36">
        <v>2025</v>
      </c>
    </row>
    <row r="7" spans="1:14">
      <c r="A7" s="36">
        <v>45</v>
      </c>
      <c r="B7" s="12" t="s">
        <v>58</v>
      </c>
      <c r="C7" s="12" t="s">
        <v>59</v>
      </c>
      <c r="D7" s="36" t="s">
        <v>19</v>
      </c>
      <c r="E7" s="36" t="s">
        <v>110</v>
      </c>
      <c r="F7" s="12"/>
      <c r="G7" s="12" t="s">
        <v>88</v>
      </c>
      <c r="H7" s="36" t="s">
        <v>111</v>
      </c>
      <c r="I7" s="40">
        <v>868.53146853146848</v>
      </c>
      <c r="J7" s="36" t="s">
        <v>14</v>
      </c>
      <c r="K7" s="36" t="s">
        <v>14</v>
      </c>
      <c r="L7" s="36" t="s">
        <v>14</v>
      </c>
      <c r="M7" s="36" t="s">
        <v>225</v>
      </c>
      <c r="N7" s="36">
        <v>2025</v>
      </c>
    </row>
    <row r="8" spans="1:14">
      <c r="A8" s="36">
        <v>46</v>
      </c>
      <c r="B8" s="12" t="s">
        <v>33</v>
      </c>
      <c r="C8" s="12" t="s">
        <v>34</v>
      </c>
      <c r="D8" s="36" t="s">
        <v>19</v>
      </c>
      <c r="E8" s="36" t="s">
        <v>110</v>
      </c>
      <c r="F8" s="12"/>
      <c r="G8" s="12" t="s">
        <v>88</v>
      </c>
      <c r="H8" s="36" t="s">
        <v>111</v>
      </c>
      <c r="I8" s="41">
        <v>1019.5804195804196</v>
      </c>
      <c r="J8" s="36" t="s">
        <v>14</v>
      </c>
      <c r="K8" s="36" t="s">
        <v>14</v>
      </c>
      <c r="L8" s="36" t="s">
        <v>14</v>
      </c>
      <c r="M8" s="36" t="s">
        <v>225</v>
      </c>
      <c r="N8" s="36">
        <v>2025</v>
      </c>
    </row>
    <row r="9" spans="1:14">
      <c r="A9" s="36">
        <v>47</v>
      </c>
      <c r="B9" s="12" t="s">
        <v>33</v>
      </c>
      <c r="C9" s="12" t="s">
        <v>34</v>
      </c>
      <c r="D9" s="36" t="s">
        <v>19</v>
      </c>
      <c r="E9" s="36" t="s">
        <v>110</v>
      </c>
      <c r="F9" s="12"/>
      <c r="G9" s="12" t="s">
        <v>88</v>
      </c>
      <c r="H9" s="36" t="s">
        <v>111</v>
      </c>
      <c r="I9" s="41">
        <v>2039.1608391608393</v>
      </c>
      <c r="J9" s="36" t="s">
        <v>14</v>
      </c>
      <c r="K9" s="36" t="s">
        <v>14</v>
      </c>
      <c r="L9" s="36" t="s">
        <v>14</v>
      </c>
      <c r="M9" s="36" t="s">
        <v>225</v>
      </c>
      <c r="N9" s="36">
        <v>2025</v>
      </c>
    </row>
    <row r="10" spans="1:14">
      <c r="A10" s="36">
        <v>48</v>
      </c>
      <c r="B10" s="12" t="s">
        <v>42</v>
      </c>
      <c r="C10" s="12" t="s">
        <v>48</v>
      </c>
      <c r="D10" s="36" t="s">
        <v>19</v>
      </c>
      <c r="E10" s="36" t="s">
        <v>110</v>
      </c>
      <c r="F10" s="12"/>
      <c r="G10" s="12" t="s">
        <v>88</v>
      </c>
      <c r="H10" s="36" t="s">
        <v>111</v>
      </c>
      <c r="I10" s="41">
        <v>981.81818181818187</v>
      </c>
      <c r="J10" s="36" t="s">
        <v>14</v>
      </c>
      <c r="K10" s="36" t="s">
        <v>14</v>
      </c>
      <c r="L10" s="36" t="s">
        <v>14</v>
      </c>
      <c r="M10" s="36" t="s">
        <v>225</v>
      </c>
      <c r="N10" s="36">
        <v>2025</v>
      </c>
    </row>
    <row r="11" spans="1:14">
      <c r="A11" s="36">
        <v>49</v>
      </c>
      <c r="B11" s="12" t="s">
        <v>35</v>
      </c>
      <c r="C11" s="12" t="s">
        <v>36</v>
      </c>
      <c r="D11" s="36" t="s">
        <v>19</v>
      </c>
      <c r="E11" s="36" t="s">
        <v>110</v>
      </c>
      <c r="F11" s="12"/>
      <c r="G11" s="12" t="s">
        <v>88</v>
      </c>
      <c r="H11" s="36" t="s">
        <v>111</v>
      </c>
      <c r="I11" s="41">
        <v>1019.5804195804196</v>
      </c>
      <c r="J11" s="36" t="s">
        <v>14</v>
      </c>
      <c r="K11" s="36" t="s">
        <v>14</v>
      </c>
      <c r="L11" s="36" t="s">
        <v>14</v>
      </c>
      <c r="M11" s="36" t="s">
        <v>225</v>
      </c>
      <c r="N11" s="36">
        <v>2025</v>
      </c>
    </row>
    <row r="12" spans="1:14">
      <c r="A12" s="12"/>
      <c r="B12" s="12" t="s">
        <v>42</v>
      </c>
      <c r="C12" s="12" t="s">
        <v>71</v>
      </c>
      <c r="D12" s="36" t="s">
        <v>19</v>
      </c>
      <c r="E12" s="36" t="s">
        <v>110</v>
      </c>
      <c r="F12" s="12"/>
      <c r="G12" s="12" t="s">
        <v>117</v>
      </c>
      <c r="H12" s="36" t="s">
        <v>110</v>
      </c>
      <c r="I12" s="41">
        <v>513.30054388470126</v>
      </c>
      <c r="J12" s="36" t="s">
        <v>14</v>
      </c>
      <c r="K12" s="36" t="s">
        <v>14</v>
      </c>
      <c r="L12" s="36" t="s">
        <v>14</v>
      </c>
      <c r="M12" s="36" t="s">
        <v>225</v>
      </c>
      <c r="N12" s="36">
        <v>2025</v>
      </c>
    </row>
    <row r="13" spans="1:14">
      <c r="A13" s="12"/>
      <c r="B13" s="12" t="s">
        <v>35</v>
      </c>
      <c r="C13" s="12" t="s">
        <v>374</v>
      </c>
      <c r="D13" s="36" t="s">
        <v>19</v>
      </c>
      <c r="E13" s="36" t="s">
        <v>110</v>
      </c>
      <c r="F13" s="12"/>
      <c r="G13" s="12" t="s">
        <v>117</v>
      </c>
      <c r="H13" s="36" t="s">
        <v>110</v>
      </c>
      <c r="I13" s="41">
        <v>1154.9262237405778</v>
      </c>
      <c r="J13" s="36" t="s">
        <v>14</v>
      </c>
      <c r="K13" s="36" t="s">
        <v>14</v>
      </c>
      <c r="L13" s="36" t="s">
        <v>14</v>
      </c>
      <c r="M13" s="36" t="s">
        <v>225</v>
      </c>
      <c r="N13" s="36">
        <v>2025</v>
      </c>
    </row>
    <row r="14" spans="1:14">
      <c r="A14" s="12"/>
      <c r="B14" s="12" t="s">
        <v>42</v>
      </c>
      <c r="C14" s="12" t="s">
        <v>43</v>
      </c>
      <c r="D14" s="36" t="s">
        <v>19</v>
      </c>
      <c r="E14" s="36" t="s">
        <v>110</v>
      </c>
      <c r="F14" s="12"/>
      <c r="G14" s="12" t="s">
        <v>117</v>
      </c>
      <c r="H14" s="36" t="s">
        <v>110</v>
      </c>
      <c r="I14" s="41">
        <v>45940.398677680765</v>
      </c>
      <c r="J14" s="36" t="s">
        <v>14</v>
      </c>
      <c r="K14" s="36" t="s">
        <v>14</v>
      </c>
      <c r="L14" s="36" t="s">
        <v>14</v>
      </c>
      <c r="M14" s="36" t="s">
        <v>225</v>
      </c>
      <c r="N14" s="36">
        <v>2025</v>
      </c>
    </row>
    <row r="15" spans="1:14">
      <c r="A15" s="12"/>
      <c r="B15" s="12" t="s">
        <v>35</v>
      </c>
      <c r="C15" s="12" t="s">
        <v>36</v>
      </c>
      <c r="D15" s="36" t="s">
        <v>19</v>
      </c>
      <c r="E15" s="36" t="s">
        <v>110</v>
      </c>
      <c r="F15" s="12"/>
      <c r="G15" s="12" t="s">
        <v>117</v>
      </c>
      <c r="H15" s="36" t="s">
        <v>110</v>
      </c>
      <c r="I15" s="41">
        <v>5389.6557107893632</v>
      </c>
      <c r="J15" s="36" t="s">
        <v>14</v>
      </c>
      <c r="K15" s="36" t="s">
        <v>14</v>
      </c>
      <c r="L15" s="36" t="s">
        <v>14</v>
      </c>
      <c r="M15" s="36" t="s">
        <v>225</v>
      </c>
      <c r="N15" s="36">
        <v>2025</v>
      </c>
    </row>
    <row r="16" spans="1:14">
      <c r="A16" s="12"/>
      <c r="B16" s="12" t="s">
        <v>35</v>
      </c>
      <c r="C16" s="12" t="s">
        <v>37</v>
      </c>
      <c r="D16" s="36" t="s">
        <v>19</v>
      </c>
      <c r="E16" s="36" t="s">
        <v>110</v>
      </c>
      <c r="F16" s="12"/>
      <c r="G16" s="12" t="s">
        <v>117</v>
      </c>
      <c r="H16" s="36" t="s">
        <v>110</v>
      </c>
      <c r="I16" s="41">
        <v>29258.13100142797</v>
      </c>
      <c r="J16" s="36" t="s">
        <v>14</v>
      </c>
      <c r="K16" s="36" t="s">
        <v>14</v>
      </c>
      <c r="L16" s="36" t="s">
        <v>14</v>
      </c>
      <c r="M16" s="36" t="s">
        <v>225</v>
      </c>
      <c r="N16" s="36">
        <v>2025</v>
      </c>
    </row>
    <row r="17" spans="1:14">
      <c r="A17" s="12"/>
      <c r="B17" s="12" t="s">
        <v>17</v>
      </c>
      <c r="C17" s="12" t="s">
        <v>75</v>
      </c>
      <c r="D17" s="36" t="s">
        <v>19</v>
      </c>
      <c r="E17" s="36" t="s">
        <v>110</v>
      </c>
      <c r="F17" s="12"/>
      <c r="G17" s="12" t="s">
        <v>117</v>
      </c>
      <c r="H17" s="36" t="s">
        <v>110</v>
      </c>
      <c r="I17" s="41">
        <v>64.162567985587657</v>
      </c>
      <c r="J17" s="36" t="s">
        <v>14</v>
      </c>
      <c r="K17" s="36" t="s">
        <v>14</v>
      </c>
      <c r="L17" s="36" t="s">
        <v>14</v>
      </c>
      <c r="M17" s="36" t="s">
        <v>225</v>
      </c>
      <c r="N17" s="36">
        <v>2025</v>
      </c>
    </row>
    <row r="18" spans="1:14">
      <c r="A18" s="12"/>
      <c r="B18" s="12" t="s">
        <v>42</v>
      </c>
      <c r="C18" s="12" t="s">
        <v>44</v>
      </c>
      <c r="D18" s="36" t="s">
        <v>19</v>
      </c>
      <c r="E18" s="36" t="s">
        <v>110</v>
      </c>
      <c r="F18" s="12"/>
      <c r="G18" s="12" t="s">
        <v>117</v>
      </c>
      <c r="H18" s="36" t="s">
        <v>110</v>
      </c>
      <c r="I18" s="41">
        <v>3849.7540791352594</v>
      </c>
      <c r="J18" s="36" t="s">
        <v>14</v>
      </c>
      <c r="K18" s="36" t="s">
        <v>14</v>
      </c>
      <c r="L18" s="36" t="s">
        <v>14</v>
      </c>
      <c r="M18" s="36" t="s">
        <v>225</v>
      </c>
      <c r="N18" s="36">
        <v>2025</v>
      </c>
    </row>
    <row r="19" spans="1:14">
      <c r="A19" s="12"/>
      <c r="B19" s="12" t="s">
        <v>42</v>
      </c>
      <c r="C19" s="12" t="s">
        <v>45</v>
      </c>
      <c r="D19" s="36" t="s">
        <v>19</v>
      </c>
      <c r="E19" s="36" t="s">
        <v>110</v>
      </c>
      <c r="F19" s="12"/>
      <c r="G19" s="12" t="s">
        <v>117</v>
      </c>
      <c r="H19" s="36" t="s">
        <v>110</v>
      </c>
      <c r="I19" s="41">
        <v>30220.569521211786</v>
      </c>
      <c r="J19" s="36" t="s">
        <v>14</v>
      </c>
      <c r="K19" s="36" t="s">
        <v>14</v>
      </c>
      <c r="L19" s="36" t="s">
        <v>14</v>
      </c>
      <c r="M19" s="36" t="s">
        <v>225</v>
      </c>
      <c r="N19" s="36">
        <v>2025</v>
      </c>
    </row>
    <row r="20" spans="1:14">
      <c r="A20" s="12"/>
      <c r="B20" s="12" t="s">
        <v>27</v>
      </c>
      <c r="C20" s="12" t="s">
        <v>28</v>
      </c>
      <c r="D20" s="36" t="s">
        <v>19</v>
      </c>
      <c r="E20" s="36" t="s">
        <v>110</v>
      </c>
      <c r="F20" s="12"/>
      <c r="G20" s="12" t="s">
        <v>117</v>
      </c>
      <c r="H20" s="36" t="s">
        <v>110</v>
      </c>
      <c r="I20" s="41">
        <v>3721.4289431640841</v>
      </c>
      <c r="J20" s="36" t="s">
        <v>14</v>
      </c>
      <c r="K20" s="36" t="s">
        <v>14</v>
      </c>
      <c r="L20" s="36" t="s">
        <v>14</v>
      </c>
      <c r="M20" s="36" t="s">
        <v>225</v>
      </c>
      <c r="N20" s="36">
        <v>2025</v>
      </c>
    </row>
    <row r="21" spans="1:14">
      <c r="A21" s="12"/>
      <c r="B21" s="12" t="s">
        <v>33</v>
      </c>
      <c r="C21" s="12" t="s">
        <v>34</v>
      </c>
      <c r="D21" s="36" t="s">
        <v>19</v>
      </c>
      <c r="E21" s="36" t="s">
        <v>110</v>
      </c>
      <c r="F21" s="12"/>
      <c r="G21" s="12" t="s">
        <v>117</v>
      </c>
      <c r="H21" s="36" t="s">
        <v>110</v>
      </c>
      <c r="I21" s="41">
        <v>4363.0546230199607</v>
      </c>
      <c r="J21" s="36" t="s">
        <v>14</v>
      </c>
      <c r="K21" s="36" t="s">
        <v>14</v>
      </c>
      <c r="L21" s="36" t="s">
        <v>14</v>
      </c>
      <c r="M21" s="36" t="s">
        <v>225</v>
      </c>
      <c r="N21" s="36">
        <v>2025</v>
      </c>
    </row>
    <row r="22" spans="1:14">
      <c r="A22" s="12"/>
      <c r="B22" s="12" t="s">
        <v>42</v>
      </c>
      <c r="C22" s="12" t="s">
        <v>46</v>
      </c>
      <c r="D22" s="36" t="s">
        <v>19</v>
      </c>
      <c r="E22" s="36" t="s">
        <v>110</v>
      </c>
      <c r="F22" s="12"/>
      <c r="G22" s="12" t="s">
        <v>117</v>
      </c>
      <c r="H22" s="36" t="s">
        <v>110</v>
      </c>
      <c r="I22" s="41">
        <v>83347.175813278373</v>
      </c>
      <c r="J22" s="36" t="s">
        <v>14</v>
      </c>
      <c r="K22" s="36" t="s">
        <v>14</v>
      </c>
      <c r="L22" s="36" t="s">
        <v>14</v>
      </c>
      <c r="M22" s="36" t="s">
        <v>225</v>
      </c>
      <c r="N22" s="36">
        <v>2025</v>
      </c>
    </row>
    <row r="23" spans="1:14">
      <c r="A23" s="12"/>
      <c r="B23" s="12" t="s">
        <v>35</v>
      </c>
      <c r="C23" s="12" t="s">
        <v>41</v>
      </c>
      <c r="D23" s="36" t="s">
        <v>19</v>
      </c>
      <c r="E23" s="36" t="s">
        <v>110</v>
      </c>
      <c r="F23" s="12"/>
      <c r="G23" s="12" t="s">
        <v>117</v>
      </c>
      <c r="H23" s="36" t="s">
        <v>110</v>
      </c>
      <c r="I23" s="41">
        <v>3336.4535352505582</v>
      </c>
      <c r="J23" s="36" t="s">
        <v>14</v>
      </c>
      <c r="K23" s="36" t="s">
        <v>14</v>
      </c>
      <c r="L23" s="36" t="s">
        <v>14</v>
      </c>
      <c r="M23" s="36" t="s">
        <v>225</v>
      </c>
      <c r="N23" s="36">
        <v>2025</v>
      </c>
    </row>
    <row r="24" spans="1:14">
      <c r="A24" s="12"/>
      <c r="B24" s="12" t="s">
        <v>42</v>
      </c>
      <c r="C24" s="12" t="s">
        <v>47</v>
      </c>
      <c r="D24" s="36" t="s">
        <v>19</v>
      </c>
      <c r="E24" s="36" t="s">
        <v>110</v>
      </c>
      <c r="F24" s="12"/>
      <c r="G24" s="12" t="s">
        <v>117</v>
      </c>
      <c r="H24" s="36" t="s">
        <v>110</v>
      </c>
      <c r="I24" s="41">
        <v>24895.076378408012</v>
      </c>
      <c r="J24" s="36" t="s">
        <v>14</v>
      </c>
      <c r="K24" s="36" t="s">
        <v>14</v>
      </c>
      <c r="L24" s="36" t="s">
        <v>14</v>
      </c>
      <c r="M24" s="36" t="s">
        <v>225</v>
      </c>
      <c r="N24" s="36">
        <v>2025</v>
      </c>
    </row>
    <row r="25" spans="1:14">
      <c r="A25" s="12"/>
      <c r="B25" s="12" t="s">
        <v>54</v>
      </c>
      <c r="C25" s="12" t="s">
        <v>96</v>
      </c>
      <c r="D25" s="36" t="s">
        <v>19</v>
      </c>
      <c r="E25" s="36" t="s">
        <v>110</v>
      </c>
      <c r="F25" s="12"/>
      <c r="G25" s="12" t="s">
        <v>117</v>
      </c>
      <c r="H25" s="36" t="s">
        <v>110</v>
      </c>
      <c r="I25" s="41">
        <v>192.48770395676297</v>
      </c>
      <c r="J25" s="36" t="s">
        <v>14</v>
      </c>
      <c r="K25" s="36" t="s">
        <v>14</v>
      </c>
      <c r="L25" s="36" t="s">
        <v>14</v>
      </c>
      <c r="M25" s="36" t="s">
        <v>225</v>
      </c>
      <c r="N25" s="36">
        <v>2025</v>
      </c>
    </row>
    <row r="26" spans="1:14">
      <c r="A26" s="12"/>
      <c r="B26" s="12" t="s">
        <v>42</v>
      </c>
      <c r="C26" s="12" t="s">
        <v>49</v>
      </c>
      <c r="D26" s="36" t="s">
        <v>19</v>
      </c>
      <c r="E26" s="36" t="s">
        <v>110</v>
      </c>
      <c r="F26" s="12"/>
      <c r="G26" s="12" t="s">
        <v>117</v>
      </c>
      <c r="H26" s="36" t="s">
        <v>110</v>
      </c>
      <c r="I26" s="41">
        <v>17837.19389999337</v>
      </c>
      <c r="J26" s="36" t="s">
        <v>14</v>
      </c>
      <c r="K26" s="36" t="s">
        <v>14</v>
      </c>
      <c r="L26" s="36" t="s">
        <v>14</v>
      </c>
      <c r="M26" s="36" t="s">
        <v>225</v>
      </c>
      <c r="N26" s="36">
        <v>2025</v>
      </c>
    </row>
    <row r="27" spans="1:14">
      <c r="A27" s="12"/>
      <c r="B27" s="12" t="s">
        <v>42</v>
      </c>
      <c r="C27" s="12" t="s">
        <v>50</v>
      </c>
      <c r="D27" s="36" t="s">
        <v>19</v>
      </c>
      <c r="E27" s="36" t="s">
        <v>110</v>
      </c>
      <c r="F27" s="12"/>
      <c r="G27" s="12" t="s">
        <v>117</v>
      </c>
      <c r="H27" s="36" t="s">
        <v>110</v>
      </c>
      <c r="I27" s="41">
        <v>100286.0937614735</v>
      </c>
      <c r="J27" s="36" t="s">
        <v>14</v>
      </c>
      <c r="K27" s="36" t="s">
        <v>14</v>
      </c>
      <c r="L27" s="36" t="s">
        <v>14</v>
      </c>
      <c r="M27" s="36" t="s">
        <v>225</v>
      </c>
      <c r="N27" s="36">
        <v>2025</v>
      </c>
    </row>
    <row r="28" spans="1:14">
      <c r="A28" s="12"/>
      <c r="B28" s="12" t="s">
        <v>42</v>
      </c>
      <c r="C28" s="12" t="s">
        <v>51</v>
      </c>
      <c r="D28" s="36" t="s">
        <v>19</v>
      </c>
      <c r="E28" s="36" t="s">
        <v>110</v>
      </c>
      <c r="F28" s="12"/>
      <c r="G28" s="12" t="s">
        <v>117</v>
      </c>
      <c r="H28" s="36" t="s">
        <v>110</v>
      </c>
      <c r="I28" s="41">
        <v>64.162567985587657</v>
      </c>
      <c r="J28" s="36" t="s">
        <v>14</v>
      </c>
      <c r="K28" s="36" t="s">
        <v>14</v>
      </c>
      <c r="L28" s="36" t="s">
        <v>14</v>
      </c>
      <c r="M28" s="36" t="s">
        <v>225</v>
      </c>
      <c r="N28" s="36">
        <v>2025</v>
      </c>
    </row>
    <row r="29" spans="1:14">
      <c r="A29" s="12"/>
      <c r="B29" s="12" t="s">
        <v>17</v>
      </c>
      <c r="C29" s="12" t="s">
        <v>25</v>
      </c>
      <c r="D29" s="36" t="s">
        <v>19</v>
      </c>
      <c r="E29" s="36" t="s">
        <v>110</v>
      </c>
      <c r="F29" s="12"/>
      <c r="G29" s="12" t="s">
        <v>117</v>
      </c>
      <c r="H29" s="36" t="s">
        <v>110</v>
      </c>
      <c r="I29" s="41">
        <v>109525.50355139813</v>
      </c>
      <c r="J29" s="36" t="s">
        <v>14</v>
      </c>
      <c r="K29" s="36" t="s">
        <v>14</v>
      </c>
      <c r="L29" s="36" t="s">
        <v>14</v>
      </c>
      <c r="M29" s="36" t="s">
        <v>225</v>
      </c>
      <c r="N29" s="36">
        <v>2025</v>
      </c>
    </row>
    <row r="30" spans="1:14">
      <c r="A30" s="12"/>
      <c r="B30" s="12" t="s">
        <v>52</v>
      </c>
      <c r="C30" s="12" t="s">
        <v>62</v>
      </c>
      <c r="D30" s="36" t="s">
        <v>19</v>
      </c>
      <c r="E30" s="36" t="s">
        <v>110</v>
      </c>
      <c r="F30" s="12"/>
      <c r="G30" s="12" t="s">
        <v>117</v>
      </c>
      <c r="H30" s="36" t="s">
        <v>110</v>
      </c>
      <c r="I30" s="41">
        <v>131661.58950642587</v>
      </c>
      <c r="J30" s="36" t="s">
        <v>14</v>
      </c>
      <c r="K30" s="36" t="s">
        <v>14</v>
      </c>
      <c r="L30" s="36" t="s">
        <v>14</v>
      </c>
      <c r="M30" s="36" t="s">
        <v>225</v>
      </c>
      <c r="N30" s="36">
        <v>2025</v>
      </c>
    </row>
    <row r="31" spans="1:14">
      <c r="A31" s="12"/>
      <c r="B31" s="12" t="s">
        <v>29</v>
      </c>
      <c r="C31" s="12" t="s">
        <v>232</v>
      </c>
      <c r="D31" s="36" t="s">
        <v>19</v>
      </c>
      <c r="E31" s="36" t="s">
        <v>110</v>
      </c>
      <c r="F31" s="12"/>
      <c r="G31" s="12" t="s">
        <v>117</v>
      </c>
      <c r="H31" s="36" t="s">
        <v>110</v>
      </c>
      <c r="I31" s="41">
        <v>1860.7144715820421</v>
      </c>
      <c r="J31" s="36" t="s">
        <v>14</v>
      </c>
      <c r="K31" s="36" t="s">
        <v>14</v>
      </c>
      <c r="L31" s="36" t="s">
        <v>14</v>
      </c>
      <c r="M31" s="36" t="s">
        <v>225</v>
      </c>
      <c r="N31" s="36">
        <v>2025</v>
      </c>
    </row>
    <row r="32" spans="1:14">
      <c r="A32" s="12"/>
      <c r="B32" s="12" t="s">
        <v>42</v>
      </c>
      <c r="C32" s="12" t="s">
        <v>375</v>
      </c>
      <c r="D32" s="36" t="s">
        <v>19</v>
      </c>
      <c r="E32" s="36" t="s">
        <v>110</v>
      </c>
      <c r="F32" s="12"/>
      <c r="G32" s="12" t="s">
        <v>117</v>
      </c>
      <c r="H32" s="36" t="s">
        <v>110</v>
      </c>
      <c r="I32" s="41">
        <v>17708.868764022194</v>
      </c>
      <c r="J32" s="36" t="s">
        <v>14</v>
      </c>
      <c r="K32" s="36" t="s">
        <v>14</v>
      </c>
      <c r="L32" s="36" t="s">
        <v>14</v>
      </c>
      <c r="M32" s="36" t="s">
        <v>225</v>
      </c>
      <c r="N32" s="36">
        <v>2025</v>
      </c>
    </row>
    <row r="33" spans="1:14">
      <c r="A33" s="12"/>
      <c r="B33" s="12" t="s">
        <v>17</v>
      </c>
      <c r="C33" s="12" t="s">
        <v>23</v>
      </c>
      <c r="D33" s="36" t="s">
        <v>19</v>
      </c>
      <c r="E33" s="36" t="s">
        <v>110</v>
      </c>
      <c r="F33" s="12"/>
      <c r="G33" s="12" t="s">
        <v>117</v>
      </c>
      <c r="H33" s="36" t="s">
        <v>110</v>
      </c>
      <c r="I33" s="41">
        <v>14179.927524814873</v>
      </c>
      <c r="J33" s="36" t="s">
        <v>14</v>
      </c>
      <c r="K33" s="36" t="s">
        <v>14</v>
      </c>
      <c r="L33" s="36" t="s">
        <v>14</v>
      </c>
      <c r="M33" s="36" t="s">
        <v>225</v>
      </c>
      <c r="N33" s="36">
        <v>2025</v>
      </c>
    </row>
    <row r="34" spans="1:14">
      <c r="B34" s="64" t="s">
        <v>42</v>
      </c>
      <c r="C34" s="64" t="s">
        <v>51</v>
      </c>
      <c r="D34" s="65" t="s">
        <v>60</v>
      </c>
      <c r="E34" s="36" t="s">
        <v>110</v>
      </c>
      <c r="G34" t="s">
        <v>94</v>
      </c>
      <c r="H34" s="36" t="s">
        <v>111</v>
      </c>
      <c r="I34" s="39">
        <f>7000000/1430</f>
        <v>4895.1048951048951</v>
      </c>
      <c r="J34" s="36" t="s">
        <v>14</v>
      </c>
      <c r="K34" s="36" t="s">
        <v>14</v>
      </c>
      <c r="L34" s="36" t="s">
        <v>14</v>
      </c>
      <c r="M34" s="36" t="s">
        <v>225</v>
      </c>
      <c r="N34" s="36">
        <v>2025</v>
      </c>
    </row>
    <row r="1048509" spans="8:8">
      <c r="H1048509" s="12"/>
    </row>
  </sheetData>
  <autoFilter ref="A1:N1" xr:uid="{00000000-0001-0000-0D00-00000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N664"/>
  <sheetViews>
    <sheetView topLeftCell="E1" workbookViewId="0">
      <selection activeCell="A2" sqref="A2:N6"/>
    </sheetView>
  </sheetViews>
  <sheetFormatPr defaultColWidth="9" defaultRowHeight="14.4"/>
  <cols>
    <col min="1" max="1" width="5.33203125" customWidth="1"/>
    <col min="2" max="2" width="9.33203125" customWidth="1"/>
    <col min="3" max="3" width="9.44140625" customWidth="1"/>
    <col min="4" max="4" width="8.88671875" customWidth="1"/>
    <col min="5" max="5" width="29" customWidth="1"/>
    <col min="6" max="6" width="10.109375" customWidth="1"/>
    <col min="7" max="7" width="28.6640625" customWidth="1"/>
    <col min="8" max="8" width="23.5546875" bestFit="1" customWidth="1"/>
    <col min="9" max="9" width="15.44140625" style="8" customWidth="1"/>
    <col min="10" max="10" width="10.109375" customWidth="1"/>
    <col min="11" max="11" width="11.109375" customWidth="1"/>
    <col min="12" max="12" width="10.77734375" customWidth="1"/>
    <col min="13" max="13" width="6.44140625" customWidth="1"/>
    <col min="14" max="14" width="4.77734375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16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4">
        <v>1</v>
      </c>
      <c r="B2" s="4" t="s">
        <v>54</v>
      </c>
      <c r="C2" s="4" t="s">
        <v>55</v>
      </c>
      <c r="D2" s="4" t="s">
        <v>19</v>
      </c>
      <c r="E2" s="4" t="s">
        <v>114</v>
      </c>
      <c r="F2" s="4"/>
      <c r="G2" s="4" t="s">
        <v>115</v>
      </c>
      <c r="H2" s="4" t="s">
        <v>116</v>
      </c>
      <c r="I2" s="8">
        <v>90283</v>
      </c>
      <c r="J2" s="4" t="s">
        <v>14</v>
      </c>
      <c r="K2" s="4" t="s">
        <v>14</v>
      </c>
      <c r="L2" s="4" t="s">
        <v>14</v>
      </c>
      <c r="M2" s="67" t="s">
        <v>225</v>
      </c>
      <c r="N2" s="4">
        <v>2025</v>
      </c>
    </row>
    <row r="3" spans="1:14">
      <c r="A3" s="4">
        <v>2</v>
      </c>
      <c r="B3" s="37" t="s">
        <v>52</v>
      </c>
      <c r="C3" s="37" t="s">
        <v>62</v>
      </c>
      <c r="D3" s="4" t="s">
        <v>19</v>
      </c>
      <c r="E3" s="4" t="s">
        <v>114</v>
      </c>
      <c r="F3" s="4"/>
      <c r="G3" s="4" t="s">
        <v>254</v>
      </c>
      <c r="H3" s="4" t="s">
        <v>116</v>
      </c>
      <c r="I3" s="8">
        <v>430872.65</v>
      </c>
      <c r="J3" s="4" t="s">
        <v>14</v>
      </c>
      <c r="K3" s="4" t="s">
        <v>14</v>
      </c>
      <c r="L3" s="4" t="s">
        <v>14</v>
      </c>
      <c r="M3" s="67" t="s">
        <v>225</v>
      </c>
      <c r="N3" s="4">
        <v>2025</v>
      </c>
    </row>
    <row r="4" spans="1:14">
      <c r="A4" s="4">
        <v>3</v>
      </c>
      <c r="B4" s="4" t="s">
        <v>42</v>
      </c>
      <c r="C4" s="4" t="s">
        <v>45</v>
      </c>
      <c r="D4" s="4" t="s">
        <v>19</v>
      </c>
      <c r="E4" s="4" t="s">
        <v>114</v>
      </c>
      <c r="F4" s="4"/>
      <c r="G4" s="4" t="s">
        <v>254</v>
      </c>
      <c r="H4" s="4" t="s">
        <v>116</v>
      </c>
      <c r="I4" s="8">
        <v>133750</v>
      </c>
      <c r="J4" s="4" t="s">
        <v>14</v>
      </c>
      <c r="K4" s="4" t="s">
        <v>14</v>
      </c>
      <c r="L4" s="4" t="s">
        <v>14</v>
      </c>
      <c r="M4" s="67" t="s">
        <v>225</v>
      </c>
      <c r="N4" s="4">
        <v>2025</v>
      </c>
    </row>
    <row r="5" spans="1:14">
      <c r="A5" s="4">
        <v>4</v>
      </c>
      <c r="B5" s="67" t="s">
        <v>35</v>
      </c>
      <c r="C5" s="67" t="s">
        <v>37</v>
      </c>
      <c r="D5" s="4" t="s">
        <v>19</v>
      </c>
      <c r="E5" s="4" t="s">
        <v>114</v>
      </c>
      <c r="F5" s="4"/>
      <c r="G5" s="4" t="s">
        <v>613</v>
      </c>
      <c r="H5" s="4" t="s">
        <v>614</v>
      </c>
      <c r="I5" s="8">
        <v>28080</v>
      </c>
      <c r="J5" s="4" t="s">
        <v>14</v>
      </c>
      <c r="K5" s="4" t="s">
        <v>14</v>
      </c>
      <c r="L5" s="4" t="s">
        <v>14</v>
      </c>
      <c r="M5" s="67" t="s">
        <v>225</v>
      </c>
      <c r="N5" s="4">
        <v>2025</v>
      </c>
    </row>
    <row r="6" spans="1:14">
      <c r="A6" s="4"/>
      <c r="B6" s="67" t="s">
        <v>17</v>
      </c>
      <c r="C6" s="67" t="s">
        <v>25</v>
      </c>
      <c r="D6" s="4" t="s">
        <v>19</v>
      </c>
      <c r="E6" s="4" t="s">
        <v>114</v>
      </c>
      <c r="F6" s="4"/>
      <c r="G6" s="67" t="s">
        <v>615</v>
      </c>
      <c r="H6" s="4" t="s">
        <v>118</v>
      </c>
      <c r="I6" s="8">
        <f>40000000/1430</f>
        <v>27972.027972027972</v>
      </c>
      <c r="J6" s="4" t="s">
        <v>14</v>
      </c>
      <c r="K6" s="4" t="s">
        <v>14</v>
      </c>
      <c r="L6" s="4" t="s">
        <v>14</v>
      </c>
      <c r="M6" s="67" t="s">
        <v>225</v>
      </c>
      <c r="N6" s="4">
        <v>2025</v>
      </c>
    </row>
    <row r="9" spans="1:14">
      <c r="A9" s="4"/>
      <c r="B9" s="4"/>
      <c r="C9" s="4"/>
      <c r="D9" s="4"/>
      <c r="E9" s="4"/>
      <c r="F9" s="4"/>
      <c r="G9" s="4"/>
      <c r="H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G578" s="4"/>
      <c r="H578" s="4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G579" s="4"/>
      <c r="H579" s="4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G580" s="4"/>
      <c r="H580" s="4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G581" s="4"/>
      <c r="H581" s="4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G582" s="4"/>
      <c r="H582" s="4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G583" s="4"/>
      <c r="H583" s="4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G584" s="4"/>
      <c r="H584" s="4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G585" s="4"/>
      <c r="H585" s="4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G586" s="4"/>
      <c r="H586" s="4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G587" s="4"/>
      <c r="H587" s="4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G588" s="4"/>
      <c r="H588" s="4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G589" s="4"/>
      <c r="H589" s="4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G590" s="4"/>
      <c r="H590" s="4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G591" s="4"/>
      <c r="H591" s="4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G592" s="4"/>
      <c r="H592" s="4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G593" s="4"/>
      <c r="H593" s="4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G594" s="4"/>
      <c r="H594" s="4"/>
      <c r="J594" s="4"/>
      <c r="K594" s="4"/>
      <c r="L594" s="4"/>
      <c r="M594" s="4"/>
      <c r="N594" s="4"/>
    </row>
    <row r="595" spans="1:14">
      <c r="A595" s="4"/>
      <c r="B595" s="4"/>
      <c r="C595" s="4"/>
      <c r="D595" s="4"/>
      <c r="E595" s="4"/>
      <c r="F595" s="4"/>
      <c r="G595" s="4"/>
      <c r="H595" s="4"/>
      <c r="J595" s="4"/>
      <c r="K595" s="4"/>
      <c r="L595" s="4"/>
      <c r="M595" s="4"/>
      <c r="N595" s="4"/>
    </row>
    <row r="596" spans="1:14">
      <c r="A596" s="4"/>
      <c r="B596" s="4"/>
      <c r="C596" s="4"/>
      <c r="D596" s="4"/>
      <c r="E596" s="4"/>
      <c r="F596" s="4"/>
      <c r="G596" s="4"/>
      <c r="H596" s="4"/>
      <c r="J596" s="4"/>
      <c r="K596" s="4"/>
      <c r="L596" s="4"/>
      <c r="M596" s="4"/>
      <c r="N596" s="4"/>
    </row>
    <row r="597" spans="1:14">
      <c r="A597" s="4"/>
      <c r="B597" s="4"/>
      <c r="C597" s="4"/>
      <c r="D597" s="4"/>
      <c r="E597" s="4"/>
      <c r="F597" s="4"/>
      <c r="G597" s="4"/>
      <c r="H597" s="4"/>
      <c r="J597" s="4"/>
      <c r="K597" s="4"/>
      <c r="L597" s="4"/>
      <c r="M597" s="4"/>
      <c r="N597" s="4"/>
    </row>
    <row r="598" spans="1:14">
      <c r="A598" s="4"/>
      <c r="B598" s="4"/>
      <c r="C598" s="4"/>
      <c r="D598" s="4"/>
      <c r="E598" s="4"/>
      <c r="F598" s="4"/>
      <c r="G598" s="4"/>
      <c r="H598" s="4"/>
      <c r="J598" s="4"/>
      <c r="K598" s="4"/>
      <c r="L598" s="4"/>
      <c r="M598" s="4"/>
      <c r="N598" s="4"/>
    </row>
    <row r="599" spans="1:14">
      <c r="A599" s="4"/>
      <c r="B599" s="4"/>
      <c r="C599" s="4"/>
      <c r="D599" s="4"/>
      <c r="E599" s="4"/>
      <c r="F599" s="4"/>
      <c r="G599" s="4"/>
      <c r="H599" s="4"/>
      <c r="J599" s="4"/>
      <c r="K599" s="4"/>
      <c r="L599" s="4"/>
      <c r="M599" s="4"/>
      <c r="N599" s="4"/>
    </row>
    <row r="600" spans="1:14">
      <c r="A600" s="4"/>
      <c r="B600" s="4"/>
      <c r="C600" s="4"/>
      <c r="D600" s="4"/>
      <c r="E600" s="4"/>
      <c r="F600" s="4"/>
      <c r="G600" s="4"/>
      <c r="H600" s="4"/>
      <c r="J600" s="4"/>
      <c r="K600" s="4"/>
      <c r="L600" s="4"/>
      <c r="M600" s="4"/>
      <c r="N600" s="4"/>
    </row>
    <row r="601" spans="1:14">
      <c r="A601" s="4"/>
      <c r="B601" s="4"/>
      <c r="C601" s="4"/>
      <c r="D601" s="4"/>
      <c r="E601" s="4"/>
      <c r="F601" s="4"/>
      <c r="G601" s="4"/>
      <c r="H601" s="4"/>
      <c r="J601" s="4"/>
      <c r="K601" s="4"/>
      <c r="L601" s="4"/>
      <c r="M601" s="4"/>
      <c r="N601" s="4"/>
    </row>
    <row r="602" spans="1:14">
      <c r="A602" s="4"/>
      <c r="B602" s="4"/>
      <c r="C602" s="4"/>
      <c r="D602" s="4"/>
      <c r="E602" s="4"/>
      <c r="F602" s="4"/>
      <c r="G602" s="4"/>
      <c r="H602" s="4"/>
      <c r="J602" s="4"/>
      <c r="K602" s="4"/>
      <c r="L602" s="4"/>
      <c r="M602" s="4"/>
      <c r="N602" s="4"/>
    </row>
    <row r="603" spans="1:14">
      <c r="A603" s="4"/>
      <c r="B603" s="4"/>
      <c r="C603" s="4"/>
      <c r="D603" s="4"/>
      <c r="E603" s="4"/>
      <c r="F603" s="4"/>
      <c r="G603" s="4"/>
      <c r="H603" s="4"/>
      <c r="J603" s="4"/>
      <c r="K603" s="4"/>
      <c r="L603" s="4"/>
      <c r="M603" s="4"/>
      <c r="N603" s="4"/>
    </row>
    <row r="604" spans="1:14">
      <c r="A604" s="4"/>
      <c r="B604" s="4"/>
      <c r="C604" s="4"/>
      <c r="D604" s="4"/>
      <c r="E604" s="4"/>
      <c r="F604" s="4"/>
      <c r="G604" s="4"/>
      <c r="H604" s="4"/>
      <c r="J604" s="4"/>
      <c r="K604" s="4"/>
      <c r="L604" s="4"/>
      <c r="M604" s="4"/>
      <c r="N604" s="4"/>
    </row>
    <row r="605" spans="1:14">
      <c r="A605" s="4"/>
      <c r="B605" s="4"/>
      <c r="C605" s="4"/>
      <c r="D605" s="4"/>
      <c r="E605" s="4"/>
      <c r="F605" s="4"/>
      <c r="G605" s="4"/>
      <c r="H605" s="4"/>
      <c r="J605" s="4"/>
      <c r="K605" s="4"/>
      <c r="L605" s="4"/>
      <c r="M605" s="4"/>
      <c r="N605" s="4"/>
    </row>
    <row r="606" spans="1:14">
      <c r="A606" s="4"/>
      <c r="B606" s="4"/>
      <c r="C606" s="4"/>
      <c r="D606" s="4"/>
      <c r="E606" s="4"/>
      <c r="F606" s="4"/>
      <c r="G606" s="4"/>
      <c r="H606" s="4"/>
      <c r="J606" s="4"/>
      <c r="K606" s="4"/>
      <c r="L606" s="4"/>
      <c r="M606" s="4"/>
      <c r="N606" s="4"/>
    </row>
    <row r="607" spans="1:14">
      <c r="A607" s="4"/>
      <c r="B607" s="4"/>
      <c r="C607" s="4"/>
      <c r="D607" s="4"/>
      <c r="E607" s="4"/>
      <c r="F607" s="4"/>
      <c r="G607" s="4"/>
      <c r="H607" s="4"/>
      <c r="J607" s="4"/>
      <c r="K607" s="4"/>
      <c r="L607" s="4"/>
      <c r="M607" s="4"/>
      <c r="N607" s="4"/>
    </row>
    <row r="608" spans="1:14">
      <c r="A608" s="4"/>
      <c r="B608" s="4"/>
      <c r="C608" s="4"/>
      <c r="D608" s="4"/>
      <c r="E608" s="4"/>
      <c r="F608" s="4"/>
      <c r="G608" s="4"/>
      <c r="H608" s="4"/>
      <c r="J608" s="4"/>
      <c r="K608" s="4"/>
      <c r="L608" s="4"/>
      <c r="M608" s="4"/>
      <c r="N608" s="4"/>
    </row>
    <row r="609" spans="1:14">
      <c r="A609" s="4"/>
      <c r="B609" s="4"/>
      <c r="C609" s="4"/>
      <c r="D609" s="4"/>
      <c r="E609" s="4"/>
      <c r="F609" s="4"/>
      <c r="G609" s="4"/>
      <c r="H609" s="4"/>
      <c r="J609" s="4"/>
      <c r="K609" s="4"/>
      <c r="L609" s="4"/>
      <c r="M609" s="4"/>
      <c r="N609" s="4"/>
    </row>
    <row r="610" spans="1:14">
      <c r="A610" s="4"/>
      <c r="B610" s="4"/>
      <c r="C610" s="4"/>
      <c r="D610" s="4"/>
      <c r="E610" s="4"/>
      <c r="F610" s="4"/>
      <c r="G610" s="4"/>
      <c r="H610" s="4"/>
      <c r="J610" s="4"/>
      <c r="K610" s="4"/>
      <c r="L610" s="4"/>
      <c r="M610" s="4"/>
      <c r="N610" s="4"/>
    </row>
    <row r="611" spans="1:14">
      <c r="A611" s="4"/>
      <c r="B611" s="4"/>
      <c r="C611" s="4"/>
      <c r="D611" s="4"/>
      <c r="E611" s="4"/>
      <c r="F611" s="4"/>
      <c r="G611" s="4"/>
      <c r="H611" s="4"/>
      <c r="J611" s="4"/>
      <c r="K611" s="4"/>
      <c r="L611" s="4"/>
      <c r="M611" s="4"/>
      <c r="N611" s="4"/>
    </row>
    <row r="612" spans="1:14">
      <c r="A612" s="4"/>
      <c r="B612" s="4"/>
      <c r="C612" s="4"/>
      <c r="D612" s="4"/>
      <c r="E612" s="4"/>
      <c r="F612" s="4"/>
      <c r="G612" s="4"/>
      <c r="H612" s="4"/>
      <c r="J612" s="4"/>
      <c r="K612" s="4"/>
      <c r="L612" s="4"/>
      <c r="M612" s="4"/>
      <c r="N612" s="4"/>
    </row>
    <row r="613" spans="1:14">
      <c r="A613" s="4"/>
      <c r="B613" s="4"/>
      <c r="C613" s="4"/>
      <c r="D613" s="4"/>
      <c r="E613" s="4"/>
      <c r="F613" s="4"/>
      <c r="G613" s="4"/>
      <c r="H613" s="4"/>
      <c r="J613" s="4"/>
      <c r="K613" s="4"/>
      <c r="L613" s="4"/>
      <c r="M613" s="4"/>
      <c r="N613" s="4"/>
    </row>
    <row r="614" spans="1:14">
      <c r="A614" s="4"/>
      <c r="B614" s="4"/>
      <c r="C614" s="4"/>
      <c r="D614" s="4"/>
      <c r="E614" s="4"/>
      <c r="F614" s="4"/>
      <c r="G614" s="4"/>
      <c r="H614" s="4"/>
      <c r="J614" s="4"/>
      <c r="K614" s="4"/>
      <c r="L614" s="4"/>
      <c r="M614" s="4"/>
      <c r="N614" s="4"/>
    </row>
    <row r="615" spans="1:14">
      <c r="A615" s="4"/>
      <c r="B615" s="4"/>
      <c r="C615" s="4"/>
      <c r="D615" s="4"/>
      <c r="E615" s="4"/>
      <c r="F615" s="4"/>
      <c r="G615" s="4"/>
      <c r="H615" s="4"/>
      <c r="J615" s="4"/>
      <c r="K615" s="4"/>
      <c r="L615" s="4"/>
      <c r="M615" s="4"/>
      <c r="N615" s="4"/>
    </row>
    <row r="616" spans="1:14">
      <c r="A616" s="4"/>
      <c r="B616" s="4"/>
      <c r="C616" s="4"/>
      <c r="D616" s="4"/>
      <c r="E616" s="4"/>
      <c r="F616" s="4"/>
      <c r="G616" s="4"/>
      <c r="H616" s="4"/>
      <c r="J616" s="4"/>
      <c r="K616" s="4"/>
      <c r="L616" s="4"/>
      <c r="M616" s="4"/>
      <c r="N616" s="4"/>
    </row>
    <row r="617" spans="1:14">
      <c r="A617" s="4"/>
      <c r="B617" s="4"/>
      <c r="C617" s="4"/>
      <c r="D617" s="4"/>
      <c r="E617" s="4"/>
      <c r="F617" s="4"/>
      <c r="G617" s="4"/>
      <c r="H617" s="4"/>
      <c r="J617" s="4"/>
      <c r="K617" s="4"/>
      <c r="L617" s="4"/>
      <c r="M617" s="4"/>
      <c r="N617" s="4"/>
    </row>
    <row r="618" spans="1:14">
      <c r="A618" s="4"/>
      <c r="B618" s="4"/>
      <c r="C618" s="4"/>
      <c r="D618" s="4"/>
      <c r="E618" s="4"/>
      <c r="F618" s="4"/>
      <c r="G618" s="4"/>
      <c r="H618" s="4"/>
      <c r="J618" s="4"/>
      <c r="K618" s="4"/>
      <c r="L618" s="4"/>
      <c r="M618" s="4"/>
      <c r="N618" s="4"/>
    </row>
    <row r="619" spans="1:14">
      <c r="A619" s="4"/>
      <c r="B619" s="4"/>
      <c r="C619" s="4"/>
      <c r="D619" s="4"/>
      <c r="E619" s="4"/>
      <c r="F619" s="4"/>
      <c r="G619" s="4"/>
      <c r="H619" s="4"/>
      <c r="J619" s="4"/>
      <c r="K619" s="4"/>
      <c r="L619" s="4"/>
      <c r="M619" s="4"/>
      <c r="N619" s="4"/>
    </row>
    <row r="620" spans="1:14">
      <c r="A620" s="4"/>
      <c r="B620" s="4"/>
      <c r="C620" s="4"/>
      <c r="D620" s="4"/>
      <c r="E620" s="4"/>
      <c r="F620" s="4"/>
      <c r="G620" s="4"/>
      <c r="H620" s="4"/>
      <c r="J620" s="4"/>
      <c r="K620" s="4"/>
      <c r="L620" s="4"/>
      <c r="M620" s="4"/>
      <c r="N620" s="4"/>
    </row>
    <row r="621" spans="1:14">
      <c r="A621" s="4"/>
      <c r="B621" s="4"/>
      <c r="C621" s="4"/>
      <c r="D621" s="4"/>
      <c r="E621" s="4"/>
      <c r="F621" s="4"/>
      <c r="G621" s="4"/>
      <c r="H621" s="4"/>
      <c r="J621" s="4"/>
      <c r="K621" s="4"/>
      <c r="L621" s="4"/>
      <c r="M621" s="4"/>
      <c r="N621" s="4"/>
    </row>
    <row r="622" spans="1:14">
      <c r="A622" s="4"/>
      <c r="B622" s="4"/>
      <c r="C622" s="4"/>
      <c r="D622" s="4"/>
      <c r="E622" s="4"/>
      <c r="F622" s="4"/>
      <c r="G622" s="4"/>
      <c r="H622" s="4"/>
      <c r="J622" s="4"/>
      <c r="K622" s="4"/>
      <c r="L622" s="4"/>
      <c r="M622" s="4"/>
      <c r="N622" s="4"/>
    </row>
    <row r="623" spans="1:14">
      <c r="A623" s="4"/>
      <c r="B623" s="4"/>
      <c r="C623" s="4"/>
      <c r="D623" s="4"/>
      <c r="E623" s="4"/>
      <c r="F623" s="4"/>
      <c r="G623" s="4"/>
      <c r="H623" s="4"/>
      <c r="J623" s="4"/>
      <c r="K623" s="4"/>
      <c r="L623" s="4"/>
      <c r="M623" s="4"/>
      <c r="N623" s="4"/>
    </row>
    <row r="624" spans="1:14">
      <c r="A624" s="4"/>
      <c r="B624" s="4"/>
      <c r="C624" s="4"/>
      <c r="D624" s="4"/>
      <c r="E624" s="4"/>
      <c r="F624" s="4"/>
      <c r="G624" s="4"/>
      <c r="H624" s="4"/>
      <c r="J624" s="4"/>
      <c r="K624" s="4"/>
      <c r="L624" s="4"/>
      <c r="M624" s="4"/>
      <c r="N624" s="4"/>
    </row>
    <row r="625" spans="1:14">
      <c r="A625" s="4"/>
      <c r="B625" s="4"/>
      <c r="C625" s="4"/>
      <c r="D625" s="4"/>
      <c r="E625" s="4"/>
      <c r="F625" s="4"/>
      <c r="G625" s="4"/>
      <c r="H625" s="4"/>
      <c r="J625" s="4"/>
      <c r="K625" s="4"/>
      <c r="L625" s="4"/>
      <c r="M625" s="4"/>
      <c r="N625" s="4"/>
    </row>
    <row r="626" spans="1:14">
      <c r="A626" s="4"/>
      <c r="B626" s="4"/>
      <c r="C626" s="4"/>
      <c r="D626" s="4"/>
      <c r="E626" s="4"/>
      <c r="F626" s="4"/>
      <c r="G626" s="4"/>
      <c r="H626" s="4"/>
      <c r="J626" s="4"/>
      <c r="K626" s="4"/>
      <c r="L626" s="4"/>
      <c r="M626" s="4"/>
      <c r="N626" s="4"/>
    </row>
    <row r="627" spans="1:14">
      <c r="A627" s="4"/>
      <c r="B627" s="4"/>
      <c r="C627" s="4"/>
      <c r="D627" s="4"/>
      <c r="E627" s="4"/>
      <c r="F627" s="4"/>
      <c r="G627" s="4"/>
      <c r="H627" s="4"/>
      <c r="J627" s="4"/>
      <c r="K627" s="4"/>
      <c r="L627" s="4"/>
      <c r="M627" s="4"/>
      <c r="N627" s="4"/>
    </row>
    <row r="628" spans="1:14">
      <c r="A628" s="4"/>
      <c r="B628" s="4"/>
      <c r="C628" s="4"/>
      <c r="D628" s="4"/>
      <c r="E628" s="4"/>
      <c r="F628" s="4"/>
      <c r="G628" s="4"/>
      <c r="H628" s="4"/>
      <c r="J628" s="4"/>
      <c r="K628" s="4"/>
      <c r="L628" s="4"/>
      <c r="M628" s="4"/>
      <c r="N628" s="4"/>
    </row>
    <row r="629" spans="1:14">
      <c r="A629" s="4"/>
      <c r="B629" s="4"/>
      <c r="C629" s="4"/>
      <c r="D629" s="4"/>
      <c r="E629" s="4"/>
      <c r="F629" s="4"/>
      <c r="G629" s="4"/>
      <c r="H629" s="4"/>
      <c r="J629" s="4"/>
      <c r="K629" s="4"/>
      <c r="L629" s="4"/>
      <c r="M629" s="4"/>
      <c r="N629" s="4"/>
    </row>
    <row r="630" spans="1:14">
      <c r="A630" s="4"/>
      <c r="B630" s="4"/>
      <c r="C630" s="4"/>
      <c r="D630" s="4"/>
      <c r="E630" s="4"/>
      <c r="F630" s="4"/>
      <c r="G630" s="4"/>
      <c r="H630" s="4"/>
      <c r="J630" s="4"/>
      <c r="K630" s="4"/>
      <c r="L630" s="4"/>
      <c r="M630" s="4"/>
      <c r="N630" s="4"/>
    </row>
    <row r="631" spans="1:14">
      <c r="A631" s="4"/>
      <c r="B631" s="4"/>
      <c r="C631" s="4"/>
      <c r="D631" s="4"/>
      <c r="E631" s="4"/>
      <c r="F631" s="4"/>
      <c r="G631" s="4"/>
      <c r="H631" s="4"/>
      <c r="J631" s="4"/>
      <c r="K631" s="4"/>
      <c r="L631" s="4"/>
      <c r="M631" s="4"/>
      <c r="N631" s="4"/>
    </row>
    <row r="632" spans="1:14">
      <c r="A632" s="4"/>
      <c r="B632" s="4"/>
      <c r="C632" s="4"/>
      <c r="D632" s="4"/>
      <c r="E632" s="4"/>
      <c r="F632" s="4"/>
      <c r="G632" s="4"/>
      <c r="H632" s="4"/>
      <c r="J632" s="4"/>
      <c r="K632" s="4"/>
      <c r="L632" s="4"/>
      <c r="M632" s="4"/>
      <c r="N632" s="4"/>
    </row>
    <row r="633" spans="1:14">
      <c r="A633" s="4"/>
      <c r="B633" s="4"/>
      <c r="C633" s="4"/>
      <c r="D633" s="4"/>
      <c r="E633" s="4"/>
      <c r="F633" s="4"/>
      <c r="G633" s="4"/>
      <c r="H633" s="4"/>
      <c r="J633" s="4"/>
      <c r="K633" s="4"/>
      <c r="L633" s="4"/>
      <c r="M633" s="4"/>
      <c r="N633" s="4"/>
    </row>
    <row r="634" spans="1:14">
      <c r="A634" s="4"/>
      <c r="B634" s="4"/>
      <c r="C634" s="4"/>
      <c r="D634" s="4"/>
      <c r="E634" s="4"/>
      <c r="F634" s="4"/>
      <c r="G634" s="4"/>
      <c r="H634" s="4"/>
      <c r="J634" s="4"/>
      <c r="K634" s="4"/>
      <c r="L634" s="4"/>
      <c r="M634" s="4"/>
      <c r="N634" s="4"/>
    </row>
    <row r="635" spans="1:14">
      <c r="A635" s="4"/>
      <c r="B635" s="4"/>
      <c r="C635" s="4"/>
      <c r="D635" s="4"/>
      <c r="E635" s="4"/>
      <c r="F635" s="4"/>
      <c r="G635" s="4"/>
      <c r="H635" s="4"/>
      <c r="J635" s="4"/>
      <c r="K635" s="4"/>
      <c r="L635" s="4"/>
      <c r="M635" s="4"/>
      <c r="N635" s="4"/>
    </row>
    <row r="636" spans="1:14">
      <c r="A636" s="4"/>
      <c r="B636" s="4"/>
      <c r="C636" s="4"/>
      <c r="D636" s="4"/>
      <c r="E636" s="4"/>
      <c r="F636" s="4"/>
      <c r="G636" s="4"/>
      <c r="H636" s="4"/>
      <c r="J636" s="4"/>
      <c r="K636" s="4"/>
      <c r="L636" s="4"/>
      <c r="M636" s="4"/>
      <c r="N636" s="4"/>
    </row>
    <row r="637" spans="1:14">
      <c r="A637" s="4"/>
      <c r="B637" s="4"/>
      <c r="C637" s="4"/>
      <c r="D637" s="4"/>
      <c r="E637" s="4"/>
      <c r="F637" s="4"/>
      <c r="G637" s="4"/>
      <c r="H637" s="4"/>
      <c r="J637" s="4"/>
      <c r="K637" s="4"/>
      <c r="L637" s="4"/>
      <c r="M637" s="4"/>
      <c r="N637" s="4"/>
    </row>
    <row r="638" spans="1:14">
      <c r="A638" s="4"/>
      <c r="B638" s="4"/>
      <c r="C638" s="4"/>
      <c r="D638" s="4"/>
      <c r="E638" s="4"/>
      <c r="F638" s="4"/>
      <c r="G638" s="4"/>
      <c r="H638" s="4"/>
      <c r="J638" s="4"/>
      <c r="K638" s="4"/>
      <c r="L638" s="4"/>
      <c r="M638" s="4"/>
      <c r="N638" s="4"/>
    </row>
    <row r="639" spans="1:14">
      <c r="A639" s="4"/>
      <c r="B639" s="4"/>
      <c r="C639" s="4"/>
      <c r="D639" s="4"/>
      <c r="E639" s="4"/>
      <c r="F639" s="4"/>
      <c r="G639" s="4"/>
      <c r="H639" s="4"/>
      <c r="J639" s="4"/>
      <c r="K639" s="4"/>
      <c r="L639" s="4"/>
      <c r="M639" s="4"/>
      <c r="N639" s="4"/>
    </row>
    <row r="640" spans="1:14">
      <c r="A640" s="4"/>
      <c r="B640" s="4"/>
      <c r="C640" s="4"/>
      <c r="D640" s="4"/>
      <c r="E640" s="4"/>
      <c r="F640" s="4"/>
      <c r="G640" s="4"/>
      <c r="H640" s="4"/>
      <c r="J640" s="4"/>
      <c r="K640" s="4"/>
      <c r="L640" s="4"/>
      <c r="M640" s="4"/>
      <c r="N640" s="4"/>
    </row>
    <row r="641" spans="1:14">
      <c r="A641" s="4"/>
      <c r="B641" s="4"/>
      <c r="C641" s="4"/>
      <c r="D641" s="4"/>
      <c r="E641" s="4"/>
      <c r="F641" s="4"/>
      <c r="G641" s="4"/>
      <c r="H641" s="4"/>
      <c r="J641" s="4"/>
      <c r="K641" s="4"/>
      <c r="L641" s="4"/>
      <c r="M641" s="4"/>
      <c r="N641" s="4"/>
    </row>
    <row r="642" spans="1:14">
      <c r="A642" s="4"/>
      <c r="B642" s="4"/>
      <c r="C642" s="4"/>
      <c r="D642" s="4"/>
      <c r="E642" s="4"/>
      <c r="F642" s="4"/>
      <c r="G642" s="4"/>
      <c r="H642" s="4"/>
      <c r="J642" s="4"/>
      <c r="K642" s="4"/>
      <c r="L642" s="4"/>
      <c r="M642" s="4"/>
      <c r="N642" s="4"/>
    </row>
    <row r="643" spans="1:14">
      <c r="A643" s="4"/>
      <c r="B643" s="4"/>
      <c r="C643" s="4"/>
      <c r="D643" s="4"/>
      <c r="E643" s="4"/>
      <c r="F643" s="4"/>
      <c r="G643" s="4"/>
      <c r="H643" s="4"/>
      <c r="J643" s="4"/>
      <c r="K643" s="4"/>
      <c r="L643" s="4"/>
      <c r="M643" s="4"/>
      <c r="N643" s="4"/>
    </row>
    <row r="644" spans="1:14">
      <c r="A644" s="4"/>
      <c r="B644" s="4"/>
      <c r="C644" s="4"/>
      <c r="D644" s="4"/>
      <c r="E644" s="4"/>
      <c r="F644" s="4"/>
      <c r="G644" s="4"/>
      <c r="H644" s="4"/>
      <c r="J644" s="4"/>
      <c r="K644" s="4"/>
      <c r="L644" s="4"/>
      <c r="M644" s="4"/>
      <c r="N644" s="4"/>
    </row>
    <row r="645" spans="1:14">
      <c r="A645" s="4"/>
      <c r="B645" s="4"/>
      <c r="C645" s="4"/>
      <c r="D645" s="4"/>
      <c r="E645" s="4"/>
      <c r="F645" s="4"/>
      <c r="G645" s="4"/>
      <c r="H645" s="4"/>
      <c r="J645" s="4"/>
      <c r="K645" s="4"/>
      <c r="L645" s="4"/>
      <c r="M645" s="4"/>
      <c r="N645" s="4"/>
    </row>
    <row r="646" spans="1:14">
      <c r="A646" s="4"/>
      <c r="B646" s="4"/>
      <c r="C646" s="4"/>
      <c r="D646" s="4"/>
      <c r="E646" s="4"/>
      <c r="F646" s="4"/>
      <c r="G646" s="4"/>
      <c r="H646" s="4"/>
      <c r="J646" s="4"/>
      <c r="K646" s="4"/>
      <c r="L646" s="4"/>
      <c r="M646" s="4"/>
      <c r="N646" s="4"/>
    </row>
    <row r="647" spans="1:14">
      <c r="A647" s="4"/>
      <c r="B647" s="4"/>
      <c r="C647" s="4"/>
      <c r="D647" s="4"/>
      <c r="E647" s="4"/>
      <c r="F647" s="4"/>
      <c r="G647" s="4"/>
      <c r="H647" s="4"/>
      <c r="J647" s="4"/>
      <c r="K647" s="4"/>
      <c r="L647" s="4"/>
      <c r="M647" s="4"/>
      <c r="N647" s="4"/>
    </row>
    <row r="648" spans="1:14">
      <c r="A648" s="4"/>
      <c r="B648" s="4"/>
      <c r="C648" s="4"/>
      <c r="D648" s="4"/>
      <c r="E648" s="4"/>
      <c r="F648" s="4"/>
      <c r="G648" s="4"/>
      <c r="H648" s="4"/>
      <c r="J648" s="4"/>
      <c r="K648" s="4"/>
      <c r="L648" s="4"/>
      <c r="M648" s="4"/>
      <c r="N648" s="4"/>
    </row>
    <row r="649" spans="1:14">
      <c r="A649" s="4"/>
      <c r="B649" s="4"/>
      <c r="C649" s="4"/>
      <c r="D649" s="4"/>
      <c r="E649" s="4"/>
      <c r="F649" s="4"/>
      <c r="G649" s="4"/>
      <c r="H649" s="4"/>
      <c r="J649" s="4"/>
      <c r="K649" s="4"/>
      <c r="L649" s="4"/>
      <c r="M649" s="4"/>
      <c r="N649" s="4"/>
    </row>
    <row r="650" spans="1:14">
      <c r="A650" s="4"/>
      <c r="B650" s="4"/>
      <c r="C650" s="4"/>
      <c r="D650" s="4"/>
      <c r="E650" s="4"/>
      <c r="F650" s="4"/>
      <c r="G650" s="4"/>
      <c r="H650" s="4"/>
      <c r="J650" s="4"/>
      <c r="K650" s="4"/>
      <c r="L650" s="4"/>
      <c r="M650" s="4"/>
      <c r="N650" s="4"/>
    </row>
    <row r="651" spans="1:14">
      <c r="A651" s="4"/>
      <c r="B651" s="4"/>
      <c r="C651" s="4"/>
      <c r="D651" s="4"/>
      <c r="E651" s="4"/>
      <c r="F651" s="4"/>
      <c r="G651" s="4"/>
      <c r="H651" s="4"/>
      <c r="J651" s="4"/>
      <c r="K651" s="4"/>
      <c r="L651" s="4"/>
      <c r="M651" s="4"/>
      <c r="N651" s="4"/>
    </row>
    <row r="652" spans="1:14">
      <c r="A652" s="4"/>
      <c r="B652" s="4"/>
      <c r="C652" s="4"/>
      <c r="D652" s="4"/>
      <c r="E652" s="4"/>
      <c r="F652" s="4"/>
      <c r="G652" s="4"/>
      <c r="H652" s="4"/>
      <c r="J652" s="4"/>
      <c r="K652" s="4"/>
      <c r="L652" s="4"/>
      <c r="M652" s="4"/>
      <c r="N652" s="4"/>
    </row>
    <row r="653" spans="1:14">
      <c r="A653" s="4"/>
      <c r="B653" s="4"/>
      <c r="C653" s="4"/>
      <c r="D653" s="4"/>
      <c r="E653" s="4"/>
      <c r="F653" s="4"/>
      <c r="G653" s="4"/>
      <c r="H653" s="4"/>
      <c r="J653" s="4"/>
      <c r="K653" s="4"/>
      <c r="L653" s="4"/>
      <c r="M653" s="4"/>
      <c r="N653" s="4"/>
    </row>
    <row r="654" spans="1:14">
      <c r="A654" s="4"/>
      <c r="B654" s="4"/>
      <c r="C654" s="4"/>
      <c r="D654" s="4"/>
      <c r="E654" s="4"/>
      <c r="F654" s="4"/>
      <c r="G654" s="4"/>
      <c r="H654" s="4"/>
      <c r="J654" s="4"/>
      <c r="K654" s="4"/>
      <c r="L654" s="4"/>
      <c r="M654" s="4"/>
      <c r="N654" s="4"/>
    </row>
    <row r="655" spans="1:14">
      <c r="A655" s="4"/>
      <c r="B655" s="4"/>
      <c r="C655" s="4"/>
      <c r="D655" s="4"/>
      <c r="E655" s="4"/>
      <c r="F655" s="4"/>
      <c r="G655" s="4"/>
      <c r="H655" s="4"/>
      <c r="J655" s="4"/>
      <c r="K655" s="4"/>
      <c r="L655" s="4"/>
      <c r="M655" s="4"/>
      <c r="N655" s="4"/>
    </row>
    <row r="656" spans="1:14">
      <c r="A656" s="4"/>
      <c r="B656" s="4"/>
      <c r="C656" s="4"/>
      <c r="D656" s="4"/>
      <c r="E656" s="4"/>
      <c r="F656" s="4"/>
      <c r="G656" s="4"/>
      <c r="H656" s="4"/>
      <c r="J656" s="4"/>
      <c r="K656" s="4"/>
      <c r="L656" s="4"/>
      <c r="M656" s="4"/>
      <c r="N656" s="4"/>
    </row>
    <row r="657" spans="1:14">
      <c r="A657" s="4"/>
      <c r="B657" s="4"/>
      <c r="C657" s="4"/>
      <c r="D657" s="4"/>
      <c r="E657" s="4"/>
      <c r="F657" s="4"/>
      <c r="G657" s="4"/>
      <c r="H657" s="4"/>
      <c r="J657" s="4"/>
      <c r="K657" s="4"/>
      <c r="L657" s="4"/>
      <c r="M657" s="4"/>
      <c r="N657" s="4"/>
    </row>
    <row r="658" spans="1:14">
      <c r="A658" s="4"/>
      <c r="B658" s="4"/>
      <c r="C658" s="4"/>
      <c r="D658" s="4"/>
      <c r="E658" s="4"/>
      <c r="F658" s="4"/>
      <c r="G658" s="4"/>
      <c r="H658" s="4"/>
      <c r="J658" s="4"/>
      <c r="K658" s="4"/>
      <c r="L658" s="4"/>
      <c r="M658" s="4"/>
      <c r="N658" s="4"/>
    </row>
    <row r="659" spans="1:14">
      <c r="A659" s="4"/>
      <c r="B659" s="4"/>
      <c r="C659" s="4"/>
      <c r="D659" s="4"/>
      <c r="E659" s="4"/>
      <c r="F659" s="4"/>
      <c r="G659" s="4"/>
      <c r="H659" s="4"/>
      <c r="J659" s="4"/>
      <c r="K659" s="4"/>
      <c r="L659" s="4"/>
      <c r="M659" s="4"/>
      <c r="N659" s="4"/>
    </row>
    <row r="660" spans="1:14">
      <c r="A660" s="4"/>
      <c r="B660" s="4"/>
      <c r="C660" s="4"/>
      <c r="D660" s="4"/>
      <c r="E660" s="4"/>
      <c r="F660" s="4"/>
      <c r="G660" s="4"/>
      <c r="H660" s="4"/>
      <c r="J660" s="4"/>
      <c r="K660" s="4"/>
      <c r="L660" s="4"/>
      <c r="M660" s="4"/>
      <c r="N660" s="4"/>
    </row>
    <row r="661" spans="1:14">
      <c r="A661" s="4"/>
      <c r="B661" s="4"/>
      <c r="C661" s="4"/>
      <c r="D661" s="4"/>
      <c r="E661" s="4"/>
      <c r="F661" s="4"/>
      <c r="G661" s="4"/>
      <c r="H661" s="4"/>
      <c r="J661" s="4"/>
      <c r="K661" s="4"/>
      <c r="L661" s="4"/>
      <c r="M661" s="4"/>
      <c r="N661" s="4"/>
    </row>
    <row r="662" spans="1:14">
      <c r="A662" s="4"/>
      <c r="B662" s="4"/>
      <c r="C662" s="4"/>
      <c r="D662" s="4"/>
      <c r="E662" s="4"/>
      <c r="F662" s="4"/>
      <c r="G662" s="4"/>
      <c r="H662" s="4"/>
      <c r="J662" s="4"/>
      <c r="K662" s="4"/>
      <c r="L662" s="4"/>
      <c r="M662" s="4"/>
      <c r="N662" s="4"/>
    </row>
    <row r="663" spans="1:14">
      <c r="A663" s="4"/>
      <c r="B663" s="4"/>
      <c r="C663" s="4"/>
      <c r="D663" s="4"/>
      <c r="E663" s="4"/>
      <c r="F663" s="4"/>
      <c r="G663" s="4"/>
      <c r="H663" s="4"/>
      <c r="J663" s="4"/>
      <c r="K663" s="4"/>
      <c r="L663" s="4"/>
      <c r="M663" s="4"/>
      <c r="N663" s="4"/>
    </row>
    <row r="664" spans="1:14">
      <c r="A664" s="4"/>
      <c r="B664" s="4"/>
      <c r="C664" s="4"/>
      <c r="D664" s="4"/>
      <c r="E664" s="4"/>
      <c r="F664" s="4"/>
      <c r="G664" s="4"/>
      <c r="H664" s="4"/>
      <c r="J664" s="4"/>
      <c r="K664" s="4"/>
      <c r="L664" s="4"/>
      <c r="M664" s="4"/>
      <c r="N664" s="4"/>
    </row>
  </sheetData>
  <phoneticPr fontId="13" type="noConversion"/>
  <dataValidations count="1">
    <dataValidation type="list" allowBlank="1" showInputMessage="1" showErrorMessage="1" sqref="C9:C664 C2 C4" xr:uid="{00000000-0002-0000-10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B9:B664 B2 B4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D9:D664 D2:D6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E9:E664 E2:E6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M9:M664 M2:M6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N9:N664 N2:N6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4"/>
  <cols>
    <col min="1" max="1" width="5.33203125" customWidth="1"/>
    <col min="2" max="2" width="6.88671875" customWidth="1"/>
    <col min="3" max="3" width="6.44140625" customWidth="1"/>
    <col min="4" max="4" width="11.44140625" customWidth="1"/>
    <col min="5" max="5" width="8.88671875" customWidth="1"/>
    <col min="6" max="6" width="8.21875" customWidth="1"/>
    <col min="7" max="7" width="10.109375" customWidth="1"/>
    <col min="8" max="8" width="6.88671875" customWidth="1"/>
    <col min="9" max="9" width="10.21875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554687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D97-F4B2-4ECC-B366-4EE797476A02}">
  <sheetPr>
    <tabColor rgb="FFFFFF00"/>
  </sheetPr>
  <dimension ref="A1:N9"/>
  <sheetViews>
    <sheetView topLeftCell="A5" workbookViewId="0">
      <selection activeCell="A2" sqref="A2:N9"/>
    </sheetView>
  </sheetViews>
  <sheetFormatPr defaultRowHeight="14.4"/>
  <cols>
    <col min="1" max="1" width="5.33203125" bestFit="1" customWidth="1"/>
    <col min="2" max="2" width="8.6640625" bestFit="1" customWidth="1"/>
    <col min="3" max="3" width="9.6640625" bestFit="1" customWidth="1"/>
    <col min="4" max="4" width="9" bestFit="1" customWidth="1"/>
    <col min="5" max="5" width="10.88671875" bestFit="1" customWidth="1"/>
    <col min="6" max="6" width="10.21875" bestFit="1" customWidth="1"/>
    <col min="7" max="7" width="35" bestFit="1" customWidth="1"/>
    <col min="8" max="8" width="11.77734375" bestFit="1" customWidth="1"/>
    <col min="9" max="9" width="11.5546875" bestFit="1" customWidth="1"/>
    <col min="10" max="10" width="10.109375" bestFit="1" customWidth="1"/>
    <col min="11" max="11" width="11.21875" bestFit="1" customWidth="1"/>
    <col min="12" max="12" width="10.77734375" bestFit="1" customWidth="1"/>
    <col min="13" max="13" width="6.5546875" bestFit="1" customWidth="1"/>
    <col min="14" max="14" width="4.77734375" bestFit="1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16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4">
        <v>1</v>
      </c>
      <c r="B2" s="4" t="s">
        <v>54</v>
      </c>
      <c r="C2" s="4" t="s">
        <v>55</v>
      </c>
      <c r="D2" s="4" t="s">
        <v>60</v>
      </c>
      <c r="E2" s="4" t="s">
        <v>413</v>
      </c>
      <c r="F2" s="4"/>
      <c r="G2" s="4" t="s">
        <v>296</v>
      </c>
      <c r="H2" s="4" t="s">
        <v>413</v>
      </c>
      <c r="I2" s="39">
        <v>19000</v>
      </c>
      <c r="J2" s="4" t="s">
        <v>409</v>
      </c>
      <c r="K2" s="16">
        <v>45848</v>
      </c>
      <c r="L2" s="4">
        <v>2025402302</v>
      </c>
      <c r="M2" s="4" t="s">
        <v>225</v>
      </c>
      <c r="N2" s="4">
        <v>2025</v>
      </c>
    </row>
    <row r="3" spans="1:14">
      <c r="A3" s="4">
        <v>2</v>
      </c>
      <c r="B3" s="4" t="s">
        <v>54</v>
      </c>
      <c r="C3" s="4" t="s">
        <v>55</v>
      </c>
      <c r="D3" s="4" t="s">
        <v>60</v>
      </c>
      <c r="E3" s="4" t="s">
        <v>413</v>
      </c>
      <c r="F3" s="4"/>
      <c r="G3" s="4" t="s">
        <v>296</v>
      </c>
      <c r="H3" s="4" t="s">
        <v>413</v>
      </c>
      <c r="I3" s="39">
        <v>4500</v>
      </c>
      <c r="J3" s="4" t="s">
        <v>410</v>
      </c>
      <c r="K3" s="16">
        <v>45848</v>
      </c>
      <c r="L3" s="4">
        <v>2025402302</v>
      </c>
      <c r="M3" s="4" t="s">
        <v>225</v>
      </c>
      <c r="N3" s="4">
        <v>2025</v>
      </c>
    </row>
    <row r="4" spans="1:14">
      <c r="A4" s="4">
        <v>3</v>
      </c>
      <c r="B4" s="4" t="s">
        <v>54</v>
      </c>
      <c r="C4" s="4" t="s">
        <v>55</v>
      </c>
      <c r="D4" s="4" t="s">
        <v>60</v>
      </c>
      <c r="E4" s="4" t="s">
        <v>413</v>
      </c>
      <c r="F4" s="4"/>
      <c r="G4" s="4" t="s">
        <v>268</v>
      </c>
      <c r="H4" s="4" t="s">
        <v>413</v>
      </c>
      <c r="I4" s="39">
        <v>6000</v>
      </c>
      <c r="J4" s="4" t="s">
        <v>249</v>
      </c>
      <c r="K4" s="16">
        <v>45970</v>
      </c>
      <c r="L4" s="4">
        <v>2025404029</v>
      </c>
      <c r="M4" s="4" t="s">
        <v>225</v>
      </c>
      <c r="N4" s="4">
        <v>2025</v>
      </c>
    </row>
    <row r="5" spans="1:14">
      <c r="A5" s="4">
        <v>4</v>
      </c>
      <c r="B5" s="4" t="s">
        <v>54</v>
      </c>
      <c r="C5" s="4" t="s">
        <v>55</v>
      </c>
      <c r="D5" s="4" t="s">
        <v>60</v>
      </c>
      <c r="E5" s="4" t="s">
        <v>413</v>
      </c>
      <c r="F5" s="4"/>
      <c r="G5" s="4" t="s">
        <v>241</v>
      </c>
      <c r="H5" s="4" t="s">
        <v>413</v>
      </c>
      <c r="I5" s="39">
        <v>2000</v>
      </c>
      <c r="J5" s="4" t="s">
        <v>411</v>
      </c>
      <c r="K5" s="16">
        <v>45990</v>
      </c>
      <c r="L5" s="4">
        <v>2025404178</v>
      </c>
      <c r="M5" s="4" t="s">
        <v>225</v>
      </c>
      <c r="N5" s="4">
        <v>2025</v>
      </c>
    </row>
    <row r="6" spans="1:14">
      <c r="B6" s="4" t="s">
        <v>54</v>
      </c>
      <c r="C6" s="4" t="s">
        <v>55</v>
      </c>
      <c r="D6" s="4" t="s">
        <v>60</v>
      </c>
      <c r="E6" s="4" t="s">
        <v>413</v>
      </c>
      <c r="G6" t="s">
        <v>408</v>
      </c>
      <c r="H6" s="4" t="s">
        <v>413</v>
      </c>
      <c r="I6" s="39">
        <v>2062.9370629370628</v>
      </c>
      <c r="J6" t="s">
        <v>412</v>
      </c>
      <c r="K6" s="58">
        <v>45964</v>
      </c>
      <c r="L6">
        <v>2025403975</v>
      </c>
      <c r="M6" s="4" t="s">
        <v>225</v>
      </c>
      <c r="N6" s="4">
        <v>2025</v>
      </c>
    </row>
    <row r="7" spans="1:14">
      <c r="B7" s="4" t="s">
        <v>54</v>
      </c>
      <c r="C7" s="4" t="s">
        <v>55</v>
      </c>
      <c r="D7" s="4" t="s">
        <v>60</v>
      </c>
      <c r="E7" s="4" t="s">
        <v>413</v>
      </c>
      <c r="G7" t="s">
        <v>128</v>
      </c>
      <c r="H7" s="4" t="s">
        <v>413</v>
      </c>
      <c r="I7" s="63">
        <v>1390</v>
      </c>
      <c r="J7" t="s">
        <v>414</v>
      </c>
      <c r="K7" s="58">
        <v>45985</v>
      </c>
      <c r="L7">
        <v>2025404210</v>
      </c>
      <c r="M7" s="4" t="s">
        <v>225</v>
      </c>
      <c r="N7" s="4">
        <v>2025</v>
      </c>
    </row>
    <row r="8" spans="1:14">
      <c r="B8" s="4" t="s">
        <v>54</v>
      </c>
      <c r="C8" s="4" t="s">
        <v>55</v>
      </c>
      <c r="D8" s="4" t="s">
        <v>60</v>
      </c>
      <c r="E8" s="4" t="s">
        <v>413</v>
      </c>
      <c r="G8" t="s">
        <v>128</v>
      </c>
      <c r="H8" s="4" t="s">
        <v>413</v>
      </c>
      <c r="I8" s="63">
        <v>3600.1</v>
      </c>
      <c r="J8" t="s">
        <v>415</v>
      </c>
      <c r="K8" s="58">
        <v>45987</v>
      </c>
      <c r="L8">
        <v>2025404247</v>
      </c>
      <c r="M8" s="4" t="s">
        <v>225</v>
      </c>
      <c r="N8" s="4">
        <v>2025</v>
      </c>
    </row>
    <row r="9" spans="1:14">
      <c r="B9" s="4" t="s">
        <v>54</v>
      </c>
      <c r="C9" s="4" t="s">
        <v>55</v>
      </c>
      <c r="D9" s="4" t="s">
        <v>60</v>
      </c>
      <c r="E9" s="4" t="s">
        <v>413</v>
      </c>
      <c r="G9" s="4" t="s">
        <v>21</v>
      </c>
      <c r="H9" t="s">
        <v>612</v>
      </c>
      <c r="I9" s="39">
        <f>107500000/1430</f>
        <v>75174.825174825179</v>
      </c>
      <c r="J9" t="s">
        <v>14</v>
      </c>
      <c r="K9" t="s">
        <v>14</v>
      </c>
      <c r="L9" t="s">
        <v>14</v>
      </c>
      <c r="M9" s="4" t="s">
        <v>225</v>
      </c>
      <c r="N9" s="4">
        <v>2025</v>
      </c>
    </row>
  </sheetData>
  <dataValidations count="1">
    <dataValidation type="list" allowBlank="1" showInputMessage="1" showErrorMessage="1" sqref="C2:C8" xr:uid="{85B588A3-0488-422B-B533-F36D78599AC1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21A9BC-6907-4247-9C7C-06FEC6139895}">
          <x14:formula1>
            <xm:f>List!$J$2:$J$4</xm:f>
          </x14:formula1>
          <xm:sqref>N2:N9</xm:sqref>
        </x14:dataValidation>
        <x14:dataValidation type="list" allowBlank="1" showInputMessage="1" showErrorMessage="1" xr:uid="{F5C8B71D-99B2-4D31-961E-00A2D6872B9F}">
          <x14:formula1>
            <xm:f>List!$H$2:$H$13</xm:f>
          </x14:formula1>
          <xm:sqref>M2:M8</xm:sqref>
        </x14:dataValidation>
        <x14:dataValidation type="list" allowBlank="1" showInputMessage="1" showErrorMessage="1" xr:uid="{CC450906-F721-4152-9D7B-3079E74ECB6E}">
          <x14:formula1>
            <xm:f>List!$C$2:$C$3</xm:f>
          </x14:formula1>
          <xm:sqref>D2:D9</xm:sqref>
        </x14:dataValidation>
        <x14:dataValidation type="list" allowBlank="1" showInputMessage="1" showErrorMessage="1" xr:uid="{2C052925-5688-406A-8AE6-43B5D56FEB99}">
          <x14:formula1>
            <xm:f>List!$P$2:$P$11</xm:f>
          </x14:formula1>
          <xm:sqref>B2:B8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0"/>
  <sheetViews>
    <sheetView topLeftCell="B1" workbookViewId="0">
      <selection activeCell="B11" sqref="B11"/>
    </sheetView>
  </sheetViews>
  <sheetFormatPr defaultColWidth="9" defaultRowHeight="14.4"/>
  <cols>
    <col min="1" max="1" width="19.44140625" customWidth="1"/>
    <col min="2" max="9" width="16.88671875" customWidth="1"/>
    <col min="10" max="11" width="13.88671875" customWidth="1"/>
    <col min="12" max="12" width="12.77734375" customWidth="1"/>
    <col min="13" max="13" width="20.5546875" customWidth="1"/>
    <col min="14" max="14" width="18.21875" customWidth="1"/>
    <col min="15" max="15" width="15.109375" customWidth="1"/>
  </cols>
  <sheetData>
    <row r="1" spans="1:1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78</v>
      </c>
      <c r="G1" s="1" t="s">
        <v>82</v>
      </c>
      <c r="H1" s="1" t="s">
        <v>109</v>
      </c>
      <c r="I1" s="1" t="s">
        <v>134</v>
      </c>
      <c r="J1" s="1" t="s">
        <v>97</v>
      </c>
      <c r="K1" s="1" t="s">
        <v>57</v>
      </c>
      <c r="L1" s="1" t="s">
        <v>135</v>
      </c>
      <c r="M1" s="1" t="s">
        <v>85</v>
      </c>
      <c r="N1" s="1" t="s">
        <v>136</v>
      </c>
      <c r="O1" s="1" t="s">
        <v>137</v>
      </c>
      <c r="P1" s="1" t="s">
        <v>138</v>
      </c>
    </row>
    <row r="2" spans="1:16">
      <c r="A2" s="2" t="s">
        <v>139</v>
      </c>
      <c r="B2" s="51" t="s">
        <v>140</v>
      </c>
      <c r="C2" s="2" t="s">
        <v>141</v>
      </c>
      <c r="D2" s="51" t="s">
        <v>142</v>
      </c>
      <c r="E2" s="2" t="s">
        <v>143</v>
      </c>
      <c r="F2" s="2" t="s">
        <v>144</v>
      </c>
      <c r="G2" s="2" t="s">
        <v>145</v>
      </c>
      <c r="H2" s="3" t="s">
        <v>146</v>
      </c>
      <c r="I2" s="2" t="s">
        <v>147</v>
      </c>
      <c r="J2" s="2" t="s">
        <v>148</v>
      </c>
      <c r="K2" s="2" t="s">
        <v>149</v>
      </c>
      <c r="L2" s="2" t="s">
        <v>150</v>
      </c>
      <c r="M2" s="2" t="s">
        <v>151</v>
      </c>
      <c r="N2" s="2" t="s">
        <v>152</v>
      </c>
      <c r="O2" s="2" t="s">
        <v>153</v>
      </c>
      <c r="P2" s="2" t="s">
        <v>154</v>
      </c>
    </row>
    <row r="3" spans="1:16">
      <c r="A3" s="2" t="s">
        <v>155</v>
      </c>
      <c r="B3" s="51" t="s">
        <v>156</v>
      </c>
      <c r="C3" s="2" t="s">
        <v>157</v>
      </c>
      <c r="D3" s="51" t="s">
        <v>158</v>
      </c>
      <c r="E3" s="2" t="s">
        <v>159</v>
      </c>
      <c r="F3" s="2" t="s">
        <v>160</v>
      </c>
      <c r="G3" s="2" t="s">
        <v>161</v>
      </c>
      <c r="I3" s="2" t="s">
        <v>162</v>
      </c>
      <c r="J3" s="2" t="s">
        <v>163</v>
      </c>
      <c r="K3" s="2" t="s">
        <v>164</v>
      </c>
      <c r="L3" s="2" t="s">
        <v>165</v>
      </c>
      <c r="M3" s="5" t="s">
        <v>86</v>
      </c>
      <c r="N3" s="2"/>
    </row>
    <row r="4" spans="1:16">
      <c r="A4" s="2" t="s">
        <v>166</v>
      </c>
      <c r="B4" s="2" t="s">
        <v>167</v>
      </c>
      <c r="C4" s="2" t="s">
        <v>168</v>
      </c>
      <c r="D4" s="51" t="s">
        <v>169</v>
      </c>
      <c r="F4" s="2" t="s">
        <v>170</v>
      </c>
      <c r="G4" s="2" t="s">
        <v>171</v>
      </c>
      <c r="I4" s="2" t="s">
        <v>172</v>
      </c>
      <c r="J4" s="2" t="s">
        <v>173</v>
      </c>
      <c r="K4" s="2" t="s">
        <v>174</v>
      </c>
      <c r="L4" s="2" t="s">
        <v>175</v>
      </c>
    </row>
    <row r="5" spans="1:16">
      <c r="A5" s="2" t="s">
        <v>176</v>
      </c>
      <c r="B5" s="2" t="s">
        <v>177</v>
      </c>
      <c r="C5" s="2" t="s">
        <v>178</v>
      </c>
      <c r="D5" s="2" t="s">
        <v>179</v>
      </c>
      <c r="J5" s="2" t="s">
        <v>170</v>
      </c>
      <c r="K5" s="2" t="s">
        <v>180</v>
      </c>
      <c r="L5" s="2" t="s">
        <v>181</v>
      </c>
    </row>
    <row r="6" spans="1:16">
      <c r="A6" s="2" t="s">
        <v>182</v>
      </c>
      <c r="B6" s="2" t="s">
        <v>183</v>
      </c>
      <c r="D6" s="2" t="s">
        <v>184</v>
      </c>
      <c r="L6" s="2" t="s">
        <v>185</v>
      </c>
    </row>
    <row r="7" spans="1:16">
      <c r="A7" s="2" t="s">
        <v>186</v>
      </c>
      <c r="B7" s="2" t="s">
        <v>187</v>
      </c>
      <c r="D7" s="2" t="s">
        <v>188</v>
      </c>
    </row>
    <row r="8" spans="1:16">
      <c r="A8" s="2" t="s">
        <v>189</v>
      </c>
      <c r="B8" s="2" t="s">
        <v>190</v>
      </c>
      <c r="D8" s="2" t="s">
        <v>191</v>
      </c>
    </row>
    <row r="9" spans="1:16">
      <c r="A9" s="2" t="s">
        <v>192</v>
      </c>
      <c r="B9" s="5" t="s">
        <v>113</v>
      </c>
      <c r="C9" s="4"/>
      <c r="D9" s="2" t="s">
        <v>193</v>
      </c>
      <c r="E9" s="4"/>
    </row>
    <row r="10" spans="1:16">
      <c r="A10" s="2" t="s">
        <v>194</v>
      </c>
      <c r="B10" s="5" t="s">
        <v>195</v>
      </c>
      <c r="C10" s="4"/>
      <c r="D10" s="2" t="s">
        <v>196</v>
      </c>
      <c r="E10" s="4"/>
    </row>
    <row r="11" spans="1:16">
      <c r="B11" s="71" t="s">
        <v>197</v>
      </c>
      <c r="C11" s="4"/>
      <c r="D11" s="2" t="s">
        <v>198</v>
      </c>
      <c r="E11" s="4"/>
      <c r="I11" s="4"/>
      <c r="J11" s="4"/>
      <c r="K11" s="4"/>
    </row>
    <row r="12" spans="1:16">
      <c r="B12" s="5" t="s">
        <v>199</v>
      </c>
      <c r="C12" s="4"/>
      <c r="D12" s="2" t="s">
        <v>200</v>
      </c>
      <c r="E12" s="4"/>
      <c r="I12" s="4"/>
      <c r="J12" s="4"/>
      <c r="K12" s="4"/>
    </row>
    <row r="13" spans="1:16">
      <c r="B13" s="5" t="s">
        <v>201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202</v>
      </c>
      <c r="I14" s="4"/>
      <c r="J14" s="4"/>
      <c r="K14" s="4"/>
    </row>
    <row r="15" spans="1:16">
      <c r="B15" s="5" t="s">
        <v>203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70" t="s">
        <v>616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4"/>
  <cols>
    <col min="1" max="1" width="11.109375" customWidth="1"/>
    <col min="2" max="2" width="18.109375" customWidth="1"/>
    <col min="3" max="3" width="12.33203125" customWidth="1"/>
    <col min="4" max="4" width="3.5546875" customWidth="1"/>
    <col min="5" max="5" width="31.44140625" customWidth="1"/>
    <col min="6" max="7" width="3.5546875" customWidth="1"/>
    <col min="8" max="8" width="9.109375" customWidth="1"/>
    <col min="9" max="9" width="3.5546875" customWidth="1"/>
    <col min="10" max="10" width="7.109375" customWidth="1"/>
    <col min="16" max="16" width="11.109375" customWidth="1"/>
    <col min="18" max="18" width="12.33203125" customWidth="1"/>
    <col min="19" max="19" width="3.5546875" customWidth="1"/>
    <col min="20" max="20" width="12.33203125" customWidth="1"/>
    <col min="21" max="21" width="3.5546875" customWidth="1"/>
    <col min="22" max="22" width="12.33203125" customWidth="1"/>
    <col min="23" max="23" width="3.5546875" customWidth="1"/>
    <col min="24" max="24" width="12.33203125" customWidth="1"/>
    <col min="25" max="25" width="3.5546875" customWidth="1"/>
    <col min="26" max="26" width="12.33203125" customWidth="1"/>
    <col min="27" max="27" width="3.5546875" customWidth="1"/>
    <col min="28" max="28" width="12.33203125" customWidth="1"/>
    <col min="29" max="29" width="3.5546875" customWidth="1"/>
    <col min="30" max="30" width="12.33203125" customWidth="1"/>
    <col min="31" max="31" width="3.5546875" customWidth="1"/>
    <col min="32" max="32" width="12.33203125" customWidth="1"/>
    <col min="33" max="33" width="3.5546875" customWidth="1"/>
    <col min="34" max="34" width="12.33203125" customWidth="1"/>
  </cols>
  <sheetData>
    <row r="1" spans="1:34">
      <c r="A1" t="s">
        <v>204</v>
      </c>
      <c r="B1" t="s">
        <v>205</v>
      </c>
      <c r="C1" t="s">
        <v>206</v>
      </c>
      <c r="E1" t="s">
        <v>207</v>
      </c>
      <c r="H1" t="s">
        <v>12</v>
      </c>
      <c r="J1" t="s">
        <v>13</v>
      </c>
      <c r="P1" t="s">
        <v>208</v>
      </c>
      <c r="R1" t="s">
        <v>27</v>
      </c>
      <c r="T1" t="s">
        <v>17</v>
      </c>
      <c r="V1" t="s">
        <v>33</v>
      </c>
      <c r="X1" t="s">
        <v>35</v>
      </c>
      <c r="Z1" t="s">
        <v>31</v>
      </c>
      <c r="AB1" t="s">
        <v>42</v>
      </c>
      <c r="AD1" t="s">
        <v>54</v>
      </c>
      <c r="AF1" t="s">
        <v>58</v>
      </c>
      <c r="AH1" t="s">
        <v>79</v>
      </c>
    </row>
    <row r="2" spans="1:34">
      <c r="A2" t="s">
        <v>27</v>
      </c>
      <c r="C2" t="s">
        <v>60</v>
      </c>
      <c r="E2" t="s">
        <v>20</v>
      </c>
      <c r="H2" t="s">
        <v>209</v>
      </c>
      <c r="J2">
        <v>2023</v>
      </c>
      <c r="P2" t="s">
        <v>27</v>
      </c>
      <c r="R2" t="s">
        <v>28</v>
      </c>
      <c r="T2" t="s">
        <v>26</v>
      </c>
      <c r="V2" t="s">
        <v>34</v>
      </c>
      <c r="X2" t="s">
        <v>38</v>
      </c>
      <c r="Z2" t="s">
        <v>32</v>
      </c>
      <c r="AB2" t="s">
        <v>49</v>
      </c>
      <c r="AD2" t="s">
        <v>55</v>
      </c>
      <c r="AF2" t="s">
        <v>59</v>
      </c>
      <c r="AH2" t="s">
        <v>80</v>
      </c>
    </row>
    <row r="3" spans="1:34">
      <c r="A3" t="s">
        <v>17</v>
      </c>
      <c r="C3" t="s">
        <v>19</v>
      </c>
      <c r="E3" t="s">
        <v>210</v>
      </c>
      <c r="H3" t="s">
        <v>211</v>
      </c>
      <c r="J3">
        <v>2024</v>
      </c>
      <c r="P3" t="s">
        <v>17</v>
      </c>
      <c r="T3" t="s">
        <v>22</v>
      </c>
      <c r="X3" t="s">
        <v>41</v>
      </c>
      <c r="AB3" t="s">
        <v>50</v>
      </c>
      <c r="AD3" t="s">
        <v>96</v>
      </c>
    </row>
    <row r="4" spans="1:34">
      <c r="A4" t="s">
        <v>33</v>
      </c>
      <c r="E4" t="s">
        <v>87</v>
      </c>
      <c r="H4" t="s">
        <v>212</v>
      </c>
      <c r="J4">
        <v>2025</v>
      </c>
      <c r="P4" t="s">
        <v>33</v>
      </c>
      <c r="T4" t="s">
        <v>25</v>
      </c>
      <c r="X4" t="s">
        <v>37</v>
      </c>
      <c r="AB4" t="s">
        <v>213</v>
      </c>
    </row>
    <row r="5" spans="1:34">
      <c r="A5" t="s">
        <v>35</v>
      </c>
      <c r="E5" t="s">
        <v>114</v>
      </c>
      <c r="H5" t="s">
        <v>214</v>
      </c>
      <c r="P5" t="s">
        <v>35</v>
      </c>
      <c r="T5" t="s">
        <v>93</v>
      </c>
      <c r="X5" t="s">
        <v>40</v>
      </c>
      <c r="AB5" t="s">
        <v>51</v>
      </c>
    </row>
    <row r="6" spans="1:34">
      <c r="A6" t="s">
        <v>31</v>
      </c>
      <c r="E6" t="s">
        <v>84</v>
      </c>
      <c r="H6" t="s">
        <v>215</v>
      </c>
      <c r="P6" t="s">
        <v>31</v>
      </c>
      <c r="T6" t="s">
        <v>24</v>
      </c>
      <c r="X6" t="s">
        <v>39</v>
      </c>
      <c r="AB6" t="s">
        <v>47</v>
      </c>
    </row>
    <row r="7" spans="1:34">
      <c r="A7" t="s">
        <v>42</v>
      </c>
      <c r="E7" t="s">
        <v>216</v>
      </c>
      <c r="H7" t="s">
        <v>217</v>
      </c>
      <c r="P7" t="s">
        <v>42</v>
      </c>
      <c r="T7" t="s">
        <v>75</v>
      </c>
      <c r="X7" t="s">
        <v>218</v>
      </c>
      <c r="AB7" t="s">
        <v>44</v>
      </c>
    </row>
    <row r="8" spans="1:34">
      <c r="A8" t="s">
        <v>54</v>
      </c>
      <c r="E8" t="s">
        <v>219</v>
      </c>
      <c r="H8" t="s">
        <v>220</v>
      </c>
      <c r="P8" t="s">
        <v>54</v>
      </c>
      <c r="T8" t="s">
        <v>23</v>
      </c>
      <c r="X8" t="s">
        <v>36</v>
      </c>
      <c r="AB8" t="s">
        <v>71</v>
      </c>
    </row>
    <row r="9" spans="1:34">
      <c r="A9" t="s">
        <v>54</v>
      </c>
      <c r="E9" t="s">
        <v>101</v>
      </c>
      <c r="H9" t="s">
        <v>221</v>
      </c>
      <c r="P9" t="s">
        <v>54</v>
      </c>
      <c r="AB9" t="s">
        <v>45</v>
      </c>
    </row>
    <row r="10" spans="1:34">
      <c r="A10" t="s">
        <v>58</v>
      </c>
      <c r="E10" t="s">
        <v>72</v>
      </c>
      <c r="H10" t="s">
        <v>15</v>
      </c>
      <c r="P10" t="s">
        <v>58</v>
      </c>
      <c r="AB10" t="s">
        <v>77</v>
      </c>
    </row>
    <row r="11" spans="1:34">
      <c r="A11" t="s">
        <v>79</v>
      </c>
      <c r="E11" t="s">
        <v>222</v>
      </c>
      <c r="H11" t="s">
        <v>223</v>
      </c>
      <c r="P11" t="s">
        <v>79</v>
      </c>
      <c r="AB11" t="s">
        <v>224</v>
      </c>
    </row>
    <row r="12" spans="1:34">
      <c r="E12" t="s">
        <v>56</v>
      </c>
      <c r="H12" t="s">
        <v>225</v>
      </c>
      <c r="AB12" t="s">
        <v>46</v>
      </c>
    </row>
    <row r="13" spans="1:34">
      <c r="E13" t="s">
        <v>82</v>
      </c>
      <c r="H13" t="s">
        <v>226</v>
      </c>
      <c r="AB13" t="s">
        <v>74</v>
      </c>
    </row>
    <row r="14" spans="1:34">
      <c r="E14" t="s">
        <v>227</v>
      </c>
      <c r="AB14" t="s">
        <v>228</v>
      </c>
    </row>
    <row r="15" spans="1:34">
      <c r="E15" t="s">
        <v>229</v>
      </c>
    </row>
    <row r="16" spans="1:34">
      <c r="E16" t="s">
        <v>97</v>
      </c>
    </row>
    <row r="17" spans="5:5">
      <c r="E17" t="s">
        <v>109</v>
      </c>
    </row>
    <row r="18" spans="5:5">
      <c r="E18" t="s">
        <v>230</v>
      </c>
    </row>
    <row r="19" spans="5:5">
      <c r="E19" t="s">
        <v>231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6AA56-B517-4622-B270-F0E8AD718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Master</vt:lpstr>
      <vt:lpstr>Payroll</vt:lpstr>
      <vt:lpstr>Shipping</vt:lpstr>
      <vt:lpstr>Petty Cash</vt:lpstr>
      <vt:lpstr>Fuel &amp; Lubricant</vt:lpstr>
      <vt:lpstr>Charitable Contributions</vt:lpstr>
      <vt:lpstr>Accommodation</vt:lpstr>
      <vt:lpstr>Logistic</vt:lpstr>
      <vt:lpstr>Security</vt:lpstr>
      <vt:lpstr>Lease &amp; Rent</vt:lpstr>
      <vt:lpstr>Communication &amp; internet</vt:lpstr>
      <vt:lpstr>Social security</vt:lpstr>
      <vt:lpstr>Amman Expenses</vt:lpstr>
      <vt:lpstr>Air ticket &amp; travel</vt:lpstr>
      <vt:lpstr>Materials</vt:lpstr>
      <vt:lpstr>Third party Services</vt:lpstr>
      <vt:lpstr>Third party manpower</vt:lpstr>
      <vt:lpstr>Subcontractors</vt:lpstr>
      <vt:lpstr>Tax</vt:lpstr>
      <vt:lpstr>FA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Ali Abdulamir </cp:lastModifiedBy>
  <cp:lastPrinted>2024-10-13T07:54:00Z</cp:lastPrinted>
  <dcterms:created xsi:type="dcterms:W3CDTF">2024-10-13T06:49:00Z</dcterms:created>
  <dcterms:modified xsi:type="dcterms:W3CDTF">2026-02-15T09:26:32Z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