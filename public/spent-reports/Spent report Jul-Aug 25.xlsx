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rfy91\Desktop\Spent Report\"/>
    </mc:Choice>
  </mc:AlternateContent>
  <xr:revisionPtr revIDLastSave="0" documentId="8_{ECBC844C-F70F-4488-9B42-286DF1C6884C}" xr6:coauthVersionLast="47" xr6:coauthVersionMax="47" xr10:uidLastSave="{00000000-0000-0000-0000-000000000000}"/>
  <bookViews>
    <workbookView xWindow="-28920" yWindow="-5190" windowWidth="29040" windowHeight="15840" tabRatio="766" xr2:uid="{00000000-000D-0000-FFFF-FFFF00000000}"/>
  </bookViews>
  <sheets>
    <sheet name="Summary" sheetId="33" r:id="rId1"/>
    <sheet name="Master" sheetId="9" r:id="rId2"/>
    <sheet name="Payroll" sheetId="2" r:id="rId3"/>
    <sheet name="Shipping" sheetId="14" r:id="rId4"/>
    <sheet name="Petty Cash" sheetId="5" r:id="rId5"/>
    <sheet name="Fuel &amp; Lubricant" sheetId="18" r:id="rId6"/>
    <sheet name="Charitable Contributions" sheetId="17" r:id="rId7"/>
    <sheet name="Accommodation" sheetId="19" r:id="rId8"/>
    <sheet name="Logistic" sheetId="4" r:id="rId9"/>
    <sheet name="Security" sheetId="21" r:id="rId10"/>
    <sheet name="Lease &amp; Rent" sheetId="20" r:id="rId11"/>
    <sheet name="Communication &amp; internet" sheetId="22" r:id="rId12"/>
    <sheet name="Social security" sheetId="25" r:id="rId13"/>
    <sheet name="Amman Expenses" sheetId="23" r:id="rId14"/>
    <sheet name="Air ticket &amp; travel" sheetId="26" r:id="rId15"/>
    <sheet name="Materials" sheetId="1" r:id="rId16"/>
    <sheet name="Third party Services" sheetId="6" r:id="rId17"/>
    <sheet name="Third party manpower" sheetId="15" r:id="rId18"/>
    <sheet name="Subcontractors" sheetId="3" r:id="rId19"/>
    <sheet name="Tax" sheetId="7" state="hidden" r:id="rId20"/>
    <sheet name="Sheet1" sheetId="11" state="hidden" r:id="rId21"/>
    <sheet name="List" sheetId="10" state="hidden" r:id="rId22"/>
  </sheets>
  <externalReferences>
    <externalReference r:id="rId23"/>
  </externalReferences>
  <definedNames>
    <definedName name="_xlnm._FilterDatabase" localSheetId="11" hidden="1">'Communication &amp; internet'!$A$1:$N$1</definedName>
    <definedName name="_xlnm._FilterDatabase" localSheetId="8" hidden="1">Logistic!$A$1:$N$186</definedName>
    <definedName name="_xlnm._FilterDatabase" localSheetId="1" hidden="1">Master!$A$1:$N$1458</definedName>
    <definedName name="_xlnm._FilterDatabase" localSheetId="15" hidden="1">Materials!$A$1:$N$707</definedName>
    <definedName name="_xlnm._FilterDatabase" localSheetId="2" hidden="1">Payroll!$A$1:$N$1</definedName>
    <definedName name="_xlnm._FilterDatabase" localSheetId="4" hidden="1">'Petty Cash'!$A$1:$N$200</definedName>
    <definedName name="_xlnm._FilterDatabase" localSheetId="17" hidden="1">'Third party manpower'!$A$1:$N$53</definedName>
    <definedName name="_xlnm._FilterDatabase" localSheetId="16" hidden="1">'Third party Services'!$A$1:$N$1</definedName>
    <definedName name="Level_2">[1]List!$G$2:$G$37</definedName>
  </definedNames>
  <calcPr calcId="191029"/>
  <pivotCaches>
    <pivotCache cacheId="1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9" l="1"/>
  <c r="I16" i="9"/>
  <c r="I23" i="9"/>
  <c r="I1208" i="9"/>
  <c r="I1200" i="9"/>
  <c r="I1199" i="9"/>
  <c r="I223" i="9"/>
  <c r="I15" i="9"/>
  <c r="I7" i="9"/>
  <c r="I10" i="9"/>
  <c r="I14" i="9"/>
  <c r="I6" i="9"/>
  <c r="I9" i="9"/>
  <c r="I2" i="23"/>
  <c r="I4" i="4"/>
  <c r="I8" i="20" l="1"/>
  <c r="I7" i="20"/>
  <c r="I2" i="26"/>
  <c r="I6" i="26"/>
  <c r="I12" i="21"/>
  <c r="I11" i="21"/>
  <c r="I12" i="19" l="1"/>
  <c r="I10" i="19"/>
  <c r="I9" i="19"/>
  <c r="I2" i="25"/>
  <c r="I5" i="19" l="1"/>
  <c r="I3" i="19"/>
  <c r="I2" i="19"/>
</calcChain>
</file>

<file path=xl/sharedStrings.xml><?xml version="1.0" encoding="utf-8"?>
<sst xmlns="http://schemas.openxmlformats.org/spreadsheetml/2006/main" count="25411" uniqueCount="1336">
  <si>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</si>
  <si>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</si>
  <si>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</si>
  <si>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</si>
  <si>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</si>
  <si>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</si>
  <si>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</si>
  <si>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</si>
  <si>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</si>
  <si>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</si>
  <si>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</si>
  <si>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</si>
  <si>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</si>
  <si>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</si>
  <si>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</si>
  <si>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</si>
  <si>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</si>
  <si>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</si>
  <si>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</si>
  <si>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</si>
  <si>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</si>
  <si>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</si>
  <si>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</si>
  <si>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</si>
  <si>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</si>
  <si>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</si>
  <si>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</si>
  <si>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</si>
  <si>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</si>
  <si>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</si>
  <si>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</si>
  <si>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</si>
  <si>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</si>
  <si>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</si>
  <si>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</si>
  <si>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</si>
  <si>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CMNT_23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</si>
  <si>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</si>
  <si>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</si>
  <si>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</si>
  <si>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</si>
  <si>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</si>
  <si>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</si>
  <si>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</si>
  <si>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</si>
  <si>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</si>
  <si>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</si>
  <si>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</si>
  <si>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</si>
  <si>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</si>
  <si>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</si>
  <si>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</si>
  <si>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</si>
  <si>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</si>
  <si>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</si>
  <si>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</si>
  <si>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</si>
  <si>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</si>
  <si>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</si>
  <si>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</si>
  <si>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</si>
  <si>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</si>
  <si>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GRLTOT</t>
  </si>
  <si>
    <t>Charitable Contributions</t>
  </si>
  <si>
    <t>Petty Cash</t>
  </si>
  <si>
    <t>اكراميات وعشائر</t>
  </si>
  <si>
    <t xml:space="preserve">KAZ-Check point salary </t>
  </si>
  <si>
    <t>ROOG-check point salary</t>
  </si>
  <si>
    <t>##</t>
  </si>
  <si>
    <t xml:space="preserve">Total-Check point salary </t>
  </si>
  <si>
    <t>CPSs_23</t>
  </si>
  <si>
    <t>Material &amp; Supplies</t>
  </si>
  <si>
    <t>Petty Cash for KAZ</t>
  </si>
  <si>
    <t>WOD_23</t>
  </si>
  <si>
    <t>EX_23</t>
  </si>
  <si>
    <t>Petty Cash for CAMP</t>
  </si>
  <si>
    <t>MITAS</t>
  </si>
  <si>
    <t>RTPFL_23</t>
  </si>
  <si>
    <t>Petty Cash for FL</t>
  </si>
  <si>
    <t>Third party manpower</t>
  </si>
  <si>
    <t>WQ1_23</t>
  </si>
  <si>
    <t>WQ1SB_23</t>
  </si>
  <si>
    <t>Third party services</t>
  </si>
  <si>
    <t>Fuel &amp; Lubricant</t>
  </si>
  <si>
    <t>Internet for FL</t>
  </si>
  <si>
    <t>Internet for QTC</t>
  </si>
  <si>
    <t>Cleaner Materials</t>
  </si>
  <si>
    <t>Air Ticket / Travel</t>
  </si>
  <si>
    <t>Expense Claim</t>
  </si>
  <si>
    <t>Accommodation</t>
  </si>
  <si>
    <t>Al Majal Business Park (AMBP)</t>
  </si>
  <si>
    <t>Light &amp; Heavy Equipment’s Rental</t>
  </si>
  <si>
    <t>Taqadm Albasrah</t>
  </si>
  <si>
    <t>NAC Logistic</t>
  </si>
  <si>
    <t>Border Transportaion / Al Hodod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</si>
  <si>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</si>
  <si>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</si>
  <si>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</si>
  <si>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</si>
  <si>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</si>
  <si>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</si>
  <si>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</si>
  <si>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</si>
  <si>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</si>
  <si>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</si>
  <si>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</si>
  <si>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</si>
  <si>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</si>
  <si>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AWAL Telecom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</si>
  <si>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</si>
  <si>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</si>
  <si>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</si>
  <si>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</si>
  <si>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</si>
  <si>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</si>
  <si>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</si>
  <si>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Hydrovac</t>
  </si>
  <si>
    <t>AFAQ AL JAWDA CO</t>
  </si>
  <si>
    <t>Testing/Calibration</t>
  </si>
  <si>
    <t>Basra Galvanizing Co.</t>
  </si>
  <si>
    <t>Subcontractors</t>
  </si>
  <si>
    <t>Welding</t>
  </si>
  <si>
    <t>Burj Al Rafidain Hamza</t>
  </si>
  <si>
    <t>Civil works</t>
  </si>
  <si>
    <t>Abdullah Gallery</t>
  </si>
  <si>
    <t>Materials/Safety</t>
  </si>
  <si>
    <t>Al Eman Computers Networks &amp; Communication</t>
  </si>
  <si>
    <t>AL MUSTAFA INDUSTRIAL IRON TRADING</t>
  </si>
  <si>
    <t>Materials/IRON</t>
  </si>
  <si>
    <t>Al-Ghadeer Print</t>
  </si>
  <si>
    <t>Al-Jorani Factory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</si>
  <si>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</si>
  <si>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</si>
  <si>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</si>
  <si>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</si>
  <si>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</si>
  <si>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</si>
  <si>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</si>
  <si>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</si>
  <si>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</si>
  <si>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</si>
  <si>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</si>
  <si>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</si>
  <si>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</si>
  <si>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</si>
  <si>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</si>
  <si>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</si>
  <si>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</si>
  <si>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</si>
  <si>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</si>
  <si>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</si>
  <si>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</si>
  <si>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</si>
  <si>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AWAL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</si>
  <si>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</si>
  <si>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</si>
  <si>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</si>
  <si>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</si>
  <si>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</si>
  <si>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</si>
  <si>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</si>
  <si>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</si>
  <si>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</si>
  <si>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</si>
  <si>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</si>
  <si>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</si>
  <si>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</si>
  <si>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</si>
  <si>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</si>
  <si>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</si>
  <si>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</si>
  <si>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</si>
  <si>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</si>
  <si>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</si>
  <si>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</si>
  <si>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</si>
  <si>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</si>
  <si>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</si>
  <si>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</si>
  <si>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</si>
  <si>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</si>
  <si>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</si>
  <si>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</si>
  <si>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</si>
  <si>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</si>
  <si>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</si>
  <si>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</si>
  <si>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</si>
  <si>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</si>
  <si>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</si>
  <si>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</si>
  <si>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</si>
  <si>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</si>
  <si>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</si>
  <si>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</si>
  <si>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</si>
  <si>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</si>
  <si>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</si>
  <si>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</si>
  <si>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</si>
  <si>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</si>
  <si>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</si>
  <si>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</si>
  <si>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</si>
  <si>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</si>
  <si>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</si>
  <si>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</si>
  <si>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</si>
  <si>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</si>
  <si>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</si>
  <si>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</si>
  <si>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</si>
  <si>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</si>
  <si>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</si>
  <si>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</si>
  <si>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</si>
  <si>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</si>
  <si>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</si>
  <si>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</si>
  <si>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</si>
  <si>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</si>
  <si>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</si>
  <si>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</si>
  <si>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</si>
  <si>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</si>
  <si>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</si>
  <si>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</si>
  <si>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</si>
  <si>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</si>
  <si>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</si>
  <si>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</si>
  <si>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</si>
  <si>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</si>
  <si>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</si>
  <si>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</si>
  <si>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</si>
  <si>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</si>
  <si>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MITSOHTL</t>
  </si>
  <si>
    <t>Cargo Ship Company</t>
  </si>
  <si>
    <t>Amman Expenses</t>
  </si>
  <si>
    <t>Jabal Qendil BRS</t>
  </si>
  <si>
    <t>Ras Al Khaimah Advanced Businees Solutions</t>
  </si>
  <si>
    <t>Tohama Company</t>
  </si>
  <si>
    <t>GULF PEARL GROUP</t>
  </si>
  <si>
    <t>Khan Alhadded Company</t>
  </si>
  <si>
    <t>Remz AL-Kafaa For General Trading</t>
  </si>
  <si>
    <t>Sahba Technnnology</t>
  </si>
  <si>
    <t>Al-qanaat Altijaria shops</t>
  </si>
  <si>
    <t>Al-Karar Gallery for Wood &amp; MDF</t>
  </si>
  <si>
    <t>Haider Retage show</t>
  </si>
  <si>
    <t>Advance Welding Solutions Co</t>
  </si>
  <si>
    <t>Al-Janaeen Al-Mualaka for Water</t>
  </si>
  <si>
    <t>Anwar Al Zubear Factory</t>
  </si>
  <si>
    <t>#</t>
  </si>
  <si>
    <t>Materials/Paint</t>
  </si>
  <si>
    <t>Materials/Caravans</t>
  </si>
  <si>
    <t>Materials/Water</t>
  </si>
  <si>
    <t>Materials/Wood</t>
  </si>
  <si>
    <t>Materials/Scaffolding</t>
  </si>
  <si>
    <t>Fasco LLC FZ</t>
  </si>
  <si>
    <t>Al Jaber Company General Construction Services</t>
  </si>
  <si>
    <t>Materials/Concrete</t>
  </si>
  <si>
    <t>AL TAHER ENGINEERING COMPANY</t>
  </si>
  <si>
    <t>AL BASHAER AL AALAMIA FOR GENERAL TRADING</t>
  </si>
  <si>
    <t>Al-Ameer General Traiding &amp; Contracting</t>
  </si>
  <si>
    <t>Al Ajdar For General Trading and General Purchasing Ltd</t>
  </si>
  <si>
    <t>Civil Finishing Works</t>
  </si>
  <si>
    <t>Earthworks</t>
  </si>
  <si>
    <t>Row Labels</t>
  </si>
  <si>
    <t>Grand Total</t>
  </si>
  <si>
    <t>Sum of Invoice Amount USD</t>
  </si>
  <si>
    <t>Column Labels</t>
  </si>
  <si>
    <t>ROESP_23</t>
  </si>
  <si>
    <t>CAMP_23</t>
  </si>
  <si>
    <t>Al Ghrnawi Showroom</t>
  </si>
  <si>
    <t>Almujtaba company</t>
  </si>
  <si>
    <t>Al-Nojom Company &amp; Gallery</t>
  </si>
  <si>
    <t>Al-Safi Factory and Um Albanin Gallery</t>
  </si>
  <si>
    <t>MALIK ENGINEERING OFFICE</t>
  </si>
  <si>
    <t>338</t>
  </si>
  <si>
    <t>10052</t>
  </si>
  <si>
    <t>invo2-58</t>
  </si>
  <si>
    <t>239</t>
  </si>
  <si>
    <t>Materials/wire</t>
  </si>
  <si>
    <t>Materials/IT</t>
  </si>
  <si>
    <t>Materials/Generator</t>
  </si>
  <si>
    <t>PSD</t>
  </si>
  <si>
    <t xml:space="preserve">Visa &amp; Traveling Expense  </t>
  </si>
  <si>
    <t>تبرعات للفقراء</t>
  </si>
  <si>
    <t>Petty Cash for ROOG</t>
  </si>
  <si>
    <t>Petty Cash for PWRI2</t>
  </si>
  <si>
    <t>Petty Cash for QA</t>
  </si>
  <si>
    <t>Petty Cash for QTC</t>
  </si>
  <si>
    <t>Petty Cash for NGL</t>
  </si>
  <si>
    <t>Petty Cash for WOD</t>
  </si>
  <si>
    <t>Food &amp; Meal</t>
  </si>
  <si>
    <t>Internet for QA</t>
  </si>
  <si>
    <t>Al Faw Company For Engineering Testing</t>
  </si>
  <si>
    <t>AL JUTHOOR WORKSHOP</t>
  </si>
  <si>
    <t>AL NOKHBA FOR MEDICAL DIAGNOSTICS</t>
  </si>
  <si>
    <t>UFUQ AL-FADAA FOR ENERGY SERVICES</t>
  </si>
  <si>
    <t>INV-IGCC-25-0533</t>
  </si>
  <si>
    <t>Al-Janoob Garage</t>
  </si>
  <si>
    <t>Al-Dhahi stores</t>
  </si>
  <si>
    <t>Mayadeen Factory for kitchens &amp; furniture</t>
  </si>
  <si>
    <t>NEPTUNE ALKAWKAB ALAZRAK FOR GENERAL TRANSPORTATION</t>
  </si>
  <si>
    <t>LOGISTIC EXPRESS</t>
  </si>
  <si>
    <t>Diesel Official Aug 25</t>
  </si>
  <si>
    <t>Diesel Sites Jul 25</t>
  </si>
  <si>
    <t>Diesel Sites Aug 25</t>
  </si>
  <si>
    <t>Al Nahrain Co. for Transortation and marine service</t>
  </si>
  <si>
    <t>253</t>
  </si>
  <si>
    <t>4012</t>
  </si>
  <si>
    <t xml:space="preserve">Rent Amal Jul 25 </t>
  </si>
  <si>
    <t xml:space="preserve">Rent Academy Jul 25 </t>
  </si>
  <si>
    <t xml:space="preserve">Rent Al Jazair office Jul 25 </t>
  </si>
  <si>
    <t xml:space="preserve">Rent Southren Services Jul 25 </t>
  </si>
  <si>
    <t>Rent Jazair Accommodation Jul 25</t>
  </si>
  <si>
    <t xml:space="preserve">Rent Junaina Jul 25 </t>
  </si>
  <si>
    <t>Al Majal Business Park (AMBP) Jul 25</t>
  </si>
  <si>
    <t xml:space="preserve">Rent Amal Aug 25 </t>
  </si>
  <si>
    <t xml:space="preserve">Rent Academy Aug 25 </t>
  </si>
  <si>
    <t xml:space="preserve">Rent Al Jazair office Aug 25 </t>
  </si>
  <si>
    <t xml:space="preserve">Rent Southren Services Aug 25 </t>
  </si>
  <si>
    <t>Rent Jazair Accommodation Aug 25</t>
  </si>
  <si>
    <t xml:space="preserve">Rent Junaina Aug 25 </t>
  </si>
  <si>
    <t>Al Majal Business Park (AMBP) Aug 25</t>
  </si>
  <si>
    <t>2025002164</t>
  </si>
  <si>
    <t>Payroll Jul</t>
  </si>
  <si>
    <t>Off Payroll Jul</t>
  </si>
  <si>
    <t>Payroll  Aug</t>
  </si>
  <si>
    <t>Off Payroll Aug</t>
  </si>
  <si>
    <t xml:space="preserve">Jul 25 Camp Civil &amp; Mechanical team </t>
  </si>
  <si>
    <t xml:space="preserve">Aug 25 Camp Civil &amp; Mechanical team </t>
  </si>
  <si>
    <t xml:space="preserve">Overtime UQ team rate </t>
  </si>
  <si>
    <t>2519</t>
  </si>
  <si>
    <t>2523</t>
  </si>
  <si>
    <t>INV-IGCC-25-08-224</t>
  </si>
  <si>
    <t>INV-IGCC-25-08-222</t>
  </si>
  <si>
    <t>INV-IGCC-25-08-223</t>
  </si>
  <si>
    <t>3010160725</t>
  </si>
  <si>
    <t>3009440825</t>
  </si>
  <si>
    <t>INV-IGCC-25-07-194</t>
  </si>
  <si>
    <t>INV-IGCC-25-07-192</t>
  </si>
  <si>
    <t>72</t>
  </si>
  <si>
    <t>71</t>
  </si>
  <si>
    <t>74</t>
  </si>
  <si>
    <t>73</t>
  </si>
  <si>
    <t>Al Qutub Al Mumayaz CO</t>
  </si>
  <si>
    <t>5-25</t>
  </si>
  <si>
    <t>12-25</t>
  </si>
  <si>
    <t>10361</t>
  </si>
  <si>
    <t>10378</t>
  </si>
  <si>
    <t>22-25</t>
  </si>
  <si>
    <t>17 B-25</t>
  </si>
  <si>
    <t>21-25</t>
  </si>
  <si>
    <t>IN000277242</t>
  </si>
  <si>
    <t>IN000277243</t>
  </si>
  <si>
    <t>64</t>
  </si>
  <si>
    <t>INV17202</t>
  </si>
  <si>
    <t>INV18030</t>
  </si>
  <si>
    <t>IN000284662</t>
  </si>
  <si>
    <t>IN000284663</t>
  </si>
  <si>
    <t>M.P-055</t>
  </si>
  <si>
    <t>2518</t>
  </si>
  <si>
    <t>2522</t>
  </si>
  <si>
    <t>M.P-063</t>
  </si>
  <si>
    <t>CVMINT</t>
  </si>
  <si>
    <t>INV-IGCC-25-0539</t>
  </si>
  <si>
    <t>INV-IGCC-25-0538</t>
  </si>
  <si>
    <t>INV-IGCC-25-0541</t>
  </si>
  <si>
    <t>Oxanteach</t>
  </si>
  <si>
    <t>Tiqaneyat Al-Taqaddum Co. (ATC)</t>
  </si>
  <si>
    <t>BUREAU VERITAS</t>
  </si>
  <si>
    <t>Basra Seven Stars Company</t>
  </si>
  <si>
    <t>Al NABAA AL YAQEEN COMPANY FOR ENGINEERNING SERVICES AND CONSULTANCIES</t>
  </si>
  <si>
    <t>Alaq AL-Ezdehar Company</t>
  </si>
  <si>
    <t>NESİM MUMCU</t>
  </si>
  <si>
    <t>Al-Thakalain Office</t>
  </si>
  <si>
    <t>Lonestar Technical Services LLC</t>
  </si>
  <si>
    <t>Cihan Insurance Company</t>
  </si>
  <si>
    <t>Al Khaleej Company</t>
  </si>
  <si>
    <t>Al Zahraa for Tabreed</t>
  </si>
  <si>
    <t>Arajeez Engineering Co.</t>
  </si>
  <si>
    <t>Enjaz For Training, Testing, Calibation &amp; Enginnering Services</t>
  </si>
  <si>
    <t>Southern Services</t>
  </si>
  <si>
    <t>Spark for Engineering Tests</t>
  </si>
  <si>
    <t>ACC-SINV-2025-00603-1</t>
  </si>
  <si>
    <t>2025000702</t>
  </si>
  <si>
    <t>25000476 RI 00215</t>
  </si>
  <si>
    <t>25482</t>
  </si>
  <si>
    <t>25483</t>
  </si>
  <si>
    <t>AFQ-I-0455</t>
  </si>
  <si>
    <t>932</t>
  </si>
  <si>
    <t>086/25</t>
  </si>
  <si>
    <t>000122</t>
  </si>
  <si>
    <t>B.G.B.I.052</t>
  </si>
  <si>
    <t>25506</t>
  </si>
  <si>
    <t>88NY-IGCC</t>
  </si>
  <si>
    <t>TIC-25-0572</t>
  </si>
  <si>
    <t>TIC-25-0571</t>
  </si>
  <si>
    <t>13142</t>
  </si>
  <si>
    <t>TR25-11062</t>
  </si>
  <si>
    <t>B.G.B.I.053</t>
  </si>
  <si>
    <t>NMD-005</t>
  </si>
  <si>
    <t>O-1167A-25</t>
  </si>
  <si>
    <t>TIC-8-25-0615</t>
  </si>
  <si>
    <t>000665</t>
  </si>
  <si>
    <t>07-25-IN-01</t>
  </si>
  <si>
    <t>0027</t>
  </si>
  <si>
    <t>PHP1017770</t>
  </si>
  <si>
    <t>000668</t>
  </si>
  <si>
    <t>220-25</t>
  </si>
  <si>
    <t>91NY-IGCC</t>
  </si>
  <si>
    <t>B.G.B.I.057</t>
  </si>
  <si>
    <t>B.G.B.I.051</t>
  </si>
  <si>
    <t>B.G.B.I.054</t>
  </si>
  <si>
    <t>B.G.B.I.050</t>
  </si>
  <si>
    <t>2025000857</t>
  </si>
  <si>
    <t>000673</t>
  </si>
  <si>
    <t>5020</t>
  </si>
  <si>
    <t>000144</t>
  </si>
  <si>
    <t>000149</t>
  </si>
  <si>
    <t>000162</t>
  </si>
  <si>
    <t>B.G.B.I.060</t>
  </si>
  <si>
    <t>TIC-8-25-0613</t>
  </si>
  <si>
    <t>0156</t>
  </si>
  <si>
    <t>TIC-8-25-0618</t>
  </si>
  <si>
    <t>AEC-257756777</t>
  </si>
  <si>
    <t>AEC-257757123</t>
  </si>
  <si>
    <t>CIV-1440</t>
  </si>
  <si>
    <t>INCL-0944</t>
  </si>
  <si>
    <t>SS-OPM-IGCC-INV-060 Rev.0</t>
  </si>
  <si>
    <t>SS-OPM-IGCC-INV-063 Rev.0</t>
  </si>
  <si>
    <t>25655</t>
  </si>
  <si>
    <t>25656</t>
  </si>
  <si>
    <t>SS-OPM-IGCC-INV-062 Rev.0</t>
  </si>
  <si>
    <t>89NY-IGCC</t>
  </si>
  <si>
    <t>TIC-7-25-0539</t>
  </si>
  <si>
    <t>B.G.B.I.055</t>
  </si>
  <si>
    <t>94NY-IGCC</t>
  </si>
  <si>
    <t>03-2025</t>
  </si>
  <si>
    <t>INV-25-313</t>
  </si>
  <si>
    <t>TR25-11105</t>
  </si>
  <si>
    <t>ACC-SINV-2025-01515-1</t>
  </si>
  <si>
    <t>TlC-7-25-0554</t>
  </si>
  <si>
    <t>B.G.B.I.045</t>
  </si>
  <si>
    <t>INV.25-474</t>
  </si>
  <si>
    <t>INV.25-669</t>
  </si>
  <si>
    <t>INV.25-552</t>
  </si>
  <si>
    <t>INV.25-670</t>
  </si>
  <si>
    <t>INV.25-668</t>
  </si>
  <si>
    <t>25739</t>
  </si>
  <si>
    <t>AJC-I-0490</t>
  </si>
  <si>
    <t>AJC-I-0478</t>
  </si>
  <si>
    <t>20254000153</t>
  </si>
  <si>
    <t>20254000154</t>
  </si>
  <si>
    <t>20254000152</t>
  </si>
  <si>
    <t>20254000151</t>
  </si>
  <si>
    <t>20254000134</t>
  </si>
  <si>
    <t>20254000139</t>
  </si>
  <si>
    <t>20254000140</t>
  </si>
  <si>
    <t>20254000141</t>
  </si>
  <si>
    <t>20254000144</t>
  </si>
  <si>
    <t>02-2025</t>
  </si>
  <si>
    <t>AFQ-I-0453</t>
  </si>
  <si>
    <t>AFQ-I-0456</t>
  </si>
  <si>
    <t>1-2025</t>
  </si>
  <si>
    <t>CIV-IV-6-71</t>
  </si>
  <si>
    <t>CIV-IV-7-82</t>
  </si>
  <si>
    <t>Testing/CalibrationTEST BLOOD</t>
  </si>
  <si>
    <t>Insurance</t>
  </si>
  <si>
    <t>Emails</t>
  </si>
  <si>
    <t>SAP FEES</t>
  </si>
  <si>
    <t>TEST BLOOD</t>
  </si>
  <si>
    <t>CVMNT_23 </t>
  </si>
  <si>
    <t>INV-IGCC-25-0534</t>
  </si>
  <si>
    <t>INV-IGCC-25-0535</t>
  </si>
  <si>
    <t>INV-IGCC-25-0536 RTT</t>
  </si>
  <si>
    <t>Al - Sudoof</t>
  </si>
  <si>
    <t>RAYAT AL-SHARQ COMPANY For Inspection Services</t>
  </si>
  <si>
    <t>AL-Abrag workshop</t>
  </si>
  <si>
    <t>GAMMA PETROLEUM SERVICES</t>
  </si>
  <si>
    <t>ASTRA SHOWROOM</t>
  </si>
  <si>
    <t>Ali Hadi</t>
  </si>
  <si>
    <t>Rwad Alenjaz Co.</t>
  </si>
  <si>
    <t>Rabea Al Shamary / Hadeer</t>
  </si>
  <si>
    <t>Xinke Protective Technology Co., Ltd"</t>
  </si>
  <si>
    <t>Al-Faihaa Company</t>
  </si>
  <si>
    <t>Al Miayar Inspection service and rtaining</t>
  </si>
  <si>
    <t>AL INSHA'AT AL HADETHA</t>
  </si>
  <si>
    <t>ALSAFWA</t>
  </si>
  <si>
    <t>Babil International for trading agencies</t>
  </si>
  <si>
    <t>Oukitel Digital World</t>
  </si>
  <si>
    <t>WB Alloy Welding Products Ltd</t>
  </si>
  <si>
    <t>Al-Usool Genral Trading LTD</t>
  </si>
  <si>
    <t>AL ADWA OFFICE</t>
  </si>
  <si>
    <t>Kirby Building Systems</t>
  </si>
  <si>
    <t xml:space="preserve"> PWRI_23</t>
  </si>
  <si>
    <t xml:space="preserve"> ROOM_23</t>
  </si>
  <si>
    <t xml:space="preserve"> KAZ_23</t>
  </si>
  <si>
    <t>OHTL _25</t>
  </si>
  <si>
    <t>16864-1</t>
  </si>
  <si>
    <t>16788</t>
  </si>
  <si>
    <t>15913</t>
  </si>
  <si>
    <t>15927</t>
  </si>
  <si>
    <t>16730</t>
  </si>
  <si>
    <t>16731</t>
  </si>
  <si>
    <t>16723</t>
  </si>
  <si>
    <t>10332</t>
  </si>
  <si>
    <t>10334</t>
  </si>
  <si>
    <t>10370</t>
  </si>
  <si>
    <t>6178</t>
  </si>
  <si>
    <t>6216</t>
  </si>
  <si>
    <t>6181</t>
  </si>
  <si>
    <t>6172</t>
  </si>
  <si>
    <t>6224</t>
  </si>
  <si>
    <t>6212</t>
  </si>
  <si>
    <t>10464</t>
  </si>
  <si>
    <t>26832025</t>
  </si>
  <si>
    <t>0055</t>
  </si>
  <si>
    <t>10508</t>
  </si>
  <si>
    <t>16909</t>
  </si>
  <si>
    <t>14070</t>
  </si>
  <si>
    <t>10492</t>
  </si>
  <si>
    <t>10510</t>
  </si>
  <si>
    <t>16892</t>
  </si>
  <si>
    <t>10474</t>
  </si>
  <si>
    <t>16874</t>
  </si>
  <si>
    <t>16863</t>
  </si>
  <si>
    <t>16869</t>
  </si>
  <si>
    <t>16868</t>
  </si>
  <si>
    <t>16812</t>
  </si>
  <si>
    <t>16780</t>
  </si>
  <si>
    <t>16780-A</t>
  </si>
  <si>
    <t>16838-1</t>
  </si>
  <si>
    <t>16845</t>
  </si>
  <si>
    <t>16822</t>
  </si>
  <si>
    <t>16794</t>
  </si>
  <si>
    <t>1630</t>
  </si>
  <si>
    <t>6210</t>
  </si>
  <si>
    <t>6187</t>
  </si>
  <si>
    <t>6154</t>
  </si>
  <si>
    <t>6211</t>
  </si>
  <si>
    <t>6186</t>
  </si>
  <si>
    <t>6209</t>
  </si>
  <si>
    <t>6201</t>
  </si>
  <si>
    <t>6381</t>
  </si>
  <si>
    <t>16895</t>
  </si>
  <si>
    <t>10448</t>
  </si>
  <si>
    <t>26902025</t>
  </si>
  <si>
    <t>1680</t>
  </si>
  <si>
    <t>1685</t>
  </si>
  <si>
    <t>1681</t>
  </si>
  <si>
    <t>6217</t>
  </si>
  <si>
    <t>5396</t>
  </si>
  <si>
    <t>10130</t>
  </si>
  <si>
    <t>10412</t>
  </si>
  <si>
    <t>10418</t>
  </si>
  <si>
    <t>10410</t>
  </si>
  <si>
    <t>10422</t>
  </si>
  <si>
    <t>10430</t>
  </si>
  <si>
    <t>10452</t>
  </si>
  <si>
    <t>10454</t>
  </si>
  <si>
    <t>10444</t>
  </si>
  <si>
    <t>10420</t>
  </si>
  <si>
    <t>10406</t>
  </si>
  <si>
    <t>10456</t>
  </si>
  <si>
    <t>10458</t>
  </si>
  <si>
    <t>10462</t>
  </si>
  <si>
    <t>10484</t>
  </si>
  <si>
    <t>10504</t>
  </si>
  <si>
    <t>10486</t>
  </si>
  <si>
    <t>10356</t>
  </si>
  <si>
    <t>10466</t>
  </si>
  <si>
    <t>10468</t>
  </si>
  <si>
    <t>10480</t>
  </si>
  <si>
    <t>10496</t>
  </si>
  <si>
    <t>10482</t>
  </si>
  <si>
    <t>10460</t>
  </si>
  <si>
    <t>940</t>
  </si>
  <si>
    <t>26932025</t>
  </si>
  <si>
    <t>10446</t>
  </si>
  <si>
    <t>1702</t>
  </si>
  <si>
    <t>0816</t>
  </si>
  <si>
    <t>0817</t>
  </si>
  <si>
    <t>0865</t>
  </si>
  <si>
    <t>0813</t>
  </si>
  <si>
    <t>41770</t>
  </si>
  <si>
    <t>4218</t>
  </si>
  <si>
    <t>10576</t>
  </si>
  <si>
    <t>10578</t>
  </si>
  <si>
    <t>10528</t>
  </si>
  <si>
    <t>10588</t>
  </si>
  <si>
    <t>10586</t>
  </si>
  <si>
    <t>10538</t>
  </si>
  <si>
    <t>1673</t>
  </si>
  <si>
    <t>1672</t>
  </si>
  <si>
    <t>10552</t>
  </si>
  <si>
    <t>16937</t>
  </si>
  <si>
    <t>10490</t>
  </si>
  <si>
    <t>10494</t>
  </si>
  <si>
    <t>10498</t>
  </si>
  <si>
    <t>10450</t>
  </si>
  <si>
    <t>0146</t>
  </si>
  <si>
    <t>6254</t>
  </si>
  <si>
    <t>6230</t>
  </si>
  <si>
    <t>16925</t>
  </si>
  <si>
    <t>0867</t>
  </si>
  <si>
    <t>10046</t>
  </si>
  <si>
    <t>16896</t>
  </si>
  <si>
    <t>16839</t>
  </si>
  <si>
    <t>16920</t>
  </si>
  <si>
    <t>16922</t>
  </si>
  <si>
    <t>6238</t>
  </si>
  <si>
    <t>6241</t>
  </si>
  <si>
    <t>10530</t>
  </si>
  <si>
    <t>10536</t>
  </si>
  <si>
    <t>10532</t>
  </si>
  <si>
    <t>10526</t>
  </si>
  <si>
    <t>10506</t>
  </si>
  <si>
    <t>10542</t>
  </si>
  <si>
    <t>10556</t>
  </si>
  <si>
    <t>10550</t>
  </si>
  <si>
    <t>10562</t>
  </si>
  <si>
    <t>10558</t>
  </si>
  <si>
    <t>10560</t>
  </si>
  <si>
    <t>10540</t>
  </si>
  <si>
    <t>10564</t>
  </si>
  <si>
    <t>6229</t>
  </si>
  <si>
    <t>6262</t>
  </si>
  <si>
    <t>6231</t>
  </si>
  <si>
    <t>16854-1</t>
  </si>
  <si>
    <t>6372</t>
  </si>
  <si>
    <t>6236</t>
  </si>
  <si>
    <t>6251</t>
  </si>
  <si>
    <t>6249</t>
  </si>
  <si>
    <t>1689</t>
  </si>
  <si>
    <t>6420</t>
  </si>
  <si>
    <t>202507-02</t>
  </si>
  <si>
    <t>202507-03</t>
  </si>
  <si>
    <t>202507-01</t>
  </si>
  <si>
    <t>10049</t>
  </si>
  <si>
    <t>276</t>
  </si>
  <si>
    <t>0208</t>
  </si>
  <si>
    <t>0209</t>
  </si>
  <si>
    <t>1450</t>
  </si>
  <si>
    <t>16699</t>
  </si>
  <si>
    <t>16965</t>
  </si>
  <si>
    <t>16923</t>
  </si>
  <si>
    <t>16924</t>
  </si>
  <si>
    <t>001634</t>
  </si>
  <si>
    <t>6104</t>
  </si>
  <si>
    <t>6268</t>
  </si>
  <si>
    <t>6274</t>
  </si>
  <si>
    <t>6257</t>
  </si>
  <si>
    <t>6275</t>
  </si>
  <si>
    <t>1772</t>
  </si>
  <si>
    <t>1734</t>
  </si>
  <si>
    <t>16827</t>
  </si>
  <si>
    <t>16831-1</t>
  </si>
  <si>
    <t>16721-1</t>
  </si>
  <si>
    <t>16791</t>
  </si>
  <si>
    <t>16900</t>
  </si>
  <si>
    <t>16876</t>
  </si>
  <si>
    <t>16901</t>
  </si>
  <si>
    <t>16964</t>
  </si>
  <si>
    <t>16905</t>
  </si>
  <si>
    <t>16907</t>
  </si>
  <si>
    <t>16959</t>
  </si>
  <si>
    <t>16843-1</t>
  </si>
  <si>
    <t>16956</t>
  </si>
  <si>
    <t>16918</t>
  </si>
  <si>
    <t>0233</t>
  </si>
  <si>
    <t>10640</t>
  </si>
  <si>
    <t>16970-1</t>
  </si>
  <si>
    <t>16988-1</t>
  </si>
  <si>
    <t>16989</t>
  </si>
  <si>
    <t>16968</t>
  </si>
  <si>
    <t>10636</t>
  </si>
  <si>
    <t>16987-1</t>
  </si>
  <si>
    <t>16870-1</t>
  </si>
  <si>
    <t>16969</t>
  </si>
  <si>
    <t>16862</t>
  </si>
  <si>
    <t>16846</t>
  </si>
  <si>
    <t>16806-1</t>
  </si>
  <si>
    <t>16915</t>
  </si>
  <si>
    <t>16916</t>
  </si>
  <si>
    <t>10534</t>
  </si>
  <si>
    <t>10654</t>
  </si>
  <si>
    <t>10646</t>
  </si>
  <si>
    <t>10644</t>
  </si>
  <si>
    <t>10648</t>
  </si>
  <si>
    <t>10051</t>
  </si>
  <si>
    <t>10050</t>
  </si>
  <si>
    <t>0875</t>
  </si>
  <si>
    <t>0471</t>
  </si>
  <si>
    <t>0870</t>
  </si>
  <si>
    <t>0869</t>
  </si>
  <si>
    <t>0873</t>
  </si>
  <si>
    <t>0868</t>
  </si>
  <si>
    <t>6303</t>
  </si>
  <si>
    <t>6245</t>
  </si>
  <si>
    <t>6143</t>
  </si>
  <si>
    <t>27032025</t>
  </si>
  <si>
    <t>17012</t>
  </si>
  <si>
    <t>1842</t>
  </si>
  <si>
    <t>1832</t>
  </si>
  <si>
    <t>0824</t>
  </si>
  <si>
    <t>6261</t>
  </si>
  <si>
    <t>6272</t>
  </si>
  <si>
    <t>6291</t>
  </si>
  <si>
    <t>5969</t>
  </si>
  <si>
    <t>6277</t>
  </si>
  <si>
    <t>10546</t>
  </si>
  <si>
    <t>16990-1</t>
  </si>
  <si>
    <t>202507-04</t>
  </si>
  <si>
    <t>1691</t>
  </si>
  <si>
    <t>274</t>
  </si>
  <si>
    <t>0202</t>
  </si>
  <si>
    <t>272</t>
  </si>
  <si>
    <t>280</t>
  </si>
  <si>
    <t>266</t>
  </si>
  <si>
    <t>264</t>
  </si>
  <si>
    <t>0880</t>
  </si>
  <si>
    <t>278</t>
  </si>
  <si>
    <t>0823</t>
  </si>
  <si>
    <t>000427</t>
  </si>
  <si>
    <t>3657</t>
  </si>
  <si>
    <t>2-12</t>
  </si>
  <si>
    <t>10658</t>
  </si>
  <si>
    <t>2702025</t>
  </si>
  <si>
    <t>10682</t>
  </si>
  <si>
    <t>16908-1</t>
  </si>
  <si>
    <t>10616</t>
  </si>
  <si>
    <t>1879</t>
  </si>
  <si>
    <t>01633</t>
  </si>
  <si>
    <t>6290</t>
  </si>
  <si>
    <t>6325</t>
  </si>
  <si>
    <t>6293</t>
  </si>
  <si>
    <t>6288</t>
  </si>
  <si>
    <t>6307</t>
  </si>
  <si>
    <t>10584</t>
  </si>
  <si>
    <t>10544</t>
  </si>
  <si>
    <t>284</t>
  </si>
  <si>
    <t>0062</t>
  </si>
  <si>
    <t>006005</t>
  </si>
  <si>
    <t>0871</t>
  </si>
  <si>
    <t>16818</t>
  </si>
  <si>
    <t>16961-1</t>
  </si>
  <si>
    <t>16790-1</t>
  </si>
  <si>
    <t>16881</t>
  </si>
  <si>
    <t>16415</t>
  </si>
  <si>
    <t>16552</t>
  </si>
  <si>
    <t>15716</t>
  </si>
  <si>
    <t>16807</t>
  </si>
  <si>
    <t>16873</t>
  </si>
  <si>
    <t>10766</t>
  </si>
  <si>
    <t>10764</t>
  </si>
  <si>
    <t>10762</t>
  </si>
  <si>
    <t>10618</t>
  </si>
  <si>
    <t>10622</t>
  </si>
  <si>
    <t>10624</t>
  </si>
  <si>
    <t>10672</t>
  </si>
  <si>
    <t>10674</t>
  </si>
  <si>
    <t>10620</t>
  </si>
  <si>
    <t>10670</t>
  </si>
  <si>
    <t>10650</t>
  </si>
  <si>
    <t>10642</t>
  </si>
  <si>
    <t>10652</t>
  </si>
  <si>
    <t>10602</t>
  </si>
  <si>
    <t>10604</t>
  </si>
  <si>
    <t>10594</t>
  </si>
  <si>
    <t>10598</t>
  </si>
  <si>
    <t>10596</t>
  </si>
  <si>
    <t>3-31</t>
  </si>
  <si>
    <t>0060</t>
  </si>
  <si>
    <t>0872</t>
  </si>
  <si>
    <t>0061</t>
  </si>
  <si>
    <t>1887</t>
  </si>
  <si>
    <t>478-11</t>
  </si>
  <si>
    <t>16919</t>
  </si>
  <si>
    <t>6279</t>
  </si>
  <si>
    <t>6326</t>
  </si>
  <si>
    <t>17000</t>
  </si>
  <si>
    <t>290</t>
  </si>
  <si>
    <t>15864</t>
  </si>
  <si>
    <t>16407</t>
  </si>
  <si>
    <t>16420</t>
  </si>
  <si>
    <t>16414</t>
  </si>
  <si>
    <t>16551</t>
  </si>
  <si>
    <t>16748</t>
  </si>
  <si>
    <t>16783-1</t>
  </si>
  <si>
    <t>17011</t>
  </si>
  <si>
    <t>16958</t>
  </si>
  <si>
    <t>17027</t>
  </si>
  <si>
    <t>16819</t>
  </si>
  <si>
    <t>16457</t>
  </si>
  <si>
    <t>16960</t>
  </si>
  <si>
    <t>16844</t>
  </si>
  <si>
    <t>0063</t>
  </si>
  <si>
    <t>296</t>
  </si>
  <si>
    <t>292</t>
  </si>
  <si>
    <t>16867</t>
  </si>
  <si>
    <t>10738</t>
  </si>
  <si>
    <t>10740</t>
  </si>
  <si>
    <t>10736</t>
  </si>
  <si>
    <t>10704</t>
  </si>
  <si>
    <t>10700</t>
  </si>
  <si>
    <t>10730</t>
  </si>
  <si>
    <t>10694</t>
  </si>
  <si>
    <t>10746</t>
  </si>
  <si>
    <t>10698</t>
  </si>
  <si>
    <t>10708</t>
  </si>
  <si>
    <t>10702</t>
  </si>
  <si>
    <t>10710</t>
  </si>
  <si>
    <t>10784</t>
  </si>
  <si>
    <t>10770</t>
  </si>
  <si>
    <t>10720</t>
  </si>
  <si>
    <t>9924</t>
  </si>
  <si>
    <t>XK03241018-0</t>
  </si>
  <si>
    <t>282</t>
  </si>
  <si>
    <t>10786</t>
  </si>
  <si>
    <t>10488</t>
  </si>
  <si>
    <t>1949</t>
  </si>
  <si>
    <t>42262</t>
  </si>
  <si>
    <t>288</t>
  </si>
  <si>
    <t>16926-1</t>
  </si>
  <si>
    <t>16531</t>
  </si>
  <si>
    <t>16860</t>
  </si>
  <si>
    <t>17033</t>
  </si>
  <si>
    <t>10796</t>
  </si>
  <si>
    <t>17010-1</t>
  </si>
  <si>
    <t>17010-A</t>
  </si>
  <si>
    <t>16796</t>
  </si>
  <si>
    <t>6315</t>
  </si>
  <si>
    <t>6177</t>
  </si>
  <si>
    <t>16966</t>
  </si>
  <si>
    <t>10778</t>
  </si>
  <si>
    <t>16979</t>
  </si>
  <si>
    <t>10718</t>
  </si>
  <si>
    <t>16973-1</t>
  </si>
  <si>
    <t>6169</t>
  </si>
  <si>
    <t>42317</t>
  </si>
  <si>
    <t>00889</t>
  </si>
  <si>
    <t>1421</t>
  </si>
  <si>
    <t>294</t>
  </si>
  <si>
    <t>6312</t>
  </si>
  <si>
    <t>10794</t>
  </si>
  <si>
    <t>6267</t>
  </si>
  <si>
    <t>6296</t>
  </si>
  <si>
    <t>6335</t>
  </si>
  <si>
    <t>6260</t>
  </si>
  <si>
    <t>6313</t>
  </si>
  <si>
    <t>6286</t>
  </si>
  <si>
    <t>6308</t>
  </si>
  <si>
    <t>6336</t>
  </si>
  <si>
    <t>6332</t>
  </si>
  <si>
    <t>6248</t>
  </si>
  <si>
    <t>6320</t>
  </si>
  <si>
    <t>6256</t>
  </si>
  <si>
    <t>6171</t>
  </si>
  <si>
    <t>6282</t>
  </si>
  <si>
    <t>6292</t>
  </si>
  <si>
    <t>6278</t>
  </si>
  <si>
    <t>17032-1</t>
  </si>
  <si>
    <t>156</t>
  </si>
  <si>
    <t>2075</t>
  </si>
  <si>
    <t>6271</t>
  </si>
  <si>
    <t>6349</t>
  </si>
  <si>
    <t>6310</t>
  </si>
  <si>
    <t>6334</t>
  </si>
  <si>
    <t>6285</t>
  </si>
  <si>
    <t>6297</t>
  </si>
  <si>
    <t>0065</t>
  </si>
  <si>
    <t>000062</t>
  </si>
  <si>
    <t>000215</t>
  </si>
  <si>
    <t>000385</t>
  </si>
  <si>
    <t>10836</t>
  </si>
  <si>
    <t>302</t>
  </si>
  <si>
    <t>27202025</t>
  </si>
  <si>
    <t>306</t>
  </si>
  <si>
    <t>298</t>
  </si>
  <si>
    <t>6351</t>
  </si>
  <si>
    <t>6323</t>
  </si>
  <si>
    <t>6352</t>
  </si>
  <si>
    <t>6356</t>
  </si>
  <si>
    <t>6337</t>
  </si>
  <si>
    <t>6124</t>
  </si>
  <si>
    <t>6353</t>
  </si>
  <si>
    <t>10802</t>
  </si>
  <si>
    <t>286</t>
  </si>
  <si>
    <t>16982-2</t>
  </si>
  <si>
    <t>6328</t>
  </si>
  <si>
    <t>16939</t>
  </si>
  <si>
    <t>0068</t>
  </si>
  <si>
    <t>312</t>
  </si>
  <si>
    <t>17014</t>
  </si>
  <si>
    <t>11413</t>
  </si>
  <si>
    <t>00367</t>
  </si>
  <si>
    <t>10898</t>
  </si>
  <si>
    <t>10990</t>
  </si>
  <si>
    <t>10974</t>
  </si>
  <si>
    <t>10986</t>
  </si>
  <si>
    <t>10992</t>
  </si>
  <si>
    <t>10980</t>
  </si>
  <si>
    <t>10956</t>
  </si>
  <si>
    <t>10958</t>
  </si>
  <si>
    <t>10932</t>
  </si>
  <si>
    <t>10886</t>
  </si>
  <si>
    <t>10948</t>
  </si>
  <si>
    <t>10922</t>
  </si>
  <si>
    <t>10946</t>
  </si>
  <si>
    <t>10954</t>
  </si>
  <si>
    <t>10914</t>
  </si>
  <si>
    <t>10950</t>
  </si>
  <si>
    <t>10938</t>
  </si>
  <si>
    <t>10930</t>
  </si>
  <si>
    <t>10916</t>
  </si>
  <si>
    <t>10896</t>
  </si>
  <si>
    <t>10824</t>
  </si>
  <si>
    <t>10934</t>
  </si>
  <si>
    <t>10924</t>
  </si>
  <si>
    <t>10928</t>
  </si>
  <si>
    <t>10920</t>
  </si>
  <si>
    <t>10918</t>
  </si>
  <si>
    <t>10904</t>
  </si>
  <si>
    <t>10878</t>
  </si>
  <si>
    <t>10902</t>
  </si>
  <si>
    <t>10900</t>
  </si>
  <si>
    <t>10854</t>
  </si>
  <si>
    <t>10880</t>
  </si>
  <si>
    <t>10864</t>
  </si>
  <si>
    <t>10870</t>
  </si>
  <si>
    <t>10884</t>
  </si>
  <si>
    <t>10856</t>
  </si>
  <si>
    <t>10888</t>
  </si>
  <si>
    <t>10834</t>
  </si>
  <si>
    <t>10862</t>
  </si>
  <si>
    <t>10860</t>
  </si>
  <si>
    <t>10858</t>
  </si>
  <si>
    <t>10868</t>
  </si>
  <si>
    <t>10882</t>
  </si>
  <si>
    <t>10866</t>
  </si>
  <si>
    <t>10822</t>
  </si>
  <si>
    <t>10838</t>
  </si>
  <si>
    <t>10832</t>
  </si>
  <si>
    <t>10680</t>
  </si>
  <si>
    <t>10912</t>
  </si>
  <si>
    <t>11070</t>
  </si>
  <si>
    <t>11008</t>
  </si>
  <si>
    <t>11040</t>
  </si>
  <si>
    <t>10808</t>
  </si>
  <si>
    <t>10940</t>
  </si>
  <si>
    <t>10936</t>
  </si>
  <si>
    <t>11058</t>
  </si>
  <si>
    <t>11060</t>
  </si>
  <si>
    <t>11036</t>
  </si>
  <si>
    <t>11042</t>
  </si>
  <si>
    <t>11068</t>
  </si>
  <si>
    <t>11074</t>
  </si>
  <si>
    <t>11032</t>
  </si>
  <si>
    <t>11030</t>
  </si>
  <si>
    <t>10976</t>
  </si>
  <si>
    <t>11054</t>
  </si>
  <si>
    <t>10874</t>
  </si>
  <si>
    <t>11034</t>
  </si>
  <si>
    <t>11014</t>
  </si>
  <si>
    <t>11006</t>
  </si>
  <si>
    <t>11072</t>
  </si>
  <si>
    <t>11050</t>
  </si>
  <si>
    <t>11056</t>
  </si>
  <si>
    <t>11052</t>
  </si>
  <si>
    <t>11018</t>
  </si>
  <si>
    <t>11020</t>
  </si>
  <si>
    <t>11022</t>
  </si>
  <si>
    <t>11012</t>
  </si>
  <si>
    <t>10998</t>
  </si>
  <si>
    <t>11000</t>
  </si>
  <si>
    <t>11028</t>
  </si>
  <si>
    <t>11046</t>
  </si>
  <si>
    <t>10910</t>
  </si>
  <si>
    <t>10944</t>
  </si>
  <si>
    <t>11044</t>
  </si>
  <si>
    <t>10908</t>
  </si>
  <si>
    <t>10906</t>
  </si>
  <si>
    <t>11066</t>
  </si>
  <si>
    <t>10972</t>
  </si>
  <si>
    <t>10988</t>
  </si>
  <si>
    <t>10982</t>
  </si>
  <si>
    <t>00357</t>
  </si>
  <si>
    <t>1658</t>
  </si>
  <si>
    <t>17042</t>
  </si>
  <si>
    <t>6358</t>
  </si>
  <si>
    <t>6011</t>
  </si>
  <si>
    <t>6350</t>
  </si>
  <si>
    <t>6304</t>
  </si>
  <si>
    <t>5959</t>
  </si>
  <si>
    <t>2023</t>
  </si>
  <si>
    <t>2024000050</t>
  </si>
  <si>
    <t>16897</t>
  </si>
  <si>
    <t>42666</t>
  </si>
  <si>
    <t>95</t>
  </si>
  <si>
    <t>825</t>
  </si>
  <si>
    <t>42069</t>
  </si>
  <si>
    <t>6634</t>
  </si>
  <si>
    <t>0098</t>
  </si>
  <si>
    <t>ACC-SINV-2025-04402</t>
  </si>
  <si>
    <t>42695</t>
  </si>
  <si>
    <t>6791</t>
  </si>
  <si>
    <t>826</t>
  </si>
  <si>
    <t>INV-IGCC-25-0531</t>
  </si>
  <si>
    <t>0377</t>
  </si>
  <si>
    <t>16967</t>
  </si>
  <si>
    <t>17061</t>
  </si>
  <si>
    <t>6246</t>
  </si>
  <si>
    <t>6324</t>
  </si>
  <si>
    <t>6333</t>
  </si>
  <si>
    <t>6270</t>
  </si>
  <si>
    <t>6355</t>
  </si>
  <si>
    <t>16841</t>
  </si>
  <si>
    <t>16833</t>
  </si>
  <si>
    <t>16830</t>
  </si>
  <si>
    <t>16829</t>
  </si>
  <si>
    <t>16344-2</t>
  </si>
  <si>
    <t>15816-1</t>
  </si>
  <si>
    <t>16814</t>
  </si>
  <si>
    <t>11002</t>
  </si>
  <si>
    <t>17006</t>
  </si>
  <si>
    <t>17024</t>
  </si>
  <si>
    <t>16427</t>
  </si>
  <si>
    <t>16584</t>
  </si>
  <si>
    <t>300</t>
  </si>
  <si>
    <t>318</t>
  </si>
  <si>
    <t>11098</t>
  </si>
  <si>
    <t>17023</t>
  </si>
  <si>
    <t>17018</t>
  </si>
  <si>
    <t>16949</t>
  </si>
  <si>
    <t>16975</t>
  </si>
  <si>
    <t>11010</t>
  </si>
  <si>
    <t>16621</t>
  </si>
  <si>
    <t>16630</t>
  </si>
  <si>
    <t>16625</t>
  </si>
  <si>
    <t>16983</t>
  </si>
  <si>
    <t>17021</t>
  </si>
  <si>
    <t>17016</t>
  </si>
  <si>
    <t>322</t>
  </si>
  <si>
    <t>308</t>
  </si>
  <si>
    <t>11062</t>
  </si>
  <si>
    <t>17013</t>
  </si>
  <si>
    <t>16981</t>
  </si>
  <si>
    <t>17015</t>
  </si>
  <si>
    <t>16904</t>
  </si>
  <si>
    <t>17020</t>
  </si>
  <si>
    <t>16632</t>
  </si>
  <si>
    <t>11064</t>
  </si>
  <si>
    <t>16857</t>
  </si>
  <si>
    <t>16997-1</t>
  </si>
  <si>
    <t>17008</t>
  </si>
  <si>
    <t>16848</t>
  </si>
  <si>
    <t>16976</t>
  </si>
  <si>
    <t>11048</t>
  </si>
  <si>
    <t>10984</t>
  </si>
  <si>
    <t>314</t>
  </si>
  <si>
    <t>17026</t>
  </si>
  <si>
    <t>11024</t>
  </si>
  <si>
    <t>2138</t>
  </si>
  <si>
    <t>1693</t>
  </si>
  <si>
    <t>0255</t>
  </si>
  <si>
    <t>17031</t>
  </si>
  <si>
    <t>00805</t>
  </si>
  <si>
    <t>2088</t>
  </si>
  <si>
    <t>514</t>
  </si>
  <si>
    <t>nvo2-1</t>
  </si>
  <si>
    <t>10798</t>
  </si>
  <si>
    <t>11096</t>
  </si>
  <si>
    <t>17030-1</t>
  </si>
  <si>
    <t>16591</t>
  </si>
  <si>
    <t>320</t>
  </si>
  <si>
    <t>27302025</t>
  </si>
  <si>
    <t>326</t>
  </si>
  <si>
    <t>328</t>
  </si>
  <si>
    <t>11134</t>
  </si>
  <si>
    <t>291</t>
  </si>
  <si>
    <t>515</t>
  </si>
  <si>
    <t>16585</t>
  </si>
  <si>
    <t>50</t>
  </si>
  <si>
    <t>67</t>
  </si>
  <si>
    <t>75</t>
  </si>
  <si>
    <t>2642</t>
  </si>
  <si>
    <t>2123</t>
  </si>
  <si>
    <t>1164</t>
  </si>
  <si>
    <t>1919</t>
  </si>
  <si>
    <t>0284</t>
  </si>
  <si>
    <t>15885</t>
  </si>
  <si>
    <t>16073</t>
  </si>
  <si>
    <t>14</t>
  </si>
  <si>
    <t>10776</t>
  </si>
  <si>
    <t>15451-B1</t>
  </si>
  <si>
    <t>0000001784</t>
  </si>
  <si>
    <t>H 01633</t>
  </si>
  <si>
    <t>304</t>
  </si>
  <si>
    <t>15893</t>
  </si>
  <si>
    <t>877</t>
  </si>
  <si>
    <t>01082025-IGCC-001</t>
  </si>
  <si>
    <t>2104</t>
  </si>
  <si>
    <t>SO/25/9761</t>
  </si>
  <si>
    <t>0066</t>
  </si>
  <si>
    <t>0069</t>
  </si>
  <si>
    <t>15957-1</t>
  </si>
  <si>
    <t>2098</t>
  </si>
  <si>
    <t>00105</t>
  </si>
  <si>
    <t>00112</t>
  </si>
  <si>
    <t>0897</t>
  </si>
  <si>
    <t>0070</t>
  </si>
  <si>
    <t>16984</t>
  </si>
  <si>
    <t>01092025-IGCC-001</t>
  </si>
  <si>
    <t>210</t>
  </si>
  <si>
    <t>0828</t>
  </si>
  <si>
    <t>2025000069</t>
  </si>
  <si>
    <t>2161</t>
  </si>
  <si>
    <t>2025000067</t>
  </si>
  <si>
    <t>2025000066</t>
  </si>
  <si>
    <t>2025000068</t>
  </si>
  <si>
    <t>15892</t>
  </si>
  <si>
    <t>15782</t>
  </si>
  <si>
    <t>11004</t>
  </si>
  <si>
    <t>0370</t>
  </si>
  <si>
    <t>2025000017</t>
  </si>
  <si>
    <t>41971</t>
  </si>
  <si>
    <t>000376</t>
  </si>
  <si>
    <t>NO0610</t>
  </si>
  <si>
    <t>16957-1</t>
  </si>
  <si>
    <t>16785-B</t>
  </si>
  <si>
    <t>16906</t>
  </si>
  <si>
    <t>16747</t>
  </si>
  <si>
    <t>16774</t>
  </si>
  <si>
    <t>16902</t>
  </si>
  <si>
    <t>16861</t>
  </si>
  <si>
    <t>16809</t>
  </si>
  <si>
    <t>16409</t>
  </si>
  <si>
    <t>16784-B</t>
  </si>
  <si>
    <t>16784-A</t>
  </si>
  <si>
    <t>16784</t>
  </si>
  <si>
    <t>16813</t>
  </si>
  <si>
    <t>6367</t>
  </si>
  <si>
    <t>17017</t>
  </si>
  <si>
    <t>1746</t>
  </si>
  <si>
    <t>00813</t>
  </si>
  <si>
    <t>0886</t>
  </si>
  <si>
    <t>0071</t>
  </si>
  <si>
    <t>0057</t>
  </si>
  <si>
    <t>11200</t>
  </si>
  <si>
    <t>568</t>
  </si>
  <si>
    <t>02339</t>
  </si>
  <si>
    <t>17001</t>
  </si>
  <si>
    <t>6365</t>
  </si>
  <si>
    <t>11016</t>
  </si>
  <si>
    <t>12046</t>
  </si>
  <si>
    <t>12056</t>
  </si>
  <si>
    <t>12052</t>
  </si>
  <si>
    <t>12008</t>
  </si>
  <si>
    <t>11998</t>
  </si>
  <si>
    <t>10788</t>
  </si>
  <si>
    <t>2113</t>
  </si>
  <si>
    <t>16980</t>
  </si>
  <si>
    <t>12184</t>
  </si>
  <si>
    <t>12186</t>
  </si>
  <si>
    <t>12154</t>
  </si>
  <si>
    <t>10978</t>
  </si>
  <si>
    <t>0892</t>
  </si>
  <si>
    <t>16889</t>
  </si>
  <si>
    <t>17028-A</t>
  </si>
  <si>
    <t>17028</t>
  </si>
  <si>
    <t>FLWLN</t>
  </si>
  <si>
    <t>IN 2025000065</t>
  </si>
  <si>
    <t>IN 2025000074</t>
  </si>
  <si>
    <t>IN 2025000075</t>
  </si>
  <si>
    <t>2025401409</t>
  </si>
  <si>
    <t>2025402308</t>
  </si>
  <si>
    <t>2025403317</t>
  </si>
  <si>
    <t>Heavy equipment rental (Daily)</t>
  </si>
  <si>
    <t>Light equipment rental (Daily)</t>
  </si>
  <si>
    <t>2517</t>
  </si>
  <si>
    <t>2520</t>
  </si>
  <si>
    <t>#inv-48</t>
  </si>
  <si>
    <t>#inv-49</t>
  </si>
  <si>
    <t>#inv-55</t>
  </si>
  <si>
    <t>#inv-56</t>
  </si>
  <si>
    <t>NA-01-0011</t>
  </si>
  <si>
    <t>IN-1980-LV</t>
  </si>
  <si>
    <t>IN-1980-HV</t>
  </si>
  <si>
    <t>IN-1999-LV</t>
  </si>
  <si>
    <t>IN-1999-HV</t>
  </si>
  <si>
    <t>20254000146</t>
  </si>
  <si>
    <t>20254000148</t>
  </si>
  <si>
    <t>PWT PWRI1_23</t>
  </si>
  <si>
    <t>QTC_24</t>
  </si>
  <si>
    <t>Daily Worker Wages</t>
  </si>
  <si>
    <t>4800-5807-5609-4206-4602-5401-5203-5005</t>
  </si>
  <si>
    <t>INV-6334</t>
  </si>
  <si>
    <t>IGCC-00196</t>
  </si>
  <si>
    <t>IGCC-00195</t>
  </si>
  <si>
    <t>IGCC-00194</t>
  </si>
  <si>
    <t>IGCC-00193</t>
  </si>
  <si>
    <t>تبرعات للايتام والفقراء</t>
  </si>
  <si>
    <t>طبخ يوم 10 محرم</t>
  </si>
  <si>
    <t>تصاريح امنية/ العدد 822 موظف</t>
  </si>
  <si>
    <t>اكراميات وعشائر - الإطفاء</t>
  </si>
  <si>
    <t>عزاء ( ذوالفقار عوني - ذبيحة 2 )</t>
  </si>
  <si>
    <t xml:space="preserve">تصاريح امنية/ </t>
  </si>
  <si>
    <t>اكراميات وعشائر ( ذبيحة 1 للموقع )</t>
  </si>
  <si>
    <t xml:space="preserve">Mitas-Check point salary </t>
  </si>
  <si>
    <t>رسوم إدارية - عقد KENT</t>
  </si>
  <si>
    <t>أكراميات وعشائر - Iphon</t>
  </si>
  <si>
    <t>Reactive the Internet modem x 1ea</t>
  </si>
  <si>
    <t>Internet for NGL - Jul.25</t>
  </si>
  <si>
    <t>ICE x 383ea</t>
  </si>
  <si>
    <t>ICE x 272ea for NGL</t>
  </si>
  <si>
    <t>Reactive the Internet modem x 2ea</t>
  </si>
  <si>
    <t>Starlink installation &amp; Active internet</t>
  </si>
  <si>
    <t>Reactive the Internet modem x 21ea</t>
  </si>
  <si>
    <t>internet Starlink x 1month ( 2/8/2025 - 2/9/2025 )</t>
  </si>
  <si>
    <t>أجور مولد لبناية الاكاديمية عدد96 امبير للاشهر Jul</t>
  </si>
  <si>
    <t>INTERNET FEES ( ALJAZZAER, ISTEQLQL, ALJUNAINA AND ACY) From 17/7/2025 to 17/8/2025</t>
  </si>
  <si>
    <t>Reactive the lines &amp; Internet &amp; Consumable tools</t>
  </si>
  <si>
    <t>تسديد اجور الكهرباء للاكاديمية للفترة 15/01/2025 لغاية 15/03/2025</t>
  </si>
  <si>
    <t>تسديد اجور الكهرباء مكتب الجزائر للفترة 15/11/2024 لغاية 15/02/2025</t>
  </si>
  <si>
    <t>تسديد اجور الكهرباء لسكن الاستقلال للفترة 15/03/2025 لغاية 15/05/2025 بالإضافة الى الديون</t>
  </si>
  <si>
    <t>SIM &amp; INTERNET FOR HO</t>
  </si>
  <si>
    <t>INTERNET FEES ( ALJAZZAER, ISTEQLQL, ALJUNAINA AND ACY) From 7/8/2025 to 7/9/2025</t>
  </si>
  <si>
    <t>تسديد اجور الكهرباء لسكن الجنينة للفترة 15/03/2025 لغاية 15/05/2025</t>
  </si>
  <si>
    <t>تسديد اجور الكهرباء مكتب الجزائر للفترة 15/04/2024 لغاية 15/06/2025</t>
  </si>
  <si>
    <t>تسديد اجور الكهرباء لسكن الجزائر للفترة15/1/2025 لغاية 15/7/2025 ( بالإضافة الى الديون المستقطعة من الرصيد 1,800,000 والمتبقي منه 1,100,00 حسب تبليغنا من الموظف طالب حسن)</t>
  </si>
  <si>
    <t>Internet for MITASH</t>
  </si>
  <si>
    <t>ICE x 44ea for DS04</t>
  </si>
  <si>
    <t>Reactive the Internet modem x 7ea</t>
  </si>
  <si>
    <t>Internet for roog</t>
  </si>
  <si>
    <t>Internet for EIMNT</t>
  </si>
  <si>
    <t>Reactive the Internet modem x 14ea</t>
  </si>
  <si>
    <t>Reactive the Internet modem x 4ea</t>
  </si>
  <si>
    <t>Reactive the Internet modem x 3ea</t>
  </si>
  <si>
    <t>Internet for CPS06</t>
  </si>
  <si>
    <t>Internet for DS02</t>
  </si>
  <si>
    <t>Internet for DS01</t>
  </si>
  <si>
    <t>Internet for PWT</t>
  </si>
  <si>
    <t>Internet for PWRI01</t>
  </si>
  <si>
    <t>Reactive the Internet modem x 3ea &amp; Reactive starlink</t>
  </si>
  <si>
    <t>internet Starlink x 1month ( 19/8/2025 - 19/9/2025 ) &amp; Modem x 1ea</t>
  </si>
  <si>
    <t>عمولة شدات</t>
  </si>
  <si>
    <t>Shipping basra - dubai</t>
  </si>
  <si>
    <t>Shipping  Basra - erbil</t>
  </si>
  <si>
    <t>Transfer baghdad - basra</t>
  </si>
  <si>
    <t>Diesel for Jul.25</t>
  </si>
  <si>
    <t>Diesel x 4000LTR</t>
  </si>
  <si>
    <t>Diesel x 1000LTR for All basrah location</t>
  </si>
  <si>
    <t>Diesel for Aug.25</t>
  </si>
  <si>
    <t>Rental ( Jul -</t>
  </si>
  <si>
    <t xml:space="preserve">Rental ( Aug.25 - </t>
  </si>
  <si>
    <t>Crane Rental for Total Matereal</t>
  </si>
  <si>
    <t>1. Anchor bolt HAS-U 5.8 M16X65mm x 60ea // 2.injectable mortar HIT-RE 500 V4/330 x 6ea</t>
  </si>
  <si>
    <t>1. Outdoor joining kit 0.6/kv, 3C x 150mm3 cable x 1ea // 2. Outdoor joining kit 0.6/kv, 3C x 240mm3 cable  x 1ea</t>
  </si>
  <si>
    <t>Stainless steel flexible hose flanget pipe 1: , #150, 6m length x 1ea</t>
  </si>
  <si>
    <t>Toner Ricoh 4503mps x 1set</t>
  </si>
  <si>
    <t>Petty cash for UQ</t>
  </si>
  <si>
    <t>Petty cash for KAZ</t>
  </si>
  <si>
    <t>Food &amp; Meals</t>
  </si>
  <si>
    <t>Petty cash for CAMP</t>
  </si>
  <si>
    <t>Food &amp; Mael</t>
  </si>
  <si>
    <t>Food &amp; Meal for CAMP</t>
  </si>
  <si>
    <t xml:space="preserve">نموذج تيشيرت طباعة IGCC </t>
  </si>
  <si>
    <t>Petty Cash for Liffting team</t>
  </si>
  <si>
    <t>Mobil Vivo x 1ea</t>
  </si>
  <si>
    <t>Iron cabin, 2doors x 2ea</t>
  </si>
  <si>
    <t>Petty Cash for Lifting team</t>
  </si>
  <si>
    <t>Petty cash for Fadi</t>
  </si>
  <si>
    <t>Petty cash for Erbil office</t>
  </si>
  <si>
    <t>Petty cash for Mitsh</t>
  </si>
  <si>
    <t>Petty cash for MITASH</t>
  </si>
  <si>
    <t>Petty Cash for ESP</t>
  </si>
  <si>
    <t>Petty cash for ROOG</t>
  </si>
  <si>
    <t>Petty Cash for DS04 gathering manifold</t>
  </si>
  <si>
    <t>Petty cash for CPSs</t>
  </si>
  <si>
    <t>Iron drill different saize x 67ea</t>
  </si>
  <si>
    <t>Petty cash for FFF</t>
  </si>
  <si>
    <t>Petty cash for FL</t>
  </si>
  <si>
    <t>Petty cash for OHTL</t>
  </si>
  <si>
    <t>Petty cash for PWRI</t>
  </si>
  <si>
    <t>Petty Cash for PWRI</t>
  </si>
  <si>
    <t>Petty cash for PWRI2</t>
  </si>
  <si>
    <t>Petty cash for QA</t>
  </si>
  <si>
    <t>Petty  cash for QA</t>
  </si>
  <si>
    <t>Petty Cash for RTB</t>
  </si>
  <si>
    <t>Petty cash for EISP</t>
  </si>
  <si>
    <t>System Cameras 4mb x 6ea ( FL _ TOTAL )</t>
  </si>
  <si>
    <t>Petty cash for KBR</t>
  </si>
  <si>
    <t>Petty cash forOHTL</t>
  </si>
  <si>
    <t>Pety Cash for PWRI2</t>
  </si>
  <si>
    <t>Petty cash for PWRI-2</t>
  </si>
  <si>
    <t>Concret for PWRI-02</t>
  </si>
  <si>
    <t>Petty cash for WOD</t>
  </si>
  <si>
    <t>Food &amp; Meal for OHTL</t>
  </si>
  <si>
    <t>Petty Cash for Total</t>
  </si>
  <si>
    <t>Consumable tools</t>
  </si>
  <si>
    <t>Petty cash for Total</t>
  </si>
  <si>
    <t>Consumable tools for Securety team</t>
  </si>
  <si>
    <t>لوحات اكرلك A0 عدد 32</t>
  </si>
  <si>
    <t>HSE Gift for TOTAL</t>
  </si>
  <si>
    <t>Consumable tools for TOTAL</t>
  </si>
  <si>
    <t>Petty cash for Ahmed Alwan</t>
  </si>
  <si>
    <t>لوحات اكرلك وسجلات</t>
  </si>
  <si>
    <t>Food &amp; Meal for Total</t>
  </si>
  <si>
    <t>Food And Meal For Total</t>
  </si>
  <si>
    <t>PQR Testing</t>
  </si>
  <si>
    <t>طمر نفايات للفترة  9/7/2025 ولغاية 8/9/2025</t>
  </si>
  <si>
    <t>طمر صحي للفترة 7/8/2025 لغاية 6/2/2026</t>
  </si>
  <si>
    <t>Medical fees</t>
  </si>
  <si>
    <t>Petty cash for EIMNT</t>
  </si>
  <si>
    <t>TKT For HE</t>
  </si>
  <si>
    <t xml:space="preserve"> pocket mouny for Amman</t>
  </si>
  <si>
    <t>HE - TKT</t>
  </si>
  <si>
    <t xml:space="preserve">Expense claim </t>
  </si>
  <si>
    <t>Expense claim for Jul.25</t>
  </si>
  <si>
    <t>Haider Ali Abd</t>
  </si>
  <si>
    <t>ALSHIRAQ COMPANY FOR GENERAL CONTRACTING CO.</t>
  </si>
  <si>
    <t>Al Ebdaa Office</t>
  </si>
  <si>
    <t>0016842</t>
  </si>
  <si>
    <t>0016843</t>
  </si>
  <si>
    <t>SQ-IGCC-ASPH-INV-02</t>
  </si>
  <si>
    <t>421</t>
  </si>
  <si>
    <t>422</t>
  </si>
  <si>
    <t>20-25</t>
  </si>
  <si>
    <t>425</t>
  </si>
  <si>
    <t>426</t>
  </si>
  <si>
    <t>PRC</t>
  </si>
  <si>
    <t>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</si>
</sst>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130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3" fillId="2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13" fillId="2" borderId="0" xfId="0" applyFont="1" applyFill="1"/>
    <xf numFmtId="0" fontId="13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14" fontId="0" fillId="0" borderId="0" xfId="0" applyNumberFormat="1" applyAlignment="1">
      <alignment horizontal="left"/>
    </xf>
    <xf numFmtId="0" fontId="13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13" fillId="4" borderId="0" xfId="0" applyFont="1" applyFill="1"/>
    <xf numFmtId="167" fontId="0" fillId="0" borderId="1" xfId="1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166" fontId="0" fillId="0" borderId="0" xfId="2" applyNumberFormat="1" applyFont="1"/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pivotButton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7" fontId="0" fillId="0" borderId="0" xfId="0" applyNumberFormat="1"/>
    <xf numFmtId="167" fontId="0" fillId="0" borderId="1" xfId="0" applyNumberFormat="1" applyBorder="1"/>
    <xf numFmtId="0" fontId="7" fillId="0" borderId="0" xfId="0" applyFont="1" applyAlignment="1">
      <alignment horizontal="left"/>
    </xf>
    <xf numFmtId="14" fontId="11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0" xfId="2" applyNumberFormat="1" applyFont="1" applyAlignment="1">
      <alignment horizontal="left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0" fillId="0" borderId="0" xfId="0" applyNumberFormat="1" applyAlignment="1">
      <alignment horizontal="center"/>
    </xf>
    <xf numFmtId="167" fontId="0" fillId="0" borderId="0" xfId="2" applyNumberFormat="1" applyFont="1"/>
    <xf numFmtId="49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14" fontId="0" fillId="0" borderId="0" xfId="0" applyNumberFormat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7" fontId="0" fillId="0" borderId="1" xfId="1" applyNumberFormat="1" applyFont="1" applyBorder="1"/>
    <xf numFmtId="167" fontId="0" fillId="0" borderId="0" xfId="0" applyNumberForma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7" fontId="1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2" borderId="1" xfId="0" applyFont="1" applyFill="1" applyBorder="1"/>
    <xf numFmtId="1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4" fontId="7" fillId="0" borderId="1" xfId="0" applyNumberFormat="1" applyFon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13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7" fillId="0" borderId="0" xfId="0" applyNumberFormat="1" applyFont="1" applyAlignment="1">
      <alignment horizontal="left"/>
    </xf>
    <xf numFmtId="165" fontId="0" fillId="0" borderId="0" xfId="1" applyFont="1"/>
    <xf numFmtId="167" fontId="0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/>
    <xf numFmtId="0" fontId="3" fillId="0" borderId="0" xfId="0" applyFont="1"/>
    <xf numFmtId="0" fontId="3" fillId="0" borderId="1" xfId="0" applyFont="1" applyBorder="1"/>
    <xf numFmtId="0" fontId="13" fillId="4" borderId="1" xfId="0" applyFont="1" applyFill="1" applyBorder="1" applyAlignment="1">
      <alignment horizontal="center" vertical="center"/>
    </xf>
    <xf numFmtId="165" fontId="13" fillId="2" borderId="0" xfId="1" applyFont="1" applyFill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14" fontId="7" fillId="0" borderId="1" xfId="0" applyNumberFormat="1" applyFont="1" applyBorder="1" applyAlignment="1">
      <alignment horizontal="left" vertical="top"/>
    </xf>
    <xf numFmtId="14" fontId="11" fillId="0" borderId="1" xfId="0" applyNumberFormat="1" applyFont="1" applyBorder="1" applyAlignment="1">
      <alignment horizontal="left" vertical="top"/>
    </xf>
    <xf numFmtId="167" fontId="13" fillId="2" borderId="1" xfId="0" applyNumberFormat="1" applyFont="1" applyFill="1" applyBorder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4" fontId="13" fillId="2" borderId="1" xfId="0" applyNumberFormat="1" applyFont="1" applyFill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/>
    <xf numFmtId="167" fontId="2" fillId="0" borderId="0" xfId="0" applyNumberFormat="1" applyFont="1"/>
    <xf numFmtId="0" fontId="10" fillId="0" borderId="1" xfId="0" applyFont="1" applyBorder="1" applyAlignment="1">
      <alignment horizontal="left" vertical="top"/>
    </xf>
    <xf numFmtId="167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3">
    <cellStyle name="Comma" xfId="1" builtinId="3"/>
    <cellStyle name="Currency" xfId="2" builtinId="4"/>
    <cellStyle name="Normal" xfId="0" builtinId="0"/>
  </cellStyles>
  <dxfs count="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8.471620717595" createdVersion="8" refreshedVersion="8" minRefreshableVersion="3" recordCount="1457" xr:uid="{72FA0FCC-0D13-40DC-A1D2-C297AF42BF93}">
  <cacheSource type="worksheet">
    <worksheetSource ref="A1:N1458" sheet="Master"/>
  </cacheSource>
  <cacheFields count="14">
    <cacheField name="Serial" numFmtId="0">
      <sharedItems containsSemiMixedTypes="0" containsString="0" containsNumber="1" containsInteger="1" minValue="1" maxValue="1457"/>
    </cacheField>
    <cacheField name="Level 1 " numFmtId="0">
      <sharedItems count="12">
        <s v="HO_23"/>
        <s v="ROOG_23"/>
        <s v="BGC_23"/>
        <s v="ROOP_23"/>
        <s v="1 MITAS"/>
        <s v="TOTAL_25"/>
        <s v="BGCG_23"/>
        <s v="ROOM_23"/>
        <s v="Camp_23"/>
        <s v="ROESP_23"/>
        <s v="MWS_23"/>
        <s v=" ROOM_23" u="1"/>
      </sharedItems>
    </cacheField>
    <cacheField name="Level 2" numFmtId="0">
      <sharedItems count="38">
        <s v="HO_SB_23"/>
        <s v="GRLRO_23"/>
        <s v="ZBR_23"/>
        <s v="QAWPT_23"/>
        <s v="MITSOHTL"/>
        <s v="GRLTOT"/>
        <s v="UQ_23"/>
        <s v="SPAS_23"/>
        <s v="RTPFL_23"/>
        <s v="QUR_23"/>
        <s v="PWRI2_23"/>
        <s v="PWRI_23"/>
        <s v="KBR_23"/>
        <s v="GRLBG_23"/>
        <s v="FLWLN_23"/>
        <s v="EIMNT_23"/>
        <s v="DG02_PWD"/>
        <s v="CPSs_23"/>
        <s v="CmpSB_23"/>
        <s v="MWS_23"/>
        <s v="EISP_23"/>
        <s v="MWP_23"/>
        <s v="KAZ_23"/>
        <s v="WOD_23"/>
        <s v="OHTL_25"/>
        <s v="MPMNT_23"/>
        <s v="MANPR_23"/>
        <s v="FFF_23"/>
        <s v="EX_23"/>
        <s v="EITAR_23"/>
        <s v="EIESP_23"/>
        <s v="E&amp;I-MAJ"/>
        <s v="BNGL-25"/>
        <s v="MPTAR_23"/>
        <s v="MPSP_23"/>
        <s v=" PWRI_23"/>
        <s v=" KAZ_23"/>
        <s v="CVMNT_23 "/>
      </sharedItems>
    </cacheField>
    <cacheField name="Cost Type" numFmtId="0">
      <sharedItems/>
    </cacheField>
    <cacheField name="GL Name" numFmtId="0">
      <sharedItems count="16">
        <s v="Accommodation"/>
        <s v="Air ticket &amp; travel"/>
        <s v="Amman Expenses"/>
        <s v="Charitable Contributions"/>
        <s v="Communication &amp; internet"/>
        <s v="DHL / Courier Fees / Shipping"/>
        <s v="Fuel &amp; Lubricant"/>
        <s v="Light &amp; Heavy Equipment’s Rental"/>
        <s v="Material &amp; Supplies"/>
        <s v="Security"/>
        <s v="Social security"/>
        <s v="Staff Salary &amp; Compensation"/>
        <s v="Subcontractors"/>
        <s v="Third party Manpower"/>
        <s v="Third party services"/>
        <s v="Visa &amp; Traveling Expense  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/>
    </cacheField>
    <cacheField name="Invoice Amount USD" numFmtId="167">
      <sharedItems containsSemiMixedTypes="0" containsString="0" containsNumber="1" minValue="7.746478873239437" maxValue="983419"/>
    </cacheField>
    <cacheField name="Invoice No." numFmtId="0">
      <sharedItems containsMixedTypes="1" containsNumber="1" containsInteger="1" minValue="8" maxValue="2025003008"/>
    </cacheField>
    <cacheField name="Invoice Date" numFmtId="14">
      <sharedItems containsDate="1" containsMixedTypes="1" minDate="2025-01-05T00:00:00" maxDate="2025-12-08T00:00:00"/>
    </cacheField>
    <cacheField name="PO Number" numFmtId="0">
      <sharedItems containsMixedTypes="1" containsNumber="1" containsInteger="1" minValue="2024403233" maxValue="2025404262"/>
    </cacheField>
    <cacheField name="Month" numFmtId="0">
      <sharedItems/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7">
  <r>
    <n v="1"/>
    <x v="0"/>
    <x v="0"/>
    <s v="Actual"/>
    <x v="0"/>
    <m/>
    <s v="IGCC"/>
    <s v="Rent Junaina Jul 25 "/>
    <n v="6000"/>
    <s v="N/A"/>
    <s v="N/A"/>
    <s v="N/A"/>
    <s v="Jul"/>
    <n v="2025"/>
  </r>
  <r>
    <n v="2"/>
    <x v="0"/>
    <x v="0"/>
    <s v="Actual"/>
    <x v="0"/>
    <m/>
    <s v="IGCC"/>
    <s v="Rent Junaina Aug 25 "/>
    <n v="6000"/>
    <s v="N/A"/>
    <s v="N/A"/>
    <s v="N/A"/>
    <s v="Aug"/>
    <n v="2025"/>
  </r>
  <r>
    <n v="3"/>
    <x v="0"/>
    <x v="0"/>
    <s v="Actual"/>
    <x v="0"/>
    <m/>
    <s v="IGCC"/>
    <s v="Rent Jazair Accommodation Jul 25"/>
    <n v="4500"/>
    <s v="N/A"/>
    <s v="N/A"/>
    <s v="N/A"/>
    <s v="Jul"/>
    <n v="2025"/>
  </r>
  <r>
    <n v="4"/>
    <x v="0"/>
    <x v="0"/>
    <s v="Actual"/>
    <x v="0"/>
    <m/>
    <s v="IGCC"/>
    <s v="Rent Jazair Accommodation Aug 25"/>
    <n v="4500"/>
    <s v="N/A"/>
    <s v="N/A"/>
    <s v="N/A"/>
    <s v="Aug"/>
    <n v="2025"/>
  </r>
  <r>
    <n v="5"/>
    <x v="0"/>
    <x v="0"/>
    <s v="Actual"/>
    <x v="0"/>
    <m/>
    <s v="IGCC"/>
    <s v="Rent Academy Jul 25 "/>
    <n v="3496.5034965034965"/>
    <s v="N/A"/>
    <s v="N/A"/>
    <s v="N/A"/>
    <s v="Jul"/>
    <n v="2025"/>
  </r>
  <r>
    <n v="6"/>
    <x v="0"/>
    <x v="0"/>
    <s v="Actual"/>
    <x v="0"/>
    <m/>
    <s v="IGCC"/>
    <s v="Rent Academy Aug 25 "/>
    <n v="3496.5034965034965"/>
    <s v="N/A"/>
    <s v="N/A"/>
    <s v="N/A"/>
    <s v="Aug"/>
    <n v="2025"/>
  </r>
  <r>
    <n v="7"/>
    <x v="0"/>
    <x v="0"/>
    <s v="Actual"/>
    <x v="0"/>
    <m/>
    <s v="Al Majal Business Park (AMBP)"/>
    <s v="Al Majal Business Park (AMBP) Jul 25"/>
    <n v="3380"/>
    <s v="2025002164"/>
    <d v="2025-07-31T00:00:00"/>
    <s v="N/A"/>
    <s v="Jul"/>
    <n v="2025"/>
  </r>
  <r>
    <n v="8"/>
    <x v="0"/>
    <x v="0"/>
    <s v="Actual"/>
    <x v="0"/>
    <m/>
    <s v="IGCC"/>
    <s v="Rent Amal Jul 25 "/>
    <n v="2097.9020979020979"/>
    <s v="N/A"/>
    <s v="N/A"/>
    <s v="N/A"/>
    <s v="Jul"/>
    <n v="2025"/>
  </r>
  <r>
    <n v="9"/>
    <x v="0"/>
    <x v="0"/>
    <s v="Actual"/>
    <x v="0"/>
    <m/>
    <s v="IGCC"/>
    <s v="Rent Amal Aug 25 "/>
    <n v="2097.9020979020979"/>
    <s v="N/A"/>
    <s v="N/A"/>
    <s v="N/A"/>
    <s v="Aug"/>
    <n v="2025"/>
  </r>
  <r>
    <n v="10"/>
    <x v="0"/>
    <x v="0"/>
    <s v="Actual"/>
    <x v="0"/>
    <m/>
    <s v="IGCC"/>
    <s v="Rent Al Jazair office Jul 25 "/>
    <n v="1750"/>
    <s v="N/A"/>
    <s v="N/A"/>
    <s v="N/A"/>
    <s v="Jul"/>
    <n v="2025"/>
  </r>
  <r>
    <n v="11"/>
    <x v="0"/>
    <x v="0"/>
    <s v="Actual"/>
    <x v="0"/>
    <m/>
    <s v="IGCC"/>
    <s v="Rent Al Jazair office Aug 25 "/>
    <n v="1750"/>
    <s v="N/A"/>
    <s v="N/A"/>
    <s v="N/A"/>
    <s v="Aug"/>
    <n v="2025"/>
  </r>
  <r>
    <n v="12"/>
    <x v="0"/>
    <x v="0"/>
    <s v="Actual"/>
    <x v="0"/>
    <m/>
    <s v="Al Majal Business Park (AMBP)"/>
    <s v="Al Majal Business Park (AMBP) Aug 25"/>
    <n v="1400"/>
    <n v="2025003008"/>
    <d v="2025-08-31T00:00:00"/>
    <s v="N/A"/>
    <s v="Aug"/>
    <n v="2025"/>
  </r>
  <r>
    <n v="13"/>
    <x v="0"/>
    <x v="0"/>
    <s v="Actual"/>
    <x v="0"/>
    <m/>
    <s v="IGCC"/>
    <s v="Rent Southren Services Jul 25 "/>
    <n v="874.12587412587413"/>
    <s v="N/A"/>
    <s v="N/A"/>
    <s v="N/A"/>
    <s v="Jul"/>
    <n v="2025"/>
  </r>
  <r>
    <n v="14"/>
    <x v="0"/>
    <x v="0"/>
    <s v="Actual"/>
    <x v="0"/>
    <m/>
    <s v="IGCC"/>
    <s v="Rent Southren Services Aug 25 "/>
    <n v="874.12587412587413"/>
    <s v="N/A"/>
    <s v="N/A"/>
    <s v="N/A"/>
    <s v="Aug"/>
    <n v="2025"/>
  </r>
  <r>
    <n v="15"/>
    <x v="0"/>
    <x v="0"/>
    <s v="Actual"/>
    <x v="1"/>
    <m/>
    <s v="Jabal Qendil BRS"/>
    <s v="Air ticket &amp; travel"/>
    <n v="5394.3605633802817"/>
    <s v="72"/>
    <d v="2025-08-11T00:00:00"/>
    <n v="2025403037"/>
    <s v="Jul"/>
    <n v="2025"/>
  </r>
  <r>
    <n v="16"/>
    <x v="0"/>
    <x v="0"/>
    <s v="Actual"/>
    <x v="1"/>
    <m/>
    <s v="Jabal Qendil BRS"/>
    <s v="Air ticket &amp; travel"/>
    <n v="2149"/>
    <s v="73"/>
    <d v="2025-09-17T00:00:00"/>
    <n v="2025403441"/>
    <s v="Aug"/>
    <n v="2025"/>
  </r>
  <r>
    <n v="17"/>
    <x v="0"/>
    <x v="0"/>
    <s v="Actual"/>
    <x v="1"/>
    <m/>
    <s v="Jabal Qendil BRS"/>
    <s v="Air ticket &amp; travel"/>
    <n v="990"/>
    <s v="71"/>
    <d v="2025-08-11T00:00:00"/>
    <n v="2025403036"/>
    <s v="Jul"/>
    <n v="2025"/>
  </r>
  <r>
    <n v="18"/>
    <x v="1"/>
    <x v="1"/>
    <s v="Actual"/>
    <x v="1"/>
    <m/>
    <s v="Jabal Qendil BRS"/>
    <s v="Air ticket &amp; travel"/>
    <n v="2958"/>
    <s v="73"/>
    <d v="2025-09-17T00:00:00"/>
    <n v="2025403441"/>
    <s v="Aug"/>
    <n v="2025"/>
  </r>
  <r>
    <n v="19"/>
    <x v="1"/>
    <x v="1"/>
    <s v="Actual"/>
    <x v="1"/>
    <m/>
    <s v="Jabal Qendil BRS"/>
    <s v="Air ticket &amp; travel"/>
    <n v="1987"/>
    <s v="71"/>
    <d v="2025-08-11T00:00:00"/>
    <n v="2025403036"/>
    <s v="Jul"/>
    <n v="2025"/>
  </r>
  <r>
    <n v="20"/>
    <x v="1"/>
    <x v="1"/>
    <s v="Actual"/>
    <x v="1"/>
    <m/>
    <s v="Jabal Qendil BRS"/>
    <s v="Air ticket &amp; travel"/>
    <n v="1959"/>
    <s v="72"/>
    <d v="2025-08-11T00:00:00"/>
    <n v="2025403037"/>
    <s v="Jul"/>
    <n v="2025"/>
  </r>
  <r>
    <n v="21"/>
    <x v="1"/>
    <x v="1"/>
    <s v="Actual"/>
    <x v="1"/>
    <m/>
    <s v="Jabal Qendil BRS"/>
    <s v="Air ticket &amp; travel"/>
    <n v="292.95774647887322"/>
    <s v="74"/>
    <d v="2025-09-17T00:00:00"/>
    <n v="2025403439"/>
    <s v="Aug"/>
    <n v="2025"/>
  </r>
  <r>
    <n v="22"/>
    <x v="0"/>
    <x v="0"/>
    <s v="Actual"/>
    <x v="2"/>
    <m/>
    <s v="IGCC"/>
    <s v="Amman Expenses"/>
    <n v="983419"/>
    <s v="N/A"/>
    <s v="N/A"/>
    <s v="N/A"/>
    <s v="Jul"/>
    <n v="2025"/>
  </r>
  <r>
    <n v="23"/>
    <x v="0"/>
    <x v="0"/>
    <s v="Actual"/>
    <x v="2"/>
    <m/>
    <s v="IGCC"/>
    <s v="Amman Expenses"/>
    <n v="97275"/>
    <s v="N/A"/>
    <s v="N/A"/>
    <s v="N/A"/>
    <s v="Aug"/>
    <n v="2025"/>
  </r>
  <r>
    <n v="24"/>
    <x v="2"/>
    <x v="2"/>
    <s v="Actual"/>
    <x v="3"/>
    <m/>
    <s v="Petty Cash"/>
    <s v="KAZ-Check point salary "/>
    <n v="915.49295774647885"/>
    <s v="##"/>
    <d v="2025-03-08T00:00:00"/>
    <s v="N/A"/>
    <s v="Aug"/>
    <n v="2025"/>
  </r>
  <r>
    <n v="25"/>
    <x v="2"/>
    <x v="2"/>
    <s v="Actual"/>
    <x v="3"/>
    <m/>
    <s v="Petty Cash"/>
    <s v="KAZ-Check point salary "/>
    <n v="915.49295774647885"/>
    <s v="##"/>
    <d v="2025-01-07T00:00:00"/>
    <s v="N/A"/>
    <s v="Jul"/>
    <n v="2025"/>
  </r>
  <r>
    <n v="26"/>
    <x v="3"/>
    <x v="3"/>
    <s v="Actual"/>
    <x v="3"/>
    <m/>
    <s v="Petty Cash"/>
    <s v="اكراميات وعشائر"/>
    <n v="1760.5633802816901"/>
    <s v="##"/>
    <d v="2025-08-18T00:00:00"/>
    <s v="N/A"/>
    <s v="Aug"/>
    <n v="2025"/>
  </r>
  <r>
    <n v="27"/>
    <x v="3"/>
    <x v="3"/>
    <s v="Actual"/>
    <x v="3"/>
    <m/>
    <s v="Petty Cash"/>
    <s v="اكراميات وعشائر"/>
    <n v="1760.5633802816901"/>
    <s v="##"/>
    <d v="2025-07-16T00:00:00"/>
    <s v="N/A"/>
    <s v="Jul"/>
    <n v="2025"/>
  </r>
  <r>
    <n v="28"/>
    <x v="4"/>
    <x v="4"/>
    <s v="Actual"/>
    <x v="3"/>
    <m/>
    <s v="Petty Cash"/>
    <s v="اكراميات وعشائر"/>
    <n v="704.22535211267609"/>
    <s v="##"/>
    <d v="2025-07-14T00:00:00"/>
    <s v="N/A"/>
    <s v="Jul"/>
    <n v="2025"/>
  </r>
  <r>
    <n v="29"/>
    <x v="4"/>
    <x v="4"/>
    <s v="Actual"/>
    <x v="3"/>
    <m/>
    <s v="Petty Cash"/>
    <s v="Mitas-Check point salary "/>
    <n v="704.22535211267609"/>
    <s v="##"/>
    <d v="2025-01-07T00:00:00"/>
    <s v="N/A"/>
    <s v="Jul"/>
    <n v="2025"/>
  </r>
  <r>
    <n v="30"/>
    <x v="4"/>
    <x v="4"/>
    <s v="Actual"/>
    <x v="3"/>
    <m/>
    <s v="Petty Cash"/>
    <s v="اكراميات وعشائر ( ذبيحة 1 للموقع )"/>
    <n v="359.15492957746477"/>
    <s v="##"/>
    <d v="2025-08-07T00:00:00"/>
    <s v="N/A"/>
    <s v="Jul"/>
    <n v="2025"/>
  </r>
  <r>
    <n v="31"/>
    <x v="0"/>
    <x v="0"/>
    <s v="Actual"/>
    <x v="3"/>
    <m/>
    <s v="Petty Cash"/>
    <s v="اكراميات وعشائر"/>
    <n v="5783.8028169014087"/>
    <s v="##"/>
    <d v="2025-07-23T00:00:00"/>
    <s v="N/A"/>
    <s v="Jul"/>
    <n v="2025"/>
  </r>
  <r>
    <n v="32"/>
    <x v="0"/>
    <x v="0"/>
    <s v="Actual"/>
    <x v="3"/>
    <m/>
    <s v="Petty Cash"/>
    <s v="تصاريح امنية/ "/>
    <n v="3554.9295774647885"/>
    <s v="##"/>
    <d v="2025-03-08T00:00:00"/>
    <s v="N/A"/>
    <s v="Aug"/>
    <n v="2025"/>
  </r>
  <r>
    <n v="33"/>
    <x v="0"/>
    <x v="0"/>
    <s v="Actual"/>
    <x v="3"/>
    <m/>
    <s v="Petty Cash"/>
    <s v="تصاريح امنية/ العدد 822 موظف"/>
    <n v="2785.5633802816901"/>
    <s v="##"/>
    <d v="2025-07-28T00:00:00"/>
    <s v="N/A"/>
    <s v="Jul"/>
    <n v="2025"/>
  </r>
  <r>
    <n v="34"/>
    <x v="0"/>
    <x v="0"/>
    <s v="Actual"/>
    <x v="3"/>
    <m/>
    <s v="Petty Cash"/>
    <s v="تبرعات للايتام والفقراء"/>
    <n v="1760.5633802816901"/>
    <s v="##"/>
    <d v="2025-08-31T00:00:00"/>
    <s v="N/A"/>
    <s v="Aug"/>
    <n v="2025"/>
  </r>
  <r>
    <n v="35"/>
    <x v="0"/>
    <x v="0"/>
    <s v="Actual"/>
    <x v="3"/>
    <m/>
    <s v="Petty Cash"/>
    <s v="طبخ يوم 10 محرم"/>
    <n v="1584.5070422535211"/>
    <s v="##"/>
    <d v="2025-05-07T00:00:00"/>
    <s v="N/A"/>
    <s v="Jul"/>
    <n v="2025"/>
  </r>
  <r>
    <n v="36"/>
    <x v="0"/>
    <x v="0"/>
    <s v="Actual"/>
    <x v="3"/>
    <m/>
    <s v="Petty Cash"/>
    <s v="اكراميات وعشائر"/>
    <n v="925.35211267605632"/>
    <s v="##"/>
    <d v="2025-08-30T00:00:00"/>
    <s v="N/A"/>
    <s v="Aug"/>
    <n v="2025"/>
  </r>
  <r>
    <n v="37"/>
    <x v="0"/>
    <x v="0"/>
    <s v="Actual"/>
    <x v="3"/>
    <m/>
    <s v="Petty Cash"/>
    <s v="عزاء ( ذوالفقار عوني - ذبيحة 2 )"/>
    <n v="478.87323943661971"/>
    <s v="##"/>
    <d v="2025-05-08T00:00:00"/>
    <s v="N/A"/>
    <s v="Aug"/>
    <n v="2025"/>
  </r>
  <r>
    <n v="38"/>
    <x v="0"/>
    <x v="0"/>
    <s v="Actual"/>
    <x v="3"/>
    <m/>
    <s v="Petty Cash"/>
    <s v="تبرعات للفقراء"/>
    <n v="352.11267605633805"/>
    <s v="##"/>
    <d v="2025-07-20T00:00:00"/>
    <s v="N/A"/>
    <s v="Jul"/>
    <n v="2025"/>
  </r>
  <r>
    <n v="39"/>
    <x v="0"/>
    <x v="0"/>
    <s v="Actual"/>
    <x v="3"/>
    <m/>
    <s v="Petty Cash"/>
    <s v="اكراميات وعشائر - الإطفاء"/>
    <n v="352.11267605633805"/>
    <s v="##"/>
    <d v="2025-07-13T00:00:00"/>
    <s v="N/A"/>
    <s v="Jul"/>
    <n v="2025"/>
  </r>
  <r>
    <n v="40"/>
    <x v="0"/>
    <x v="0"/>
    <s v="Actual"/>
    <x v="3"/>
    <m/>
    <s v="Petty Cash"/>
    <s v="تبرعات للايتام والفقراء"/>
    <n v="250"/>
    <s v="##"/>
    <d v="2025-06-29T00:00:00"/>
    <s v="N/A"/>
    <s v="Jul"/>
    <n v="2025"/>
  </r>
  <r>
    <n v="41"/>
    <x v="5"/>
    <x v="5"/>
    <s v="Actual"/>
    <x v="3"/>
    <m/>
    <s v="Petty Cash"/>
    <s v="اكراميات وعشائر"/>
    <n v="985.91549295774644"/>
    <s v="##"/>
    <d v="2025-10-07T00:00:00"/>
    <s v="N/A"/>
    <s v="Jul"/>
    <n v="2025"/>
  </r>
  <r>
    <n v="42"/>
    <x v="5"/>
    <x v="5"/>
    <s v="Actual"/>
    <x v="3"/>
    <m/>
    <s v="Petty Cash"/>
    <s v="Total-Check point salary "/>
    <n v="352.11267605633805"/>
    <s v="##"/>
    <d v="2025-03-08T00:00:00"/>
    <s v="N/A"/>
    <s v="Aug"/>
    <n v="2025"/>
  </r>
  <r>
    <n v="43"/>
    <x v="5"/>
    <x v="5"/>
    <s v="Actual"/>
    <x v="3"/>
    <m/>
    <s v="Petty Cash"/>
    <s v="Total-Check point salary "/>
    <n v="352.11267605633805"/>
    <s v="##"/>
    <d v="2025-01-07T00:00:00"/>
    <s v="N/A"/>
    <s v="Jul"/>
    <n v="2025"/>
  </r>
  <r>
    <n v="44"/>
    <x v="5"/>
    <x v="5"/>
    <s v="Actual"/>
    <x v="3"/>
    <m/>
    <s v="Petty Cash"/>
    <s v="اكراميات وعشائر"/>
    <n v="352.11267605633805"/>
    <s v="##"/>
    <d v="2025-07-15T00:00:00"/>
    <s v="N/A"/>
    <s v="Jul"/>
    <n v="2025"/>
  </r>
  <r>
    <n v="45"/>
    <x v="5"/>
    <x v="5"/>
    <s v="Actual"/>
    <x v="3"/>
    <m/>
    <s v="Petty Cash"/>
    <s v="اكراميات وعشائر"/>
    <n v="183.09859154929578"/>
    <s v="##"/>
    <d v="2025-08-21T00:00:00"/>
    <s v="N/A"/>
    <s v="Aug"/>
    <n v="2025"/>
  </r>
  <r>
    <n v="46"/>
    <x v="1"/>
    <x v="1"/>
    <s v="Actual"/>
    <x v="3"/>
    <m/>
    <s v="Petty Cash"/>
    <s v="اكراميات وعشائر"/>
    <n v="8098.5915492957747"/>
    <s v="##"/>
    <d v="2025-08-27T00:00:00"/>
    <s v="N/A"/>
    <s v="Aug"/>
    <n v="2025"/>
  </r>
  <r>
    <n v="47"/>
    <x v="1"/>
    <x v="1"/>
    <s v="Actual"/>
    <x v="3"/>
    <m/>
    <s v="Petty Cash"/>
    <s v="اكراميات وعشائر"/>
    <n v="2007.0422535211267"/>
    <s v="##"/>
    <d v="2025-08-20T00:00:00"/>
    <s v="N/A"/>
    <s v="Aug"/>
    <n v="2025"/>
  </r>
  <r>
    <n v="48"/>
    <x v="1"/>
    <x v="1"/>
    <s v="Actual"/>
    <x v="3"/>
    <m/>
    <s v="Petty Cash"/>
    <s v="أكراميات وعشائر - Iphon"/>
    <n v="1179.5774647887324"/>
    <s v="##"/>
    <d v="2025-08-18T00:00:00"/>
    <s v="N/A"/>
    <s v="Aug"/>
    <n v="2025"/>
  </r>
  <r>
    <n v="49"/>
    <x v="1"/>
    <x v="1"/>
    <s v="Actual"/>
    <x v="3"/>
    <m/>
    <s v="Petty Cash"/>
    <s v="اكراميات وعشائر"/>
    <n v="1056.338028169014"/>
    <s v="##"/>
    <d v="2025-05-08T00:00:00"/>
    <s v="N/A"/>
    <s v="Aug"/>
    <n v="2025"/>
  </r>
  <r>
    <n v="50"/>
    <x v="1"/>
    <x v="1"/>
    <s v="Actual"/>
    <x v="3"/>
    <m/>
    <s v="Petty Cash"/>
    <s v="اكراميات وعشائر"/>
    <n v="778.16901408450701"/>
    <s v="##"/>
    <d v="2025-07-17T00:00:00"/>
    <s v="N/A"/>
    <s v="Jul"/>
    <n v="2025"/>
  </r>
  <r>
    <n v="51"/>
    <x v="1"/>
    <x v="1"/>
    <s v="Actual"/>
    <x v="3"/>
    <m/>
    <s v="Petty Cash"/>
    <s v="ROOG-check point salary"/>
    <n v="528.16901408450701"/>
    <s v="##"/>
    <d v="2025-03-08T00:00:00"/>
    <s v="N/A"/>
    <s v="Aug"/>
    <n v="2025"/>
  </r>
  <r>
    <n v="52"/>
    <x v="1"/>
    <x v="1"/>
    <s v="Actual"/>
    <x v="3"/>
    <m/>
    <s v="Petty Cash"/>
    <s v="ROOG-check point salary"/>
    <n v="528.16901408450701"/>
    <s v="##"/>
    <d v="2025-01-07T00:00:00"/>
    <s v="N/A"/>
    <s v="Jul"/>
    <n v="2025"/>
  </r>
  <r>
    <n v="53"/>
    <x v="1"/>
    <x v="1"/>
    <s v="Actual"/>
    <x v="3"/>
    <m/>
    <s v="Petty Cash"/>
    <s v="ROOG-check point salary"/>
    <n v="352.11267605633805"/>
    <s v="##"/>
    <d v="2025-03-08T00:00:00"/>
    <s v="N/A"/>
    <s v="Aug"/>
    <n v="2025"/>
  </r>
  <r>
    <n v="54"/>
    <x v="1"/>
    <x v="1"/>
    <s v="Actual"/>
    <x v="3"/>
    <m/>
    <s v="Petty Cash"/>
    <s v="رسوم إدارية - عقد KENT"/>
    <n v="211.26760563380282"/>
    <s v="##"/>
    <d v="2025-07-15T00:00:00"/>
    <s v="N/A"/>
    <s v="Jul"/>
    <n v="2025"/>
  </r>
  <r>
    <n v="55"/>
    <x v="2"/>
    <x v="2"/>
    <s v="Actual"/>
    <x v="4"/>
    <m/>
    <s v="Hulum Telecom"/>
    <s v="Internet"/>
    <n v="1185.2112676056338"/>
    <s v="IN000277242"/>
    <d v="2025-07-01T00:00:00"/>
    <s v="N/A"/>
    <s v="Jul"/>
    <n v="2025"/>
  </r>
  <r>
    <n v="56"/>
    <x v="2"/>
    <x v="2"/>
    <s v="Actual"/>
    <x v="4"/>
    <m/>
    <s v="Hulum Telecom"/>
    <s v="Internet"/>
    <n v="1185.2112676056338"/>
    <s v="IN000284662"/>
    <d v="2025-08-01T00:00:00"/>
    <s v="N/A"/>
    <s v="Aug"/>
    <n v="2025"/>
  </r>
  <r>
    <n v="57"/>
    <x v="2"/>
    <x v="2"/>
    <s v="Actual"/>
    <x v="4"/>
    <m/>
    <s v="Petty Cash"/>
    <s v="Reactive the Internet modem x 21ea"/>
    <n v="783.80281690140851"/>
    <s v="##"/>
    <d v="2025-07-18T00:00:00"/>
    <s v="N/A"/>
    <s v="Jul"/>
    <n v="2025"/>
  </r>
  <r>
    <n v="58"/>
    <x v="2"/>
    <x v="6"/>
    <s v="Actual"/>
    <x v="4"/>
    <m/>
    <s v="Petty Cash"/>
    <s v="Starlink installation &amp; Active internet"/>
    <n v="1264.0845070422536"/>
    <s v="##"/>
    <d v="2025-05-07T00:00:00"/>
    <s v="N/A"/>
    <s v="Jul"/>
    <n v="2025"/>
  </r>
  <r>
    <n v="59"/>
    <x v="2"/>
    <x v="6"/>
    <s v="Actual"/>
    <x v="4"/>
    <m/>
    <s v="Petty Cash"/>
    <s v="internet Starlink x 1month ( 2/8/2025 - 2/9/2025 )"/>
    <n v="242.95774647887325"/>
    <s v="##"/>
    <d v="2025-02-08T00:00:00"/>
    <s v="N/A"/>
    <s v="Aug"/>
    <n v="2025"/>
  </r>
  <r>
    <n v="60"/>
    <x v="2"/>
    <x v="6"/>
    <s v="Actual"/>
    <x v="4"/>
    <m/>
    <s v="Petty Cash"/>
    <s v="Reactive the Internet modem x 2ea"/>
    <n v="74.647887323943664"/>
    <s v="##"/>
    <d v="2025-07-19T00:00:00"/>
    <s v="N/A"/>
    <s v="Jul"/>
    <n v="2025"/>
  </r>
  <r>
    <n v="61"/>
    <x v="2"/>
    <x v="7"/>
    <s v="Actual"/>
    <x v="4"/>
    <m/>
    <s v="Petty Cash"/>
    <s v="Internet for NGL - Jul.25"/>
    <n v="1264.0845070422536"/>
    <s v="##"/>
    <d v="2025-07-29T00:00:00"/>
    <s v="N/A"/>
    <s v="Jul"/>
    <n v="2025"/>
  </r>
  <r>
    <n v="62"/>
    <x v="2"/>
    <x v="7"/>
    <s v="Actual"/>
    <x v="4"/>
    <m/>
    <s v="Petty Cash"/>
    <s v="ICE x 272ea for NGL"/>
    <n v="760.21126760563379"/>
    <s v="##"/>
    <d v="2025-10-07T00:00:00"/>
    <s v="N/A"/>
    <s v="Jul"/>
    <n v="2025"/>
  </r>
  <r>
    <n v="63"/>
    <x v="2"/>
    <x v="7"/>
    <s v="Actual"/>
    <x v="4"/>
    <m/>
    <s v="Petty Cash"/>
    <s v="ICE x 383ea"/>
    <n v="674.29577464788736"/>
    <s v="##"/>
    <d v="2025-06-29T00:00:00"/>
    <s v="N/A"/>
    <s v="Jul"/>
    <n v="2025"/>
  </r>
  <r>
    <n v="64"/>
    <x v="2"/>
    <x v="7"/>
    <s v="Actual"/>
    <x v="4"/>
    <m/>
    <s v="Petty Cash"/>
    <s v="ICE x 272ea for NGL"/>
    <n v="478.87323943661971"/>
    <s v="##"/>
    <d v="2025-06-25T00:00:00"/>
    <s v="N/A"/>
    <s v="Jul"/>
    <n v="2025"/>
  </r>
  <r>
    <n v="65"/>
    <x v="3"/>
    <x v="8"/>
    <s v="Actual"/>
    <x v="4"/>
    <m/>
    <s v="Petty Cash"/>
    <s v="Internet for FL"/>
    <n v="74.647887323943664"/>
    <s v="##"/>
    <d v="2025-08-17T00:00:00"/>
    <s v="N/A"/>
    <s v="Aug"/>
    <n v="2025"/>
  </r>
  <r>
    <n v="66"/>
    <x v="2"/>
    <x v="9"/>
    <s v="Actual"/>
    <x v="4"/>
    <m/>
    <s v="Petty Cash"/>
    <s v="Internet for QTC"/>
    <n v="223.94366197183098"/>
    <s v="##"/>
    <d v="2025-08-21T00:00:00"/>
    <s v="N/A"/>
    <s v="Aug"/>
    <n v="2025"/>
  </r>
  <r>
    <n v="67"/>
    <x v="2"/>
    <x v="9"/>
    <s v="Actual"/>
    <x v="4"/>
    <m/>
    <s v="Petty Cash"/>
    <s v="Reactive the Internet modem x 1ea"/>
    <n v="37.323943661971832"/>
    <s v="##"/>
    <d v="2025-07-18T00:00:00"/>
    <s v="N/A"/>
    <s v="Jul"/>
    <n v="2025"/>
  </r>
  <r>
    <n v="68"/>
    <x v="3"/>
    <x v="3"/>
    <s v="Actual"/>
    <x v="4"/>
    <m/>
    <s v="Petty Cash"/>
    <s v="Internet for QA"/>
    <n v="209.1549295774648"/>
    <s v="##"/>
    <d v="2025-08-17T00:00:00"/>
    <s v="N/A"/>
    <s v="Aug"/>
    <n v="2025"/>
  </r>
  <r>
    <n v="69"/>
    <x v="3"/>
    <x v="3"/>
    <s v="Actual"/>
    <x v="4"/>
    <m/>
    <s v="Petty Cash"/>
    <s v="Reactive the Internet modem x 3ea"/>
    <n v="111.97183098591549"/>
    <s v="##"/>
    <d v="2025-07-20T00:00:00"/>
    <s v="N/A"/>
    <s v="Jul"/>
    <n v="2025"/>
  </r>
  <r>
    <n v="70"/>
    <x v="3"/>
    <x v="10"/>
    <s v="Actual"/>
    <x v="4"/>
    <m/>
    <s v="Petty Cash"/>
    <s v="Starlink installation &amp; Active internet"/>
    <n v="1264.0845070422536"/>
    <s v="##"/>
    <d v="2025-07-19T00:00:00"/>
    <s v="N/A"/>
    <s v="Jul"/>
    <n v="2025"/>
  </r>
  <r>
    <n v="71"/>
    <x v="3"/>
    <x v="10"/>
    <s v="Actual"/>
    <x v="4"/>
    <m/>
    <s v="Petty Cash"/>
    <s v="internet Starlink x 1month ( 2/8/2025 - 2/9/2025 )"/>
    <n v="242.95774647887325"/>
    <s v="##"/>
    <d v="2025-02-08T00:00:00"/>
    <s v="N/A"/>
    <s v="Aug"/>
    <n v="2025"/>
  </r>
  <r>
    <n v="72"/>
    <x v="3"/>
    <x v="11"/>
    <s v="Actual"/>
    <x v="4"/>
    <m/>
    <s v="Petty Cash"/>
    <s v="Reactive the Internet modem x 3ea"/>
    <n v="111.97183098591549"/>
    <s v="##"/>
    <d v="2025-07-15T00:00:00"/>
    <s v="N/A"/>
    <s v="Jul"/>
    <n v="2025"/>
  </r>
  <r>
    <n v="73"/>
    <x v="3"/>
    <x v="11"/>
    <s v="Actual"/>
    <x v="4"/>
    <m/>
    <s v="Petty Cash"/>
    <s v="Internet for PWRI01"/>
    <n v="74.647887323943664"/>
    <s v="##"/>
    <d v="2025-08-17T00:00:00"/>
    <s v="N/A"/>
    <s v="Aug"/>
    <n v="2025"/>
  </r>
  <r>
    <n v="74"/>
    <x v="3"/>
    <x v="11"/>
    <s v="Actual"/>
    <x v="4"/>
    <m/>
    <s v="Petty Cash"/>
    <s v="Internet for PWT"/>
    <n v="37.323943661971832"/>
    <s v="##"/>
    <d v="2025-08-19T00:00:00"/>
    <s v="N/A"/>
    <s v="Aug"/>
    <n v="2025"/>
  </r>
  <r>
    <n v="75"/>
    <x v="4"/>
    <x v="4"/>
    <s v="Actual"/>
    <x v="4"/>
    <m/>
    <s v="Zain Telecom"/>
    <s v="Zain Telecom Services"/>
    <n v="204.40911170420952"/>
    <n v="55"/>
    <d v="2025-07-29T00:00:00"/>
    <s v="N/A"/>
    <s v="Aug"/>
    <n v="2025"/>
  </r>
  <r>
    <n v="76"/>
    <x v="4"/>
    <x v="4"/>
    <s v="Actual"/>
    <x v="4"/>
    <m/>
    <s v="Zain Telecom"/>
    <s v="Zain Telecom Services"/>
    <n v="151.95845389565363"/>
    <s v="64"/>
    <d v="2025-07-31T00:00:00"/>
    <s v="N/A"/>
    <s v="Jul"/>
    <n v="2025"/>
  </r>
  <r>
    <n v="77"/>
    <x v="4"/>
    <x v="4"/>
    <s v="Actual"/>
    <x v="4"/>
    <m/>
    <s v="Petty Cash"/>
    <s v="Internet for MITASH"/>
    <n v="74.647887323943664"/>
    <s v="##"/>
    <d v="2025-02-08T00:00:00"/>
    <s v="N/A"/>
    <s v="Aug"/>
    <n v="2025"/>
  </r>
  <r>
    <n v="78"/>
    <x v="4"/>
    <x v="4"/>
    <s v="Actual"/>
    <x v="4"/>
    <m/>
    <s v="Petty Cash"/>
    <s v="Reactive the Internet modem x 2ea"/>
    <n v="74.647887323943664"/>
    <s v="##"/>
    <d v="2025-07-28T00:00:00"/>
    <s v="N/A"/>
    <s v="Jul"/>
    <n v="2025"/>
  </r>
  <r>
    <n v="79"/>
    <x v="3"/>
    <x v="12"/>
    <s v="Actual"/>
    <x v="4"/>
    <m/>
    <s v="Hulum Telecom"/>
    <s v="Internet"/>
    <n v="1185.2112676056338"/>
    <s v="IN000277243"/>
    <d v="2025-07-01T00:00:00"/>
    <s v="N/A"/>
    <s v="Jul"/>
    <n v="2025"/>
  </r>
  <r>
    <n v="80"/>
    <x v="3"/>
    <x v="12"/>
    <s v="Actual"/>
    <x v="4"/>
    <m/>
    <s v="Hulum Telecom"/>
    <s v="Internet"/>
    <n v="1185.2112676056338"/>
    <s v="IN000284663"/>
    <d v="2025-08-01T00:00:00"/>
    <s v="N/A"/>
    <s v="Aug"/>
    <n v="2025"/>
  </r>
  <r>
    <n v="81"/>
    <x v="0"/>
    <x v="0"/>
    <s v="Actual"/>
    <x v="4"/>
    <m/>
    <s v="Petty Cash"/>
    <s v="تسديد اجور الكهرباء لسكن الاستقلال للفترة 15/03/2025 لغاية 15/05/2025 بالإضافة الى الديون"/>
    <n v="2747.1830985915494"/>
    <n v="3208"/>
    <d v="2025-08-28T00:00:00"/>
    <s v="N/A"/>
    <s v="Aug"/>
    <n v="2025"/>
  </r>
  <r>
    <n v="82"/>
    <x v="0"/>
    <x v="0"/>
    <s v="Actual"/>
    <x v="4"/>
    <m/>
    <s v="Petty Cash"/>
    <s v="تسديد اجور الكهرباء لسكن الجنينة للفترة 15/03/2025 لغاية 15/05/2025"/>
    <n v="2119.1901408450703"/>
    <n v="82006"/>
    <d v="2025-03-08T00:00:00"/>
    <s v="N/A"/>
    <s v="Aug"/>
    <n v="2025"/>
  </r>
  <r>
    <n v="83"/>
    <x v="0"/>
    <x v="0"/>
    <s v="Actual"/>
    <x v="4"/>
    <m/>
    <s v="Petty Cash"/>
    <s v="تسديد اجور الكهرباء لسكن الجزائر للفترة15/1/2025 لغاية 15/7/2025 ( بالإضافة الى الديون المستقطعة من الرصيد 1,800,000 والمتبقي منه 1,100,00 حسب تبليغنا من الموظف طالب حسن)"/>
    <n v="1590.8450704225352"/>
    <s v="4800-5807-5609-4206-4602-5401-5203-5005"/>
    <d v="2025-08-28T00:00:00"/>
    <s v="N/A"/>
    <s v="Aug"/>
    <n v="2025"/>
  </r>
  <r>
    <n v="84"/>
    <x v="0"/>
    <x v="0"/>
    <s v="Actual"/>
    <x v="4"/>
    <m/>
    <s v="Petty Cash"/>
    <s v="أجور مولد لبناية الاكاديمية عدد96 امبير للاشهر Jul"/>
    <n v="676.05633802816897"/>
    <s v="##"/>
    <d v="2025-07-29T00:00:00"/>
    <s v="N/A"/>
    <s v="Jul"/>
    <n v="2025"/>
  </r>
  <r>
    <n v="85"/>
    <x v="0"/>
    <x v="0"/>
    <s v="Actual"/>
    <x v="4"/>
    <m/>
    <s v="Petty Cash"/>
    <s v="INTERNET FEES ( ALJAZZAER, ISTEQLQL, ALJUNAINA AND ACY) From 7/8/2025 to 7/9/2025"/>
    <n v="612.67605633802816"/>
    <n v="98"/>
    <d v="2025-07-08T00:00:00"/>
    <s v="N/A"/>
    <s v="Aug"/>
    <n v="2025"/>
  </r>
  <r>
    <n v="86"/>
    <x v="0"/>
    <x v="0"/>
    <s v="Actual"/>
    <x v="4"/>
    <m/>
    <s v="Petty Cash"/>
    <s v="INTERNET FEES ( ALJAZZAER, ISTEQLQL, ALJUNAINA AND ACY) From 17/7/2025 to 17/8/2025"/>
    <n v="577.46478873239437"/>
    <s v="##"/>
    <d v="2025-07-17T00:00:00"/>
    <s v="N/A"/>
    <s v="Jul"/>
    <n v="2025"/>
  </r>
  <r>
    <n v="87"/>
    <x v="0"/>
    <x v="0"/>
    <s v="Actual"/>
    <x v="4"/>
    <m/>
    <s v="Petty Cash"/>
    <s v="Reactive the lines &amp; Internet &amp; Consumable tools"/>
    <n v="514.78873239436621"/>
    <s v="##"/>
    <d v="2025-07-18T00:00:00"/>
    <s v="N/A"/>
    <s v="Jul"/>
    <n v="2025"/>
  </r>
  <r>
    <n v="88"/>
    <x v="0"/>
    <x v="0"/>
    <s v="Actual"/>
    <x v="4"/>
    <m/>
    <s v="Zain Telecom"/>
    <s v="Zain Telecom Services"/>
    <n v="505.49714095361122"/>
    <n v="55"/>
    <d v="2025-07-29T00:00:00"/>
    <s v="N/A"/>
    <s v="Aug"/>
    <n v="2025"/>
  </r>
  <r>
    <n v="89"/>
    <x v="0"/>
    <x v="0"/>
    <s v="Actual"/>
    <x v="4"/>
    <m/>
    <s v="Zain Telecom"/>
    <s v="Zain Telecom Services"/>
    <n v="501.39464980495097"/>
    <s v="64"/>
    <d v="2025-07-31T00:00:00"/>
    <s v="N/A"/>
    <s v="Jul"/>
    <n v="2025"/>
  </r>
  <r>
    <n v="90"/>
    <x v="0"/>
    <x v="0"/>
    <s v="Actual"/>
    <x v="4"/>
    <m/>
    <s v="Petty Cash"/>
    <s v="SIM &amp; INTERNET FOR HO"/>
    <n v="290.84507042253523"/>
    <s v="##"/>
    <d v="2025-06-08T00:00:00"/>
    <s v="N/A"/>
    <s v="Aug"/>
    <n v="2025"/>
  </r>
  <r>
    <n v="91"/>
    <x v="0"/>
    <x v="0"/>
    <s v="Actual"/>
    <x v="4"/>
    <m/>
    <s v="Petty Cash"/>
    <s v="Cleaner Materials"/>
    <n v="241.72535211267606"/>
    <s v="##"/>
    <d v="2025-08-30T00:00:00"/>
    <s v="N/A"/>
    <s v="Aug"/>
    <n v="2025"/>
  </r>
  <r>
    <n v="92"/>
    <x v="0"/>
    <x v="0"/>
    <s v="Actual"/>
    <x v="4"/>
    <m/>
    <s v="Petty Cash"/>
    <s v="تسديد اجور الكهرباء للاكاديمية للفترة 15/01/2025 لغاية 15/03/2025"/>
    <n v="227.46478873239437"/>
    <n v="401809"/>
    <d v="2025-07-17T00:00:00"/>
    <s v="N/A"/>
    <s v="Jul"/>
    <n v="2025"/>
  </r>
  <r>
    <n v="93"/>
    <x v="0"/>
    <x v="0"/>
    <s v="Actual"/>
    <x v="4"/>
    <m/>
    <s v="Petty Cash"/>
    <s v="تسديد اجور الكهرباء مكتب الجزائر للفترة 15/11/2024 لغاية 15/02/2025"/>
    <n v="209.50704225352112"/>
    <n v="89604"/>
    <d v="2025-02-07T00:00:00"/>
    <s v="N/A"/>
    <s v="Jul"/>
    <n v="2025"/>
  </r>
  <r>
    <n v="94"/>
    <x v="0"/>
    <x v="0"/>
    <s v="Actual"/>
    <x v="4"/>
    <m/>
    <s v="Petty Cash"/>
    <s v="تسديد اجور الكهرباء مكتب الجزائر للفترة 15/04/2024 لغاية 15/06/2025"/>
    <n v="192.25352112676057"/>
    <n v="89604"/>
    <d v="2025-08-26T00:00:00"/>
    <s v="N/A"/>
    <s v="Aug"/>
    <n v="2025"/>
  </r>
  <r>
    <n v="95"/>
    <x v="0"/>
    <x v="0"/>
    <s v="Actual"/>
    <x v="4"/>
    <m/>
    <s v="Petty Cash"/>
    <s v="Cleaner Materials"/>
    <n v="70.24647887323944"/>
    <s v="##"/>
    <d v="2025-10-07T00:00:00"/>
    <s v="N/A"/>
    <s v="Jul"/>
    <n v="2025"/>
  </r>
  <r>
    <n v="96"/>
    <x v="5"/>
    <x v="5"/>
    <s v="Actual"/>
    <x v="4"/>
    <m/>
    <s v="Petty Cash"/>
    <s v="Reactive the Internet modem x 3ea &amp; Reactive starlink"/>
    <n v="354.92957746478874"/>
    <s v="##"/>
    <d v="2025-07-17T00:00:00"/>
    <s v="N/A"/>
    <s v="Jul"/>
    <n v="2025"/>
  </r>
  <r>
    <n v="97"/>
    <x v="5"/>
    <x v="5"/>
    <s v="Actual"/>
    <x v="4"/>
    <m/>
    <s v="Petty Cash"/>
    <s v="internet Starlink x 1month ( 19/8/2025 - 19/9/2025 ) &amp; Modem x 1ea"/>
    <n v="280.28169014084506"/>
    <s v="##"/>
    <d v="2025-08-19T00:00:00"/>
    <s v="N/A"/>
    <s v="Aug"/>
    <n v="2025"/>
  </r>
  <r>
    <n v="98"/>
    <x v="5"/>
    <x v="5"/>
    <s v="Actual"/>
    <x v="4"/>
    <m/>
    <s v="Zain Telecom"/>
    <s v="Zain Telecom Services"/>
    <n v="793.03301408192488"/>
    <n v="55"/>
    <d v="2025-07-29T00:00:00"/>
    <s v="N/A"/>
    <s v="Aug"/>
    <n v="2025"/>
  </r>
  <r>
    <n v="99"/>
    <x v="5"/>
    <x v="5"/>
    <s v="Actual"/>
    <x v="4"/>
    <m/>
    <s v="Zain Telecom"/>
    <s v="Zain Telecom Services"/>
    <n v="672.00242398178102"/>
    <s v="64"/>
    <d v="2025-07-31T00:00:00"/>
    <s v="N/A"/>
    <s v="Jul"/>
    <n v="2025"/>
  </r>
  <r>
    <n v="100"/>
    <x v="1"/>
    <x v="1"/>
    <s v="Actual"/>
    <x v="4"/>
    <m/>
    <s v="Zain Telecom"/>
    <s v="Zain Telecom Services"/>
    <n v="2704.290407389678"/>
    <s v="64"/>
    <d v="2025-07-31T00:00:00"/>
    <s v="N/A"/>
    <s v="Jul"/>
    <n v="2025"/>
  </r>
  <r>
    <n v="101"/>
    <x v="1"/>
    <x v="1"/>
    <s v="Actual"/>
    <x v="4"/>
    <m/>
    <s v="Zain Telecom"/>
    <s v="Zain Telecom Services"/>
    <n v="2452.7856705847707"/>
    <n v="55"/>
    <d v="2025-07-29T00:00:00"/>
    <s v="N/A"/>
    <s v="Aug"/>
    <n v="2025"/>
  </r>
  <r>
    <n v="102"/>
    <x v="1"/>
    <x v="1"/>
    <s v="Actual"/>
    <x v="4"/>
    <m/>
    <s v="Petty Cash"/>
    <s v="Reactive the Internet modem x 7ea"/>
    <n v="261.26760563380282"/>
    <s v="##"/>
    <d v="2025-07-23T00:00:00"/>
    <s v="N/A"/>
    <s v="Jul"/>
    <n v="2025"/>
  </r>
  <r>
    <n v="103"/>
    <x v="1"/>
    <x v="1"/>
    <s v="Actual"/>
    <x v="4"/>
    <m/>
    <s v="Petty Cash"/>
    <s v="Internet for roog"/>
    <n v="242.95774647887325"/>
    <s v="##"/>
    <d v="2025-04-08T00:00:00"/>
    <s v="N/A"/>
    <s v="Aug"/>
    <n v="2025"/>
  </r>
  <r>
    <n v="104"/>
    <x v="1"/>
    <x v="1"/>
    <s v="Actual"/>
    <x v="4"/>
    <m/>
    <s v="Petty Cash"/>
    <s v="ICE x 44ea for DS04"/>
    <n v="77.464788732394368"/>
    <s v="##"/>
    <d v="2025-07-24T00:00:00"/>
    <s v="N/A"/>
    <s v="Jul"/>
    <n v="2025"/>
  </r>
  <r>
    <n v="105"/>
    <x v="1"/>
    <x v="1"/>
    <s v="Actual"/>
    <x v="4"/>
    <m/>
    <s v="Petty Cash"/>
    <s v="Reactive the Internet modem x 2ea"/>
    <n v="74.647887323943664"/>
    <s v="##"/>
    <d v="2025-07-18T00:00:00"/>
    <s v="N/A"/>
    <s v="Jul"/>
    <n v="2025"/>
  </r>
  <r>
    <n v="106"/>
    <x v="1"/>
    <x v="1"/>
    <s v="Actual"/>
    <x v="4"/>
    <m/>
    <s v="Petty Cash"/>
    <s v="Reactive the Internet modem x 2ea"/>
    <n v="74.647887323943664"/>
    <s v="##"/>
    <d v="2025-07-15T00:00:00"/>
    <s v="N/A"/>
    <s v="Jul"/>
    <n v="2025"/>
  </r>
  <r>
    <n v="107"/>
    <x v="6"/>
    <x v="13"/>
    <s v="Actual"/>
    <x v="4"/>
    <m/>
    <s v="Zain Telecom"/>
    <s v="Zain Telecom Services"/>
    <n v="982.54340728279578"/>
    <s v="64"/>
    <d v="2025-07-31T00:00:00"/>
    <s v="N/A"/>
    <s v="Jul"/>
    <n v="2025"/>
  </r>
  <r>
    <n v="108"/>
    <x v="6"/>
    <x v="13"/>
    <s v="Actual"/>
    <x v="4"/>
    <m/>
    <s v="Zain Telecom"/>
    <s v="Zain Telecom Services"/>
    <n v="948.13563736890296"/>
    <n v="55"/>
    <d v="2025-07-29T00:00:00"/>
    <s v="N/A"/>
    <s v="Aug"/>
    <n v="2025"/>
  </r>
  <r>
    <n v="109"/>
    <x v="3"/>
    <x v="14"/>
    <s v="Actual"/>
    <x v="4"/>
    <m/>
    <s v="Petty Cash"/>
    <s v="Reactive the Internet modem x 4ea"/>
    <n v="149.29577464788733"/>
    <s v="##"/>
    <d v="2025-07-18T00:00:00"/>
    <s v="N/A"/>
    <s v="Jul"/>
    <n v="2025"/>
  </r>
  <r>
    <n v="110"/>
    <x v="3"/>
    <x v="14"/>
    <s v="Actual"/>
    <x v="4"/>
    <m/>
    <s v="Petty Cash"/>
    <s v="Internet for FL"/>
    <n v="74.647887323943664"/>
    <s v="##"/>
    <d v="2025-08-19T00:00:00"/>
    <s v="N/A"/>
    <s v="Aug"/>
    <n v="2025"/>
  </r>
  <r>
    <n v="111"/>
    <x v="7"/>
    <x v="15"/>
    <s v="Actual"/>
    <x v="4"/>
    <m/>
    <s v="Petty Cash"/>
    <s v="Internet for EIMNT"/>
    <n v="74.647887323943664"/>
    <s v="##"/>
    <d v="2025-08-17T00:00:00"/>
    <s v="N/A"/>
    <s v="Aug"/>
    <n v="2025"/>
  </r>
  <r>
    <n v="112"/>
    <x v="3"/>
    <x v="16"/>
    <s v="Actual"/>
    <x v="4"/>
    <m/>
    <s v="Petty Cash"/>
    <s v="Internet for DS02"/>
    <n v="74.647887323943664"/>
    <s v="##"/>
    <d v="2025-08-19T00:00:00"/>
    <s v="N/A"/>
    <s v="Aug"/>
    <n v="2025"/>
  </r>
  <r>
    <n v="113"/>
    <x v="3"/>
    <x v="16"/>
    <s v="Actual"/>
    <x v="4"/>
    <m/>
    <s v="Petty Cash"/>
    <s v="Internet for DS01"/>
    <n v="74.647887323943664"/>
    <s v="##"/>
    <d v="2025-08-19T00:00:00"/>
    <s v="N/A"/>
    <s v="Aug"/>
    <n v="2025"/>
  </r>
  <r>
    <n v="114"/>
    <x v="3"/>
    <x v="16"/>
    <s v="Actual"/>
    <x v="4"/>
    <m/>
    <s v="Petty Cash"/>
    <s v="Reactive the Internet modem x 1ea"/>
    <n v="37.323943661971832"/>
    <s v="##"/>
    <d v="2025-07-14T00:00:00"/>
    <s v="N/A"/>
    <s v="Jul"/>
    <n v="2025"/>
  </r>
  <r>
    <n v="115"/>
    <x v="3"/>
    <x v="17"/>
    <s v="Actual"/>
    <x v="4"/>
    <m/>
    <s v="AWAL Telecom"/>
    <s v="Internet"/>
    <n v="1115.4929577464789"/>
    <s v="INV17202"/>
    <d v="2025-08-01T00:00:00"/>
    <s v="N/A"/>
    <s v="Jul"/>
    <n v="2025"/>
  </r>
  <r>
    <n v="116"/>
    <x v="3"/>
    <x v="17"/>
    <s v="Actual"/>
    <x v="4"/>
    <m/>
    <s v="AWAL Telecom"/>
    <s v="Internet"/>
    <n v="1115.4929577464789"/>
    <s v="INV18030"/>
    <d v="2025-09-01T00:00:00"/>
    <s v="N/A"/>
    <s v="Aug"/>
    <n v="2025"/>
  </r>
  <r>
    <n v="117"/>
    <x v="3"/>
    <x v="17"/>
    <s v="Actual"/>
    <x v="4"/>
    <m/>
    <s v="Petty Cash"/>
    <s v="Reactive the Internet modem x 14ea"/>
    <n v="522.53521126760563"/>
    <s v="##"/>
    <d v="2025-07-16T00:00:00"/>
    <s v="N/A"/>
    <s v="Jul"/>
    <n v="2025"/>
  </r>
  <r>
    <n v="118"/>
    <x v="3"/>
    <x v="17"/>
    <s v="Actual"/>
    <x v="4"/>
    <m/>
    <s v="Petty Cash"/>
    <s v="Internet for CPS06"/>
    <n v="410.56338028169012"/>
    <s v="##"/>
    <d v="2025-08-17T00:00:00"/>
    <s v="N/A"/>
    <s v="Aug"/>
    <n v="2025"/>
  </r>
  <r>
    <n v="119"/>
    <x v="8"/>
    <x v="18"/>
    <s v="Actual"/>
    <x v="4"/>
    <m/>
    <s v="AWAL Telecom"/>
    <s v="Internet"/>
    <n v="1394.3661971830986"/>
    <s v="INV17202"/>
    <d v="2025-08-01T00:00:00"/>
    <s v="N/A"/>
    <s v="Jul"/>
    <n v="2025"/>
  </r>
  <r>
    <n v="120"/>
    <x v="8"/>
    <x v="18"/>
    <s v="Actual"/>
    <x v="4"/>
    <m/>
    <s v="AWAL Telecom"/>
    <s v="Internet"/>
    <n v="1394.3661971830986"/>
    <s v="INV18030"/>
    <d v="2025-09-01T00:00:00"/>
    <s v="N/A"/>
    <s v="Aug"/>
    <n v="2025"/>
  </r>
  <r>
    <n v="121"/>
    <x v="8"/>
    <x v="18"/>
    <s v="Actual"/>
    <x v="4"/>
    <m/>
    <s v="Zain Telecom"/>
    <s v="Zain Telecom Services"/>
    <n v="492.618298546017"/>
    <n v="55"/>
    <d v="2025-07-29T00:00:00"/>
    <s v="N/A"/>
    <s v="Aug"/>
    <n v="2025"/>
  </r>
  <r>
    <n v="122"/>
    <x v="8"/>
    <x v="18"/>
    <s v="Actual"/>
    <x v="4"/>
    <m/>
    <s v="Zain Telecom"/>
    <s v="Zain Telecom Services"/>
    <n v="483.58530553246464"/>
    <s v="64"/>
    <d v="2025-07-31T00:00:00"/>
    <s v="N/A"/>
    <s v="Jul"/>
    <n v="2025"/>
  </r>
  <r>
    <n v="123"/>
    <x v="8"/>
    <x v="18"/>
    <s v="Actual"/>
    <x v="4"/>
    <m/>
    <s v="Petty Cash"/>
    <s v="Reactive the Internet modem x 1ea"/>
    <n v="37.323943661971832"/>
    <s v="##"/>
    <d v="2025-07-19T00:00:00"/>
    <s v="N/A"/>
    <s v="Jul"/>
    <n v="2025"/>
  </r>
  <r>
    <n v="124"/>
    <x v="3"/>
    <x v="11"/>
    <s v="Actual"/>
    <x v="5"/>
    <m/>
    <s v="LOGISTIC EXPRESS"/>
    <s v="DHL / Courier Fees / Shipping"/>
    <n v="3345.0704225352115"/>
    <n v="1121"/>
    <d v="2025-07-01T00:00:00"/>
    <s v="N/A"/>
    <s v="Jul"/>
    <n v="2025"/>
  </r>
  <r>
    <n v="125"/>
    <x v="3"/>
    <x v="11"/>
    <s v="Actual"/>
    <x v="5"/>
    <m/>
    <s v="LOGISTIC EXPRESS"/>
    <s v="DHL / Courier Fees / Shipping"/>
    <n v="3169.0140845070423"/>
    <n v="1120"/>
    <d v="2025-07-01T00:00:00"/>
    <s v="N/A"/>
    <s v="Jul"/>
    <n v="2025"/>
  </r>
  <r>
    <n v="126"/>
    <x v="3"/>
    <x v="11"/>
    <s v="Actual"/>
    <x v="5"/>
    <m/>
    <s v="LOGISTIC EXPRESS"/>
    <s v="DHL / Courier Fees / Shipping"/>
    <n v="2816.9014084507044"/>
    <n v="1254"/>
    <d v="2025-08-20T00:00:00"/>
    <s v="N/A"/>
    <s v="Aug"/>
    <n v="2025"/>
  </r>
  <r>
    <n v="127"/>
    <x v="3"/>
    <x v="11"/>
    <s v="Actual"/>
    <x v="5"/>
    <m/>
    <s v="LOGISTIC EXPRESS"/>
    <s v="DHL / Courier Fees / Shipping"/>
    <n v="1936.6197183098591"/>
    <n v="1257"/>
    <d v="2025-07-15T00:00:00"/>
    <s v="N/A"/>
    <s v="Jul"/>
    <n v="2025"/>
  </r>
  <r>
    <n v="128"/>
    <x v="3"/>
    <x v="11"/>
    <s v="Actual"/>
    <x v="5"/>
    <m/>
    <s v="LOGISTIC EXPRESS"/>
    <s v="DHL / Courier Fees / Shipping"/>
    <n v="1373.2394366197184"/>
    <n v="1210"/>
    <d v="2025-07-26T00:00:00"/>
    <s v="N/A"/>
    <s v="Jul"/>
    <n v="2025"/>
  </r>
  <r>
    <n v="129"/>
    <x v="3"/>
    <x v="11"/>
    <s v="Actual"/>
    <x v="5"/>
    <m/>
    <s v="LOGISTIC EXPRESS"/>
    <s v="DHL / Courier Fees / Shipping"/>
    <n v="1232.394366197183"/>
    <n v="1217"/>
    <d v="2025-07-26T00:00:00"/>
    <s v="N/A"/>
    <s v="Jul"/>
    <n v="2025"/>
  </r>
  <r>
    <n v="130"/>
    <x v="3"/>
    <x v="11"/>
    <s v="Actual"/>
    <x v="5"/>
    <m/>
    <s v="LOGISTIC EXPRESS"/>
    <s v="DHL / Courier Fees / Shipping"/>
    <n v="915.49295774647885"/>
    <n v="1123"/>
    <d v="2025-07-01T00:00:00"/>
    <s v="N/A"/>
    <s v="Jul"/>
    <n v="2025"/>
  </r>
  <r>
    <n v="131"/>
    <x v="3"/>
    <x v="11"/>
    <s v="Actual"/>
    <x v="5"/>
    <m/>
    <s v="LOGISTIC EXPRESS"/>
    <s v="DHL / Courier Fees / Shipping"/>
    <n v="774.64788732394368"/>
    <n v="1122"/>
    <d v="2025-07-01T00:00:00"/>
    <s v="N/A"/>
    <s v="Jul"/>
    <n v="2025"/>
  </r>
  <r>
    <n v="132"/>
    <x v="8"/>
    <x v="19"/>
    <s v="Actual"/>
    <x v="5"/>
    <m/>
    <s v="LOGISTIC EXPRESS"/>
    <s v="DHL / Courier Fees / Shipping"/>
    <n v="8274.647887323943"/>
    <n v="1252"/>
    <d v="2025-08-15T00:00:00"/>
    <s v="N/A"/>
    <s v="Aug"/>
    <n v="2025"/>
  </r>
  <r>
    <n v="133"/>
    <x v="8"/>
    <x v="19"/>
    <s v="Actual"/>
    <x v="5"/>
    <m/>
    <s v="LOGISTIC EXPRESS"/>
    <s v="DHL / Courier Fees / Shipping"/>
    <n v="5704.2253521126759"/>
    <n v="1250"/>
    <d v="2025-08-15T00:00:00"/>
    <s v="N/A"/>
    <s v="Aug"/>
    <n v="2025"/>
  </r>
  <r>
    <n v="134"/>
    <x v="0"/>
    <x v="0"/>
    <s v="Actual"/>
    <x v="5"/>
    <m/>
    <s v="Petty Cash"/>
    <s v="Shipping basra - dubai"/>
    <n v="943.30985915492954"/>
    <s v="##"/>
    <d v="2025-07-17T00:00:00"/>
    <s v="N/A"/>
    <s v="Jul"/>
    <n v="2025"/>
  </r>
  <r>
    <n v="135"/>
    <x v="0"/>
    <x v="0"/>
    <s v="Actual"/>
    <x v="5"/>
    <m/>
    <s v="Petty Cash"/>
    <s v="Shipping  Basra - erbil"/>
    <n v="52.816901408450704"/>
    <n v="5255"/>
    <d v="2025-07-30T00:00:00"/>
    <s v="N/A"/>
    <s v="Aug"/>
    <n v="2025"/>
  </r>
  <r>
    <n v="136"/>
    <x v="3"/>
    <x v="14"/>
    <s v="Actual"/>
    <x v="5"/>
    <m/>
    <s v="LOGISTIC EXPRESS"/>
    <s v="DHL / Courier Fees / Shipping"/>
    <n v="5281.6901408450703"/>
    <n v="1219"/>
    <d v="2025-07-27T00:00:00"/>
    <s v="N/A"/>
    <s v="Jul"/>
    <n v="2025"/>
  </r>
  <r>
    <n v="137"/>
    <x v="7"/>
    <x v="20"/>
    <s v="Actual"/>
    <x v="5"/>
    <m/>
    <s v="Al Nahrain Co. for Transortation and marine service"/>
    <s v="DHL / Courier Fees / Shipping"/>
    <n v="44800"/>
    <s v="4012"/>
    <d v="2025-06-30T00:00:00"/>
    <s v="N/A"/>
    <s v="Jul"/>
    <n v="2025"/>
  </r>
  <r>
    <n v="138"/>
    <x v="3"/>
    <x v="17"/>
    <s v="Actual"/>
    <x v="5"/>
    <m/>
    <s v="Petty Cash"/>
    <s v="Transfer baghdad - basra"/>
    <n v="70.422535211267601"/>
    <n v="18793"/>
    <d v="2025-06-24T00:00:00"/>
    <s v="N/A"/>
    <s v="Jul"/>
    <n v="2025"/>
  </r>
  <r>
    <n v="139"/>
    <x v="8"/>
    <x v="18"/>
    <s v="Actual"/>
    <x v="5"/>
    <m/>
    <s v="NEPTUNE ALKAWKAB ALAZRAK FOR GENERAL TRANSPORTATION"/>
    <s v="DHL / Courier Fees / Shipping"/>
    <n v="14000"/>
    <s v="253"/>
    <d v="2025-08-10T00:00:00"/>
    <n v="2025403004"/>
    <s v="Aug"/>
    <n v="2025"/>
  </r>
  <r>
    <n v="140"/>
    <x v="2"/>
    <x v="6"/>
    <s v="Accrual"/>
    <x v="6"/>
    <m/>
    <s v="IGCC"/>
    <s v="Diesel Sites Jul 25"/>
    <n v="1958.04195804196"/>
    <s v="N/A"/>
    <s v="N/A"/>
    <s v="N/A"/>
    <s v="Jul"/>
    <n v="2025"/>
  </r>
  <r>
    <n v="141"/>
    <x v="2"/>
    <x v="6"/>
    <s v="Accrual"/>
    <x v="6"/>
    <m/>
    <s v="IGCC"/>
    <s v="Diesel Sites Aug 25"/>
    <n v="1958.04195804196"/>
    <s v="N/A"/>
    <s v="N/A"/>
    <s v="N/A"/>
    <s v="Aug"/>
    <n v="2025"/>
  </r>
  <r>
    <n v="142"/>
    <x v="3"/>
    <x v="10"/>
    <s v="Accrual"/>
    <x v="6"/>
    <m/>
    <s v="IGCC"/>
    <s v="Diesel Sites Jul 25"/>
    <n v="6223.7762237762199"/>
    <s v="N/A"/>
    <s v="N/A"/>
    <s v="N/A"/>
    <s v="Jul"/>
    <n v="2025"/>
  </r>
  <r>
    <n v="143"/>
    <x v="3"/>
    <x v="10"/>
    <s v="Accrual"/>
    <x v="6"/>
    <m/>
    <s v="IGCC"/>
    <s v="Diesel Sites Aug 25"/>
    <n v="6223.7762237762199"/>
    <s v="N/A"/>
    <s v="N/A"/>
    <s v="N/A"/>
    <s v="Aug"/>
    <n v="2025"/>
  </r>
  <r>
    <n v="144"/>
    <x v="3"/>
    <x v="21"/>
    <s v="Accrual"/>
    <x v="6"/>
    <m/>
    <s v="IGCC"/>
    <s v="Diesel Sites Jul 25"/>
    <n v="979.02097902097898"/>
    <s v="N/A"/>
    <s v="N/A"/>
    <s v="N/A"/>
    <s v="Jul"/>
    <n v="2025"/>
  </r>
  <r>
    <n v="145"/>
    <x v="3"/>
    <x v="21"/>
    <s v="Accrual"/>
    <x v="6"/>
    <m/>
    <s v="IGCC"/>
    <s v="Diesel Sites Aug 25"/>
    <n v="979.02097902097898"/>
    <s v="N/A"/>
    <s v="N/A"/>
    <s v="N/A"/>
    <s v="Aug"/>
    <n v="2025"/>
  </r>
  <r>
    <n v="146"/>
    <x v="2"/>
    <x v="22"/>
    <s v="Accrual"/>
    <x v="6"/>
    <m/>
    <s v="IGCC"/>
    <s v="Diesel Sites Jul 25"/>
    <n v="3237.7622377622401"/>
    <s v="N/A"/>
    <s v="N/A"/>
    <s v="N/A"/>
    <s v="Jul"/>
    <n v="2025"/>
  </r>
  <r>
    <n v="147"/>
    <x v="2"/>
    <x v="22"/>
    <s v="Accrual"/>
    <x v="6"/>
    <m/>
    <s v="IGCC"/>
    <s v="Diesel Sites Aug 25"/>
    <n v="3237.7622377622401"/>
    <s v="N/A"/>
    <s v="N/A"/>
    <s v="N/A"/>
    <s v="Aug"/>
    <n v="2025"/>
  </r>
  <r>
    <n v="148"/>
    <x v="0"/>
    <x v="0"/>
    <s v="Actual"/>
    <x v="6"/>
    <m/>
    <s v="Petty Cash"/>
    <s v="Diesel x 4000LTR"/>
    <n v="1971.8309859154929"/>
    <s v="##"/>
    <d v="2025-07-14T00:00:00"/>
    <s v="N/A"/>
    <s v="Jul"/>
    <n v="2025"/>
  </r>
  <r>
    <n v="149"/>
    <x v="0"/>
    <x v="0"/>
    <s v="Actual"/>
    <x v="6"/>
    <m/>
    <s v="Petty Cash"/>
    <s v="Diesel x 1000LTR for All basrah location"/>
    <n v="985.91549295774644"/>
    <s v="##"/>
    <d v="2025-08-28T00:00:00"/>
    <s v="N/A"/>
    <s v="Aug"/>
    <n v="2025"/>
  </r>
  <r>
    <n v="150"/>
    <x v="0"/>
    <x v="0"/>
    <s v="Actual"/>
    <x v="6"/>
    <m/>
    <s v="Petty Cash"/>
    <s v="Diesel for Aug.25"/>
    <n v="126.7605633802817"/>
    <s v="##"/>
    <d v="2025-09-08T00:00:00"/>
    <s v="N/A"/>
    <s v="Aug"/>
    <n v="2025"/>
  </r>
  <r>
    <n v="151"/>
    <x v="0"/>
    <x v="0"/>
    <s v="Actual"/>
    <x v="6"/>
    <m/>
    <s v="Petty Cash"/>
    <s v="Diesel for Jul.25"/>
    <n v="126.7605633802817"/>
    <s v="##"/>
    <d v="2025-08-07T00:00:00"/>
    <s v="N/A"/>
    <s v="Jul"/>
    <n v="2025"/>
  </r>
  <r>
    <n v="152"/>
    <x v="5"/>
    <x v="5"/>
    <s v="Accrual"/>
    <x v="6"/>
    <m/>
    <s v="IGCC"/>
    <s v="Diesel Sites Jul 25"/>
    <n v="9622.3776223776204"/>
    <s v="N/A"/>
    <s v="N/A"/>
    <s v="N/A"/>
    <s v="Jul"/>
    <n v="2025"/>
  </r>
  <r>
    <n v="153"/>
    <x v="5"/>
    <x v="5"/>
    <s v="Accrual"/>
    <x v="6"/>
    <m/>
    <s v="IGCC"/>
    <s v="Diesel Sites Aug 25"/>
    <n v="9622.3776223776204"/>
    <s v="N/A"/>
    <s v="N/A"/>
    <s v="N/A"/>
    <s v="Aug"/>
    <n v="2025"/>
  </r>
  <r>
    <n v="154"/>
    <x v="8"/>
    <x v="18"/>
    <s v="Actual"/>
    <x v="6"/>
    <m/>
    <s v="IGCC"/>
    <s v="Diesel Official Aug 25"/>
    <n v="24475.5244755245"/>
    <s v="N/A"/>
    <s v="N/A"/>
    <s v="N/A"/>
    <s v="Aug"/>
    <n v="2025"/>
  </r>
  <r>
    <n v="155"/>
    <x v="8"/>
    <x v="18"/>
    <s v="Actual"/>
    <x v="6"/>
    <m/>
    <s v="IGCC"/>
    <s v="Diesel Official Aug 25"/>
    <n v="24475.5244755245"/>
    <s v="N/A"/>
    <s v="N/A"/>
    <s v="N/A"/>
    <s v="Aug"/>
    <n v="2025"/>
  </r>
  <r>
    <n v="156"/>
    <x v="3"/>
    <x v="21"/>
    <s v="Accrual"/>
    <x v="6"/>
    <m/>
    <s v="IGCC"/>
    <s v="Diesel Sites Jul 25"/>
    <n v="8862.6760563380285"/>
    <s v="N/A"/>
    <s v="N/A"/>
    <s v="N/A"/>
    <s v="Jul"/>
    <n v="2025"/>
  </r>
  <r>
    <n v="157"/>
    <x v="3"/>
    <x v="10"/>
    <s v="Accrual"/>
    <x v="6"/>
    <m/>
    <s v="IGCC"/>
    <s v="Diesel Sites Jul 25"/>
    <n v="10563.380281690141"/>
    <s v="N/A"/>
    <s v="N/A"/>
    <s v="N/A"/>
    <s v="Jul"/>
    <n v="2025"/>
  </r>
  <r>
    <n v="158"/>
    <x v="5"/>
    <x v="5"/>
    <s v="Accrual"/>
    <x v="6"/>
    <m/>
    <s v="IGCC"/>
    <s v="Diesel Sites Jul 25"/>
    <n v="7042.2535211267605"/>
    <s v="N/A"/>
    <s v="N/A"/>
    <s v="N/A"/>
    <s v="Jul"/>
    <n v="2025"/>
  </r>
  <r>
    <n v="159"/>
    <x v="2"/>
    <x v="6"/>
    <s v="Accrual"/>
    <x v="6"/>
    <m/>
    <s v="IGCC"/>
    <s v="Diesel Sites Jul 25"/>
    <n v="4792.2535211267605"/>
    <s v="N/A"/>
    <s v="N/A"/>
    <s v="N/A"/>
    <s v="Jul"/>
    <n v="2025"/>
  </r>
  <r>
    <n v="160"/>
    <x v="2"/>
    <x v="22"/>
    <s v="Accrual"/>
    <x v="6"/>
    <m/>
    <s v="IGCC"/>
    <s v="Diesel Sites Jul 25"/>
    <n v="7042.2535211267605"/>
    <s v="N/A"/>
    <s v="N/A"/>
    <s v="N/A"/>
    <s v="Jul"/>
    <n v="2025"/>
  </r>
  <r>
    <n v="161"/>
    <x v="2"/>
    <x v="22"/>
    <s v="Accrual"/>
    <x v="6"/>
    <m/>
    <s v="IGCC"/>
    <s v="Diesel Sites Jul 25"/>
    <n v="3521.1267605633802"/>
    <s v="N/A"/>
    <s v="N/A"/>
    <s v="N/A"/>
    <s v="Jul"/>
    <n v="2025"/>
  </r>
  <r>
    <n v="162"/>
    <x v="2"/>
    <x v="6"/>
    <s v="Accrual"/>
    <x v="6"/>
    <m/>
    <s v="IGCC"/>
    <s v="Diesel Sites Jul 25"/>
    <n v="2306.3380281690143"/>
    <s v="N/A"/>
    <s v="N/A"/>
    <s v="N/A"/>
    <s v="Jul"/>
    <n v="2025"/>
  </r>
  <r>
    <n v="163"/>
    <x v="3"/>
    <x v="21"/>
    <s v="Accrual"/>
    <x v="6"/>
    <m/>
    <s v="IGCC"/>
    <s v="Diesel Sites Aug 25"/>
    <n v="24647.887323943662"/>
    <s v="N/A"/>
    <s v="N/A"/>
    <s v="N/A"/>
    <s v="Aug"/>
    <n v="2025"/>
  </r>
  <r>
    <n v="164"/>
    <x v="3"/>
    <x v="10"/>
    <s v="Accrual"/>
    <x v="6"/>
    <m/>
    <s v="IGCC"/>
    <s v="Diesel Sites Aug 25"/>
    <n v="3521.1267605633802"/>
    <s v="N/A"/>
    <s v="N/A"/>
    <s v="N/A"/>
    <s v="Aug"/>
    <n v="2025"/>
  </r>
  <r>
    <n v="165"/>
    <x v="5"/>
    <x v="5"/>
    <s v="Accrual"/>
    <x v="6"/>
    <m/>
    <s v="IGCC"/>
    <s v="Diesel Sites Aug 25"/>
    <n v="10563.380281690141"/>
    <s v="N/A"/>
    <s v="N/A"/>
    <s v="N/A"/>
    <s v="Aug"/>
    <n v="2025"/>
  </r>
  <r>
    <n v="166"/>
    <x v="2"/>
    <x v="6"/>
    <s v="Accrual"/>
    <x v="6"/>
    <m/>
    <s v="IGCC"/>
    <s v="Diesel Sites Aug 25"/>
    <n v="3521.1267605633802"/>
    <s v="N/A"/>
    <s v="N/A"/>
    <s v="N/A"/>
    <s v="Aug"/>
    <n v="2025"/>
  </r>
  <r>
    <n v="167"/>
    <x v="2"/>
    <x v="6"/>
    <s v="Accrual"/>
    <x v="6"/>
    <m/>
    <s v="IGCC"/>
    <s v="Diesel Sites Aug 25"/>
    <n v="4119.7183098591549"/>
    <s v="N/A"/>
    <s v="N/A"/>
    <s v="N/A"/>
    <s v="Aug"/>
    <n v="2025"/>
  </r>
  <r>
    <n v="168"/>
    <x v="2"/>
    <x v="22"/>
    <s v="Accrual"/>
    <x v="6"/>
    <m/>
    <s v="IGCC"/>
    <s v="Diesel Sites Aug 25"/>
    <n v="7042.2535211267605"/>
    <s v="N/A"/>
    <s v="N/A"/>
    <s v="N/A"/>
    <s v="Aug"/>
    <n v="2025"/>
  </r>
  <r>
    <n v="169"/>
    <x v="2"/>
    <x v="22"/>
    <s v="Accrual"/>
    <x v="6"/>
    <m/>
    <s v="IGCC"/>
    <s v="Diesel Sites Aug 25"/>
    <n v="4775"/>
    <s v="N/A"/>
    <s v="N/A"/>
    <s v="N/A"/>
    <s v="Aug"/>
    <n v="2025"/>
  </r>
  <r>
    <n v="170"/>
    <x v="2"/>
    <x v="2"/>
    <s v="Accrual"/>
    <x v="7"/>
    <m/>
    <s v="NAC Logistic"/>
    <s v="Heavy equipment rental (Daily)"/>
    <n v="3112.0476619718306"/>
    <s v="N/A"/>
    <s v="N/A"/>
    <s v="N/A"/>
    <s v="Aug"/>
    <n v="2025"/>
  </r>
  <r>
    <n v="171"/>
    <x v="2"/>
    <x v="2"/>
    <s v="Actual"/>
    <x v="7"/>
    <m/>
    <s v="Taqadm Albasrah"/>
    <s v="Light equipment rental (Daily)"/>
    <n v="2066.9994024278644"/>
    <s v="IN-1999-LV"/>
    <d v="2025-09-23T00:00:00"/>
    <s v="N/A"/>
    <s v="Aug"/>
    <n v="2025"/>
  </r>
  <r>
    <n v="172"/>
    <x v="2"/>
    <x v="2"/>
    <s v="Actual"/>
    <x v="7"/>
    <m/>
    <s v="NAC Logistic"/>
    <s v="Heavy equipment rental (Daily)"/>
    <n v="1548.5965686226004"/>
    <s v="NA-01-0011"/>
    <d v="2025-08-15T00:00:00"/>
    <s v="N/A"/>
    <s v="Jul"/>
    <n v="2025"/>
  </r>
  <r>
    <n v="173"/>
    <x v="2"/>
    <x v="2"/>
    <s v="Actual"/>
    <x v="7"/>
    <m/>
    <s v="Taqadm Albasrah"/>
    <s v="Heavy equipment rental (Daily)"/>
    <n v="1221.2777954597598"/>
    <s v="IN-1999-HV"/>
    <d v="2025-09-23T00:00:00"/>
    <s v="N/A"/>
    <s v="Aug"/>
    <n v="2025"/>
  </r>
  <r>
    <n v="174"/>
    <x v="2"/>
    <x v="2"/>
    <s v="Actual"/>
    <x v="7"/>
    <m/>
    <s v="Taqadm Albasrah"/>
    <s v="Light equipment rental (Daily)"/>
    <n v="1121.4114392471963"/>
    <s v="IN-1980-LV"/>
    <d v="2025-08-26T00:00:00"/>
    <s v="N/A"/>
    <s v="Jul"/>
    <n v="2025"/>
  </r>
  <r>
    <n v="175"/>
    <x v="2"/>
    <x v="2"/>
    <s v="Actual"/>
    <x v="7"/>
    <m/>
    <s v="NAC Logistic"/>
    <s v="Light equipment rental (Daily)"/>
    <n v="74.65105389118483"/>
    <s v="NA-01-0011"/>
    <d v="2025-08-15T00:00:00"/>
    <s v="N/A"/>
    <s v="Jul"/>
    <n v="2025"/>
  </r>
  <r>
    <n v="176"/>
    <x v="2"/>
    <x v="2"/>
    <s v="Accrual"/>
    <x v="7"/>
    <m/>
    <s v="NAC Logistic"/>
    <s v="Light equipment rental (Daily)"/>
    <n v="67.713978873239441"/>
    <s v="N/A"/>
    <s v="N/A"/>
    <s v="N/A"/>
    <s v="Aug"/>
    <n v="2025"/>
  </r>
  <r>
    <n v="177"/>
    <x v="3"/>
    <x v="23"/>
    <s v="Actual"/>
    <x v="7"/>
    <m/>
    <s v="Taqadm Albasrah"/>
    <s v="Light equipment rental (Daily)"/>
    <n v="1624.4976687116948"/>
    <s v="IN-1980-LV"/>
    <d v="2025-08-26T00:00:00"/>
    <s v="N/A"/>
    <s v="Jul"/>
    <n v="2025"/>
  </r>
  <r>
    <n v="178"/>
    <x v="3"/>
    <x v="23"/>
    <s v="Actual"/>
    <x v="7"/>
    <m/>
    <s v="Taqadm Albasrah"/>
    <s v="Light equipment rental (Daily)"/>
    <n v="221.46422168869978"/>
    <s v="IN-1999-LV"/>
    <d v="2025-09-23T00:00:00"/>
    <s v="N/A"/>
    <s v="Aug"/>
    <n v="2025"/>
  </r>
  <r>
    <n v="179"/>
    <x v="2"/>
    <x v="6"/>
    <s v="Accrual"/>
    <x v="7"/>
    <m/>
    <s v="NAC Logistic"/>
    <s v="Heavy equipment rental (Daily)"/>
    <n v="48943.743000000002"/>
    <s v="N/A"/>
    <s v="N/A"/>
    <s v="N/A"/>
    <s v="Aug"/>
    <n v="2025"/>
  </r>
  <r>
    <n v="180"/>
    <x v="2"/>
    <x v="6"/>
    <s v="Actual"/>
    <x v="7"/>
    <m/>
    <s v="NAC Logistic"/>
    <s v="Heavy equipment rental (Daily)"/>
    <n v="23065.1044697055"/>
    <s v="NA-01-0011"/>
    <d v="2025-08-15T00:00:00"/>
    <s v="N/A"/>
    <s v="Jul"/>
    <n v="2025"/>
  </r>
  <r>
    <n v="181"/>
    <x v="2"/>
    <x v="6"/>
    <s v="Accrual"/>
    <x v="7"/>
    <m/>
    <s v="NAC Logistic"/>
    <s v="Light equipment rental (Daily)"/>
    <n v="7333.4233098591549"/>
    <s v="N/A"/>
    <s v="N/A"/>
    <s v="N/A"/>
    <s v="Aug"/>
    <n v="2025"/>
  </r>
  <r>
    <n v="182"/>
    <x v="2"/>
    <x v="6"/>
    <s v="Actual"/>
    <x v="7"/>
    <m/>
    <s v="Taqadm Albasrah"/>
    <s v="Light equipment rental (Daily)"/>
    <n v="6659.468206905749"/>
    <s v="IN-1999-LV"/>
    <d v="2025-09-23T00:00:00"/>
    <s v="N/A"/>
    <s v="Aug"/>
    <n v="2025"/>
  </r>
  <r>
    <n v="183"/>
    <x v="2"/>
    <x v="6"/>
    <s v="Actual"/>
    <x v="7"/>
    <m/>
    <s v="Taqadm Albasrah"/>
    <s v="Heavy equipment rental (Daily)"/>
    <n v="6481.7482936228862"/>
    <s v="IN-1999-HV"/>
    <d v="2025-09-23T00:00:00"/>
    <s v="N/A"/>
    <s v="Aug"/>
    <n v="2025"/>
  </r>
  <r>
    <n v="184"/>
    <x v="2"/>
    <x v="6"/>
    <s v="Actual"/>
    <x v="7"/>
    <m/>
    <s v="NAC Logistic"/>
    <s v="Light equipment rental (Daily)"/>
    <n v="6419.9906346418957"/>
    <s v="NA-01-0011"/>
    <d v="2025-08-15T00:00:00"/>
    <s v="N/A"/>
    <s v="Jul"/>
    <n v="2025"/>
  </r>
  <r>
    <n v="185"/>
    <x v="2"/>
    <x v="6"/>
    <s v="Actual"/>
    <x v="7"/>
    <m/>
    <s v="Border Transportaion / Al Hodod"/>
    <s v="Heavy equipment rental (Daily)"/>
    <n v="5488.4013965198683"/>
    <s v="20254000148"/>
    <d v="2025-08-31T00:00:00"/>
    <s v="N/A"/>
    <s v="Aug"/>
    <n v="2025"/>
  </r>
  <r>
    <n v="186"/>
    <x v="2"/>
    <x v="6"/>
    <s v="Actual"/>
    <x v="7"/>
    <m/>
    <s v="Taqadm Albasrah"/>
    <s v="Light equipment rental (Daily)"/>
    <n v="4359.254832413686"/>
    <s v="IN-1980-LV"/>
    <d v="2025-08-26T00:00:00"/>
    <s v="N/A"/>
    <s v="Jul"/>
    <n v="2025"/>
  </r>
  <r>
    <n v="187"/>
    <x v="2"/>
    <x v="6"/>
    <s v="Actual"/>
    <x v="7"/>
    <m/>
    <s v="Taqadm Albasrah"/>
    <s v="Heavy equipment rental (Daily)"/>
    <n v="2563.3131733570626"/>
    <s v="IN-1980-HV"/>
    <d v="2025-08-26T00:00:00"/>
    <s v="N/A"/>
    <s v="Jul"/>
    <n v="2025"/>
  </r>
  <r>
    <n v="188"/>
    <x v="2"/>
    <x v="6"/>
    <s v="Actual"/>
    <x v="7"/>
    <m/>
    <s v="Border Transportaion / Al Hodod"/>
    <s v="Heavy equipment rental (Daily)"/>
    <n v="2468.5523610893101"/>
    <n v="2025000132"/>
    <d v="2025-07-31T00:00:00"/>
    <s v="N/A"/>
    <s v="Jul"/>
    <n v="2025"/>
  </r>
  <r>
    <n v="189"/>
    <x v="2"/>
    <x v="7"/>
    <s v="Actual"/>
    <x v="7"/>
    <m/>
    <s v="NAC Logistic"/>
    <s v="Heavy equipment rental (Daily)"/>
    <n v="18373.074775669851"/>
    <s v="NA-01-0011"/>
    <d v="2025-08-15T00:00:00"/>
    <s v="N/A"/>
    <s v="Jul"/>
    <n v="2025"/>
  </r>
  <r>
    <n v="190"/>
    <x v="2"/>
    <x v="7"/>
    <s v="Actual"/>
    <x v="7"/>
    <m/>
    <s v="Taqadm Albasrah"/>
    <s v="Light equipment rental (Daily)"/>
    <n v="10457.750269817809"/>
    <s v="IN-1980-LV"/>
    <d v="2025-08-26T00:00:00"/>
    <s v="N/A"/>
    <s v="Jul"/>
    <n v="2025"/>
  </r>
  <r>
    <n v="191"/>
    <x v="2"/>
    <x v="7"/>
    <s v="Actual"/>
    <x v="7"/>
    <m/>
    <s v="Taqadm Albasrah"/>
    <s v="Heavy equipment rental (Daily)"/>
    <n v="7324.4027748293456"/>
    <s v="IN-1999-HV"/>
    <d v="2025-09-23T00:00:00"/>
    <s v="N/A"/>
    <s v="Aug"/>
    <n v="2025"/>
  </r>
  <r>
    <n v="192"/>
    <x v="2"/>
    <x v="7"/>
    <s v="Actual"/>
    <x v="7"/>
    <m/>
    <s v="Taqadm Albasrah"/>
    <s v="Light equipment rental (Daily)"/>
    <n v="6793.9007089954475"/>
    <s v="IN-1999-LV"/>
    <d v="2025-09-23T00:00:00"/>
    <s v="N/A"/>
    <s v="Aug"/>
    <n v="2025"/>
  </r>
  <r>
    <n v="193"/>
    <x v="2"/>
    <x v="7"/>
    <s v="Accrual"/>
    <x v="7"/>
    <m/>
    <s v="NAC Logistic"/>
    <s v="Heavy equipment rental (Daily)"/>
    <n v="5479.414936619718"/>
    <s v="N/A"/>
    <s v="N/A"/>
    <s v="N/A"/>
    <s v="Aug"/>
    <n v="2025"/>
  </r>
  <r>
    <n v="194"/>
    <x v="2"/>
    <x v="7"/>
    <s v="Accrual"/>
    <x v="7"/>
    <m/>
    <s v="NAC Logistic"/>
    <s v="Light equipment rental (Daily)"/>
    <n v="5111.863401408451"/>
    <s v="N/A"/>
    <s v="N/A"/>
    <s v="N/A"/>
    <s v="Aug"/>
    <n v="2025"/>
  </r>
  <r>
    <n v="195"/>
    <x v="2"/>
    <x v="7"/>
    <s v="Actual"/>
    <x v="7"/>
    <m/>
    <s v="NAC Logistic"/>
    <s v="Light equipment rental (Daily)"/>
    <n v="5089.3684780025733"/>
    <s v="NA-01-0011"/>
    <d v="2025-08-15T00:00:00"/>
    <s v="N/A"/>
    <s v="Jul"/>
    <n v="2025"/>
  </r>
  <r>
    <n v="196"/>
    <x v="2"/>
    <x v="7"/>
    <s v="Actual"/>
    <x v="7"/>
    <m/>
    <s v="Taqadm Albasrah"/>
    <s v="Heavy equipment rental (Daily)"/>
    <n v="3414.1380850336145"/>
    <s v="IN-1980-HV"/>
    <d v="2025-08-26T00:00:00"/>
    <s v="N/A"/>
    <s v="Jul"/>
    <n v="2025"/>
  </r>
  <r>
    <n v="197"/>
    <x v="2"/>
    <x v="7"/>
    <s v="Actual"/>
    <x v="7"/>
    <m/>
    <s v="Border Transportaion / Al Hodod"/>
    <s v="Heavy equipment rental (Daily)"/>
    <n v="1297.0236635947936"/>
    <s v="20254000148"/>
    <d v="2025-08-31T00:00:00"/>
    <s v="N/A"/>
    <s v="Aug"/>
    <n v="2025"/>
  </r>
  <r>
    <n v="198"/>
    <x v="2"/>
    <x v="7"/>
    <s v="Actual"/>
    <x v="7"/>
    <m/>
    <s v="Border Transportaion / Al Hodod"/>
    <s v="Heavy equipment rental (Daily)"/>
    <n v="223.29332779845041"/>
    <n v="2025000132"/>
    <d v="2025-07-31T00:00:00"/>
    <s v="N/A"/>
    <s v="Jul"/>
    <n v="2025"/>
  </r>
  <r>
    <n v="199"/>
    <x v="3"/>
    <x v="8"/>
    <s v="Actual"/>
    <x v="7"/>
    <m/>
    <s v="Border Transportaion / Al Hodod"/>
    <s v="Heavy equipment rental (Daily)"/>
    <n v="3727.0633514700194"/>
    <n v="2025000132"/>
    <d v="2025-07-31T00:00:00"/>
    <s v="N/A"/>
    <s v="Jul"/>
    <n v="2025"/>
  </r>
  <r>
    <n v="200"/>
    <x v="3"/>
    <x v="8"/>
    <s v="Actual"/>
    <x v="7"/>
    <m/>
    <s v="NAC Logistic"/>
    <s v="Heavy equipment rental (Daily)"/>
    <n v="3066.5278542268784"/>
    <s v="NA-01-0011"/>
    <d v="2025-08-15T00:00:00"/>
    <s v="N/A"/>
    <s v="Jul"/>
    <n v="2025"/>
  </r>
  <r>
    <n v="201"/>
    <x v="3"/>
    <x v="8"/>
    <s v="Actual"/>
    <x v="7"/>
    <m/>
    <s v="Taqadm Albasrah"/>
    <s v="Light equipment rental (Daily)"/>
    <n v="2856.1917008247037"/>
    <s v="IN-1980-LV"/>
    <d v="2025-08-26T00:00:00"/>
    <s v="N/A"/>
    <s v="Jul"/>
    <n v="2025"/>
  </r>
  <r>
    <n v="202"/>
    <x v="3"/>
    <x v="8"/>
    <s v="Actual"/>
    <x v="7"/>
    <m/>
    <s v="Taqadm Albasrah"/>
    <s v="Heavy equipment rental (Daily)"/>
    <n v="1793.7773170461908"/>
    <s v="IN-1980-HV"/>
    <d v="2025-08-26T00:00:00"/>
    <s v="N/A"/>
    <s v="Jul"/>
    <n v="2025"/>
  </r>
  <r>
    <n v="203"/>
    <x v="3"/>
    <x v="8"/>
    <s v="Actual"/>
    <x v="7"/>
    <m/>
    <s v="Border Transportaion / Al Hodod"/>
    <s v="Heavy equipment rental (Daily)"/>
    <n v="1380.4421906402872"/>
    <s v="20254000148"/>
    <d v="2025-08-31T00:00:00"/>
    <s v="N/A"/>
    <s v="Aug"/>
    <n v="2025"/>
  </r>
  <r>
    <n v="204"/>
    <x v="3"/>
    <x v="8"/>
    <s v="Actual"/>
    <x v="7"/>
    <m/>
    <s v="Taqadm Albasrah"/>
    <s v="Light equipment rental (Daily)"/>
    <n v="1230.3568881782153"/>
    <s v="IN-1999-LV"/>
    <d v="2025-09-23T00:00:00"/>
    <s v="N/A"/>
    <s v="Aug"/>
    <n v="2025"/>
  </r>
  <r>
    <n v="205"/>
    <x v="3"/>
    <x v="8"/>
    <s v="Actual"/>
    <x v="7"/>
    <m/>
    <s v="Taqadm Albasrah"/>
    <s v="Heavy equipment rental (Daily)"/>
    <n v="1006.7245786276995"/>
    <s v="IN-1999-HV"/>
    <d v="2025-09-23T00:00:00"/>
    <s v="N/A"/>
    <s v="Aug"/>
    <n v="2025"/>
  </r>
  <r>
    <n v="206"/>
    <x v="3"/>
    <x v="8"/>
    <s v="Accrual"/>
    <x v="7"/>
    <m/>
    <s v="NAC Logistic"/>
    <s v="Heavy equipment rental (Daily)"/>
    <n v="172.94149295774648"/>
    <s v="N/A"/>
    <s v="N/A"/>
    <s v="N/A"/>
    <s v="Aug"/>
    <n v="2025"/>
  </r>
  <r>
    <n v="207"/>
    <x v="2"/>
    <x v="9"/>
    <s v="Actual"/>
    <x v="7"/>
    <m/>
    <s v="NAC Logistic"/>
    <s v="Heavy equipment rental (Daily)"/>
    <n v="2460.7864046167433"/>
    <s v="NA-01-0011"/>
    <d v="2025-08-15T00:00:00"/>
    <s v="N/A"/>
    <s v="Jul"/>
    <n v="2025"/>
  </r>
  <r>
    <n v="208"/>
    <x v="2"/>
    <x v="9"/>
    <s v="Accrual"/>
    <x v="7"/>
    <m/>
    <s v="NAC Logistic"/>
    <s v="Heavy equipment rental (Daily)"/>
    <n v="2048.7540633802819"/>
    <s v="N/A"/>
    <s v="N/A"/>
    <s v="N/A"/>
    <s v="Aug"/>
    <n v="2025"/>
  </r>
  <r>
    <n v="209"/>
    <x v="2"/>
    <x v="9"/>
    <s v="Actual"/>
    <x v="7"/>
    <m/>
    <s v="Taqadm Albasrah"/>
    <s v="Light equipment rental (Daily)"/>
    <n v="1709.2540971696567"/>
    <s v="IN-1980-LV"/>
    <d v="2025-08-26T00:00:00"/>
    <s v="N/A"/>
    <s v="Jul"/>
    <n v="2025"/>
  </r>
  <r>
    <n v="210"/>
    <x v="2"/>
    <x v="9"/>
    <s v="Actual"/>
    <x v="7"/>
    <m/>
    <s v="Neema Abdul Hassan"/>
    <s v="Light equipment rental (Daily)"/>
    <n v="1380"/>
    <s v="#inv-55"/>
    <d v="2025-07-31T00:00:00"/>
    <s v="N/A"/>
    <s v="Jul"/>
    <n v="2025"/>
  </r>
  <r>
    <n v="211"/>
    <x v="2"/>
    <x v="9"/>
    <s v="Actual"/>
    <x v="7"/>
    <m/>
    <s v="Neema Abdul Hassan"/>
    <s v="Light equipment rental (Daily)"/>
    <n v="1320"/>
    <s v="#inv-56"/>
    <d v="2025-08-31T00:00:00"/>
    <s v="N/A"/>
    <s v="Aug"/>
    <n v="2025"/>
  </r>
  <r>
    <n v="212"/>
    <x v="2"/>
    <x v="9"/>
    <s v="Accrual"/>
    <x v="7"/>
    <m/>
    <s v="NAC Logistic"/>
    <s v="Light equipment rental (Daily)"/>
    <n v="1312.2968028169014"/>
    <s v="N/A"/>
    <s v="N/A"/>
    <s v="N/A"/>
    <s v="Aug"/>
    <n v="2025"/>
  </r>
  <r>
    <n v="213"/>
    <x v="2"/>
    <x v="9"/>
    <s v="Actual"/>
    <x v="7"/>
    <m/>
    <s v="NAC Logistic"/>
    <s v="Light equipment rental (Daily)"/>
    <n v="597.20845837056606"/>
    <s v="NA-01-0011"/>
    <d v="2025-08-15T00:00:00"/>
    <s v="N/A"/>
    <s v="Jul"/>
    <n v="2025"/>
  </r>
  <r>
    <n v="214"/>
    <x v="2"/>
    <x v="9"/>
    <s v="Actual"/>
    <x v="7"/>
    <m/>
    <s v="Taqadm Albasrah"/>
    <s v="Light equipment rental (Daily)"/>
    <n v="590.57125783653271"/>
    <s v="IN-1999-LV"/>
    <d v="2025-09-23T00:00:00"/>
    <s v="N/A"/>
    <s v="Aug"/>
    <n v="2025"/>
  </r>
  <r>
    <n v="215"/>
    <x v="2"/>
    <x v="9"/>
    <s v="Actual"/>
    <x v="7"/>
    <m/>
    <s v="Border Transportaion / Al Hodod"/>
    <s v="Heavy equipment rental (Daily)"/>
    <n v="381.39312881347314"/>
    <s v="20254000148"/>
    <d v="2025-08-31T00:00:00"/>
    <s v="N/A"/>
    <s v="Aug"/>
    <n v="2025"/>
  </r>
  <r>
    <n v="216"/>
    <x v="2"/>
    <x v="9"/>
    <s v="Actual"/>
    <x v="7"/>
    <m/>
    <s v="Taqadm Albasrah"/>
    <s v="Heavy equipment rental (Daily)"/>
    <n v="284.51150708613454"/>
    <s v="IN-1980-HV"/>
    <d v="2025-08-26T00:00:00"/>
    <s v="N/A"/>
    <s v="Jul"/>
    <n v="2025"/>
  </r>
  <r>
    <n v="217"/>
    <x v="2"/>
    <x v="9"/>
    <s v="Actual"/>
    <x v="7"/>
    <m/>
    <s v="Border Transportaion / Al Hodod"/>
    <s v="Heavy equipment rental (Daily)"/>
    <n v="139.93048407861747"/>
    <n v="2025000132"/>
    <d v="2025-07-31T00:00:00"/>
    <s v="N/A"/>
    <s v="Jul"/>
    <n v="2025"/>
  </r>
  <r>
    <n v="218"/>
    <x v="3"/>
    <x v="3"/>
    <s v="Actual"/>
    <x v="7"/>
    <m/>
    <s v="Taqadm Albasrah"/>
    <s v="Heavy equipment rental (Daily)"/>
    <n v="15299.132150451689"/>
    <s v="IN-1980-HV"/>
    <d v="2025-08-26T00:00:00"/>
    <s v="N/A"/>
    <s v="Jul"/>
    <n v="2025"/>
  </r>
  <r>
    <n v="219"/>
    <x v="3"/>
    <x v="3"/>
    <s v="Actual"/>
    <x v="7"/>
    <m/>
    <s v="Taqadm Albasrah"/>
    <s v="Heavy equipment rental (Daily)"/>
    <n v="9227.5289166436014"/>
    <s v="IN-1999-HV"/>
    <d v="2025-09-23T00:00:00"/>
    <s v="N/A"/>
    <s v="Aug"/>
    <n v="2025"/>
  </r>
  <r>
    <n v="220"/>
    <x v="3"/>
    <x v="3"/>
    <s v="Actual"/>
    <x v="7"/>
    <m/>
    <s v="Taqadm Albasrah"/>
    <s v="Light equipment rental (Daily)"/>
    <n v="5385.7489174090324"/>
    <s v="IN-1980-LV"/>
    <d v="2025-08-26T00:00:00"/>
    <s v="N/A"/>
    <s v="Jul"/>
    <n v="2025"/>
  </r>
  <r>
    <n v="221"/>
    <x v="3"/>
    <x v="3"/>
    <s v="Actual"/>
    <x v="7"/>
    <m/>
    <s v="Taqadm Albasrah"/>
    <s v="Light equipment rental (Daily)"/>
    <n v="2583.7492530348304"/>
    <s v="IN-1999-LV"/>
    <d v="2025-09-23T00:00:00"/>
    <s v="N/A"/>
    <s v="Aug"/>
    <n v="2025"/>
  </r>
  <r>
    <n v="222"/>
    <x v="3"/>
    <x v="3"/>
    <s v="Actual"/>
    <x v="7"/>
    <m/>
    <s v="Al-Zubair Gate"/>
    <s v="Light equipment rental (Daily)"/>
    <n v="1802.8169014084508"/>
    <s v="2522"/>
    <d v="2025-08-31T00:00:00"/>
    <s v="N/A"/>
    <s v="Aug"/>
    <n v="2025"/>
  </r>
  <r>
    <n v="223"/>
    <x v="3"/>
    <x v="3"/>
    <s v="Actual"/>
    <x v="7"/>
    <m/>
    <s v="Al-Zubair Gate"/>
    <s v="Light equipment rental (Daily)"/>
    <n v="531.41830985915487"/>
    <s v="2517"/>
    <d v="2025-07-31T00:00:00"/>
    <s v="N/A"/>
    <s v="Jul"/>
    <n v="2025"/>
  </r>
  <r>
    <n v="224"/>
    <x v="3"/>
    <x v="10"/>
    <s v="Actual"/>
    <x v="7"/>
    <m/>
    <s v="Taqadm Albasrah"/>
    <s v="Heavy equipment rental (Daily)"/>
    <n v="42414.244022996572"/>
    <s v="IN-1980-HV"/>
    <d v="2025-08-26T00:00:00"/>
    <s v="N/A"/>
    <s v="Jul"/>
    <n v="2025"/>
  </r>
  <r>
    <n v="225"/>
    <x v="3"/>
    <x v="10"/>
    <s v="Actual"/>
    <x v="7"/>
    <m/>
    <s v="Taqadm Albasrah"/>
    <s v="Heavy equipment rental (Daily)"/>
    <n v="38886.105157922429"/>
    <s v="IN-1999-HV"/>
    <d v="2025-09-23T00:00:00"/>
    <s v="N/A"/>
    <s v="Aug"/>
    <n v="2025"/>
  </r>
  <r>
    <n v="226"/>
    <x v="3"/>
    <x v="10"/>
    <s v="Actual"/>
    <x v="7"/>
    <m/>
    <s v="Border Transportaion / Al Hodod"/>
    <s v="Heavy equipment rental (Daily)"/>
    <n v="33798.720116973571"/>
    <n v="2025000132"/>
    <d v="2025-07-31T00:00:00"/>
    <s v="N/A"/>
    <s v="Jul"/>
    <n v="2025"/>
  </r>
  <r>
    <n v="227"/>
    <x v="3"/>
    <x v="10"/>
    <s v="Actual"/>
    <x v="7"/>
    <m/>
    <s v="Border Transportaion / Al Hodod"/>
    <s v="Heavy equipment rental (Daily)"/>
    <n v="31475.15836500331"/>
    <s v="20254000148"/>
    <d v="2025-08-31T00:00:00"/>
    <s v="N/A"/>
    <s v="Aug"/>
    <n v="2025"/>
  </r>
  <r>
    <n v="228"/>
    <x v="3"/>
    <x v="10"/>
    <s v="Actual"/>
    <x v="7"/>
    <m/>
    <s v="NAC Logistic"/>
    <s v="Heavy equipment rental (Daily)"/>
    <n v="28569.059338973078"/>
    <s v="NA-01-0011"/>
    <d v="2025-08-15T00:00:00"/>
    <s v="N/A"/>
    <s v="Jul"/>
    <n v="2025"/>
  </r>
  <r>
    <n v="229"/>
    <x v="3"/>
    <x v="10"/>
    <s v="Actual"/>
    <x v="7"/>
    <m/>
    <s v="NAC Logistic"/>
    <s v="Light equipment rental (Daily)"/>
    <n v="27427.583396474714"/>
    <s v="NA-01-0011"/>
    <d v="2025-08-15T00:00:00"/>
    <s v="N/A"/>
    <s v="Jul"/>
    <n v="2025"/>
  </r>
  <r>
    <n v="230"/>
    <x v="3"/>
    <x v="10"/>
    <s v="Accrual"/>
    <x v="7"/>
    <m/>
    <s v="NAC Logistic"/>
    <s v="Light equipment rental (Daily)"/>
    <n v="26495.665598591549"/>
    <s v="N/A"/>
    <s v="N/A"/>
    <s v="N/A"/>
    <s v="Aug"/>
    <n v="2025"/>
  </r>
  <r>
    <n v="231"/>
    <x v="3"/>
    <x v="10"/>
    <s v="Actual"/>
    <x v="7"/>
    <m/>
    <s v="Taqadm Albasrah"/>
    <s v="Light equipment rental (Daily)"/>
    <n v="23562.031653530139"/>
    <s v="IN-1980-LV"/>
    <d v="2025-08-26T00:00:00"/>
    <s v="N/A"/>
    <s v="Jul"/>
    <n v="2025"/>
  </r>
  <r>
    <n v="232"/>
    <x v="3"/>
    <x v="10"/>
    <s v="Actual"/>
    <x v="7"/>
    <m/>
    <s v="Taqadm Albasrah"/>
    <s v="Light equipment rental (Daily)"/>
    <n v="18460.532555115784"/>
    <s v="IN-1999-LV"/>
    <d v="2025-09-23T00:00:00"/>
    <s v="N/A"/>
    <s v="Aug"/>
    <n v="2025"/>
  </r>
  <r>
    <n v="233"/>
    <x v="3"/>
    <x v="10"/>
    <s v="Accrual"/>
    <x v="7"/>
    <m/>
    <s v="NAC Logistic"/>
    <s v="Heavy equipment rental (Daily)"/>
    <n v="8433.7161197183104"/>
    <s v="N/A"/>
    <s v="N/A"/>
    <s v="N/A"/>
    <s v="Aug"/>
    <n v="2025"/>
  </r>
  <r>
    <n v="234"/>
    <x v="3"/>
    <x v="11"/>
    <s v="Actual"/>
    <x v="7"/>
    <m/>
    <s v="NAC Logistic"/>
    <s v="Light equipment rental (Daily)"/>
    <n v="24962.134174713956"/>
    <s v="NA-01-0011"/>
    <d v="2025-08-15T00:00:00"/>
    <s v="N/A"/>
    <s v="Jul"/>
    <n v="2025"/>
  </r>
  <r>
    <n v="235"/>
    <x v="3"/>
    <x v="11"/>
    <s v="Accrual"/>
    <x v="7"/>
    <m/>
    <s v="NAC Logistic"/>
    <s v="Light equipment rental (Daily)"/>
    <n v="22127.707992957749"/>
    <s v="N/A"/>
    <s v="N/A"/>
    <s v="N/A"/>
    <s v="Aug"/>
    <n v="2025"/>
  </r>
  <r>
    <n v="236"/>
    <x v="3"/>
    <x v="11"/>
    <s v="Actual"/>
    <x v="7"/>
    <m/>
    <s v="NAC Logistic"/>
    <s v="Heavy equipment rental (Daily)"/>
    <n v="20695.178814642681"/>
    <s v="NA-01-0011"/>
    <d v="2025-08-15T00:00:00"/>
    <s v="N/A"/>
    <s v="Jul"/>
    <n v="2025"/>
  </r>
  <r>
    <n v="237"/>
    <x v="3"/>
    <x v="11"/>
    <s v="Actual"/>
    <x v="7"/>
    <m/>
    <s v="Taqadm Albasrah"/>
    <s v="Light equipment rental (Daily)"/>
    <n v="17417.068667002084"/>
    <s v="IN-1980-LV"/>
    <d v="2025-08-26T00:00:00"/>
    <s v="N/A"/>
    <s v="Jul"/>
    <n v="2025"/>
  </r>
  <r>
    <n v="238"/>
    <x v="3"/>
    <x v="11"/>
    <s v="Actual"/>
    <x v="7"/>
    <m/>
    <s v="Taqadm Albasrah"/>
    <s v="Heavy equipment rental (Daily)"/>
    <n v="15197.249965042287"/>
    <s v="IN-1980-HV"/>
    <d v="2025-08-26T00:00:00"/>
    <s v="N/A"/>
    <s v="Jul"/>
    <n v="2025"/>
  </r>
  <r>
    <n v="239"/>
    <x v="3"/>
    <x v="11"/>
    <s v="Actual"/>
    <x v="7"/>
    <m/>
    <s v="Taqadm Albasrah"/>
    <s v="Light equipment rental (Daily)"/>
    <n v="13917.925592860571"/>
    <s v="IN-1999-LV"/>
    <d v="2025-09-23T00:00:00"/>
    <s v="N/A"/>
    <s v="Aug"/>
    <n v="2025"/>
  </r>
  <r>
    <n v="240"/>
    <x v="3"/>
    <x v="11"/>
    <s v="Accrual"/>
    <x v="7"/>
    <m/>
    <s v="NAC Logistic"/>
    <s v="Heavy equipment rental (Daily)"/>
    <n v="8185.6717464788735"/>
    <s v="N/A"/>
    <s v="N/A"/>
    <s v="N/A"/>
    <s v="Aug"/>
    <n v="2025"/>
  </r>
  <r>
    <n v="241"/>
    <x v="3"/>
    <x v="11"/>
    <s v="Actual"/>
    <x v="7"/>
    <m/>
    <s v="Border Transportaion / Al Hodod"/>
    <s v="Heavy equipment rental (Daily)"/>
    <n v="3026.0297422529329"/>
    <s v="20254000148"/>
    <d v="2025-08-31T00:00:00"/>
    <s v="N/A"/>
    <s v="Aug"/>
    <n v="2025"/>
  </r>
  <r>
    <n v="242"/>
    <x v="3"/>
    <x v="11"/>
    <s v="Actual"/>
    <x v="7"/>
    <m/>
    <s v="Taqadm Albasrah"/>
    <s v="Heavy equipment rental (Daily)"/>
    <n v="2785.2749562394447"/>
    <s v="IN-1999-HV"/>
    <d v="2025-09-23T00:00:00"/>
    <s v="N/A"/>
    <s v="Aug"/>
    <n v="2025"/>
  </r>
  <r>
    <n v="243"/>
    <x v="3"/>
    <x v="11"/>
    <s v="Actual"/>
    <x v="7"/>
    <m/>
    <s v="Border Transportaion / Al Hodod"/>
    <s v="Heavy equipment rental (Daily)"/>
    <n v="1133.8835184676411"/>
    <n v="2025000132"/>
    <d v="2025-07-31T00:00:00"/>
    <s v="N/A"/>
    <s v="Jul"/>
    <n v="2025"/>
  </r>
  <r>
    <n v="244"/>
    <x v="3"/>
    <x v="11"/>
    <s v="Accrual"/>
    <x v="7"/>
    <m/>
    <s v="NAC Logistic"/>
    <s v="Light equipment rental (Daily)"/>
    <n v="787.37808450704222"/>
    <s v="N/A"/>
    <s v="N/A"/>
    <s v="N/A"/>
    <s v="Aug"/>
    <n v="2025"/>
  </r>
  <r>
    <n v="245"/>
    <x v="3"/>
    <x v="11"/>
    <s v="Actual"/>
    <x v="7"/>
    <m/>
    <s v="Border Transportaion / Al Hodod"/>
    <s v="Heavy equipment rental (Daily)"/>
    <n v="679.27801816444469"/>
    <s v="20254000148"/>
    <d v="2025-08-31T00:00:00"/>
    <s v="N/A"/>
    <s v="Aug"/>
    <n v="2025"/>
  </r>
  <r>
    <n v="246"/>
    <x v="3"/>
    <x v="11"/>
    <s v="Actual"/>
    <x v="7"/>
    <m/>
    <s v="Border Transportaion / Al Hodod"/>
    <s v="Heavy equipment rental (Daily)"/>
    <n v="378.25889825043851"/>
    <n v="2025000132"/>
    <d v="2025-07-31T00:00:00"/>
    <s v="N/A"/>
    <s v="Jul"/>
    <n v="2025"/>
  </r>
  <r>
    <n v="247"/>
    <x v="3"/>
    <x v="11"/>
    <s v="Accrual"/>
    <x v="7"/>
    <m/>
    <s v="NAC Logistic"/>
    <s v="Heavy equipment rental (Daily)"/>
    <n v="172.94149295774648"/>
    <s v="N/A"/>
    <s v="N/A"/>
    <s v="N/A"/>
    <s v="Aug"/>
    <n v="2025"/>
  </r>
  <r>
    <n v="248"/>
    <x v="3"/>
    <x v="11"/>
    <s v="Actual"/>
    <x v="7"/>
    <m/>
    <s v="Taqadm Albasrah"/>
    <s v="Light equipment rental (Daily)"/>
    <n v="141.26067328796447"/>
    <s v="IN-1980-LV"/>
    <d v="2025-08-26T00:00:00"/>
    <s v="N/A"/>
    <s v="Jul"/>
    <n v="2025"/>
  </r>
  <r>
    <n v="249"/>
    <x v="3"/>
    <x v="11"/>
    <s v="Actual"/>
    <x v="7"/>
    <m/>
    <s v="Taqadm Albasrah"/>
    <s v="Heavy equipment rental (Daily)"/>
    <n v="86.708267484336815"/>
    <s v="IN-1980-HV"/>
    <d v="2025-08-26T00:00:00"/>
    <s v="N/A"/>
    <s v="Jul"/>
    <n v="2025"/>
  </r>
  <r>
    <n v="250"/>
    <x v="3"/>
    <x v="24"/>
    <s v="Actual"/>
    <x v="7"/>
    <m/>
    <s v="Taqadm Albasrah"/>
    <s v="Light equipment rental (Daily)"/>
    <n v="8235.6199483928212"/>
    <s v="IN-1999-LV"/>
    <d v="2025-09-23T00:00:00"/>
    <s v="N/A"/>
    <s v="Aug"/>
    <n v="2025"/>
  </r>
  <r>
    <n v="251"/>
    <x v="3"/>
    <x v="24"/>
    <s v="Actual"/>
    <x v="7"/>
    <m/>
    <s v="Taqadm Albasrah"/>
    <s v="Light equipment rental (Daily)"/>
    <n v="6074.2086743132922"/>
    <s v="IN-1980-LV"/>
    <d v="2025-08-26T00:00:00"/>
    <s v="N/A"/>
    <s v="Jul"/>
    <n v="2025"/>
  </r>
  <r>
    <n v="252"/>
    <x v="3"/>
    <x v="24"/>
    <s v="Actual"/>
    <x v="7"/>
    <m/>
    <s v="Taqadm Albasrah"/>
    <s v="Heavy equipment rental (Daily)"/>
    <n v="4335.982473106169"/>
    <s v="IN-1980-HV"/>
    <d v="2025-08-26T00:00:00"/>
    <s v="N/A"/>
    <s v="Jul"/>
    <n v="2025"/>
  </r>
  <r>
    <n v="253"/>
    <x v="3"/>
    <x v="24"/>
    <s v="Actual"/>
    <x v="7"/>
    <m/>
    <s v="Taqadm Albasrah"/>
    <s v="Heavy equipment rental (Daily)"/>
    <n v="4324.7921785179642"/>
    <s v="IN-1999-HV"/>
    <d v="2025-09-23T00:00:00"/>
    <s v="N/A"/>
    <s v="Aug"/>
    <n v="2025"/>
  </r>
  <r>
    <n v="254"/>
    <x v="3"/>
    <x v="24"/>
    <s v="Actual"/>
    <x v="7"/>
    <m/>
    <s v="NAC Logistic"/>
    <s v="Heavy equipment rental (Daily)"/>
    <n v="1686.5903212235498"/>
    <s v="NA-01-0011"/>
    <d v="2025-08-15T00:00:00"/>
    <s v="N/A"/>
    <s v="Jul"/>
    <n v="2025"/>
  </r>
  <r>
    <n v="255"/>
    <x v="3"/>
    <x v="24"/>
    <s v="Accrual"/>
    <x v="7"/>
    <m/>
    <s v="NAC Logistic"/>
    <s v="Heavy equipment rental (Daily)"/>
    <n v="566.08883802816899"/>
    <s v="N/A"/>
    <s v="N/A"/>
    <s v="N/A"/>
    <s v="Aug"/>
    <n v="2025"/>
  </r>
  <r>
    <n v="256"/>
    <x v="3"/>
    <x v="24"/>
    <s v="Actual"/>
    <x v="7"/>
    <m/>
    <s v="Border Transportaion / Al Hodod"/>
    <s v="Heavy equipment rental (Daily)"/>
    <n v="440.03671682551487"/>
    <n v="2025000132"/>
    <d v="2025-07-31T00:00:00"/>
    <s v="N/A"/>
    <s v="Jul"/>
    <n v="2025"/>
  </r>
  <r>
    <n v="257"/>
    <x v="3"/>
    <x v="21"/>
    <s v="Accrual"/>
    <x v="7"/>
    <m/>
    <s v="NAC Logistic"/>
    <s v="Heavy equipment rental (Daily)"/>
    <n v="2161.4301267605633"/>
    <s v="N/A"/>
    <s v="N/A"/>
    <s v="N/A"/>
    <s v="Aug"/>
    <n v="2025"/>
  </r>
  <r>
    <n v="258"/>
    <x v="3"/>
    <x v="21"/>
    <s v="Actual"/>
    <x v="7"/>
    <m/>
    <s v="NAC Logistic"/>
    <s v="Heavy equipment rental (Daily)"/>
    <n v="2146.569517541554"/>
    <s v="NA-01-0011"/>
    <d v="2025-08-15T00:00:00"/>
    <s v="N/A"/>
    <s v="Jul"/>
    <n v="2025"/>
  </r>
  <r>
    <n v="259"/>
    <x v="3"/>
    <x v="21"/>
    <s v="Actual"/>
    <x v="7"/>
    <m/>
    <s v="Taqadm Albasrah"/>
    <s v="Light equipment rental (Daily)"/>
    <n v="1591.0412560287598"/>
    <s v="IN-1980-LV"/>
    <d v="2025-08-26T00:00:00"/>
    <s v="N/A"/>
    <s v="Jul"/>
    <n v="2025"/>
  </r>
  <r>
    <n v="260"/>
    <x v="3"/>
    <x v="21"/>
    <s v="Actual"/>
    <x v="7"/>
    <m/>
    <s v="Border Transportaion / Al Hodod"/>
    <s v="Heavy equipment rental (Daily)"/>
    <n v="269.09204499548883"/>
    <s v="20254000148"/>
    <d v="2025-08-31T00:00:00"/>
    <s v="N/A"/>
    <s v="Aug"/>
    <n v="2025"/>
  </r>
  <r>
    <n v="261"/>
    <x v="7"/>
    <x v="25"/>
    <s v="Actual"/>
    <x v="7"/>
    <m/>
    <s v="Taqadm Albasrah"/>
    <s v="Light equipment rental (Daily)"/>
    <n v="3220.7432117866529"/>
    <s v="IN-1980-LV"/>
    <d v="2025-08-26T00:00:00"/>
    <s v="N/A"/>
    <s v="Jul"/>
    <n v="2025"/>
  </r>
  <r>
    <n v="262"/>
    <x v="7"/>
    <x v="25"/>
    <s v="Actual"/>
    <x v="7"/>
    <m/>
    <s v="Taqadm Albasrah"/>
    <s v="Light equipment rental (Daily)"/>
    <n v="2952.8562891826637"/>
    <s v="IN-1999-LV"/>
    <d v="2025-09-23T00:00:00"/>
    <s v="N/A"/>
    <s v="Aug"/>
    <n v="2025"/>
  </r>
  <r>
    <n v="263"/>
    <x v="4"/>
    <x v="4"/>
    <s v="Actual"/>
    <x v="7"/>
    <m/>
    <s v="Taqadm Albasrah"/>
    <s v="Light equipment rental (Daily)"/>
    <n v="14003.403307016339"/>
    <s v="IN-1999-LV"/>
    <d v="2025-09-23T00:00:00"/>
    <s v="N/A"/>
    <s v="Aug"/>
    <n v="2025"/>
  </r>
  <r>
    <n v="264"/>
    <x v="4"/>
    <x v="4"/>
    <s v="Actual"/>
    <x v="7"/>
    <m/>
    <s v="Border Transportaion / Al Hodod"/>
    <s v="Heavy equipment rental (Daily)"/>
    <n v="10854.407718794384"/>
    <n v="2025000132"/>
    <d v="2025-07-31T00:00:00"/>
    <s v="N/A"/>
    <s v="Jul"/>
    <n v="2025"/>
  </r>
  <r>
    <n v="265"/>
    <x v="4"/>
    <x v="4"/>
    <s v="Actual"/>
    <x v="7"/>
    <m/>
    <s v="Taqadm Albasrah"/>
    <s v="Light equipment rental (Daily)"/>
    <n v="9362.8565289190192"/>
    <s v="IN-1980-LV"/>
    <d v="2025-08-26T00:00:00"/>
    <s v="N/A"/>
    <s v="Jul"/>
    <n v="2025"/>
  </r>
  <r>
    <n v="266"/>
    <x v="4"/>
    <x v="4"/>
    <s v="Actual"/>
    <x v="7"/>
    <m/>
    <s v="Taqadm Albasrah"/>
    <s v="Heavy equipment rental (Daily)"/>
    <n v="6374.5887319633512"/>
    <s v="IN-1980-HV"/>
    <d v="2025-08-26T00:00:00"/>
    <s v="N/A"/>
    <s v="Jul"/>
    <n v="2025"/>
  </r>
  <r>
    <n v="267"/>
    <x v="4"/>
    <x v="4"/>
    <s v="Accrual"/>
    <x v="7"/>
    <m/>
    <s v="NAC Logistic"/>
    <s v="Light equipment rental (Daily)"/>
    <n v="5789.409549295774"/>
    <s v="N/A"/>
    <s v="N/A"/>
    <s v="N/A"/>
    <s v="Aug"/>
    <n v="2025"/>
  </r>
  <r>
    <n v="268"/>
    <x v="4"/>
    <x v="4"/>
    <s v="Actual"/>
    <x v="7"/>
    <m/>
    <s v="Taqadm Albasrah"/>
    <s v="Heavy equipment rental (Daily)"/>
    <n v="4484.0614715299353"/>
    <s v="IN-1999-HV"/>
    <d v="2025-09-23T00:00:00"/>
    <s v="N/A"/>
    <s v="Aug"/>
    <n v="2025"/>
  </r>
  <r>
    <n v="269"/>
    <x v="4"/>
    <x v="4"/>
    <s v="Actual"/>
    <x v="7"/>
    <m/>
    <s v="Border Transportaion / Al Hodod"/>
    <s v="Heavy equipment rental (Daily)"/>
    <n v="4384.4063444192825"/>
    <s v="20254000148"/>
    <d v="2025-08-31T00:00:00"/>
    <s v="N/A"/>
    <s v="Aug"/>
    <n v="2025"/>
  </r>
  <r>
    <n v="270"/>
    <x v="4"/>
    <x v="4"/>
    <s v="Actual"/>
    <x v="7"/>
    <m/>
    <s v="NAC Logistic"/>
    <s v="Light equipment rental (Daily)"/>
    <n v="2015.5784550619901"/>
    <s v="NA-01-0011"/>
    <d v="2025-08-15T00:00:00"/>
    <s v="N/A"/>
    <s v="Jul"/>
    <n v="2025"/>
  </r>
  <r>
    <n v="271"/>
    <x v="4"/>
    <x v="4"/>
    <s v="Actual"/>
    <x v="7"/>
    <m/>
    <s v="Al-Zubair Gate"/>
    <s v="Heavy equipment rental (Daily)"/>
    <n v="1575"/>
    <s v="2520"/>
    <d v="2025-07-30T00:00:00"/>
    <s v="N/A"/>
    <s v="Jul"/>
    <n v="2025"/>
  </r>
  <r>
    <n v="272"/>
    <x v="4"/>
    <x v="4"/>
    <s v="Actual"/>
    <x v="7"/>
    <m/>
    <s v="NAC Logistic"/>
    <s v="Heavy equipment rental (Daily)"/>
    <n v="318.1522693520933"/>
    <s v="NA-01-0011"/>
    <d v="2025-08-15T00:00:00"/>
    <s v="N/A"/>
    <s v="Jul"/>
    <n v="2025"/>
  </r>
  <r>
    <n v="273"/>
    <x v="4"/>
    <x v="4"/>
    <s v="Accrual"/>
    <x v="7"/>
    <m/>
    <s v="NAC Logistic"/>
    <s v="Heavy equipment rental (Daily)"/>
    <n v="213.56988028169013"/>
    <s v="N/A"/>
    <s v="N/A"/>
    <s v="N/A"/>
    <s v="Aug"/>
    <n v="2025"/>
  </r>
  <r>
    <n v="274"/>
    <x v="2"/>
    <x v="26"/>
    <s v="Actual"/>
    <x v="7"/>
    <m/>
    <s v="NAC Logistic"/>
    <s v="Light equipment rental (Daily)"/>
    <n v="11272.309137568911"/>
    <s v="NA-01-0011"/>
    <d v="2025-08-15T00:00:00"/>
    <s v="N/A"/>
    <s v="Jul"/>
    <n v="2025"/>
  </r>
  <r>
    <n v="275"/>
    <x v="2"/>
    <x v="26"/>
    <s v="Accrual"/>
    <x v="7"/>
    <m/>
    <s v="NAC Logistic"/>
    <s v="Light equipment rental (Daily)"/>
    <n v="7487.811169014084"/>
    <s v="N/A"/>
    <s v="N/A"/>
    <s v="N/A"/>
    <s v="Aug"/>
    <n v="2025"/>
  </r>
  <r>
    <n v="276"/>
    <x v="3"/>
    <x v="12"/>
    <s v="Actual"/>
    <x v="7"/>
    <m/>
    <s v="Taqadm Albasrah"/>
    <s v="Light equipment rental (Daily)"/>
    <n v="16274.382824309301"/>
    <s v="IN-1999-LV"/>
    <d v="2025-09-23T00:00:00"/>
    <s v="N/A"/>
    <s v="Aug"/>
    <n v="2025"/>
  </r>
  <r>
    <n v="277"/>
    <x v="3"/>
    <x v="12"/>
    <s v="Actual"/>
    <x v="7"/>
    <m/>
    <s v="Taqadm Albasrah"/>
    <s v="Light equipment rental (Daily)"/>
    <n v="12964.879483782965"/>
    <s v="IN-1980-LV"/>
    <d v="2025-08-26T00:00:00"/>
    <s v="N/A"/>
    <s v="Jul"/>
    <n v="2025"/>
  </r>
  <r>
    <n v="278"/>
    <x v="3"/>
    <x v="12"/>
    <s v="Accrual"/>
    <x v="7"/>
    <m/>
    <s v="NAC Logistic"/>
    <s v="Heavy equipment rental (Daily)"/>
    <n v="5382.9902253521132"/>
    <s v="N/A"/>
    <s v="N/A"/>
    <s v="N/A"/>
    <s v="Aug"/>
    <n v="2025"/>
  </r>
  <r>
    <n v="279"/>
    <x v="3"/>
    <x v="12"/>
    <s v="Actual"/>
    <x v="7"/>
    <m/>
    <s v="NAC Logistic"/>
    <s v="Heavy equipment rental (Daily)"/>
    <n v="5059.7709636706495"/>
    <s v="NA-01-0011"/>
    <d v="2025-08-15T00:00:00"/>
    <s v="N/A"/>
    <s v="Jul"/>
    <n v="2025"/>
  </r>
  <r>
    <n v="280"/>
    <x v="3"/>
    <x v="12"/>
    <s v="Actual"/>
    <x v="7"/>
    <m/>
    <s v="Border Transportaion / Al Hodod"/>
    <s v="Heavy equipment rental (Daily)"/>
    <n v="3456.2181888318464"/>
    <s v="20254000148"/>
    <d v="2025-08-31T00:00:00"/>
    <s v="N/A"/>
    <s v="Aug"/>
    <n v="2025"/>
  </r>
  <r>
    <n v="281"/>
    <x v="3"/>
    <x v="12"/>
    <s v="Actual"/>
    <x v="7"/>
    <m/>
    <s v="Taqadm Albasrah"/>
    <s v="Heavy equipment rental (Daily)"/>
    <n v="1867.548635812924"/>
    <s v="IN-1999-HV"/>
    <d v="2025-09-23T00:00:00"/>
    <s v="N/A"/>
    <s v="Aug"/>
    <n v="2025"/>
  </r>
  <r>
    <n v="282"/>
    <x v="3"/>
    <x v="12"/>
    <s v="Actual"/>
    <x v="7"/>
    <m/>
    <s v="NAC Logistic"/>
    <s v="Light equipment rental (Daily)"/>
    <n v="1791.6252933884357"/>
    <s v="NA-01-0011"/>
    <d v="2025-08-15T00:00:00"/>
    <s v="N/A"/>
    <s v="Jul"/>
    <n v="2025"/>
  </r>
  <r>
    <n v="283"/>
    <x v="3"/>
    <x v="12"/>
    <s v="Actual"/>
    <x v="7"/>
    <m/>
    <s v="Border Transportaion / Al Hodod"/>
    <s v="Heavy equipment rental (Daily)"/>
    <n v="1741.6879552797461"/>
    <n v="2025000132"/>
    <d v="2025-07-31T00:00:00"/>
    <s v="N/A"/>
    <s v="Jul"/>
    <n v="2025"/>
  </r>
  <r>
    <n v="284"/>
    <x v="3"/>
    <x v="12"/>
    <s v="Accrual"/>
    <x v="7"/>
    <m/>
    <s v="NAC Logistic"/>
    <s v="Light equipment rental (Daily)"/>
    <n v="1698.2664577464789"/>
    <s v="N/A"/>
    <s v="N/A"/>
    <s v="N/A"/>
    <s v="Aug"/>
    <n v="2025"/>
  </r>
  <r>
    <n v="285"/>
    <x v="3"/>
    <x v="12"/>
    <s v="Actual"/>
    <x v="7"/>
    <m/>
    <s v="Taqadm Albasrah"/>
    <s v="Heavy equipment rental (Daily)"/>
    <n v="853.53452125840352"/>
    <s v="IN-1980-HV"/>
    <d v="2025-08-26T00:00:00"/>
    <s v="N/A"/>
    <s v="Jul"/>
    <n v="2025"/>
  </r>
  <r>
    <n v="286"/>
    <x v="2"/>
    <x v="22"/>
    <s v="Actual"/>
    <x v="7"/>
    <m/>
    <s v="NAC Logistic"/>
    <s v="Light equipment rental (Daily)"/>
    <n v="17231.951987923723"/>
    <s v="NA-01-0011"/>
    <d v="2025-08-15T00:00:00"/>
    <s v="N/A"/>
    <s v="Jul"/>
    <n v="2025"/>
  </r>
  <r>
    <n v="287"/>
    <x v="2"/>
    <x v="22"/>
    <s v="Actual"/>
    <x v="7"/>
    <m/>
    <s v="NAC Logistic"/>
    <s v="Heavy equipment rental (Daily)"/>
    <n v="13189.741608148239"/>
    <s v="NA-01-0011"/>
    <d v="2025-08-15T00:00:00"/>
    <s v="N/A"/>
    <s v="Jul"/>
    <n v="2025"/>
  </r>
  <r>
    <n v="288"/>
    <x v="2"/>
    <x v="22"/>
    <s v="Accrual"/>
    <x v="7"/>
    <m/>
    <s v="NAC Logistic"/>
    <s v="Light equipment rental (Daily)"/>
    <n v="9580.1732112676054"/>
    <s v="N/A"/>
    <s v="N/A"/>
    <s v="N/A"/>
    <s v="Aug"/>
    <n v="2025"/>
  </r>
  <r>
    <n v="289"/>
    <x v="2"/>
    <x v="22"/>
    <s v="Accrual"/>
    <x v="7"/>
    <m/>
    <s v="NAC Logistic"/>
    <s v="Heavy equipment rental (Daily)"/>
    <n v="7624.1874577464787"/>
    <s v="N/A"/>
    <s v="N/A"/>
    <s v="N/A"/>
    <s v="Aug"/>
    <n v="2025"/>
  </r>
  <r>
    <n v="290"/>
    <x v="2"/>
    <x v="22"/>
    <s v="Actual"/>
    <x v="7"/>
    <m/>
    <s v="Taqadm Albasrah"/>
    <s v="Heavy equipment rental (Daily)"/>
    <n v="6116.7264392801917"/>
    <s v="IN-1980-HV"/>
    <d v="2025-08-26T00:00:00"/>
    <s v="N/A"/>
    <s v="Jul"/>
    <n v="2025"/>
  </r>
  <r>
    <n v="291"/>
    <x v="2"/>
    <x v="22"/>
    <s v="Actual"/>
    <x v="7"/>
    <m/>
    <s v="Taqadm Albasrah"/>
    <s v="Light equipment rental (Daily)"/>
    <n v="1393.5409558257888"/>
    <s v="IN-1999-LV"/>
    <d v="2025-09-23T00:00:00"/>
    <s v="N/A"/>
    <s v="Aug"/>
    <n v="2025"/>
  </r>
  <r>
    <n v="292"/>
    <x v="2"/>
    <x v="22"/>
    <s v="Actual"/>
    <x v="7"/>
    <m/>
    <s v="Taqadm Albasrah"/>
    <s v="Heavy equipment rental (Daily)"/>
    <n v="348.15936422594012"/>
    <s v="IN-1999-HV"/>
    <d v="2025-09-23T00:00:00"/>
    <s v="N/A"/>
    <s v="Aug"/>
    <n v="2025"/>
  </r>
  <r>
    <n v="293"/>
    <x v="0"/>
    <x v="0"/>
    <s v="Actual"/>
    <x v="7"/>
    <m/>
    <s v="Taqadm Albasrah"/>
    <s v="Light equipment rental (Daily)"/>
    <n v="6947.9187144202951"/>
    <s v="IN-1980-LV"/>
    <d v="2025-08-26T00:00:00"/>
    <s v="N/A"/>
    <s v="Jul"/>
    <n v="2025"/>
  </r>
  <r>
    <n v="294"/>
    <x v="0"/>
    <x v="0"/>
    <s v="Actual"/>
    <x v="7"/>
    <m/>
    <s v="NAC Logistic"/>
    <s v="Light equipment rental (Daily)"/>
    <n v="4531.4503032017647"/>
    <s v="NA-01-0011"/>
    <d v="2025-08-15T00:00:00"/>
    <s v="N/A"/>
    <s v="Jul"/>
    <n v="2025"/>
  </r>
  <r>
    <n v="295"/>
    <x v="0"/>
    <x v="0"/>
    <s v="Actual"/>
    <x v="7"/>
    <m/>
    <s v="Border Transportaion / Al Hodod"/>
    <s v="Heavy equipment rental (Daily)"/>
    <n v="3878.5133046785959"/>
    <s v="20254000148"/>
    <d v="2025-08-31T00:00:00"/>
    <s v="N/A"/>
    <s v="Aug"/>
    <n v="2025"/>
  </r>
  <r>
    <n v="296"/>
    <x v="0"/>
    <x v="0"/>
    <s v="Actual"/>
    <x v="7"/>
    <m/>
    <s v="Border Transportaion / Al Hodod"/>
    <s v="Heavy equipment rental (Daily)"/>
    <n v="3274.3733491139874"/>
    <n v="2025000132"/>
    <d v="2025-07-31T00:00:00"/>
    <s v="N/A"/>
    <s v="Jul"/>
    <n v="2025"/>
  </r>
  <r>
    <n v="297"/>
    <x v="0"/>
    <x v="0"/>
    <s v="Accrual"/>
    <x v="7"/>
    <m/>
    <s v="NAC Logistic"/>
    <s v="Light equipment rental (Daily)"/>
    <n v="2276.5439225352115"/>
    <s v="N/A"/>
    <s v="N/A"/>
    <s v="N/A"/>
    <s v="Aug"/>
    <n v="2025"/>
  </r>
  <r>
    <n v="298"/>
    <x v="0"/>
    <x v="0"/>
    <s v="Actual"/>
    <x v="7"/>
    <m/>
    <s v="Taqadm Albasrah"/>
    <s v="Light equipment rental (Daily)"/>
    <n v="1489.3793909525762"/>
    <s v="IN-1999-LV"/>
    <d v="2025-09-23T00:00:00"/>
    <s v="N/A"/>
    <s v="Aug"/>
    <n v="2025"/>
  </r>
  <r>
    <n v="299"/>
    <x v="5"/>
    <x v="5"/>
    <s v="Actual"/>
    <x v="7"/>
    <m/>
    <s v="Border Transportaion / Al Hodod"/>
    <s v="Heavy equipment rental (Daily)"/>
    <n v="79234.152440895588"/>
    <s v="20254000148"/>
    <d v="2025-08-31T00:00:00"/>
    <s v="N/A"/>
    <s v="Aug"/>
    <n v="2025"/>
  </r>
  <r>
    <n v="300"/>
    <x v="5"/>
    <x v="5"/>
    <s v="Accrual"/>
    <x v="7"/>
    <m/>
    <s v="NAC Logistic"/>
    <s v="Heavy equipment rental (Daily)"/>
    <n v="33089.382197183098"/>
    <s v="N/A"/>
    <s v="N/A"/>
    <s v="N/A"/>
    <s v="Aug"/>
    <n v="2025"/>
  </r>
  <r>
    <n v="301"/>
    <x v="5"/>
    <x v="5"/>
    <s v="Accrual"/>
    <x v="7"/>
    <m/>
    <s v="NAC Logistic"/>
    <s v="Light equipment rental (Daily)"/>
    <n v="23691.49425352113"/>
    <s v="N/A"/>
    <s v="N/A"/>
    <s v="N/A"/>
    <s v="Aug"/>
    <n v="2025"/>
  </r>
  <r>
    <n v="302"/>
    <x v="5"/>
    <x v="5"/>
    <s v="Actual"/>
    <x v="7"/>
    <m/>
    <s v="Taqadm Albasrah"/>
    <s v="Heavy equipment rental (Daily)"/>
    <n v="210877.11108279449"/>
    <s v="IN-1980-HV"/>
    <d v="2025-08-26T00:00:00"/>
    <s v="N/A"/>
    <s v="Jul"/>
    <n v="2025"/>
  </r>
  <r>
    <n v="303"/>
    <x v="5"/>
    <x v="5"/>
    <s v="Actual"/>
    <x v="7"/>
    <m/>
    <s v="Taqadm Albasrah"/>
    <s v="Heavy equipment rental (Daily)"/>
    <n v="166781.28913135847"/>
    <s v="IN-1999-HV"/>
    <d v="2025-09-23T00:00:00"/>
    <s v="N/A"/>
    <s v="Aug"/>
    <n v="2025"/>
  </r>
  <r>
    <n v="304"/>
    <x v="5"/>
    <x v="5"/>
    <s v="Actual"/>
    <x v="7"/>
    <m/>
    <s v="NAC Logistic"/>
    <s v="Heavy equipment rental (Daily)"/>
    <n v="127717.81741269436"/>
    <s v="NA-01-0011"/>
    <d v="2025-08-15T00:00:00"/>
    <s v="N/A"/>
    <s v="Jul"/>
    <n v="2025"/>
  </r>
  <r>
    <n v="305"/>
    <x v="5"/>
    <x v="5"/>
    <s v="Actual"/>
    <x v="7"/>
    <m/>
    <s v="Taqadm Albasrah"/>
    <s v="Light equipment rental (Daily)"/>
    <n v="59280.663887059061"/>
    <s v="IN-1999-LV"/>
    <d v="2025-09-23T00:00:00"/>
    <s v="N/A"/>
    <s v="Aug"/>
    <n v="2025"/>
  </r>
  <r>
    <n v="306"/>
    <x v="5"/>
    <x v="5"/>
    <s v="Actual"/>
    <x v="7"/>
    <m/>
    <s v="Taqadm Albasrah"/>
    <s v="Light equipment rental (Daily)"/>
    <n v="47177.966381331047"/>
    <s v="IN-1980-LV"/>
    <d v="2025-08-26T00:00:00"/>
    <s v="N/A"/>
    <s v="Jul"/>
    <n v="2025"/>
  </r>
  <r>
    <n v="307"/>
    <x v="5"/>
    <x v="5"/>
    <s v="Actual"/>
    <x v="7"/>
    <m/>
    <s v="Border Transportaion / Al Hodod"/>
    <s v="Heavy equipment rental (Daily)"/>
    <n v="45283.976058141328"/>
    <n v="2025000132"/>
    <d v="2025-07-31T00:00:00"/>
    <s v="N/A"/>
    <s v="Jul"/>
    <n v="2025"/>
  </r>
  <r>
    <n v="308"/>
    <x v="5"/>
    <x v="5"/>
    <s v="Actual"/>
    <x v="7"/>
    <m/>
    <s v="NAC Logistic"/>
    <s v="Light equipment rental (Daily)"/>
    <n v="25193.552204779167"/>
    <s v="NA-01-0011"/>
    <d v="2025-08-15T00:00:00"/>
    <s v="N/A"/>
    <s v="Jul"/>
    <n v="2025"/>
  </r>
  <r>
    <n v="309"/>
    <x v="5"/>
    <x v="5"/>
    <s v="Actual"/>
    <x v="7"/>
    <m/>
    <s v="Neema Abdul Hassan"/>
    <s v="Light equipment rental (Daily)"/>
    <n v="1840"/>
    <s v="#inv-48"/>
    <d v="2025-07-31T00:00:00"/>
    <s v="N/A"/>
    <s v="Jul"/>
    <n v="2025"/>
  </r>
  <r>
    <n v="310"/>
    <x v="5"/>
    <x v="5"/>
    <s v="Actual"/>
    <x v="7"/>
    <m/>
    <s v="Neema Abdul Hassan"/>
    <s v="Light equipment rental (Daily)"/>
    <n v="1760"/>
    <s v="#inv-49"/>
    <d v="2025-08-31T00:00:00"/>
    <s v="N/A"/>
    <s v="Aug"/>
    <n v="2025"/>
  </r>
  <r>
    <n v="311"/>
    <x v="1"/>
    <x v="1"/>
    <s v="Actual"/>
    <x v="7"/>
    <m/>
    <s v="Taqadm Albasrah"/>
    <s v="Light equipment rental (Daily)"/>
    <n v="43985.72264708006"/>
    <s v="IN-1980-LV"/>
    <d v="2025-08-26T00:00:00"/>
    <s v="N/A"/>
    <s v="Jul"/>
    <n v="2025"/>
  </r>
  <r>
    <n v="312"/>
    <x v="1"/>
    <x v="1"/>
    <s v="Actual"/>
    <x v="7"/>
    <m/>
    <s v="Taqadm Albasrah"/>
    <s v="Heavy equipment rental (Daily)"/>
    <n v="42720.676602153493"/>
    <s v="IN-1980-HV"/>
    <d v="2025-08-26T00:00:00"/>
    <s v="N/A"/>
    <s v="Jul"/>
    <n v="2025"/>
  </r>
  <r>
    <n v="313"/>
    <x v="1"/>
    <x v="1"/>
    <s v="Actual"/>
    <x v="7"/>
    <m/>
    <s v="Taqadm Albasrah"/>
    <s v="Light equipment rental (Daily)"/>
    <n v="41501.101440150152"/>
    <s v="IN-1999-LV"/>
    <d v="2025-09-23T00:00:00"/>
    <s v="N/A"/>
    <s v="Aug"/>
    <n v="2025"/>
  </r>
  <r>
    <n v="314"/>
    <x v="1"/>
    <x v="1"/>
    <s v="Actual"/>
    <x v="7"/>
    <m/>
    <s v="Taqadm Albasrah"/>
    <s v="Heavy equipment rental (Daily)"/>
    <n v="31744.627523002495"/>
    <s v="IN-1999-HV"/>
    <d v="2025-09-23T00:00:00"/>
    <s v="N/A"/>
    <s v="Aug"/>
    <n v="2025"/>
  </r>
  <r>
    <n v="315"/>
    <x v="1"/>
    <x v="1"/>
    <s v="Actual"/>
    <x v="7"/>
    <m/>
    <s v="Border Transportaion / Al Hodod"/>
    <s v="Heavy equipment rental (Daily)"/>
    <n v="16026.804210597036"/>
    <n v="2025000132"/>
    <d v="2025-07-31T00:00:00"/>
    <s v="N/A"/>
    <s v="Jul"/>
    <n v="2025"/>
  </r>
  <r>
    <n v="316"/>
    <x v="1"/>
    <x v="1"/>
    <s v="Actual"/>
    <x v="7"/>
    <m/>
    <s v="NAC Logistic"/>
    <s v="Heavy equipment rental (Daily)"/>
    <n v="9179.6767149665029"/>
    <s v="NA-01-0011"/>
    <d v="2025-08-15T00:00:00"/>
    <s v="N/A"/>
    <s v="Jul"/>
    <n v="2025"/>
  </r>
  <r>
    <n v="317"/>
    <x v="1"/>
    <x v="1"/>
    <s v="Actual"/>
    <x v="7"/>
    <m/>
    <s v="NAC Logistic"/>
    <s v="Light equipment rental (Daily)"/>
    <n v="7316.3273181359509"/>
    <s v="NA-01-0011"/>
    <d v="2025-08-15T00:00:00"/>
    <s v="N/A"/>
    <s v="Jul"/>
    <n v="2025"/>
  </r>
  <r>
    <n v="318"/>
    <x v="1"/>
    <x v="1"/>
    <s v="Actual"/>
    <x v="7"/>
    <m/>
    <s v="Border Transportaion / Al Hodod"/>
    <s v="Heavy equipment rental (Daily)"/>
    <n v="6115.5652412298859"/>
    <s v="20254000148"/>
    <d v="2025-08-31T00:00:00"/>
    <s v="N/A"/>
    <s v="Aug"/>
    <n v="2025"/>
  </r>
  <r>
    <n v="319"/>
    <x v="1"/>
    <x v="1"/>
    <s v="Accrual"/>
    <x v="7"/>
    <m/>
    <s v="NAC Logistic"/>
    <s v="Light equipment rental (Daily)"/>
    <n v="3536.0238309859155"/>
    <s v="N/A"/>
    <s v="N/A"/>
    <s v="N/A"/>
    <s v="Aug"/>
    <n v="2025"/>
  </r>
  <r>
    <n v="320"/>
    <x v="1"/>
    <x v="1"/>
    <s v="Accrual"/>
    <x v="7"/>
    <m/>
    <s v="NAC Logistic"/>
    <s v="Heavy equipment rental (Daily)"/>
    <n v="2818.1202394366201"/>
    <s v="N/A"/>
    <s v="N/A"/>
    <s v="N/A"/>
    <s v="Aug"/>
    <n v="2025"/>
  </r>
  <r>
    <n v="321"/>
    <x v="6"/>
    <x v="13"/>
    <s v="Actual"/>
    <x v="7"/>
    <m/>
    <s v="Taqadm Albasrah"/>
    <s v="Light equipment rental (Daily)"/>
    <n v="61.956437913482404"/>
    <s v="IN-1980-LV"/>
    <d v="2025-08-26T00:00:00"/>
    <s v="N/A"/>
    <s v="Jul"/>
    <n v="2025"/>
  </r>
  <r>
    <n v="322"/>
    <x v="3"/>
    <x v="14"/>
    <s v="Actual"/>
    <x v="7"/>
    <m/>
    <s v="Taqadm Albasrah"/>
    <s v="Heavy equipment rental (Daily)"/>
    <n v="44403.304672040824"/>
    <s v="IN-1980-HV"/>
    <d v="2025-08-26T00:00:00"/>
    <s v="N/A"/>
    <s v="Jul"/>
    <n v="2025"/>
  </r>
  <r>
    <n v="323"/>
    <x v="3"/>
    <x v="14"/>
    <s v="Actual"/>
    <x v="7"/>
    <m/>
    <s v="Taqadm Albasrah"/>
    <s v="Heavy equipment rental (Daily)"/>
    <n v="37889.803670153698"/>
    <s v="IN-1999-HV"/>
    <d v="2025-09-23T00:00:00"/>
    <s v="N/A"/>
    <s v="Aug"/>
    <n v="2025"/>
  </r>
  <r>
    <n v="324"/>
    <x v="3"/>
    <x v="14"/>
    <s v="Actual"/>
    <x v="7"/>
    <m/>
    <s v="Taqadm Albasrah"/>
    <s v="Light equipment rental (Daily)"/>
    <n v="18299.161666672993"/>
    <s v="IN-1999-LV"/>
    <d v="2025-09-23T00:00:00"/>
    <s v="N/A"/>
    <s v="Aug"/>
    <n v="2025"/>
  </r>
  <r>
    <n v="325"/>
    <x v="3"/>
    <x v="14"/>
    <s v="Actual"/>
    <x v="7"/>
    <m/>
    <s v="Taqadm Albasrah"/>
    <s v="Light equipment rental (Daily)"/>
    <n v="16336.548611446295"/>
    <s v="IN-1980-LV"/>
    <d v="2025-08-26T00:00:00"/>
    <s v="N/A"/>
    <s v="Jul"/>
    <n v="2025"/>
  </r>
  <r>
    <n v="326"/>
    <x v="3"/>
    <x v="14"/>
    <s v="Accrual"/>
    <x v="7"/>
    <m/>
    <s v="NAC Logistic"/>
    <s v="Heavy equipment rental (Daily)"/>
    <n v="15554.577352112676"/>
    <s v="N/A"/>
    <s v="N/A"/>
    <s v="N/A"/>
    <s v="Aug"/>
    <n v="2025"/>
  </r>
  <r>
    <n v="327"/>
    <x v="3"/>
    <x v="14"/>
    <s v="Actual"/>
    <x v="7"/>
    <m/>
    <s v="NAC Logistic"/>
    <s v="Heavy equipment rental (Daily)"/>
    <n v="14218.46745202023"/>
    <s v="NA-01-0011"/>
    <d v="2025-08-15T00:00:00"/>
    <s v="N/A"/>
    <s v="Jul"/>
    <n v="2025"/>
  </r>
  <r>
    <n v="328"/>
    <x v="3"/>
    <x v="14"/>
    <s v="Actual"/>
    <x v="7"/>
    <m/>
    <s v="Border Transportaion / Al Hodod"/>
    <s v="Heavy equipment rental (Daily)"/>
    <n v="10639.927061081242"/>
    <n v="2025000132"/>
    <d v="2025-07-31T00:00:00"/>
    <s v="N/A"/>
    <s v="Jul"/>
    <n v="2025"/>
  </r>
  <r>
    <n v="329"/>
    <x v="3"/>
    <x v="14"/>
    <s v="Accrual"/>
    <x v="7"/>
    <m/>
    <s v="NAC Logistic"/>
    <s v="Light equipment rental (Daily)"/>
    <n v="5462.3509999999997"/>
    <s v="N/A"/>
    <s v="N/A"/>
    <s v="N/A"/>
    <s v="Aug"/>
    <n v="2025"/>
  </r>
  <r>
    <n v="330"/>
    <x v="3"/>
    <x v="14"/>
    <s v="Actual"/>
    <x v="7"/>
    <m/>
    <s v="NAC Logistic"/>
    <s v="Light equipment rental (Daily)"/>
    <n v="3637.3400133565706"/>
    <s v="NA-01-0011"/>
    <d v="2025-08-15T00:00:00"/>
    <s v="N/A"/>
    <s v="Jul"/>
    <n v="2025"/>
  </r>
  <r>
    <n v="331"/>
    <x v="3"/>
    <x v="14"/>
    <s v="Actual"/>
    <x v="7"/>
    <m/>
    <s v="Border Transportaion / Al Hodod"/>
    <s v="Heavy equipment rental (Daily)"/>
    <n v="3283.8199163958366"/>
    <s v="20254000148"/>
    <d v="2025-08-31T00:00:00"/>
    <s v="N/A"/>
    <s v="Aug"/>
    <n v="2025"/>
  </r>
  <r>
    <n v="332"/>
    <x v="3"/>
    <x v="27"/>
    <s v="Actual"/>
    <x v="7"/>
    <m/>
    <s v="Taqadm Albasrah"/>
    <s v="Heavy equipment rental (Daily)"/>
    <n v="17660.848573022977"/>
    <s v="IN-1980-HV"/>
    <d v="2025-08-26T00:00:00"/>
    <s v="N/A"/>
    <s v="Jul"/>
    <n v="2025"/>
  </r>
  <r>
    <n v="333"/>
    <x v="3"/>
    <x v="27"/>
    <s v="Actual"/>
    <x v="7"/>
    <m/>
    <s v="Taqadm Albasrah"/>
    <s v="Heavy equipment rental (Daily)"/>
    <n v="10314.221370281108"/>
    <s v="IN-1999-HV"/>
    <d v="2025-09-23T00:00:00"/>
    <s v="N/A"/>
    <s v="Aug"/>
    <n v="2025"/>
  </r>
  <r>
    <n v="334"/>
    <x v="3"/>
    <x v="27"/>
    <s v="Actual"/>
    <x v="7"/>
    <m/>
    <s v="Taqadm Albasrah"/>
    <s v="Light equipment rental (Daily)"/>
    <n v="6937.9172727983705"/>
    <s v="IN-1999-LV"/>
    <d v="2025-09-23T00:00:00"/>
    <s v="N/A"/>
    <s v="Aug"/>
    <n v="2025"/>
  </r>
  <r>
    <n v="335"/>
    <x v="3"/>
    <x v="27"/>
    <s v="Actual"/>
    <x v="7"/>
    <m/>
    <s v="Border Transportaion / Al Hodod"/>
    <s v="Heavy equipment rental (Daily)"/>
    <n v="5716.6069165521658"/>
    <n v="2025000132"/>
    <d v="2025-07-31T00:00:00"/>
    <s v="N/A"/>
    <s v="Jul"/>
    <n v="2025"/>
  </r>
  <r>
    <n v="336"/>
    <x v="3"/>
    <x v="27"/>
    <s v="Actual"/>
    <x v="7"/>
    <m/>
    <s v="Taqadm Albasrah"/>
    <s v="Light equipment rental (Daily)"/>
    <n v="5654.1441818361864"/>
    <s v="IN-1980-LV"/>
    <d v="2025-08-26T00:00:00"/>
    <s v="N/A"/>
    <s v="Jul"/>
    <n v="2025"/>
  </r>
  <r>
    <n v="337"/>
    <x v="3"/>
    <x v="27"/>
    <s v="Actual"/>
    <x v="7"/>
    <m/>
    <s v="Border Transportaion / Al Hodod"/>
    <s v="Heavy equipment rental (Daily)"/>
    <n v="5521.7687625611488"/>
    <s v="20254000148"/>
    <d v="2025-08-31T00:00:00"/>
    <s v="N/A"/>
    <s v="Aug"/>
    <n v="2025"/>
  </r>
  <r>
    <n v="338"/>
    <x v="3"/>
    <x v="27"/>
    <s v="Actual"/>
    <x v="7"/>
    <m/>
    <s v="NAC Logistic"/>
    <s v="Light equipment rental (Daily)"/>
    <n v="746.51053891184836"/>
    <s v="NA-01-0011"/>
    <d v="2025-08-15T00:00:00"/>
    <s v="N/A"/>
    <s v="Jul"/>
    <n v="2025"/>
  </r>
  <r>
    <n v="339"/>
    <x v="3"/>
    <x v="27"/>
    <s v="Accrual"/>
    <x v="7"/>
    <m/>
    <s v="NAC Logistic"/>
    <s v="Heavy equipment rental (Daily)"/>
    <n v="566.08883802816899"/>
    <s v="N/A"/>
    <s v="N/A"/>
    <s v="N/A"/>
    <s v="Aug"/>
    <n v="2025"/>
  </r>
  <r>
    <n v="340"/>
    <x v="3"/>
    <x v="27"/>
    <s v="Actual"/>
    <x v="7"/>
    <m/>
    <s v="NAC Logistic"/>
    <s v="Heavy equipment rental (Daily)"/>
    <n v="171.75245801612246"/>
    <s v="NA-01-0011"/>
    <d v="2025-08-15T00:00:00"/>
    <s v="N/A"/>
    <s v="Jul"/>
    <n v="2025"/>
  </r>
  <r>
    <n v="341"/>
    <x v="2"/>
    <x v="28"/>
    <s v="Actual"/>
    <x v="7"/>
    <m/>
    <s v="Taqadm Albasrah"/>
    <s v="Light equipment rental (Daily)"/>
    <n v="3122.5161315390178"/>
    <s v="IN-1999-LV"/>
    <d v="2025-09-23T00:00:00"/>
    <s v="N/A"/>
    <s v="Aug"/>
    <n v="2025"/>
  </r>
  <r>
    <n v="342"/>
    <x v="2"/>
    <x v="28"/>
    <s v="Actual"/>
    <x v="7"/>
    <m/>
    <s v="Taqadm Albasrah"/>
    <s v="Light equipment rental (Daily)"/>
    <n v="1363.0416340966131"/>
    <s v="IN-1980-LV"/>
    <d v="2025-08-26T00:00:00"/>
    <s v="N/A"/>
    <s v="Jul"/>
    <n v="2025"/>
  </r>
  <r>
    <n v="343"/>
    <x v="2"/>
    <x v="28"/>
    <s v="Actual"/>
    <x v="7"/>
    <m/>
    <s v="NAC Logistic"/>
    <s v="Light equipment rental (Daily)"/>
    <n v="373.25526945592418"/>
    <s v="NA-01-0011"/>
    <d v="2025-08-15T00:00:00"/>
    <s v="N/A"/>
    <s v="Jul"/>
    <n v="2025"/>
  </r>
  <r>
    <n v="344"/>
    <x v="7"/>
    <x v="29"/>
    <s v="Actual"/>
    <x v="7"/>
    <m/>
    <s v="Taqadm Albasrah"/>
    <s v="Heavy equipment rental (Daily)"/>
    <n v="86.708267484336815"/>
    <s v="IN-1980-HV"/>
    <d v="2025-08-26T00:00:00"/>
    <s v="N/A"/>
    <s v="Jul"/>
    <n v="2025"/>
  </r>
  <r>
    <n v="345"/>
    <x v="7"/>
    <x v="29"/>
    <s v="Actual"/>
    <x v="7"/>
    <m/>
    <s v="Taqadm Albasrah"/>
    <s v="Light equipment rental (Daily)"/>
    <n v="70.630333422247602"/>
    <s v="IN-1980-LV"/>
    <d v="2025-08-26T00:00:00"/>
    <s v="N/A"/>
    <s v="Jul"/>
    <n v="2025"/>
  </r>
  <r>
    <n v="346"/>
    <x v="7"/>
    <x v="20"/>
    <s v="Actual"/>
    <x v="7"/>
    <m/>
    <s v="Taqadm Albasrah"/>
    <s v="Light equipment rental (Daily)"/>
    <n v="24613.92797568857"/>
    <s v="IN-1980-LV"/>
    <d v="2025-08-26T00:00:00"/>
    <s v="N/A"/>
    <s v="Jul"/>
    <n v="2025"/>
  </r>
  <r>
    <n v="347"/>
    <x v="7"/>
    <x v="20"/>
    <s v="Actual"/>
    <x v="7"/>
    <m/>
    <s v="Taqadm Albasrah"/>
    <s v="Light equipment rental (Daily)"/>
    <n v="15321.179921162382"/>
    <s v="IN-1999-LV"/>
    <d v="2025-09-23T00:00:00"/>
    <s v="N/A"/>
    <s v="Aug"/>
    <n v="2025"/>
  </r>
  <r>
    <n v="348"/>
    <x v="7"/>
    <x v="20"/>
    <s v="Actual"/>
    <x v="7"/>
    <m/>
    <s v="Taqadm Albasrah"/>
    <s v="Heavy equipment rental (Daily)"/>
    <n v="11082.565530927934"/>
    <s v="IN-1999-HV"/>
    <d v="2025-09-23T00:00:00"/>
    <s v="N/A"/>
    <s v="Aug"/>
    <n v="2025"/>
  </r>
  <r>
    <n v="349"/>
    <x v="7"/>
    <x v="20"/>
    <s v="Actual"/>
    <x v="7"/>
    <m/>
    <s v="Taqadm Albasrah"/>
    <s v="Heavy equipment rental (Daily)"/>
    <n v="8117.6822695981527"/>
    <s v="IN-1980-HV"/>
    <d v="2025-08-26T00:00:00"/>
    <s v="N/A"/>
    <s v="Jul"/>
    <n v="2025"/>
  </r>
  <r>
    <n v="350"/>
    <x v="7"/>
    <x v="20"/>
    <s v="Accrual"/>
    <x v="7"/>
    <m/>
    <s v="NAC Logistic"/>
    <s v="Heavy equipment rental (Daily)"/>
    <n v="5908.060661971831"/>
    <s v="N/A"/>
    <s v="N/A"/>
    <s v="N/A"/>
    <s v="Aug"/>
    <n v="2025"/>
  </r>
  <r>
    <n v="351"/>
    <x v="7"/>
    <x v="20"/>
    <s v="Accrual"/>
    <x v="7"/>
    <m/>
    <s v="NAC Logistic"/>
    <s v="Light equipment rental (Daily)"/>
    <n v="3535.4819859154927"/>
    <s v="N/A"/>
    <s v="N/A"/>
    <s v="N/A"/>
    <s v="Aug"/>
    <n v="2025"/>
  </r>
  <r>
    <n v="352"/>
    <x v="7"/>
    <x v="20"/>
    <s v="Actual"/>
    <x v="7"/>
    <m/>
    <s v="NAC Logistic"/>
    <s v="Light equipment rental (Daily)"/>
    <n v="2679.8418990445125"/>
    <s v="NA-01-0011"/>
    <d v="2025-08-15T00:00:00"/>
    <s v="N/A"/>
    <s v="Jul"/>
    <n v="2025"/>
  </r>
  <r>
    <n v="353"/>
    <x v="7"/>
    <x v="20"/>
    <s v="Actual"/>
    <x v="7"/>
    <m/>
    <s v="Border Transportaion / Al Hodod"/>
    <s v="Heavy equipment rental (Daily)"/>
    <n v="2331.4134567957649"/>
    <s v="20254000148"/>
    <d v="2025-08-31T00:00:00"/>
    <s v="N/A"/>
    <s v="Aug"/>
    <n v="2025"/>
  </r>
  <r>
    <n v="354"/>
    <x v="7"/>
    <x v="20"/>
    <s v="Actual"/>
    <x v="7"/>
    <m/>
    <s v="NAC Logistic"/>
    <s v="Heavy equipment rental (Daily)"/>
    <n v="1507.7095292607264"/>
    <s v="NA-01-0011"/>
    <d v="2025-08-15T00:00:00"/>
    <s v="N/A"/>
    <s v="Jul"/>
    <n v="2025"/>
  </r>
  <r>
    <n v="355"/>
    <x v="7"/>
    <x v="20"/>
    <s v="Actual"/>
    <x v="7"/>
    <m/>
    <s v="Border Transportaion / Al Hodod"/>
    <s v="Heavy equipment rental (Daily)"/>
    <n v="1392.4571817474539"/>
    <n v="2025000132"/>
    <d v="2025-07-31T00:00:00"/>
    <s v="N/A"/>
    <s v="Jul"/>
    <n v="2025"/>
  </r>
  <r>
    <n v="356"/>
    <x v="7"/>
    <x v="15"/>
    <s v="Actual"/>
    <x v="7"/>
    <m/>
    <s v="Taqadm Albasrah"/>
    <s v="Light equipment rental (Daily)"/>
    <n v="13628.308862580059"/>
    <s v="IN-1980-LV"/>
    <d v="2025-08-26T00:00:00"/>
    <s v="N/A"/>
    <s v="Jul"/>
    <n v="2025"/>
  </r>
  <r>
    <n v="357"/>
    <x v="7"/>
    <x v="15"/>
    <s v="Actual"/>
    <x v="7"/>
    <m/>
    <s v="Taqadm Albasrah"/>
    <s v="Light equipment rental (Daily)"/>
    <n v="13022.096240683211"/>
    <s v="IN-1999-LV"/>
    <d v="2025-09-23T00:00:00"/>
    <s v="N/A"/>
    <s v="Aug"/>
    <n v="2025"/>
  </r>
  <r>
    <n v="358"/>
    <x v="7"/>
    <x v="15"/>
    <s v="Actual"/>
    <x v="7"/>
    <m/>
    <s v="Taqadm Albasrah"/>
    <s v="Heavy equipment rental (Daily)"/>
    <n v="11018.886812544524"/>
    <s v="IN-1980-HV"/>
    <d v="2025-08-26T00:00:00"/>
    <s v="N/A"/>
    <s v="Jul"/>
    <n v="2025"/>
  </r>
  <r>
    <n v="359"/>
    <x v="7"/>
    <x v="15"/>
    <s v="Actual"/>
    <x v="7"/>
    <m/>
    <s v="Taqadm Albasrah"/>
    <s v="Heavy equipment rental (Daily)"/>
    <n v="6419.1883344916696"/>
    <s v="IN-1999-HV"/>
    <d v="2025-09-23T00:00:00"/>
    <s v="N/A"/>
    <s v="Aug"/>
    <n v="2025"/>
  </r>
  <r>
    <n v="360"/>
    <x v="7"/>
    <x v="15"/>
    <s v="Actual"/>
    <x v="7"/>
    <m/>
    <s v="NAC Logistic"/>
    <s v="Light equipment rental (Daily)"/>
    <n v="3555.6167441086536"/>
    <s v="NA-01-0011"/>
    <d v="2025-08-15T00:00:00"/>
    <s v="N/A"/>
    <s v="Jul"/>
    <n v="2025"/>
  </r>
  <r>
    <n v="361"/>
    <x v="7"/>
    <x v="15"/>
    <s v="Accrual"/>
    <x v="7"/>
    <m/>
    <s v="NAC Logistic"/>
    <s v="Light equipment rental (Daily)"/>
    <n v="3388.8135492957749"/>
    <s v="N/A"/>
    <s v="N/A"/>
    <s v="N/A"/>
    <s v="Aug"/>
    <n v="2025"/>
  </r>
  <r>
    <n v="362"/>
    <x v="7"/>
    <x v="15"/>
    <s v="Actual"/>
    <x v="7"/>
    <m/>
    <s v="NAC Logistic"/>
    <s v="Heavy equipment rental (Daily)"/>
    <n v="2642.5088408985507"/>
    <s v="NA-01-0011"/>
    <d v="2025-08-15T00:00:00"/>
    <s v="N/A"/>
    <s v="Jul"/>
    <n v="2025"/>
  </r>
  <r>
    <n v="363"/>
    <x v="7"/>
    <x v="15"/>
    <s v="Actual"/>
    <x v="7"/>
    <m/>
    <s v="Border Transportaion / Al Hodod"/>
    <s v="Heavy equipment rental (Daily)"/>
    <n v="1205.5323529975478"/>
    <s v="20254000148"/>
    <d v="2025-08-31T00:00:00"/>
    <s v="N/A"/>
    <s v="Aug"/>
    <n v="2025"/>
  </r>
  <r>
    <n v="364"/>
    <x v="7"/>
    <x v="15"/>
    <s v="Actual"/>
    <x v="7"/>
    <m/>
    <s v="Border Transportaion / Al Hodod"/>
    <s v="Heavy equipment rental (Daily)"/>
    <n v="729.12713712348875"/>
    <n v="2025000132"/>
    <d v="2025-07-31T00:00:00"/>
    <s v="N/A"/>
    <s v="Jul"/>
    <n v="2025"/>
  </r>
  <r>
    <n v="365"/>
    <x v="9"/>
    <x v="30"/>
    <s v="Accrual"/>
    <x v="7"/>
    <m/>
    <s v="NAC Logistic"/>
    <s v="Heavy equipment rental (Daily)"/>
    <n v="691.7659718309859"/>
    <s v="N/A"/>
    <s v="N/A"/>
    <s v="N/A"/>
    <s v="Aug"/>
    <n v="2025"/>
  </r>
  <r>
    <n v="366"/>
    <x v="9"/>
    <x v="30"/>
    <s v="Actual"/>
    <x v="7"/>
    <m/>
    <s v="Taqadm Albasrah"/>
    <s v="Light equipment rental (Daily)"/>
    <n v="516.74985060696611"/>
    <s v="IN-1999-LV"/>
    <d v="2025-09-23T00:00:00"/>
    <s v="N/A"/>
    <s v="Aug"/>
    <n v="2025"/>
  </r>
  <r>
    <n v="367"/>
    <x v="9"/>
    <x v="30"/>
    <s v="Actual"/>
    <x v="7"/>
    <m/>
    <s v="Taqadm Albasrah"/>
    <s v="Heavy equipment rental (Daily)"/>
    <n v="255.67953840741527"/>
    <s v="IN-1999-HV"/>
    <d v="2025-09-23T00:00:00"/>
    <s v="N/A"/>
    <s v="Aug"/>
    <n v="2025"/>
  </r>
  <r>
    <n v="368"/>
    <x v="3"/>
    <x v="31"/>
    <s v="Actual"/>
    <x v="7"/>
    <m/>
    <s v="Taqadm Albasrah"/>
    <s v="Light equipment rental (Daily)"/>
    <n v="12943.094530212111"/>
    <s v="IN-1999-LV"/>
    <d v="2025-09-23T00:00:00"/>
    <s v="N/A"/>
    <s v="Aug"/>
    <n v="2025"/>
  </r>
  <r>
    <n v="369"/>
    <x v="3"/>
    <x v="31"/>
    <s v="Actual"/>
    <x v="7"/>
    <m/>
    <s v="Taqadm Albasrah"/>
    <s v="Light equipment rental (Daily)"/>
    <n v="5768.887440288393"/>
    <s v="IN-1980-LV"/>
    <d v="2025-08-26T00:00:00"/>
    <s v="N/A"/>
    <s v="Jul"/>
    <n v="2025"/>
  </r>
  <r>
    <n v="370"/>
    <x v="3"/>
    <x v="31"/>
    <s v="Accrual"/>
    <x v="7"/>
    <m/>
    <s v="NAC Logistic"/>
    <s v="Heavy equipment rental (Daily)"/>
    <n v="3251.5872112676057"/>
    <s v="N/A"/>
    <s v="N/A"/>
    <s v="N/A"/>
    <s v="Aug"/>
    <n v="2025"/>
  </r>
  <r>
    <n v="371"/>
    <x v="3"/>
    <x v="31"/>
    <s v="Actual"/>
    <x v="7"/>
    <m/>
    <s v="Taqadm Albasrah"/>
    <s v="Heavy equipment rental (Daily)"/>
    <n v="2733.45904303712"/>
    <s v="IN-1999-HV"/>
    <d v="2025-09-23T00:00:00"/>
    <s v="N/A"/>
    <s v="Aug"/>
    <n v="2025"/>
  </r>
  <r>
    <n v="372"/>
    <x v="3"/>
    <x v="31"/>
    <s v="Actual"/>
    <x v="7"/>
    <m/>
    <s v="Border Transportaion / Al Hodod"/>
    <s v="Heavy equipment rental (Daily)"/>
    <n v="2163.7123211318612"/>
    <n v="2025000132"/>
    <d v="2025-07-31T00:00:00"/>
    <s v="N/A"/>
    <s v="Jul"/>
    <n v="2025"/>
  </r>
  <r>
    <n v="373"/>
    <x v="3"/>
    <x v="31"/>
    <s v="Actual"/>
    <x v="7"/>
    <m/>
    <s v="NAC Logistic"/>
    <s v="Heavy equipment rental (Daily)"/>
    <n v="1846.5608660489549"/>
    <s v="NA-01-0011"/>
    <d v="2025-08-15T00:00:00"/>
    <s v="N/A"/>
    <s v="Jul"/>
    <n v="2025"/>
  </r>
  <r>
    <n v="374"/>
    <x v="3"/>
    <x v="31"/>
    <s v="Actual"/>
    <x v="7"/>
    <m/>
    <s v="Taqadm Albasrah"/>
    <s v="Heavy equipment rental (Daily)"/>
    <n v="1460.492393648761"/>
    <s v="IN-1980-HV"/>
    <d v="2025-08-26T00:00:00"/>
    <s v="N/A"/>
    <s v="Jul"/>
    <n v="2025"/>
  </r>
  <r>
    <n v="375"/>
    <x v="3"/>
    <x v="31"/>
    <s v="Actual"/>
    <x v="7"/>
    <m/>
    <s v="Border Transportaion / Al Hodod"/>
    <s v="Heavy equipment rental (Daily)"/>
    <n v="917.06567225476977"/>
    <s v="20254000148"/>
    <d v="2025-08-31T00:00:00"/>
    <s v="N/A"/>
    <s v="Aug"/>
    <n v="2025"/>
  </r>
  <r>
    <n v="376"/>
    <x v="3"/>
    <x v="17"/>
    <s v="Actual"/>
    <x v="7"/>
    <m/>
    <s v="Taqadm Albasrah"/>
    <s v="Light equipment rental (Daily)"/>
    <n v="9394.0979058398807"/>
    <s v="IN-1999-LV"/>
    <d v="2025-09-23T00:00:00"/>
    <s v="N/A"/>
    <s v="Aug"/>
    <n v="2025"/>
  </r>
  <r>
    <n v="377"/>
    <x v="3"/>
    <x v="17"/>
    <s v="Actual"/>
    <x v="7"/>
    <m/>
    <s v="Taqadm Albasrah"/>
    <s v="Light equipment rental (Daily)"/>
    <n v="8393.361914472529"/>
    <s v="IN-1980-LV"/>
    <d v="2025-08-26T00:00:00"/>
    <s v="N/A"/>
    <s v="Jul"/>
    <n v="2025"/>
  </r>
  <r>
    <n v="378"/>
    <x v="3"/>
    <x v="17"/>
    <s v="Actual"/>
    <x v="7"/>
    <m/>
    <s v="NAC Logistic"/>
    <s v="Heavy equipment rental (Daily)"/>
    <n v="2098.0161504312632"/>
    <s v="NA-01-0011"/>
    <d v="2025-08-15T00:00:00"/>
    <s v="N/A"/>
    <s v="Jul"/>
    <n v="2025"/>
  </r>
  <r>
    <n v="379"/>
    <x v="3"/>
    <x v="17"/>
    <s v="Actual"/>
    <x v="7"/>
    <m/>
    <s v="Border Transportaion / Al Hodod"/>
    <s v="Heavy equipment rental (Daily)"/>
    <n v="2096.7652055748376"/>
    <s v="20254000148"/>
    <d v="2025-08-31T00:00:00"/>
    <s v="N/A"/>
    <s v="Aug"/>
    <n v="2025"/>
  </r>
  <r>
    <n v="380"/>
    <x v="3"/>
    <x v="17"/>
    <s v="Actual"/>
    <x v="7"/>
    <m/>
    <s v="NAC Logistic"/>
    <s v="Light equipment rental (Daily)"/>
    <n v="1642.3231856060661"/>
    <s v="NA-01-0011"/>
    <d v="2025-08-15T00:00:00"/>
    <s v="N/A"/>
    <s v="Jul"/>
    <n v="2025"/>
  </r>
  <r>
    <n v="381"/>
    <x v="3"/>
    <x v="17"/>
    <s v="Accrual"/>
    <x v="7"/>
    <m/>
    <s v="NAC Logistic"/>
    <s v="Light equipment rental (Daily)"/>
    <n v="1466.684661971831"/>
    <s v="N/A"/>
    <s v="N/A"/>
    <s v="N/A"/>
    <s v="Aug"/>
    <n v="2025"/>
  </r>
  <r>
    <n v="382"/>
    <x v="3"/>
    <x v="17"/>
    <s v="Actual"/>
    <x v="7"/>
    <m/>
    <s v="Taqadm Albasrah"/>
    <s v="Heavy equipment rental (Daily)"/>
    <n v="1283.9597851168073"/>
    <s v="IN-1980-HV"/>
    <d v="2025-08-26T00:00:00"/>
    <s v="N/A"/>
    <s v="Jul"/>
    <n v="2025"/>
  </r>
  <r>
    <n v="383"/>
    <x v="3"/>
    <x v="17"/>
    <s v="Actual"/>
    <x v="7"/>
    <m/>
    <s v="Border Transportaion / Al Hodod"/>
    <s v="Heavy equipment rental (Daily)"/>
    <n v="643.68023605064275"/>
    <n v="2025000132"/>
    <d v="2025-07-31T00:00:00"/>
    <s v="N/A"/>
    <s v="Jul"/>
    <n v="2025"/>
  </r>
  <r>
    <n v="384"/>
    <x v="3"/>
    <x v="17"/>
    <s v="Actual"/>
    <x v="7"/>
    <m/>
    <s v="Taqadm Albasrah"/>
    <s v="Heavy equipment rental (Daily)"/>
    <n v="571.19896577316717"/>
    <s v="IN-1999-HV"/>
    <d v="2025-09-23T00:00:00"/>
    <s v="N/A"/>
    <s v="Aug"/>
    <n v="2025"/>
  </r>
  <r>
    <n v="385"/>
    <x v="8"/>
    <x v="18"/>
    <s v="Actual"/>
    <x v="7"/>
    <m/>
    <s v="Taqadm Albasrah"/>
    <s v="Light equipment rental (Daily)"/>
    <n v="30200.726688580817"/>
    <s v="IN-1999-LV"/>
    <d v="2025-09-23T00:00:00"/>
    <s v="N/A"/>
    <s v="Aug"/>
    <n v="2025"/>
  </r>
  <r>
    <n v="386"/>
    <x v="8"/>
    <x v="18"/>
    <s v="Actual"/>
    <x v="7"/>
    <m/>
    <s v="NAC Logistic"/>
    <s v="Heavy equipment rental (Daily)"/>
    <n v="24486.22499321356"/>
    <s v="NA-01-0011"/>
    <d v="2025-08-15T00:00:00"/>
    <s v="N/A"/>
    <s v="Jul"/>
    <n v="2025"/>
  </r>
  <r>
    <n v="387"/>
    <x v="8"/>
    <x v="18"/>
    <s v="Actual"/>
    <x v="7"/>
    <m/>
    <s v="Border Transportaion / Al Hodod"/>
    <s v="Heavy equipment rental (Daily)"/>
    <n v="21575.168309859157"/>
    <s v="20254000146"/>
    <d v="2025-08-31T00:00:00"/>
    <s v="N/A"/>
    <s v="Aug"/>
    <n v="2025"/>
  </r>
  <r>
    <n v="388"/>
    <x v="8"/>
    <x v="18"/>
    <s v="Actual"/>
    <x v="7"/>
    <m/>
    <s v="Taqadm Albasrah"/>
    <s v="Light equipment rental (Daily)"/>
    <n v="21134.950579911922"/>
    <s v="IN-1980-LV"/>
    <d v="2025-08-26T00:00:00"/>
    <s v="N/A"/>
    <s v="Jul"/>
    <n v="2025"/>
  </r>
  <r>
    <n v="389"/>
    <x v="8"/>
    <x v="18"/>
    <s v="Actual"/>
    <x v="7"/>
    <m/>
    <s v="Border Transportaion / Al Hodod"/>
    <s v="Heavy equipment rental (Daily)"/>
    <n v="19223.501079433176"/>
    <n v="2025000132"/>
    <d v="2025-07-31T00:00:00"/>
    <s v="N/A"/>
    <s v="Jul"/>
    <n v="2025"/>
  </r>
  <r>
    <n v="390"/>
    <x v="8"/>
    <x v="18"/>
    <s v="Accrual"/>
    <x v="7"/>
    <m/>
    <s v="NAC Logistic"/>
    <s v="Heavy equipment rental (Daily)"/>
    <n v="13301.733492957746"/>
    <s v="N/A"/>
    <s v="N/A"/>
    <s v="N/A"/>
    <s v="Aug"/>
    <n v="2025"/>
  </r>
  <r>
    <n v="391"/>
    <x v="8"/>
    <x v="18"/>
    <s v="Actual"/>
    <x v="7"/>
    <m/>
    <s v="Taqadm Albasrah"/>
    <s v="Heavy equipment rental (Daily)"/>
    <n v="11297.193310024793"/>
    <s v="IN-1980-HV"/>
    <d v="2025-08-26T00:00:00"/>
    <s v="N/A"/>
    <s v="Jul"/>
    <n v="2025"/>
  </r>
  <r>
    <n v="392"/>
    <x v="8"/>
    <x v="18"/>
    <s v="Actual"/>
    <x v="7"/>
    <m/>
    <s v="Taqadm Albasrah"/>
    <s v="Heavy equipment rental (Daily)"/>
    <n v="10170.33361420544"/>
    <s v="IN-1999-HV"/>
    <d v="2025-09-23T00:00:00"/>
    <s v="N/A"/>
    <s v="Aug"/>
    <n v="2025"/>
  </r>
  <r>
    <n v="393"/>
    <x v="8"/>
    <x v="18"/>
    <s v="Accrual"/>
    <x v="7"/>
    <m/>
    <s v="NAC Logistic"/>
    <s v="Light equipment rental (Daily)"/>
    <n v="7140.4386549295778"/>
    <s v="N/A"/>
    <s v="N/A"/>
    <s v="N/A"/>
    <s v="Aug"/>
    <n v="2025"/>
  </r>
  <r>
    <n v="394"/>
    <x v="8"/>
    <x v="18"/>
    <s v="Actual"/>
    <x v="7"/>
    <m/>
    <s v="NAC Logistic"/>
    <s v="Light equipment rental (Daily)"/>
    <n v="6001.9448336432833"/>
    <s v="NA-01-0011"/>
    <d v="2025-08-15T00:00:00"/>
    <s v="N/A"/>
    <s v="Jul"/>
    <n v="2025"/>
  </r>
  <r>
    <n v="395"/>
    <x v="2"/>
    <x v="32"/>
    <s v="Accrual"/>
    <x v="7"/>
    <m/>
    <s v="NAC Logistic"/>
    <s v="Light equipment rental (Daily)"/>
    <n v="555.79630985915492"/>
    <s v="N/A"/>
    <s v="N/A"/>
    <s v="N/A"/>
    <s v="Aug"/>
    <n v="2025"/>
  </r>
  <r>
    <n v="396"/>
    <x v="2"/>
    <x v="2"/>
    <s v="Actual"/>
    <x v="8"/>
    <m/>
    <s v="AL-Wajeeh Company"/>
    <s v="Material &amp; Supplies"/>
    <n v="2345.8000000000002"/>
    <s v="15893"/>
    <d v="2025-08-20T00:00:00"/>
    <n v="2024403568"/>
    <s v="Aug"/>
    <n v="2025"/>
  </r>
  <r>
    <n v="397"/>
    <x v="2"/>
    <x v="2"/>
    <s v="Actual"/>
    <x v="8"/>
    <m/>
    <s v="AL MUSTAFA INDUSTRIAL IRON TRADING"/>
    <s v="Materials/IRON"/>
    <n v="1232.4000000000001"/>
    <s v="306"/>
    <d v="2025-08-20T00:00:00"/>
    <n v="2025402727"/>
    <s v="Aug"/>
    <n v="2025"/>
  </r>
  <r>
    <n v="398"/>
    <x v="2"/>
    <x v="2"/>
    <s v="Actual"/>
    <x v="8"/>
    <m/>
    <s v="AL MUSTAFA INDUSTRIAL IRON TRADING"/>
    <s v="Materials/IRON"/>
    <n v="1112.4000000000001"/>
    <s v="284"/>
    <d v="2025-08-04T00:00:00"/>
    <n v="2025402556"/>
    <s v="Aug"/>
    <n v="2025"/>
  </r>
  <r>
    <n v="399"/>
    <x v="2"/>
    <x v="2"/>
    <s v="Actual"/>
    <x v="8"/>
    <m/>
    <s v="ZUMZUM ALFAYHAA INSAAT"/>
    <s v="Material &amp; Supplies"/>
    <n v="621"/>
    <s v="11040"/>
    <d v="2025-08-28T00:00:00"/>
    <n v="2025402785"/>
    <s v="Aug"/>
    <n v="2025"/>
  </r>
  <r>
    <n v="400"/>
    <x v="2"/>
    <x v="2"/>
    <s v="Actual"/>
    <x v="8"/>
    <m/>
    <s v="GAMMA PETROLEUM SERVICES"/>
    <s v="Material &amp; Supplies"/>
    <n v="300"/>
    <s v="202507-03"/>
    <d v="2025-07-20T00:00:00"/>
    <n v="2025402225"/>
    <s v="Jul"/>
    <n v="2025"/>
  </r>
  <r>
    <n v="401"/>
    <x v="2"/>
    <x v="2"/>
    <s v="Actual"/>
    <x v="8"/>
    <m/>
    <s v="ZUMZUM ALFAYHAA INSAAT"/>
    <s v="Material &amp; Supplies"/>
    <n v="166.6"/>
    <s v="10738"/>
    <d v="2025-08-06T00:00:00"/>
    <n v="2025402034"/>
    <s v="Aug"/>
    <n v="2025"/>
  </r>
  <r>
    <n v="402"/>
    <x v="3"/>
    <x v="23"/>
    <s v="Actual"/>
    <x v="8"/>
    <m/>
    <s v="Fasco LLC FZ"/>
    <s v="Material &amp; Supplies"/>
    <n v="48043.85"/>
    <s v="2024000050"/>
    <d v="2025-08-20T00:00:00"/>
    <n v="2025402892"/>
    <s v="Aug"/>
    <n v="2025"/>
  </r>
  <r>
    <n v="403"/>
    <x v="3"/>
    <x v="23"/>
    <s v="Actual"/>
    <x v="8"/>
    <m/>
    <s v="AL-Wajeeh Company"/>
    <s v="Material &amp; Supplies"/>
    <n v="3372.5"/>
    <s v="16721-1"/>
    <d v="2025-07-24T00:00:00"/>
    <n v="2025402284"/>
    <s v="Jul"/>
    <n v="2025"/>
  </r>
  <r>
    <n v="404"/>
    <x v="3"/>
    <x v="23"/>
    <s v="Actual"/>
    <x v="8"/>
    <m/>
    <s v="Petty Cash"/>
    <s v="Petty cash for WOD"/>
    <n v="1858.0985915492959"/>
    <s v="##"/>
    <d v="2025-08-19T00:00:00"/>
    <s v="N/A"/>
    <s v="Aug"/>
    <n v="2025"/>
  </r>
  <r>
    <n v="405"/>
    <x v="3"/>
    <x v="23"/>
    <s v="Actual"/>
    <x v="8"/>
    <m/>
    <s v="Petty Cash"/>
    <s v="Petty Cash for WOD"/>
    <n v="1846.8309859154929"/>
    <s v="##"/>
    <d v="2025-07-19T00:00:00"/>
    <s v="N/A"/>
    <s v="Jul"/>
    <n v="2025"/>
  </r>
  <r>
    <n v="406"/>
    <x v="3"/>
    <x v="23"/>
    <s v="Actual"/>
    <x v="8"/>
    <m/>
    <s v="Al Jaber Company General Construction Services"/>
    <s v="Materials/Concrete"/>
    <n v="400"/>
    <s v="01092025-IGCC-001"/>
    <d v="2025-09-01T00:00:00"/>
    <n v="2025403292"/>
    <s v="Aug"/>
    <n v="2025"/>
  </r>
  <r>
    <n v="407"/>
    <x v="3"/>
    <x v="23"/>
    <s v="Actual"/>
    <x v="8"/>
    <m/>
    <s v="Al Jaber Company General Construction Services"/>
    <s v="Materials/Concrete"/>
    <n v="345"/>
    <s v="01092025-IGCC-001"/>
    <d v="2025-09-01T00:00:00"/>
    <n v="2025403292"/>
    <s v="Aug"/>
    <n v="2025"/>
  </r>
  <r>
    <n v="408"/>
    <x v="2"/>
    <x v="6"/>
    <s v="Actual"/>
    <x v="8"/>
    <m/>
    <s v="Khan Alhadded Company"/>
    <s v="Materials/IRON"/>
    <n v="16380"/>
    <s v="877"/>
    <d v="2025-07-22T00:00:00"/>
    <n v="2025402996"/>
    <s v="Jul"/>
    <n v="2025"/>
  </r>
  <r>
    <n v="409"/>
    <x v="2"/>
    <x v="6"/>
    <s v="Actual"/>
    <x v="8"/>
    <m/>
    <s v="AL MUSTAFA INDUSTRIAL IRON TRADING"/>
    <s v="Materials/IRON"/>
    <n v="8600"/>
    <s v="312"/>
    <d v="2025-08-23T00:00:00"/>
    <n v="2025402776"/>
    <s v="Aug"/>
    <n v="2025"/>
  </r>
  <r>
    <n v="410"/>
    <x v="2"/>
    <x v="6"/>
    <s v="Actual"/>
    <x v="8"/>
    <m/>
    <s v="Al-Janaeen Al-Mualaka for Water"/>
    <s v="Materials/Water"/>
    <n v="5492.9577464788736"/>
    <s v="1681"/>
    <d v="2025-07-12T00:00:00"/>
    <n v="2025402276"/>
    <s v="Jul"/>
    <n v="2025"/>
  </r>
  <r>
    <n v="411"/>
    <x v="2"/>
    <x v="6"/>
    <s v="Actual"/>
    <x v="8"/>
    <m/>
    <s v="Al-Karar Gallery for Wood &amp; MDF"/>
    <s v="Materials/Wood"/>
    <n v="4753.5211267605637"/>
    <s v="826"/>
    <d v="2025-08-20T00:00:00"/>
    <n v="2025402779"/>
    <s v="Aug"/>
    <n v="2025"/>
  </r>
  <r>
    <n v="412"/>
    <x v="2"/>
    <x v="6"/>
    <s v="Actual"/>
    <x v="8"/>
    <m/>
    <s v="Cargo Ship Company"/>
    <s v="Material &amp; Supplies"/>
    <n v="3540"/>
    <s v="239"/>
    <d v="2025-08-07T00:00:00"/>
    <n v="2025402466"/>
    <s v="Aug"/>
    <n v="2025"/>
  </r>
  <r>
    <n v="413"/>
    <x v="2"/>
    <x v="6"/>
    <s v="Actual"/>
    <x v="8"/>
    <m/>
    <s v="AL MUSTAFA INDUSTRIAL IRON TRADING"/>
    <s v="Materials/IRON"/>
    <n v="3075.4"/>
    <s v="304"/>
    <d v="2025-08-23T00:00:00"/>
    <n v="2025402730"/>
    <s v="Aug"/>
    <n v="2025"/>
  </r>
  <r>
    <n v="414"/>
    <x v="2"/>
    <x v="6"/>
    <s v="Actual"/>
    <x v="8"/>
    <m/>
    <s v="ZUMZUM ALFAYHAA INSAAT"/>
    <s v="Material &amp; Supplies"/>
    <n v="2998.1"/>
    <s v="10896"/>
    <d v="2025-08-20T00:00:00"/>
    <n v="2025402668"/>
    <s v="Aug"/>
    <n v="2025"/>
  </r>
  <r>
    <n v="415"/>
    <x v="2"/>
    <x v="6"/>
    <s v="Actual"/>
    <x v="8"/>
    <m/>
    <s v="AL BASHAER AL AALAMIA FOR GENERAL TRADING"/>
    <s v="Materials/Concrete"/>
    <n v="2535.211267605634"/>
    <s v="156"/>
    <d v="2025-08-02T00:00:00"/>
    <n v="2025402702"/>
    <s v="Jul"/>
    <n v="2025"/>
  </r>
  <r>
    <n v="416"/>
    <x v="2"/>
    <x v="6"/>
    <s v="Actual"/>
    <x v="8"/>
    <m/>
    <s v="ZUMZUM ALFAYHAA INSAAT"/>
    <s v="Material &amp; Supplies"/>
    <n v="2317.5"/>
    <s v="10474"/>
    <d v="2025-07-12T00:00:00"/>
    <n v="2025402162"/>
    <s v="Jul"/>
    <n v="2025"/>
  </r>
  <r>
    <n v="417"/>
    <x v="2"/>
    <x v="6"/>
    <s v="Actual"/>
    <x v="8"/>
    <m/>
    <s v="BLUE LINE"/>
    <s v="Material &amp; Supplies"/>
    <n v="2005.6"/>
    <s v="6323"/>
    <d v="2025-08-20T00:00:00"/>
    <n v="2025402733"/>
    <s v="Aug"/>
    <n v="2025"/>
  </r>
  <r>
    <n v="418"/>
    <x v="2"/>
    <x v="6"/>
    <s v="Actual"/>
    <x v="8"/>
    <m/>
    <s v="Petty Cash"/>
    <s v="Petty cash for UQ"/>
    <n v="1838.7323943661972"/>
    <s v="##"/>
    <d v="2025-08-17T00:00:00"/>
    <s v="N/A"/>
    <s v="Aug"/>
    <n v="2025"/>
  </r>
  <r>
    <n v="419"/>
    <x v="2"/>
    <x v="6"/>
    <s v="Actual"/>
    <x v="8"/>
    <m/>
    <s v="Petty Cash"/>
    <s v="Petty cash for UQ"/>
    <n v="1816.1971830985915"/>
    <s v="##"/>
    <d v="2025-07-22T00:00:00"/>
    <s v="N/A"/>
    <s v="Jul"/>
    <n v="2025"/>
  </r>
  <r>
    <n v="420"/>
    <x v="2"/>
    <x v="6"/>
    <s v="Actual"/>
    <x v="8"/>
    <m/>
    <s v="AL-Wajeeh Company"/>
    <s v="Material &amp; Supplies"/>
    <n v="1532.37"/>
    <s v="16957-1"/>
    <d v="2025-08-30T00:00:00"/>
    <n v="2025402854"/>
    <s v="Aug"/>
    <n v="2025"/>
  </r>
  <r>
    <n v="421"/>
    <x v="2"/>
    <x v="6"/>
    <s v="Actual"/>
    <x v="8"/>
    <m/>
    <s v="Petty Cash"/>
    <s v="Petty cash for UQ"/>
    <n v="1511.2676056338028"/>
    <s v="##"/>
    <d v="2025-07-13T00:00:00"/>
    <s v="N/A"/>
    <s v="Jul"/>
    <n v="2025"/>
  </r>
  <r>
    <n v="422"/>
    <x v="2"/>
    <x v="6"/>
    <s v="Actual"/>
    <x v="8"/>
    <m/>
    <s v="ZUMZUM ALFAYHAA INSAAT"/>
    <s v="Material &amp; Supplies"/>
    <n v="1507.5"/>
    <s v="10564"/>
    <d v="2025-07-17T00:00:00"/>
    <n v="2025402248"/>
    <s v="Jul"/>
    <n v="2025"/>
  </r>
  <r>
    <n v="423"/>
    <x v="2"/>
    <x v="6"/>
    <s v="Actual"/>
    <x v="8"/>
    <m/>
    <s v="Khan Alhadded Company"/>
    <s v="Materials/IRON"/>
    <n v="1290"/>
    <s v="0897"/>
    <d v="2025-08-31T00:00:00"/>
    <n v="2025403243"/>
    <s v="Aug"/>
    <n v="2025"/>
  </r>
  <r>
    <n v="424"/>
    <x v="2"/>
    <x v="6"/>
    <s v="Actual"/>
    <x v="8"/>
    <m/>
    <s v="Petty Cash"/>
    <s v="Petty cash for UQ"/>
    <n v="1184.5070422535211"/>
    <s v="##"/>
    <d v="2025-03-08T00:00:00"/>
    <s v="N/A"/>
    <s v="Aug"/>
    <n v="2025"/>
  </r>
  <r>
    <n v="425"/>
    <x v="2"/>
    <x v="6"/>
    <s v="Actual"/>
    <x v="8"/>
    <m/>
    <s v="ALSAFWA"/>
    <s v="Material &amp; Supplies"/>
    <n v="1133.8028169014085"/>
    <s v="50"/>
    <d v="2025-08-07T00:00:00"/>
    <n v="2025402790"/>
    <s v="Aug"/>
    <n v="2025"/>
  </r>
  <r>
    <n v="426"/>
    <x v="2"/>
    <x v="6"/>
    <s v="Actual"/>
    <x v="8"/>
    <m/>
    <s v="BLUE LINE"/>
    <s v="Material &amp; Supplies"/>
    <n v="1002.87"/>
    <s v="6274"/>
    <d v="2025-07-24T00:00:00"/>
    <n v="2025402326"/>
    <s v="Jul"/>
    <n v="2025"/>
  </r>
  <r>
    <n v="427"/>
    <x v="2"/>
    <x v="6"/>
    <s v="Actual"/>
    <x v="8"/>
    <m/>
    <s v="BLUE LINE"/>
    <s v="Material &amp; Supplies"/>
    <n v="833.36"/>
    <s v="6367"/>
    <d v="2025-10-14T00:00:00"/>
    <n v="2025403064"/>
    <s v="Aug"/>
    <n v="2025"/>
  </r>
  <r>
    <n v="428"/>
    <x v="2"/>
    <x v="6"/>
    <s v="Actual"/>
    <x v="8"/>
    <m/>
    <s v="ZUMZUM ALFAYHAA INSAAT"/>
    <s v="Material &amp; Supplies"/>
    <n v="625"/>
    <s v="10822"/>
    <d v="2025-08-11T00:00:00"/>
    <n v="2025402628"/>
    <s v="Aug"/>
    <n v="2025"/>
  </r>
  <r>
    <n v="429"/>
    <x v="2"/>
    <x v="6"/>
    <s v="Actual"/>
    <x v="8"/>
    <m/>
    <s v="AL-Wajeeh Company"/>
    <s v="Material &amp; Supplies"/>
    <n v="586.65"/>
    <s v="17030-1"/>
    <d v="2025-09-01T00:00:00"/>
    <n v="2025402950"/>
    <s v="Aug"/>
    <n v="2025"/>
  </r>
  <r>
    <n v="430"/>
    <x v="2"/>
    <x v="6"/>
    <s v="Actual"/>
    <x v="8"/>
    <m/>
    <s v="ZUMZUM ALFAYHAA INSAAT"/>
    <s v="Material &amp; Supplies"/>
    <n v="580"/>
    <s v="11066"/>
    <d v="2025-08-28T00:00:00"/>
    <n v="2025402786"/>
    <s v="Aug"/>
    <n v="2025"/>
  </r>
  <r>
    <n v="431"/>
    <x v="2"/>
    <x v="6"/>
    <s v="Actual"/>
    <x v="8"/>
    <m/>
    <s v="Al-qanaat Altijaria shops"/>
    <s v="Material &amp; Supplies"/>
    <n v="560.56338028169012"/>
    <s v="1693"/>
    <d v="2025-08-07T00:00:00"/>
    <n v="2025402858"/>
    <s v="Aug"/>
    <n v="2025"/>
  </r>
  <r>
    <n v="432"/>
    <x v="2"/>
    <x v="6"/>
    <s v="Actual"/>
    <x v="8"/>
    <m/>
    <s v="BLUE LINE"/>
    <s v="Material &amp; Supplies"/>
    <n v="510.88"/>
    <s v="6246"/>
    <d v="2025-08-25T00:00:00"/>
    <n v="2025402738"/>
    <s v="Aug"/>
    <n v="2025"/>
  </r>
  <r>
    <n v="433"/>
    <x v="2"/>
    <x v="6"/>
    <s v="Actual"/>
    <x v="8"/>
    <m/>
    <s v="Sahba Technnnology"/>
    <s v="Material &amp; Supplies"/>
    <n v="475.35211267605632"/>
    <s v="6634"/>
    <d v="2025-07-31T00:00:00"/>
    <n v="2025402737"/>
    <s v="Aug"/>
    <n v="2025"/>
  </r>
  <r>
    <n v="434"/>
    <x v="2"/>
    <x v="6"/>
    <s v="Actual"/>
    <x v="8"/>
    <m/>
    <s v="Petty Cash"/>
    <s v="Petty cash for UQ"/>
    <n v="467.6056338028169"/>
    <s v="##"/>
    <d v="2025-06-28T00:00:00"/>
    <s v="N/A"/>
    <s v="Jul"/>
    <n v="2025"/>
  </r>
  <r>
    <n v="435"/>
    <x v="2"/>
    <x v="6"/>
    <s v="Actual"/>
    <x v="8"/>
    <m/>
    <s v="BLUE LINE"/>
    <s v="Material &amp; Supplies"/>
    <n v="325.72000000000003"/>
    <s v="6275"/>
    <d v="2025-07-24T00:00:00"/>
    <n v="2025402325"/>
    <s v="Jul"/>
    <n v="2025"/>
  </r>
  <r>
    <n v="436"/>
    <x v="2"/>
    <x v="6"/>
    <s v="Actual"/>
    <x v="8"/>
    <m/>
    <s v="BLUE LINE"/>
    <s v="Material &amp; Supplies"/>
    <n v="299.95"/>
    <s v="6257"/>
    <d v="2025-07-24T00:00:00"/>
    <n v="2025402318"/>
    <s v="Jul"/>
    <n v="2025"/>
  </r>
  <r>
    <n v="437"/>
    <x v="2"/>
    <x v="6"/>
    <s v="Actual"/>
    <x v="8"/>
    <m/>
    <s v="AL-Wajeeh Company"/>
    <s v="Material &amp; Supplies"/>
    <n v="253"/>
    <s v="17031"/>
    <d v="2025-08-31T00:00:00"/>
    <n v="2025402951"/>
    <s v="Aug"/>
    <n v="2025"/>
  </r>
  <r>
    <n v="438"/>
    <x v="2"/>
    <x v="6"/>
    <s v="Actual"/>
    <x v="8"/>
    <m/>
    <s v="ZUMZUM ALFAYHAA INSAAT"/>
    <s v="Material &amp; Supplies"/>
    <n v="235.5"/>
    <s v="10932"/>
    <d v="2025-08-24T00:00:00"/>
    <n v="2025402682"/>
    <s v="Aug"/>
    <n v="2025"/>
  </r>
  <r>
    <n v="439"/>
    <x v="2"/>
    <x v="6"/>
    <s v="Actual"/>
    <x v="8"/>
    <m/>
    <s v="AL-Wajeeh Company"/>
    <s v="Material &amp; Supplies"/>
    <n v="230.6"/>
    <s v="16699"/>
    <d v="2025-07-24T00:00:00"/>
    <n v="2025402285"/>
    <s v="Jul"/>
    <n v="2025"/>
  </r>
  <r>
    <n v="440"/>
    <x v="2"/>
    <x v="6"/>
    <s v="Actual"/>
    <x v="8"/>
    <m/>
    <s v="AL-Wajeeh Company"/>
    <s v="Material &amp; Supplies"/>
    <n v="169.6"/>
    <s v="16965"/>
    <d v="2025-07-22T00:00:00"/>
    <n v="2025402382"/>
    <s v="Jul"/>
    <n v="2025"/>
  </r>
  <r>
    <n v="441"/>
    <x v="2"/>
    <x v="7"/>
    <s v="Actual"/>
    <x v="8"/>
    <m/>
    <s v="Petty Cash"/>
    <s v="Petty Cash for NGL"/>
    <n v="721.83098591549299"/>
    <s v="##"/>
    <d v="2025-07-25T00:00:00"/>
    <s v="N/A"/>
    <s v="Jul"/>
    <n v="2025"/>
  </r>
  <r>
    <n v="442"/>
    <x v="2"/>
    <x v="7"/>
    <s v="Actual"/>
    <x v="8"/>
    <m/>
    <s v="ZUMZUM ALFAYHAA INSAAT"/>
    <s v="Material &amp; Supplies"/>
    <n v="575.1"/>
    <s v="10422"/>
    <d v="2025-07-08T00:00:00"/>
    <n v="2025402107"/>
    <s v="Jul"/>
    <n v="2025"/>
  </r>
  <r>
    <n v="443"/>
    <x v="2"/>
    <x v="7"/>
    <s v="Actual"/>
    <x v="8"/>
    <m/>
    <s v="Petty Cash"/>
    <s v="Toner Ricoh 4503mps x 1set"/>
    <n v="158.45070422535213"/>
    <n v="421"/>
    <d v="2025-07-18T00:00:00"/>
    <s v="N/A"/>
    <s v="Jul"/>
    <n v="2025"/>
  </r>
  <r>
    <n v="444"/>
    <x v="2"/>
    <x v="7"/>
    <s v="Actual"/>
    <x v="8"/>
    <m/>
    <s v="BLUE LINE"/>
    <s v="Material &amp; Supplies"/>
    <n v="54"/>
    <s v="6178"/>
    <d v="2025-07-07T00:00:00"/>
    <n v="2025401990"/>
    <s v="Jul"/>
    <n v="2025"/>
  </r>
  <r>
    <n v="445"/>
    <x v="3"/>
    <x v="8"/>
    <s v="Actual"/>
    <x v="8"/>
    <m/>
    <s v="Petty Cash"/>
    <s v="Petty cash for FL"/>
    <n v="2328.1690140845071"/>
    <s v="##"/>
    <d v="2025-07-22T00:00:00"/>
    <s v="N/A"/>
    <s v="Jul"/>
    <n v="2025"/>
  </r>
  <r>
    <n v="446"/>
    <x v="3"/>
    <x v="8"/>
    <s v="Actual"/>
    <x v="8"/>
    <m/>
    <s v="Petty Cash"/>
    <s v="Petty Cash for FL"/>
    <n v="2279.2253521126759"/>
    <s v="##"/>
    <d v="2025-04-08T00:00:00"/>
    <s v="N/A"/>
    <s v="Aug"/>
    <n v="2025"/>
  </r>
  <r>
    <n v="447"/>
    <x v="3"/>
    <x v="8"/>
    <s v="Actual"/>
    <x v="8"/>
    <m/>
    <s v="Petty Cash"/>
    <s v="Petty Cash for RTB"/>
    <n v="1894.3661971830986"/>
    <s v="##"/>
    <d v="2025-02-07T00:00:00"/>
    <s v="N/A"/>
    <s v="Jul"/>
    <n v="2025"/>
  </r>
  <r>
    <n v="448"/>
    <x v="2"/>
    <x v="9"/>
    <s v="Actual"/>
    <x v="8"/>
    <m/>
    <s v="Haider Retage show"/>
    <s v="Material &amp; Supplies"/>
    <n v="3380.2816901408451"/>
    <s v="41971"/>
    <d v="2025-07-17T00:00:00"/>
    <n v="2025403459"/>
    <s v="Jul"/>
    <n v="2025"/>
  </r>
  <r>
    <n v="449"/>
    <x v="2"/>
    <x v="9"/>
    <s v="Actual"/>
    <x v="8"/>
    <m/>
    <s v="AL BASHAER AL AALAMIA FOR GENERAL TRADING"/>
    <s v="Materials/Concrete"/>
    <n v="3271.1267605633802"/>
    <s v="210"/>
    <d v="2025-09-01T00:00:00"/>
    <n v="2025403288"/>
    <s v="Aug"/>
    <n v="2025"/>
  </r>
  <r>
    <n v="450"/>
    <x v="2"/>
    <x v="9"/>
    <s v="Actual"/>
    <x v="8"/>
    <m/>
    <s v="AL-Wajeeh Company"/>
    <s v="Material &amp; Supplies"/>
    <n v="1813.89"/>
    <s v="16980"/>
    <d v="2025-11-16T00:00:00"/>
    <n v="2025403956"/>
    <s v="Jul"/>
    <n v="2025"/>
  </r>
  <r>
    <n v="451"/>
    <x v="2"/>
    <x v="9"/>
    <s v="Actual"/>
    <x v="8"/>
    <m/>
    <s v="AL-Wajeeh Company"/>
    <s v="Material &amp; Supplies"/>
    <n v="1206.27"/>
    <s v="16833"/>
    <d v="2025-08-27T00:00:00"/>
    <n v="2025402759"/>
    <s v="Aug"/>
    <n v="2025"/>
  </r>
  <r>
    <n v="452"/>
    <x v="2"/>
    <x v="9"/>
    <s v="Actual"/>
    <x v="8"/>
    <m/>
    <s v="AL-Wajeeh Company"/>
    <s v="Material &amp; Supplies"/>
    <n v="1106.2"/>
    <s v="15892"/>
    <d v="2025-08-20T00:00:00"/>
    <n v="2024403733"/>
    <s v="Aug"/>
    <n v="2025"/>
  </r>
  <r>
    <n v="453"/>
    <x v="2"/>
    <x v="9"/>
    <s v="Actual"/>
    <x v="8"/>
    <m/>
    <s v="AL-Wajeeh Company"/>
    <s v="Material &amp; Supplies"/>
    <n v="920"/>
    <s v="16863"/>
    <d v="2025-07-08T00:00:00"/>
    <n v="2025402143"/>
    <s v="Jul"/>
    <n v="2025"/>
  </r>
  <r>
    <n v="454"/>
    <x v="2"/>
    <x v="9"/>
    <s v="Actual"/>
    <x v="8"/>
    <m/>
    <s v="Petty Cash"/>
    <s v="Petty Cash for QTC"/>
    <n v="858.45070422535207"/>
    <s v="##"/>
    <d v="2025-07-18T00:00:00"/>
    <s v="N/A"/>
    <s v="Aug"/>
    <n v="2025"/>
  </r>
  <r>
    <n v="455"/>
    <x v="2"/>
    <x v="9"/>
    <s v="Actual"/>
    <x v="8"/>
    <m/>
    <s v="Petty Cash"/>
    <s v="Stainless steel flexible hose flanget pipe 1: , #150, 6m length x 1ea"/>
    <n v="852.11267605633805"/>
    <n v="757"/>
    <d v="2025-06-26T00:00:00"/>
    <s v="N/A"/>
    <s v="Jul"/>
    <n v="2025"/>
  </r>
  <r>
    <n v="456"/>
    <x v="2"/>
    <x v="9"/>
    <s v="Actual"/>
    <x v="8"/>
    <m/>
    <s v="AL-Wajeeh Company"/>
    <s v="Material &amp; Supplies"/>
    <n v="849.2"/>
    <s v="15782"/>
    <d v="2025-08-20T00:00:00"/>
    <n v="2024403730"/>
    <s v="Aug"/>
    <n v="2025"/>
  </r>
  <r>
    <n v="457"/>
    <x v="2"/>
    <x v="9"/>
    <s v="Actual"/>
    <x v="8"/>
    <m/>
    <s v="AL-Wajeeh Company"/>
    <s v="Material &amp; Supplies"/>
    <n v="645"/>
    <s v="15864"/>
    <d v="2025-08-06T00:00:00"/>
    <n v="2025402545"/>
    <s v="Aug"/>
    <n v="2025"/>
  </r>
  <r>
    <n v="458"/>
    <x v="2"/>
    <x v="9"/>
    <s v="Actual"/>
    <x v="8"/>
    <m/>
    <s v="ZUMZUM ALFAYHAA INSAAT"/>
    <s v="Material &amp; Supplies"/>
    <n v="628"/>
    <s v="10954"/>
    <d v="2025-08-24T00:00:00"/>
    <n v="2025402752"/>
    <s v="Aug"/>
    <n v="2025"/>
  </r>
  <r>
    <n v="459"/>
    <x v="2"/>
    <x v="9"/>
    <s v="Actual"/>
    <x v="8"/>
    <m/>
    <s v="AL-Wajeeh Company"/>
    <s v="Material &amp; Supplies"/>
    <n v="541"/>
    <s v="16584"/>
    <d v="2025-08-31T00:00:00"/>
    <n v="2025402855"/>
    <s v="Aug"/>
    <n v="2025"/>
  </r>
  <r>
    <n v="460"/>
    <x v="2"/>
    <x v="9"/>
    <s v="Actual"/>
    <x v="8"/>
    <m/>
    <s v="ZUMZUM ALFAYHAA INSAAT"/>
    <s v="Material &amp; Supplies"/>
    <n v="453.6"/>
    <s v="10616"/>
    <d v="2025-07-27T00:00:00"/>
    <n v="2025402335"/>
    <s v="Jul"/>
    <n v="2025"/>
  </r>
  <r>
    <n v="461"/>
    <x v="2"/>
    <x v="9"/>
    <s v="Actual"/>
    <x v="8"/>
    <m/>
    <s v="ZUMZUM ALFAYHAA INSAAT"/>
    <s v="Material &amp; Supplies"/>
    <n v="380"/>
    <s v="10670"/>
    <d v="2025-08-03T00:00:00"/>
    <n v="2025402401"/>
    <s v="Aug"/>
    <n v="2025"/>
  </r>
  <r>
    <n v="462"/>
    <x v="2"/>
    <x v="9"/>
    <s v="Actual"/>
    <x v="8"/>
    <m/>
    <s v="AL-Wajeeh Company"/>
    <s v="Material &amp; Supplies"/>
    <n v="273"/>
    <s v="15927"/>
    <d v="2025-07-02T00:00:00"/>
    <n v="2024403768"/>
    <s v="Jul"/>
    <n v="2025"/>
  </r>
  <r>
    <n v="463"/>
    <x v="2"/>
    <x v="9"/>
    <s v="Actual"/>
    <x v="8"/>
    <m/>
    <s v="ZUMZUM ALFAYHAA INSAAT"/>
    <s v="Material &amp; Supplies"/>
    <n v="220"/>
    <s v="10824"/>
    <d v="2025-08-11T00:00:00"/>
    <n v="2025402665"/>
    <s v="Aug"/>
    <n v="2025"/>
  </r>
  <r>
    <n v="464"/>
    <x v="2"/>
    <x v="9"/>
    <s v="Actual"/>
    <x v="8"/>
    <m/>
    <s v="BLUE LINE"/>
    <s v="Material &amp; Supplies"/>
    <n v="197.61"/>
    <s v="6124"/>
    <d v="2025-08-20T00:00:00"/>
    <n v="2025402743"/>
    <s v="Aug"/>
    <n v="2025"/>
  </r>
  <r>
    <n v="465"/>
    <x v="2"/>
    <x v="9"/>
    <s v="Actual"/>
    <x v="8"/>
    <m/>
    <s v="ZUMZUM ALFAYHAA INSAAT"/>
    <s v="Material &amp; Supplies"/>
    <n v="172.5"/>
    <s v="10452"/>
    <d v="2025-07-08T00:00:00"/>
    <n v="2025402120"/>
    <s v="Jul"/>
    <n v="2025"/>
  </r>
  <r>
    <n v="466"/>
    <x v="2"/>
    <x v="9"/>
    <s v="Actual"/>
    <x v="8"/>
    <m/>
    <s v="ZUMZUM ALFAYHAA INSAAT"/>
    <s v="Material &amp; Supplies"/>
    <n v="60"/>
    <s v="10836"/>
    <d v="2025-08-19T00:00:00"/>
    <n v="2025402697"/>
    <s v="Aug"/>
    <n v="2025"/>
  </r>
  <r>
    <n v="467"/>
    <x v="2"/>
    <x v="9"/>
    <s v="Actual"/>
    <x v="8"/>
    <m/>
    <s v="AL-Wajeeh Company"/>
    <s v="Material &amp; Supplies"/>
    <n v="40"/>
    <s v="15913"/>
    <d v="2025-07-01T00:00:00"/>
    <n v="2024403769"/>
    <s v="Jul"/>
    <n v="2025"/>
  </r>
  <r>
    <n v="468"/>
    <x v="2"/>
    <x v="9"/>
    <s v="Actual"/>
    <x v="8"/>
    <m/>
    <s v="ZUMZUM ALFAYHAA INSAAT"/>
    <s v="Material &amp; Supplies"/>
    <n v="30"/>
    <s v="10578"/>
    <d v="2025-07-17T00:00:00"/>
    <n v="2025402263"/>
    <s v="Jul"/>
    <n v="2025"/>
  </r>
  <r>
    <n v="469"/>
    <x v="3"/>
    <x v="3"/>
    <s v="Actual"/>
    <x v="8"/>
    <m/>
    <s v="ZUMZUM ALFAYHAA INSAAT"/>
    <s v="Material &amp; Supplies"/>
    <n v="4130.3"/>
    <s v="10482"/>
    <d v="2025-07-10T00:00:00"/>
    <n v="2025402165"/>
    <s v="Jul"/>
    <n v="2025"/>
  </r>
  <r>
    <n v="470"/>
    <x v="3"/>
    <x v="3"/>
    <s v="Actual"/>
    <x v="8"/>
    <m/>
    <s v="Petty Cash"/>
    <s v="Petty  cash for QA"/>
    <n v="1837.6760563380283"/>
    <s v="##"/>
    <d v="2025-06-30T00:00:00"/>
    <s v="N/A"/>
    <s v="Jul"/>
    <n v="2025"/>
  </r>
  <r>
    <n v="471"/>
    <x v="3"/>
    <x v="3"/>
    <s v="Actual"/>
    <x v="8"/>
    <m/>
    <s v="ZUMZUM ALFAYHAA INSAAT"/>
    <s v="Material &amp; Supplies"/>
    <n v="1540"/>
    <s v="10864"/>
    <d v="2025-08-20T00:00:00"/>
    <n v="2025402607"/>
    <s v="Aug"/>
    <n v="2025"/>
  </r>
  <r>
    <n v="472"/>
    <x v="3"/>
    <x v="3"/>
    <s v="Actual"/>
    <x v="8"/>
    <m/>
    <s v="ZUMZUM ALFAYHAA INSAAT"/>
    <s v="Material &amp; Supplies"/>
    <n v="1200"/>
    <s v="10766"/>
    <d v="2025-08-04T00:00:00"/>
    <n v="2025402544"/>
    <s v="Aug"/>
    <n v="2025"/>
  </r>
  <r>
    <n v="473"/>
    <x v="3"/>
    <x v="3"/>
    <s v="Actual"/>
    <x v="8"/>
    <m/>
    <s v="Petty Cash"/>
    <s v="Petty cash for QA"/>
    <n v="1023.2394366197183"/>
    <s v="##"/>
    <d v="2025-07-16T00:00:00"/>
    <s v="N/A"/>
    <s v="Jul"/>
    <n v="2025"/>
  </r>
  <r>
    <n v="474"/>
    <x v="3"/>
    <x v="3"/>
    <s v="Actual"/>
    <x v="8"/>
    <m/>
    <s v="Petty Cash"/>
    <s v="Petty Cash for QA"/>
    <n v="967.6056338028169"/>
    <s v="##"/>
    <d v="2025-02-08T00:00:00"/>
    <s v="N/A"/>
    <s v="Aug"/>
    <n v="2025"/>
  </r>
  <r>
    <n v="475"/>
    <x v="3"/>
    <x v="3"/>
    <s v="Actual"/>
    <x v="8"/>
    <m/>
    <s v="AL-Wajeeh Company"/>
    <s v="Material &amp; Supplies"/>
    <n v="958.88"/>
    <s v="16908-1"/>
    <d v="2025-07-30T00:00:00"/>
    <n v="2025402503"/>
    <s v="Jul"/>
    <n v="2025"/>
  </r>
  <r>
    <n v="476"/>
    <x v="3"/>
    <x v="3"/>
    <s v="Actual"/>
    <x v="8"/>
    <m/>
    <s v="ZUMZUM ALFAYHAA INSAAT"/>
    <s v="Material &amp; Supplies"/>
    <n v="799.5"/>
    <s v="10546"/>
    <d v="2025-07-17T00:00:00"/>
    <n v="2025402230"/>
    <s v="Jul"/>
    <n v="2025"/>
  </r>
  <r>
    <n v="477"/>
    <x v="3"/>
    <x v="3"/>
    <s v="Actual"/>
    <x v="8"/>
    <m/>
    <s v="ZUMZUM ALFAYHAA INSAAT"/>
    <s v="Material &amp; Supplies"/>
    <n v="595"/>
    <s v="10870"/>
    <d v="2025-08-20T00:00:00"/>
    <n v="2025402610"/>
    <s v="Aug"/>
    <n v="2025"/>
  </r>
  <r>
    <n v="478"/>
    <x v="3"/>
    <x v="3"/>
    <s v="Actual"/>
    <x v="8"/>
    <m/>
    <s v="ZUMZUM ALFAYHAA INSAAT"/>
    <s v="Material &amp; Supplies"/>
    <n v="520"/>
    <s v="10944"/>
    <d v="2025-08-24T00:00:00"/>
    <n v="2025402747"/>
    <s v="Aug"/>
    <n v="2025"/>
  </r>
  <r>
    <n v="479"/>
    <x v="3"/>
    <x v="3"/>
    <s v="Actual"/>
    <x v="8"/>
    <m/>
    <s v="AL-Wajeeh Company"/>
    <s v="Material &amp; Supplies"/>
    <n v="488.88"/>
    <s v="17017"/>
    <d v="2025-10-16T00:00:00"/>
    <n v="2025403638"/>
    <s v="Aug"/>
    <n v="2025"/>
  </r>
  <r>
    <n v="480"/>
    <x v="3"/>
    <x v="3"/>
    <s v="Actual"/>
    <x v="8"/>
    <m/>
    <s v="AL-Wajeeh Company"/>
    <s v="Material &amp; Supplies"/>
    <n v="337.5"/>
    <s v="16988-1"/>
    <d v="2025-07-28T00:00:00"/>
    <n v="2025402395"/>
    <s v="Jul"/>
    <n v="2025"/>
  </r>
  <r>
    <n v="481"/>
    <x v="3"/>
    <x v="10"/>
    <s v="Actual"/>
    <x v="8"/>
    <m/>
    <s v="Al Jaber Company General Construction Services"/>
    <s v="Materials/Concrete"/>
    <n v="31165"/>
    <s v="01082025-IGCC-001"/>
    <d v="2025-08-01T00:00:00"/>
    <n v="2025403223"/>
    <s v="Jul"/>
    <n v="2025"/>
  </r>
  <r>
    <n v="482"/>
    <x v="3"/>
    <x v="10"/>
    <s v="Actual"/>
    <x v="8"/>
    <m/>
    <s v="AL MUSTAFA INDUSTRIAL IRON TRADING"/>
    <s v="Materials/IRON"/>
    <n v="22661.200000000001"/>
    <s v="318"/>
    <d v="2025-08-27T00:00:00"/>
    <n v="2025402875"/>
    <s v="Aug"/>
    <n v="2025"/>
  </r>
  <r>
    <n v="483"/>
    <x v="3"/>
    <x v="10"/>
    <s v="Actual"/>
    <x v="8"/>
    <m/>
    <s v="Al Jaber Company General Construction Services"/>
    <s v="Materials/Concrete"/>
    <n v="18170"/>
    <s v="01092025-IGCC-001"/>
    <d v="2025-09-01T00:00:00"/>
    <n v="2025403292"/>
    <s v="Aug"/>
    <n v="2025"/>
  </r>
  <r>
    <n v="484"/>
    <x v="3"/>
    <x v="10"/>
    <s v="Actual"/>
    <x v="8"/>
    <m/>
    <s v="Al Jaber Company General Construction Services"/>
    <s v="Materials/Concrete"/>
    <n v="12420"/>
    <s v="01082025-IGCC-001"/>
    <d v="2025-08-01T00:00:00"/>
    <n v="2025403223"/>
    <s v="Jul"/>
    <n v="2025"/>
  </r>
  <r>
    <n v="485"/>
    <x v="3"/>
    <x v="10"/>
    <s v="Actual"/>
    <x v="8"/>
    <m/>
    <s v="AL INSHA'AT AL HADETHA"/>
    <s v="Material &amp; Supplies"/>
    <n v="9849.2957746478878"/>
    <s v="ACC-SINV-2025-04402"/>
    <d v="2025-08-11T00:00:00"/>
    <n v="2025402900"/>
    <s v="Aug"/>
    <n v="2025"/>
  </r>
  <r>
    <n v="486"/>
    <x v="3"/>
    <x v="10"/>
    <s v="Actual"/>
    <x v="8"/>
    <m/>
    <s v="AL MUSTAFA INDUSTRIAL IRON TRADING"/>
    <s v="Materials/IRON"/>
    <n v="8667.5"/>
    <s v="278"/>
    <d v="2025-07-24T00:00:00"/>
    <n v="2025402411"/>
    <s v="Jul"/>
    <n v="2025"/>
  </r>
  <r>
    <n v="487"/>
    <x v="3"/>
    <x v="10"/>
    <s v="Actual"/>
    <x v="8"/>
    <m/>
    <s v="Al Jaber Company General Construction Services"/>
    <s v="Materials/Concrete"/>
    <n v="5310"/>
    <s v="01082025-IGCC-001"/>
    <d v="2025-08-01T00:00:00"/>
    <n v="2025403223"/>
    <s v="Jul"/>
    <n v="2025"/>
  </r>
  <r>
    <n v="488"/>
    <x v="3"/>
    <x v="10"/>
    <s v="Actual"/>
    <x v="8"/>
    <m/>
    <s v="Al-qanaat Altijaria shops"/>
    <s v="Material &amp; Supplies"/>
    <n v="4611.4084507042253"/>
    <s v="1672"/>
    <d v="2025-08-06T00:00:00"/>
    <n v="2025403075"/>
    <s v="Aug"/>
    <n v="2025"/>
  </r>
  <r>
    <n v="489"/>
    <x v="3"/>
    <x v="10"/>
    <s v="Actual"/>
    <x v="8"/>
    <m/>
    <s v="Al-Janaeen Al-Mualaka for Water"/>
    <s v="Materials/Water"/>
    <n v="4119.7183098591549"/>
    <s v="1685"/>
    <d v="2025-07-12T00:00:00"/>
    <n v="2025402279"/>
    <s v="Jul"/>
    <n v="2025"/>
  </r>
  <r>
    <n v="490"/>
    <x v="3"/>
    <x v="10"/>
    <s v="Actual"/>
    <x v="8"/>
    <m/>
    <s v="Al-Janaeen Al-Mualaka for Water"/>
    <s v="Materials/Water"/>
    <n v="4119.7183098591549"/>
    <s v="1842"/>
    <d v="2025-07-28T00:00:00"/>
    <n v="2025402463"/>
    <s v="Jul"/>
    <n v="2025"/>
  </r>
  <r>
    <n v="491"/>
    <x v="3"/>
    <x v="10"/>
    <s v="Actual"/>
    <x v="8"/>
    <m/>
    <s v="Al-Janaeen Al-Mualaka for Water"/>
    <s v="Materials/Water"/>
    <n v="4119.7183098591549"/>
    <s v="2161"/>
    <d v="2025-08-25T00:00:00"/>
    <n v="2025403347"/>
    <s v="Aug"/>
    <n v="2025"/>
  </r>
  <r>
    <n v="492"/>
    <x v="3"/>
    <x v="10"/>
    <s v="Actual"/>
    <x v="8"/>
    <m/>
    <s v="ZUMZUM ALFAYHAA INSAAT"/>
    <s v="Material &amp; Supplies"/>
    <n v="3676"/>
    <s v="10834"/>
    <d v="2025-08-23T00:00:00"/>
    <n v="2025402666"/>
    <s v="Aug"/>
    <n v="2025"/>
  </r>
  <r>
    <n v="493"/>
    <x v="3"/>
    <x v="10"/>
    <s v="Actual"/>
    <x v="8"/>
    <m/>
    <s v="Babil International for trading agencies"/>
    <s v="Material &amp; Supplies"/>
    <n v="3327.4647887323945"/>
    <s v="2642"/>
    <d v="2025-08-24T00:00:00"/>
    <n v="2025402918"/>
    <s v="Aug"/>
    <n v="2025"/>
  </r>
  <r>
    <n v="494"/>
    <x v="3"/>
    <x v="10"/>
    <s v="Actual"/>
    <x v="8"/>
    <m/>
    <s v="Al-Karar Gallery for Wood &amp; MDF"/>
    <s v="Materials/Wood"/>
    <n v="3169.0140845070423"/>
    <s v="0823"/>
    <d v="2025-07-12T00:00:00"/>
    <n v="2025402412"/>
    <s v="Jul"/>
    <n v="2025"/>
  </r>
  <r>
    <n v="495"/>
    <x v="3"/>
    <x v="10"/>
    <s v="Actual"/>
    <x v="8"/>
    <m/>
    <s v="Al-Karar Gallery for Wood &amp; MDF"/>
    <s v="Materials/Wood"/>
    <n v="3169.0140845070423"/>
    <s v="825"/>
    <d v="2025-08-17T00:00:00"/>
    <n v="2025402773"/>
    <s v="Aug"/>
    <n v="2025"/>
  </r>
  <r>
    <n v="496"/>
    <x v="3"/>
    <x v="10"/>
    <s v="Actual"/>
    <x v="8"/>
    <m/>
    <s v="AL-Wajeeh Company"/>
    <s v="Material &amp; Supplies"/>
    <n v="3144.25"/>
    <s v="17010-1"/>
    <d v="2025-08-14T00:00:00"/>
    <n v="2025402498"/>
    <s v="Aug"/>
    <n v="2025"/>
  </r>
  <r>
    <n v="497"/>
    <x v="3"/>
    <x v="10"/>
    <s v="Actual"/>
    <x v="8"/>
    <m/>
    <s v="Al Jaber Company General Construction Services"/>
    <s v="Materials/Concrete"/>
    <n v="2990"/>
    <s v="01092025-IGCC-001"/>
    <d v="2025-09-01T00:00:00"/>
    <n v="2025403292"/>
    <s v="Aug"/>
    <n v="2025"/>
  </r>
  <r>
    <n v="498"/>
    <x v="3"/>
    <x v="10"/>
    <s v="Actual"/>
    <x v="8"/>
    <m/>
    <s v="BLUE LINE"/>
    <s v="Material &amp; Supplies"/>
    <n v="2678.61"/>
    <s v="6245"/>
    <d v="2025-07-29T00:00:00"/>
    <n v="2025402315"/>
    <s v="Jul"/>
    <n v="2025"/>
  </r>
  <r>
    <n v="499"/>
    <x v="3"/>
    <x v="10"/>
    <s v="Actual"/>
    <x v="8"/>
    <m/>
    <s v="Sahba Technnnology"/>
    <s v="Material &amp; Supplies"/>
    <n v="2657.7464788732395"/>
    <s v="6791"/>
    <d v="2025-08-19T00:00:00"/>
    <n v="2025402784"/>
    <s v="Aug"/>
    <n v="2025"/>
  </r>
  <r>
    <n v="500"/>
    <x v="3"/>
    <x v="10"/>
    <s v="Actual"/>
    <x v="8"/>
    <m/>
    <s v="Al Jaber Company General Construction Services"/>
    <s v="Materials/Concrete"/>
    <n v="2610"/>
    <s v="01092025-IGCC-001"/>
    <d v="2025-09-01T00:00:00"/>
    <n v="2025403292"/>
    <s v="Aug"/>
    <n v="2025"/>
  </r>
  <r>
    <n v="501"/>
    <x v="3"/>
    <x v="10"/>
    <s v="Actual"/>
    <x v="8"/>
    <m/>
    <s v="ZUMZUM ALFAYHAA INSAAT"/>
    <s v="Material &amp; Supplies"/>
    <n v="2397.6999999999998"/>
    <s v="10480"/>
    <d v="2025-07-10T00:00:00"/>
    <n v="2025402163"/>
    <s v="Jul"/>
    <n v="2025"/>
  </r>
  <r>
    <n v="502"/>
    <x v="3"/>
    <x v="10"/>
    <s v="Actual"/>
    <x v="8"/>
    <m/>
    <s v="ZUMZUM ALFAYHAA INSAAT"/>
    <s v="Material &amp; Supplies"/>
    <n v="2318"/>
    <s v="10550"/>
    <d v="2025-07-17T00:00:00"/>
    <n v="2025402243"/>
    <s v="Jul"/>
    <n v="2025"/>
  </r>
  <r>
    <n v="503"/>
    <x v="3"/>
    <x v="10"/>
    <s v="Actual"/>
    <x v="8"/>
    <m/>
    <s v="ZUMZUM ALFAYHAA INSAAT"/>
    <s v="Material &amp; Supplies"/>
    <n v="2131.5"/>
    <s v="11058"/>
    <d v="2025-08-28T00:00:00"/>
    <n v="2025402818"/>
    <s v="Aug"/>
    <n v="2025"/>
  </r>
  <r>
    <n v="504"/>
    <x v="3"/>
    <x v="10"/>
    <s v="Actual"/>
    <x v="8"/>
    <m/>
    <s v="Haider Retage show"/>
    <s v="Material &amp; Supplies"/>
    <n v="2056.3380281690143"/>
    <s v="42695"/>
    <d v="2025-08-20T00:00:00"/>
    <n v="2025402823"/>
    <s v="Aug"/>
    <n v="2025"/>
  </r>
  <r>
    <n v="505"/>
    <x v="3"/>
    <x v="10"/>
    <s v="Actual"/>
    <x v="8"/>
    <m/>
    <s v="AL-Wajeeh Company"/>
    <s v="Material &amp; Supplies"/>
    <n v="1982.66"/>
    <s v="16926-1"/>
    <d v="2025-07-23T00:00:00"/>
    <n v="2025402350"/>
    <s v="Jul"/>
    <n v="2025"/>
  </r>
  <r>
    <n v="506"/>
    <x v="3"/>
    <x v="10"/>
    <s v="Actual"/>
    <x v="8"/>
    <m/>
    <s v="AL-Wajeeh Company"/>
    <s v="Material &amp; Supplies"/>
    <n v="1869.7"/>
    <s v="16831-1"/>
    <d v="2025-07-08T00:00:00"/>
    <n v="2025402099"/>
    <s v="Jul"/>
    <n v="2025"/>
  </r>
  <r>
    <n v="507"/>
    <x v="3"/>
    <x v="10"/>
    <s v="Actual"/>
    <x v="8"/>
    <m/>
    <s v="ZUMZUM ALFAYHAA INSAAT"/>
    <s v="Material &amp; Supplies"/>
    <n v="1840"/>
    <s v="10808"/>
    <d v="2025-08-11T00:00:00"/>
    <n v="2025402597"/>
    <s v="Aug"/>
    <n v="2025"/>
  </r>
  <r>
    <n v="508"/>
    <x v="3"/>
    <x v="10"/>
    <s v="Actual"/>
    <x v="8"/>
    <m/>
    <s v="Al Jaber Company General Construction Services"/>
    <s v="Materials/Concrete"/>
    <n v="1710"/>
    <s v="01082025-IGCC-001"/>
    <d v="2025-08-01T00:00:00"/>
    <n v="2025403223"/>
    <s v="Jul"/>
    <n v="2025"/>
  </r>
  <r>
    <n v="509"/>
    <x v="3"/>
    <x v="10"/>
    <s v="Actual"/>
    <x v="8"/>
    <m/>
    <s v="BLUE LINE"/>
    <s v="Material &amp; Supplies"/>
    <n v="1707.29"/>
    <s v="6256"/>
    <d v="2025-08-18T00:00:00"/>
    <n v="2025402620"/>
    <s v="Aug"/>
    <n v="2025"/>
  </r>
  <r>
    <n v="510"/>
    <x v="3"/>
    <x v="10"/>
    <s v="Actual"/>
    <x v="8"/>
    <m/>
    <s v="ZUMZUM ALFAYHAA INSAAT"/>
    <s v="Material &amp; Supplies"/>
    <n v="1604.6"/>
    <s v="10458"/>
    <d v="2025-07-10T00:00:00"/>
    <n v="2025402117"/>
    <s v="Jul"/>
    <n v="2025"/>
  </r>
  <r>
    <n v="511"/>
    <x v="3"/>
    <x v="10"/>
    <s v="Actual"/>
    <x v="8"/>
    <m/>
    <s v="Petty Cash"/>
    <s v="Petty Cash for PWRI2"/>
    <n v="1500.7042253521126"/>
    <s v="##"/>
    <d v="2025-08-21T00:00:00"/>
    <s v="N/A"/>
    <s v="Aug"/>
    <n v="2025"/>
  </r>
  <r>
    <n v="512"/>
    <x v="3"/>
    <x v="10"/>
    <s v="Actual"/>
    <x v="8"/>
    <m/>
    <s v="ZUMZUM ALFAYHAA INSAAT"/>
    <s v="Material &amp; Supplies"/>
    <n v="1450"/>
    <s v="10538"/>
    <d v="2025-07-17T00:00:00"/>
    <n v="2025402160"/>
    <s v="Jul"/>
    <n v="2025"/>
  </r>
  <r>
    <n v="513"/>
    <x v="3"/>
    <x v="10"/>
    <s v="Actual"/>
    <x v="8"/>
    <m/>
    <s v="Petty Cash"/>
    <s v="Pety Cash for PWRI2"/>
    <n v="1450"/>
    <s v="##"/>
    <d v="2025-08-20T00:00:00"/>
    <s v="N/A"/>
    <s v="Aug"/>
    <n v="2025"/>
  </r>
  <r>
    <n v="514"/>
    <x v="3"/>
    <x v="10"/>
    <s v="Actual"/>
    <x v="8"/>
    <m/>
    <s v="Petty Cash"/>
    <s v="Petty cash for PWRI2"/>
    <n v="1408.8028169014085"/>
    <s v="##"/>
    <d v="2025-06-29T00:00:00"/>
    <s v="N/A"/>
    <s v="Jul"/>
    <n v="2025"/>
  </r>
  <r>
    <n v="515"/>
    <x v="3"/>
    <x v="10"/>
    <s v="Actual"/>
    <x v="8"/>
    <m/>
    <s v="ZUMZUM ALFAYHAA INSAAT"/>
    <s v="Material &amp; Supplies"/>
    <n v="1406"/>
    <s v="10410"/>
    <d v="2025-07-08T00:00:00"/>
    <n v="2025402048"/>
    <s v="Jul"/>
    <n v="2025"/>
  </r>
  <r>
    <n v="516"/>
    <x v="3"/>
    <x v="10"/>
    <s v="Actual"/>
    <x v="8"/>
    <m/>
    <s v="Petty Cash"/>
    <s v="Petty cash for PWRI-2"/>
    <n v="1390.1408450704225"/>
    <s v="##"/>
    <d v="2025-02-08T00:00:00"/>
    <s v="N/A"/>
    <s v="Aug"/>
    <n v="2025"/>
  </r>
  <r>
    <n v="517"/>
    <x v="3"/>
    <x v="10"/>
    <s v="Actual"/>
    <x v="8"/>
    <m/>
    <s v="Petty Cash"/>
    <s v="Petty cash for PWRI2"/>
    <n v="1379.5774647887324"/>
    <s v="##"/>
    <d v="2025-12-07T00:00:00"/>
    <s v="N/A"/>
    <s v="Jul"/>
    <n v="2025"/>
  </r>
  <r>
    <n v="518"/>
    <x v="3"/>
    <x v="10"/>
    <s v="Actual"/>
    <x v="8"/>
    <m/>
    <s v="Petty Cash"/>
    <s v="Petty Cash for PWRI"/>
    <n v="1345.7746478873239"/>
    <s v="##"/>
    <d v="2025-07-22T00:00:00"/>
    <s v="N/A"/>
    <s v="Jul"/>
    <n v="2025"/>
  </r>
  <r>
    <n v="519"/>
    <x v="3"/>
    <x v="10"/>
    <s v="Actual"/>
    <x v="8"/>
    <m/>
    <s v="ZUMZUM ALFAYHAA INSAAT"/>
    <s v="Material &amp; Supplies"/>
    <n v="1315"/>
    <s v="11036"/>
    <d v="2025-08-28T00:00:00"/>
    <n v="2025402799"/>
    <s v="Aug"/>
    <n v="2025"/>
  </r>
  <r>
    <n v="520"/>
    <x v="3"/>
    <x v="10"/>
    <s v="Actual"/>
    <x v="8"/>
    <m/>
    <s v="ZUMZUM ALFAYHAA INSAAT"/>
    <s v="Material &amp; Supplies"/>
    <n v="1315"/>
    <s v="11998"/>
    <d v="2025-11-04T00:00:00"/>
    <n v="2025403960"/>
    <s v="Aug"/>
    <n v="2025"/>
  </r>
  <r>
    <n v="521"/>
    <x v="3"/>
    <x v="10"/>
    <s v="Actual"/>
    <x v="8"/>
    <m/>
    <s v="Al Jaber Company General Construction Services"/>
    <s v="Materials/Concrete"/>
    <n v="1170"/>
    <s v="01092025-IGCC-001"/>
    <d v="2025-09-01T00:00:00"/>
    <n v="2025403292"/>
    <s v="Aug"/>
    <n v="2025"/>
  </r>
  <r>
    <n v="522"/>
    <x v="3"/>
    <x v="10"/>
    <s v="Actual"/>
    <x v="8"/>
    <m/>
    <s v="AL-Wajeeh Company"/>
    <s v="Material &amp; Supplies"/>
    <n v="1034.3599999999999"/>
    <s v="17061"/>
    <d v="2025-08-31T00:00:00"/>
    <n v="2025402910"/>
    <s v="Aug"/>
    <n v="2025"/>
  </r>
  <r>
    <n v="523"/>
    <x v="3"/>
    <x v="10"/>
    <s v="Actual"/>
    <x v="8"/>
    <m/>
    <s v="BLUE LINE"/>
    <s v="Material &amp; Supplies"/>
    <n v="1023.2"/>
    <s v="6350"/>
    <d v="2025-08-23T00:00:00"/>
    <n v="2025402705"/>
    <s v="Aug"/>
    <n v="2025"/>
  </r>
  <r>
    <n v="524"/>
    <x v="3"/>
    <x v="10"/>
    <s v="Actual"/>
    <x v="8"/>
    <m/>
    <s v="ZUMZUM ALFAYHAA INSAAT"/>
    <s v="Material &amp; Supplies"/>
    <n v="1003.6"/>
    <s v="10488"/>
    <d v="2025-07-10T00:00:00"/>
    <n v="2025402168"/>
    <s v="Jul"/>
    <n v="2025"/>
  </r>
  <r>
    <n v="525"/>
    <x v="3"/>
    <x v="10"/>
    <s v="Actual"/>
    <x v="8"/>
    <m/>
    <s v="AL-Wajeeh Company"/>
    <s v="Material &amp; Supplies"/>
    <n v="950"/>
    <s v="16788"/>
    <d v="2025-07-02T00:00:00"/>
    <n v="2025401807"/>
    <s v="Jul"/>
    <n v="2025"/>
  </r>
  <r>
    <n v="526"/>
    <x v="3"/>
    <x v="10"/>
    <s v="Actual"/>
    <x v="8"/>
    <m/>
    <s v="ZUMZUM ALFAYHAA INSAAT"/>
    <s v="Material &amp; Supplies"/>
    <n v="910"/>
    <s v="10528"/>
    <d v="2025-07-17T00:00:00"/>
    <n v="2025402155"/>
    <s v="Jul"/>
    <n v="2025"/>
  </r>
  <r>
    <n v="527"/>
    <x v="3"/>
    <x v="10"/>
    <s v="Actual"/>
    <x v="8"/>
    <m/>
    <s v="Al-qanaat Altijaria shops"/>
    <s v="Material &amp; Supplies"/>
    <n v="880.28169014084506"/>
    <s v="0284"/>
    <d v="2025-08-26T00:00:00"/>
    <n v="2025402908"/>
    <s v="Aug"/>
    <n v="2025"/>
  </r>
  <r>
    <n v="528"/>
    <x v="3"/>
    <x v="10"/>
    <s v="Actual"/>
    <x v="8"/>
    <m/>
    <s v="Petty Cash"/>
    <s v="Concret for PWRI-02"/>
    <n v="845.07042253521126"/>
    <s v="##"/>
    <d v="2025-03-08T00:00:00"/>
    <s v="N/A"/>
    <s v="Aug"/>
    <n v="2025"/>
  </r>
  <r>
    <n v="529"/>
    <x v="3"/>
    <x v="10"/>
    <s v="Actual"/>
    <x v="8"/>
    <m/>
    <s v="AL-Wajeeh Company"/>
    <s v="Material &amp; Supplies"/>
    <n v="838.91"/>
    <s v="16854-1"/>
    <d v="2025-07-02T00:00:00"/>
    <n v="2025402057"/>
    <s v="Jul"/>
    <n v="2025"/>
  </r>
  <r>
    <n v="530"/>
    <x v="3"/>
    <x v="10"/>
    <s v="Actual"/>
    <x v="8"/>
    <m/>
    <s v="ZUMZUM ALFAYHAA INSAAT"/>
    <s v="Material &amp; Supplies"/>
    <n v="750"/>
    <s v="11060"/>
    <d v="2025-08-28T00:00:00"/>
    <n v="2025402820"/>
    <s v="Aug"/>
    <n v="2025"/>
  </r>
  <r>
    <n v="531"/>
    <x v="3"/>
    <x v="10"/>
    <s v="Actual"/>
    <x v="8"/>
    <m/>
    <s v="AL-Wajeeh Company"/>
    <s v="Material &amp; Supplies"/>
    <n v="730.14"/>
    <s v="17024"/>
    <d v="2025-08-28T00:00:00"/>
    <n v="2025402842"/>
    <s v="Aug"/>
    <n v="2025"/>
  </r>
  <r>
    <n v="532"/>
    <x v="3"/>
    <x v="10"/>
    <s v="Actual"/>
    <x v="8"/>
    <m/>
    <s v="ZUMZUM ALFAYHAA INSAAT"/>
    <s v="Material &amp; Supplies"/>
    <n v="683.5"/>
    <s v="10624"/>
    <d v="2025-08-03T00:00:00"/>
    <n v="2025402321"/>
    <s v="Aug"/>
    <n v="2025"/>
  </r>
  <r>
    <n v="533"/>
    <x v="3"/>
    <x v="10"/>
    <s v="Actual"/>
    <x v="8"/>
    <m/>
    <s v="ZUMZUM ALFAYHAA INSAAT"/>
    <s v="Material &amp; Supplies"/>
    <n v="668"/>
    <s v="10558"/>
    <d v="2025-07-17T00:00:00"/>
    <n v="2025402193"/>
    <s v="Jul"/>
    <n v="2025"/>
  </r>
  <r>
    <n v="534"/>
    <x v="3"/>
    <x v="10"/>
    <s v="Actual"/>
    <x v="8"/>
    <m/>
    <s v="BLUE LINE"/>
    <s v="Material &amp; Supplies"/>
    <n v="589.25"/>
    <s v="6356"/>
    <d v="2025-08-20T00:00:00"/>
    <n v="2025402706"/>
    <s v="Aug"/>
    <n v="2025"/>
  </r>
  <r>
    <n v="535"/>
    <x v="3"/>
    <x v="10"/>
    <s v="Actual"/>
    <x v="8"/>
    <m/>
    <s v="ZUMZUM ALFAYHAA INSAAT"/>
    <s v="Material &amp; Supplies"/>
    <n v="584.29999999999995"/>
    <s v="10708"/>
    <d v="2025-08-06T00:00:00"/>
    <n v="2025402442"/>
    <s v="Aug"/>
    <n v="2025"/>
  </r>
  <r>
    <n v="536"/>
    <x v="3"/>
    <x v="10"/>
    <s v="Actual"/>
    <x v="8"/>
    <m/>
    <s v="ZUMZUM ALFAYHAA INSAAT"/>
    <s v="Material &amp; Supplies"/>
    <n v="565.79999999999995"/>
    <s v="10836"/>
    <d v="2025-08-19T00:00:00"/>
    <n v="2025402671"/>
    <s v="Aug"/>
    <n v="2025"/>
  </r>
  <r>
    <n v="537"/>
    <x v="3"/>
    <x v="10"/>
    <s v="Actual"/>
    <x v="8"/>
    <m/>
    <s v="ZUMZUM ALFAYHAA INSAAT"/>
    <s v="Material &amp; Supplies"/>
    <n v="532.6"/>
    <s v="10746"/>
    <d v="2025-08-06T00:00:00"/>
    <n v="2025402511"/>
    <s v="Aug"/>
    <n v="2025"/>
  </r>
  <r>
    <n v="538"/>
    <x v="3"/>
    <x v="10"/>
    <s v="Actual"/>
    <x v="8"/>
    <m/>
    <s v="BLUE LINE"/>
    <s v="Material &amp; Supplies"/>
    <n v="525.54"/>
    <s v="6292"/>
    <d v="2025-08-18T00:00:00"/>
    <n v="2025402640"/>
    <s v="Aug"/>
    <n v="2025"/>
  </r>
  <r>
    <n v="539"/>
    <x v="3"/>
    <x v="10"/>
    <s v="Actual"/>
    <x v="8"/>
    <m/>
    <s v="BLUE LINE"/>
    <s v="Material &amp; Supplies"/>
    <n v="518.5"/>
    <s v="6171"/>
    <d v="2025-08-18T00:00:00"/>
    <n v="2025402650"/>
    <s v="Aug"/>
    <n v="2025"/>
  </r>
  <r>
    <n v="540"/>
    <x v="3"/>
    <x v="10"/>
    <s v="Actual"/>
    <x v="8"/>
    <m/>
    <s v="ZUMZUM ALFAYHAA INSAAT"/>
    <s v="Material &amp; Supplies"/>
    <n v="495"/>
    <s v="11074"/>
    <d v="2025-08-28T00:00:00"/>
    <n v="2025402804"/>
    <s v="Aug"/>
    <n v="2025"/>
  </r>
  <r>
    <n v="541"/>
    <x v="3"/>
    <x v="10"/>
    <s v="Actual"/>
    <x v="8"/>
    <m/>
    <s v="BLUE LINE"/>
    <s v="Material &amp; Supplies"/>
    <n v="485"/>
    <s v="6236"/>
    <d v="2025-07-22T00:00:00"/>
    <n v="2025402349"/>
    <s v="Jul"/>
    <n v="2025"/>
  </r>
  <r>
    <n v="542"/>
    <x v="3"/>
    <x v="10"/>
    <s v="Actual"/>
    <x v="8"/>
    <m/>
    <s v="GULF PEARL GROUP"/>
    <s v="Materials/Paint"/>
    <n v="475"/>
    <s v="26832025"/>
    <d v="2025-07-08T00:00:00"/>
    <n v="2025402212"/>
    <s v="Jul"/>
    <n v="2025"/>
  </r>
  <r>
    <n v="543"/>
    <x v="3"/>
    <x v="10"/>
    <s v="Actual"/>
    <x v="8"/>
    <m/>
    <s v="BLUE LINE"/>
    <s v="Material &amp; Supplies"/>
    <n v="457.7"/>
    <s v="6254"/>
    <d v="2025-07-17T00:00:00"/>
    <n v="2025402281"/>
    <s v="Jul"/>
    <n v="2025"/>
  </r>
  <r>
    <n v="544"/>
    <x v="3"/>
    <x v="10"/>
    <s v="Actual"/>
    <x v="8"/>
    <m/>
    <s v="ZUMZUM ALFAYHAA INSAAT"/>
    <s v="Material &amp; Supplies"/>
    <n v="443.7"/>
    <s v="10596"/>
    <d v="2025-08-03T00:00:00"/>
    <n v="2025402210"/>
    <s v="Aug"/>
    <n v="2025"/>
  </r>
  <r>
    <n v="545"/>
    <x v="3"/>
    <x v="10"/>
    <s v="Actual"/>
    <x v="8"/>
    <m/>
    <s v="ZUMZUM ALFAYHAA INSAAT"/>
    <s v="Material &amp; Supplies"/>
    <n v="432"/>
    <s v="10916"/>
    <d v="2025-08-24T00:00:00"/>
    <n v="2025402661"/>
    <s v="Aug"/>
    <n v="2025"/>
  </r>
  <r>
    <n v="546"/>
    <x v="3"/>
    <x v="10"/>
    <s v="Actual"/>
    <x v="8"/>
    <m/>
    <s v="ZUMZUM ALFAYHAA INSAAT"/>
    <s v="Material &amp; Supplies"/>
    <n v="425"/>
    <s v="10858"/>
    <d v="2025-08-20T00:00:00"/>
    <n v="2025402604"/>
    <s v="Aug"/>
    <n v="2025"/>
  </r>
  <r>
    <n v="547"/>
    <x v="3"/>
    <x v="10"/>
    <s v="Actual"/>
    <x v="8"/>
    <m/>
    <s v="AL-Wajeeh Company"/>
    <s v="Material &amp; Supplies"/>
    <n v="421.15"/>
    <s v="17013"/>
    <d v="2025-08-31T00:00:00"/>
    <n v="2025402848"/>
    <s v="Aug"/>
    <n v="2025"/>
  </r>
  <r>
    <n v="548"/>
    <x v="3"/>
    <x v="10"/>
    <s v="Actual"/>
    <x v="8"/>
    <m/>
    <s v="AL-Wajeeh Company"/>
    <s v="Material &amp; Supplies"/>
    <n v="392"/>
    <s v="17033"/>
    <d v="2025-08-07T00:00:00"/>
    <n v="2025402582"/>
    <s v="Aug"/>
    <n v="2025"/>
  </r>
  <r>
    <n v="549"/>
    <x v="3"/>
    <x v="10"/>
    <s v="Actual"/>
    <x v="8"/>
    <m/>
    <s v="ZUMZUM ALFAYHAA INSAAT"/>
    <s v="Material &amp; Supplies"/>
    <n v="350"/>
    <s v="11042"/>
    <d v="2025-08-28T00:00:00"/>
    <n v="2025402803"/>
    <s v="Aug"/>
    <n v="2025"/>
  </r>
  <r>
    <n v="550"/>
    <x v="3"/>
    <x v="10"/>
    <s v="Actual"/>
    <x v="8"/>
    <m/>
    <s v="ZUMZUM ALFAYHAA INSAAT"/>
    <s v="Material &amp; Supplies"/>
    <n v="343.8"/>
    <s v="10862"/>
    <d v="2025-08-20T00:00:00"/>
    <n v="2025402606"/>
    <s v="Aug"/>
    <n v="2025"/>
  </r>
  <r>
    <n v="551"/>
    <x v="3"/>
    <x v="10"/>
    <s v="Actual"/>
    <x v="8"/>
    <m/>
    <s v="AL-Wajeeh Company"/>
    <s v="Material &amp; Supplies"/>
    <n v="337.45"/>
    <s v="17010-A"/>
    <d v="2025-08-14T00:00:00"/>
    <n v="2025402500"/>
    <s v="Aug"/>
    <n v="2025"/>
  </r>
  <r>
    <n v="552"/>
    <x v="3"/>
    <x v="10"/>
    <s v="Actual"/>
    <x v="8"/>
    <m/>
    <s v="ZUMZUM ALFAYHAA INSAAT"/>
    <s v="Material &amp; Supplies"/>
    <n v="320"/>
    <s v="10860"/>
    <d v="2025-08-20T00:00:00"/>
    <n v="2025402605"/>
    <s v="Aug"/>
    <n v="2025"/>
  </r>
  <r>
    <n v="553"/>
    <x v="3"/>
    <x v="10"/>
    <s v="Actual"/>
    <x v="8"/>
    <m/>
    <s v="AL-Wajeeh Company"/>
    <s v="Material &amp; Supplies"/>
    <n v="287.89999999999998"/>
    <s v="16981"/>
    <d v="2025-08-31T00:00:00"/>
    <n v="2025402843"/>
    <s v="Aug"/>
    <n v="2025"/>
  </r>
  <r>
    <n v="554"/>
    <x v="3"/>
    <x v="10"/>
    <s v="Actual"/>
    <x v="8"/>
    <m/>
    <s v="ZUMZUM ALFAYHAA INSAAT"/>
    <s v="Material &amp; Supplies"/>
    <n v="247"/>
    <s v="10956"/>
    <d v="2025-08-24T00:00:00"/>
    <n v="2025402754"/>
    <s v="Aug"/>
    <n v="2025"/>
  </r>
  <r>
    <n v="555"/>
    <x v="3"/>
    <x v="10"/>
    <s v="Actual"/>
    <x v="8"/>
    <m/>
    <s v="Al Miayar Inspection service and rtaining"/>
    <s v="Material &amp; Supplies"/>
    <n v="232.3943661971831"/>
    <s v="2113"/>
    <d v="2025-08-20T00:00:00"/>
    <n v="2025403722"/>
    <s v="Aug"/>
    <n v="2025"/>
  </r>
  <r>
    <n v="556"/>
    <x v="3"/>
    <x v="10"/>
    <s v="Actual"/>
    <x v="8"/>
    <m/>
    <s v="AL-Wajeeh Company"/>
    <s v="Material &amp; Supplies"/>
    <n v="231"/>
    <s v="16841"/>
    <d v="2025-08-31T00:00:00"/>
    <n v="2025402516"/>
    <s v="Aug"/>
    <n v="2025"/>
  </r>
  <r>
    <n v="557"/>
    <x v="3"/>
    <x v="10"/>
    <s v="Actual"/>
    <x v="8"/>
    <m/>
    <s v="Al-qanaat Altijaria shops"/>
    <s v="Material &amp; Supplies"/>
    <n v="221.83098591549296"/>
    <s v="4218"/>
    <d v="2025-07-12T00:00:00"/>
    <n v="2025402297"/>
    <s v="Jul"/>
    <n v="2025"/>
  </r>
  <r>
    <n v="558"/>
    <x v="3"/>
    <x v="10"/>
    <s v="Actual"/>
    <x v="8"/>
    <m/>
    <s v="AL-Wajeeh Company"/>
    <s v="Material &amp; Supplies"/>
    <n v="213.12"/>
    <s v="16827"/>
    <d v="2025-07-20T00:00:00"/>
    <n v="2025402309"/>
    <s v="Jul"/>
    <n v="2025"/>
  </r>
  <r>
    <n v="559"/>
    <x v="3"/>
    <x v="10"/>
    <s v="Actual"/>
    <x v="8"/>
    <m/>
    <s v="AL-Wajeeh Company"/>
    <s v="Material &amp; Supplies"/>
    <n v="180"/>
    <s v="16904"/>
    <d v="2025-08-28T00:00:00"/>
    <n v="2025402828"/>
    <s v="Aug"/>
    <n v="2025"/>
  </r>
  <r>
    <n v="560"/>
    <x v="3"/>
    <x v="10"/>
    <s v="Actual"/>
    <x v="8"/>
    <m/>
    <s v="BLUE LINE"/>
    <s v="Material &amp; Supplies"/>
    <n v="150"/>
    <s v="6337"/>
    <d v="2025-08-20T00:00:00"/>
    <n v="2025402663"/>
    <s v="Aug"/>
    <n v="2025"/>
  </r>
  <r>
    <n v="561"/>
    <x v="3"/>
    <x v="10"/>
    <s v="Actual"/>
    <x v="8"/>
    <m/>
    <s v="ZUMZUM ALFAYHAA INSAAT"/>
    <s v="Material &amp; Supplies"/>
    <n v="140"/>
    <s v="11068"/>
    <d v="2025-08-28T00:00:00"/>
    <n v="2025402806"/>
    <s v="Aug"/>
    <n v="2025"/>
  </r>
  <r>
    <n v="562"/>
    <x v="3"/>
    <x v="10"/>
    <s v="Actual"/>
    <x v="8"/>
    <m/>
    <s v="AL-Wajeeh Company"/>
    <s v="Material &amp; Supplies"/>
    <n v="134.19999999999999"/>
    <s v="17011"/>
    <d v="2025-08-06T00:00:00"/>
    <n v="2025402446"/>
    <s v="Aug"/>
    <n v="2025"/>
  </r>
  <r>
    <n v="563"/>
    <x v="3"/>
    <x v="10"/>
    <s v="Actual"/>
    <x v="8"/>
    <m/>
    <s v="ZUMZUM ALFAYHAA INSAAT"/>
    <s v="Material &amp; Supplies"/>
    <n v="134"/>
    <s v="10912"/>
    <d v="2025-08-24T00:00:00"/>
    <n v="2025402660"/>
    <s v="Aug"/>
    <n v="2025"/>
  </r>
  <r>
    <n v="564"/>
    <x v="3"/>
    <x v="10"/>
    <s v="Actual"/>
    <x v="8"/>
    <m/>
    <s v="AL-Wajeeh Company"/>
    <s v="Material &amp; Supplies"/>
    <n v="133"/>
    <s v="16867"/>
    <d v="2025-07-02T00:00:00"/>
    <n v="2025402056"/>
    <s v="Jul"/>
    <n v="2025"/>
  </r>
  <r>
    <n v="565"/>
    <x v="3"/>
    <x v="10"/>
    <s v="Actual"/>
    <x v="8"/>
    <m/>
    <s v="ZUMZUM ALFAYHAA INSAAT"/>
    <s v="Material &amp; Supplies"/>
    <n v="125"/>
    <s v="10832"/>
    <d v="2025-08-23T00:00:00"/>
    <n v="2025402672"/>
    <s v="Aug"/>
    <n v="2025"/>
  </r>
  <r>
    <n v="566"/>
    <x v="3"/>
    <x v="10"/>
    <s v="Actual"/>
    <x v="8"/>
    <m/>
    <s v="BLUE LINE"/>
    <s v="Material &amp; Supplies"/>
    <n v="119.98"/>
    <s v="6352"/>
    <d v="2025-08-20T00:00:00"/>
    <n v="2025402708"/>
    <s v="Aug"/>
    <n v="2025"/>
  </r>
  <r>
    <n v="567"/>
    <x v="3"/>
    <x v="10"/>
    <s v="Actual"/>
    <x v="8"/>
    <m/>
    <s v="AL-Wajeeh Company"/>
    <s v="Material &amp; Supplies"/>
    <n v="117.5"/>
    <s v="16909"/>
    <d v="2025-07-12T00:00:00"/>
    <n v="2025402218"/>
    <s v="Jul"/>
    <n v="2025"/>
  </r>
  <r>
    <n v="568"/>
    <x v="3"/>
    <x v="10"/>
    <s v="Actual"/>
    <x v="8"/>
    <m/>
    <s v="AL-Wajeeh Company"/>
    <s v="Material &amp; Supplies"/>
    <n v="108.36"/>
    <s v="17006"/>
    <d v="2025-08-31T00:00:00"/>
    <n v="2025402846"/>
    <s v="Aug"/>
    <n v="2025"/>
  </r>
  <r>
    <n v="569"/>
    <x v="3"/>
    <x v="10"/>
    <s v="Actual"/>
    <x v="8"/>
    <m/>
    <s v="BLUE LINE"/>
    <s v="Material &amp; Supplies"/>
    <n v="106.08"/>
    <s v="6282"/>
    <d v="2025-08-18T00:00:00"/>
    <n v="2025402649"/>
    <s v="Aug"/>
    <n v="2025"/>
  </r>
  <r>
    <n v="570"/>
    <x v="3"/>
    <x v="10"/>
    <s v="Actual"/>
    <x v="8"/>
    <m/>
    <s v="Khan Alhadded Company"/>
    <s v="Materials/IRON"/>
    <n v="75"/>
    <s v="0867"/>
    <d v="2025-07-10T00:00:00"/>
    <n v="2025402336"/>
    <s v="Jul"/>
    <n v="2025"/>
  </r>
  <r>
    <n v="571"/>
    <x v="3"/>
    <x v="10"/>
    <s v="Actual"/>
    <x v="8"/>
    <m/>
    <s v="AL-Wajeeh Company"/>
    <s v="Material &amp; Supplies"/>
    <n v="26.6"/>
    <s v="16918"/>
    <d v="2025-07-23T00:00:00"/>
    <n v="2025402354"/>
    <s v="Jul"/>
    <n v="2025"/>
  </r>
  <r>
    <n v="572"/>
    <x v="3"/>
    <x v="11"/>
    <s v="Actual"/>
    <x v="8"/>
    <m/>
    <s v="Fasco LLC FZ"/>
    <s v="Material &amp; Supplies"/>
    <n v="7388.45"/>
    <s v="2025000069"/>
    <d v="2025-08-05T00:00:00"/>
    <n v="2025401493"/>
    <s v="Aug"/>
    <n v="2025"/>
  </r>
  <r>
    <n v="573"/>
    <x v="3"/>
    <x v="11"/>
    <s v="Actual"/>
    <x v="8"/>
    <m/>
    <s v="Rwad Alenjaz Co."/>
    <s v="Material &amp; Supplies"/>
    <n v="5176.0563380281692"/>
    <s v="01633"/>
    <d v="2025-07-24T00:00:00"/>
    <n v="2025402509"/>
    <s v="Jul"/>
    <n v="2025"/>
  </r>
  <r>
    <n v="574"/>
    <x v="3"/>
    <x v="11"/>
    <s v="Actual"/>
    <x v="8"/>
    <m/>
    <s v="Al-Janaeen Al-Mualaka for Water"/>
    <s v="Materials/Water"/>
    <n v="4119.7183098591549"/>
    <s v="1680"/>
    <d v="2025-07-12T00:00:00"/>
    <n v="2025402278"/>
    <s v="Jul"/>
    <n v="2025"/>
  </r>
  <r>
    <n v="575"/>
    <x v="3"/>
    <x v="11"/>
    <s v="Actual"/>
    <x v="8"/>
    <m/>
    <s v="Petty Cash"/>
    <s v="Petty cash for PWRI"/>
    <n v="3174.6478873239435"/>
    <s v="##"/>
    <d v="2025-08-17T00:00:00"/>
    <s v="N/A"/>
    <s v="Aug"/>
    <n v="2025"/>
  </r>
  <r>
    <n v="576"/>
    <x v="3"/>
    <x v="11"/>
    <s v="Actual"/>
    <x v="8"/>
    <m/>
    <s v="Petty Cash"/>
    <s v="Petty cash for PWRI"/>
    <n v="2967.9577464788731"/>
    <s v="##"/>
    <d v="2025-07-25T00:00:00"/>
    <s v="N/A"/>
    <s v="Jul"/>
    <n v="2025"/>
  </r>
  <r>
    <n v="577"/>
    <x v="3"/>
    <x v="11"/>
    <s v="Actual"/>
    <x v="8"/>
    <m/>
    <s v="Petty Cash"/>
    <s v="Petty cash for FL"/>
    <n v="2935.211267605634"/>
    <s v="##"/>
    <d v="2025-09-08T00:00:00"/>
    <s v="N/A"/>
    <s v="Aug"/>
    <n v="2025"/>
  </r>
  <r>
    <n v="578"/>
    <x v="3"/>
    <x v="11"/>
    <s v="Actual"/>
    <x v="8"/>
    <m/>
    <s v="Petty Cash"/>
    <s v="Petty Cash for PWRI"/>
    <n v="2884.5070422535209"/>
    <s v="##"/>
    <d v="2025-07-20T00:00:00"/>
    <s v="N/A"/>
    <s v="Jul"/>
    <n v="2025"/>
  </r>
  <r>
    <n v="579"/>
    <x v="3"/>
    <x v="11"/>
    <s v="Actual"/>
    <x v="8"/>
    <m/>
    <s v="Petty Cash"/>
    <s v="Petty Cash for PWRI"/>
    <n v="2485.5633802816901"/>
    <s v="##"/>
    <d v="2025-10-07T00:00:00"/>
    <s v="N/A"/>
    <s v="Jul"/>
    <n v="2025"/>
  </r>
  <r>
    <n v="580"/>
    <x v="3"/>
    <x v="11"/>
    <s v="Actual"/>
    <x v="8"/>
    <m/>
    <s v="Fasco LLC FZ"/>
    <s v="Material &amp; Supplies"/>
    <n v="2230.19"/>
    <s v="2025000066"/>
    <d v="2025-07-08T00:00:00"/>
    <n v="2025401410"/>
    <s v="Jul"/>
    <n v="2025"/>
  </r>
  <r>
    <n v="581"/>
    <x v="3"/>
    <x v="11"/>
    <s v="Actual"/>
    <x v="8"/>
    <m/>
    <s v="Fasco LLC FZ"/>
    <s v="Material &amp; Supplies"/>
    <n v="2175.207084468665"/>
    <s v="2025000067"/>
    <d v="2025-07-13T00:00:00"/>
    <n v="2025401675"/>
    <s v="Jul"/>
    <n v="2025"/>
  </r>
  <r>
    <n v="582"/>
    <x v="3"/>
    <x v="11"/>
    <s v="Actual"/>
    <x v="8"/>
    <m/>
    <s v="AL-Wajeeh Company"/>
    <s v="Material &amp; Supplies"/>
    <n v="1954.95"/>
    <s v="16806-1"/>
    <d v="2025-07-24T00:00:00"/>
    <n v="2025402312"/>
    <s v="Jul"/>
    <n v="2025"/>
  </r>
  <r>
    <n v="583"/>
    <x v="3"/>
    <x v="11"/>
    <s v="Actual"/>
    <x v="8"/>
    <m/>
    <s v="BLUE LINE"/>
    <s v="Material &amp; Supplies"/>
    <n v="1936.86"/>
    <s v="6272"/>
    <d v="2025-07-29T00:00:00"/>
    <n v="2025402450"/>
    <s v="Jul"/>
    <n v="2025"/>
  </r>
  <r>
    <n v="584"/>
    <x v="3"/>
    <x v="11"/>
    <s v="Actual"/>
    <x v="8"/>
    <m/>
    <s v="ZUMZUM ALFAYHAA INSAAT"/>
    <s v="Material &amp; Supplies"/>
    <n v="1567"/>
    <s v="10562"/>
    <d v="2025-07-17T00:00:00"/>
    <n v="2025402194"/>
    <s v="Jul"/>
    <n v="2025"/>
  </r>
  <r>
    <n v="585"/>
    <x v="3"/>
    <x v="11"/>
    <s v="Actual"/>
    <x v="8"/>
    <m/>
    <s v="BLUE LINE"/>
    <s v="Material &amp; Supplies"/>
    <n v="1535.16"/>
    <s v="6249"/>
    <d v="2025-07-22T00:00:00"/>
    <n v="2025402344"/>
    <s v="Jul"/>
    <n v="2025"/>
  </r>
  <r>
    <n v="586"/>
    <x v="3"/>
    <x v="11"/>
    <s v="Actual"/>
    <x v="8"/>
    <m/>
    <s v="Fasco LLC FZ"/>
    <s v="Material &amp; Supplies"/>
    <n v="1198.9100817438693"/>
    <s v="IN 2025000065"/>
    <d v="2025-07-08T00:00:00"/>
    <s v="2025401409"/>
    <s v="Jul"/>
    <n v="2025"/>
  </r>
  <r>
    <n v="587"/>
    <x v="3"/>
    <x v="11"/>
    <s v="Actual"/>
    <x v="8"/>
    <m/>
    <s v="BLUE LINE"/>
    <s v="Material &amp; Supplies"/>
    <n v="965.34"/>
    <s v="6291"/>
    <d v="2025-07-29T00:00:00"/>
    <n v="2025402447"/>
    <s v="Jul"/>
    <n v="2025"/>
  </r>
  <r>
    <n v="588"/>
    <x v="3"/>
    <x v="11"/>
    <s v="Actual"/>
    <x v="8"/>
    <m/>
    <s v="Rwad Alenjaz Co."/>
    <s v="Material &amp; Supplies"/>
    <n v="957.74647887323943"/>
    <s v="H 01633"/>
    <d v="2025-08-20T00:00:00"/>
    <n v="2025402939"/>
    <s v="Aug"/>
    <n v="2025"/>
  </r>
  <r>
    <n v="589"/>
    <x v="3"/>
    <x v="11"/>
    <s v="Actual"/>
    <x v="8"/>
    <m/>
    <s v="AL-Wajeeh Company"/>
    <s v="Material &amp; Supplies"/>
    <n v="913.2"/>
    <s v="16970-1"/>
    <d v="2025-07-28T00:00:00"/>
    <n v="2025402400"/>
    <s v="Jul"/>
    <n v="2025"/>
  </r>
  <r>
    <n v="590"/>
    <x v="3"/>
    <x v="11"/>
    <s v="Actual"/>
    <x v="8"/>
    <m/>
    <s v="AL-Wajeeh Company"/>
    <s v="Material &amp; Supplies"/>
    <n v="842.66"/>
    <s v="16919"/>
    <d v="2025-07-23T00:00:00"/>
    <n v="2025402403"/>
    <s v="Jul"/>
    <n v="2025"/>
  </r>
  <r>
    <n v="591"/>
    <x v="3"/>
    <x v="11"/>
    <s v="Actual"/>
    <x v="8"/>
    <m/>
    <s v="Fasco LLC FZ"/>
    <s v="Material &amp; Supplies"/>
    <n v="686.39782016348772"/>
    <s v="2025000068"/>
    <d v="2025-07-21T00:00:00"/>
    <n v="2025401403"/>
    <s v="Jul"/>
    <n v="2025"/>
  </r>
  <r>
    <n v="592"/>
    <x v="3"/>
    <x v="11"/>
    <s v="Actual"/>
    <x v="8"/>
    <m/>
    <s v="AL-Wajeeh Company"/>
    <s v="Material &amp; Supplies"/>
    <n v="662.25"/>
    <s v="16791"/>
    <d v="2025-07-23T00:00:00"/>
    <n v="2025402286"/>
    <s v="Jul"/>
    <n v="2025"/>
  </r>
  <r>
    <n v="593"/>
    <x v="3"/>
    <x v="11"/>
    <s v="Actual"/>
    <x v="8"/>
    <m/>
    <s v="BLUE LINE"/>
    <s v="Material &amp; Supplies"/>
    <n v="591.4"/>
    <s v="6224"/>
    <d v="2025-07-07T00:00:00"/>
    <n v="2025402095"/>
    <s v="Jul"/>
    <n v="2025"/>
  </r>
  <r>
    <n v="594"/>
    <x v="3"/>
    <x v="11"/>
    <s v="Actual"/>
    <x v="8"/>
    <m/>
    <s v="ZUMZUM ALFAYHAA INSAAT"/>
    <s v="Material &amp; Supplies"/>
    <n v="560"/>
    <s v="10924"/>
    <d v="2025-08-24T00:00:00"/>
    <n v="2025402694"/>
    <s v="Aug"/>
    <n v="2025"/>
  </r>
  <r>
    <n v="595"/>
    <x v="3"/>
    <x v="11"/>
    <s v="Actual"/>
    <x v="8"/>
    <m/>
    <s v="ZUMZUM ALFAYHAA INSAAT"/>
    <s v="Material &amp; Supplies"/>
    <n v="525"/>
    <s v="11006"/>
    <d v="2025-08-30T00:00:00"/>
    <n v="2025402793"/>
    <s v="Aug"/>
    <n v="2025"/>
  </r>
  <r>
    <n v="596"/>
    <x v="3"/>
    <x v="11"/>
    <s v="Actual"/>
    <x v="8"/>
    <m/>
    <s v="AL-Wajeeh Company"/>
    <s v="Material &amp; Supplies"/>
    <n v="504.81"/>
    <s v="16414"/>
    <d v="2025-08-06T00:00:00"/>
    <n v="2025402537"/>
    <s v="Aug"/>
    <n v="2025"/>
  </r>
  <r>
    <n v="597"/>
    <x v="3"/>
    <x v="11"/>
    <s v="Actual"/>
    <x v="8"/>
    <m/>
    <s v="AL-Wajeeh Company"/>
    <s v="Material &amp; Supplies"/>
    <n v="495"/>
    <s v="16073"/>
    <d v="2025-08-20T00:00:00"/>
    <n v="2024403740"/>
    <s v="Aug"/>
    <n v="2025"/>
  </r>
  <r>
    <n v="598"/>
    <x v="3"/>
    <x v="11"/>
    <s v="Actual"/>
    <x v="8"/>
    <m/>
    <s v="AL-Wajeeh Company"/>
    <s v="Material &amp; Supplies"/>
    <n v="488.88"/>
    <s v="17016"/>
    <d v="2025-08-31T00:00:00"/>
    <n v="2025402847"/>
    <s v="Aug"/>
    <n v="2025"/>
  </r>
  <r>
    <n v="599"/>
    <x v="3"/>
    <x v="11"/>
    <s v="Actual"/>
    <x v="8"/>
    <m/>
    <s v="ZUMZUM ALFAYHAA INSAAT"/>
    <s v="Material &amp; Supplies"/>
    <n v="450"/>
    <s v="10884"/>
    <d v="2025-08-20T00:00:00"/>
    <n v="2025402617"/>
    <s v="Aug"/>
    <n v="2025"/>
  </r>
  <r>
    <n v="600"/>
    <x v="3"/>
    <x v="11"/>
    <s v="Actual"/>
    <x v="8"/>
    <m/>
    <s v="AL-Wajeeh Company"/>
    <s v="Material &amp; Supplies"/>
    <n v="399.23"/>
    <s v="16829"/>
    <d v="2025-08-31T00:00:00"/>
    <n v="2025402826"/>
    <s v="Aug"/>
    <n v="2025"/>
  </r>
  <r>
    <n v="601"/>
    <x v="3"/>
    <x v="11"/>
    <s v="Actual"/>
    <x v="8"/>
    <m/>
    <s v="ZUMZUM ALFAYHAA INSAAT"/>
    <s v="Material &amp; Supplies"/>
    <n v="390"/>
    <s v="10920"/>
    <d v="2025-08-24T00:00:00"/>
    <n v="2025402676"/>
    <s v="Aug"/>
    <n v="2025"/>
  </r>
  <r>
    <n v="602"/>
    <x v="3"/>
    <x v="11"/>
    <s v="Actual"/>
    <x v="8"/>
    <m/>
    <s v="BLUE LINE"/>
    <s v="Material &amp; Supplies"/>
    <n v="379.84"/>
    <s v="6334"/>
    <d v="2025-08-19T00:00:00"/>
    <n v="2025402696"/>
    <s v="Aug"/>
    <n v="2025"/>
  </r>
  <r>
    <n v="603"/>
    <x v="3"/>
    <x v="11"/>
    <s v="Actual"/>
    <x v="8"/>
    <m/>
    <s v="AL-Wajeeh Company"/>
    <s v="Material &amp; Supplies"/>
    <n v="360"/>
    <s v="16846"/>
    <d v="2025-07-27T00:00:00"/>
    <n v="2025402377"/>
    <s v="Jul"/>
    <n v="2025"/>
  </r>
  <r>
    <n v="604"/>
    <x v="3"/>
    <x v="11"/>
    <s v="Actual"/>
    <x v="8"/>
    <m/>
    <s v="AL-Wajeeh Company"/>
    <s v="Material &amp; Supplies"/>
    <n v="322.8"/>
    <s v="16876"/>
    <d v="2025-07-23T00:00:00"/>
    <n v="2025402371"/>
    <s v="Jul"/>
    <n v="2025"/>
  </r>
  <r>
    <n v="605"/>
    <x v="3"/>
    <x v="11"/>
    <s v="Actual"/>
    <x v="8"/>
    <m/>
    <s v="AL-Wajeeh Company"/>
    <s v="Material &amp; Supplies"/>
    <n v="295.8"/>
    <s v="16415"/>
    <d v="2025-08-04T00:00:00"/>
    <n v="2025402536"/>
    <s v="Aug"/>
    <n v="2025"/>
  </r>
  <r>
    <n v="606"/>
    <x v="3"/>
    <x v="11"/>
    <s v="Actual"/>
    <x v="8"/>
    <m/>
    <s v="AL-Wajeeh Company"/>
    <s v="Material &amp; Supplies"/>
    <n v="289.04000000000002"/>
    <s v="16958"/>
    <d v="2025-07-30T00:00:00"/>
    <n v="2025402504"/>
    <s v="Jul"/>
    <n v="2025"/>
  </r>
  <r>
    <n v="607"/>
    <x v="3"/>
    <x v="11"/>
    <s v="Actual"/>
    <x v="8"/>
    <m/>
    <s v="BLUE LINE"/>
    <s v="Material &amp; Supplies"/>
    <n v="267.01"/>
    <s v="6186"/>
    <d v="2025-07-12T00:00:00"/>
    <n v="2025402186"/>
    <s v="Jul"/>
    <n v="2025"/>
  </r>
  <r>
    <n v="608"/>
    <x v="3"/>
    <x v="11"/>
    <s v="Actual"/>
    <x v="8"/>
    <m/>
    <s v="AL-Wajeeh Company"/>
    <s v="Material &amp; Supplies"/>
    <n v="240.75"/>
    <s v="16621"/>
    <d v="2025-08-31T00:00:00"/>
    <n v="2025402833"/>
    <s v="Aug"/>
    <n v="2025"/>
  </r>
  <r>
    <n v="609"/>
    <x v="3"/>
    <x v="11"/>
    <s v="Actual"/>
    <x v="8"/>
    <m/>
    <s v="BLUE LINE"/>
    <s v="Material &amp; Supplies"/>
    <n v="231.42"/>
    <s v="6271"/>
    <d v="2025-08-19T00:00:00"/>
    <n v="2025402693"/>
    <s v="Aug"/>
    <n v="2025"/>
  </r>
  <r>
    <n v="610"/>
    <x v="3"/>
    <x v="11"/>
    <s v="Actual"/>
    <x v="8"/>
    <m/>
    <s v="ZUMZUM ALFAYHAA INSAAT"/>
    <s v="Material &amp; Supplies"/>
    <n v="224"/>
    <s v="10484"/>
    <d v="2025-07-12T00:00:00"/>
    <n v="2025402166"/>
    <s v="Jul"/>
    <n v="2025"/>
  </r>
  <r>
    <n v="611"/>
    <x v="3"/>
    <x v="11"/>
    <s v="Actual"/>
    <x v="8"/>
    <m/>
    <s v="ZUMZUM ALFAYHAA INSAAT"/>
    <s v="Material &amp; Supplies"/>
    <n v="205"/>
    <s v="10412"/>
    <d v="2025-07-08T00:00:00"/>
    <n v="2025402053"/>
    <s v="Jul"/>
    <n v="2025"/>
  </r>
  <r>
    <n v="612"/>
    <x v="3"/>
    <x v="11"/>
    <s v="Actual"/>
    <x v="8"/>
    <m/>
    <s v="ZUMZUM ALFAYHAA INSAAT"/>
    <s v="Material &amp; Supplies"/>
    <n v="170"/>
    <s v="11134"/>
    <d v="2025-09-02T00:00:00"/>
    <n v="2025402946"/>
    <s v="Aug"/>
    <n v="2025"/>
  </r>
  <r>
    <n v="613"/>
    <x v="3"/>
    <x v="11"/>
    <s v="Actual"/>
    <x v="8"/>
    <m/>
    <s v="AL-Wajeeh Company"/>
    <s v="Material &amp; Supplies"/>
    <n v="142.21"/>
    <s v="17012"/>
    <d v="2025-07-29T00:00:00"/>
    <n v="2025402445"/>
    <s v="Jul"/>
    <n v="2025"/>
  </r>
  <r>
    <n v="614"/>
    <x v="3"/>
    <x v="11"/>
    <s v="Actual"/>
    <x v="8"/>
    <m/>
    <s v="ZUMZUM ALFAYHAA INSAAT"/>
    <s v="Material &amp; Supplies"/>
    <n v="138"/>
    <s v="11014"/>
    <d v="2025-08-30T00:00:00"/>
    <n v="2025402807"/>
    <s v="Aug"/>
    <n v="2025"/>
  </r>
  <r>
    <n v="615"/>
    <x v="3"/>
    <x v="11"/>
    <s v="Actual"/>
    <x v="8"/>
    <m/>
    <s v="ZUMZUM ALFAYHAA INSAAT"/>
    <s v="Material &amp; Supplies"/>
    <n v="135"/>
    <s v="10534"/>
    <d v="2025-07-17T00:00:00"/>
    <n v="2025402158"/>
    <s v="Jul"/>
    <n v="2025"/>
  </r>
  <r>
    <n v="616"/>
    <x v="3"/>
    <x v="11"/>
    <s v="Actual"/>
    <x v="8"/>
    <m/>
    <s v="AL-Wajeeh Company"/>
    <s v="Material &amp; Supplies"/>
    <n v="117.69"/>
    <s v="16901"/>
    <d v="2025-07-23T00:00:00"/>
    <n v="2025402375"/>
    <s v="Jul"/>
    <n v="2025"/>
  </r>
  <r>
    <n v="617"/>
    <x v="3"/>
    <x v="11"/>
    <s v="Actual"/>
    <x v="8"/>
    <m/>
    <s v="AL-Wajeeh Company"/>
    <s v="Material &amp; Supplies"/>
    <n v="106.43"/>
    <s v="17015"/>
    <d v="2025-08-30T00:00:00"/>
    <n v="2025402837"/>
    <s v="Aug"/>
    <n v="2025"/>
  </r>
  <r>
    <n v="618"/>
    <x v="3"/>
    <x v="11"/>
    <s v="Actual"/>
    <x v="8"/>
    <m/>
    <s v="Al-Ghadeer Print"/>
    <s v="Material &amp; Supplies"/>
    <n v="105.63380281690141"/>
    <s v="0069"/>
    <d v="2025-08-18T00:00:00"/>
    <n v="2025402921"/>
    <s v="Aug"/>
    <n v="2025"/>
  </r>
  <r>
    <n v="619"/>
    <x v="3"/>
    <x v="11"/>
    <s v="Actual"/>
    <x v="8"/>
    <m/>
    <s v="AL-Wajeeh Company"/>
    <s v="Material &amp; Supplies"/>
    <n v="98.8"/>
    <s v="16844"/>
    <d v="2025-08-05T00:00:00"/>
    <n v="2025402517"/>
    <s v="Aug"/>
    <n v="2025"/>
  </r>
  <r>
    <n v="620"/>
    <x v="3"/>
    <x v="11"/>
    <s v="Actual"/>
    <x v="8"/>
    <m/>
    <s v="ZUMZUM ALFAYHAA INSAAT"/>
    <s v="Material &amp; Supplies"/>
    <n v="97"/>
    <s v="10918"/>
    <d v="2025-08-24T00:00:00"/>
    <n v="2025402690"/>
    <s v="Aug"/>
    <n v="2025"/>
  </r>
  <r>
    <n v="621"/>
    <x v="3"/>
    <x v="11"/>
    <s v="Actual"/>
    <x v="8"/>
    <m/>
    <s v="ZUMZUM ALFAYHAA INSAAT"/>
    <s v="Material &amp; Supplies"/>
    <n v="90"/>
    <s v="10504"/>
    <d v="2025-07-10T00:00:00"/>
    <n v="2025402150"/>
    <s v="Jul"/>
    <n v="2025"/>
  </r>
  <r>
    <n v="622"/>
    <x v="3"/>
    <x v="11"/>
    <s v="Actual"/>
    <x v="8"/>
    <m/>
    <s v="ZUMZUM ALFAYHAA INSAAT"/>
    <s v="Material &amp; Supplies"/>
    <n v="70"/>
    <s v="10928"/>
    <d v="2025-08-24T00:00:00"/>
    <n v="2025402692"/>
    <s v="Aug"/>
    <n v="2025"/>
  </r>
  <r>
    <n v="623"/>
    <x v="3"/>
    <x v="11"/>
    <s v="Actual"/>
    <x v="8"/>
    <m/>
    <s v="BLUE LINE"/>
    <s v="Material &amp; Supplies"/>
    <n v="63.45"/>
    <s v="6248"/>
    <d v="2025-08-18T00:00:00"/>
    <n v="2025402621"/>
    <s v="Aug"/>
    <n v="2025"/>
  </r>
  <r>
    <n v="624"/>
    <x v="3"/>
    <x v="11"/>
    <s v="Actual"/>
    <x v="8"/>
    <m/>
    <s v="BLUE LINE"/>
    <s v="Material &amp; Supplies"/>
    <n v="53.03"/>
    <s v="6290"/>
    <d v="2025-08-03T00:00:00"/>
    <n v="2025402543"/>
    <s v="Aug"/>
    <n v="2025"/>
  </r>
  <r>
    <n v="625"/>
    <x v="3"/>
    <x v="11"/>
    <s v="Actual"/>
    <x v="8"/>
    <m/>
    <s v="AL-Wajeeh Company"/>
    <s v="Material &amp; Supplies"/>
    <n v="50.7"/>
    <s v="16585"/>
    <d v="2025-08-31T00:00:00"/>
    <n v="2025402834"/>
    <s v="Aug"/>
    <n v="2025"/>
  </r>
  <r>
    <n v="626"/>
    <x v="3"/>
    <x v="11"/>
    <s v="Actual"/>
    <x v="8"/>
    <m/>
    <s v="AL-Wajeeh Company"/>
    <s v="Material &amp; Supplies"/>
    <n v="43.8"/>
    <s v="16796"/>
    <d v="2025-08-07T00:00:00"/>
    <n v="2025402522"/>
    <s v="Aug"/>
    <n v="2025"/>
  </r>
  <r>
    <n v="627"/>
    <x v="3"/>
    <x v="24"/>
    <s v="Actual"/>
    <x v="8"/>
    <m/>
    <s v="Petty Cash"/>
    <s v="Petty cash for OHTL"/>
    <n v="1426.056338028169"/>
    <s v="##"/>
    <d v="2025-08-18T00:00:00"/>
    <s v="N/A"/>
    <s v="Aug"/>
    <n v="2025"/>
  </r>
  <r>
    <n v="628"/>
    <x v="3"/>
    <x v="24"/>
    <s v="Actual"/>
    <x v="8"/>
    <m/>
    <s v="Petty Cash"/>
    <s v="Food &amp; Meal for OHTL"/>
    <n v="1398.943661971831"/>
    <s v="##"/>
    <d v="2025-07-20T00:00:00"/>
    <s v="N/A"/>
    <s v="Jul"/>
    <n v="2025"/>
  </r>
  <r>
    <n v="629"/>
    <x v="3"/>
    <x v="24"/>
    <s v="Actual"/>
    <x v="8"/>
    <m/>
    <s v="ZUMZUM ALFAYHAA INSAAT"/>
    <s v="Material &amp; Supplies"/>
    <n v="1224.8"/>
    <s v="10552"/>
    <d v="2025-07-17T00:00:00"/>
    <n v="2025402245"/>
    <s v="Jul"/>
    <n v="2025"/>
  </r>
  <r>
    <n v="630"/>
    <x v="3"/>
    <x v="24"/>
    <s v="Actual"/>
    <x v="8"/>
    <m/>
    <s v="Petty Cash"/>
    <s v="Petty cash for OHTL"/>
    <n v="772.00704225352115"/>
    <s v="##"/>
    <d v="2025-09-07T00:00:00"/>
    <s v="N/A"/>
    <s v="Jul"/>
    <n v="2025"/>
  </r>
  <r>
    <n v="631"/>
    <x v="3"/>
    <x v="24"/>
    <s v="Actual"/>
    <x v="8"/>
    <m/>
    <s v="AL-Wajeeh Company"/>
    <s v="Material &amp; Supplies"/>
    <n v="730"/>
    <s v="16747"/>
    <d v="2025-07-24T00:00:00"/>
    <n v="2025402405"/>
    <s v="Jul"/>
    <n v="2025"/>
  </r>
  <r>
    <n v="632"/>
    <x v="3"/>
    <x v="24"/>
    <s v="Actual"/>
    <x v="8"/>
    <m/>
    <s v="Petty Cash"/>
    <s v="Petty cash forOHTL"/>
    <n v="641.02112676056333"/>
    <s v="##"/>
    <d v="2025-08-25T00:00:00"/>
    <s v="N/A"/>
    <s v="Aug"/>
    <n v="2025"/>
  </r>
  <r>
    <n v="633"/>
    <x v="3"/>
    <x v="24"/>
    <s v="Actual"/>
    <x v="8"/>
    <m/>
    <s v="AL-Wajeeh Company"/>
    <s v="Material &amp; Supplies"/>
    <n v="166.5"/>
    <s v="17000"/>
    <d v="2025-08-06T00:00:00"/>
    <n v="2025402583"/>
    <s v="Aug"/>
    <n v="2025"/>
  </r>
  <r>
    <n v="634"/>
    <x v="8"/>
    <x v="19"/>
    <s v="Actual"/>
    <x v="8"/>
    <m/>
    <s v="Fasco LLC FZ"/>
    <s v="Material &amp; Supplies"/>
    <n v="31105.381471389646"/>
    <s v="IN 2025000075"/>
    <d v="2025-08-24T00:00:00"/>
    <s v="2025403317"/>
    <s v="Aug"/>
    <n v="2025"/>
  </r>
  <r>
    <n v="635"/>
    <x v="8"/>
    <x v="19"/>
    <s v="Actual"/>
    <x v="8"/>
    <m/>
    <s v="AL MUSTAFA INDUSTRIAL IRON TRADING"/>
    <s v="Materials/IRON"/>
    <n v="22203"/>
    <s v="320"/>
    <d v="2025-08-30T00:00:00"/>
    <n v="2025402876"/>
    <s v="Aug"/>
    <n v="2025"/>
  </r>
  <r>
    <n v="636"/>
    <x v="8"/>
    <x v="19"/>
    <s v="Actual"/>
    <x v="8"/>
    <m/>
    <s v="Khan Alhadded Company"/>
    <s v="Materials/IRON"/>
    <n v="17832"/>
    <s v="0871"/>
    <d v="2025-07-15T00:00:00"/>
    <n v="2025402575"/>
    <s v="Jul"/>
    <n v="2025"/>
  </r>
  <r>
    <n v="637"/>
    <x v="8"/>
    <x v="19"/>
    <s v="Actual"/>
    <x v="8"/>
    <m/>
    <s v="Khan Alhadded Company"/>
    <s v="Materials/IRON"/>
    <n v="14962"/>
    <s v="0868"/>
    <d v="2025-07-10T00:00:00"/>
    <n v="2025402485"/>
    <s v="Jul"/>
    <n v="2025"/>
  </r>
  <r>
    <n v="638"/>
    <x v="8"/>
    <x v="19"/>
    <s v="Actual"/>
    <x v="8"/>
    <m/>
    <s v="Khan Alhadded Company"/>
    <s v="Materials/IRON"/>
    <n v="13466"/>
    <s v="0886"/>
    <d v="2025-07-10T00:00:00"/>
    <n v="2025403860"/>
    <s v="Jul"/>
    <n v="2025"/>
  </r>
  <r>
    <n v="639"/>
    <x v="8"/>
    <x v="19"/>
    <s v="Actual"/>
    <x v="8"/>
    <m/>
    <s v="AL MUSTAFA INDUSTRIAL IRON TRADING"/>
    <s v="Materials/IRON"/>
    <n v="12848.1"/>
    <s v="274"/>
    <d v="2025-07-24T00:00:00"/>
    <n v="2025402417"/>
    <s v="Jul"/>
    <n v="2025"/>
  </r>
  <r>
    <n v="640"/>
    <x v="8"/>
    <x v="19"/>
    <s v="Actual"/>
    <x v="8"/>
    <m/>
    <s v="Advance Welding Solutions Co"/>
    <s v="Materials/wire"/>
    <n v="11267.605633802817"/>
    <s v="02339"/>
    <d v="2025-07-26T00:00:00"/>
    <n v="2025402884"/>
    <s v="Aug"/>
    <n v="2025"/>
  </r>
  <r>
    <n v="641"/>
    <x v="8"/>
    <x v="19"/>
    <s v="Actual"/>
    <x v="8"/>
    <m/>
    <s v="Al Jaber Company General Construction Services"/>
    <s v="Materials/Concrete"/>
    <n v="9142.5"/>
    <s v="01082025-IGCC-001"/>
    <d v="2025-08-01T00:00:00"/>
    <n v="2025403223"/>
    <s v="Jul"/>
    <n v="2025"/>
  </r>
  <r>
    <n v="642"/>
    <x v="8"/>
    <x v="19"/>
    <s v="Actual"/>
    <x v="8"/>
    <m/>
    <s v="Rabea Al Shamary / Hadeer"/>
    <s v="Material &amp; Supplies"/>
    <n v="9000"/>
    <s v="#"/>
    <d v="2025-07-31T00:00:00"/>
    <n v="2025402452"/>
    <s v="Jul"/>
    <n v="2025"/>
  </r>
  <r>
    <n v="643"/>
    <x v="8"/>
    <x v="19"/>
    <s v="Actual"/>
    <x v="8"/>
    <m/>
    <s v="BLUE LINE"/>
    <s v="Material &amp; Supplies"/>
    <n v="5680"/>
    <s v="6307"/>
    <d v="2025-08-03T00:00:00"/>
    <n v="2025402459"/>
    <s v="Aug"/>
    <n v="2025"/>
  </r>
  <r>
    <n v="644"/>
    <x v="8"/>
    <x v="19"/>
    <s v="Actual"/>
    <x v="8"/>
    <m/>
    <s v="AL-Abrag workshop"/>
    <s v="Material &amp; Supplies"/>
    <n v="5633.8028169014087"/>
    <s v="0471"/>
    <d v="2025-07-12T00:00:00"/>
    <n v="2025402406"/>
    <s v="Jul"/>
    <n v="2025"/>
  </r>
  <r>
    <n v="645"/>
    <x v="8"/>
    <x v="19"/>
    <s v="Actual"/>
    <x v="8"/>
    <m/>
    <s v="Mayadeen Factory for kitchens &amp; furniture"/>
    <s v="Material &amp; Supplies"/>
    <n v="4929.577464788732"/>
    <s v="00105"/>
    <d v="2025-08-10T00:00:00"/>
    <n v="2025403154"/>
    <s v="Aug"/>
    <n v="2025"/>
  </r>
  <r>
    <n v="646"/>
    <x v="8"/>
    <x v="19"/>
    <s v="Actual"/>
    <x v="8"/>
    <m/>
    <s v="Al Jaber Company General Construction Services"/>
    <s v="Materials/Concrete"/>
    <n v="4800"/>
    <s v="01082025-IGCC-001"/>
    <d v="2025-08-01T00:00:00"/>
    <n v="2025403223"/>
    <s v="Jul"/>
    <n v="2025"/>
  </r>
  <r>
    <n v="647"/>
    <x v="8"/>
    <x v="19"/>
    <s v="Actual"/>
    <x v="8"/>
    <m/>
    <s v="ZUMZUM ALFAYHAA INSAAT"/>
    <s v="Material &amp; Supplies"/>
    <n v="4074.8"/>
    <s v="10788"/>
    <d v="2025-09-13T00:00:00"/>
    <n v="2025402413"/>
    <s v="Jul"/>
    <n v="2025"/>
  </r>
  <r>
    <n v="648"/>
    <x v="8"/>
    <x v="19"/>
    <s v="Actual"/>
    <x v="8"/>
    <m/>
    <s v="BLUE LINE"/>
    <s v="Material &amp; Supplies"/>
    <n v="3771.45"/>
    <s v="6351"/>
    <d v="2025-08-20T00:00:00"/>
    <n v="2025402720"/>
    <s v="Aug"/>
    <n v="2025"/>
  </r>
  <r>
    <n v="649"/>
    <x v="8"/>
    <x v="19"/>
    <s v="Actual"/>
    <x v="8"/>
    <m/>
    <s v="AL-Wajeeh Company"/>
    <s v="Material &amp; Supplies"/>
    <n v="3768.7"/>
    <s v="16937"/>
    <d v="2025-07-20T00:00:00"/>
    <n v="2025402185"/>
    <s v="Jul"/>
    <n v="2025"/>
  </r>
  <r>
    <n v="650"/>
    <x v="8"/>
    <x v="19"/>
    <s v="Actual"/>
    <x v="8"/>
    <m/>
    <s v="Mohammed Abdulraheem Office"/>
    <s v="Material &amp; Supplies"/>
    <n v="3626.7605633802818"/>
    <s v="000427"/>
    <d v="2025-07-13T00:00:00"/>
    <n v="2025402513"/>
    <s v="Jul"/>
    <n v="2025"/>
  </r>
  <r>
    <n v="651"/>
    <x v="8"/>
    <x v="19"/>
    <s v="Actual"/>
    <x v="8"/>
    <m/>
    <s v="ZUMZUM ALFAYHAA INSAAT"/>
    <s v="Material &amp; Supplies"/>
    <n v="3230"/>
    <s v="10992"/>
    <d v="2025-08-26T00:00:00"/>
    <n v="2025402764"/>
    <s v="Aug"/>
    <n v="2025"/>
  </r>
  <r>
    <n v="652"/>
    <x v="8"/>
    <x v="19"/>
    <s v="Actual"/>
    <x v="8"/>
    <m/>
    <s v="Mayadeen Factory for kitchens &amp; furniture"/>
    <s v="Material &amp; Supplies"/>
    <n v="2957.7464788732395"/>
    <s v="00112"/>
    <d v="2025-08-10T00:00:00"/>
    <n v="2025403153"/>
    <s v="Aug"/>
    <n v="2025"/>
  </r>
  <r>
    <n v="653"/>
    <x v="8"/>
    <x v="19"/>
    <s v="Actual"/>
    <x v="8"/>
    <m/>
    <s v="ZUMZUM ALFAYHAA INSAAT"/>
    <s v="Material &amp; Supplies"/>
    <n v="2835"/>
    <s v="10652"/>
    <d v="2025-07-29T00:00:00"/>
    <n v="2025402361"/>
    <s v="Jul"/>
    <n v="2025"/>
  </r>
  <r>
    <n v="654"/>
    <x v="8"/>
    <x v="19"/>
    <s v="Actual"/>
    <x v="8"/>
    <m/>
    <s v="ZUMZUM ALFAYHAA INSAAT"/>
    <s v="Material &amp; Supplies"/>
    <n v="2819"/>
    <s v="12184"/>
    <d v="2025-11-15T00:00:00"/>
    <n v="2025404167"/>
    <s v="Aug"/>
    <n v="2025"/>
  </r>
  <r>
    <n v="655"/>
    <x v="8"/>
    <x v="19"/>
    <s v="Actual"/>
    <x v="8"/>
    <m/>
    <s v="Mohammed Abdulraheem Office"/>
    <s v="Material &amp; Supplies"/>
    <n v="2746.4788732394368"/>
    <s v="000215"/>
    <d v="2025-08-04T00:00:00"/>
    <n v="2025402731"/>
    <s v="Aug"/>
    <n v="2025"/>
  </r>
  <r>
    <n v="656"/>
    <x v="8"/>
    <x v="19"/>
    <s v="Actual"/>
    <x v="8"/>
    <m/>
    <s v="AL-Wajeeh Company"/>
    <s v="Material &amp; Supplies"/>
    <n v="2608.8000000000002"/>
    <s v="16864-1"/>
    <d v="2025-07-01T00:00:00"/>
    <n v="2025401999"/>
    <s v="Jul"/>
    <n v="2025"/>
  </r>
  <r>
    <n v="657"/>
    <x v="8"/>
    <x v="19"/>
    <s v="Actual"/>
    <x v="8"/>
    <m/>
    <s v="AL-Wajeeh Company"/>
    <s v="Material &amp; Supplies"/>
    <n v="2585.6"/>
    <s v="16794"/>
    <d v="2025-07-08T00:00:00"/>
    <n v="2025401996"/>
    <s v="Jul"/>
    <n v="2025"/>
  </r>
  <r>
    <n v="658"/>
    <x v="8"/>
    <x v="19"/>
    <s v="Actual"/>
    <x v="8"/>
    <m/>
    <s v="Khan Alhadded Company"/>
    <s v="Materials/IRON"/>
    <n v="2450"/>
    <s v="0875"/>
    <d v="2025-07-12T00:00:00"/>
    <n v="2025402455"/>
    <s v="Jul"/>
    <n v="2025"/>
  </r>
  <r>
    <n v="659"/>
    <x v="8"/>
    <x v="19"/>
    <s v="Actual"/>
    <x v="8"/>
    <m/>
    <s v="ZUMZUM ALFAYHAA INSAAT"/>
    <s v="Material &amp; Supplies"/>
    <n v="2367.9"/>
    <s v="11016"/>
    <d v="2025-08-28T00:00:00"/>
    <n v="2025402716"/>
    <s v="Aug"/>
    <n v="2025"/>
  </r>
  <r>
    <n v="660"/>
    <x v="8"/>
    <x v="19"/>
    <s v="Actual"/>
    <x v="8"/>
    <m/>
    <s v="AL-Wajeeh Company"/>
    <s v="Material &amp; Supplies"/>
    <n v="2320"/>
    <s v="16960"/>
    <d v="2025-07-30T00:00:00"/>
    <n v="2025402474"/>
    <s v="Jul"/>
    <n v="2025"/>
  </r>
  <r>
    <n v="661"/>
    <x v="8"/>
    <x v="19"/>
    <s v="Actual"/>
    <x v="8"/>
    <m/>
    <s v="BLUE LINE"/>
    <s v="Material &amp; Supplies"/>
    <n v="2313"/>
    <s v="6277"/>
    <d v="2025-07-29T00:00:00"/>
    <n v="2025402457"/>
    <s v="Jul"/>
    <n v="2025"/>
  </r>
  <r>
    <n v="662"/>
    <x v="8"/>
    <x v="19"/>
    <s v="Actual"/>
    <x v="8"/>
    <m/>
    <s v="ZUMZUM ALFAYHAA INSAAT"/>
    <s v="Material &amp; Supplies"/>
    <n v="2282.4"/>
    <s v="10980"/>
    <d v="2025-08-26T00:00:00"/>
    <n v="2025402763"/>
    <s v="Aug"/>
    <n v="2025"/>
  </r>
  <r>
    <n v="663"/>
    <x v="8"/>
    <x v="19"/>
    <s v="Actual"/>
    <x v="8"/>
    <m/>
    <s v="Al-qanaat Altijaria shops"/>
    <s v="Material &amp; Supplies"/>
    <n v="2274.6478873239435"/>
    <s v="1746"/>
    <d v="2025-07-24T00:00:00"/>
    <n v="2025403745"/>
    <s v="Jul"/>
    <n v="2025"/>
  </r>
  <r>
    <n v="664"/>
    <x v="8"/>
    <x v="19"/>
    <s v="Actual"/>
    <x v="8"/>
    <m/>
    <s v="AL-Wajeeh Company"/>
    <s v="Material &amp; Supplies"/>
    <n v="2215.4"/>
    <s v="16845"/>
    <d v="2025-07-07T00:00:00"/>
    <n v="2025401994"/>
    <s v="Jul"/>
    <n v="2025"/>
  </r>
  <r>
    <n v="665"/>
    <x v="8"/>
    <x v="19"/>
    <s v="Actual"/>
    <x v="8"/>
    <m/>
    <s v="AL-Wajeeh Company"/>
    <s v="Material &amp; Supplies"/>
    <n v="2215.4"/>
    <s v="16838-1"/>
    <d v="2025-07-08T00:00:00"/>
    <n v="2025402026"/>
    <s v="Jul"/>
    <n v="2025"/>
  </r>
  <r>
    <n v="666"/>
    <x v="8"/>
    <x v="19"/>
    <s v="Actual"/>
    <x v="8"/>
    <m/>
    <s v="Al-Faihaa Company"/>
    <s v="Material &amp; Supplies"/>
    <n v="2112.676056338028"/>
    <s v="000062"/>
    <d v="2025-07-29T00:00:00"/>
    <n v="2025402745"/>
    <s v="Jul"/>
    <n v="2025"/>
  </r>
  <r>
    <n v="667"/>
    <x v="8"/>
    <x v="19"/>
    <s v="Actual"/>
    <x v="8"/>
    <m/>
    <s v="AL MUSTAFA INDUSTRIAL IRON TRADING"/>
    <s v="Materials/IRON"/>
    <n v="2088"/>
    <s v="288"/>
    <d v="2025-08-10T00:00:00"/>
    <n v="2025402572"/>
    <s v="Aug"/>
    <n v="2025"/>
  </r>
  <r>
    <n v="668"/>
    <x v="8"/>
    <x v="19"/>
    <s v="Actual"/>
    <x v="8"/>
    <m/>
    <s v="ZUMZUM ALFAYHAA INSAAT"/>
    <s v="Material &amp; Supplies"/>
    <n v="2004"/>
    <s v="10698"/>
    <d v="2025-08-06T00:00:00"/>
    <n v="2025402451"/>
    <s v="Aug"/>
    <n v="2025"/>
  </r>
  <r>
    <n v="669"/>
    <x v="8"/>
    <x v="19"/>
    <s v="Actual"/>
    <x v="8"/>
    <m/>
    <s v="AL MUSTAFA INDUSTRIAL IRON TRADING"/>
    <s v="Materials/IRON"/>
    <n v="1928"/>
    <s v="292"/>
    <d v="2025-08-07T00:00:00"/>
    <n v="2025402598"/>
    <s v="Aug"/>
    <n v="2025"/>
  </r>
  <r>
    <n v="670"/>
    <x v="8"/>
    <x v="19"/>
    <s v="Actual"/>
    <x v="8"/>
    <m/>
    <s v="RAYAT AL-SHARQ COMPANY For Inspection Services"/>
    <s v="Material &amp; Supplies"/>
    <n v="1800"/>
    <s v="1673"/>
    <d v="2025-07-19T00:00:00"/>
    <n v="2025402206"/>
    <s v="Jul"/>
    <n v="2025"/>
  </r>
  <r>
    <n v="671"/>
    <x v="8"/>
    <x v="19"/>
    <s v="Actual"/>
    <x v="8"/>
    <m/>
    <s v="AL-Wajeeh Company"/>
    <s v="Material &amp; Supplies"/>
    <n v="1701.8"/>
    <s v="16822"/>
    <d v="2025-07-08T00:00:00"/>
    <n v="2025402012"/>
    <s v="Jul"/>
    <n v="2025"/>
  </r>
  <r>
    <n v="672"/>
    <x v="8"/>
    <x v="19"/>
    <s v="Actual"/>
    <x v="8"/>
    <m/>
    <s v="AL MUSTAFA INDUSTRIAL IRON TRADING"/>
    <s v="Materials/IRON"/>
    <n v="1670.4"/>
    <s v="314"/>
    <d v="2025-08-23T00:00:00"/>
    <n v="2025402778"/>
    <s v="Aug"/>
    <n v="2025"/>
  </r>
  <r>
    <n v="673"/>
    <x v="8"/>
    <x v="19"/>
    <s v="Actual"/>
    <x v="8"/>
    <m/>
    <s v="Khan Alhadded Company"/>
    <s v="Materials/IRON"/>
    <n v="1650"/>
    <s v="0873"/>
    <d v="2025-07-15T00:00:00"/>
    <n v="2025402456"/>
    <s v="Jul"/>
    <n v="2025"/>
  </r>
  <r>
    <n v="674"/>
    <x v="8"/>
    <x v="19"/>
    <s v="Actual"/>
    <x v="8"/>
    <m/>
    <s v="AL-Wajeeh Company"/>
    <s v="Material &amp; Supplies"/>
    <n v="1555.44"/>
    <s v="17027"/>
    <d v="2025-08-06T00:00:00"/>
    <n v="2025402506"/>
    <s v="Aug"/>
    <n v="2025"/>
  </r>
  <r>
    <n v="675"/>
    <x v="8"/>
    <x v="19"/>
    <s v="Actual"/>
    <x v="8"/>
    <m/>
    <s v="Al-Karar Gallery for Wood &amp; MDF"/>
    <s v="Materials/Wood"/>
    <n v="1433.0985915492959"/>
    <s v="0816"/>
    <d v="2025-07-10T00:00:00"/>
    <n v="2025402330"/>
    <s v="Jul"/>
    <n v="2025"/>
  </r>
  <r>
    <n v="676"/>
    <x v="8"/>
    <x v="19"/>
    <s v="Actual"/>
    <x v="8"/>
    <m/>
    <s v="Al-Karar Gallery for Wood &amp; MDF"/>
    <s v="Materials/Wood"/>
    <n v="1328.8732394366198"/>
    <s v="0817"/>
    <d v="2025-07-10T00:00:00"/>
    <n v="2025402331"/>
    <s v="Jul"/>
    <n v="2025"/>
  </r>
  <r>
    <n v="677"/>
    <x v="8"/>
    <x v="19"/>
    <s v="Actual"/>
    <x v="8"/>
    <m/>
    <s v="AL-Wajeeh Company"/>
    <s v="Material &amp; Supplies"/>
    <n v="1275.42"/>
    <s v="16967"/>
    <d v="2025-08-28T00:00:00"/>
    <n v="2025402852"/>
    <s v="Aug"/>
    <n v="2025"/>
  </r>
  <r>
    <n v="678"/>
    <x v="8"/>
    <x v="19"/>
    <s v="Actual"/>
    <x v="8"/>
    <m/>
    <s v="ZUMZUM ALFAYHAA INSAAT"/>
    <s v="Material &amp; Supplies"/>
    <n v="1160.7"/>
    <s v="10672"/>
    <d v="2025-08-03T00:00:00"/>
    <n v="2025402430"/>
    <s v="Aug"/>
    <n v="2025"/>
  </r>
  <r>
    <n v="679"/>
    <x v="8"/>
    <x v="19"/>
    <s v="Actual"/>
    <x v="8"/>
    <m/>
    <s v="AL MUSTAFA INDUSTRIAL IRON TRADING"/>
    <s v="Materials/IRON"/>
    <n v="1156.8"/>
    <s v="298"/>
    <d v="2025-08-20T00:00:00"/>
    <n v="2025402722"/>
    <s v="Aug"/>
    <n v="2025"/>
  </r>
  <r>
    <n v="680"/>
    <x v="8"/>
    <x v="19"/>
    <s v="Actual"/>
    <x v="8"/>
    <m/>
    <s v="ZUMZUM ALFAYHAA INSAAT"/>
    <s v="Material &amp; Supplies"/>
    <n v="1152"/>
    <s v="10946"/>
    <d v="2025-08-24T00:00:00"/>
    <n v="2025402750"/>
    <s v="Aug"/>
    <n v="2025"/>
  </r>
  <r>
    <n v="681"/>
    <x v="8"/>
    <x v="19"/>
    <s v="Actual"/>
    <x v="8"/>
    <m/>
    <s v="BLUE LINE"/>
    <s v="Material &amp; Supplies"/>
    <n v="1040"/>
    <s v="6315"/>
    <d v="2025-08-16T00:00:00"/>
    <n v="2025402599"/>
    <s v="Aug"/>
    <n v="2025"/>
  </r>
  <r>
    <n v="682"/>
    <x v="8"/>
    <x v="19"/>
    <s v="Actual"/>
    <x v="8"/>
    <m/>
    <s v="ZUMZUM ALFAYHAA INSAAT"/>
    <s v="Material &amp; Supplies"/>
    <n v="880"/>
    <s v="11020"/>
    <d v="2025-08-28T00:00:00"/>
    <n v="2025402714"/>
    <s v="Aug"/>
    <n v="2025"/>
  </r>
  <r>
    <n v="683"/>
    <x v="8"/>
    <x v="19"/>
    <s v="Actual"/>
    <x v="8"/>
    <m/>
    <s v="AL-Wajeeh Company"/>
    <s v="Material &amp; Supplies"/>
    <n v="851.22"/>
    <s v="16966"/>
    <d v="2025-08-03T00:00:00"/>
    <n v="2025402547"/>
    <s v="Aug"/>
    <n v="2025"/>
  </r>
  <r>
    <n v="684"/>
    <x v="8"/>
    <x v="19"/>
    <s v="Actual"/>
    <x v="8"/>
    <m/>
    <s v="ZUMZUM ALFAYHAA INSAAT"/>
    <s v="Material &amp; Supplies"/>
    <n v="800"/>
    <s v="10938"/>
    <d v="2025-08-24T00:00:00"/>
    <n v="2025402734"/>
    <s v="Aug"/>
    <n v="2025"/>
  </r>
  <r>
    <n v="685"/>
    <x v="8"/>
    <x v="19"/>
    <s v="Actual"/>
    <x v="8"/>
    <m/>
    <s v="ZUMZUM ALFAYHAA INSAAT"/>
    <s v="Material &amp; Supplies"/>
    <n v="780"/>
    <s v="10560"/>
    <d v="2025-07-17T00:00:00"/>
    <n v="2025402217"/>
    <s v="Jul"/>
    <n v="2025"/>
  </r>
  <r>
    <n v="686"/>
    <x v="8"/>
    <x v="19"/>
    <s v="Actual"/>
    <x v="8"/>
    <m/>
    <s v="AL-Wajeeh Company"/>
    <s v="Material &amp; Supplies"/>
    <n v="771"/>
    <s v="15957-1"/>
    <d v="2025-08-20T00:00:00"/>
    <n v="2024403736"/>
    <s v="Aug"/>
    <n v="2025"/>
  </r>
  <r>
    <n v="687"/>
    <x v="8"/>
    <x v="19"/>
    <s v="Actual"/>
    <x v="8"/>
    <m/>
    <s v="ZUMZUM ALFAYHAA INSAAT"/>
    <s v="Material &amp; Supplies"/>
    <n v="698.4"/>
    <s v="10618"/>
    <d v="2025-08-03T00:00:00"/>
    <n v="2025402337"/>
    <s v="Aug"/>
    <n v="2025"/>
  </r>
  <r>
    <n v="688"/>
    <x v="8"/>
    <x v="19"/>
    <s v="Actual"/>
    <x v="8"/>
    <m/>
    <s v="AL-Wajeeh Company"/>
    <s v="Material &amp; Supplies"/>
    <n v="693.3"/>
    <s v="16895"/>
    <d v="2025-07-14T00:00:00"/>
    <n v="2025402223"/>
    <s v="Jul"/>
    <n v="2025"/>
  </r>
  <r>
    <n v="689"/>
    <x v="8"/>
    <x v="19"/>
    <s v="Actual"/>
    <x v="8"/>
    <m/>
    <s v="Khan Alhadded Company"/>
    <s v="Materials/IRON"/>
    <n v="654"/>
    <s v="0880"/>
    <d v="2025-07-23T00:00:00"/>
    <n v="2025402510"/>
    <s v="Jul"/>
    <n v="2025"/>
  </r>
  <r>
    <n v="690"/>
    <x v="8"/>
    <x v="19"/>
    <s v="Actual"/>
    <x v="8"/>
    <m/>
    <s v="ZUMZUM ALFAYHAA INSAAT"/>
    <s v="Material &amp; Supplies"/>
    <n v="582.6"/>
    <s v="11018"/>
    <d v="2025-08-30T00:00:00"/>
    <n v="2025402715"/>
    <s v="Aug"/>
    <n v="2025"/>
  </r>
  <r>
    <n v="691"/>
    <x v="8"/>
    <x v="19"/>
    <s v="Actual"/>
    <x v="8"/>
    <m/>
    <s v="ZUMZUM ALFAYHAA INSAAT"/>
    <s v="Material &amp; Supplies"/>
    <n v="468"/>
    <s v="12186"/>
    <d v="2025-11-15T00:00:00"/>
    <n v="2025404169"/>
    <s v="Aug"/>
    <n v="2025"/>
  </r>
  <r>
    <n v="692"/>
    <x v="8"/>
    <x v="19"/>
    <s v="Actual"/>
    <x v="8"/>
    <m/>
    <s v="ZUMZUM ALFAYHAA INSAAT"/>
    <s v="Material &amp; Supplies"/>
    <n v="330"/>
    <s v="12008"/>
    <d v="2025-11-04T00:00:00"/>
    <n v="2025403951"/>
    <s v="Aug"/>
    <n v="2025"/>
  </r>
  <r>
    <n v="693"/>
    <x v="8"/>
    <x v="19"/>
    <s v="Actual"/>
    <x v="8"/>
    <m/>
    <s v="AL-Wajeeh Company"/>
    <s v="Material &amp; Supplies"/>
    <n v="311.11"/>
    <s v="17026"/>
    <d v="2025-08-30T00:00:00"/>
    <n v="2025402853"/>
    <s v="Aug"/>
    <n v="2025"/>
  </r>
  <r>
    <n v="694"/>
    <x v="8"/>
    <x v="19"/>
    <s v="Actual"/>
    <x v="8"/>
    <m/>
    <s v="ZUMZUM ALFAYHAA INSAAT"/>
    <s v="Material &amp; Supplies"/>
    <n v="287.5"/>
    <s v="10984"/>
    <d v="2025-08-26T00:00:00"/>
    <n v="2025402774"/>
    <s v="Aug"/>
    <n v="2025"/>
  </r>
  <r>
    <n v="695"/>
    <x v="8"/>
    <x v="19"/>
    <s v="Actual"/>
    <x v="8"/>
    <m/>
    <s v="AL-Wajeeh Company"/>
    <s v="Material &amp; Supplies"/>
    <n v="280"/>
    <s v="16812"/>
    <d v="2025-07-08T00:00:00"/>
    <n v="2025402064"/>
    <s v="Jul"/>
    <n v="2025"/>
  </r>
  <r>
    <n v="696"/>
    <x v="8"/>
    <x v="19"/>
    <s v="Actual"/>
    <x v="8"/>
    <m/>
    <s v="ZUMZUM ALFAYHAA INSAAT"/>
    <s v="Material &amp; Supplies"/>
    <n v="259.5"/>
    <s v="10764"/>
    <d v="2025-08-04T00:00:00"/>
    <n v="2025402507"/>
    <s v="Aug"/>
    <n v="2025"/>
  </r>
  <r>
    <n v="697"/>
    <x v="8"/>
    <x v="19"/>
    <s v="Actual"/>
    <x v="8"/>
    <m/>
    <s v="Sahba Technnnology"/>
    <s v="Material &amp; Supplies"/>
    <n v="201.40845070422534"/>
    <s v="6420"/>
    <d v="2025-07-12T00:00:00"/>
    <n v="2025402205"/>
    <s v="Jul"/>
    <n v="2025"/>
  </r>
  <r>
    <n v="698"/>
    <x v="8"/>
    <x v="19"/>
    <s v="Actual"/>
    <x v="8"/>
    <m/>
    <s v="BLUE LINE"/>
    <s v="Material &amp; Supplies"/>
    <n v="197.25"/>
    <s v="6296"/>
    <d v="2025-08-18T00:00:00"/>
    <n v="2025402630"/>
    <s v="Aug"/>
    <n v="2025"/>
  </r>
  <r>
    <n v="699"/>
    <x v="8"/>
    <x v="19"/>
    <s v="Actual"/>
    <x v="8"/>
    <m/>
    <s v="BLUE LINE"/>
    <s v="Material &amp; Supplies"/>
    <n v="124.14"/>
    <s v="5969"/>
    <d v="2025-07-29T00:00:00"/>
    <n v="2025402394"/>
    <s v="Jul"/>
    <n v="2025"/>
  </r>
  <r>
    <n v="700"/>
    <x v="8"/>
    <x v="19"/>
    <s v="Actual"/>
    <x v="8"/>
    <m/>
    <s v="AL-Wajeeh Company"/>
    <s v="Material &amp; Supplies"/>
    <n v="116.5"/>
    <s v="15716"/>
    <d v="2025-08-04T00:00:00"/>
    <n v="2025402546"/>
    <s v="Aug"/>
    <n v="2025"/>
  </r>
  <r>
    <n v="701"/>
    <x v="3"/>
    <x v="21"/>
    <s v="Actual"/>
    <x v="8"/>
    <m/>
    <s v="Al-Safi Factory and Um Albanin Gallery"/>
    <s v="Material &amp; Supplies"/>
    <n v="4746.4788732394363"/>
    <s v="0255"/>
    <d v="2025-08-25T00:00:00"/>
    <n v="2025402916"/>
    <s v="Aug"/>
    <n v="2025"/>
  </r>
  <r>
    <n v="702"/>
    <x v="3"/>
    <x v="21"/>
    <s v="Actual"/>
    <x v="8"/>
    <m/>
    <s v="Al-Ghadeer Print"/>
    <s v="Material &amp; Supplies"/>
    <n v="1814.0845070422536"/>
    <s v="0071"/>
    <d v="2025-08-19T00:00:00"/>
    <n v="2025403246"/>
    <s v="Aug"/>
    <n v="2025"/>
  </r>
  <r>
    <n v="703"/>
    <x v="3"/>
    <x v="21"/>
    <s v="Actual"/>
    <x v="8"/>
    <m/>
    <s v="BLUE LINE"/>
    <s v="Material &amp; Supplies"/>
    <n v="1428.44"/>
    <s v="6310"/>
    <d v="2025-08-19T00:00:00"/>
    <n v="2025402478"/>
    <s v="Aug"/>
    <n v="2025"/>
  </r>
  <r>
    <n v="704"/>
    <x v="3"/>
    <x v="21"/>
    <s v="Actual"/>
    <x v="8"/>
    <m/>
    <s v="Remz AL-Kafaa For General Trading"/>
    <s v="Material &amp; Supplies"/>
    <n v="700"/>
    <s v="0377"/>
    <d v="2025-08-23T00:00:00"/>
    <n v="2025402919"/>
    <s v="Aug"/>
    <n v="2025"/>
  </r>
  <r>
    <n v="705"/>
    <x v="3"/>
    <x v="21"/>
    <s v="Actual"/>
    <x v="8"/>
    <m/>
    <s v="Al-Ghadeer Print"/>
    <s v="Material &amp; Supplies"/>
    <n v="490"/>
    <s v="0061"/>
    <d v="2025-07-23T00:00:00"/>
    <n v="2025402560"/>
    <s v="Jul"/>
    <n v="2025"/>
  </r>
  <r>
    <n v="706"/>
    <x v="3"/>
    <x v="21"/>
    <s v="Actual"/>
    <x v="8"/>
    <m/>
    <s v="BLUE LINE"/>
    <s v="Material &amp; Supplies"/>
    <n v="58.9"/>
    <s v="6285"/>
    <d v="2025-08-19T00:00:00"/>
    <n v="2025402645"/>
    <s v="Aug"/>
    <n v="2025"/>
  </r>
  <r>
    <n v="707"/>
    <x v="3"/>
    <x v="21"/>
    <s v="Actual"/>
    <x v="8"/>
    <m/>
    <s v="BLUE LINE"/>
    <s v="Material &amp; Supplies"/>
    <n v="36.4"/>
    <s v="6365"/>
    <d v="2025-11-01T00:00:00"/>
    <n v="2025402927"/>
    <s v="Aug"/>
    <n v="2025"/>
  </r>
  <r>
    <n v="708"/>
    <x v="7"/>
    <x v="33"/>
    <s v="Actual"/>
    <x v="8"/>
    <m/>
    <s v="ZUMZUM ALFAYHAA INSAAT"/>
    <s v="Material &amp; Supplies"/>
    <n v="779.4"/>
    <s v="10900"/>
    <d v="2025-08-20T00:00:00"/>
    <n v="2025402679"/>
    <s v="Aug"/>
    <n v="2025"/>
  </r>
  <r>
    <n v="709"/>
    <x v="7"/>
    <x v="33"/>
    <s v="Actual"/>
    <x v="8"/>
    <m/>
    <s v="ZUMZUM ALFAYHAA INSAAT"/>
    <s v="Material &amp; Supplies"/>
    <n v="280"/>
    <s v="10454"/>
    <d v="2025-07-08T00:00:00"/>
    <n v="2025402142"/>
    <s v="Jul"/>
    <n v="2025"/>
  </r>
  <r>
    <n v="710"/>
    <x v="7"/>
    <x v="33"/>
    <s v="Actual"/>
    <x v="8"/>
    <m/>
    <s v="BLUE LINE"/>
    <s v="Material &amp; Supplies"/>
    <n v="28.8"/>
    <s v="6172"/>
    <d v="2025-07-07T00:00:00"/>
    <n v="2025401872"/>
    <s v="Jul"/>
    <n v="2025"/>
  </r>
  <r>
    <n v="711"/>
    <x v="7"/>
    <x v="34"/>
    <s v="Actual"/>
    <x v="8"/>
    <m/>
    <s v="Al-qanaat Altijaria shops"/>
    <s v="Material &amp; Supplies"/>
    <n v="3653.1690140845071"/>
    <s v="0233"/>
    <d v="2025-07-24T00:00:00"/>
    <n v="2025402220"/>
    <s v="Jul"/>
    <n v="2025"/>
  </r>
  <r>
    <n v="712"/>
    <x v="7"/>
    <x v="34"/>
    <s v="Actual"/>
    <x v="8"/>
    <m/>
    <s v="AL-Wajeeh Company"/>
    <s v="Material &amp; Supplies"/>
    <n v="3266"/>
    <s v="16531"/>
    <d v="2025-08-04T00:00:00"/>
    <n v="2025402502"/>
    <s v="Aug"/>
    <n v="2025"/>
  </r>
  <r>
    <n v="713"/>
    <x v="7"/>
    <x v="34"/>
    <s v="Actual"/>
    <x v="8"/>
    <m/>
    <s v="AL-Wajeeh Company"/>
    <s v="Material &amp; Supplies"/>
    <n v="69"/>
    <s v="16997-1"/>
    <d v="2025-08-30T00:00:00"/>
    <n v="2025402839"/>
    <s v="Aug"/>
    <n v="2025"/>
  </r>
  <r>
    <n v="714"/>
    <x v="7"/>
    <x v="25"/>
    <s v="Actual"/>
    <x v="8"/>
    <m/>
    <s v="BLUE LINE"/>
    <s v="Material &amp; Supplies"/>
    <n v="17.12"/>
    <s v="6297"/>
    <d v="2025-08-19T00:00:00"/>
    <n v="2025402639"/>
    <s v="Aug"/>
    <n v="2025"/>
  </r>
  <r>
    <n v="715"/>
    <x v="4"/>
    <x v="4"/>
    <s v="Actual"/>
    <x v="8"/>
    <m/>
    <s v="AL TAHER ENGINEERING COMPANY"/>
    <s v="Materials/Concrete"/>
    <n v="94190.74327973742"/>
    <s v="338"/>
    <d v="2025-09-01T00:00:00"/>
    <n v="2025403220"/>
    <s v="Aug"/>
    <n v="2025"/>
  </r>
  <r>
    <n v="716"/>
    <x v="4"/>
    <x v="4"/>
    <s v="Actual"/>
    <x v="8"/>
    <m/>
    <s v="AL MUSTAFA INDUSTRIAL IRON TRADING"/>
    <s v="Materials/IRON"/>
    <n v="73960"/>
    <s v="328"/>
    <d v="2025-09-02T00:00:00"/>
    <n v="2025402995"/>
    <s v="Aug"/>
    <n v="2025"/>
  </r>
  <r>
    <n v="717"/>
    <x v="4"/>
    <x v="4"/>
    <s v="Actual"/>
    <x v="8"/>
    <m/>
    <s v="AL MUSTAFA INDUSTRIAL IRON TRADING"/>
    <s v="Materials/IRON"/>
    <n v="69660"/>
    <s v="276"/>
    <d v="2025-07-24T00:00:00"/>
    <n v="2025402419"/>
    <s v="Jul"/>
    <n v="2025"/>
  </r>
  <r>
    <n v="718"/>
    <x v="4"/>
    <x v="4"/>
    <s v="Actual"/>
    <x v="8"/>
    <m/>
    <s v="AL MUSTAFA INDUSTRIAL IRON TRADING"/>
    <s v="Materials/IRON"/>
    <n v="38776.300000000003"/>
    <s v="290"/>
    <d v="2025-08-05T00:00:00"/>
    <n v="2025402573"/>
    <s v="Aug"/>
    <n v="2025"/>
  </r>
  <r>
    <n v="719"/>
    <x v="4"/>
    <x v="4"/>
    <s v="Actual"/>
    <x v="8"/>
    <m/>
    <s v="AL MUSTAFA INDUSTRIAL IRON TRADING"/>
    <s v="Materials/IRON"/>
    <n v="16030.4"/>
    <s v="326"/>
    <d v="2025-09-02T00:00:00"/>
    <n v="2025402997"/>
    <s v="Aug"/>
    <n v="2025"/>
  </r>
  <r>
    <n v="720"/>
    <x v="4"/>
    <x v="4"/>
    <s v="Actual"/>
    <x v="8"/>
    <m/>
    <s v="Al-Safi Factory and Um Albanin Gallery"/>
    <s v="Material &amp; Supplies"/>
    <n v="14788.732394366198"/>
    <s v="0209"/>
    <d v="2025-07-12T00:00:00"/>
    <n v="2025402421"/>
    <s v="Jul"/>
    <n v="2025"/>
  </r>
  <r>
    <n v="721"/>
    <x v="4"/>
    <x v="4"/>
    <s v="Actual"/>
    <x v="8"/>
    <m/>
    <s v="AL MUSTAFA INDUSTRIAL IRON TRADING"/>
    <s v="Materials/IRON"/>
    <n v="10071.200000000001"/>
    <s v="322"/>
    <d v="2025-08-26T00:00:00"/>
    <n v="2025402897"/>
    <s v="Aug"/>
    <n v="2025"/>
  </r>
  <r>
    <n v="722"/>
    <x v="4"/>
    <x v="4"/>
    <s v="Actual"/>
    <x v="8"/>
    <m/>
    <s v="Al-Karar Gallery for Wood &amp; MDF"/>
    <s v="Materials/Wood"/>
    <n v="6267.6056338028166"/>
    <s v="0824"/>
    <d v="2025-07-28T00:00:00"/>
    <n v="2025402480"/>
    <s v="Jul"/>
    <n v="2025"/>
  </r>
  <r>
    <n v="723"/>
    <x v="4"/>
    <x v="4"/>
    <s v="Actual"/>
    <x v="8"/>
    <m/>
    <s v="ZUMZUM ALFAYHAA INSAAT"/>
    <s v="Material &amp; Supplies"/>
    <n v="5896.2"/>
    <s v="10588"/>
    <d v="2025-07-17T00:00:00"/>
    <n v="2025402240"/>
    <s v="Jul"/>
    <n v="2025"/>
  </r>
  <r>
    <n v="724"/>
    <x v="4"/>
    <x v="4"/>
    <s v="Actual"/>
    <x v="8"/>
    <m/>
    <s v="Almujtaba company"/>
    <s v="Materials/Scaffolding"/>
    <n v="5000"/>
    <s v="11413"/>
    <d v="2025-08-23T00:00:00"/>
    <n v="2025402915"/>
    <s v="Aug"/>
    <n v="2025"/>
  </r>
  <r>
    <n v="725"/>
    <x v="4"/>
    <x v="4"/>
    <s v="Actual"/>
    <x v="8"/>
    <m/>
    <s v="Al-Safi Factory and Um Albanin Gallery"/>
    <s v="Material &amp; Supplies"/>
    <n v="4929.577464788732"/>
    <s v="0208"/>
    <d v="2025-07-12T00:00:00"/>
    <n v="2025402420"/>
    <s v="Jul"/>
    <n v="2025"/>
  </r>
  <r>
    <n v="726"/>
    <x v="4"/>
    <x v="4"/>
    <s v="Actual"/>
    <x v="8"/>
    <m/>
    <s v="ZUMZUM ALFAYHAA INSAAT"/>
    <s v="Material &amp; Supplies"/>
    <n v="3388.5"/>
    <s v="10620"/>
    <d v="2025-08-03T00:00:00"/>
    <n v="2025402324"/>
    <s v="Aug"/>
    <n v="2025"/>
  </r>
  <r>
    <n v="727"/>
    <x v="4"/>
    <x v="4"/>
    <s v="Actual"/>
    <x v="8"/>
    <m/>
    <s v="ZUMZUM ALFAYHAA INSAAT"/>
    <s v="Material &amp; Supplies"/>
    <n v="3295"/>
    <s v="10720"/>
    <d v="2025-08-06T00:00:00"/>
    <n v="2025402470"/>
    <s v="Aug"/>
    <n v="2025"/>
  </r>
  <r>
    <n v="728"/>
    <x v="4"/>
    <x v="4"/>
    <s v="Actual"/>
    <x v="8"/>
    <m/>
    <s v="Almujtaba company"/>
    <s v="Materials/Scaffolding"/>
    <n v="3200"/>
    <s v="10050"/>
    <d v="2025-07-31T00:00:00"/>
    <n v="2025402471"/>
    <s v="Jul"/>
    <n v="2025"/>
  </r>
  <r>
    <n v="729"/>
    <x v="4"/>
    <x v="4"/>
    <s v="Actual"/>
    <x v="8"/>
    <m/>
    <s v="AL-Wajeeh Company"/>
    <s v="Material &amp; Supplies"/>
    <n v="3063.74"/>
    <s v="16923"/>
    <d v="2025-07-23T00:00:00"/>
    <n v="2025402402"/>
    <s v="Jul"/>
    <n v="2025"/>
  </r>
  <r>
    <n v="730"/>
    <x v="4"/>
    <x v="4"/>
    <s v="Actual"/>
    <x v="8"/>
    <m/>
    <s v="BLUE LINE"/>
    <s v="Material &amp; Supplies"/>
    <n v="3055.16"/>
    <s v="6212"/>
    <d v="2025-07-07T00:00:00"/>
    <n v="2025402044"/>
    <s v="Jul"/>
    <n v="2025"/>
  </r>
  <r>
    <n v="731"/>
    <x v="4"/>
    <x v="4"/>
    <s v="Actual"/>
    <x v="8"/>
    <m/>
    <s v="Almujtaba company"/>
    <s v="Materials/Scaffolding"/>
    <n v="2957.7464788732395"/>
    <s v="10051"/>
    <d v="2025-07-31T00:00:00"/>
    <n v="2025402469"/>
    <s v="Jul"/>
    <n v="2025"/>
  </r>
  <r>
    <n v="732"/>
    <x v="4"/>
    <x v="4"/>
    <s v="Actual"/>
    <x v="8"/>
    <m/>
    <s v="ZUMZUM ALFAYHAA INSAAT"/>
    <s v="Material &amp; Supplies"/>
    <n v="2910.6"/>
    <s v="10406"/>
    <d v="2025-07-10T00:00:00"/>
    <n v="2025402040"/>
    <s v="Jul"/>
    <n v="2025"/>
  </r>
  <r>
    <n v="733"/>
    <x v="4"/>
    <x v="4"/>
    <s v="Actual"/>
    <x v="8"/>
    <m/>
    <s v="ZUMZUM ALFAYHAA INSAAT"/>
    <s v="Material &amp; Supplies"/>
    <n v="2885.3"/>
    <s v="10456"/>
    <d v="2025-07-08T00:00:00"/>
    <n v="2025402123"/>
    <s v="Jul"/>
    <n v="2025"/>
  </r>
  <r>
    <n v="734"/>
    <x v="4"/>
    <x v="4"/>
    <s v="Actual"/>
    <x v="8"/>
    <m/>
    <s v="ZUMZUM ALFAYHAA INSAAT"/>
    <s v="Material &amp; Supplies"/>
    <n v="2853"/>
    <s v="10934"/>
    <d v="2025-08-24T00:00:00"/>
    <n v="2025402681"/>
    <s v="Aug"/>
    <n v="2025"/>
  </r>
  <r>
    <n v="735"/>
    <x v="4"/>
    <x v="4"/>
    <s v="Actual"/>
    <x v="8"/>
    <m/>
    <s v="AL-Wajeeh Company"/>
    <s v="Material &amp; Supplies"/>
    <n v="2762.07"/>
    <s v="16869"/>
    <d v="2025-07-10T00:00:00"/>
    <n v="2025402116"/>
    <s v="Jul"/>
    <n v="2025"/>
  </r>
  <r>
    <n v="736"/>
    <x v="4"/>
    <x v="4"/>
    <s v="Actual"/>
    <x v="8"/>
    <m/>
    <s v="ZUMZUM ALFAYHAA INSAAT"/>
    <s v="Material &amp; Supplies"/>
    <n v="2690"/>
    <s v="10838"/>
    <d v="2025-08-19T00:00:00"/>
    <n v="2025402673"/>
    <s v="Aug"/>
    <n v="2025"/>
  </r>
  <r>
    <n v="737"/>
    <x v="4"/>
    <x v="4"/>
    <s v="Actual"/>
    <x v="8"/>
    <m/>
    <s v="Al-Karar Gallery for Wood &amp; MDF"/>
    <s v="Materials/Wood"/>
    <n v="2435.211267605634"/>
    <s v="0813"/>
    <d v="2025-07-07T00:00:00"/>
    <n v="2025402329"/>
    <s v="Jul"/>
    <n v="2025"/>
  </r>
  <r>
    <n v="738"/>
    <x v="4"/>
    <x v="4"/>
    <s v="Actual"/>
    <x v="8"/>
    <m/>
    <s v="Almujtaba company"/>
    <s v="Materials/Scaffolding"/>
    <n v="2400"/>
    <s v="10049"/>
    <d v="2025-07-19T00:00:00"/>
    <n v="2025402416"/>
    <s v="Jul"/>
    <n v="2025"/>
  </r>
  <r>
    <n v="739"/>
    <x v="4"/>
    <x v="4"/>
    <s v="Actual"/>
    <x v="8"/>
    <m/>
    <s v="ZUMZUM ALFAYHAA INSAAT"/>
    <s v="Material &amp; Supplies"/>
    <n v="1910"/>
    <s v="11048"/>
    <d v="2025-08-28T00:00:00"/>
    <n v="2025402788"/>
    <s v="Aug"/>
    <n v="2025"/>
  </r>
  <r>
    <n v="740"/>
    <x v="4"/>
    <x v="4"/>
    <s v="Actual"/>
    <x v="8"/>
    <m/>
    <s v="Haider Retage show"/>
    <s v="Material &amp; Supplies"/>
    <n v="1901.4084507042253"/>
    <s v="42069"/>
    <d v="2025-07-21T00:00:00"/>
    <n v="2025402496"/>
    <s v="Jul"/>
    <n v="2025"/>
  </r>
  <r>
    <n v="741"/>
    <x v="4"/>
    <x v="4"/>
    <s v="Actual"/>
    <x v="8"/>
    <m/>
    <s v="ZUMZUM ALFAYHAA INSAAT"/>
    <s v="Material &amp; Supplies"/>
    <n v="1700"/>
    <s v="10654"/>
    <d v="2025-07-27T00:00:00"/>
    <n v="2025402351"/>
    <s v="Jul"/>
    <n v="2025"/>
  </r>
  <r>
    <n v="742"/>
    <x v="4"/>
    <x v="4"/>
    <s v="Actual"/>
    <x v="8"/>
    <m/>
    <s v="Petty Cash"/>
    <s v="Petty cash for MITASH"/>
    <n v="1422.1830985915492"/>
    <s v="##"/>
    <d v="2025-09-08T00:00:00"/>
    <s v="N/A"/>
    <s v="Aug"/>
    <n v="2025"/>
  </r>
  <r>
    <n v="743"/>
    <x v="4"/>
    <x v="4"/>
    <s v="Actual"/>
    <x v="8"/>
    <m/>
    <s v="BLUE LINE"/>
    <s v="Material &amp; Supplies"/>
    <n v="1392.85"/>
    <s v="6262"/>
    <d v="2025-07-21T00:00:00"/>
    <n v="2025402333"/>
    <s v="Jul"/>
    <n v="2025"/>
  </r>
  <r>
    <n v="744"/>
    <x v="4"/>
    <x v="4"/>
    <s v="Actual"/>
    <x v="8"/>
    <m/>
    <s v="BLUE LINE"/>
    <s v="Material &amp; Supplies"/>
    <n v="1369.72"/>
    <s v="6325"/>
    <d v="2025-08-03T00:00:00"/>
    <n v="2025402505"/>
    <s v="Aug"/>
    <n v="2025"/>
  </r>
  <r>
    <n v="745"/>
    <x v="4"/>
    <x v="4"/>
    <s v="Actual"/>
    <x v="8"/>
    <m/>
    <s v="AL-Wajeeh Company"/>
    <s v="Material &amp; Supplies"/>
    <n v="1112.5"/>
    <s v="16915"/>
    <d v="2025-07-23T00:00:00"/>
    <n v="2025402378"/>
    <s v="Jul"/>
    <n v="2025"/>
  </r>
  <r>
    <n v="746"/>
    <x v="4"/>
    <x v="4"/>
    <s v="Actual"/>
    <x v="8"/>
    <m/>
    <s v="ZUMZUM ALFAYHAA INSAAT"/>
    <s v="Material &amp; Supplies"/>
    <n v="1109"/>
    <s v="10542"/>
    <d v="2025-07-17T00:00:00"/>
    <n v="2025402234"/>
    <s v="Jul"/>
    <n v="2025"/>
  </r>
  <r>
    <n v="747"/>
    <x v="4"/>
    <x v="4"/>
    <s v="Actual"/>
    <x v="8"/>
    <m/>
    <s v="Petty Cash"/>
    <s v="Petty cash for MITASH"/>
    <n v="1056.338028169014"/>
    <s v="##"/>
    <d v="2025-08-29T00:00:00"/>
    <s v="N/A"/>
    <s v="Aug"/>
    <n v="2025"/>
  </r>
  <r>
    <n v="748"/>
    <x v="4"/>
    <x v="4"/>
    <s v="Actual"/>
    <x v="8"/>
    <m/>
    <s v="Petty Cash"/>
    <s v="Petty cash for Mitsh"/>
    <n v="1056.338028169014"/>
    <s v="##"/>
    <d v="2025-07-21T00:00:00"/>
    <s v="N/A"/>
    <s v="Jul"/>
    <n v="2025"/>
  </r>
  <r>
    <n v="749"/>
    <x v="4"/>
    <x v="4"/>
    <s v="Actual"/>
    <x v="8"/>
    <m/>
    <s v="ZUMZUM ALFAYHAA INSAAT"/>
    <s v="Material &amp; Supplies"/>
    <n v="1025"/>
    <s v="10420"/>
    <d v="2025-07-08T00:00:00"/>
    <n v="2025402102"/>
    <s v="Jul"/>
    <n v="2025"/>
  </r>
  <r>
    <n v="750"/>
    <x v="4"/>
    <x v="4"/>
    <s v="Actual"/>
    <x v="8"/>
    <m/>
    <s v="AL-Wajeeh Company"/>
    <s v="Material &amp; Supplies"/>
    <n v="980"/>
    <s v="16987-1"/>
    <d v="2025-07-28T00:00:00"/>
    <n v="2025402398"/>
    <s v="Jul"/>
    <n v="2025"/>
  </r>
  <r>
    <n v="751"/>
    <x v="4"/>
    <x v="4"/>
    <s v="Actual"/>
    <x v="8"/>
    <m/>
    <s v="ZUMZUM ALFAYHAA INSAAT"/>
    <s v="Material &amp; Supplies"/>
    <n v="834.9"/>
    <s v="11072"/>
    <d v="2025-08-28T00:00:00"/>
    <n v="2025402789"/>
    <s v="Aug"/>
    <n v="2025"/>
  </r>
  <r>
    <n v="752"/>
    <x v="4"/>
    <x v="4"/>
    <s v="Actual"/>
    <x v="8"/>
    <m/>
    <s v="BLUE LINE"/>
    <s v="Material &amp; Supplies"/>
    <n v="773.56"/>
    <s v="6209"/>
    <d v="2025-07-12T00:00:00"/>
    <n v="2025402235"/>
    <s v="Jul"/>
    <n v="2025"/>
  </r>
  <r>
    <n v="753"/>
    <x v="4"/>
    <x v="4"/>
    <s v="Actual"/>
    <x v="8"/>
    <m/>
    <s v="RAYAT AL-SHARQ COMPANY For Inspection Services"/>
    <s v="Material &amp; Supplies"/>
    <n v="500"/>
    <s v="1672"/>
    <d v="2025-07-19T00:00:00"/>
    <n v="2025402138"/>
    <s v="Jul"/>
    <n v="2025"/>
  </r>
  <r>
    <n v="754"/>
    <x v="4"/>
    <x v="4"/>
    <s v="Actual"/>
    <x v="8"/>
    <m/>
    <s v="AL-Wajeeh Company"/>
    <s v="Material &amp; Supplies"/>
    <n v="497.44"/>
    <s v="16925"/>
    <d v="2025-07-13T00:00:00"/>
    <n v="2025402236"/>
    <s v="Jul"/>
    <n v="2025"/>
  </r>
  <r>
    <n v="755"/>
    <x v="4"/>
    <x v="4"/>
    <s v="Actual"/>
    <x v="8"/>
    <m/>
    <s v="AL-Wajeeh Company"/>
    <s v="Material &amp; Supplies"/>
    <n v="312"/>
    <s v="17018"/>
    <d v="2025-08-28T00:00:00"/>
    <n v="2025402861"/>
    <s v="Aug"/>
    <n v="2025"/>
  </r>
  <r>
    <n v="756"/>
    <x v="4"/>
    <x v="4"/>
    <s v="Actual"/>
    <x v="8"/>
    <m/>
    <s v="ZUMZUM ALFAYHAA INSAAT"/>
    <s v="Material &amp; Supplies"/>
    <n v="254.2"/>
    <s v="10448"/>
    <d v="2025-07-08T00:00:00"/>
    <n v="2025402136"/>
    <s v="Jul"/>
    <n v="2025"/>
  </r>
  <r>
    <n v="757"/>
    <x v="4"/>
    <x v="4"/>
    <s v="Actual"/>
    <x v="8"/>
    <m/>
    <s v="BLUE LINE"/>
    <s v="Material &amp; Supplies"/>
    <n v="178.3"/>
    <s v="6241"/>
    <d v="2025-07-21T00:00:00"/>
    <n v="2025402269"/>
    <s v="Jul"/>
    <n v="2025"/>
  </r>
  <r>
    <n v="758"/>
    <x v="4"/>
    <x v="4"/>
    <s v="Actual"/>
    <x v="8"/>
    <m/>
    <s v="ZUMZUM ALFAYHAA INSAAT"/>
    <s v="Material &amp; Supplies"/>
    <n v="114.8"/>
    <s v="10776"/>
    <d v="2025-08-09T00:00:00"/>
    <n v="2025402568"/>
    <s v="Aug"/>
    <n v="2025"/>
  </r>
  <r>
    <n v="759"/>
    <x v="4"/>
    <x v="4"/>
    <s v="Actual"/>
    <x v="8"/>
    <m/>
    <s v="AL-Wajeeh Company"/>
    <s v="Material &amp; Supplies"/>
    <n v="99.99"/>
    <s v="17042"/>
    <d v="2025-08-02T00:00:00"/>
    <n v="2025402769"/>
    <s v="Aug"/>
    <n v="2025"/>
  </r>
  <r>
    <n v="760"/>
    <x v="4"/>
    <x v="4"/>
    <s v="Actual"/>
    <x v="8"/>
    <m/>
    <s v="ZUMZUM ALFAYHAA INSAAT"/>
    <s v="Material &amp; Supplies"/>
    <n v="90"/>
    <s v="10950"/>
    <d v="2025-08-24T00:00:00"/>
    <n v="2025402753"/>
    <s v="Aug"/>
    <n v="2025"/>
  </r>
  <r>
    <n v="761"/>
    <x v="4"/>
    <x v="4"/>
    <s v="Actual"/>
    <x v="8"/>
    <m/>
    <s v="BLUE LINE"/>
    <s v="Material &amp; Supplies"/>
    <n v="67.599999999999994"/>
    <s v="6293"/>
    <d v="2025-08-03T00:00:00"/>
    <n v="2025402460"/>
    <s v="Aug"/>
    <n v="2025"/>
  </r>
  <r>
    <n v="762"/>
    <x v="4"/>
    <x v="4"/>
    <s v="Actual"/>
    <x v="8"/>
    <m/>
    <s v="AL-Wajeeh Company"/>
    <s v="Material &amp; Supplies"/>
    <n v="42.64"/>
    <s v="16922"/>
    <d v="2025-07-22T00:00:00"/>
    <n v="2025402352"/>
    <s v="Jul"/>
    <n v="2025"/>
  </r>
  <r>
    <n v="763"/>
    <x v="3"/>
    <x v="12"/>
    <s v="Actual"/>
    <x v="8"/>
    <m/>
    <s v="AL-Wajeeh Company"/>
    <s v="Material &amp; Supplies"/>
    <n v="2554"/>
    <s v="16990-1"/>
    <d v="2025-07-30T00:00:00"/>
    <n v="2025402501"/>
    <s v="Jul"/>
    <n v="2025"/>
  </r>
  <r>
    <n v="764"/>
    <x v="3"/>
    <x v="12"/>
    <s v="Actual"/>
    <x v="8"/>
    <m/>
    <s v="AL-Wajeeh Company"/>
    <s v="Material &amp; Supplies"/>
    <n v="2490.0500000000002"/>
    <s v="16982-2"/>
    <d v="2025-08-19T00:00:00"/>
    <n v="2025402662"/>
    <s v="Aug"/>
    <n v="2025"/>
  </r>
  <r>
    <n v="765"/>
    <x v="3"/>
    <x v="12"/>
    <s v="Actual"/>
    <x v="8"/>
    <m/>
    <s v="ZUMZUM ALFAYHAA INSAAT"/>
    <s v="Material &amp; Supplies"/>
    <n v="2400"/>
    <s v="10730"/>
    <d v="2025-08-06T00:00:00"/>
    <n v="2025402497"/>
    <s v="Aug"/>
    <n v="2025"/>
  </r>
  <r>
    <n v="766"/>
    <x v="3"/>
    <x v="12"/>
    <s v="Actual"/>
    <x v="8"/>
    <m/>
    <s v="AL-Wajeeh Company"/>
    <s v="Material &amp; Supplies"/>
    <n v="2268.21"/>
    <s v="17001"/>
    <d v="2025-11-01T00:00:00"/>
    <n v="2025403957"/>
    <s v="Jul"/>
    <n v="2025"/>
  </r>
  <r>
    <n v="767"/>
    <x v="3"/>
    <x v="12"/>
    <s v="Actual"/>
    <x v="8"/>
    <m/>
    <s v="ZUMZUM ALFAYHAA INSAAT"/>
    <s v="Material &amp; Supplies"/>
    <n v="1686.8"/>
    <s v="10974"/>
    <d v="2025-08-26T00:00:00"/>
    <n v="2025402765"/>
    <s v="Aug"/>
    <n v="2025"/>
  </r>
  <r>
    <n v="768"/>
    <x v="3"/>
    <x v="12"/>
    <s v="Actual"/>
    <x v="8"/>
    <m/>
    <s v="AL-Wajeeh Company"/>
    <s v="Material &amp; Supplies"/>
    <n v="1436.99"/>
    <s v="16551"/>
    <d v="2025-08-06T00:00:00"/>
    <n v="2025402532"/>
    <s v="Aug"/>
    <n v="2025"/>
  </r>
  <r>
    <n v="769"/>
    <x v="3"/>
    <x v="12"/>
    <s v="Actual"/>
    <x v="8"/>
    <m/>
    <s v="Khan Alhadded Company"/>
    <s v="Materials/IRON"/>
    <n v="1302"/>
    <s v="0872"/>
    <d v="2025-07-15T00:00:00"/>
    <n v="2025402541"/>
    <s v="Jul"/>
    <n v="2025"/>
  </r>
  <r>
    <n v="770"/>
    <x v="3"/>
    <x v="12"/>
    <s v="Actual"/>
    <x v="8"/>
    <m/>
    <s v="Al-qanaat Altijaria shops"/>
    <s v="Material &amp; Supplies"/>
    <n v="1172.5352112676057"/>
    <s v="1658"/>
    <d v="2025-08-04T00:00:00"/>
    <n v="2025402824"/>
    <s v="Aug"/>
    <n v="2025"/>
  </r>
  <r>
    <n v="771"/>
    <x v="3"/>
    <x v="12"/>
    <s v="Actual"/>
    <x v="8"/>
    <m/>
    <s v="Khan Alhadded Company"/>
    <s v="Materials/IRON"/>
    <n v="1051"/>
    <s v="0892"/>
    <d v="2025-08-23T00:00:00"/>
    <n v="2025404257"/>
    <s v="Aug"/>
    <n v="2025"/>
  </r>
  <r>
    <n v="772"/>
    <x v="3"/>
    <x v="12"/>
    <s v="Actual"/>
    <x v="8"/>
    <m/>
    <s v="AL-Wajeeh Company"/>
    <s v="Material &amp; Supplies"/>
    <n v="557.22"/>
    <s v="16989"/>
    <d v="2025-07-28T00:00:00"/>
    <n v="2025402392"/>
    <s v="Jul"/>
    <n v="2025"/>
  </r>
  <r>
    <n v="773"/>
    <x v="3"/>
    <x v="12"/>
    <s v="Actual"/>
    <x v="8"/>
    <m/>
    <s v="Petty Cash"/>
    <s v="Petty cash for KBR"/>
    <n v="532.3943661971831"/>
    <s v="##"/>
    <d v="2025-08-19T00:00:00"/>
    <s v="N/A"/>
    <s v="Aug"/>
    <n v="2025"/>
  </r>
  <r>
    <n v="774"/>
    <x v="3"/>
    <x v="12"/>
    <s v="Actual"/>
    <x v="8"/>
    <m/>
    <s v="ZUMZUM ALFAYHAA INSAAT"/>
    <s v="Material &amp; Supplies"/>
    <n v="446.1"/>
    <s v="11044"/>
    <d v="2025-08-28T00:00:00"/>
    <n v="2025402802"/>
    <s v="Aug"/>
    <n v="2025"/>
  </r>
  <r>
    <n v="775"/>
    <x v="3"/>
    <x v="12"/>
    <s v="Actual"/>
    <x v="8"/>
    <m/>
    <s v="BLUE LINE"/>
    <s v="Material &amp; Supplies"/>
    <n v="445"/>
    <s v="6216"/>
    <d v="2025-07-07T00:00:00"/>
    <n v="2025402061"/>
    <s v="Jul"/>
    <n v="2025"/>
  </r>
  <r>
    <n v="776"/>
    <x v="3"/>
    <x v="12"/>
    <s v="Actual"/>
    <x v="8"/>
    <m/>
    <s v="ZUMZUM ALFAYHAA INSAAT"/>
    <s v="Material &amp; Supplies"/>
    <n v="240"/>
    <s v="10866"/>
    <d v="2025-08-20T00:00:00"/>
    <n v="2025402608"/>
    <s v="Aug"/>
    <n v="2025"/>
  </r>
  <r>
    <n v="777"/>
    <x v="2"/>
    <x v="22"/>
    <s v="Actual"/>
    <x v="8"/>
    <m/>
    <s v="AL-Wajeeh Company"/>
    <s v="Material &amp; Supplies"/>
    <n v="2847.49"/>
    <s v="16839"/>
    <d v="2025-07-02T00:00:00"/>
    <n v="2025402121"/>
    <s v="Jul"/>
    <n v="2025"/>
  </r>
  <r>
    <n v="778"/>
    <x v="2"/>
    <x v="22"/>
    <s v="Actual"/>
    <x v="8"/>
    <m/>
    <s v="ZUMZUM ALFAYHAA INSAAT"/>
    <s v="Material &amp; Supplies"/>
    <n v="2569"/>
    <s v="10650"/>
    <d v="2025-07-29T00:00:00"/>
    <n v="2025402295"/>
    <s v="Jul"/>
    <n v="2025"/>
  </r>
  <r>
    <n v="779"/>
    <x v="2"/>
    <x v="22"/>
    <s v="Actual"/>
    <x v="8"/>
    <m/>
    <s v="ZUMZUM ALFAYHAA INSAAT"/>
    <s v="Material &amp; Supplies"/>
    <n v="2112.4499999999998"/>
    <s v="10972"/>
    <d v="2025-08-28T00:00:00"/>
    <n v="2025402760"/>
    <s v="Aug"/>
    <n v="2025"/>
  </r>
  <r>
    <n v="780"/>
    <x v="2"/>
    <x v="22"/>
    <s v="Actual"/>
    <x v="8"/>
    <m/>
    <s v="Al-Jorani Factory"/>
    <s v="Material &amp; Supplies"/>
    <n v="2057.8873239436621"/>
    <s v="568"/>
    <d v="2025-08-02T00:00:00"/>
    <n v="2025403929"/>
    <s v="Aug"/>
    <n v="2025"/>
  </r>
  <r>
    <n v="781"/>
    <x v="2"/>
    <x v="22"/>
    <s v="Actual"/>
    <x v="8"/>
    <m/>
    <s v="Abdullah Gallery"/>
    <s v="Materials/Safety"/>
    <n v="1661.9718309859154"/>
    <s v="00813"/>
    <d v="2025-08-13T00:00:00"/>
    <n v="2025403709"/>
    <s v="Aug"/>
    <n v="2025"/>
  </r>
  <r>
    <n v="782"/>
    <x v="2"/>
    <x v="22"/>
    <s v="Actual"/>
    <x v="8"/>
    <m/>
    <s v="ZUMZUM ALFAYHAA INSAAT"/>
    <s v="Material &amp; Supplies"/>
    <n v="1625"/>
    <s v="10586"/>
    <d v="2025-07-17T00:00:00"/>
    <n v="2025402277"/>
    <s v="Jul"/>
    <n v="2025"/>
  </r>
  <r>
    <n v="783"/>
    <x v="2"/>
    <x v="22"/>
    <s v="Actual"/>
    <x v="8"/>
    <m/>
    <s v="ZUMZUM ALFAYHAA INSAAT"/>
    <s v="Material &amp; Supplies"/>
    <n v="1120"/>
    <s v="10460"/>
    <d v="2025-07-10T00:00:00"/>
    <n v="2025402118"/>
    <s v="Jul"/>
    <n v="2025"/>
  </r>
  <r>
    <n v="784"/>
    <x v="2"/>
    <x v="22"/>
    <s v="Actual"/>
    <x v="8"/>
    <m/>
    <s v="ZUMZUM ALFAYHAA INSAAT"/>
    <s v="Material &amp; Supplies"/>
    <n v="1108"/>
    <s v="11064"/>
    <d v="2025-08-30T00:00:00"/>
    <n v="2025402787"/>
    <s v="Aug"/>
    <n v="2025"/>
  </r>
  <r>
    <n v="785"/>
    <x v="2"/>
    <x v="22"/>
    <s v="Actual"/>
    <x v="8"/>
    <m/>
    <s v="Petty Cash"/>
    <s v="Petty Cash for KAZ"/>
    <n v="847.88732394366195"/>
    <s v="##"/>
    <d v="2025-06-30T00:00:00"/>
    <s v="N/A"/>
    <s v="Jul"/>
    <n v="2025"/>
  </r>
  <r>
    <n v="786"/>
    <x v="2"/>
    <x v="22"/>
    <s v="Actual"/>
    <x v="8"/>
    <m/>
    <s v="Petty Cash"/>
    <s v="Petty cash for KAZ"/>
    <n v="710.56338028169012"/>
    <s v="##"/>
    <d v="2025-07-19T00:00:00"/>
    <s v="N/A"/>
    <s v="Aug"/>
    <n v="2025"/>
  </r>
  <r>
    <n v="787"/>
    <x v="2"/>
    <x v="22"/>
    <s v="Actual"/>
    <x v="8"/>
    <m/>
    <s v="Petty Cash"/>
    <s v="1. Outdoor joining kit 0.6/kv, 3C x 150mm3 cable x 1ea // 2. Outdoor joining kit 0.6/kv, 3C x 240mm3 cable  x 1ea"/>
    <n v="704.22535211267609"/>
    <n v="7009"/>
    <d v="2025-06-07T00:00:00"/>
    <s v="N/A"/>
    <s v="Jul"/>
    <n v="2025"/>
  </r>
  <r>
    <n v="788"/>
    <x v="2"/>
    <x v="22"/>
    <s v="Actual"/>
    <x v="8"/>
    <m/>
    <s v="ZUMZUM ALFAYHAA INSAAT"/>
    <s v="Material &amp; Supplies"/>
    <n v="700"/>
    <s v="10948"/>
    <d v="2025-08-24T00:00:00"/>
    <n v="2025402751"/>
    <s v="Aug"/>
    <n v="2025"/>
  </r>
  <r>
    <n v="789"/>
    <x v="2"/>
    <x v="22"/>
    <s v="Actual"/>
    <x v="8"/>
    <m/>
    <s v="BLUE LINE"/>
    <s v="Material &amp; Supplies"/>
    <n v="565.08000000000004"/>
    <s v="5396"/>
    <d v="2025-07-14T00:00:00"/>
    <n v="2024403233"/>
    <s v="Jul"/>
    <n v="2025"/>
  </r>
  <r>
    <n v="790"/>
    <x v="2"/>
    <x v="22"/>
    <s v="Actual"/>
    <x v="8"/>
    <m/>
    <s v="AL MUSTAFA INDUSTRIAL IRON TRADING"/>
    <s v="Materials/IRON"/>
    <n v="529.79999999999995"/>
    <s v="296"/>
    <d v="2025-08-07T00:00:00"/>
    <n v="2025402593"/>
    <s v="Aug"/>
    <n v="2025"/>
  </r>
  <r>
    <n v="791"/>
    <x v="2"/>
    <x v="22"/>
    <s v="Actual"/>
    <x v="8"/>
    <m/>
    <s v="Petty Cash"/>
    <s v="1. Anchor bolt HAS-U 5.8 M16X65mm x 60ea // 2.injectable mortar HIT-RE 500 V4/330 x 6ea"/>
    <n v="440.14084507042253"/>
    <s v="INV-6334"/>
    <d v="2025-03-06T00:00:00"/>
    <s v="N/A"/>
    <s v="Jul"/>
    <n v="2025"/>
  </r>
  <r>
    <n v="792"/>
    <x v="2"/>
    <x v="22"/>
    <s v="Actual"/>
    <x v="8"/>
    <m/>
    <s v="AL-Wajeeh Company"/>
    <s v="Material &amp; Supplies"/>
    <n v="422.96"/>
    <s v="16427"/>
    <d v="2025-08-27T00:00:00"/>
    <n v="2025402856"/>
    <s v="Aug"/>
    <n v="2025"/>
  </r>
  <r>
    <n v="793"/>
    <x v="2"/>
    <x v="22"/>
    <s v="Actual"/>
    <x v="8"/>
    <m/>
    <s v="GAMMA PETROLEUM SERVICES"/>
    <s v="Material &amp; Supplies"/>
    <n v="415"/>
    <s v="202507-04"/>
    <d v="2025-07-26T00:00:00"/>
    <n v="2025402489"/>
    <s v="Jul"/>
    <n v="2025"/>
  </r>
  <r>
    <n v="794"/>
    <x v="2"/>
    <x v="22"/>
    <s v="Actual"/>
    <x v="8"/>
    <m/>
    <s v="BLUE LINE"/>
    <s v="Material &amp; Supplies"/>
    <n v="402.38"/>
    <s v="6154"/>
    <d v="2025-07-12T00:00:00"/>
    <n v="2025402184"/>
    <s v="Jul"/>
    <n v="2025"/>
  </r>
  <r>
    <n v="795"/>
    <x v="2"/>
    <x v="22"/>
    <s v="Actual"/>
    <x v="8"/>
    <m/>
    <s v="ZUMZUM ALFAYHAA INSAAT"/>
    <s v="Material &amp; Supplies"/>
    <n v="400"/>
    <s v="11030"/>
    <d v="2025-08-28T00:00:00"/>
    <n v="2025402713"/>
    <s v="Aug"/>
    <n v="2025"/>
  </r>
  <r>
    <n v="796"/>
    <x v="2"/>
    <x v="22"/>
    <s v="Actual"/>
    <x v="8"/>
    <m/>
    <s v="AL-Wajeeh Company"/>
    <s v="Material &amp; Supplies"/>
    <n v="315.24"/>
    <s v="16857"/>
    <d v="2025-08-31T00:00:00"/>
    <n v="2025402857"/>
    <s v="Aug"/>
    <n v="2025"/>
  </r>
  <r>
    <n v="797"/>
    <x v="2"/>
    <x v="22"/>
    <s v="Actual"/>
    <x v="8"/>
    <m/>
    <s v="ZUMZUM ALFAYHAA INSAAT"/>
    <s v="Material &amp; Supplies"/>
    <n v="280"/>
    <s v="11028"/>
    <d v="2025-08-30T00:00:00"/>
    <n v="2025402709"/>
    <s v="Aug"/>
    <n v="2025"/>
  </r>
  <r>
    <n v="798"/>
    <x v="2"/>
    <x v="22"/>
    <s v="Actual"/>
    <x v="8"/>
    <m/>
    <s v="ZUMZUM ALFAYHAA INSAAT"/>
    <s v="Material &amp; Supplies"/>
    <n v="260"/>
    <s v="11032"/>
    <d v="2025-08-28T00:00:00"/>
    <n v="2025402712"/>
    <s v="Aug"/>
    <n v="2025"/>
  </r>
  <r>
    <n v="799"/>
    <x v="2"/>
    <x v="22"/>
    <s v="Actual"/>
    <x v="8"/>
    <m/>
    <s v="ZUMZUM ALFAYHAA INSAAT"/>
    <s v="Material &amp; Supplies"/>
    <n v="219"/>
    <s v="10922"/>
    <d v="2025-08-24T00:00:00"/>
    <n v="2025402686"/>
    <s v="Aug"/>
    <n v="2025"/>
  </r>
  <r>
    <n v="800"/>
    <x v="2"/>
    <x v="22"/>
    <s v="Actual"/>
    <x v="8"/>
    <m/>
    <s v="BLUE LINE"/>
    <s v="Material &amp; Supplies"/>
    <n v="172.7"/>
    <s v="6353"/>
    <d v="2025-08-20T00:00:00"/>
    <n v="2025402717"/>
    <s v="Aug"/>
    <n v="2025"/>
  </r>
  <r>
    <n v="801"/>
    <x v="2"/>
    <x v="22"/>
    <s v="Actual"/>
    <x v="8"/>
    <m/>
    <s v="BLUE LINE"/>
    <s v="Material &amp; Supplies"/>
    <n v="131.19999999999999"/>
    <s v="6333"/>
    <d v="2025-08-25T00:00:00"/>
    <n v="2025402740"/>
    <s v="Aug"/>
    <n v="2025"/>
  </r>
  <r>
    <n v="802"/>
    <x v="2"/>
    <x v="22"/>
    <s v="Actual"/>
    <x v="8"/>
    <m/>
    <s v="ZUMZUM ALFAYHAA INSAAT"/>
    <s v="Material &amp; Supplies"/>
    <n v="96"/>
    <s v="10598"/>
    <d v="2025-08-03T00:00:00"/>
    <n v="2025402239"/>
    <s v="Aug"/>
    <n v="2025"/>
  </r>
  <r>
    <n v="803"/>
    <x v="2"/>
    <x v="22"/>
    <s v="Actual"/>
    <x v="8"/>
    <m/>
    <s v="ZUMZUM ALFAYHAA INSAAT"/>
    <s v="Material &amp; Supplies"/>
    <n v="90"/>
    <s v="10886"/>
    <d v="2025-08-20T00:00:00"/>
    <n v="2025402627"/>
    <s v="Aug"/>
    <n v="2025"/>
  </r>
  <r>
    <n v="804"/>
    <x v="2"/>
    <x v="22"/>
    <s v="Actual"/>
    <x v="8"/>
    <m/>
    <s v="BLUE LINE"/>
    <s v="Material &amp; Supplies"/>
    <n v="53.04"/>
    <s v="6326"/>
    <d v="2025-08-05T00:00:00"/>
    <n v="2025402542"/>
    <s v="Aug"/>
    <n v="2025"/>
  </r>
  <r>
    <n v="805"/>
    <x v="2"/>
    <x v="22"/>
    <s v="Actual"/>
    <x v="8"/>
    <m/>
    <s v="AL-Wajeeh Company"/>
    <s v="Material &amp; Supplies"/>
    <n v="33"/>
    <s v="16939"/>
    <d v="2025-08-19T00:00:00"/>
    <n v="2025402699"/>
    <s v="Aug"/>
    <n v="2025"/>
  </r>
  <r>
    <n v="806"/>
    <x v="0"/>
    <x v="0"/>
    <s v="Actual"/>
    <x v="8"/>
    <m/>
    <s v="Taqadm Albasrah"/>
    <s v="Material &amp; Supplies"/>
    <n v="27645.774647887323"/>
    <s v="515"/>
    <d v="2025-09-01T00:00:00"/>
    <n v="2025402980"/>
    <s v="Jul"/>
    <n v="2025"/>
  </r>
  <r>
    <n v="807"/>
    <x v="0"/>
    <x v="0"/>
    <s v="Actual"/>
    <x v="8"/>
    <m/>
    <s v="ZUMZUM ALFAYHAA INSAAT"/>
    <s v="Material &amp; Supplies"/>
    <n v="5788.4"/>
    <s v="10052"/>
    <d v="2025-07-12T00:00:00"/>
    <n v="2025401539"/>
    <s v="Jul"/>
    <n v="2025"/>
  </r>
  <r>
    <n v="808"/>
    <x v="0"/>
    <x v="0"/>
    <s v="Actual"/>
    <x v="8"/>
    <m/>
    <s v="AL-Wajeeh Company"/>
    <s v="Material &amp; Supplies"/>
    <n v="3671.1"/>
    <s v="16780"/>
    <d v="2025-07-09T00:00:00"/>
    <n v="2025401936"/>
    <s v="Jul"/>
    <n v="2025"/>
  </r>
  <r>
    <n v="809"/>
    <x v="0"/>
    <x v="0"/>
    <s v="Actual"/>
    <x v="8"/>
    <m/>
    <s v="ZUMZUM ALFAYHAA INSAAT"/>
    <s v="Material &amp; Supplies"/>
    <n v="3470.4"/>
    <s v="10604"/>
    <d v="2025-07-29T00:00:00"/>
    <n v="2025402283"/>
    <s v="Jul"/>
    <n v="2025"/>
  </r>
  <r>
    <n v="810"/>
    <x v="0"/>
    <x v="0"/>
    <s v="Actual"/>
    <x v="8"/>
    <m/>
    <s v="AL-Wajeeh Company"/>
    <s v="Material &amp; Supplies"/>
    <n v="3410.2"/>
    <s v="16780-A"/>
    <d v="2025-07-09T00:00:00"/>
    <n v="2025401988"/>
    <s v="Jul"/>
    <n v="2025"/>
  </r>
  <r>
    <n v="811"/>
    <x v="0"/>
    <x v="0"/>
    <s v="Actual"/>
    <x v="8"/>
    <m/>
    <s v="ZUMZUM ALFAYHAA INSAAT"/>
    <s v="Material &amp; Supplies"/>
    <n v="3082.1"/>
    <s v="10602"/>
    <d v="2025-07-29T00:00:00"/>
    <n v="2025402311"/>
    <s v="Jul"/>
    <n v="2025"/>
  </r>
  <r>
    <n v="812"/>
    <x v="0"/>
    <x v="0"/>
    <s v="Actual"/>
    <x v="8"/>
    <m/>
    <s v="ZUMZUM ALFAYHAA INSAAT"/>
    <s v="Material &amp; Supplies"/>
    <n v="2875"/>
    <s v="10334"/>
    <d v="2025-07-02T00:00:00"/>
    <n v="2025401864"/>
    <s v="Jul"/>
    <n v="2025"/>
  </r>
  <r>
    <n v="813"/>
    <x v="0"/>
    <x v="0"/>
    <s v="Actual"/>
    <x v="8"/>
    <m/>
    <s v="ZUMZUM ALFAYHAA INSAAT"/>
    <s v="Material &amp; Supplies"/>
    <n v="2875"/>
    <s v="10418"/>
    <d v="2025-07-12T00:00:00"/>
    <n v="2025401884"/>
    <s v="Jul"/>
    <n v="2025"/>
  </r>
  <r>
    <n v="814"/>
    <x v="0"/>
    <x v="0"/>
    <s v="Actual"/>
    <x v="8"/>
    <m/>
    <s v="ZUMZUM ALFAYHAA INSAAT"/>
    <s v="Material &amp; Supplies"/>
    <n v="2166.1"/>
    <s v="10332"/>
    <d v="2025-07-02T00:00:00"/>
    <n v="2025401885"/>
    <s v="Jul"/>
    <n v="2025"/>
  </r>
  <r>
    <n v="815"/>
    <x v="0"/>
    <x v="0"/>
    <s v="Actual"/>
    <x v="8"/>
    <m/>
    <s v="ZUMZUM ALFAYHAA INSAAT"/>
    <s v="Material &amp; Supplies"/>
    <n v="1889.1"/>
    <s v="10130"/>
    <d v="2025-07-13T00:00:00"/>
    <n v="2025401646"/>
    <s v="Jul"/>
    <n v="2025"/>
  </r>
  <r>
    <n v="816"/>
    <x v="0"/>
    <x v="0"/>
    <s v="Actual"/>
    <x v="8"/>
    <m/>
    <s v="ZUMZUM ALFAYHAA INSAAT"/>
    <s v="Material &amp; Supplies"/>
    <n v="1500"/>
    <s v="10770"/>
    <d v="2025-08-06T00:00:00"/>
    <n v="2025402554"/>
    <s v="Aug"/>
    <n v="2025"/>
  </r>
  <r>
    <n v="817"/>
    <x v="0"/>
    <x v="0"/>
    <s v="Actual"/>
    <x v="8"/>
    <m/>
    <s v="Petty Cash"/>
    <s v="Petty cash for Erbil office"/>
    <n v="1059.8591549295775"/>
    <s v="##"/>
    <d v="2025-04-08T00:00:00"/>
    <s v="N/A"/>
    <s v="Aug"/>
    <n v="2025"/>
  </r>
  <r>
    <n v="818"/>
    <x v="0"/>
    <x v="0"/>
    <s v="Actual"/>
    <x v="8"/>
    <m/>
    <s v="BLUE LINE"/>
    <s v="Material &amp; Supplies"/>
    <n v="836.84"/>
    <s v="6279"/>
    <d v="2025-08-05T00:00:00"/>
    <n v="2025402555"/>
    <s v="Aug"/>
    <n v="2025"/>
  </r>
  <r>
    <n v="819"/>
    <x v="0"/>
    <x v="0"/>
    <s v="Actual"/>
    <x v="8"/>
    <m/>
    <s v="Petty Cash"/>
    <s v="Petty Cash for Lifting team"/>
    <n v="528.16901408450701"/>
    <s v="##"/>
    <d v="2025-08-28T00:00:00"/>
    <s v="N/A"/>
    <s v="Aug"/>
    <n v="2025"/>
  </r>
  <r>
    <n v="820"/>
    <x v="0"/>
    <x v="0"/>
    <s v="Actual"/>
    <x v="8"/>
    <m/>
    <s v="Petty Cash"/>
    <s v="نموذج تيشيرت طباعة IGCC "/>
    <n v="528.16901408450701"/>
    <s v="##"/>
    <d v="2025-07-28T00:00:00"/>
    <s v="N/A"/>
    <s v="Jul"/>
    <n v="2025"/>
  </r>
  <r>
    <n v="821"/>
    <x v="0"/>
    <x v="0"/>
    <s v="Actual"/>
    <x v="8"/>
    <m/>
    <s v="Petty Cash"/>
    <s v="Petty Cash for Liffting team"/>
    <n v="528.16901408450701"/>
    <s v="##"/>
    <d v="2025-07-20T00:00:00"/>
    <s v="N/A"/>
    <s v="Jul"/>
    <n v="2025"/>
  </r>
  <r>
    <n v="822"/>
    <x v="0"/>
    <x v="0"/>
    <s v="Actual"/>
    <x v="8"/>
    <m/>
    <s v="Petty Cash"/>
    <s v="Petty cash for Fadi"/>
    <n v="395.77464788732397"/>
    <s v="##"/>
    <d v="2025-08-18T00:00:00"/>
    <s v="N/A"/>
    <s v="Aug"/>
    <n v="2025"/>
  </r>
  <r>
    <n v="823"/>
    <x v="0"/>
    <x v="0"/>
    <s v="Actual"/>
    <x v="8"/>
    <m/>
    <s v="Petty Cash"/>
    <s v="Mobil Vivo x 1ea"/>
    <n v="246.47887323943661"/>
    <s v="##"/>
    <d v="2025-08-21T00:00:00"/>
    <s v="N/A"/>
    <s v="Aug"/>
    <n v="2025"/>
  </r>
  <r>
    <n v="824"/>
    <x v="0"/>
    <x v="0"/>
    <s v="Actual"/>
    <x v="8"/>
    <m/>
    <s v="Petty Cash"/>
    <s v="Iron cabin, 2doors x 2ea"/>
    <n v="183.09859154929578"/>
    <n v="1983"/>
    <d v="2025-08-17T00:00:00"/>
    <s v="N/A"/>
    <s v="Aug"/>
    <n v="2025"/>
  </r>
  <r>
    <n v="825"/>
    <x v="5"/>
    <x v="5"/>
    <s v="Actual"/>
    <x v="8"/>
    <m/>
    <s v="Petty Cash"/>
    <s v="لوحات اكرلك A0 عدد 32"/>
    <n v="2285.211267605634"/>
    <n v="2212"/>
    <d v="2025-07-15T00:00:00"/>
    <s v="N/A"/>
    <s v="Jul"/>
    <n v="2025"/>
  </r>
  <r>
    <n v="826"/>
    <x v="5"/>
    <x v="5"/>
    <s v="Actual"/>
    <x v="8"/>
    <m/>
    <s v="Petty Cash"/>
    <s v="Petty cash for Total"/>
    <n v="1762.6760563380283"/>
    <s v="##"/>
    <d v="2025-08-27T00:00:00"/>
    <s v="N/A"/>
    <s v="Aug"/>
    <n v="2025"/>
  </r>
  <r>
    <n v="827"/>
    <x v="5"/>
    <x v="5"/>
    <s v="Actual"/>
    <x v="8"/>
    <m/>
    <s v="Petty Cash"/>
    <s v="Petty cash for Total"/>
    <n v="1685.2112676056338"/>
    <s v="##"/>
    <d v="2025-08-20T00:00:00"/>
    <s v="N/A"/>
    <s v="Aug"/>
    <n v="2025"/>
  </r>
  <r>
    <n v="828"/>
    <x v="5"/>
    <x v="5"/>
    <s v="Actual"/>
    <x v="8"/>
    <m/>
    <s v="Petty Cash"/>
    <s v="Petty cash for Total"/>
    <n v="1411.2676056338028"/>
    <s v="##"/>
    <d v="2025-09-07T00:00:00"/>
    <s v="N/A"/>
    <s v="Jul"/>
    <n v="2025"/>
  </r>
  <r>
    <n v="829"/>
    <x v="5"/>
    <x v="5"/>
    <s v="Actual"/>
    <x v="8"/>
    <m/>
    <s v="Petty Cash"/>
    <s v="Petty cash for Total"/>
    <n v="1352.8169014084508"/>
    <s v="##"/>
    <d v="2025-02-08T00:00:00"/>
    <s v="N/A"/>
    <s v="Aug"/>
    <n v="2025"/>
  </r>
  <r>
    <n v="830"/>
    <x v="5"/>
    <x v="5"/>
    <s v="Actual"/>
    <x v="8"/>
    <m/>
    <s v="Petty Cash"/>
    <s v="Food &amp; Meals"/>
    <n v="1253.5211267605634"/>
    <s v="##"/>
    <d v="2025-11-08T00:00:00"/>
    <s v="N/A"/>
    <s v="Aug"/>
    <n v="2025"/>
  </r>
  <r>
    <n v="831"/>
    <x v="5"/>
    <x v="5"/>
    <s v="Actual"/>
    <x v="8"/>
    <m/>
    <s v="Petty Cash"/>
    <s v="Petty Cash for Total"/>
    <n v="1201.4084507042253"/>
    <s v="##"/>
    <d v="2025-07-20T00:00:00"/>
    <s v="N/A"/>
    <s v="Jul"/>
    <n v="2025"/>
  </r>
  <r>
    <n v="832"/>
    <x v="5"/>
    <x v="5"/>
    <s v="Actual"/>
    <x v="8"/>
    <m/>
    <s v="Petty Cash"/>
    <s v="Consumable tools"/>
    <n v="1070.4225352112676"/>
    <s v="##"/>
    <d v="2025-12-07T00:00:00"/>
    <s v="N/A"/>
    <s v="Jul"/>
    <n v="2025"/>
  </r>
  <r>
    <n v="833"/>
    <x v="5"/>
    <x v="5"/>
    <s v="Actual"/>
    <x v="8"/>
    <m/>
    <s v="Petty Cash"/>
    <s v="Food &amp; Meal for Total"/>
    <n v="1056.338028169014"/>
    <s v="##"/>
    <d v="2025-08-07T00:00:00"/>
    <s v="N/A"/>
    <s v="Jul"/>
    <n v="2025"/>
  </r>
  <r>
    <n v="834"/>
    <x v="5"/>
    <x v="5"/>
    <s v="Actual"/>
    <x v="8"/>
    <m/>
    <s v="Petty Cash"/>
    <s v="لوحات اكرلك وسجلات"/>
    <n v="866.19718309859149"/>
    <n v="2219"/>
    <d v="2025-04-08T00:00:00"/>
    <s v="N/A"/>
    <s v="Aug"/>
    <n v="2025"/>
  </r>
  <r>
    <n v="835"/>
    <x v="5"/>
    <x v="5"/>
    <s v="Actual"/>
    <x v="8"/>
    <m/>
    <s v="Petty Cash"/>
    <s v="Petty cash for Ahmed Alwan"/>
    <n v="704.22535211267609"/>
    <s v="##"/>
    <d v="2025-08-23T00:00:00"/>
    <s v="N/A"/>
    <s v="Aug"/>
    <n v="2025"/>
  </r>
  <r>
    <n v="836"/>
    <x v="5"/>
    <x v="5"/>
    <s v="Actual"/>
    <x v="8"/>
    <m/>
    <s v="Petty Cash"/>
    <s v="Food And Meal For Total"/>
    <n v="640.84507042253517"/>
    <s v="##"/>
    <d v="2025-08-21T00:00:00"/>
    <s v="N/A"/>
    <s v="Aug"/>
    <n v="2025"/>
  </r>
  <r>
    <n v="837"/>
    <x v="5"/>
    <x v="5"/>
    <s v="Actual"/>
    <x v="8"/>
    <m/>
    <s v="Petty Cash"/>
    <s v="Consumable tools for Securety team"/>
    <n v="605.63380281690138"/>
    <s v="##"/>
    <d v="2025-12-07T00:00:00"/>
    <s v="N/A"/>
    <s v="Jul"/>
    <n v="2025"/>
  </r>
  <r>
    <n v="838"/>
    <x v="5"/>
    <x v="5"/>
    <s v="Actual"/>
    <x v="8"/>
    <m/>
    <s v="Petty Cash"/>
    <s v="HSE Gift for TOTAL"/>
    <n v="584.50704225352115"/>
    <s v="##"/>
    <d v="2025-08-30T00:00:00"/>
    <s v="N/A"/>
    <s v="Aug"/>
    <n v="2025"/>
  </r>
  <r>
    <n v="839"/>
    <x v="5"/>
    <x v="5"/>
    <s v="Actual"/>
    <x v="8"/>
    <m/>
    <s v="Petty Cash"/>
    <s v="Petty Cash for Total"/>
    <n v="388.90845070422534"/>
    <s v="##"/>
    <d v="2025-07-28T00:00:00"/>
    <s v="N/A"/>
    <s v="Aug"/>
    <n v="2025"/>
  </r>
  <r>
    <n v="840"/>
    <x v="5"/>
    <x v="5"/>
    <s v="Actual"/>
    <x v="8"/>
    <m/>
    <s v="Petty Cash"/>
    <s v="Consumable tools for TOTAL"/>
    <n v="77.464788732394368"/>
    <s v="##"/>
    <d v="2025-06-08T00:00:00"/>
    <s v="N/A"/>
    <s v="Aug"/>
    <n v="2025"/>
  </r>
  <r>
    <n v="841"/>
    <x v="5"/>
    <x v="5"/>
    <s v="Actual"/>
    <x v="8"/>
    <m/>
    <s v="Petty Cash"/>
    <s v="Food &amp; Meals"/>
    <n v="38.732394366197184"/>
    <s v="##"/>
    <d v="2025-02-08T00:00:00"/>
    <s v="N/A"/>
    <s v="Aug"/>
    <n v="2025"/>
  </r>
  <r>
    <n v="842"/>
    <x v="5"/>
    <x v="5"/>
    <s v="Actual"/>
    <x v="8"/>
    <m/>
    <s v="AL MUSTAFA INDUSTRIAL IRON TRADING"/>
    <s v="Materials/IRON"/>
    <n v="71200"/>
    <s v="266"/>
    <d v="2025-07-22T00:00:00"/>
    <n v="2025402385"/>
    <s v="Jul"/>
    <n v="2025"/>
  </r>
  <r>
    <n v="843"/>
    <x v="5"/>
    <x v="5"/>
    <s v="Actual"/>
    <x v="8"/>
    <m/>
    <s v="Taqadm Albasrah"/>
    <s v="Material &amp; Supplies"/>
    <n v="66611.971830985916"/>
    <s v="514"/>
    <d v="2025-09-01T00:00:00"/>
    <n v="2025402977"/>
    <s v="Jul"/>
    <n v="2025"/>
  </r>
  <r>
    <n v="844"/>
    <x v="5"/>
    <x v="5"/>
    <s v="Actual"/>
    <x v="8"/>
    <m/>
    <s v="AL MUSTAFA INDUSTRIAL IRON TRADING"/>
    <s v="Materials/IRON"/>
    <n v="46280"/>
    <s v="264"/>
    <d v="2025-07-22T00:00:00"/>
    <n v="2025402384"/>
    <s v="Jul"/>
    <n v="2025"/>
  </r>
  <r>
    <n v="845"/>
    <x v="5"/>
    <x v="5"/>
    <s v="Actual"/>
    <x v="8"/>
    <m/>
    <s v="AL MUSTAFA INDUSTRIAL IRON TRADING"/>
    <s v="Materials/IRON"/>
    <n v="40940"/>
    <s v="280"/>
    <d v="2025-07-27T00:00:00"/>
    <n v="2025402422"/>
    <s v="Jul"/>
    <n v="2025"/>
  </r>
  <r>
    <n v="846"/>
    <x v="5"/>
    <x v="5"/>
    <s v="Actual"/>
    <x v="8"/>
    <m/>
    <s v="AL MUSTAFA INDUSTRIAL IRON TRADING"/>
    <s v="Materials/IRON"/>
    <n v="32040"/>
    <s v="308"/>
    <d v="2025-08-23T00:00:00"/>
    <n v="2025402756"/>
    <s v="Aug"/>
    <n v="2025"/>
  </r>
  <r>
    <n v="847"/>
    <x v="5"/>
    <x v="5"/>
    <s v="Actual"/>
    <x v="8"/>
    <m/>
    <s v="AL TAHER ENGINEERING COMPANY"/>
    <s v="Materials/Concrete"/>
    <n v="19980.281690140844"/>
    <s v="2104"/>
    <d v="2025-08-02T00:00:00"/>
    <n v="2025403137"/>
    <s v="Jul"/>
    <n v="2025"/>
  </r>
  <r>
    <n v="848"/>
    <x v="5"/>
    <x v="5"/>
    <s v="Actual"/>
    <x v="8"/>
    <m/>
    <s v="Al Miayar Inspection service and rtaining"/>
    <s v="Material &amp; Supplies"/>
    <n v="18309.859154929578"/>
    <s v="2088"/>
    <d v="2025-08-09T00:00:00"/>
    <n v="2025402961"/>
    <s v="Aug"/>
    <n v="2025"/>
  </r>
  <r>
    <n v="849"/>
    <x v="5"/>
    <x v="5"/>
    <s v="Actual"/>
    <x v="8"/>
    <m/>
    <s v="GULF PEARL GROUP"/>
    <s v="Materials/Paint"/>
    <n v="15200"/>
    <s v="27032025"/>
    <d v="2025-07-29T00:00:00"/>
    <n v="2025402304"/>
    <s v="Jul"/>
    <n v="2025"/>
  </r>
  <r>
    <n v="850"/>
    <x v="5"/>
    <x v="5"/>
    <s v="Actual"/>
    <x v="8"/>
    <m/>
    <s v="AL TAHER ENGINEERING COMPANY"/>
    <s v="Materials/Concrete"/>
    <n v="15013.482072375256"/>
    <s v="338"/>
    <d v="2025-09-01T00:00:00"/>
    <n v="2025403220"/>
    <s v="Aug"/>
    <n v="2025"/>
  </r>
  <r>
    <n v="851"/>
    <x v="5"/>
    <x v="5"/>
    <s v="Actual"/>
    <x v="8"/>
    <m/>
    <s v="Al Ghrnawi Showroom"/>
    <s v="Material &amp; Supplies"/>
    <n v="11690"/>
    <s v="00357"/>
    <d v="2025-08-05T00:00:00"/>
    <n v="2025402719"/>
    <s v="Aug"/>
    <n v="2025"/>
  </r>
  <r>
    <n v="852"/>
    <x v="5"/>
    <x v="5"/>
    <s v="Actual"/>
    <x v="8"/>
    <m/>
    <s v="AL MUSTAFA INDUSTRIAL IRON TRADING"/>
    <s v="Materials/IRON"/>
    <n v="11180"/>
    <s v="286"/>
    <d v="2025-08-20T00:00:00"/>
    <n v="2025402576"/>
    <s v="Aug"/>
    <n v="2025"/>
  </r>
  <r>
    <n v="853"/>
    <x v="5"/>
    <x v="5"/>
    <s v="Actual"/>
    <x v="8"/>
    <m/>
    <s v="AL MUSTAFA INDUSTRIAL IRON TRADING"/>
    <s v="Materials/IRON"/>
    <n v="9825"/>
    <s v="302"/>
    <d v="2025-08-20T00:00:00"/>
    <n v="2025402726"/>
    <s v="Aug"/>
    <n v="2025"/>
  </r>
  <r>
    <n v="854"/>
    <x v="5"/>
    <x v="5"/>
    <s v="Actual"/>
    <x v="8"/>
    <m/>
    <s v="Al Ghrnawi Showroom"/>
    <s v="Material &amp; Supplies"/>
    <n v="7555"/>
    <s v="00367"/>
    <d v="2025-08-05T00:00:00"/>
    <n v="2025402701"/>
    <s v="Aug"/>
    <n v="2025"/>
  </r>
  <r>
    <n v="855"/>
    <x v="5"/>
    <x v="5"/>
    <s v="Actual"/>
    <x v="8"/>
    <m/>
    <s v="Al-Janaeen Al-Mualaka for Water"/>
    <s v="Materials/Water"/>
    <n v="5712.6760563380285"/>
    <s v="1702"/>
    <d v="2025-07-14T00:00:00"/>
    <n v="2025401503"/>
    <s v="Jul"/>
    <n v="2025"/>
  </r>
  <r>
    <n v="856"/>
    <x v="5"/>
    <x v="5"/>
    <s v="Actual"/>
    <x v="8"/>
    <m/>
    <s v="Al-Janaeen Al-Mualaka for Water"/>
    <s v="Materials/Water"/>
    <n v="5712.6760563380285"/>
    <s v="2138"/>
    <d v="2025-08-23T00:00:00"/>
    <n v="2025402563"/>
    <s v="Aug"/>
    <n v="2025"/>
  </r>
  <r>
    <n v="857"/>
    <x v="5"/>
    <x v="5"/>
    <s v="Actual"/>
    <x v="8"/>
    <m/>
    <s v="Al-Janaeen Al-Mualaka for Water"/>
    <s v="Materials/Water"/>
    <n v="5712.6760563380285"/>
    <s v="2138"/>
    <d v="2025-08-23T00:00:00"/>
    <n v="2025402969"/>
    <s v="Aug"/>
    <n v="2025"/>
  </r>
  <r>
    <n v="858"/>
    <x v="5"/>
    <x v="5"/>
    <s v="Actual"/>
    <x v="8"/>
    <m/>
    <s v="ZUMZUM ALFAYHAA INSAAT"/>
    <s v="Material &amp; Supplies"/>
    <n v="5658.2"/>
    <s v="10506"/>
    <d v="2025-07-12T00:00:00"/>
    <n v="2025402139"/>
    <s v="Jul"/>
    <n v="2025"/>
  </r>
  <r>
    <n v="859"/>
    <x v="5"/>
    <x v="5"/>
    <s v="Actual"/>
    <x v="8"/>
    <m/>
    <s v="Al Jaber Company General Construction Services"/>
    <s v="Materials/Concrete"/>
    <n v="5635"/>
    <s v="01092025-IGCC-001"/>
    <d v="2025-09-01T00:00:00"/>
    <n v="2025403292"/>
    <s v="Aug"/>
    <n v="2025"/>
  </r>
  <r>
    <n v="860"/>
    <x v="5"/>
    <x v="5"/>
    <s v="Actual"/>
    <x v="8"/>
    <m/>
    <s v="Al-Dhahi stores"/>
    <s v="Material &amp; Supplies"/>
    <n v="5281.6901408450703"/>
    <s v="00889"/>
    <d v="2025-07-09T00:00:00"/>
    <n v="2025402589"/>
    <s v="Jul"/>
    <n v="2025"/>
  </r>
  <r>
    <n v="861"/>
    <x v="5"/>
    <x v="5"/>
    <s v="Actual"/>
    <x v="8"/>
    <m/>
    <s v="Haider Retage show"/>
    <s v="Material &amp; Supplies"/>
    <n v="5140.8450704225352"/>
    <s v="42666"/>
    <d v="2025-08-07T00:00:00"/>
    <n v="2025402822"/>
    <s v="Aug"/>
    <n v="2025"/>
  </r>
  <r>
    <n v="862"/>
    <x v="5"/>
    <x v="5"/>
    <s v="Actual"/>
    <x v="8"/>
    <m/>
    <s v="Khan Alhadded Company"/>
    <s v="Materials/IRON"/>
    <n v="4016"/>
    <s v="0869"/>
    <d v="2025-07-13T00:00:00"/>
    <n v="2025402423"/>
    <s v="Jul"/>
    <n v="2025"/>
  </r>
  <r>
    <n v="863"/>
    <x v="5"/>
    <x v="5"/>
    <s v="Actual"/>
    <x v="8"/>
    <m/>
    <s v="BLUE LINE"/>
    <s v="Material &amp; Supplies"/>
    <n v="3758.46"/>
    <s v="6355"/>
    <d v="2025-08-25T00:00:00"/>
    <n v="2025402680"/>
    <s v="Aug"/>
    <n v="2025"/>
  </r>
  <r>
    <n v="864"/>
    <x v="5"/>
    <x v="5"/>
    <s v="Actual"/>
    <x v="8"/>
    <m/>
    <s v="ZUMZUM ALFAYHAA INSAAT"/>
    <s v="Material &amp; Supplies"/>
    <n v="3700"/>
    <s v="10784"/>
    <d v="2025-08-06T00:00:00"/>
    <n v="2025402580"/>
    <s v="Aug"/>
    <n v="2025"/>
  </r>
  <r>
    <n v="865"/>
    <x v="5"/>
    <x v="5"/>
    <s v="Actual"/>
    <x v="8"/>
    <m/>
    <s v="WB Alloy Welding Products Ltd"/>
    <s v="Material &amp; Supplies"/>
    <n v="3668.61"/>
    <s v="0000001784"/>
    <d v="2025-08-04T00:00:00"/>
    <s v="N/A"/>
    <s v="Aug"/>
    <n v="2025"/>
  </r>
  <r>
    <n v="866"/>
    <x v="5"/>
    <x v="5"/>
    <s v="Actual"/>
    <x v="8"/>
    <m/>
    <s v="Cargo Ship Company"/>
    <s v="Material &amp; Supplies"/>
    <n v="3560"/>
    <s v="291"/>
    <d v="2025-08-31T00:00:00"/>
    <n v="2025402685"/>
    <s v="Aug"/>
    <n v="2025"/>
  </r>
  <r>
    <n v="867"/>
    <x v="5"/>
    <x v="5"/>
    <s v="Actual"/>
    <x v="8"/>
    <m/>
    <s v="AL MUSTAFA INDUSTRIAL IRON TRADING"/>
    <s v="Materials/IRON"/>
    <n v="3446.5"/>
    <s v="294"/>
    <d v="2025-08-17T00:00:00"/>
    <n v="2025402595"/>
    <s v="Aug"/>
    <n v="2025"/>
  </r>
  <r>
    <n v="868"/>
    <x v="5"/>
    <x v="5"/>
    <s v="Actual"/>
    <x v="8"/>
    <m/>
    <s v="AL MUSTAFA INDUSTRIAL IRON TRADING"/>
    <s v="Materials/IRON"/>
    <n v="3408.9"/>
    <s v="300"/>
    <d v="2025-08-23T00:00:00"/>
    <n v="2025402725"/>
    <s v="Aug"/>
    <n v="2025"/>
  </r>
  <r>
    <n v="869"/>
    <x v="5"/>
    <x v="5"/>
    <s v="Actual"/>
    <x v="8"/>
    <m/>
    <s v="ZUMZUM ALFAYHAA INSAAT"/>
    <s v="Material &amp; Supplies"/>
    <n v="3000"/>
    <s v="10906"/>
    <d v="2025-08-24T00:00:00"/>
    <n v="2025402670"/>
    <s v="Aug"/>
    <n v="2025"/>
  </r>
  <r>
    <n v="870"/>
    <x v="5"/>
    <x v="5"/>
    <s v="Actual"/>
    <x v="8"/>
    <m/>
    <s v="ZUMZUM ALFAYHAA INSAAT"/>
    <s v="Material &amp; Supplies"/>
    <n v="2949.4"/>
    <s v="11000"/>
    <d v="2025-08-28T00:00:00"/>
    <n v="2025402795"/>
    <s v="Aug"/>
    <n v="2025"/>
  </r>
  <r>
    <n v="871"/>
    <x v="5"/>
    <x v="5"/>
    <s v="Actual"/>
    <x v="8"/>
    <m/>
    <s v="AL-Wajeeh Company"/>
    <s v="Material &amp; Supplies"/>
    <n v="2894.15"/>
    <s v="16920"/>
    <d v="2025-07-16T00:00:00"/>
    <n v="2025402296"/>
    <s v="Jul"/>
    <n v="2025"/>
  </r>
  <r>
    <n v="872"/>
    <x v="5"/>
    <x v="5"/>
    <s v="Actual"/>
    <x v="8"/>
    <m/>
    <s v="Abdullah Gallery"/>
    <s v="Materials/Safety"/>
    <n v="2852.1126760563379"/>
    <s v="00805"/>
    <d v="2025-08-16T00:00:00"/>
    <n v="2025402962"/>
    <s v="Aug"/>
    <n v="2025"/>
  </r>
  <r>
    <n v="873"/>
    <x v="5"/>
    <x v="5"/>
    <s v="Actual"/>
    <x v="8"/>
    <m/>
    <s v="ZUMZUM ALFAYHAA INSAAT"/>
    <s v="Material &amp; Supplies"/>
    <n v="2850"/>
    <s v="10642"/>
    <d v="2025-07-27T00:00:00"/>
    <n v="2025402358"/>
    <s v="Jul"/>
    <n v="2025"/>
  </r>
  <r>
    <n v="874"/>
    <x v="5"/>
    <x v="5"/>
    <s v="Actual"/>
    <x v="8"/>
    <m/>
    <s v="Haider Retage show"/>
    <s v="Material &amp; Supplies"/>
    <n v="2816.9014084507044"/>
    <s v="42262"/>
    <d v="2025-07-30T00:00:00"/>
    <n v="2025402618"/>
    <s v="Jul"/>
    <n v="2025"/>
  </r>
  <r>
    <n v="875"/>
    <x v="5"/>
    <x v="5"/>
    <s v="Actual"/>
    <x v="8"/>
    <m/>
    <s v="ZUMZUM ALFAYHAA INSAAT"/>
    <s v="Material &amp; Supplies"/>
    <n v="2800"/>
    <s v="10908"/>
    <d v="2025-08-24T00:00:00"/>
    <n v="2025402669"/>
    <s v="Aug"/>
    <n v="2025"/>
  </r>
  <r>
    <n v="876"/>
    <x v="5"/>
    <x v="5"/>
    <s v="Actual"/>
    <x v="8"/>
    <m/>
    <s v="ZUMZUM ALFAYHAA INSAAT"/>
    <s v="Material &amp; Supplies"/>
    <n v="2775"/>
    <s v="10786"/>
    <d v="2025-08-06T00:00:00"/>
    <n v="2025402581"/>
    <s v="Aug"/>
    <n v="2025"/>
  </r>
  <r>
    <n v="877"/>
    <x v="5"/>
    <x v="5"/>
    <s v="Actual"/>
    <x v="8"/>
    <m/>
    <s v="ZUMZUM ALFAYHAA INSAAT"/>
    <s v="Material &amp; Supplies"/>
    <n v="2760"/>
    <s v="11070"/>
    <d v="2025-08-28T00:00:00"/>
    <n v="2025402791"/>
    <s v="Aug"/>
    <n v="2025"/>
  </r>
  <r>
    <n v="878"/>
    <x v="5"/>
    <x v="5"/>
    <s v="Actual"/>
    <x v="8"/>
    <m/>
    <s v="ZUMZUM ALFAYHAA INSAAT"/>
    <s v="Material &amp; Supplies"/>
    <n v="2747.5"/>
    <s v="10910"/>
    <d v="2025-08-24T00:00:00"/>
    <n v="2025402652"/>
    <s v="Aug"/>
    <n v="2025"/>
  </r>
  <r>
    <n v="879"/>
    <x v="5"/>
    <x v="5"/>
    <s v="Actual"/>
    <x v="8"/>
    <m/>
    <s v="ZUMZUM ALFAYHAA INSAAT"/>
    <s v="Material &amp; Supplies"/>
    <n v="2741.3"/>
    <s v="10998"/>
    <d v="2025-08-28T00:00:00"/>
    <n v="2025402794"/>
    <s v="Aug"/>
    <n v="2025"/>
  </r>
  <r>
    <n v="880"/>
    <x v="5"/>
    <x v="5"/>
    <s v="Actual"/>
    <x v="8"/>
    <m/>
    <s v="AL MUSTAFA INDUSTRIAL IRON TRADING"/>
    <s v="Materials/IRON"/>
    <n v="2732.4"/>
    <s v="282"/>
    <d v="2025-07-28T00:00:00"/>
    <n v="2025402454"/>
    <s v="Jul"/>
    <n v="2025"/>
  </r>
  <r>
    <n v="881"/>
    <x v="5"/>
    <x v="5"/>
    <s v="Actual"/>
    <x v="8"/>
    <m/>
    <s v="ZUMZUM ALFAYHAA INSAAT"/>
    <s v="Material &amp; Supplies"/>
    <n v="2608.6"/>
    <s v="10464"/>
    <d v="2025-07-08T00:00:00"/>
    <n v="2025402146"/>
    <s v="Jul"/>
    <n v="2025"/>
  </r>
  <r>
    <n v="882"/>
    <x v="5"/>
    <x v="5"/>
    <s v="Actual"/>
    <x v="8"/>
    <m/>
    <s v="ZUMZUM ALFAYHAA INSAAT"/>
    <s v="Material &amp; Supplies"/>
    <n v="2596.9"/>
    <s v="12056"/>
    <d v="2025-11-08T00:00:00"/>
    <n v="2025404015"/>
    <s v="Jul"/>
    <n v="2025"/>
  </r>
  <r>
    <n v="883"/>
    <x v="5"/>
    <x v="5"/>
    <s v="Actual"/>
    <x v="8"/>
    <m/>
    <s v="AL-Wajeeh Company"/>
    <s v="Material &amp; Supplies"/>
    <n v="2376"/>
    <s v="16968"/>
    <d v="2025-07-27T00:00:00"/>
    <n v="2025402429"/>
    <s v="Jul"/>
    <n v="2025"/>
  </r>
  <r>
    <n v="884"/>
    <x v="5"/>
    <x v="5"/>
    <s v="Actual"/>
    <x v="8"/>
    <m/>
    <s v="Cargo Ship Company"/>
    <s v="Material &amp; Supplies"/>
    <n v="2370"/>
    <s v="239"/>
    <d v="2025-07-28T00:00:00"/>
    <n v="2025402465"/>
    <s v="Jul"/>
    <n v="2025"/>
  </r>
  <r>
    <n v="885"/>
    <x v="5"/>
    <x v="5"/>
    <s v="Actual"/>
    <x v="8"/>
    <m/>
    <s v="BLUE LINE"/>
    <s v="Material &amp; Supplies"/>
    <n v="2321.2800000000002"/>
    <s v="6169"/>
    <d v="2025-08-17T00:00:00"/>
    <n v="2025402477"/>
    <s v="Aug"/>
    <n v="2025"/>
  </r>
  <r>
    <n v="886"/>
    <x v="5"/>
    <x v="5"/>
    <s v="Actual"/>
    <x v="8"/>
    <m/>
    <s v="ZUMZUM ALFAYHAA INSAAT"/>
    <s v="Material &amp; Supplies"/>
    <n v="2293"/>
    <s v="10646"/>
    <d v="2025-07-27T00:00:00"/>
    <n v="2025402353"/>
    <s v="Jul"/>
    <n v="2025"/>
  </r>
  <r>
    <n v="887"/>
    <x v="5"/>
    <x v="5"/>
    <s v="Actual"/>
    <x v="8"/>
    <m/>
    <s v="AL-Wajeeh Company"/>
    <s v="Material &amp; Supplies"/>
    <n v="2258.1"/>
    <s v="16723"/>
    <d v="2025-07-02T00:00:00"/>
    <n v="2025401837"/>
    <s v="Jul"/>
    <n v="2025"/>
  </r>
  <r>
    <n v="888"/>
    <x v="5"/>
    <x v="5"/>
    <s v="Actual"/>
    <x v="8"/>
    <m/>
    <s v="ZUMZUM ALFAYHAA INSAAT"/>
    <s v="Material &amp; Supplies"/>
    <n v="2162"/>
    <s v="10990"/>
    <d v="2025-08-30T00:00:00"/>
    <n v="2025402757"/>
    <s v="Aug"/>
    <n v="2025"/>
  </r>
  <r>
    <n v="889"/>
    <x v="5"/>
    <x v="5"/>
    <s v="Actual"/>
    <x v="8"/>
    <m/>
    <s v="ZUMZUM ALFAYHAA INSAAT"/>
    <s v="Material &amp; Supplies"/>
    <n v="2151.9"/>
    <s v="11004"/>
    <d v="2025-08-28T00:00:00"/>
    <n v="2025402797"/>
    <s v="Aug"/>
    <n v="2025"/>
  </r>
  <r>
    <n v="890"/>
    <x v="5"/>
    <x v="5"/>
    <s v="Actual"/>
    <x v="8"/>
    <m/>
    <s v="ZUMZUM ALFAYHAA INSAAT"/>
    <s v="Material &amp; Supplies"/>
    <n v="2084.1"/>
    <s v="11056"/>
    <d v="2025-08-28T00:00:00"/>
    <n v="2025402814"/>
    <s v="Aug"/>
    <n v="2025"/>
  </r>
  <r>
    <n v="891"/>
    <x v="5"/>
    <x v="5"/>
    <s v="Actual"/>
    <x v="8"/>
    <m/>
    <s v="ZUMZUM ALFAYHAA INSAAT"/>
    <s v="Material &amp; Supplies"/>
    <n v="2015.4"/>
    <s v="11200"/>
    <d v="2025-10-27T00:00:00"/>
    <n v="2025403067"/>
    <s v="Aug"/>
    <n v="2025"/>
  </r>
  <r>
    <n v="892"/>
    <x v="5"/>
    <x v="5"/>
    <s v="Actual"/>
    <x v="8"/>
    <m/>
    <s v="AL-Wajeeh Company"/>
    <s v="Material &amp; Supplies"/>
    <n v="2006.45"/>
    <s v="17028"/>
    <d v="2025-11-23T00:00:00"/>
    <n v="2025403976"/>
    <s v="Aug"/>
    <n v="2025"/>
  </r>
  <r>
    <n v="893"/>
    <x v="5"/>
    <x v="5"/>
    <s v="Actual"/>
    <x v="8"/>
    <m/>
    <s v="ZUMZUM ALFAYHAA INSAAT"/>
    <s v="Material &amp; Supplies"/>
    <n v="2000"/>
    <s v="10508"/>
    <d v="2025-07-12T00:00:00"/>
    <n v="2025402137"/>
    <s v="Jul"/>
    <n v="2025"/>
  </r>
  <r>
    <n v="894"/>
    <x v="5"/>
    <x v="5"/>
    <s v="Actual"/>
    <x v="8"/>
    <m/>
    <s v="AL-Wajeeh Company"/>
    <s v="Material &amp; Supplies"/>
    <n v="1975.93"/>
    <s v="17028-A"/>
    <d v="2025-11-23T00:00:00"/>
    <n v="2025404262"/>
    <s v="Aug"/>
    <n v="2025"/>
  </r>
  <r>
    <n v="895"/>
    <x v="5"/>
    <x v="5"/>
    <s v="Actual"/>
    <x v="8"/>
    <m/>
    <s v="Al-Ghadeer Print"/>
    <s v="Material &amp; Supplies"/>
    <n v="1969.0140845070423"/>
    <s v="67"/>
    <d v="2025-08-10T00:00:00"/>
    <n v="2025402700"/>
    <s v="Aug"/>
    <n v="2025"/>
  </r>
  <r>
    <n v="896"/>
    <x v="5"/>
    <x v="5"/>
    <s v="Actual"/>
    <x v="8"/>
    <m/>
    <s v="AL-Wajeeh Company"/>
    <s v="Material &amp; Supplies"/>
    <n v="1943.37"/>
    <s v="16819"/>
    <d v="2025-08-06T00:00:00"/>
    <n v="2025402514"/>
    <s v="Aug"/>
    <n v="2025"/>
  </r>
  <r>
    <n v="897"/>
    <x v="5"/>
    <x v="5"/>
    <s v="Actual"/>
    <x v="8"/>
    <m/>
    <s v="ZUMZUM ALFAYHAA INSAAT"/>
    <s v="Material &amp; Supplies"/>
    <n v="1925.9"/>
    <s v="10370"/>
    <d v="2025-06-30T00:00:00"/>
    <n v="2025402013"/>
    <s v="Jul"/>
    <n v="2025"/>
  </r>
  <r>
    <n v="898"/>
    <x v="5"/>
    <x v="5"/>
    <s v="Actual"/>
    <x v="8"/>
    <m/>
    <s v="Al-qanaat Altijaria shops"/>
    <s v="Material &amp; Supplies"/>
    <n v="1901.4084507042253"/>
    <s v="1421"/>
    <d v="2025-07-28T00:00:00"/>
    <n v="2025402559"/>
    <s v="Jul"/>
    <n v="2025"/>
  </r>
  <r>
    <n v="899"/>
    <x v="5"/>
    <x v="5"/>
    <s v="Actual"/>
    <x v="8"/>
    <m/>
    <s v="AL-Wajeeh Company"/>
    <s v="Material &amp; Supplies"/>
    <n v="1825.47"/>
    <s v="16783-1"/>
    <d v="2025-08-06T00:00:00"/>
    <n v="2025402524"/>
    <s v="Aug"/>
    <n v="2025"/>
  </r>
  <r>
    <n v="900"/>
    <x v="5"/>
    <x v="5"/>
    <s v="Actual"/>
    <x v="8"/>
    <m/>
    <s v="AL-Wajeeh Company"/>
    <s v="Material &amp; Supplies"/>
    <n v="1774.25"/>
    <s v="16973-1"/>
    <d v="2025-07-30T00:00:00"/>
    <n v="2025402499"/>
    <s v="Aug"/>
    <n v="2025"/>
  </r>
  <r>
    <n v="901"/>
    <x v="5"/>
    <x v="5"/>
    <s v="Actual"/>
    <x v="8"/>
    <m/>
    <s v="AL-Wajeeh Company"/>
    <s v="Material &amp; Supplies"/>
    <n v="1733.29"/>
    <s v="16905"/>
    <d v="2025-07-23T00:00:00"/>
    <n v="2025402370"/>
    <s v="Jul"/>
    <n v="2025"/>
  </r>
  <r>
    <n v="902"/>
    <x v="5"/>
    <x v="5"/>
    <s v="Actual"/>
    <x v="8"/>
    <m/>
    <s v="AL-Wajeeh Company"/>
    <s v="Material &amp; Supplies"/>
    <n v="1708.47"/>
    <s v="16807"/>
    <d v="2025-08-04T00:00:00"/>
    <n v="2025402527"/>
    <s v="Aug"/>
    <n v="2025"/>
  </r>
  <r>
    <n v="903"/>
    <x v="5"/>
    <x v="5"/>
    <s v="Actual"/>
    <x v="8"/>
    <m/>
    <s v="Al Miayar Inspection service and rtaining"/>
    <s v="Material &amp; Supplies"/>
    <n v="1690.1408450704225"/>
    <s v="2023"/>
    <d v="2025-07-19T00:00:00"/>
    <n v="2025402742"/>
    <s v="Jul"/>
    <n v="2025"/>
  </r>
  <r>
    <n v="904"/>
    <x v="5"/>
    <x v="5"/>
    <s v="Actual"/>
    <x v="8"/>
    <m/>
    <s v="BLUE LINE"/>
    <s v="Material &amp; Supplies"/>
    <n v="1671.42"/>
    <s v="6261"/>
    <d v="2025-07-30T00:00:00"/>
    <n v="2025402438"/>
    <s v="Jul"/>
    <n v="2025"/>
  </r>
  <r>
    <n v="905"/>
    <x v="5"/>
    <x v="5"/>
    <s v="Actual"/>
    <x v="8"/>
    <m/>
    <s v="ZUMZUM ALFAYHAA INSAAT"/>
    <s v="Material &amp; Supplies"/>
    <n v="1640.6"/>
    <s v="10898"/>
    <d v="2025-08-20T00:00:00"/>
    <n v="2025402674"/>
    <s v="Aug"/>
    <n v="2025"/>
  </r>
  <r>
    <n v="906"/>
    <x v="5"/>
    <x v="5"/>
    <s v="Actual"/>
    <x v="8"/>
    <m/>
    <s v="ZUMZUM ALFAYHAA INSAAT"/>
    <s v="Material &amp; Supplies"/>
    <n v="1608.9"/>
    <s v="10530"/>
    <d v="2025-07-17T00:00:00"/>
    <n v="2025402156"/>
    <s v="Jul"/>
    <n v="2025"/>
  </r>
  <r>
    <n v="907"/>
    <x v="5"/>
    <x v="5"/>
    <s v="Actual"/>
    <x v="8"/>
    <m/>
    <s v="ZUMZUM ALFAYHAA INSAAT"/>
    <s v="Material &amp; Supplies"/>
    <n v="1600.75"/>
    <s v="14070"/>
    <d v="2025-07-08T00:00:00"/>
    <n v="2025402145"/>
    <s v="Jul"/>
    <n v="2025"/>
  </r>
  <r>
    <n v="908"/>
    <x v="5"/>
    <x v="5"/>
    <s v="Actual"/>
    <x v="8"/>
    <m/>
    <s v="ZUMZUM ALFAYHAA INSAAT"/>
    <s v="Material &amp; Supplies"/>
    <n v="1579.2"/>
    <s v="10466"/>
    <d v="2025-07-08T00:00:00"/>
    <n v="2025402148"/>
    <s v="Jul"/>
    <n v="2025"/>
  </r>
  <r>
    <n v="909"/>
    <x v="5"/>
    <x v="5"/>
    <s v="Actual"/>
    <x v="8"/>
    <m/>
    <s v="ZUMZUM ALFAYHAA INSAAT"/>
    <s v="Material &amp; Supplies"/>
    <n v="1565"/>
    <s v="10880"/>
    <d v="2025-08-20T00:00:00"/>
    <n v="2025402615"/>
    <s v="Aug"/>
    <n v="2025"/>
  </r>
  <r>
    <n v="910"/>
    <x v="5"/>
    <x v="5"/>
    <s v="Actual"/>
    <x v="8"/>
    <m/>
    <s v="AL-Wajeeh Company"/>
    <s v="Material &amp; Supplies"/>
    <n v="1507.28"/>
    <s v="16984"/>
    <d v="2025-08-31T00:00:00"/>
    <n v="2025402844"/>
    <s v="Aug"/>
    <n v="2025"/>
  </r>
  <r>
    <n v="911"/>
    <x v="5"/>
    <x v="5"/>
    <s v="Actual"/>
    <x v="8"/>
    <m/>
    <s v="ZUMZUM ALFAYHAA INSAAT"/>
    <s v="Material &amp; Supplies"/>
    <n v="1441.5"/>
    <s v="10486"/>
    <d v="2025-07-10T00:00:00"/>
    <n v="2025402167"/>
    <s v="Jul"/>
    <n v="2025"/>
  </r>
  <r>
    <n v="912"/>
    <x v="5"/>
    <x v="5"/>
    <s v="Actual"/>
    <x v="8"/>
    <m/>
    <s v="ZUMZUM ALFAYHAA INSAAT"/>
    <s v="Material &amp; Supplies"/>
    <n v="1395"/>
    <s v="10874"/>
    <d v="2025-08-20T00:00:00"/>
    <n v="2025402612"/>
    <s v="Aug"/>
    <n v="2025"/>
  </r>
  <r>
    <n v="913"/>
    <x v="5"/>
    <x v="5"/>
    <s v="Actual"/>
    <x v="8"/>
    <m/>
    <s v="AL-Wajeeh Company"/>
    <s v="Material &amp; Supplies"/>
    <n v="1378.83"/>
    <s v="16907"/>
    <d v="2025-07-23T00:00:00"/>
    <n v="2025402369"/>
    <s v="Jul"/>
    <n v="2025"/>
  </r>
  <r>
    <n v="914"/>
    <x v="5"/>
    <x v="5"/>
    <s v="Actual"/>
    <x v="8"/>
    <m/>
    <s v="AL-Wajeeh Company"/>
    <s v="Material &amp; Supplies"/>
    <n v="1337.65"/>
    <s v="16813"/>
    <d v="2025-07-01T00:00:00"/>
    <n v="2025401911"/>
    <s v="Jul"/>
    <n v="2025"/>
  </r>
  <r>
    <n v="915"/>
    <x v="5"/>
    <x v="5"/>
    <s v="Actual"/>
    <x v="8"/>
    <m/>
    <s v="ZUMZUM ALFAYHAA INSAAT"/>
    <s v="Material &amp; Supplies"/>
    <n v="1296"/>
    <s v="10940"/>
    <d v="2025-08-24T00:00:00"/>
    <n v="2025402749"/>
    <s v="Aug"/>
    <n v="2025"/>
  </r>
  <r>
    <n v="916"/>
    <x v="5"/>
    <x v="5"/>
    <s v="Actual"/>
    <x v="8"/>
    <m/>
    <s v="ZUMZUM ALFAYHAA INSAAT"/>
    <s v="Material &amp; Supplies"/>
    <n v="1146.4000000000001"/>
    <s v="10740"/>
    <d v="2025-08-06T00:00:00"/>
    <n v="2025402164"/>
    <s v="Aug"/>
    <n v="2025"/>
  </r>
  <r>
    <n v="917"/>
    <x v="5"/>
    <x v="5"/>
    <s v="Actual"/>
    <x v="8"/>
    <m/>
    <s v="AL-Wajeeh Company"/>
    <s v="Material &amp; Supplies"/>
    <n v="1106.03"/>
    <s v="17021"/>
    <d v="2025-08-28T00:00:00"/>
    <n v="2025402849"/>
    <s v="Aug"/>
    <n v="2025"/>
  </r>
  <r>
    <n v="918"/>
    <x v="5"/>
    <x v="5"/>
    <s v="Actual"/>
    <x v="8"/>
    <m/>
    <s v="BLUE LINE"/>
    <s v="Material &amp; Supplies"/>
    <n v="1061.0999999999999"/>
    <s v="6011"/>
    <d v="2025-08-23T00:00:00"/>
    <n v="2025402584"/>
    <s v="Aug"/>
    <n v="2025"/>
  </r>
  <r>
    <n v="919"/>
    <x v="5"/>
    <x v="5"/>
    <s v="Actual"/>
    <x v="8"/>
    <m/>
    <s v="BLUE LINE"/>
    <s v="Material &amp; Supplies"/>
    <n v="1054.3"/>
    <s v="6268"/>
    <d v="2025-07-24T00:00:00"/>
    <n v="2025402327"/>
    <s v="Jul"/>
    <n v="2025"/>
  </r>
  <r>
    <n v="920"/>
    <x v="5"/>
    <x v="5"/>
    <s v="Actual"/>
    <x v="8"/>
    <m/>
    <s v="AL-Wajeeh Company"/>
    <s v="Material &amp; Supplies"/>
    <n v="1051.17"/>
    <s v="16868"/>
    <d v="2025-07-08T00:00:00"/>
    <n v="2025402059"/>
    <s v="Jul"/>
    <n v="2025"/>
  </r>
  <r>
    <n v="921"/>
    <x v="5"/>
    <x v="5"/>
    <s v="Actual"/>
    <x v="8"/>
    <m/>
    <s v="Khan Alhadded Company"/>
    <s v="Materials/IRON"/>
    <n v="1040"/>
    <s v="0870"/>
    <d v="2025-07-14T00:00:00"/>
    <n v="2025402435"/>
    <s v="Jul"/>
    <n v="2025"/>
  </r>
  <r>
    <n v="922"/>
    <x v="5"/>
    <x v="5"/>
    <s v="Actual"/>
    <x v="8"/>
    <m/>
    <s v="BLUE LINE"/>
    <s v="Material &amp; Supplies"/>
    <n v="1030.8"/>
    <s v="6270"/>
    <d v="2025-08-25T00:00:00"/>
    <n v="2025402647"/>
    <s v="Aug"/>
    <n v="2025"/>
  </r>
  <r>
    <n v="923"/>
    <x v="5"/>
    <x v="5"/>
    <s v="Actual"/>
    <x v="8"/>
    <m/>
    <s v="GAMMA PETROLEUM SERVICES"/>
    <s v="Material &amp; Supplies"/>
    <n v="976"/>
    <s v="202507-02"/>
    <d v="2025-07-15T00:00:00"/>
    <n v="2025402262"/>
    <s v="Jul"/>
    <n v="2025"/>
  </r>
  <r>
    <n v="924"/>
    <x v="5"/>
    <x v="5"/>
    <s v="Actual"/>
    <x v="8"/>
    <m/>
    <s v="ZUMZUM ALFAYHAA INSAAT"/>
    <s v="Material &amp; Supplies"/>
    <n v="931.6"/>
    <s v="10710"/>
    <d v="2025-08-06T00:00:00"/>
    <n v="2025402479"/>
    <s v="Aug"/>
    <n v="2025"/>
  </r>
  <r>
    <n v="925"/>
    <x v="5"/>
    <x v="5"/>
    <s v="Actual"/>
    <x v="8"/>
    <m/>
    <s v="ZUMZUM ALFAYHAA INSAAT"/>
    <s v="Material &amp; Supplies"/>
    <n v="864"/>
    <s v="10976"/>
    <d v="2025-08-26T00:00:00"/>
    <n v="2025402761"/>
    <s v="Aug"/>
    <n v="2025"/>
  </r>
  <r>
    <n v="926"/>
    <x v="5"/>
    <x v="5"/>
    <s v="Actual"/>
    <x v="8"/>
    <m/>
    <s v="ZUMZUM ALFAYHAA INSAAT"/>
    <s v="Material &amp; Supplies"/>
    <n v="825"/>
    <s v="10594"/>
    <d v="2025-08-03T00:00:00"/>
    <n v="2025402310"/>
    <s v="Aug"/>
    <n v="2025"/>
  </r>
  <r>
    <n v="927"/>
    <x v="5"/>
    <x v="5"/>
    <s v="Actual"/>
    <x v="8"/>
    <m/>
    <s v="ZUMZUM ALFAYHAA INSAAT"/>
    <s v="Material &amp; Supplies"/>
    <n v="800"/>
    <s v="10882"/>
    <d v="2025-08-20T00:00:00"/>
    <n v="2025402616"/>
    <s v="Aug"/>
    <n v="2025"/>
  </r>
  <r>
    <n v="928"/>
    <x v="5"/>
    <x v="5"/>
    <s v="Actual"/>
    <x v="8"/>
    <m/>
    <s v="ZUMZUM ALFAYHAA INSAAT"/>
    <s v="Material &amp; Supplies"/>
    <n v="777"/>
    <s v="11002"/>
    <d v="2025-08-28T00:00:00"/>
    <n v="2025402796"/>
    <s v="Aug"/>
    <n v="2025"/>
  </r>
  <r>
    <n v="929"/>
    <x v="5"/>
    <x v="5"/>
    <s v="Actual"/>
    <x v="8"/>
    <m/>
    <s v="Al Miayar Inspection service and rtaining"/>
    <s v="Material &amp; Supplies"/>
    <n v="739.43661971830988"/>
    <s v="2098"/>
    <d v="2025-08-12T00:00:00"/>
    <n v="2025403193"/>
    <s v="Aug"/>
    <n v="2025"/>
  </r>
  <r>
    <n v="930"/>
    <x v="5"/>
    <x v="5"/>
    <s v="Actual"/>
    <x v="8"/>
    <m/>
    <s v="ZUMZUM ALFAYHAA INSAAT"/>
    <s v="Material &amp; Supplies"/>
    <n v="715"/>
    <s v="10936"/>
    <d v="2025-08-24T00:00:00"/>
    <n v="2025402735"/>
    <s v="Aug"/>
    <n v="2025"/>
  </r>
  <r>
    <n v="931"/>
    <x v="5"/>
    <x v="5"/>
    <s v="Actual"/>
    <x v="8"/>
    <m/>
    <s v="ZUMZUM ALFAYHAA INSAAT"/>
    <s v="Material &amp; Supplies"/>
    <n v="703"/>
    <s v="10798"/>
    <d v="2025-08-11T00:00:00"/>
    <n v="2025402587"/>
    <s v="Aug"/>
    <n v="2025"/>
  </r>
  <r>
    <n v="932"/>
    <x v="5"/>
    <x v="5"/>
    <s v="Actual"/>
    <x v="8"/>
    <m/>
    <s v="ZUMZUM ALFAYHAA INSAAT"/>
    <s v="Material &amp; Supplies"/>
    <n v="640"/>
    <s v="10988"/>
    <d v="2025-08-26T00:00:00"/>
    <n v="2025402762"/>
    <s v="Aug"/>
    <n v="2025"/>
  </r>
  <r>
    <n v="933"/>
    <x v="5"/>
    <x v="5"/>
    <s v="Actual"/>
    <x v="8"/>
    <m/>
    <s v="AL-Wajeeh Company"/>
    <s v="Material &amp; Supplies"/>
    <n v="618.29999999999995"/>
    <s v="16961-1"/>
    <d v="2025-08-04T00:00:00"/>
    <n v="2025402376"/>
    <s v="Aug"/>
    <n v="2025"/>
  </r>
  <r>
    <n v="934"/>
    <x v="5"/>
    <x v="5"/>
    <s v="Actual"/>
    <x v="8"/>
    <m/>
    <s v="ZUMZUM ALFAYHAA INSAAT"/>
    <s v="Material &amp; Supplies"/>
    <n v="615"/>
    <s v="10694"/>
    <d v="2025-08-06T00:00:00"/>
    <n v="2025402444"/>
    <s v="Aug"/>
    <n v="2025"/>
  </r>
  <r>
    <n v="935"/>
    <x v="5"/>
    <x v="5"/>
    <s v="Actual"/>
    <x v="8"/>
    <m/>
    <s v="ZUMZUM ALFAYHAA INSAAT"/>
    <s v="Material &amp; Supplies"/>
    <n v="609"/>
    <s v="11024"/>
    <d v="2025-08-28T00:00:00"/>
    <n v="2025402710"/>
    <s v="Aug"/>
    <n v="2025"/>
  </r>
  <r>
    <n v="936"/>
    <x v="5"/>
    <x v="5"/>
    <s v="Actual"/>
    <x v="8"/>
    <m/>
    <s v="ZUMZUM ALFAYHAA INSAAT"/>
    <s v="Material &amp; Supplies"/>
    <n v="600"/>
    <s v="10902"/>
    <d v="2025-08-24T00:00:00"/>
    <n v="2025402684"/>
    <s v="Aug"/>
    <n v="2025"/>
  </r>
  <r>
    <n v="937"/>
    <x v="5"/>
    <x v="5"/>
    <s v="Actual"/>
    <x v="8"/>
    <m/>
    <s v="ZUMZUM ALFAYHAA INSAAT"/>
    <s v="Material &amp; Supplies"/>
    <n v="560"/>
    <s v="10868"/>
    <d v="2025-08-20T00:00:00"/>
    <n v="2025402609"/>
    <s v="Aug"/>
    <n v="2025"/>
  </r>
  <r>
    <n v="938"/>
    <x v="5"/>
    <x v="5"/>
    <s v="Actual"/>
    <x v="8"/>
    <m/>
    <s v="BLUE LINE"/>
    <s v="Material &amp; Supplies"/>
    <n v="548.55999999999995"/>
    <s v="6260"/>
    <d v="2025-08-18T00:00:00"/>
    <n v="2025402651"/>
    <s v="Aug"/>
    <n v="2025"/>
  </r>
  <r>
    <n v="939"/>
    <x v="5"/>
    <x v="5"/>
    <s v="Actual"/>
    <x v="8"/>
    <m/>
    <s v="ZUMZUM ALFAYHAA INSAAT"/>
    <s v="Material &amp; Supplies"/>
    <n v="515.5"/>
    <s v="11062"/>
    <d v="2025-08-28T00:00:00"/>
    <n v="2025402819"/>
    <s v="Aug"/>
    <n v="2025"/>
  </r>
  <r>
    <n v="940"/>
    <x v="5"/>
    <x v="5"/>
    <s v="Actual"/>
    <x v="8"/>
    <m/>
    <s v="BLUE LINE"/>
    <s v="Material &amp; Supplies"/>
    <n v="515.28"/>
    <s v="6211"/>
    <d v="2025-07-12T00:00:00"/>
    <n v="2025402190"/>
    <s v="Jul"/>
    <n v="2025"/>
  </r>
  <r>
    <n v="941"/>
    <x v="5"/>
    <x v="5"/>
    <s v="Actual"/>
    <x v="8"/>
    <m/>
    <s v="ZUMZUM ALFAYHAA INSAAT"/>
    <s v="Material &amp; Supplies"/>
    <n v="502.4"/>
    <s v="11012"/>
    <d v="2025-08-30T00:00:00"/>
    <n v="2025402808"/>
    <s v="Aug"/>
    <n v="2025"/>
  </r>
  <r>
    <n v="942"/>
    <x v="5"/>
    <x v="5"/>
    <s v="Actual"/>
    <x v="8"/>
    <m/>
    <s v="ZUMZUM ALFAYHAA INSAAT"/>
    <s v="Material &amp; Supplies"/>
    <n v="500"/>
    <s v="11008"/>
    <d v="2025-08-30T00:00:00"/>
    <n v="2025402792"/>
    <s v="Aug"/>
    <n v="2025"/>
  </r>
  <r>
    <n v="943"/>
    <x v="5"/>
    <x v="5"/>
    <s v="Actual"/>
    <x v="8"/>
    <m/>
    <s v="AL-Wajeeh Company"/>
    <s v="Material &amp; Supplies"/>
    <n v="490.8"/>
    <s v="16731"/>
    <d v="2025-07-02T00:00:00"/>
    <n v="2025401836"/>
    <s v="Jul"/>
    <n v="2025"/>
  </r>
  <r>
    <n v="944"/>
    <x v="5"/>
    <x v="5"/>
    <s v="Actual"/>
    <x v="8"/>
    <m/>
    <s v="ZUMZUM ALFAYHAA INSAAT"/>
    <s v="Material &amp; Supplies"/>
    <n v="456"/>
    <s v="10526"/>
    <d v="2025-07-17T00:00:00"/>
    <n v="2025402154"/>
    <s v="Jul"/>
    <n v="2025"/>
  </r>
  <r>
    <n v="945"/>
    <x v="5"/>
    <x v="5"/>
    <s v="Actual"/>
    <x v="8"/>
    <m/>
    <s v="AL-Wajeeh Company"/>
    <s v="Material &amp; Supplies"/>
    <n v="421.88"/>
    <s v="16814"/>
    <d v="2025-08-24T00:00:00"/>
    <n v="2025402520"/>
    <s v="Aug"/>
    <n v="2025"/>
  </r>
  <r>
    <n v="946"/>
    <x v="5"/>
    <x v="5"/>
    <s v="Actual"/>
    <x v="8"/>
    <m/>
    <s v="ZUMZUM ALFAYHAA INSAAT"/>
    <s v="Material &amp; Supplies"/>
    <n v="412"/>
    <s v="10762"/>
    <d v="2025-08-04T00:00:00"/>
    <n v="2025402484"/>
    <s v="Aug"/>
    <n v="2025"/>
  </r>
  <r>
    <n v="947"/>
    <x v="5"/>
    <x v="5"/>
    <s v="Actual"/>
    <x v="8"/>
    <m/>
    <s v="AL-Wajeeh Company"/>
    <s v="Material &amp; Supplies"/>
    <n v="406.08"/>
    <s v="16818"/>
    <d v="2025-08-03T00:00:00"/>
    <n v="2025402519"/>
    <s v="Aug"/>
    <n v="2025"/>
  </r>
  <r>
    <n v="948"/>
    <x v="5"/>
    <x v="5"/>
    <s v="Actual"/>
    <x v="8"/>
    <m/>
    <s v="ZUMZUM ALFAYHAA INSAAT"/>
    <s v="Material &amp; Supplies"/>
    <n v="398.9"/>
    <s v="10490"/>
    <d v="2025-07-10T00:00:00"/>
    <n v="2025402170"/>
    <s v="Jul"/>
    <n v="2025"/>
  </r>
  <r>
    <n v="949"/>
    <x v="5"/>
    <x v="5"/>
    <s v="Actual"/>
    <x v="8"/>
    <m/>
    <s v="BLUE LINE"/>
    <s v="Material &amp; Supplies"/>
    <n v="391.02"/>
    <s v="6308"/>
    <d v="2025-08-18T00:00:00"/>
    <n v="2025402635"/>
    <s v="Aug"/>
    <n v="2025"/>
  </r>
  <r>
    <n v="950"/>
    <x v="5"/>
    <x v="5"/>
    <s v="Actual"/>
    <x v="8"/>
    <m/>
    <s v="AL-Wajeeh Company"/>
    <s v="Material &amp; Supplies"/>
    <n v="373.9"/>
    <s v="16790-1"/>
    <d v="2025-08-04T00:00:00"/>
    <n v="2025402523"/>
    <s v="Aug"/>
    <n v="2025"/>
  </r>
  <r>
    <n v="951"/>
    <x v="5"/>
    <x v="5"/>
    <s v="Actual"/>
    <x v="8"/>
    <m/>
    <s v="AL-Wajeeh Company"/>
    <s v="Material &amp; Supplies"/>
    <n v="353.42"/>
    <s v="16949"/>
    <d v="2025-08-28T00:00:00"/>
    <n v="2025402829"/>
    <s v="Aug"/>
    <n v="2025"/>
  </r>
  <r>
    <n v="952"/>
    <x v="5"/>
    <x v="5"/>
    <s v="Actual"/>
    <x v="8"/>
    <m/>
    <s v="ZUMZUM ALFAYHAA INSAAT"/>
    <s v="Material &amp; Supplies"/>
    <n v="350"/>
    <s v="10494"/>
    <d v="2025-07-10T00:00:00"/>
    <n v="2025402171"/>
    <s v="Jul"/>
    <n v="2025"/>
  </r>
  <r>
    <n v="953"/>
    <x v="5"/>
    <x v="5"/>
    <s v="Actual"/>
    <x v="8"/>
    <m/>
    <s v="ZUMZUM ALFAYHAA INSAAT"/>
    <s v="Material &amp; Supplies"/>
    <n v="348"/>
    <s v="10468"/>
    <d v="2025-07-08T00:00:00"/>
    <n v="2025402147"/>
    <s v="Jul"/>
    <n v="2025"/>
  </r>
  <r>
    <n v="954"/>
    <x v="5"/>
    <x v="5"/>
    <s v="Actual"/>
    <x v="8"/>
    <m/>
    <s v="ZUMZUM ALFAYHAA INSAAT"/>
    <s v="Material &amp; Supplies"/>
    <n v="309.89999999999998"/>
    <s v="10680"/>
    <d v="2025-08-30T00:00:00"/>
    <n v="2025402434"/>
    <s v="Aug"/>
    <n v="2025"/>
  </r>
  <r>
    <n v="955"/>
    <x v="5"/>
    <x v="5"/>
    <s v="Actual"/>
    <x v="8"/>
    <m/>
    <s v="ZUMZUM ALFAYHAA INSAAT"/>
    <s v="Material &amp; Supplies"/>
    <n v="304"/>
    <s v="10682"/>
    <d v="2025-08-03T00:00:00"/>
    <n v="2025402415"/>
    <s v="Aug"/>
    <n v="2025"/>
  </r>
  <r>
    <n v="956"/>
    <x v="5"/>
    <x v="5"/>
    <s v="Actual"/>
    <x v="8"/>
    <m/>
    <s v="BLUE LINE"/>
    <s v="Material &amp; Supplies"/>
    <n v="286.88"/>
    <s v="6324"/>
    <d v="2025-08-25T00:00:00"/>
    <n v="2025402558"/>
    <s v="Aug"/>
    <n v="2025"/>
  </r>
  <r>
    <n v="957"/>
    <x v="5"/>
    <x v="5"/>
    <s v="Actual"/>
    <x v="8"/>
    <m/>
    <s v="ZUMZUM ALFAYHAA INSAAT"/>
    <s v="Material &amp; Supplies"/>
    <n v="274.3"/>
    <s v="11052"/>
    <d v="2025-08-28T00:00:00"/>
    <n v="2025402817"/>
    <s v="Aug"/>
    <n v="2025"/>
  </r>
  <r>
    <n v="958"/>
    <x v="5"/>
    <x v="5"/>
    <s v="Actual"/>
    <x v="8"/>
    <m/>
    <s v="BLUE LINE"/>
    <s v="Material &amp; Supplies"/>
    <n v="265.74"/>
    <s v="6238"/>
    <d v="2025-07-21T00:00:00"/>
    <n v="2025402271"/>
    <s v="Jul"/>
    <n v="2025"/>
  </r>
  <r>
    <n v="959"/>
    <x v="5"/>
    <x v="5"/>
    <s v="Actual"/>
    <x v="8"/>
    <m/>
    <s v="AL-Wajeeh Company"/>
    <s v="Material &amp; Supplies"/>
    <n v="261.20999999999998"/>
    <s v="16975"/>
    <d v="2025-08-28T00:00:00"/>
    <n v="2025402845"/>
    <s v="Aug"/>
    <n v="2025"/>
  </r>
  <r>
    <n v="960"/>
    <x v="5"/>
    <x v="5"/>
    <s v="Actual"/>
    <x v="8"/>
    <m/>
    <s v="Al-Ghadeer Print"/>
    <s v="Material &amp; Supplies"/>
    <n v="246.47887323943661"/>
    <s v="0063"/>
    <d v="2025-07-26T00:00:00"/>
    <n v="2025402594"/>
    <s v="Jul"/>
    <n v="2025"/>
  </r>
  <r>
    <n v="961"/>
    <x v="5"/>
    <x v="5"/>
    <s v="Actual"/>
    <x v="8"/>
    <m/>
    <s v="AL-Wajeeh Company"/>
    <s v="Material &amp; Supplies"/>
    <n v="228.49"/>
    <s v="16748"/>
    <d v="2025-08-06T00:00:00"/>
    <n v="2025402526"/>
    <s v="Aug"/>
    <n v="2025"/>
  </r>
  <r>
    <n v="962"/>
    <x v="5"/>
    <x v="5"/>
    <s v="Actual"/>
    <x v="8"/>
    <m/>
    <s v="ZUMZUM ALFAYHAA INSAAT"/>
    <s v="Material &amp; Supplies"/>
    <n v="221.8"/>
    <s v="10982"/>
    <d v="2025-08-26T00:00:00"/>
    <n v="2025402775"/>
    <s v="Aug"/>
    <n v="2025"/>
  </r>
  <r>
    <n v="963"/>
    <x v="5"/>
    <x v="5"/>
    <s v="Actual"/>
    <x v="8"/>
    <m/>
    <s v="BLUE LINE"/>
    <s v="Material &amp; Supplies"/>
    <n v="220.93"/>
    <s v="6177"/>
    <d v="2025-08-16T00:00:00"/>
    <n v="2025401989"/>
    <s v="Aug"/>
    <n v="2025"/>
  </r>
  <r>
    <n v="964"/>
    <x v="5"/>
    <x v="5"/>
    <s v="Actual"/>
    <x v="8"/>
    <m/>
    <s v="ZUMZUM ALFAYHAA INSAAT"/>
    <s v="Material &amp; Supplies"/>
    <n v="214"/>
    <s v="10640"/>
    <d v="2025-07-27T00:00:00"/>
    <n v="2025402359"/>
    <s v="Jul"/>
    <n v="2025"/>
  </r>
  <r>
    <n v="965"/>
    <x v="5"/>
    <x v="5"/>
    <s v="Actual"/>
    <x v="8"/>
    <m/>
    <s v="BLUE LINE"/>
    <s v="Material &amp; Supplies"/>
    <n v="207.3"/>
    <s v="6313"/>
    <d v="2025-08-18T00:00:00"/>
    <n v="2025402638"/>
    <s v="Aug"/>
    <n v="2025"/>
  </r>
  <r>
    <n v="966"/>
    <x v="5"/>
    <x v="5"/>
    <s v="Actual"/>
    <x v="8"/>
    <m/>
    <s v="ZUMZUM ALFAYHAA INSAAT"/>
    <s v="Material &amp; Supplies"/>
    <n v="195.4"/>
    <s v="10718"/>
    <d v="2025-08-06T00:00:00"/>
    <n v="2025402468"/>
    <s v="Aug"/>
    <n v="2025"/>
  </r>
  <r>
    <n v="967"/>
    <x v="5"/>
    <x v="5"/>
    <s v="Actual"/>
    <x v="8"/>
    <m/>
    <s v="BLUE LINE"/>
    <s v="Material &amp; Supplies"/>
    <n v="182.14"/>
    <s v="6336"/>
    <d v="2025-08-18T00:00:00"/>
    <n v="2025402634"/>
    <s v="Aug"/>
    <n v="2025"/>
  </r>
  <r>
    <n v="968"/>
    <x v="5"/>
    <x v="5"/>
    <s v="Actual"/>
    <x v="8"/>
    <m/>
    <s v="ZUMZUM ALFAYHAA INSAAT"/>
    <s v="Material &amp; Supplies"/>
    <n v="182"/>
    <s v="11022"/>
    <d v="2025-08-28T00:00:00"/>
    <n v="2025402707"/>
    <s v="Aug"/>
    <n v="2025"/>
  </r>
  <r>
    <n v="969"/>
    <x v="5"/>
    <x v="5"/>
    <s v="Actual"/>
    <x v="8"/>
    <m/>
    <s v="ZUMZUM ALFAYHAA INSAAT"/>
    <s v="Material &amp; Supplies"/>
    <n v="175"/>
    <s v="10796"/>
    <d v="2025-08-11T00:00:00"/>
    <n v="2025402588"/>
    <s v="Aug"/>
    <n v="2025"/>
  </r>
  <r>
    <n v="970"/>
    <x v="5"/>
    <x v="5"/>
    <s v="Actual"/>
    <x v="8"/>
    <m/>
    <s v="ZUMZUM ALFAYHAA INSAAT"/>
    <s v="Material &amp; Supplies"/>
    <n v="165"/>
    <s v="10576"/>
    <d v="2025-07-17T00:00:00"/>
    <n v="2025402261"/>
    <s v="Jul"/>
    <n v="2025"/>
  </r>
  <r>
    <n v="971"/>
    <x v="5"/>
    <x v="5"/>
    <s v="Actual"/>
    <x v="8"/>
    <m/>
    <s v="BLUE LINE"/>
    <s v="Material &amp; Supplies"/>
    <n v="164.58"/>
    <s v="6231"/>
    <d v="2025-07-20T00:00:00"/>
    <n v="2025402161"/>
    <s v="Jul"/>
    <n v="2025"/>
  </r>
  <r>
    <n v="972"/>
    <x v="5"/>
    <x v="5"/>
    <s v="Actual"/>
    <x v="8"/>
    <m/>
    <s v="BLUE LINE"/>
    <s v="Material &amp; Supplies"/>
    <n v="154.29"/>
    <s v="6286"/>
    <d v="2025-08-18T00:00:00"/>
    <n v="2025402642"/>
    <s v="Aug"/>
    <n v="2025"/>
  </r>
  <r>
    <n v="973"/>
    <x v="5"/>
    <x v="5"/>
    <s v="Actual"/>
    <x v="8"/>
    <m/>
    <s v="BLUE LINE"/>
    <s v="Material &amp; Supplies"/>
    <n v="100.38"/>
    <s v="6332"/>
    <d v="2025-08-18T00:00:00"/>
    <n v="2025402633"/>
    <s v="Aug"/>
    <n v="2025"/>
  </r>
  <r>
    <n v="974"/>
    <x v="5"/>
    <x v="5"/>
    <s v="Actual"/>
    <x v="8"/>
    <m/>
    <s v="ZUMZUM ALFAYHAA INSAAT"/>
    <s v="Material &amp; Supplies"/>
    <n v="97.5"/>
    <s v="10498"/>
    <d v="2025-07-10T00:00:00"/>
    <n v="2025402173"/>
    <s v="Jul"/>
    <n v="2025"/>
  </r>
  <r>
    <n v="975"/>
    <x v="5"/>
    <x v="5"/>
    <s v="Actual"/>
    <x v="8"/>
    <m/>
    <s v="AL-Wajeeh Company"/>
    <s v="Material &amp; Supplies"/>
    <n v="82.17"/>
    <s v="16881"/>
    <d v="2025-08-04T00:00:00"/>
    <n v="2025402518"/>
    <s v="Aug"/>
    <n v="2025"/>
  </r>
  <r>
    <n v="976"/>
    <x v="5"/>
    <x v="5"/>
    <s v="Actual"/>
    <x v="8"/>
    <m/>
    <s v="ZUMZUM ALFAYHAA INSAAT"/>
    <s v="Material &amp; Supplies"/>
    <n v="80"/>
    <s v="10674"/>
    <d v="2025-08-03T00:00:00"/>
    <n v="2025402428"/>
    <s v="Aug"/>
    <n v="2025"/>
  </r>
  <r>
    <n v="977"/>
    <x v="5"/>
    <x v="5"/>
    <s v="Actual"/>
    <x v="8"/>
    <m/>
    <s v="AL-Wajeeh Company"/>
    <s v="Material &amp; Supplies"/>
    <n v="63.22"/>
    <s v="16552"/>
    <d v="2025-08-04T00:00:00"/>
    <n v="2025402533"/>
    <s v="Aug"/>
    <n v="2025"/>
  </r>
  <r>
    <n v="978"/>
    <x v="5"/>
    <x v="5"/>
    <s v="Actual"/>
    <x v="8"/>
    <m/>
    <s v="AL-Wajeeh Company"/>
    <s v="Material &amp; Supplies"/>
    <n v="57.7"/>
    <s v="17023"/>
    <d v="2025-08-28T00:00:00"/>
    <n v="2025402841"/>
    <s v="Aug"/>
    <n v="2025"/>
  </r>
  <r>
    <n v="979"/>
    <x v="5"/>
    <x v="5"/>
    <s v="Actual"/>
    <x v="8"/>
    <m/>
    <s v="AL-Wajeeh Company"/>
    <s v="Material &amp; Supplies"/>
    <n v="22.21"/>
    <s v="16924"/>
    <d v="2025-07-23T00:00:00"/>
    <n v="2025402404"/>
    <s v="Jul"/>
    <n v="2025"/>
  </r>
  <r>
    <n v="980"/>
    <x v="5"/>
    <x v="5"/>
    <s v="Actual"/>
    <x v="8"/>
    <m/>
    <s v="Al-Ghadeer Print"/>
    <s v="Material &amp; Supplies"/>
    <n v="21.12676056338028"/>
    <s v="75"/>
    <d v="2025-08-25T00:00:00"/>
    <n v="2025403033"/>
    <s v="Aug"/>
    <n v="2025"/>
  </r>
  <r>
    <n v="981"/>
    <x v="1"/>
    <x v="1"/>
    <s v="Actual"/>
    <x v="8"/>
    <m/>
    <s v="Burj Al Rafidain Hamza"/>
    <s v="Material &amp; Supplies"/>
    <n v="22453.362676056338"/>
    <s v="INV-IGCC-25-0531"/>
    <d v="2025-08-30T00:00:00"/>
    <s v="N/A"/>
    <s v="Aug"/>
    <n v="2025"/>
  </r>
  <r>
    <n v="982"/>
    <x v="1"/>
    <x v="1"/>
    <s v="Actual"/>
    <x v="8"/>
    <m/>
    <s v="Al-Karar Gallery for Wood &amp; MDF"/>
    <s v="Materials/Wood"/>
    <n v="7478.8732394366198"/>
    <s v="0828"/>
    <d v="2025-08-27T00:00:00"/>
    <n v="2025403034"/>
    <s v="Aug"/>
    <n v="2025"/>
  </r>
  <r>
    <n v="983"/>
    <x v="1"/>
    <x v="1"/>
    <s v="Actual"/>
    <x v="8"/>
    <m/>
    <s v="GAMMA PETROLEUM SERVICES"/>
    <s v="Material &amp; Supplies"/>
    <n v="2145"/>
    <s v="202507-01"/>
    <d v="2025-07-10T00:00:00"/>
    <n v="2025402226"/>
    <s v="Jul"/>
    <n v="2025"/>
  </r>
  <r>
    <n v="984"/>
    <x v="1"/>
    <x v="1"/>
    <s v="Actual"/>
    <x v="8"/>
    <m/>
    <s v="AL-Wajeeh Company"/>
    <s v="Material &amp; Supplies"/>
    <n v="1925.84"/>
    <s v="16784-A"/>
    <d v="2025-06-29T00:00:00"/>
    <n v="2025401916"/>
    <s v="Jul"/>
    <n v="2025"/>
  </r>
  <r>
    <n v="985"/>
    <x v="1"/>
    <x v="1"/>
    <s v="Actual"/>
    <x v="8"/>
    <m/>
    <s v="AL-Wajeeh Company"/>
    <s v="Material &amp; Supplies"/>
    <n v="1700"/>
    <s v="16784-B"/>
    <d v="2025-06-29T00:00:00"/>
    <n v="2025401917"/>
    <s v="Jul"/>
    <n v="2025"/>
  </r>
  <r>
    <n v="986"/>
    <x v="1"/>
    <x v="1"/>
    <s v="Actual"/>
    <x v="8"/>
    <m/>
    <s v="AL-Wajeeh Company"/>
    <s v="Material &amp; Supplies"/>
    <n v="1439.7"/>
    <s v="16784"/>
    <d v="2025-06-29T00:00:00"/>
    <n v="2025401915"/>
    <s v="Jul"/>
    <n v="2025"/>
  </r>
  <r>
    <n v="987"/>
    <x v="1"/>
    <x v="1"/>
    <s v="Actual"/>
    <x v="8"/>
    <m/>
    <s v="AL-Wajeeh Company"/>
    <s v="Material &amp; Supplies"/>
    <n v="1117.48"/>
    <s v="16625"/>
    <d v="2025-08-27T00:00:00"/>
    <n v="2025402831"/>
    <s v="Aug"/>
    <n v="2025"/>
  </r>
  <r>
    <n v="988"/>
    <x v="1"/>
    <x v="1"/>
    <s v="Actual"/>
    <x v="8"/>
    <m/>
    <s v="RAYAT AL-SHARQ COMPANY For Inspection Services"/>
    <s v="Material &amp; Supplies"/>
    <n v="1000"/>
    <s v="1691"/>
    <d v="2025-07-30T00:00:00"/>
    <n v="2025402383"/>
    <s v="Jul"/>
    <n v="2025"/>
  </r>
  <r>
    <n v="989"/>
    <x v="1"/>
    <x v="1"/>
    <s v="Actual"/>
    <x v="8"/>
    <m/>
    <s v="Petty Cash"/>
    <s v="Food &amp; Meals"/>
    <n v="791.54929577464793"/>
    <s v="##"/>
    <d v="2025-09-08T00:00:00"/>
    <s v="N/A"/>
    <s v="Aug"/>
    <n v="2025"/>
  </r>
  <r>
    <n v="990"/>
    <x v="1"/>
    <x v="1"/>
    <s v="Actual"/>
    <x v="8"/>
    <m/>
    <s v="ZUMZUM ALFAYHAA INSAAT"/>
    <s v="Material &amp; Supplies"/>
    <n v="709.4"/>
    <s v="10510"/>
    <d v="2025-07-12T00:00:00"/>
    <n v="2025402176"/>
    <s v="Jul"/>
    <n v="2025"/>
  </r>
  <r>
    <n v="991"/>
    <x v="1"/>
    <x v="1"/>
    <s v="Actual"/>
    <x v="8"/>
    <m/>
    <s v="AL-Wajeeh Company"/>
    <s v="Material &amp; Supplies"/>
    <n v="706.5"/>
    <s v="16956"/>
    <d v="2025-07-24T00:00:00"/>
    <n v="2025402366"/>
    <s v="Jul"/>
    <n v="2025"/>
  </r>
  <r>
    <n v="992"/>
    <x v="1"/>
    <x v="1"/>
    <s v="Actual"/>
    <x v="8"/>
    <m/>
    <s v="Petty Cash"/>
    <s v="Petty cash for ROOG"/>
    <n v="704.22535211267609"/>
    <s v="##"/>
    <d v="2025-07-25T00:00:00"/>
    <s v="N/A"/>
    <s v="Jul"/>
    <n v="2025"/>
  </r>
  <r>
    <n v="993"/>
    <x v="1"/>
    <x v="1"/>
    <s v="Actual"/>
    <x v="8"/>
    <m/>
    <s v="Petty Cash"/>
    <s v="Petty cash for ROOG"/>
    <n v="704.22535211267609"/>
    <s v="##"/>
    <d v="2025-06-25T00:00:00"/>
    <s v="N/A"/>
    <s v="Jul"/>
    <n v="2025"/>
  </r>
  <r>
    <n v="994"/>
    <x v="1"/>
    <x v="1"/>
    <s v="Actual"/>
    <x v="8"/>
    <m/>
    <s v="ZUMZUM ALFAYHAA INSAAT"/>
    <s v="Material &amp; Supplies"/>
    <n v="690"/>
    <s v="11010"/>
    <d v="2025-08-30T00:00:00"/>
    <n v="2025402809"/>
    <s v="Aug"/>
    <n v="2025"/>
  </r>
  <r>
    <n v="995"/>
    <x v="1"/>
    <x v="1"/>
    <s v="Actual"/>
    <x v="8"/>
    <m/>
    <s v="AL-Wajeeh Company"/>
    <s v="Material &amp; Supplies"/>
    <n v="608.57000000000005"/>
    <s v="16874"/>
    <d v="2025-07-08T00:00:00"/>
    <n v="2025402058"/>
    <s v="Jul"/>
    <n v="2025"/>
  </r>
  <r>
    <n v="996"/>
    <x v="1"/>
    <x v="1"/>
    <s v="Actual"/>
    <x v="8"/>
    <m/>
    <s v="BLUE LINE"/>
    <s v="Material &amp; Supplies"/>
    <n v="530.36"/>
    <s v="6320"/>
    <d v="2025-08-18T00:00:00"/>
    <n v="2025402637"/>
    <s v="Aug"/>
    <n v="2025"/>
  </r>
  <r>
    <n v="997"/>
    <x v="1"/>
    <x v="1"/>
    <s v="Actual"/>
    <x v="8"/>
    <m/>
    <s v="AL-Wajeeh Company"/>
    <s v="Material &amp; Supplies"/>
    <n v="471"/>
    <s v="16900"/>
    <d v="2025-07-23T00:00:00"/>
    <n v="2025402373"/>
    <s v="Jul"/>
    <n v="2025"/>
  </r>
  <r>
    <n v="998"/>
    <x v="1"/>
    <x v="1"/>
    <s v="Actual"/>
    <x v="8"/>
    <m/>
    <s v="BLUE LINE"/>
    <s v="Material &amp; Supplies"/>
    <n v="457.68"/>
    <s v="6143"/>
    <d v="2025-07-29T00:00:00"/>
    <n v="2025402397"/>
    <s v="Jul"/>
    <n v="2025"/>
  </r>
  <r>
    <n v="999"/>
    <x v="1"/>
    <x v="1"/>
    <s v="Actual"/>
    <x v="8"/>
    <m/>
    <s v="Petty Cash"/>
    <s v="Petty Cash for DS04 gathering manifold"/>
    <n v="451.40845070422534"/>
    <s v="##"/>
    <d v="2025-07-20T00:00:00"/>
    <s v="N/A"/>
    <s v="Aug"/>
    <n v="2025"/>
  </r>
  <r>
    <n v="1000"/>
    <x v="1"/>
    <x v="1"/>
    <s v="Actual"/>
    <x v="8"/>
    <m/>
    <s v="AL-Wajeeh Company"/>
    <s v="Material &amp; Supplies"/>
    <n v="350"/>
    <s v="16983"/>
    <d v="2025-08-30T00:00:00"/>
    <n v="2025402836"/>
    <s v="Aug"/>
    <n v="2025"/>
  </r>
  <r>
    <n v="1001"/>
    <x v="1"/>
    <x v="1"/>
    <s v="Actual"/>
    <x v="8"/>
    <m/>
    <s v="AL-Wajeeh Company"/>
    <s v="Material &amp; Supplies"/>
    <n v="315.55"/>
    <s v="16809"/>
    <d v="2025-08-07T00:00:00"/>
    <n v="2025402521"/>
    <s v="Aug"/>
    <n v="2025"/>
  </r>
  <r>
    <n v="1002"/>
    <x v="1"/>
    <x v="1"/>
    <s v="Actual"/>
    <x v="8"/>
    <m/>
    <s v="AL-Wajeeh Company"/>
    <s v="Material &amp; Supplies"/>
    <n v="184.62"/>
    <s v="16861"/>
    <d v="2025-08-04T00:00:00"/>
    <n v="2025402494"/>
    <s v="Aug"/>
    <n v="2025"/>
  </r>
  <r>
    <n v="1003"/>
    <x v="1"/>
    <x v="1"/>
    <s v="Actual"/>
    <x v="8"/>
    <m/>
    <s v="Petty Cash"/>
    <s v="Petty Cash for ROOG"/>
    <n v="176.05633802816902"/>
    <s v="##"/>
    <d v="2025-06-16T00:00:00"/>
    <s v="N/A"/>
    <s v="Jul"/>
    <n v="2025"/>
  </r>
  <r>
    <n v="1004"/>
    <x v="1"/>
    <x v="1"/>
    <s v="Actual"/>
    <x v="8"/>
    <m/>
    <s v="Al-Ghadeer Print"/>
    <s v="Material &amp; Supplies"/>
    <n v="169.01408450704224"/>
    <s v="0057"/>
    <d v="2025-07-17T00:00:00"/>
    <n v="2025402486"/>
    <s v="Jul"/>
    <n v="2025"/>
  </r>
  <r>
    <n v="1005"/>
    <x v="1"/>
    <x v="1"/>
    <s v="Actual"/>
    <x v="8"/>
    <m/>
    <s v="AL-Wajeeh Company"/>
    <s v="Material &amp; Supplies"/>
    <n v="161.69999999999999"/>
    <s v="16892"/>
    <d v="2025-07-09T00:00:00"/>
    <n v="2025402119"/>
    <s v="Jul"/>
    <n v="2025"/>
  </r>
  <r>
    <n v="1006"/>
    <x v="1"/>
    <x v="1"/>
    <s v="Actual"/>
    <x v="8"/>
    <m/>
    <s v="AL-Wajeeh Company"/>
    <s v="Material &amp; Supplies"/>
    <n v="154.77000000000001"/>
    <s v="16959"/>
    <d v="2025-07-23T00:00:00"/>
    <n v="2025402347"/>
    <s v="Jul"/>
    <n v="2025"/>
  </r>
  <r>
    <n v="1007"/>
    <x v="1"/>
    <x v="1"/>
    <s v="Actual"/>
    <x v="8"/>
    <m/>
    <s v="AL-Wajeeh Company"/>
    <s v="Material &amp; Supplies"/>
    <n v="152.68"/>
    <s v="16630"/>
    <d v="2025-08-30T00:00:00"/>
    <n v="2025402832"/>
    <s v="Aug"/>
    <n v="2025"/>
  </r>
  <r>
    <n v="1008"/>
    <x v="1"/>
    <x v="1"/>
    <s v="Actual"/>
    <x v="8"/>
    <m/>
    <s v="AL-Wajeeh Company"/>
    <s v="Material &amp; Supplies"/>
    <n v="101.82"/>
    <s v="16964"/>
    <d v="2025-07-23T00:00:00"/>
    <n v="2025402367"/>
    <s v="Jul"/>
    <n v="2025"/>
  </r>
  <r>
    <n v="1009"/>
    <x v="6"/>
    <x v="13"/>
    <s v="Actual"/>
    <x v="8"/>
    <m/>
    <s v="Petty Cash"/>
    <s v="Food &amp; Meals"/>
    <n v="411.26760563380282"/>
    <s v="##"/>
    <d v="2025-07-08T00:00:00"/>
    <s v="N/A"/>
    <s v="Aug"/>
    <n v="2025"/>
  </r>
  <r>
    <n v="1010"/>
    <x v="3"/>
    <x v="14"/>
    <s v="Actual"/>
    <x v="8"/>
    <m/>
    <s v="Fasco LLC FZ"/>
    <s v="Material &amp; Supplies"/>
    <n v="43504"/>
    <s v="IN 2025000074"/>
    <d v="2025-08-24T00:00:00"/>
    <s v="2025402308"/>
    <s v="Aug"/>
    <n v="2025"/>
  </r>
  <r>
    <n v="1011"/>
    <x v="3"/>
    <x v="14"/>
    <s v="Actual"/>
    <x v="8"/>
    <m/>
    <s v="AL ADWA OFFICE"/>
    <s v="Material &amp; Supplies"/>
    <n v="10299.295774647888"/>
    <s v="#"/>
    <d v="2025-08-05T00:00:00"/>
    <n v="2025402920"/>
    <s v="Aug"/>
    <n v="2025"/>
  </r>
  <r>
    <n v="1012"/>
    <x v="3"/>
    <x v="14"/>
    <s v="Actual"/>
    <x v="8"/>
    <m/>
    <s v="ZUMZUM ALFAYHAA INSAAT"/>
    <s v="Material &amp; Supplies"/>
    <n v="2463.9"/>
    <s v="12052"/>
    <d v="2025-11-05T00:00:00"/>
    <n v="2025404017"/>
    <s v="Jul"/>
    <n v="2025"/>
  </r>
  <r>
    <n v="1013"/>
    <x v="3"/>
    <x v="14"/>
    <s v="Actual"/>
    <x v="8"/>
    <m/>
    <s v="Petty Cash"/>
    <s v="Petty cash for FL"/>
    <n v="1408.4507042253522"/>
    <s v="##"/>
    <d v="2025-06-07T00:00:00"/>
    <s v="N/A"/>
    <s v="Jul"/>
    <n v="2025"/>
  </r>
  <r>
    <n v="1014"/>
    <x v="3"/>
    <x v="14"/>
    <s v="Actual"/>
    <x v="8"/>
    <m/>
    <s v="BLUE LINE"/>
    <s v="Material &amp; Supplies"/>
    <n v="1344.6"/>
    <s v="6328"/>
    <d v="2025-08-20T00:00:00"/>
    <n v="2025402585"/>
    <s v="Aug"/>
    <n v="2025"/>
  </r>
  <r>
    <n v="1015"/>
    <x v="3"/>
    <x v="14"/>
    <s v="Actual"/>
    <x v="8"/>
    <m/>
    <s v="AL-Wajeeh Company"/>
    <s v="Material &amp; Supplies"/>
    <n v="1110.72"/>
    <s v="16889"/>
    <d v="2025-07-02T00:00:00"/>
    <n v="2025402130"/>
    <s v="Jul"/>
    <n v="2025"/>
  </r>
  <r>
    <n v="1016"/>
    <x v="3"/>
    <x v="14"/>
    <s v="Actual"/>
    <x v="8"/>
    <m/>
    <s v="BLUE LINE"/>
    <s v="Material &amp; Supplies"/>
    <n v="657.12"/>
    <s v="6217"/>
    <d v="2025-07-14T00:00:00"/>
    <n v="2025402191"/>
    <s v="Jul"/>
    <n v="2025"/>
  </r>
  <r>
    <n v="1017"/>
    <x v="3"/>
    <x v="14"/>
    <s v="Actual"/>
    <x v="8"/>
    <m/>
    <s v="Petty Cash"/>
    <s v="System Cameras 4mb x 6ea ( FL _ TOTAL )"/>
    <n v="633.80281690140851"/>
    <n v="8"/>
    <d v="2025-05-08T00:00:00"/>
    <s v="N/A"/>
    <s v="Aug"/>
    <n v="2025"/>
  </r>
  <r>
    <n v="1018"/>
    <x v="3"/>
    <x v="14"/>
    <s v="Actual"/>
    <x v="8"/>
    <m/>
    <s v="Sahba Technnnology"/>
    <s v="Material &amp; Supplies"/>
    <n v="577.46478873239437"/>
    <s v="6381"/>
    <d v="2025-07-08T00:00:00"/>
    <n v="2025402260"/>
    <s v="Jul"/>
    <n v="2025"/>
  </r>
  <r>
    <n v="1019"/>
    <x v="3"/>
    <x v="14"/>
    <s v="Actual"/>
    <x v="8"/>
    <m/>
    <s v="Al-Ghadeer Print"/>
    <s v="Material &amp; Supplies"/>
    <n v="48"/>
    <s v="0065"/>
    <d v="2025-08-04T00:00:00"/>
    <n v="2025402723"/>
    <s v="Aug"/>
    <n v="2025"/>
  </r>
  <r>
    <n v="1020"/>
    <x v="3"/>
    <x v="14"/>
    <s v="Actual"/>
    <x v="8"/>
    <m/>
    <s v="Al-Ghadeer Print"/>
    <s v="Material &amp; Supplies"/>
    <n v="39"/>
    <s v="0068"/>
    <d v="2025-08-18T00:00:00"/>
    <n v="2025402772"/>
    <s v="Aug"/>
    <n v="2025"/>
  </r>
  <r>
    <n v="1021"/>
    <x v="3"/>
    <x v="27"/>
    <s v="Actual"/>
    <x v="8"/>
    <m/>
    <s v="BLUE LINE"/>
    <s v="Material &amp; Supplies"/>
    <n v="1301.79"/>
    <s v="6312"/>
    <d v="2025-08-17T00:00:00"/>
    <n v="2025402636"/>
    <s v="Aug"/>
    <n v="2025"/>
  </r>
  <r>
    <n v="1022"/>
    <x v="3"/>
    <x v="27"/>
    <s v="Actual"/>
    <x v="8"/>
    <m/>
    <s v="ZUMZUM ALFAYHAA INSAAT"/>
    <s v="Material &amp; Supplies"/>
    <n v="1012"/>
    <s v="10622"/>
    <d v="2025-08-03T00:00:00"/>
    <n v="2025402320"/>
    <s v="Aug"/>
    <n v="2025"/>
  </r>
  <r>
    <n v="1023"/>
    <x v="3"/>
    <x v="27"/>
    <s v="Actual"/>
    <x v="8"/>
    <m/>
    <s v="Al Jaber Company General Construction Services"/>
    <s v="Materials/Concrete"/>
    <n v="720"/>
    <s v="01082025-IGCC-001"/>
    <d v="2025-08-01T00:00:00"/>
    <n v="2025403223"/>
    <s v="Jul"/>
    <n v="2025"/>
  </r>
  <r>
    <n v="1024"/>
    <x v="3"/>
    <x v="27"/>
    <s v="Actual"/>
    <x v="8"/>
    <m/>
    <s v="Khan Alhadded Company"/>
    <s v="Materials/IRON"/>
    <n v="546"/>
    <s v="0865"/>
    <d v="2025-07-02T00:00:00"/>
    <n v="2025402332"/>
    <s v="Jul"/>
    <n v="2025"/>
  </r>
  <r>
    <n v="1025"/>
    <x v="3"/>
    <x v="27"/>
    <s v="Actual"/>
    <x v="8"/>
    <m/>
    <s v="Petty Cash"/>
    <s v="Petty cash for FFF"/>
    <n v="384.15492957746477"/>
    <s v="##"/>
    <d v="2025-08-25T00:00:00"/>
    <s v="N/A"/>
    <s v="Aug"/>
    <n v="2025"/>
  </r>
  <r>
    <n v="1026"/>
    <x v="3"/>
    <x v="27"/>
    <s v="Actual"/>
    <x v="8"/>
    <m/>
    <s v="Petty Cash"/>
    <s v="Petty cash for FFF"/>
    <n v="345.42253521126759"/>
    <s v="##"/>
    <d v="2025-09-07T00:00:00"/>
    <s v="N/A"/>
    <s v="Jul"/>
    <n v="2025"/>
  </r>
  <r>
    <n v="1027"/>
    <x v="3"/>
    <x v="27"/>
    <s v="Actual"/>
    <x v="8"/>
    <m/>
    <s v="AL-Wajeeh Company"/>
    <s v="Material &amp; Supplies"/>
    <n v="236"/>
    <s v="16862"/>
    <d v="2025-07-23T00:00:00"/>
    <n v="2025402368"/>
    <s v="Jul"/>
    <n v="2025"/>
  </r>
  <r>
    <n v="1028"/>
    <x v="3"/>
    <x v="27"/>
    <s v="Actual"/>
    <x v="8"/>
    <m/>
    <s v="ZUMZUM ALFAYHAA INSAAT"/>
    <s v="Material &amp; Supplies"/>
    <n v="200"/>
    <s v="11050"/>
    <d v="2025-08-28T00:00:00"/>
    <n v="2025402816"/>
    <s v="Aug"/>
    <n v="2025"/>
  </r>
  <r>
    <n v="1029"/>
    <x v="3"/>
    <x v="27"/>
    <s v="Actual"/>
    <x v="8"/>
    <m/>
    <s v="AL-Wajeeh Company"/>
    <s v="Material &amp; Supplies"/>
    <n v="198"/>
    <s v="17008"/>
    <d v="2025-08-30T00:00:00"/>
    <n v="2025402840"/>
    <s v="Aug"/>
    <n v="2025"/>
  </r>
  <r>
    <n v="1030"/>
    <x v="3"/>
    <x v="27"/>
    <s v="Actual"/>
    <x v="8"/>
    <m/>
    <s v="BLUE LINE"/>
    <s v="Material &amp; Supplies"/>
    <n v="140"/>
    <s v="6278"/>
    <d v="2025-08-18T00:00:00"/>
    <n v="2025402648"/>
    <s v="Aug"/>
    <n v="2025"/>
  </r>
  <r>
    <n v="1031"/>
    <x v="3"/>
    <x v="27"/>
    <s v="Actual"/>
    <x v="8"/>
    <m/>
    <s v="AL-Wajeeh Company"/>
    <s v="Material &amp; Supplies"/>
    <n v="11.08"/>
    <s v="16848"/>
    <d v="2025-08-31T00:00:00"/>
    <n v="2025402827"/>
    <s v="Aug"/>
    <n v="2025"/>
  </r>
  <r>
    <n v="1032"/>
    <x v="7"/>
    <x v="29"/>
    <s v="Actual"/>
    <x v="8"/>
    <m/>
    <s v="ZUMZUM ALFAYHAA INSAAT"/>
    <s v="Material &amp; Supplies"/>
    <n v="2813"/>
    <s v="11046"/>
    <d v="2025-08-30T00:00:00"/>
    <n v="2025402801"/>
    <s v="Aug"/>
    <n v="2025"/>
  </r>
  <r>
    <n v="1033"/>
    <x v="7"/>
    <x v="29"/>
    <s v="Actual"/>
    <x v="8"/>
    <m/>
    <s v="AL-Wajeeh Company"/>
    <s v="Material &amp; Supplies"/>
    <n v="923.2"/>
    <s v="17032-1"/>
    <d v="2025-08-17T00:00:00"/>
    <n v="2025402548"/>
    <s v="Aug"/>
    <n v="2025"/>
  </r>
  <r>
    <n v="1034"/>
    <x v="7"/>
    <x v="29"/>
    <s v="Actual"/>
    <x v="8"/>
    <m/>
    <s v="ZUMZUM ALFAYHAA INSAAT"/>
    <s v="Material &amp; Supplies"/>
    <n v="438"/>
    <s v="10648"/>
    <d v="2025-07-27T00:00:00"/>
    <n v="2025402357"/>
    <s v="Jul"/>
    <n v="2025"/>
  </r>
  <r>
    <n v="1035"/>
    <x v="7"/>
    <x v="29"/>
    <s v="Actual"/>
    <x v="8"/>
    <m/>
    <s v="AL-Wajeeh Company"/>
    <s v="Material &amp; Supplies"/>
    <n v="178.8"/>
    <s v="16870-1"/>
    <d v="2025-07-23T00:00:00"/>
    <n v="2025402356"/>
    <s v="Jul"/>
    <n v="2025"/>
  </r>
  <r>
    <n v="1036"/>
    <x v="7"/>
    <x v="29"/>
    <s v="Actual"/>
    <x v="8"/>
    <m/>
    <s v="ZUMZUM ALFAYHAA INSAAT"/>
    <s v="Material &amp; Supplies"/>
    <n v="130"/>
    <s v="10496"/>
    <d v="2025-07-10T00:00:00"/>
    <n v="2025402172"/>
    <s v="Jul"/>
    <n v="2025"/>
  </r>
  <r>
    <n v="1037"/>
    <x v="7"/>
    <x v="29"/>
    <s v="Actual"/>
    <x v="8"/>
    <m/>
    <s v="BLUE LINE"/>
    <s v="Material &amp; Supplies"/>
    <n v="128.58000000000001"/>
    <s v="6229"/>
    <d v="2025-07-21T00:00:00"/>
    <n v="2025402282"/>
    <s v="Jul"/>
    <n v="2025"/>
  </r>
  <r>
    <n v="1038"/>
    <x v="7"/>
    <x v="20"/>
    <s v="Actual"/>
    <x v="8"/>
    <m/>
    <s v="ZUMZUM ALFAYHAA INSAAT"/>
    <s v="Material &amp; Supplies"/>
    <n v="3750"/>
    <s v="10958"/>
    <d v="2025-08-24T00:00:00"/>
    <n v="2025402755"/>
    <s v="Aug"/>
    <n v="2025"/>
  </r>
  <r>
    <n v="1039"/>
    <x v="7"/>
    <x v="20"/>
    <s v="Actual"/>
    <x v="8"/>
    <m/>
    <s v="ZUMZUM ALFAYHAA INSAAT"/>
    <s v="Material &amp; Supplies"/>
    <n v="3106.1"/>
    <s v="10444"/>
    <d v="2025-07-10T00:00:00"/>
    <n v="2025402140"/>
    <s v="Jul"/>
    <n v="2025"/>
  </r>
  <r>
    <n v="1040"/>
    <x v="7"/>
    <x v="20"/>
    <s v="Actual"/>
    <x v="8"/>
    <m/>
    <s v="Al-Ghadeer Print"/>
    <s v="Material &amp; Supplies"/>
    <n v="2535.211267605634"/>
    <s v="0066"/>
    <d v="2025-08-05T00:00:00"/>
    <n v="2025402874"/>
    <s v="Aug"/>
    <n v="2025"/>
  </r>
  <r>
    <n v="1041"/>
    <x v="7"/>
    <x v="20"/>
    <s v="Actual"/>
    <x v="8"/>
    <m/>
    <s v="Cargo Ship Company"/>
    <s v="Material &amp; Supplies"/>
    <n v="2420"/>
    <s v="290"/>
    <d v="2025-08-31T00:00:00"/>
    <n v="2025402965"/>
    <s v="Aug"/>
    <n v="2025"/>
  </r>
  <r>
    <n v="1042"/>
    <x v="7"/>
    <x v="20"/>
    <s v="Actual"/>
    <x v="8"/>
    <m/>
    <s v="BLUE LINE"/>
    <s v="Material &amp; Supplies"/>
    <n v="1871.64"/>
    <s v="6304"/>
    <d v="2025-08-23T00:00:00"/>
    <n v="2025402667"/>
    <s v="Aug"/>
    <n v="2025"/>
  </r>
  <r>
    <n v="1043"/>
    <x v="7"/>
    <x v="20"/>
    <s v="Actual"/>
    <x v="8"/>
    <m/>
    <s v="Petty Cash"/>
    <s v="Petty cash for EISP"/>
    <n v="1408.4507042253522"/>
    <s v="##"/>
    <d v="2025-10-08T00:00:00"/>
    <s v="N/A"/>
    <s v="Aug"/>
    <n v="2025"/>
  </r>
  <r>
    <n v="1044"/>
    <x v="7"/>
    <x v="20"/>
    <s v="Actual"/>
    <x v="8"/>
    <m/>
    <s v="AL-Wajeeh Company"/>
    <s v="Material &amp; Supplies"/>
    <n v="1135.56"/>
    <s v="17014"/>
    <d v="2025-08-19T00:00:00"/>
    <n v="2025402689"/>
    <s v="Aug"/>
    <n v="2025"/>
  </r>
  <r>
    <n v="1045"/>
    <x v="7"/>
    <x v="20"/>
    <s v="Actual"/>
    <x v="8"/>
    <m/>
    <s v="ZUMZUM ALFAYHAA INSAAT"/>
    <s v="Material &amp; Supplies"/>
    <n v="1020"/>
    <s v="10492"/>
    <d v="2025-07-10T00:00:00"/>
    <n v="2025402169"/>
    <s v="Jul"/>
    <n v="2025"/>
  </r>
  <r>
    <n v="1046"/>
    <x v="7"/>
    <x v="20"/>
    <s v="Actual"/>
    <x v="8"/>
    <m/>
    <s v="AL-Wajeeh Company"/>
    <s v="Material &amp; Supplies"/>
    <n v="957"/>
    <s v="15885"/>
    <d v="2025-08-20T00:00:00"/>
    <n v="2024403734"/>
    <s v="Aug"/>
    <n v="2025"/>
  </r>
  <r>
    <n v="1047"/>
    <x v="7"/>
    <x v="20"/>
    <s v="Actual"/>
    <x v="8"/>
    <m/>
    <s v="ZUMZUM ALFAYHAA INSAAT"/>
    <s v="Material &amp; Supplies"/>
    <n v="685.5"/>
    <s v="10878"/>
    <d v="2025-08-20T00:00:00"/>
    <n v="2025402614"/>
    <s v="Aug"/>
    <n v="2025"/>
  </r>
  <r>
    <n v="1048"/>
    <x v="7"/>
    <x v="20"/>
    <s v="Actual"/>
    <x v="8"/>
    <m/>
    <s v="Petty Cash"/>
    <s v="Iron drill different saize x 67ea"/>
    <n v="553.52112676056333"/>
    <n v="6499"/>
    <d v="2025-07-14T00:00:00"/>
    <s v="N/A"/>
    <s v="Jul"/>
    <n v="2025"/>
  </r>
  <r>
    <n v="1049"/>
    <x v="7"/>
    <x v="20"/>
    <s v="Actual"/>
    <x v="8"/>
    <m/>
    <s v="AL-Wajeeh Company"/>
    <s v="Material &amp; Supplies"/>
    <n v="450"/>
    <s v="16785-B"/>
    <d v="2025-08-07T00:00:00"/>
    <n v="2025402219"/>
    <s v="Aug"/>
    <n v="2025"/>
  </r>
  <r>
    <n v="1050"/>
    <x v="7"/>
    <x v="20"/>
    <s v="Actual"/>
    <x v="8"/>
    <m/>
    <s v="ZUMZUM ALFAYHAA INSAAT"/>
    <s v="Material &amp; Supplies"/>
    <n v="443.6"/>
    <s v="10450"/>
    <d v="2025-07-08T00:00:00"/>
    <n v="2025402135"/>
    <s v="Jul"/>
    <n v="2025"/>
  </r>
  <r>
    <n v="1051"/>
    <x v="7"/>
    <x v="20"/>
    <s v="Actual"/>
    <x v="8"/>
    <m/>
    <s v="ZUMZUM ALFAYHAA INSAAT"/>
    <s v="Material &amp; Supplies"/>
    <n v="436"/>
    <s v="10978"/>
    <d v="2025-11-18T00:00:00"/>
    <n v="2025402767"/>
    <s v="Aug"/>
    <n v="2025"/>
  </r>
  <r>
    <n v="1052"/>
    <x v="7"/>
    <x v="20"/>
    <s v="Actual"/>
    <x v="8"/>
    <m/>
    <s v="Remz AL-Kafaa For General Trading"/>
    <s v="Material &amp; Supplies"/>
    <n v="330"/>
    <s v="0370"/>
    <d v="2025-08-20T00:00:00"/>
    <n v="2025402914"/>
    <s v="Aug"/>
    <n v="2025"/>
  </r>
  <r>
    <n v="1053"/>
    <x v="7"/>
    <x v="20"/>
    <s v="Actual"/>
    <x v="8"/>
    <m/>
    <s v="ZUMZUM ALFAYHAA INSAAT"/>
    <s v="Material &amp; Supplies"/>
    <n v="225.1"/>
    <s v="10802"/>
    <d v="2025-08-11T00:00:00"/>
    <n v="2025402596"/>
    <s v="Aug"/>
    <n v="2025"/>
  </r>
  <r>
    <n v="1054"/>
    <x v="7"/>
    <x v="20"/>
    <s v="Actual"/>
    <x v="8"/>
    <m/>
    <s v="AL-Wajeeh Company"/>
    <s v="Material &amp; Supplies"/>
    <n v="155"/>
    <s v="15816-1"/>
    <d v="2025-08-06T00:00:00"/>
    <n v="2025402549"/>
    <s v="Aug"/>
    <n v="2025"/>
  </r>
  <r>
    <n v="1055"/>
    <x v="7"/>
    <x v="20"/>
    <s v="Actual"/>
    <x v="8"/>
    <m/>
    <s v="ZUMZUM ALFAYHAA INSAAT"/>
    <s v="Material &amp; Supplies"/>
    <n v="104"/>
    <s v="10914"/>
    <d v="2025-08-24T00:00:00"/>
    <n v="2025402659"/>
    <s v="Aug"/>
    <n v="2025"/>
  </r>
  <r>
    <n v="1056"/>
    <x v="7"/>
    <x v="20"/>
    <s v="Actual"/>
    <x v="8"/>
    <m/>
    <s v="AL-Wajeeh Company"/>
    <s v="Material &amp; Supplies"/>
    <n v="62"/>
    <s v="16407"/>
    <d v="2025-08-06T00:00:00"/>
    <n v="2025402538"/>
    <s v="Aug"/>
    <n v="2025"/>
  </r>
  <r>
    <n v="1057"/>
    <x v="7"/>
    <x v="20"/>
    <s v="Actual"/>
    <x v="8"/>
    <m/>
    <s v="BLUE LINE"/>
    <s v="Material &amp; Supplies"/>
    <n v="54.8"/>
    <s v="6201"/>
    <d v="2025-07-12T00:00:00"/>
    <n v="2025402188"/>
    <s v="Jul"/>
    <n v="2025"/>
  </r>
  <r>
    <n v="1058"/>
    <x v="7"/>
    <x v="20"/>
    <s v="Actual"/>
    <x v="8"/>
    <m/>
    <s v="AL-Wajeeh Company"/>
    <s v="Material &amp; Supplies"/>
    <n v="44.4"/>
    <s v="16860"/>
    <d v="2025-08-04T00:00:00"/>
    <n v="2025402495"/>
    <s v="Aug"/>
    <n v="2025"/>
  </r>
  <r>
    <n v="1059"/>
    <x v="7"/>
    <x v="15"/>
    <s v="Actual"/>
    <x v="8"/>
    <m/>
    <s v="Al-Safi Factory and Um Albanin Gallery"/>
    <s v="Material &amp; Supplies"/>
    <n v="12323.943661971831"/>
    <s v="0202"/>
    <d v="2025-07-12T00:00:00"/>
    <n v="2025402418"/>
    <s v="Jul"/>
    <n v="2025"/>
  </r>
  <r>
    <n v="1060"/>
    <x v="7"/>
    <x v="15"/>
    <s v="Actual"/>
    <x v="8"/>
    <m/>
    <s v="AL-Wajeeh Company"/>
    <s v="Material &amp; Supplies"/>
    <n v="2458.15"/>
    <s v="16420"/>
    <d v="2025-08-06T00:00:00"/>
    <n v="2025402535"/>
    <s v="Aug"/>
    <n v="2025"/>
  </r>
  <r>
    <n v="1061"/>
    <x v="7"/>
    <x v="15"/>
    <s v="Actual"/>
    <x v="8"/>
    <m/>
    <s v="ZUMZUM ALFAYHAA INSAAT"/>
    <s v="Material &amp; Supplies"/>
    <n v="1988"/>
    <s v="10930"/>
    <d v="2025-08-24T00:00:00"/>
    <n v="2025402678"/>
    <s v="Aug"/>
    <n v="2025"/>
  </r>
  <r>
    <n v="1062"/>
    <x v="7"/>
    <x v="15"/>
    <s v="Actual"/>
    <x v="8"/>
    <m/>
    <s v="ZUMZUM ALFAYHAA INSAAT"/>
    <s v="Material &amp; Supplies"/>
    <n v="1871.2"/>
    <s v="10446"/>
    <d v="2025-07-08T00:00:00"/>
    <n v="2025402134"/>
    <s v="Jul"/>
    <n v="2025"/>
  </r>
  <r>
    <n v="1063"/>
    <x v="7"/>
    <x v="15"/>
    <s v="Actual"/>
    <x v="8"/>
    <m/>
    <s v="BLUE LINE"/>
    <s v="Material &amp; Supplies"/>
    <n v="1822"/>
    <s v="6104"/>
    <d v="2025-07-24T00:00:00"/>
    <n v="2025402396"/>
    <s v="Jul"/>
    <n v="2025"/>
  </r>
  <r>
    <n v="1064"/>
    <x v="7"/>
    <x v="15"/>
    <s v="Actual"/>
    <x v="8"/>
    <m/>
    <s v="AL MUSTAFA INDUSTRIAL IRON TRADING"/>
    <s v="Materials/IRON"/>
    <n v="1634.8"/>
    <s v="272"/>
    <d v="2025-07-22T00:00:00"/>
    <n v="2025402399"/>
    <s v="Jul"/>
    <n v="2025"/>
  </r>
  <r>
    <n v="1065"/>
    <x v="7"/>
    <x v="15"/>
    <s v="Actual"/>
    <x v="8"/>
    <m/>
    <s v="Haider Retage show"/>
    <s v="Material &amp; Supplies"/>
    <n v="1426.056338028169"/>
    <s v="42317"/>
    <d v="2025-08-02T00:00:00"/>
    <n v="2025402631"/>
    <s v="Aug"/>
    <n v="2025"/>
  </r>
  <r>
    <n v="1066"/>
    <x v="7"/>
    <x v="15"/>
    <s v="Actual"/>
    <x v="8"/>
    <m/>
    <s v="AL-Wajeeh Company"/>
    <s v="Material &amp; Supplies"/>
    <n v="1222.2"/>
    <s v="16830"/>
    <d v="2025-08-31T00:00:00"/>
    <n v="2025402821"/>
    <s v="Aug"/>
    <n v="2025"/>
  </r>
  <r>
    <n v="1067"/>
    <x v="7"/>
    <x v="15"/>
    <s v="Actual"/>
    <x v="8"/>
    <m/>
    <s v="ZUMZUM ALFAYHAA INSAAT"/>
    <s v="Material &amp; Supplies"/>
    <n v="1200"/>
    <s v="10644"/>
    <d v="2025-07-27T00:00:00"/>
    <n v="2025402355"/>
    <s v="Jul"/>
    <n v="2025"/>
  </r>
  <r>
    <n v="1068"/>
    <x v="7"/>
    <x v="15"/>
    <s v="Actual"/>
    <x v="8"/>
    <m/>
    <s v="AL-Wajeeh Company"/>
    <s v="Material &amp; Supplies"/>
    <n v="1154.3"/>
    <s v="16843-1"/>
    <d v="2025-07-24T00:00:00"/>
    <n v="2025402360"/>
    <s v="Jul"/>
    <n v="2025"/>
  </r>
  <r>
    <n v="1069"/>
    <x v="7"/>
    <x v="15"/>
    <s v="Actual"/>
    <x v="8"/>
    <m/>
    <s v="AL-Wajeeh Company"/>
    <s v="Material &amp; Supplies"/>
    <n v="1061.2"/>
    <s v="16632"/>
    <d v="2025-08-30T00:00:00"/>
    <n v="2025402830"/>
    <s v="Aug"/>
    <n v="2025"/>
  </r>
  <r>
    <n v="1070"/>
    <x v="7"/>
    <x v="15"/>
    <s v="Actual"/>
    <x v="8"/>
    <m/>
    <s v="ZUMZUM ALFAYHAA INSAAT"/>
    <s v="Material &amp; Supplies"/>
    <n v="990"/>
    <s v="10462"/>
    <d v="2025-07-10T00:00:00"/>
    <n v="2025402093"/>
    <s v="Jul"/>
    <n v="2025"/>
  </r>
  <r>
    <n v="1071"/>
    <x v="7"/>
    <x v="15"/>
    <s v="Actual"/>
    <x v="8"/>
    <m/>
    <s v="BLUE LINE"/>
    <s v="Material &amp; Supplies"/>
    <n v="942.8"/>
    <s v="6210"/>
    <d v="2025-07-12T00:00:00"/>
    <n v="2025402189"/>
    <s v="Jul"/>
    <n v="2025"/>
  </r>
  <r>
    <n v="1072"/>
    <x v="7"/>
    <x v="15"/>
    <s v="Actual"/>
    <x v="8"/>
    <m/>
    <s v="ZUMZUM ALFAYHAA INSAAT"/>
    <s v="Material &amp; Supplies"/>
    <n v="860"/>
    <s v="11054"/>
    <d v="2025-08-28T00:00:00"/>
    <n v="2025402815"/>
    <s v="Aug"/>
    <n v="2025"/>
  </r>
  <r>
    <n v="1073"/>
    <x v="7"/>
    <x v="15"/>
    <s v="Actual"/>
    <x v="8"/>
    <m/>
    <s v="BLUE LINE"/>
    <s v="Material &amp; Supplies"/>
    <n v="702.96"/>
    <s v="6251"/>
    <d v="2025-07-22T00:00:00"/>
    <n v="2025402345"/>
    <s v="Jul"/>
    <n v="2025"/>
  </r>
  <r>
    <n v="1074"/>
    <x v="7"/>
    <x v="15"/>
    <s v="Actual"/>
    <x v="8"/>
    <m/>
    <s v="ZUMZUM ALFAYHAA INSAAT"/>
    <s v="Material &amp; Supplies"/>
    <n v="565"/>
    <s v="11034"/>
    <d v="2025-08-28T00:00:00"/>
    <n v="2025402800"/>
    <s v="Aug"/>
    <n v="2025"/>
  </r>
  <r>
    <n v="1075"/>
    <x v="7"/>
    <x v="15"/>
    <s v="Actual"/>
    <x v="8"/>
    <m/>
    <s v="ZUMZUM ALFAYHAA INSAAT"/>
    <s v="Material &amp; Supplies"/>
    <n v="500"/>
    <s v="11096"/>
    <d v="2025-09-02T00:00:00"/>
    <n v="2025402905"/>
    <s v="Aug"/>
    <n v="2025"/>
  </r>
  <r>
    <n v="1076"/>
    <x v="7"/>
    <x v="15"/>
    <s v="Actual"/>
    <x v="8"/>
    <m/>
    <s v="ZUMZUM ALFAYHAA INSAAT"/>
    <s v="Material &amp; Supplies"/>
    <n v="435.5"/>
    <s v="10778"/>
    <d v="2025-08-10T00:00:00"/>
    <n v="2025402567"/>
    <s v="Aug"/>
    <n v="2025"/>
  </r>
  <r>
    <n v="1077"/>
    <x v="7"/>
    <x v="15"/>
    <s v="Actual"/>
    <x v="8"/>
    <m/>
    <s v="ZUMZUM ALFAYHAA INSAAT"/>
    <s v="Material &amp; Supplies"/>
    <n v="430"/>
    <s v="10904"/>
    <d v="2025-08-24T00:00:00"/>
    <n v="2025402664"/>
    <s v="Aug"/>
    <n v="2025"/>
  </r>
  <r>
    <n v="1078"/>
    <x v="7"/>
    <x v="15"/>
    <s v="Actual"/>
    <x v="8"/>
    <m/>
    <s v="ZUMZUM ALFAYHAA INSAAT"/>
    <s v="Material &amp; Supplies"/>
    <n v="410"/>
    <s v="10536"/>
    <d v="2025-07-17T00:00:00"/>
    <n v="2025402159"/>
    <s v="Jul"/>
    <n v="2025"/>
  </r>
  <r>
    <n v="1079"/>
    <x v="7"/>
    <x v="15"/>
    <s v="Actual"/>
    <x v="8"/>
    <m/>
    <s v="Al Jaber Company General Construction Services"/>
    <s v="Materials/Concrete"/>
    <n v="345"/>
    <s v="01082025-IGCC-001"/>
    <d v="2025-08-01T00:00:00"/>
    <n v="2025403223"/>
    <s v="Jul"/>
    <n v="2025"/>
  </r>
  <r>
    <n v="1080"/>
    <x v="7"/>
    <x v="15"/>
    <s v="Actual"/>
    <x v="8"/>
    <m/>
    <s v="BLUE LINE"/>
    <s v="Material &amp; Supplies"/>
    <n v="254.13"/>
    <s v="6181"/>
    <d v="2025-07-07T00:00:00"/>
    <n v="2025402052"/>
    <s v="Jul"/>
    <n v="2025"/>
  </r>
  <r>
    <n v="1081"/>
    <x v="7"/>
    <x v="15"/>
    <s v="Actual"/>
    <x v="8"/>
    <m/>
    <s v="ZUMZUM ALFAYHAA INSAAT"/>
    <s v="Material &amp; Supplies"/>
    <n v="221.8"/>
    <s v="10532"/>
    <d v="2025-07-17T00:00:00"/>
    <n v="2025402157"/>
    <s v="Jul"/>
    <n v="2025"/>
  </r>
  <r>
    <n v="1082"/>
    <x v="7"/>
    <x v="15"/>
    <s v="Actual"/>
    <x v="8"/>
    <m/>
    <s v="AL-Wajeeh Company"/>
    <s v="Material &amp; Supplies"/>
    <n v="213.6"/>
    <s v="16979"/>
    <d v="2025-08-16T00:00:00"/>
    <n v="2025402658"/>
    <s v="Aug"/>
    <n v="2025"/>
  </r>
  <r>
    <n v="1083"/>
    <x v="7"/>
    <x v="15"/>
    <s v="Actual"/>
    <x v="8"/>
    <m/>
    <s v="AL-Wajeeh Company"/>
    <s v="Material &amp; Supplies"/>
    <n v="168.35"/>
    <s v="16969"/>
    <d v="2025-07-28T00:00:00"/>
    <n v="2025402346"/>
    <s v="Jul"/>
    <n v="2025"/>
  </r>
  <r>
    <n v="1084"/>
    <x v="7"/>
    <x v="15"/>
    <s v="Actual"/>
    <x v="8"/>
    <m/>
    <s v="AL-Wajeeh Company"/>
    <s v="Material &amp; Supplies"/>
    <n v="127.98"/>
    <s v="16896"/>
    <d v="2025-07-22T00:00:00"/>
    <n v="2025402374"/>
    <s v="Jul"/>
    <n v="2025"/>
  </r>
  <r>
    <n v="1085"/>
    <x v="7"/>
    <x v="15"/>
    <s v="Actual"/>
    <x v="8"/>
    <m/>
    <s v="BLUE LINE"/>
    <s v="Material &amp; Supplies"/>
    <n v="115.71"/>
    <s v="6187"/>
    <d v="2025-07-12T00:00:00"/>
    <n v="2025402187"/>
    <s v="Jul"/>
    <n v="2025"/>
  </r>
  <r>
    <n v="1086"/>
    <x v="7"/>
    <x v="15"/>
    <s v="Actual"/>
    <x v="8"/>
    <m/>
    <s v="AL-Wajeeh Company"/>
    <s v="Material &amp; Supplies"/>
    <n v="115.4"/>
    <s v="17020"/>
    <d v="2025-08-30T00:00:00"/>
    <n v="2025402838"/>
    <s v="Aug"/>
    <n v="2025"/>
  </r>
  <r>
    <n v="1087"/>
    <x v="7"/>
    <x v="15"/>
    <s v="Actual"/>
    <x v="8"/>
    <m/>
    <s v="BLUE LINE"/>
    <s v="Material &amp; Supplies"/>
    <n v="92.56"/>
    <s v="6303"/>
    <d v="2025-07-29T00:00:00"/>
    <n v="2025402448"/>
    <s v="Jul"/>
    <n v="2025"/>
  </r>
  <r>
    <n v="1088"/>
    <x v="7"/>
    <x v="15"/>
    <s v="Actual"/>
    <x v="8"/>
    <m/>
    <s v="ZUMZUM ALFAYHAA INSAAT"/>
    <s v="Material &amp; Supplies"/>
    <n v="80"/>
    <s v="10556"/>
    <d v="2025-07-17T00:00:00"/>
    <n v="2025402192"/>
    <s v="Jul"/>
    <n v="2025"/>
  </r>
  <r>
    <n v="1089"/>
    <x v="7"/>
    <x v="15"/>
    <s v="Actual"/>
    <x v="8"/>
    <m/>
    <s v="BLUE LINE"/>
    <s v="Material &amp; Supplies"/>
    <n v="60.6"/>
    <s v="6267"/>
    <d v="2025-08-18T00:00:00"/>
    <n v="2025402646"/>
    <s v="Aug"/>
    <n v="2025"/>
  </r>
  <r>
    <n v="1090"/>
    <x v="7"/>
    <x v="15"/>
    <s v="Actual"/>
    <x v="8"/>
    <m/>
    <s v="ZUMZUM ALFAYHAA INSAAT"/>
    <s v="Material &amp; Supplies"/>
    <n v="52"/>
    <s v="10986"/>
    <d v="2025-08-26T00:00:00"/>
    <n v="2025402777"/>
    <s v="Aug"/>
    <n v="2025"/>
  </r>
  <r>
    <n v="1091"/>
    <x v="7"/>
    <x v="15"/>
    <s v="Actual"/>
    <x v="8"/>
    <m/>
    <s v="AL-Wajeeh Company"/>
    <s v="Material &amp; Supplies"/>
    <n v="44"/>
    <s v="16457"/>
    <d v="2025-08-06T00:00:00"/>
    <n v="2025402534"/>
    <s v="Aug"/>
    <n v="2025"/>
  </r>
  <r>
    <n v="1092"/>
    <x v="7"/>
    <x v="15"/>
    <s v="Actual"/>
    <x v="8"/>
    <m/>
    <s v="Al-Ghadeer Print"/>
    <s v="Material &amp; Supplies"/>
    <n v="38.732394366197184"/>
    <s v="0055"/>
    <d v="2025-07-02T00:00:00"/>
    <n v="2025402244"/>
    <s v="Jul"/>
    <n v="2025"/>
  </r>
  <r>
    <n v="1093"/>
    <x v="7"/>
    <x v="15"/>
    <s v="Actual"/>
    <x v="8"/>
    <m/>
    <s v="BLUE LINE"/>
    <s v="Material &amp; Supplies"/>
    <n v="16.07"/>
    <s v="6349"/>
    <d v="2025-08-19T00:00:00"/>
    <n v="2025402703"/>
    <s v="Aug"/>
    <n v="2025"/>
  </r>
  <r>
    <n v="1094"/>
    <x v="7"/>
    <x v="15"/>
    <s v="Actual"/>
    <x v="8"/>
    <m/>
    <s v="AL-Wajeeh Company"/>
    <s v="Material &amp; Supplies"/>
    <n v="14.21"/>
    <s v="16897"/>
    <d v="2025-08-24T00:00:00"/>
    <n v="2025402825"/>
    <s v="Aug"/>
    <n v="2025"/>
  </r>
  <r>
    <n v="1095"/>
    <x v="7"/>
    <x v="15"/>
    <s v="Actual"/>
    <x v="8"/>
    <m/>
    <s v="Al-Ghadeer Print"/>
    <s v="Material &amp; Supplies"/>
    <n v="13.380281690140846"/>
    <s v="0062"/>
    <d v="2025-07-23T00:00:00"/>
    <n v="2025402577"/>
    <s v="Jul"/>
    <n v="2025"/>
  </r>
  <r>
    <n v="1096"/>
    <x v="7"/>
    <x v="15"/>
    <s v="Actual"/>
    <x v="8"/>
    <m/>
    <s v="Al-Ghadeer Print"/>
    <s v="Material &amp; Supplies"/>
    <n v="7.746478873239437"/>
    <s v="0070"/>
    <d v="2025-08-19T00:00:00"/>
    <n v="2025403247"/>
    <s v="Aug"/>
    <n v="2025"/>
  </r>
  <r>
    <n v="1097"/>
    <x v="9"/>
    <x v="30"/>
    <s v="Actual"/>
    <x v="8"/>
    <m/>
    <s v="Petty Cash"/>
    <s v="Petty Cash for ESP"/>
    <n v="392.25352112676057"/>
    <s v="##"/>
    <d v="2025-07-20T00:00:00"/>
    <s v="N/A"/>
    <s v="Jul"/>
    <n v="2025"/>
  </r>
  <r>
    <n v="1098"/>
    <x v="9"/>
    <x v="30"/>
    <s v="Actual"/>
    <x v="8"/>
    <m/>
    <s v="AL-Wajeeh Company"/>
    <s v="Material &amp; Supplies"/>
    <n v="267.76"/>
    <s v="16902"/>
    <d v="2025-07-22T00:00:00"/>
    <n v="2025402372"/>
    <s v="Jul"/>
    <n v="2025"/>
  </r>
  <r>
    <n v="1099"/>
    <x v="3"/>
    <x v="31"/>
    <s v="Actual"/>
    <x v="8"/>
    <m/>
    <s v="AL-Wajeeh Company"/>
    <s v="Material &amp; Supplies"/>
    <n v="3015.7"/>
    <s v="16344-2"/>
    <d v="2025-08-31T00:00:00"/>
    <n v="2025402625"/>
    <s v="Aug"/>
    <n v="2025"/>
  </r>
  <r>
    <n v="1100"/>
    <x v="3"/>
    <x v="31"/>
    <s v="Actual"/>
    <x v="8"/>
    <m/>
    <s v="AL-Wajeeh Company"/>
    <s v="Material &amp; Supplies"/>
    <n v="1365.54"/>
    <s v="16976"/>
    <d v="2025-08-30T00:00:00"/>
    <n v="2025402835"/>
    <s v="Aug"/>
    <n v="2025"/>
  </r>
  <r>
    <n v="1101"/>
    <x v="3"/>
    <x v="31"/>
    <s v="Actual"/>
    <x v="8"/>
    <m/>
    <s v="ZUMZUM ALFAYHAA INSAAT"/>
    <s v="Material &amp; Supplies"/>
    <n v="1364"/>
    <s v="10636"/>
    <d v="2025-07-27T00:00:00"/>
    <n v="2025402348"/>
    <s v="Jul"/>
    <n v="2025"/>
  </r>
  <r>
    <n v="1102"/>
    <x v="3"/>
    <x v="31"/>
    <s v="Actual"/>
    <x v="8"/>
    <m/>
    <s v="BLUE LINE"/>
    <s v="Material &amp; Supplies"/>
    <n v="1321.8"/>
    <s v="6288"/>
    <d v="2025-08-03T00:00:00"/>
    <n v="2025402449"/>
    <s v="Aug"/>
    <n v="2025"/>
  </r>
  <r>
    <n v="1103"/>
    <x v="3"/>
    <x v="31"/>
    <s v="Actual"/>
    <x v="8"/>
    <m/>
    <s v="AL-Wajeeh Company"/>
    <s v="Material &amp; Supplies"/>
    <n v="574.15"/>
    <s v="16774"/>
    <d v="2025-08-03T00:00:00"/>
    <n v="2025402525"/>
    <s v="Aug"/>
    <n v="2025"/>
  </r>
  <r>
    <n v="1104"/>
    <x v="3"/>
    <x v="31"/>
    <s v="Actual"/>
    <x v="8"/>
    <m/>
    <s v="ZUMZUM ALFAYHAA INSAAT"/>
    <s v="Material &amp; Supplies"/>
    <n v="328"/>
    <s v="10356"/>
    <d v="2025-07-10T00:00:00"/>
    <n v="2025401967"/>
    <s v="Jul"/>
    <n v="2025"/>
  </r>
  <r>
    <n v="1105"/>
    <x v="3"/>
    <x v="31"/>
    <s v="Actual"/>
    <x v="8"/>
    <m/>
    <s v="BLUE LINE"/>
    <s v="Material &amp; Supplies"/>
    <n v="97.68"/>
    <s v="6230"/>
    <d v="2025-07-17T00:00:00"/>
    <n v="2025402211"/>
    <s v="Jul"/>
    <n v="2025"/>
  </r>
  <r>
    <n v="1106"/>
    <x v="3"/>
    <x v="17"/>
    <s v="Actual"/>
    <x v="8"/>
    <m/>
    <s v="ZUMZUM ALFAYHAA INSAAT"/>
    <s v="Material &amp; Supplies"/>
    <n v="1971.6"/>
    <s v="9924"/>
    <d v="2025-06-25T00:00:00"/>
    <n v="2025401491"/>
    <s v="Aug"/>
    <n v="2025"/>
  </r>
  <r>
    <n v="1107"/>
    <x v="3"/>
    <x v="17"/>
    <s v="Actual"/>
    <x v="8"/>
    <m/>
    <s v="Petty Cash"/>
    <s v="Petty cash for CPSs"/>
    <n v="1436.6197183098591"/>
    <s v="##"/>
    <d v="2025-09-07T00:00:00"/>
    <s v="N/A"/>
    <s v="Jul"/>
    <n v="2025"/>
  </r>
  <r>
    <n v="1108"/>
    <x v="3"/>
    <x v="17"/>
    <s v="Actual"/>
    <x v="8"/>
    <m/>
    <s v="Petty Cash"/>
    <s v="Petty cash for CPSs"/>
    <n v="616.19718309859149"/>
    <s v="##"/>
    <d v="2025-06-25T00:00:00"/>
    <s v="N/A"/>
    <s v="Jul"/>
    <n v="2025"/>
  </r>
  <r>
    <n v="1109"/>
    <x v="8"/>
    <x v="18"/>
    <s v="Actual"/>
    <x v="8"/>
    <m/>
    <s v="Xinke Protective Technology Co., Ltd&quot;"/>
    <s v="Material &amp; Supplies"/>
    <n v="102850"/>
    <s v="XK03241018-0"/>
    <d v="2025-04-16T00:00:00"/>
    <n v="2025401411"/>
    <s v="Aug"/>
    <n v="2025"/>
  </r>
  <r>
    <n v="1110"/>
    <x v="8"/>
    <x v="18"/>
    <s v="Actual"/>
    <x v="8"/>
    <m/>
    <s v="Kirby Building Systems"/>
    <s v="Material &amp; Supplies"/>
    <n v="55000"/>
    <s v="NO0610"/>
    <d v="2025-07-28T00:00:00"/>
    <n v="2025401691"/>
    <s v="Aug"/>
    <n v="2025"/>
  </r>
  <r>
    <n v="1111"/>
    <x v="8"/>
    <x v="18"/>
    <s v="Actual"/>
    <x v="8"/>
    <m/>
    <s v="Anwar Al Zubear Factory"/>
    <s v="Materials/Caravans"/>
    <n v="40492.957746478874"/>
    <s v="invo2-58"/>
    <d v="2025-07-16T00:00:00"/>
    <n v="2025402388"/>
    <s v="Jul"/>
    <n v="2025"/>
  </r>
  <r>
    <n v="1112"/>
    <x v="8"/>
    <x v="18"/>
    <s v="Actual"/>
    <x v="8"/>
    <m/>
    <s v="GULF PEARL GROUP"/>
    <s v="Materials/Paint"/>
    <n v="36492"/>
    <s v="27302025"/>
    <d v="2025-08-31T00:00:00"/>
    <n v="2025402979"/>
    <s v="Aug"/>
    <n v="2025"/>
  </r>
  <r>
    <n v="1113"/>
    <x v="8"/>
    <x v="18"/>
    <s v="Actual"/>
    <x v="8"/>
    <m/>
    <s v="Al-Janoob Garage"/>
    <s v="Material &amp; Supplies"/>
    <n v="21000"/>
    <s v="14"/>
    <d v="2025-07-27T00:00:00"/>
    <n v="2025402562"/>
    <s v="Jul"/>
    <n v="2025"/>
  </r>
  <r>
    <n v="1114"/>
    <x v="8"/>
    <x v="18"/>
    <s v="Actual"/>
    <x v="8"/>
    <m/>
    <s v="Anwar Al Zubear Factory"/>
    <s v="Materials/Caravans"/>
    <n v="16197.183098591549"/>
    <s v="3-31"/>
    <d v="2025-08-05T00:00:00"/>
    <n v="2025402305"/>
    <s v="Aug"/>
    <n v="2025"/>
  </r>
  <r>
    <n v="1115"/>
    <x v="8"/>
    <x v="18"/>
    <s v="Actual"/>
    <x v="8"/>
    <m/>
    <s v="Al-Safi Factory and Um Albanin Gallery"/>
    <s v="Material &amp; Supplies"/>
    <n v="13855.633802816901"/>
    <s v="95"/>
    <d v="2025-07-31T00:00:00"/>
    <n v="2025402570"/>
    <s v="Aug"/>
    <n v="2025"/>
  </r>
  <r>
    <n v="1116"/>
    <x v="8"/>
    <x v="18"/>
    <s v="Actual"/>
    <x v="8"/>
    <m/>
    <s v="Al-Safi Factory and Um Albanin Gallery"/>
    <s v="Material &amp; Supplies"/>
    <n v="10845.070422535211"/>
    <s v="0098"/>
    <d v="2025-07-29T00:00:00"/>
    <n v="2025402569"/>
    <s v="Aug"/>
    <n v="2025"/>
  </r>
  <r>
    <n v="1117"/>
    <x v="8"/>
    <x v="18"/>
    <s v="Actual"/>
    <x v="8"/>
    <m/>
    <s v="Anwar Al Zubear Factory"/>
    <s v="Materials/Caravans"/>
    <n v="10211.267605633802"/>
    <s v="nvo2-1"/>
    <d v="2025-08-03T00:00:00"/>
    <n v="2025402531"/>
    <s v="Aug"/>
    <n v="2025"/>
  </r>
  <r>
    <n v="1118"/>
    <x v="8"/>
    <x v="18"/>
    <s v="Actual"/>
    <x v="8"/>
    <m/>
    <s v="Al - Sudoof"/>
    <s v="Material &amp; Supplies"/>
    <n v="10150"/>
    <s v="940"/>
    <d v="2025-07-07T00:00:00"/>
    <n v="2025402300"/>
    <s v="Jul"/>
    <n v="2025"/>
  </r>
  <r>
    <n v="1119"/>
    <x v="8"/>
    <x v="18"/>
    <s v="Actual"/>
    <x v="8"/>
    <m/>
    <s v="Fasco LLC FZ"/>
    <s v="Material &amp; Supplies"/>
    <n v="9386.92"/>
    <s v="2025000017"/>
    <d v="2025-08-05T00:00:00"/>
    <n v="2025402643"/>
    <s v="Aug"/>
    <n v="2025"/>
  </r>
  <r>
    <n v="1120"/>
    <x v="8"/>
    <x v="18"/>
    <s v="Actual"/>
    <x v="8"/>
    <m/>
    <s v="Al-Janaeen Al-Mualaka for Water"/>
    <s v="Materials/Water"/>
    <n v="8596.4788732394372"/>
    <s v="2123"/>
    <d v="2025-08-21T00:00:00"/>
    <n v="2025403016"/>
    <s v="Aug"/>
    <n v="2025"/>
  </r>
  <r>
    <n v="1121"/>
    <x v="8"/>
    <x v="18"/>
    <s v="Actual"/>
    <x v="8"/>
    <m/>
    <s v="Al - Sudoof"/>
    <s v="Material &amp; Supplies"/>
    <n v="8350"/>
    <s v="006005"/>
    <d v="2025-08-06T00:00:00"/>
    <n v="2025402464"/>
    <s v="Aug"/>
    <n v="2025"/>
  </r>
  <r>
    <n v="1122"/>
    <x v="8"/>
    <x v="18"/>
    <s v="Actual"/>
    <x v="8"/>
    <m/>
    <s v="GULF PEARL GROUP"/>
    <s v="Materials/Paint"/>
    <n v="7800"/>
    <s v="26932025"/>
    <d v="2025-07-15T00:00:00"/>
    <n v="2025402273"/>
    <s v="Jul"/>
    <n v="2025"/>
  </r>
  <r>
    <n v="1123"/>
    <x v="8"/>
    <x v="18"/>
    <s v="Actual"/>
    <x v="8"/>
    <m/>
    <s v="Anwar Al Zubear Factory"/>
    <s v="Materials/Caravans"/>
    <n v="7605.6338028169012"/>
    <s v="2-12"/>
    <d v="2025-07-28T00:00:00"/>
    <n v="2025402461"/>
    <s v="Jul"/>
    <n v="2025"/>
  </r>
  <r>
    <n v="1124"/>
    <x v="8"/>
    <x v="18"/>
    <s v="Actual"/>
    <x v="8"/>
    <m/>
    <s v="Almujtaba company"/>
    <s v="Materials/Scaffolding"/>
    <n v="7535.211267605634"/>
    <s v="11098"/>
    <d v="2025-08-20T00:00:00"/>
    <n v="2025402565"/>
    <s v="Aug"/>
    <n v="2025"/>
  </r>
  <r>
    <n v="1125"/>
    <x v="8"/>
    <x v="18"/>
    <s v="Actual"/>
    <x v="8"/>
    <m/>
    <s v="Al-Nojom Company &amp; Gallery"/>
    <s v="Materials/Generator"/>
    <n v="7250"/>
    <s v="3657"/>
    <d v="2025-07-24T00:00:00"/>
    <n v="2025402443"/>
    <s v="Jul"/>
    <n v="2025"/>
  </r>
  <r>
    <n v="1126"/>
    <x v="8"/>
    <x v="18"/>
    <s v="Actual"/>
    <x v="8"/>
    <m/>
    <s v="MALIK ENGINEERING OFFICE"/>
    <s v="Material &amp; Supplies"/>
    <n v="7000"/>
    <s v="#"/>
    <d v="2025-07-13T00:00:00"/>
    <n v="2025402414"/>
    <s v="Jul"/>
    <n v="2025"/>
  </r>
  <r>
    <n v="1127"/>
    <x v="8"/>
    <x v="18"/>
    <s v="Actual"/>
    <x v="8"/>
    <m/>
    <s v="Almujtaba company"/>
    <s v="Materials/Scaffolding"/>
    <n v="6901.4084507042253"/>
    <s v="10046"/>
    <d v="2025-07-13T00:00:00"/>
    <n v="2025402232"/>
    <s v="Jul"/>
    <n v="2025"/>
  </r>
  <r>
    <n v="1128"/>
    <x v="8"/>
    <x v="18"/>
    <s v="Actual"/>
    <x v="8"/>
    <m/>
    <s v="Oukitel Digital World"/>
    <s v="Material &amp; Supplies"/>
    <n v="6800"/>
    <s v="1164"/>
    <d v="2025-07-28T00:00:00"/>
    <n v="2025402564"/>
    <s v="Jul"/>
    <n v="2025"/>
  </r>
  <r>
    <n v="1129"/>
    <x v="8"/>
    <x v="18"/>
    <s v="Actual"/>
    <x v="8"/>
    <m/>
    <s v="Sahba Technnnology"/>
    <s v="Material &amp; Supplies"/>
    <n v="6596.4788732394363"/>
    <s v="6372"/>
    <d v="2025-07-25T00:00:00"/>
    <n v="2025402289"/>
    <s v="Jul"/>
    <n v="2025"/>
  </r>
  <r>
    <n v="1130"/>
    <x v="8"/>
    <x v="18"/>
    <s v="Actual"/>
    <x v="8"/>
    <m/>
    <s v="ZUMZUM ALFAYHAA INSAAT"/>
    <s v="Material &amp; Supplies"/>
    <n v="5740"/>
    <s v="10430"/>
    <d v="2025-07-08T00:00:00"/>
    <n v="2025402106"/>
    <s v="Jul"/>
    <n v="2025"/>
  </r>
  <r>
    <n v="1131"/>
    <x v="8"/>
    <x v="18"/>
    <s v="Actual"/>
    <x v="8"/>
    <m/>
    <s v="Al-Janaeen Al-Mualaka for Water"/>
    <s v="Materials/Water"/>
    <n v="5712.6760563380285"/>
    <s v="1630"/>
    <d v="2025-07-07T00:00:00"/>
    <n v="2025402231"/>
    <s v="Jul"/>
    <n v="2025"/>
  </r>
  <r>
    <n v="1132"/>
    <x v="8"/>
    <x v="18"/>
    <s v="Actual"/>
    <x v="8"/>
    <m/>
    <s v="Al-Janaeen Al-Mualaka for Water"/>
    <s v="Materials/Water"/>
    <n v="5712.6760563380285"/>
    <s v="1689"/>
    <d v="2025-07-13T00:00:00"/>
    <n v="2025402317"/>
    <s v="Jul"/>
    <n v="2025"/>
  </r>
  <r>
    <n v="1133"/>
    <x v="8"/>
    <x v="18"/>
    <s v="Actual"/>
    <x v="8"/>
    <m/>
    <s v="Al-Janaeen Al-Mualaka for Water"/>
    <s v="Materials/Water"/>
    <n v="5712.6760563380285"/>
    <s v="1772"/>
    <d v="2025-07-21T00:00:00"/>
    <n v="2025402389"/>
    <s v="Jul"/>
    <n v="2025"/>
  </r>
  <r>
    <n v="1134"/>
    <x v="8"/>
    <x v="18"/>
    <s v="Actual"/>
    <x v="8"/>
    <m/>
    <s v="Al-Janaeen Al-Mualaka for Water"/>
    <s v="Materials/Water"/>
    <n v="5712.6760563380285"/>
    <s v="1734"/>
    <d v="2025-07-17T00:00:00"/>
    <n v="2025402390"/>
    <s v="Jul"/>
    <n v="2025"/>
  </r>
  <r>
    <n v="1135"/>
    <x v="8"/>
    <x v="18"/>
    <s v="Actual"/>
    <x v="8"/>
    <m/>
    <s v="Al-Janaeen Al-Mualaka for Water"/>
    <s v="Materials/Water"/>
    <n v="5712.6760563380285"/>
    <s v="1832"/>
    <d v="2025-07-27T00:00:00"/>
    <n v="2025402462"/>
    <s v="Jul"/>
    <n v="2025"/>
  </r>
  <r>
    <n v="1136"/>
    <x v="8"/>
    <x v="18"/>
    <s v="Actual"/>
    <x v="8"/>
    <m/>
    <s v="Al-Janaeen Al-Mualaka for Water"/>
    <s v="Materials/Water"/>
    <n v="5712.6760563380285"/>
    <s v="1879"/>
    <d v="2025-07-31T00:00:00"/>
    <n v="2025402530"/>
    <s v="Jul"/>
    <n v="2025"/>
  </r>
  <r>
    <n v="1137"/>
    <x v="8"/>
    <x v="18"/>
    <s v="Actual"/>
    <x v="8"/>
    <m/>
    <s v="Al-Janaeen Al-Mualaka for Water"/>
    <s v="Materials/Water"/>
    <n v="5712.6760563380285"/>
    <s v="1949"/>
    <d v="2025-08-06T00:00:00"/>
    <n v="2025402644"/>
    <s v="Aug"/>
    <n v="2025"/>
  </r>
  <r>
    <n v="1138"/>
    <x v="8"/>
    <x v="18"/>
    <s v="Actual"/>
    <x v="8"/>
    <m/>
    <s v="Al-Janaeen Al-Mualaka for Water"/>
    <s v="Materials/Water"/>
    <n v="5712.6760563380285"/>
    <s v="2075"/>
    <d v="2025-08-17T00:00:00"/>
    <n v="2025402704"/>
    <s v="Aug"/>
    <n v="2025"/>
  </r>
  <r>
    <n v="1139"/>
    <x v="8"/>
    <x v="18"/>
    <s v="Actual"/>
    <x v="8"/>
    <m/>
    <s v="Taqadm Albasrah"/>
    <s v="Material &amp; Supplies"/>
    <n v="5676.7605633802814"/>
    <n v="512"/>
    <d v="2025-08-04T00:00:00"/>
    <n v="2025402566"/>
    <s v="Jul"/>
    <n v="2025"/>
  </r>
  <r>
    <n v="1140"/>
    <x v="8"/>
    <x v="18"/>
    <s v="Actual"/>
    <x v="8"/>
    <m/>
    <s v="Petty Cash"/>
    <s v="Petty cash for CAMP"/>
    <n v="5009.1549295774648"/>
    <s v="##"/>
    <d v="2025-06-06T00:00:00"/>
    <s v="N/A"/>
    <s v="Jul"/>
    <n v="2025"/>
  </r>
  <r>
    <n v="1141"/>
    <x v="8"/>
    <x v="18"/>
    <s v="Actual"/>
    <x v="8"/>
    <m/>
    <s v="Al Jaber Company General Construction Services"/>
    <s v="Materials/Concrete"/>
    <n v="4945"/>
    <s v="01092025-IGCC-001"/>
    <d v="2025-09-01T00:00:00"/>
    <n v="2025403292"/>
    <s v="Aug"/>
    <n v="2025"/>
  </r>
  <r>
    <n v="1142"/>
    <x v="8"/>
    <x v="18"/>
    <s v="Actual"/>
    <x v="8"/>
    <m/>
    <s v="Ali Hadi"/>
    <s v="Material &amp; Supplies"/>
    <n v="4200"/>
    <s v="#"/>
    <d v="2025-07-14T00:00:00"/>
    <n v="2025402322"/>
    <s v="Jul"/>
    <n v="2025"/>
  </r>
  <r>
    <n v="1143"/>
    <x v="8"/>
    <x v="18"/>
    <s v="Actual"/>
    <x v="8"/>
    <m/>
    <s v="GULF PEARL GROUP"/>
    <s v="Materials/Paint"/>
    <n v="3770"/>
    <s v="26902025"/>
    <d v="2025-07-10T00:00:00"/>
    <n v="2025402233"/>
    <s v="Jul"/>
    <n v="2025"/>
  </r>
  <r>
    <n v="1144"/>
    <x v="8"/>
    <x v="18"/>
    <s v="Actual"/>
    <x v="8"/>
    <m/>
    <s v="Al-Nojom Company &amp; Gallery"/>
    <s v="Materials/Generator"/>
    <n v="3625"/>
    <s v="1450"/>
    <d v="2025-07-14T00:00:00"/>
    <n v="2025402323"/>
    <s v="Jul"/>
    <n v="2025"/>
  </r>
  <r>
    <n v="1145"/>
    <x v="8"/>
    <x v="18"/>
    <s v="Actual"/>
    <x v="8"/>
    <m/>
    <s v="Petty Cash"/>
    <s v="Petty cash for CAMP"/>
    <n v="3395.0704225352115"/>
    <s v="##"/>
    <d v="2025-07-21T00:00:00"/>
    <s v="N/A"/>
    <s v="Jul"/>
    <n v="2025"/>
  </r>
  <r>
    <n v="1146"/>
    <x v="8"/>
    <x v="18"/>
    <s v="Actual"/>
    <x v="8"/>
    <m/>
    <s v="Al-Usool Genral Trading LTD"/>
    <s v="Material &amp; Supplies"/>
    <n v="3380.2816901408451"/>
    <s v="SO/25/9761"/>
    <d v="2025-08-25T00:00:00"/>
    <n v="2025403141"/>
    <s v="Aug"/>
    <n v="2025"/>
  </r>
  <r>
    <n v="1147"/>
    <x v="8"/>
    <x v="18"/>
    <s v="Actual"/>
    <x v="8"/>
    <m/>
    <s v="AL-Wajeeh Company"/>
    <s v="Material &amp; Supplies"/>
    <n v="2763.35"/>
    <s v="15451-B1"/>
    <d v="2025-08-19T00:00:00"/>
    <n v="2024403731"/>
    <s v="Aug"/>
    <n v="2025"/>
  </r>
  <r>
    <n v="1148"/>
    <x v="8"/>
    <x v="18"/>
    <s v="Actual"/>
    <x v="8"/>
    <m/>
    <s v="Al-Faihaa Company"/>
    <s v="Material &amp; Supplies"/>
    <n v="2464.788732394366"/>
    <s v="000376"/>
    <d v="2025-07-09T00:00:00"/>
    <n v="2025402698"/>
    <s v="Jul"/>
    <n v="2025"/>
  </r>
  <r>
    <n v="1149"/>
    <x v="8"/>
    <x v="18"/>
    <s v="Actual"/>
    <x v="8"/>
    <m/>
    <s v="ZUMZUM ALFAYHAA INSAAT"/>
    <s v="Material &amp; Supplies"/>
    <n v="2437.1999999999998"/>
    <s v="10584"/>
    <d v="2025-08-04T00:00:00"/>
    <n v="2025402267"/>
    <s v="Aug"/>
    <n v="2025"/>
  </r>
  <r>
    <n v="1150"/>
    <x v="8"/>
    <x v="18"/>
    <s v="Actual"/>
    <x v="8"/>
    <m/>
    <s v="Haider Retage show"/>
    <s v="Material &amp; Supplies"/>
    <n v="2376.7605633802818"/>
    <s v="41770"/>
    <d v="2025-07-10T00:00:00"/>
    <n v="2025402298"/>
    <s v="Jul"/>
    <n v="2025"/>
  </r>
  <r>
    <n v="1151"/>
    <x v="8"/>
    <x v="18"/>
    <s v="Actual"/>
    <x v="8"/>
    <m/>
    <s v="ZUMZUM ALFAYHAA INSAAT"/>
    <s v="Material &amp; Supplies"/>
    <n v="2350"/>
    <s v="10544"/>
    <d v="2025-07-17T00:00:00"/>
    <n v="2025402227"/>
    <s v="Jul"/>
    <n v="2025"/>
  </r>
  <r>
    <n v="1152"/>
    <x v="8"/>
    <x v="18"/>
    <s v="Actual"/>
    <x v="8"/>
    <m/>
    <s v="Petty Cash"/>
    <s v="Petty cash for CAMP"/>
    <n v="2328.6971830985917"/>
    <s v="IGCC-00193"/>
    <d v="2025-07-31T00:00:00"/>
    <s v="N/A"/>
    <s v="Aug"/>
    <n v="2025"/>
  </r>
  <r>
    <n v="1153"/>
    <x v="8"/>
    <x v="18"/>
    <s v="Actual"/>
    <x v="8"/>
    <m/>
    <s v="Petty Cash"/>
    <s v="Petty Cash for CAMP"/>
    <n v="2238.0281690140846"/>
    <s v="##"/>
    <d v="2025-02-07T00:00:00"/>
    <s v="N/A"/>
    <s v="Jul"/>
    <n v="2025"/>
  </r>
  <r>
    <n v="1154"/>
    <x v="8"/>
    <x v="18"/>
    <s v="Actual"/>
    <x v="8"/>
    <m/>
    <s v="Petty Cash"/>
    <s v="Petty cash for CAMP"/>
    <n v="2179.4014084507044"/>
    <s v="IGCC-00194"/>
    <d v="2025-08-18T00:00:00"/>
    <s v="N/A"/>
    <s v="Aug"/>
    <n v="2025"/>
  </r>
  <r>
    <n v="1155"/>
    <x v="8"/>
    <x v="18"/>
    <s v="Actual"/>
    <x v="8"/>
    <m/>
    <s v="ASTRA SHOWROOM"/>
    <s v="Material &amp; Supplies"/>
    <n v="2112.676056338028"/>
    <s v="001634"/>
    <d v="2025-07-20T00:00:00"/>
    <n v="2025402424"/>
    <s v="Jul"/>
    <n v="2025"/>
  </r>
  <r>
    <n v="1156"/>
    <x v="8"/>
    <x v="18"/>
    <s v="Actual"/>
    <x v="8"/>
    <m/>
    <s v="ZUMZUM ALFAYHAA INSAAT"/>
    <s v="Material &amp; Supplies"/>
    <n v="1950"/>
    <s v="10856"/>
    <d v="2025-08-21T00:00:00"/>
    <n v="2025402602"/>
    <s v="Aug"/>
    <n v="2025"/>
  </r>
  <r>
    <n v="1157"/>
    <x v="8"/>
    <x v="18"/>
    <s v="Actual"/>
    <x v="8"/>
    <m/>
    <s v="Petty Cash"/>
    <s v="Petty cash for CAMP"/>
    <n v="1923.4154929577464"/>
    <s v="IGCC-00195"/>
    <d v="2025-08-25T00:00:00"/>
    <s v="N/A"/>
    <s v="Aug"/>
    <n v="2025"/>
  </r>
  <r>
    <n v="1158"/>
    <x v="8"/>
    <x v="18"/>
    <s v="Actual"/>
    <x v="8"/>
    <m/>
    <s v="Al-Janoob Garage"/>
    <s v="Material &amp; Supplies"/>
    <n v="1900"/>
    <s v="#"/>
    <d v="2025-07-08T00:00:00"/>
    <n v="2025402287"/>
    <s v="Jul"/>
    <n v="2025"/>
  </r>
  <r>
    <n v="1159"/>
    <x v="8"/>
    <x v="18"/>
    <s v="Actual"/>
    <x v="8"/>
    <m/>
    <s v="Petty Cash"/>
    <s v="Petty Cash for CAMP"/>
    <n v="1779.0492957746478"/>
    <s v="IGCC-00196"/>
    <d v="2025-08-30T00:00:00"/>
    <s v="N/A"/>
    <s v="Aug"/>
    <n v="2025"/>
  </r>
  <r>
    <n v="1160"/>
    <x v="8"/>
    <x v="18"/>
    <s v="Actual"/>
    <x v="8"/>
    <m/>
    <s v="GULF PEARL GROUP"/>
    <s v="Materials/Paint"/>
    <n v="1572"/>
    <s v="2702025"/>
    <d v="2025-07-23T00:00:00"/>
    <n v="2025402319"/>
    <s v="Jul"/>
    <n v="2025"/>
  </r>
  <r>
    <n v="1161"/>
    <x v="8"/>
    <x v="18"/>
    <s v="Actual"/>
    <x v="8"/>
    <m/>
    <s v="ZUMZUM ALFAYHAA INSAAT"/>
    <s v="Material &amp; Supplies"/>
    <n v="1560"/>
    <s v="10736"/>
    <d v="2025-08-06T00:00:00"/>
    <n v="2025402177"/>
    <s v="Aug"/>
    <n v="2025"/>
  </r>
  <r>
    <n v="1162"/>
    <x v="8"/>
    <x v="18"/>
    <s v="Actual"/>
    <x v="8"/>
    <m/>
    <s v="ZUMZUM ALFAYHAA INSAAT"/>
    <s v="Material &amp; Supplies"/>
    <n v="1255"/>
    <s v="10702"/>
    <d v="2025-08-06T00:00:00"/>
    <n v="2025402441"/>
    <s v="Aug"/>
    <n v="2025"/>
  </r>
  <r>
    <n v="1163"/>
    <x v="8"/>
    <x v="18"/>
    <s v="Actual"/>
    <x v="8"/>
    <m/>
    <s v="Petty Cash"/>
    <s v="Petty Cash for CAMP"/>
    <n v="1150"/>
    <s v="##"/>
    <d v="2025-10-07T00:00:00"/>
    <s v="N/A"/>
    <s v="Jul"/>
    <n v="2025"/>
  </r>
  <r>
    <n v="1164"/>
    <x v="8"/>
    <x v="18"/>
    <s v="Actual"/>
    <x v="8"/>
    <m/>
    <s v="ZUMZUM ALFAYHAA INSAAT"/>
    <s v="Material &amp; Supplies"/>
    <n v="1148"/>
    <s v="12154"/>
    <d v="2025-11-15T00:00:00"/>
    <n v="2025404176"/>
    <s v="Aug"/>
    <n v="2025"/>
  </r>
  <r>
    <n v="1165"/>
    <x v="8"/>
    <x v="18"/>
    <s v="Actual"/>
    <x v="8"/>
    <m/>
    <s v="ZUMZUM ALFAYHAA INSAAT"/>
    <s v="Material &amp; Supplies"/>
    <n v="1002.2"/>
    <s v="10658"/>
    <d v="2025-07-29T00:00:00"/>
    <n v="2025402391"/>
    <s v="Jul"/>
    <n v="2025"/>
  </r>
  <r>
    <n v="1166"/>
    <x v="8"/>
    <x v="18"/>
    <s v="Actual"/>
    <x v="8"/>
    <m/>
    <s v="BLUE LINE"/>
    <s v="Material &amp; Supplies"/>
    <n v="900.71"/>
    <s v="6335"/>
    <d v="2025-08-18T00:00:00"/>
    <n v="2025402629"/>
    <s v="Aug"/>
    <n v="2025"/>
  </r>
  <r>
    <n v="1167"/>
    <x v="8"/>
    <x v="18"/>
    <s v="Actual"/>
    <x v="8"/>
    <m/>
    <s v="AL-Abrag workshop"/>
    <s v="Material &amp; Supplies"/>
    <n v="900"/>
    <s v="0146"/>
    <d v="2025-07-17T00:00:00"/>
    <n v="2025402268"/>
    <s v="Jul"/>
    <n v="2025"/>
  </r>
  <r>
    <n v="1168"/>
    <x v="8"/>
    <x v="18"/>
    <s v="Actual"/>
    <x v="8"/>
    <m/>
    <s v="ZUMZUM ALFAYHAA INSAAT"/>
    <s v="Material &amp; Supplies"/>
    <n v="795"/>
    <s v="10540"/>
    <d v="2025-07-17T00:00:00"/>
    <n v="2025402228"/>
    <s v="Jul"/>
    <n v="2025"/>
  </r>
  <r>
    <n v="1169"/>
    <x v="8"/>
    <x v="18"/>
    <s v="Actual"/>
    <x v="8"/>
    <m/>
    <s v="ZUMZUM ALFAYHAA INSAAT"/>
    <s v="Material &amp; Supplies"/>
    <n v="780"/>
    <s v="10700"/>
    <d v="2025-08-06T00:00:00"/>
    <n v="2025402440"/>
    <s v="Aug"/>
    <n v="2025"/>
  </r>
  <r>
    <n v="1170"/>
    <x v="8"/>
    <x v="18"/>
    <s v="Actual"/>
    <x v="8"/>
    <m/>
    <s v="Al Eman Computers Networks &amp; Communication"/>
    <s v="Materials/IT"/>
    <n v="774.64788732394368"/>
    <s v="478-11"/>
    <d v="2025-07-07T00:00:00"/>
    <n v="2025402529"/>
    <s v="Jul"/>
    <n v="2025"/>
  </r>
  <r>
    <n v="1171"/>
    <x v="8"/>
    <x v="18"/>
    <s v="Actual"/>
    <x v="8"/>
    <m/>
    <s v="GULF PEARL GROUP"/>
    <s v="Materials/Paint"/>
    <n v="756"/>
    <s v="27202025"/>
    <d v="2025-08-20T00:00:00"/>
    <n v="2025402695"/>
    <s v="Aug"/>
    <n v="2025"/>
  </r>
  <r>
    <n v="1172"/>
    <x v="8"/>
    <x v="18"/>
    <s v="Actual"/>
    <x v="8"/>
    <m/>
    <s v="Al-Faihaa Company"/>
    <s v="Material &amp; Supplies"/>
    <n v="704.22535211267609"/>
    <s v="000385"/>
    <d v="2025-07-16T00:00:00"/>
    <n v="2025402736"/>
    <s v="Jul"/>
    <n v="2025"/>
  </r>
  <r>
    <n v="1173"/>
    <x v="8"/>
    <x v="18"/>
    <s v="Actual"/>
    <x v="8"/>
    <m/>
    <s v="ZUMZUM ALFAYHAA INSAAT"/>
    <s v="Material &amp; Supplies"/>
    <n v="680"/>
    <s v="10794"/>
    <d v="2025-08-11T00:00:00"/>
    <n v="2025402591"/>
    <s v="Aug"/>
    <n v="2025"/>
  </r>
  <r>
    <n v="1174"/>
    <x v="8"/>
    <x v="18"/>
    <s v="Actual"/>
    <x v="8"/>
    <m/>
    <s v="ZUMZUM ALFAYHAA INSAAT"/>
    <s v="Material &amp; Supplies"/>
    <n v="468.3"/>
    <s v="10704"/>
    <d v="2025-08-06T00:00:00"/>
    <n v="2025402439"/>
    <s v="Aug"/>
    <n v="2025"/>
  </r>
  <r>
    <n v="1175"/>
    <x v="8"/>
    <x v="18"/>
    <s v="Actual"/>
    <x v="8"/>
    <m/>
    <s v="Al Eman Computers Networks &amp; Communication"/>
    <s v="Materials/IT"/>
    <n v="404.92957746478874"/>
    <s v="1887"/>
    <d v="2025-07-16T00:00:00"/>
    <n v="2025402529"/>
    <s v="Jul"/>
    <n v="2025"/>
  </r>
  <r>
    <n v="1176"/>
    <x v="8"/>
    <x v="18"/>
    <s v="Actual"/>
    <x v="8"/>
    <m/>
    <s v="Al Eman Computers Networks &amp; Communication"/>
    <s v="Materials/IT"/>
    <n v="404.92957746478874"/>
    <s v="1919"/>
    <d v="2025-08-18T00:00:00"/>
    <n v="2025402641"/>
    <s v="Aug"/>
    <n v="2025"/>
  </r>
  <r>
    <n v="1177"/>
    <x v="8"/>
    <x v="18"/>
    <s v="Actual"/>
    <x v="8"/>
    <m/>
    <s v="ZUMZUM ALFAYHAA INSAAT"/>
    <s v="Material &amp; Supplies"/>
    <n v="390"/>
    <s v="10854"/>
    <d v="2025-08-20T00:00:00"/>
    <n v="2025402601"/>
    <s v="Aug"/>
    <n v="2025"/>
  </r>
  <r>
    <n v="1178"/>
    <x v="8"/>
    <x v="18"/>
    <s v="Actual"/>
    <x v="8"/>
    <m/>
    <s v="Petty Cash"/>
    <s v="Food &amp; Meal for CAMP"/>
    <n v="359.15492957746477"/>
    <s v="##"/>
    <d v="2025-08-07T00:00:00"/>
    <s v="N/A"/>
    <s v="Jul"/>
    <n v="2025"/>
  </r>
  <r>
    <n v="1179"/>
    <x v="8"/>
    <x v="18"/>
    <s v="Actual"/>
    <x v="8"/>
    <m/>
    <s v="Petty Cash"/>
    <s v="Food &amp; Mael"/>
    <n v="352.11267605633805"/>
    <s v="##"/>
    <d v="2025-07-17T00:00:00"/>
    <s v="N/A"/>
    <s v="Jul"/>
    <n v="2025"/>
  </r>
  <r>
    <n v="1180"/>
    <x v="8"/>
    <x v="18"/>
    <s v="Actual"/>
    <x v="8"/>
    <m/>
    <s v="AL-Wajeeh Company"/>
    <s v="Material &amp; Supplies"/>
    <n v="332.6"/>
    <s v="16591"/>
    <d v="2025-08-30T00:00:00"/>
    <n v="2025402850"/>
    <s v="Aug"/>
    <n v="2025"/>
  </r>
  <r>
    <n v="1181"/>
    <x v="8"/>
    <x v="18"/>
    <s v="Actual"/>
    <x v="8"/>
    <m/>
    <s v="Petty Cash"/>
    <s v="Food &amp; Meals"/>
    <n v="320.42253521126759"/>
    <s v="##"/>
    <d v="2025-06-08T00:00:00"/>
    <s v="N/A"/>
    <s v="Aug"/>
    <n v="2025"/>
  </r>
  <r>
    <n v="1182"/>
    <x v="8"/>
    <x v="18"/>
    <s v="Actual"/>
    <x v="8"/>
    <m/>
    <s v="ZUMZUM ALFAYHAA INSAAT"/>
    <s v="Material &amp; Supplies"/>
    <n v="310"/>
    <s v="12046"/>
    <d v="2025-11-08T00:00:00"/>
    <n v="2025403992"/>
    <s v="Aug"/>
    <n v="2025"/>
  </r>
  <r>
    <n v="1183"/>
    <x v="8"/>
    <x v="18"/>
    <s v="Actual"/>
    <x v="8"/>
    <m/>
    <s v="Al-Ghadeer Print"/>
    <s v="Material &amp; Supplies"/>
    <n v="300"/>
    <s v="0060"/>
    <d v="2025-07-23T00:00:00"/>
    <n v="2025402574"/>
    <s v="Jul"/>
    <n v="2025"/>
  </r>
  <r>
    <n v="1184"/>
    <x v="8"/>
    <x v="18"/>
    <s v="Actual"/>
    <x v="8"/>
    <m/>
    <s v="AL-Wajeeh Company"/>
    <s v="Material &amp; Supplies"/>
    <n v="257.8"/>
    <s v="16873"/>
    <d v="2025-08-04T00:00:00"/>
    <n v="2025402515"/>
    <s v="Aug"/>
    <n v="2025"/>
  </r>
  <r>
    <n v="1185"/>
    <x v="8"/>
    <x v="18"/>
    <s v="Actual"/>
    <x v="8"/>
    <m/>
    <s v="AL-Wajeeh Company"/>
    <s v="Material &amp; Supplies"/>
    <n v="235.55"/>
    <s v="16906"/>
    <d v="2025-07-23T00:00:00"/>
    <n v="2025402380"/>
    <s v="Jul"/>
    <n v="2025"/>
  </r>
  <r>
    <n v="1186"/>
    <x v="8"/>
    <x v="18"/>
    <s v="Actual"/>
    <x v="8"/>
    <m/>
    <s v="Al-Janoob Garage"/>
    <s v="Material &amp; Supplies"/>
    <n v="228.87323943661971"/>
    <s v="#"/>
    <d v="2025-07-08T00:00:00"/>
    <n v="2025402437"/>
    <s v="Jul"/>
    <n v="2025"/>
  </r>
  <r>
    <n v="1187"/>
    <x v="8"/>
    <x v="18"/>
    <s v="Actual"/>
    <x v="8"/>
    <m/>
    <s v="AL-Wajeeh Company"/>
    <s v="Material &amp; Supplies"/>
    <n v="200"/>
    <s v="16916"/>
    <d v="2025-07-23T00:00:00"/>
    <n v="2025402379"/>
    <s v="Jul"/>
    <n v="2025"/>
  </r>
  <r>
    <n v="1188"/>
    <x v="8"/>
    <x v="18"/>
    <s v="Actual"/>
    <x v="8"/>
    <m/>
    <s v="AL-Wajeeh Company"/>
    <s v="Material &amp; Supplies"/>
    <n v="170.4"/>
    <s v="16730"/>
    <d v="2025-07-02T00:00:00"/>
    <n v="2025402062"/>
    <s v="Jul"/>
    <n v="2025"/>
  </r>
  <r>
    <n v="1189"/>
    <x v="8"/>
    <x v="18"/>
    <s v="Actual"/>
    <x v="8"/>
    <m/>
    <s v="ZUMZUM ALFAYHAA INSAAT"/>
    <s v="Material &amp; Supplies"/>
    <n v="145"/>
    <s v="10888"/>
    <d v="2025-08-20T00:00:00"/>
    <n v="2025402624"/>
    <s v="Aug"/>
    <n v="2025"/>
  </r>
  <r>
    <n v="1190"/>
    <x v="8"/>
    <x v="18"/>
    <s v="Actual"/>
    <x v="8"/>
    <m/>
    <s v="Petty Cash"/>
    <s v="Food &amp; Meal"/>
    <n v="98.591549295774641"/>
    <s v="##"/>
    <d v="2025-07-29T00:00:00"/>
    <s v="N/A"/>
    <s v="Jul"/>
    <n v="2025"/>
  </r>
  <r>
    <n v="1191"/>
    <x v="8"/>
    <x v="18"/>
    <s v="Actual"/>
    <x v="8"/>
    <m/>
    <s v="AL-Wajeeh Company"/>
    <s v="Material &amp; Supplies"/>
    <n v="88"/>
    <s v="16409"/>
    <d v="2025-08-04T00:00:00"/>
    <n v="2025402540"/>
    <s v="Aug"/>
    <n v="2025"/>
  </r>
  <r>
    <n v="1192"/>
    <x v="3"/>
    <x v="35"/>
    <s v="Actual"/>
    <x v="8"/>
    <m/>
    <s v="BLUE LINE"/>
    <s v="Material &amp; Supplies"/>
    <n v="426.48"/>
    <s v="6358"/>
    <d v="2025-08-23T00:00:00"/>
    <n v="2025402766"/>
    <s v="Aug"/>
    <n v="2025"/>
  </r>
  <r>
    <n v="1193"/>
    <x v="2"/>
    <x v="36"/>
    <s v="Actual"/>
    <x v="8"/>
    <m/>
    <s v="BLUE LINE"/>
    <s v="Material &amp; Supplies"/>
    <n v="2805.52"/>
    <s v="5959"/>
    <d v="2025-08-23T00:00:00"/>
    <n v="2025402758"/>
    <s v="Aug"/>
    <n v="2025"/>
  </r>
  <r>
    <n v="1194"/>
    <x v="2"/>
    <x v="9"/>
    <s v="Actual"/>
    <x v="9"/>
    <m/>
    <s v="Derraa Al Rumaila Security"/>
    <s v="Guards"/>
    <n v="4500"/>
    <s v="3010160725"/>
    <d v="2025-07-30T00:00:00"/>
    <s v="N/A"/>
    <s v="Jul"/>
    <n v="2025"/>
  </r>
  <r>
    <n v="1195"/>
    <x v="2"/>
    <x v="9"/>
    <s v="Actual"/>
    <x v="9"/>
    <m/>
    <s v="Derraa Al Rumaila Security"/>
    <s v="Guards"/>
    <n v="4500"/>
    <s v="3009440825"/>
    <d v="2025-08-30T00:00:00"/>
    <s v="N/A"/>
    <s v="Aug"/>
    <n v="2025"/>
  </r>
  <r>
    <n v="1196"/>
    <x v="2"/>
    <x v="9"/>
    <s v="Actual"/>
    <x v="9"/>
    <m/>
    <s v="Derraa Al Rumaila Security"/>
    <s v="PSD"/>
    <n v="1000"/>
    <s v="3010160725"/>
    <d v="2025-07-30T00:00:00"/>
    <s v="N/A"/>
    <s v="Jul"/>
    <n v="2025"/>
  </r>
  <r>
    <n v="1197"/>
    <x v="2"/>
    <x v="9"/>
    <s v="Actual"/>
    <x v="9"/>
    <m/>
    <s v="Derraa Al Rumaila Security"/>
    <s v="PSD"/>
    <n v="1000"/>
    <s v="3009440825"/>
    <d v="2025-08-30T00:00:00"/>
    <s v="N/A"/>
    <s v="Aug"/>
    <n v="2025"/>
  </r>
  <r>
    <n v="1198"/>
    <x v="3"/>
    <x v="3"/>
    <s v="Actual"/>
    <x v="9"/>
    <m/>
    <s v="Al-Zubair Gate"/>
    <s v="Guards"/>
    <n v="1408.4507042253522"/>
    <s v="2519"/>
    <d v="2025-07-31T00:00:00"/>
    <s v="N/A"/>
    <s v="Jul"/>
    <n v="2025"/>
  </r>
  <r>
    <n v="1199"/>
    <x v="3"/>
    <x v="3"/>
    <s v="Actual"/>
    <x v="9"/>
    <m/>
    <s v="Al-Zubair Gate"/>
    <s v="Guards"/>
    <n v="1408.4507042253522"/>
    <s v="2523"/>
    <d v="2025-08-31T00:00:00"/>
    <s v="N/A"/>
    <s v="Aug"/>
    <n v="2025"/>
  </r>
  <r>
    <n v="1200"/>
    <x v="5"/>
    <x v="5"/>
    <s v="Actual"/>
    <x v="9"/>
    <m/>
    <s v="LARSA Security"/>
    <s v="PSD"/>
    <n v="27098"/>
    <s v="INV-IGCC-25-08-222"/>
    <d v="2025-09-01T00:00:00"/>
    <s v="N/A"/>
    <s v="Aug"/>
    <n v="2025"/>
  </r>
  <r>
    <n v="1201"/>
    <x v="5"/>
    <x v="5"/>
    <s v="Actual"/>
    <x v="9"/>
    <m/>
    <s v="LARSA Security"/>
    <s v="Guards"/>
    <n v="22836"/>
    <s v="INV-IGCC-25-07-192"/>
    <d v="2025-08-04T00:00:00"/>
    <s v="N/A"/>
    <s v="Jul"/>
    <n v="2025"/>
  </r>
  <r>
    <n v="1202"/>
    <x v="1"/>
    <x v="1"/>
    <s v="Actual"/>
    <x v="9"/>
    <m/>
    <s v="LARSA Security"/>
    <s v="PSD"/>
    <n v="7750"/>
    <s v="INV-IGCC-25-08-224"/>
    <d v="2025-09-01T00:00:00"/>
    <s v="N/A"/>
    <s v="Aug"/>
    <n v="2025"/>
  </r>
  <r>
    <n v="1203"/>
    <x v="1"/>
    <x v="1"/>
    <s v="Actual"/>
    <x v="9"/>
    <m/>
    <s v="LARSA Security"/>
    <s v="PSD"/>
    <n v="6000"/>
    <s v="INV-IGCC-25-07-194"/>
    <d v="2025-08-04T00:00:00"/>
    <s v="N/A"/>
    <s v="Jul"/>
    <n v="2025"/>
  </r>
  <r>
    <n v="1204"/>
    <x v="1"/>
    <x v="1"/>
    <s v="Actual"/>
    <x v="9"/>
    <m/>
    <s v="LARSA Security"/>
    <s v="Guards"/>
    <n v="1080"/>
    <s v="INV-IGCC-25-08-223"/>
    <d v="2025-09-01T00:00:00"/>
    <s v="N/A"/>
    <s v="Aug"/>
    <n v="2025"/>
  </r>
  <r>
    <n v="1205"/>
    <x v="8"/>
    <x v="18"/>
    <s v="Actual"/>
    <x v="9"/>
    <m/>
    <s v="Derraa Al Rumaila Security"/>
    <s v="Guards"/>
    <n v="11520"/>
    <s v="3010160725"/>
    <d v="2025-07-30T00:00:00"/>
    <s v="N/A"/>
    <s v="Jul"/>
    <n v="2025"/>
  </r>
  <r>
    <n v="1206"/>
    <x v="8"/>
    <x v="18"/>
    <s v="Actual"/>
    <x v="9"/>
    <m/>
    <s v="Derraa Al Rumaila Security"/>
    <s v="Guards"/>
    <n v="11520"/>
    <s v="3009440825"/>
    <d v="2025-08-30T00:00:00"/>
    <s v="N/A"/>
    <s v="Aug"/>
    <n v="2025"/>
  </r>
  <r>
    <n v="1207"/>
    <x v="0"/>
    <x v="0"/>
    <s v="Actual"/>
    <x v="10"/>
    <m/>
    <s v="IGCC"/>
    <s v="Social security"/>
    <n v="28050.892307692309"/>
    <s v="N/A"/>
    <s v="N/A"/>
    <s v="N/A"/>
    <s v="Jul"/>
    <n v="2025"/>
  </r>
  <r>
    <n v="1208"/>
    <x v="0"/>
    <x v="0"/>
    <s v="Accrual"/>
    <x v="10"/>
    <m/>
    <s v="IGCC"/>
    <s v="Social security"/>
    <n v="25000"/>
    <s v="N/A"/>
    <s v="N/A"/>
    <s v="N/A"/>
    <s v="Aug"/>
    <n v="2025"/>
  </r>
  <r>
    <n v="1209"/>
    <x v="2"/>
    <x v="2"/>
    <s v="Actual"/>
    <x v="11"/>
    <m/>
    <s v="IGCC"/>
    <s v="Payroll  Aug"/>
    <n v="14225"/>
    <s v="N/A"/>
    <s v="N/A"/>
    <s v="N/A"/>
    <s v="Aug"/>
    <n v="2025"/>
  </r>
  <r>
    <n v="1210"/>
    <x v="2"/>
    <x v="2"/>
    <s v="Actual"/>
    <x v="11"/>
    <m/>
    <s v="IGCC"/>
    <s v="Payroll Jul"/>
    <n v="7181"/>
    <s v="N/A"/>
    <s v="N/A"/>
    <s v="N/A"/>
    <s v="Jul"/>
    <n v="2025"/>
  </r>
  <r>
    <n v="1211"/>
    <x v="2"/>
    <x v="6"/>
    <s v="Actual"/>
    <x v="11"/>
    <m/>
    <s v="IGCC"/>
    <s v="Payroll  Aug"/>
    <n v="74893"/>
    <s v="N/A"/>
    <s v="N/A"/>
    <s v="N/A"/>
    <s v="Aug"/>
    <n v="2025"/>
  </r>
  <r>
    <n v="1212"/>
    <x v="2"/>
    <x v="6"/>
    <s v="Actual"/>
    <x v="11"/>
    <m/>
    <s v="IGCC"/>
    <s v="Payroll Jul"/>
    <n v="61318"/>
    <s v="N/A"/>
    <s v="N/A"/>
    <s v="N/A"/>
    <s v="Jul"/>
    <n v="2025"/>
  </r>
  <r>
    <n v="1213"/>
    <x v="2"/>
    <x v="6"/>
    <s v="Actual"/>
    <x v="11"/>
    <m/>
    <s v="IGCC"/>
    <s v="Overtime UQ team rate "/>
    <n v="4900"/>
    <s v="N/A"/>
    <s v="N/A"/>
    <s v="N/A"/>
    <s v="Aug"/>
    <n v="2025"/>
  </r>
  <r>
    <n v="1214"/>
    <x v="2"/>
    <x v="7"/>
    <s v="Actual"/>
    <x v="11"/>
    <m/>
    <s v="IGCC"/>
    <s v="Payroll Jul"/>
    <n v="49296"/>
    <s v="N/A"/>
    <s v="N/A"/>
    <s v="N/A"/>
    <s v="Jul"/>
    <n v="2025"/>
  </r>
  <r>
    <n v="1215"/>
    <x v="2"/>
    <x v="7"/>
    <s v="Actual"/>
    <x v="11"/>
    <m/>
    <s v="IGCC"/>
    <s v="Payroll  Aug"/>
    <n v="41727"/>
    <s v="N/A"/>
    <s v="N/A"/>
    <s v="N/A"/>
    <s v="Aug"/>
    <n v="2025"/>
  </r>
  <r>
    <n v="1216"/>
    <x v="3"/>
    <x v="8"/>
    <s v="Actual"/>
    <x v="11"/>
    <m/>
    <s v="IGCC"/>
    <s v="Payroll Jul"/>
    <n v="5092"/>
    <s v="N/A"/>
    <s v="N/A"/>
    <s v="N/A"/>
    <s v="Jul"/>
    <n v="2025"/>
  </r>
  <r>
    <n v="1217"/>
    <x v="3"/>
    <x v="8"/>
    <s v="Actual"/>
    <x v="11"/>
    <m/>
    <s v="IGCC"/>
    <s v="Payroll  Aug"/>
    <n v="1669"/>
    <s v="N/A"/>
    <s v="N/A"/>
    <s v="N/A"/>
    <s v="Aug"/>
    <n v="2025"/>
  </r>
  <r>
    <n v="1218"/>
    <x v="2"/>
    <x v="9"/>
    <s v="Actual"/>
    <x v="11"/>
    <m/>
    <s v="IGCC"/>
    <s v="Payroll Jul"/>
    <n v="13694"/>
    <s v="N/A"/>
    <s v="N/A"/>
    <s v="N/A"/>
    <s v="Jul"/>
    <n v="2025"/>
  </r>
  <r>
    <n v="1219"/>
    <x v="2"/>
    <x v="9"/>
    <s v="Actual"/>
    <x v="11"/>
    <m/>
    <s v="IGCC"/>
    <s v="Payroll  Aug"/>
    <n v="9166"/>
    <s v="N/A"/>
    <s v="N/A"/>
    <s v="N/A"/>
    <s v="Aug"/>
    <n v="2025"/>
  </r>
  <r>
    <n v="1220"/>
    <x v="3"/>
    <x v="3"/>
    <s v="Actual"/>
    <x v="11"/>
    <m/>
    <s v="IGCC"/>
    <s v="Payroll Jul"/>
    <n v="29427"/>
    <s v="N/A"/>
    <s v="N/A"/>
    <s v="N/A"/>
    <s v="Jul"/>
    <n v="2025"/>
  </r>
  <r>
    <n v="1221"/>
    <x v="3"/>
    <x v="3"/>
    <s v="Actual"/>
    <x v="11"/>
    <m/>
    <s v="IGCC"/>
    <s v="Payroll  Aug"/>
    <n v="28391"/>
    <s v="N/A"/>
    <s v="N/A"/>
    <s v="N/A"/>
    <s v="Aug"/>
    <n v="2025"/>
  </r>
  <r>
    <n v="1222"/>
    <x v="3"/>
    <x v="10"/>
    <s v="Actual"/>
    <x v="11"/>
    <m/>
    <s v="IGCC"/>
    <s v="Payroll Jul"/>
    <n v="242348"/>
    <s v="N/A"/>
    <s v="N/A"/>
    <s v="N/A"/>
    <s v="Jul"/>
    <n v="2025"/>
  </r>
  <r>
    <n v="1223"/>
    <x v="3"/>
    <x v="10"/>
    <s v="Actual"/>
    <x v="11"/>
    <m/>
    <s v="IGCC"/>
    <s v="Payroll  Aug"/>
    <n v="201182"/>
    <s v="N/A"/>
    <s v="N/A"/>
    <s v="N/A"/>
    <s v="Aug"/>
    <n v="2025"/>
  </r>
  <r>
    <n v="1224"/>
    <x v="3"/>
    <x v="11"/>
    <s v="Actual"/>
    <x v="11"/>
    <m/>
    <s v="IGCC"/>
    <s v="Payroll Jul"/>
    <n v="124927"/>
    <s v="N/A"/>
    <s v="N/A"/>
    <s v="N/A"/>
    <s v="Jul"/>
    <n v="2025"/>
  </r>
  <r>
    <n v="1225"/>
    <x v="3"/>
    <x v="11"/>
    <s v="Actual"/>
    <x v="11"/>
    <m/>
    <s v="IGCC"/>
    <s v="Payroll  Aug"/>
    <n v="93451"/>
    <s v="N/A"/>
    <s v="N/A"/>
    <s v="N/A"/>
    <s v="Aug"/>
    <n v="2025"/>
  </r>
  <r>
    <n v="1226"/>
    <x v="3"/>
    <x v="24"/>
    <s v="Actual"/>
    <x v="11"/>
    <m/>
    <s v="IGCC"/>
    <s v="Payroll  Aug"/>
    <n v="27712"/>
    <s v="N/A"/>
    <s v="N/A"/>
    <s v="N/A"/>
    <s v="Aug"/>
    <n v="2025"/>
  </r>
  <r>
    <n v="1227"/>
    <x v="3"/>
    <x v="24"/>
    <s v="Actual"/>
    <x v="11"/>
    <m/>
    <s v="IGCC"/>
    <s v="Payroll Jul"/>
    <n v="25398"/>
    <s v="N/A"/>
    <s v="N/A"/>
    <s v="N/A"/>
    <s v="Jul"/>
    <n v="2025"/>
  </r>
  <r>
    <n v="1228"/>
    <x v="10"/>
    <x v="19"/>
    <s v="Actual"/>
    <x v="11"/>
    <m/>
    <s v="IGCC"/>
    <s v="Payroll Jul"/>
    <n v="68390"/>
    <s v="N/A"/>
    <s v="N/A"/>
    <s v="N/A"/>
    <s v="Jul"/>
    <n v="2025"/>
  </r>
  <r>
    <n v="1229"/>
    <x v="10"/>
    <x v="19"/>
    <s v="Actual"/>
    <x v="11"/>
    <m/>
    <s v="IGCC"/>
    <s v="Payroll  Aug"/>
    <n v="65180"/>
    <s v="N/A"/>
    <s v="N/A"/>
    <s v="N/A"/>
    <s v="Aug"/>
    <n v="2025"/>
  </r>
  <r>
    <n v="1230"/>
    <x v="3"/>
    <x v="21"/>
    <s v="Actual"/>
    <x v="11"/>
    <m/>
    <s v="IGCC"/>
    <s v="Payroll Jul"/>
    <n v="15065"/>
    <s v="N/A"/>
    <s v="N/A"/>
    <s v="N/A"/>
    <s v="Jul"/>
    <n v="2025"/>
  </r>
  <r>
    <n v="1231"/>
    <x v="3"/>
    <x v="21"/>
    <s v="Actual"/>
    <x v="11"/>
    <m/>
    <s v="IGCC"/>
    <s v="Payroll  Aug"/>
    <n v="7167"/>
    <s v="N/A"/>
    <s v="N/A"/>
    <s v="N/A"/>
    <s v="Aug"/>
    <n v="2025"/>
  </r>
  <r>
    <n v="1232"/>
    <x v="7"/>
    <x v="33"/>
    <s v="Actual"/>
    <x v="11"/>
    <m/>
    <s v="IGCC"/>
    <s v="Payroll Jul"/>
    <n v="4129"/>
    <s v="N/A"/>
    <s v="N/A"/>
    <s v="N/A"/>
    <s v="Jul"/>
    <n v="2025"/>
  </r>
  <r>
    <n v="1233"/>
    <x v="7"/>
    <x v="33"/>
    <s v="Actual"/>
    <x v="11"/>
    <m/>
    <s v="IGCC"/>
    <s v="Payroll  Aug"/>
    <n v="1878"/>
    <s v="N/A"/>
    <s v="N/A"/>
    <s v="N/A"/>
    <s v="Aug"/>
    <n v="2025"/>
  </r>
  <r>
    <n v="1234"/>
    <x v="7"/>
    <x v="34"/>
    <s v="Actual"/>
    <x v="11"/>
    <m/>
    <s v="IGCC"/>
    <s v="Payroll  Aug"/>
    <n v="3585"/>
    <s v="N/A"/>
    <s v="N/A"/>
    <s v="N/A"/>
    <s v="Aug"/>
    <n v="2025"/>
  </r>
  <r>
    <n v="1235"/>
    <x v="7"/>
    <x v="25"/>
    <s v="Actual"/>
    <x v="11"/>
    <m/>
    <s v="IGCC"/>
    <s v="Payroll Jul"/>
    <n v="11371"/>
    <s v="N/A"/>
    <s v="N/A"/>
    <s v="N/A"/>
    <s v="Jul"/>
    <n v="2025"/>
  </r>
  <r>
    <n v="1236"/>
    <x v="7"/>
    <x v="25"/>
    <s v="Actual"/>
    <x v="11"/>
    <m/>
    <s v="IGCC"/>
    <s v="Payroll  Aug"/>
    <n v="7211"/>
    <s v="N/A"/>
    <s v="N/A"/>
    <s v="N/A"/>
    <s v="Aug"/>
    <n v="2025"/>
  </r>
  <r>
    <n v="1237"/>
    <x v="4"/>
    <x v="4"/>
    <s v="Actual"/>
    <x v="11"/>
    <m/>
    <s v="IGCC"/>
    <s v="Payroll  Aug"/>
    <n v="61445"/>
    <s v="N/A"/>
    <s v="N/A"/>
    <s v="N/A"/>
    <s v="Aug"/>
    <n v="2025"/>
  </r>
  <r>
    <n v="1238"/>
    <x v="4"/>
    <x v="4"/>
    <s v="Actual"/>
    <x v="11"/>
    <m/>
    <s v="IGCC"/>
    <s v="Payroll Jul"/>
    <n v="49207"/>
    <s v="N/A"/>
    <s v="N/A"/>
    <s v="N/A"/>
    <s v="Jul"/>
    <n v="2025"/>
  </r>
  <r>
    <n v="1239"/>
    <x v="2"/>
    <x v="26"/>
    <s v="Actual"/>
    <x v="11"/>
    <m/>
    <s v="IGCC"/>
    <s v="Payroll Jul"/>
    <n v="44607"/>
    <s v="N/A"/>
    <s v="N/A"/>
    <s v="N/A"/>
    <s v="Jul"/>
    <n v="2025"/>
  </r>
  <r>
    <n v="1240"/>
    <x v="2"/>
    <x v="26"/>
    <s v="Actual"/>
    <x v="11"/>
    <m/>
    <s v="IGCC"/>
    <s v="Payroll  Aug"/>
    <n v="32477"/>
    <s v="N/A"/>
    <s v="N/A"/>
    <s v="N/A"/>
    <s v="Aug"/>
    <n v="2025"/>
  </r>
  <r>
    <n v="1241"/>
    <x v="3"/>
    <x v="12"/>
    <s v="Actual"/>
    <x v="11"/>
    <m/>
    <s v="IGCC"/>
    <s v="Payroll Jul"/>
    <n v="31695"/>
    <s v="N/A"/>
    <s v="N/A"/>
    <s v="N/A"/>
    <s v="Jul"/>
    <n v="2025"/>
  </r>
  <r>
    <n v="1242"/>
    <x v="3"/>
    <x v="12"/>
    <s v="Actual"/>
    <x v="11"/>
    <m/>
    <s v="IGCC"/>
    <s v="Payroll  Aug"/>
    <n v="26038"/>
    <s v="N/A"/>
    <s v="N/A"/>
    <s v="N/A"/>
    <s v="Aug"/>
    <n v="2025"/>
  </r>
  <r>
    <n v="1243"/>
    <x v="2"/>
    <x v="22"/>
    <s v="Actual"/>
    <x v="11"/>
    <m/>
    <s v="IGCC"/>
    <s v="Payroll Jul"/>
    <n v="80237"/>
    <s v="N/A"/>
    <s v="N/A"/>
    <s v="N/A"/>
    <s v="Jul"/>
    <n v="2025"/>
  </r>
  <r>
    <n v="1244"/>
    <x v="2"/>
    <x v="22"/>
    <s v="Actual"/>
    <x v="11"/>
    <m/>
    <s v="IGCC"/>
    <s v="Payroll  Aug"/>
    <n v="51340"/>
    <s v="N/A"/>
    <s v="N/A"/>
    <s v="N/A"/>
    <s v="Aug"/>
    <n v="2025"/>
  </r>
  <r>
    <n v="1245"/>
    <x v="0"/>
    <x v="0"/>
    <s v="Actual"/>
    <x v="11"/>
    <m/>
    <s v="IGCC"/>
    <s v="Payroll Jul"/>
    <n v="152861"/>
    <s v="N/A"/>
    <s v="N/A"/>
    <s v="N/A"/>
    <s v="Jul"/>
    <n v="2025"/>
  </r>
  <r>
    <n v="1246"/>
    <x v="0"/>
    <x v="0"/>
    <s v="Actual"/>
    <x v="11"/>
    <m/>
    <s v="IGCC"/>
    <s v="Payroll  Aug"/>
    <n v="137649"/>
    <s v="N/A"/>
    <s v="N/A"/>
    <s v="N/A"/>
    <s v="Aug"/>
    <n v="2025"/>
  </r>
  <r>
    <n v="1247"/>
    <x v="0"/>
    <x v="0"/>
    <s v="Actual"/>
    <x v="11"/>
    <m/>
    <s v="IGCC"/>
    <s v="Off Payroll Aug"/>
    <n v="9500"/>
    <s v="N/A"/>
    <s v="N/A"/>
    <s v="N/A"/>
    <s v="Aug"/>
    <n v="2025"/>
  </r>
  <r>
    <n v="1248"/>
    <x v="0"/>
    <x v="0"/>
    <s v="Actual"/>
    <x v="11"/>
    <m/>
    <s v="IGCC"/>
    <s v="Off Payroll Jul"/>
    <n v="9500"/>
    <s v="N/A"/>
    <s v="N/A"/>
    <s v="N/A"/>
    <s v="Jul"/>
    <n v="2025"/>
  </r>
  <r>
    <n v="1249"/>
    <x v="5"/>
    <x v="5"/>
    <s v="Actual"/>
    <x v="11"/>
    <m/>
    <s v="IGCC"/>
    <s v="Payroll  Aug"/>
    <n v="249029"/>
    <s v="N/A"/>
    <s v="N/A"/>
    <s v="N/A"/>
    <s v="Aug"/>
    <n v="2025"/>
  </r>
  <r>
    <n v="1250"/>
    <x v="5"/>
    <x v="5"/>
    <s v="Actual"/>
    <x v="11"/>
    <m/>
    <s v="IGCC"/>
    <s v="Payroll Jul"/>
    <n v="217607"/>
    <s v="N/A"/>
    <s v="N/A"/>
    <s v="N/A"/>
    <s v="Jul"/>
    <n v="2025"/>
  </r>
  <r>
    <n v="1251"/>
    <x v="1"/>
    <x v="1"/>
    <s v="Actual"/>
    <x v="11"/>
    <m/>
    <s v="IGCC"/>
    <s v="Payroll Jul"/>
    <n v="63226"/>
    <s v="N/A"/>
    <s v="N/A"/>
    <s v="N/A"/>
    <s v="Jul"/>
    <n v="2025"/>
  </r>
  <r>
    <n v="1252"/>
    <x v="1"/>
    <x v="1"/>
    <s v="Actual"/>
    <x v="11"/>
    <m/>
    <s v="IGCC"/>
    <s v="Payroll  Aug"/>
    <n v="63053"/>
    <s v="N/A"/>
    <s v="N/A"/>
    <s v="N/A"/>
    <s v="Aug"/>
    <n v="2025"/>
  </r>
  <r>
    <n v="1253"/>
    <x v="6"/>
    <x v="13"/>
    <s v="Actual"/>
    <x v="11"/>
    <m/>
    <s v="IGCC"/>
    <s v="Payroll Jul"/>
    <n v="30120"/>
    <s v="N/A"/>
    <s v="N/A"/>
    <s v="N/A"/>
    <s v="Jul"/>
    <n v="2025"/>
  </r>
  <r>
    <n v="1254"/>
    <x v="6"/>
    <x v="13"/>
    <s v="Actual"/>
    <x v="11"/>
    <m/>
    <s v="IGCC"/>
    <s v="Payroll  Aug"/>
    <n v="29105"/>
    <s v="N/A"/>
    <s v="N/A"/>
    <s v="N/A"/>
    <s v="Aug"/>
    <n v="2025"/>
  </r>
  <r>
    <n v="1255"/>
    <x v="3"/>
    <x v="14"/>
    <s v="Actual"/>
    <x v="11"/>
    <m/>
    <s v="IGCC"/>
    <s v="Payroll Jul"/>
    <n v="82856"/>
    <s v="N/A"/>
    <s v="N/A"/>
    <s v="N/A"/>
    <s v="Jul"/>
    <n v="2025"/>
  </r>
  <r>
    <n v="1256"/>
    <x v="3"/>
    <x v="14"/>
    <s v="Actual"/>
    <x v="11"/>
    <m/>
    <s v="IGCC"/>
    <s v="Payroll  Aug"/>
    <n v="66114"/>
    <s v="N/A"/>
    <s v="N/A"/>
    <s v="N/A"/>
    <s v="Aug"/>
    <n v="2025"/>
  </r>
  <r>
    <n v="1257"/>
    <x v="3"/>
    <x v="27"/>
    <s v="Actual"/>
    <x v="11"/>
    <m/>
    <s v="IGCC"/>
    <s v="Payroll Jul"/>
    <n v="38081"/>
    <s v="N/A"/>
    <s v="N/A"/>
    <s v="N/A"/>
    <s v="Jul"/>
    <n v="2025"/>
  </r>
  <r>
    <n v="1258"/>
    <x v="3"/>
    <x v="27"/>
    <s v="Actual"/>
    <x v="11"/>
    <m/>
    <s v="IGCC"/>
    <s v="Payroll  Aug"/>
    <n v="32434"/>
    <s v="N/A"/>
    <s v="N/A"/>
    <s v="N/A"/>
    <s v="Aug"/>
    <n v="2025"/>
  </r>
  <r>
    <n v="1259"/>
    <x v="2"/>
    <x v="28"/>
    <s v="Actual"/>
    <x v="11"/>
    <m/>
    <s v="IGCC"/>
    <s v="Payroll Jul"/>
    <n v="31714"/>
    <s v="N/A"/>
    <s v="N/A"/>
    <s v="N/A"/>
    <s v="Jul"/>
    <n v="2025"/>
  </r>
  <r>
    <n v="1260"/>
    <x v="2"/>
    <x v="28"/>
    <s v="Actual"/>
    <x v="11"/>
    <m/>
    <s v="IGCC"/>
    <s v="Payroll  Aug"/>
    <n v="23640"/>
    <s v="N/A"/>
    <s v="N/A"/>
    <s v="N/A"/>
    <s v="Aug"/>
    <n v="2025"/>
  </r>
  <r>
    <n v="1261"/>
    <x v="7"/>
    <x v="29"/>
    <s v="Actual"/>
    <x v="11"/>
    <m/>
    <s v="IGCC"/>
    <s v="Payroll Jul"/>
    <n v="6581"/>
    <s v="N/A"/>
    <s v="N/A"/>
    <s v="N/A"/>
    <s v="Jul"/>
    <n v="2025"/>
  </r>
  <r>
    <n v="1262"/>
    <x v="7"/>
    <x v="29"/>
    <s v="Actual"/>
    <x v="11"/>
    <m/>
    <s v="IGCC"/>
    <s v="Payroll  Aug"/>
    <n v="386"/>
    <s v="N/A"/>
    <s v="N/A"/>
    <s v="N/A"/>
    <s v="Aug"/>
    <n v="2025"/>
  </r>
  <r>
    <n v="1263"/>
    <x v="7"/>
    <x v="20"/>
    <s v="Actual"/>
    <x v="11"/>
    <m/>
    <s v="IGCC"/>
    <s v="Payroll  Aug"/>
    <n v="48809"/>
    <s v="N/A"/>
    <s v="N/A"/>
    <s v="N/A"/>
    <s v="Aug"/>
    <n v="2025"/>
  </r>
  <r>
    <n v="1264"/>
    <x v="7"/>
    <x v="20"/>
    <s v="Actual"/>
    <x v="11"/>
    <m/>
    <s v="IGCC"/>
    <s v="Payroll Jul"/>
    <n v="48350"/>
    <s v="N/A"/>
    <s v="N/A"/>
    <s v="N/A"/>
    <s v="Jul"/>
    <n v="2025"/>
  </r>
  <r>
    <n v="1265"/>
    <x v="7"/>
    <x v="15"/>
    <s v="Actual"/>
    <x v="11"/>
    <m/>
    <s v="IGCC"/>
    <s v="Payroll Jul"/>
    <n v="42995"/>
    <s v="N/A"/>
    <s v="N/A"/>
    <s v="N/A"/>
    <s v="Jul"/>
    <n v="2025"/>
  </r>
  <r>
    <n v="1266"/>
    <x v="7"/>
    <x v="15"/>
    <s v="Actual"/>
    <x v="11"/>
    <m/>
    <s v="IGCC"/>
    <s v="Payroll  Aug"/>
    <n v="42413"/>
    <s v="N/A"/>
    <s v="N/A"/>
    <s v="N/A"/>
    <s v="Aug"/>
    <n v="2025"/>
  </r>
  <r>
    <n v="1267"/>
    <x v="9"/>
    <x v="30"/>
    <s v="Actual"/>
    <x v="11"/>
    <m/>
    <s v="IGCC"/>
    <s v="Payroll Jul"/>
    <n v="14423"/>
    <s v="N/A"/>
    <s v="N/A"/>
    <s v="N/A"/>
    <s v="Jul"/>
    <n v="2025"/>
  </r>
  <r>
    <n v="1268"/>
    <x v="9"/>
    <x v="30"/>
    <s v="Actual"/>
    <x v="11"/>
    <m/>
    <s v="IGCC"/>
    <s v="Payroll  Aug"/>
    <n v="7325"/>
    <s v="N/A"/>
    <s v="N/A"/>
    <s v="N/A"/>
    <s v="Aug"/>
    <n v="2025"/>
  </r>
  <r>
    <n v="1269"/>
    <x v="3"/>
    <x v="31"/>
    <s v="Actual"/>
    <x v="11"/>
    <m/>
    <s v="IGCC"/>
    <s v="Payroll Jul"/>
    <n v="79872"/>
    <s v="N/A"/>
    <s v="N/A"/>
    <s v="N/A"/>
    <s v="Jul"/>
    <n v="2025"/>
  </r>
  <r>
    <n v="1270"/>
    <x v="3"/>
    <x v="31"/>
    <s v="Actual"/>
    <x v="11"/>
    <m/>
    <s v="IGCC"/>
    <s v="Payroll  Aug"/>
    <n v="68895"/>
    <s v="N/A"/>
    <s v="N/A"/>
    <s v="N/A"/>
    <s v="Aug"/>
    <n v="2025"/>
  </r>
  <r>
    <n v="1271"/>
    <x v="7"/>
    <x v="37"/>
    <s v="Actual"/>
    <x v="11"/>
    <m/>
    <s v="IGCC"/>
    <s v="Payroll Jul"/>
    <n v="9858"/>
    <s v="N/A"/>
    <s v="N/A"/>
    <s v="N/A"/>
    <s v="Jul"/>
    <n v="2025"/>
  </r>
  <r>
    <n v="1272"/>
    <x v="7"/>
    <x v="37"/>
    <s v="Actual"/>
    <x v="11"/>
    <m/>
    <s v="IGCC"/>
    <s v="Payroll  Aug"/>
    <n v="8515"/>
    <s v="N/A"/>
    <s v="N/A"/>
    <s v="N/A"/>
    <s v="Aug"/>
    <n v="2025"/>
  </r>
  <r>
    <n v="1273"/>
    <x v="8"/>
    <x v="18"/>
    <s v="Actual"/>
    <x v="11"/>
    <m/>
    <s v="IGCC"/>
    <s v="Payroll  Aug"/>
    <n v="90350"/>
    <s v="N/A"/>
    <s v="N/A"/>
    <s v="N/A"/>
    <s v="Aug"/>
    <n v="2025"/>
  </r>
  <r>
    <n v="1274"/>
    <x v="8"/>
    <x v="18"/>
    <s v="Actual"/>
    <x v="11"/>
    <m/>
    <s v="IGCC"/>
    <s v="Payroll Jul"/>
    <n v="88204"/>
    <s v="N/A"/>
    <s v="N/A"/>
    <s v="N/A"/>
    <s v="Jul"/>
    <n v="2025"/>
  </r>
  <r>
    <n v="1275"/>
    <x v="8"/>
    <x v="18"/>
    <s v="Accrual"/>
    <x v="11"/>
    <m/>
    <s v="IGCC"/>
    <s v="Aug 25 Camp Civil &amp; Mechanical team "/>
    <n v="20550"/>
    <s v="N/A"/>
    <s v="N/A"/>
    <s v="N/A"/>
    <s v="Aug"/>
    <n v="2025"/>
  </r>
  <r>
    <n v="1276"/>
    <x v="8"/>
    <x v="18"/>
    <s v="Actual"/>
    <x v="11"/>
    <m/>
    <s v="IGCC"/>
    <s v="Jul 25 Camp Civil &amp; Mechanical team "/>
    <n v="20550"/>
    <s v="N/A"/>
    <s v="N/A"/>
    <s v="N/A"/>
    <s v="Jul"/>
    <n v="2025"/>
  </r>
  <r>
    <n v="1277"/>
    <x v="2"/>
    <x v="6"/>
    <s v="Actual"/>
    <x v="12"/>
    <m/>
    <s v="Al Ebdaa Office"/>
    <s v="PRC"/>
    <n v="9850"/>
    <s v="425"/>
    <d v="2025-08-17T00:00:00"/>
    <n v="2025403866"/>
    <s v="Aug"/>
    <n v="2025"/>
  </r>
  <r>
    <n v="1278"/>
    <x v="2"/>
    <x v="6"/>
    <s v="Actual"/>
    <x v="12"/>
    <m/>
    <s v="Al Ebdaa Office"/>
    <s v="PRC"/>
    <n v="6010"/>
    <s v="426"/>
    <d v="2025-08-20T00:00:00"/>
    <n v="2025403911"/>
    <s v="Aug"/>
    <n v="2025"/>
  </r>
  <r>
    <n v="1279"/>
    <x v="2"/>
    <x v="9"/>
    <s v="Actual"/>
    <x v="12"/>
    <m/>
    <s v="Al Ebdaa Office"/>
    <s v="PRC"/>
    <n v="10399"/>
    <s v="422"/>
    <d v="2025-08-11T00:00:00"/>
    <n v="2025403451"/>
    <s v="Aug"/>
    <n v="2025"/>
  </r>
  <r>
    <n v="1280"/>
    <x v="3"/>
    <x v="10"/>
    <s v="Actual"/>
    <x v="12"/>
    <m/>
    <s v="Al-Ameer General Traiding &amp; Contracting"/>
    <s v="Civil Finishing Works"/>
    <n v="8899.4507042253517"/>
    <s v="#"/>
    <d v="2025-08-23T00:00:00"/>
    <n v="2025402677"/>
    <s v="Jul"/>
    <n v="2025"/>
  </r>
  <r>
    <n v="1281"/>
    <x v="3"/>
    <x v="11"/>
    <s v="Actual"/>
    <x v="12"/>
    <m/>
    <s v="ALSHIRAQ COMPANY FOR GENERAL CONTRACTING CO."/>
    <s v="Subcontractors"/>
    <n v="39467.21"/>
    <s v="SQ-IGCC-ASPH-INV-02"/>
    <d v="2025-07-30T00:00:00"/>
    <s v="N/A"/>
    <s v="Jul"/>
    <n v="2025"/>
  </r>
  <r>
    <n v="1282"/>
    <x v="3"/>
    <x v="11"/>
    <s v="Actual"/>
    <x v="12"/>
    <m/>
    <s v="Haider Ali Abd"/>
    <s v="Civil works"/>
    <n v="14060.773330985914"/>
    <s v="0016843"/>
    <d v="2025-08-31T00:00:00"/>
    <n v="2025402899"/>
    <s v="Aug"/>
    <n v="2025"/>
  </r>
  <r>
    <n v="1283"/>
    <x v="3"/>
    <x v="11"/>
    <s v="Actual"/>
    <x v="12"/>
    <m/>
    <s v="Al-Ameer General Traiding &amp; Contracting"/>
    <s v="Civil Finishing Works"/>
    <n v="6305.7957746478869"/>
    <s v="#"/>
    <d v="2025-07-28T00:00:00"/>
    <n v="2025402453"/>
    <s v="Jul"/>
    <n v="2025"/>
  </r>
  <r>
    <n v="1284"/>
    <x v="3"/>
    <x v="11"/>
    <s v="Actual"/>
    <x v="12"/>
    <m/>
    <s v="Al Ebdaa Office"/>
    <s v="PRC"/>
    <n v="2000"/>
    <s v="421"/>
    <d v="2025-08-21T00:00:00"/>
    <n v="2025403323"/>
    <s v="Aug"/>
    <n v="2025"/>
  </r>
  <r>
    <n v="1285"/>
    <x v="4"/>
    <x v="4"/>
    <s v="Actual"/>
    <x v="12"/>
    <m/>
    <s v="Burj Al Rafidain Hamza"/>
    <s v="Civil works"/>
    <n v="19902.749295774647"/>
    <s v="INV-IGCC-25-0533"/>
    <d v="2025-10-08T00:00:00"/>
    <n v="2025404070"/>
    <s v="Aug"/>
    <n v="2025"/>
  </r>
  <r>
    <n v="1286"/>
    <x v="2"/>
    <x v="22"/>
    <s v="Actual"/>
    <x v="12"/>
    <m/>
    <s v="Haider Ali Abd"/>
    <s v="Civil works"/>
    <n v="872.32605633802814"/>
    <s v="0016842"/>
    <d v="2025-08-04T00:00:00"/>
    <n v="2025402557"/>
    <s v="Jul"/>
    <n v="2025"/>
  </r>
  <r>
    <n v="1287"/>
    <x v="5"/>
    <x v="5"/>
    <s v="Accrual"/>
    <x v="12"/>
    <m/>
    <s v="Al Ajdar For General Trading and General Purchasing Ltd"/>
    <s v="Welding"/>
    <n v="299500"/>
    <s v="N/A"/>
    <s v="N/A"/>
    <s v="N/A"/>
    <s v="Aug"/>
    <n v="2025"/>
  </r>
  <r>
    <n v="1288"/>
    <x v="5"/>
    <x v="5"/>
    <s v="Accrual"/>
    <x v="12"/>
    <m/>
    <s v="Al Ajdar For General Trading and General Purchasing Ltd"/>
    <s v="Welding"/>
    <n v="108731"/>
    <s v="N/A"/>
    <s v="N/A"/>
    <s v="N/A"/>
    <s v="Jul"/>
    <n v="2025"/>
  </r>
  <r>
    <n v="1289"/>
    <x v="5"/>
    <x v="5"/>
    <s v="Accrual"/>
    <x v="12"/>
    <m/>
    <s v="NAC Logistic"/>
    <s v="Earthworks"/>
    <n v="73035.710000000006"/>
    <s v="N/A"/>
    <s v="N/A"/>
    <s v="N/A"/>
    <s v="Aug"/>
    <n v="2025"/>
  </r>
  <r>
    <n v="1290"/>
    <x v="5"/>
    <x v="5"/>
    <s v="Accrual"/>
    <x v="12"/>
    <m/>
    <s v="Taqadm Albasrah"/>
    <s v="Earthworks"/>
    <n v="65285.71"/>
    <s v="N/A"/>
    <s v="N/A"/>
    <s v="N/A"/>
    <s v="Aug"/>
    <n v="2025"/>
  </r>
  <r>
    <n v="1291"/>
    <x v="5"/>
    <x v="5"/>
    <s v="Accrual"/>
    <x v="12"/>
    <m/>
    <s v="NAC Logistic"/>
    <s v="Earthworks"/>
    <n v="24994.29"/>
    <s v="N/A"/>
    <s v="N/A"/>
    <s v="N/A"/>
    <s v="Jul"/>
    <n v="2025"/>
  </r>
  <r>
    <n v="1292"/>
    <x v="5"/>
    <x v="5"/>
    <s v="Accrual"/>
    <x v="12"/>
    <m/>
    <s v="Taqadm Albasrah"/>
    <s v="Earthworks"/>
    <n v="12836.57"/>
    <s v="N/A"/>
    <s v="N/A"/>
    <s v="N/A"/>
    <s v="Jul"/>
    <n v="2025"/>
  </r>
  <r>
    <n v="1293"/>
    <x v="3"/>
    <x v="14"/>
    <s v="Actual"/>
    <x v="12"/>
    <m/>
    <s v="Al Ajdar For General Trading and General Purchasing Ltd"/>
    <s v="Welding"/>
    <n v="224000"/>
    <s v="23-25"/>
    <d v="2025-09-13T00:00:00"/>
    <n v="2025403713"/>
    <s v="Jul"/>
    <n v="2025"/>
  </r>
  <r>
    <n v="1294"/>
    <x v="3"/>
    <x v="14"/>
    <s v="Actual"/>
    <x v="12"/>
    <m/>
    <s v="Al Ajdar For General Trading and General Purchasing Ltd"/>
    <s v="Welding"/>
    <n v="96000"/>
    <s v="20-25"/>
    <d v="2025-08-04T00:00:00"/>
    <n v="2025403736"/>
    <s v="Aug"/>
    <n v="2025"/>
  </r>
  <r>
    <n v="1295"/>
    <x v="2"/>
    <x v="2"/>
    <s v="Actual"/>
    <x v="13"/>
    <m/>
    <s v="Taqadm Albasrah"/>
    <s v="labourers"/>
    <n v="1195.7746478873239"/>
    <s v="M.P-055"/>
    <d v="2025-08-28T00:00:00"/>
    <s v="N/A"/>
    <s v="Jul"/>
    <n v="2025"/>
  </r>
  <r>
    <n v="1296"/>
    <x v="2"/>
    <x v="2"/>
    <s v="Actual"/>
    <x v="13"/>
    <m/>
    <s v="Taqadm Albasrah"/>
    <s v="labourers"/>
    <n v="735.21126760563379"/>
    <s v="M.P-063"/>
    <d v="2025-09-20T00:00:00"/>
    <s v="N/A"/>
    <s v="Aug"/>
    <n v="2025"/>
  </r>
  <r>
    <n v="1297"/>
    <x v="2"/>
    <x v="6"/>
    <s v="Actual"/>
    <x v="13"/>
    <m/>
    <s v="Taqadm Albasrah"/>
    <s v="labourers"/>
    <n v="19539.436619718308"/>
    <s v="M.P-063"/>
    <d v="2025-09-20T00:00:00"/>
    <s v="N/A"/>
    <s v="Aug"/>
    <n v="2025"/>
  </r>
  <r>
    <n v="1298"/>
    <x v="2"/>
    <x v="6"/>
    <s v="Actual"/>
    <x v="13"/>
    <m/>
    <s v="Taqadm Albasrah"/>
    <s v="labourers"/>
    <n v="8456.0563380281692"/>
    <s v="M.P-055"/>
    <d v="2025-08-28T00:00:00"/>
    <s v="N/A"/>
    <s v="Jul"/>
    <n v="2025"/>
  </r>
  <r>
    <n v="1299"/>
    <x v="2"/>
    <x v="6"/>
    <s v="Actual"/>
    <x v="13"/>
    <m/>
    <s v="Burj Al Rafidain Hamza"/>
    <s v="Third party Manpower"/>
    <n v="2847.3934210526318"/>
    <s v="INV-IGCC-25-0541"/>
    <d v="2025-11-08T00:00:00"/>
    <s v="N/A"/>
    <s v="Aug"/>
    <n v="2025"/>
  </r>
  <r>
    <n v="1300"/>
    <x v="2"/>
    <x v="7"/>
    <s v="Actual"/>
    <x v="13"/>
    <m/>
    <s v="Taqadm Albasrah"/>
    <s v="labourers"/>
    <n v="1036.6197183098591"/>
    <s v="M.P-055"/>
    <d v="2025-08-28T00:00:00"/>
    <s v="N/A"/>
    <s v="Jul"/>
    <n v="2025"/>
  </r>
  <r>
    <n v="1301"/>
    <x v="2"/>
    <x v="7"/>
    <s v="Actual"/>
    <x v="13"/>
    <m/>
    <s v="Taqadm Albasrah"/>
    <s v="labourers"/>
    <n v="950.70422535211264"/>
    <s v="M.P-063"/>
    <d v="2025-09-20T00:00:00"/>
    <s v="N/A"/>
    <s v="Aug"/>
    <n v="2025"/>
  </r>
  <r>
    <n v="1302"/>
    <x v="2"/>
    <x v="9"/>
    <s v="Actual"/>
    <x v="13"/>
    <m/>
    <s v="Burj Al Rafidain Hamza"/>
    <s v="Third party Manpower"/>
    <n v="340.04000709219861"/>
    <s v="INV-IGCC-25-0534"/>
    <d v="2025-10-12T00:00:00"/>
    <s v="N/A"/>
    <s v="Jul"/>
    <n v="2025"/>
  </r>
  <r>
    <n v="1303"/>
    <x v="3"/>
    <x v="3"/>
    <s v="Actual"/>
    <x v="13"/>
    <m/>
    <s v="Al-Zubair Gate"/>
    <s v="labourers"/>
    <n v="4330.9859154929582"/>
    <s v="2518"/>
    <d v="2025-07-31T00:00:00"/>
    <s v="N/A"/>
    <s v="Jul"/>
    <n v="2025"/>
  </r>
  <r>
    <n v="1304"/>
    <x v="3"/>
    <x v="3"/>
    <s v="Actual"/>
    <x v="13"/>
    <m/>
    <s v="Burj Al Rafidain Hamza"/>
    <s v="Third party Manpower"/>
    <n v="2329.6855263157895"/>
    <s v="INV-IGCC-25-0538"/>
    <d v="2025-11-08T00:00:00"/>
    <s v="N/A"/>
    <s v="Aug"/>
    <n v="2025"/>
  </r>
  <r>
    <n v="1305"/>
    <x v="3"/>
    <x v="10"/>
    <s v="Actual"/>
    <x v="13"/>
    <m/>
    <s v="Burj Al Rafidain Hamza"/>
    <s v="Third party Manpower"/>
    <n v="109492.88228368794"/>
    <s v="INV-IGCC-25-0536 RTT"/>
    <d v="2025-10-12T00:00:00"/>
    <s v="N/A"/>
    <s v="Jul"/>
    <n v="2025"/>
  </r>
  <r>
    <n v="1306"/>
    <x v="3"/>
    <x v="10"/>
    <s v="Actual"/>
    <x v="13"/>
    <m/>
    <s v="Burj Al Rafidain Hamza"/>
    <s v="Third party Manpower"/>
    <n v="108200.95000000001"/>
    <s v="INV-IGCC-25-0539"/>
    <d v="2025-11-08T00:00:00"/>
    <s v="N/A"/>
    <s v="Aug"/>
    <n v="2025"/>
  </r>
  <r>
    <n v="1307"/>
    <x v="3"/>
    <x v="11"/>
    <s v="Actual"/>
    <x v="13"/>
    <m/>
    <s v="Burj Al Rafidain Hamza"/>
    <s v="Third party Manpower"/>
    <n v="26532.52960526316"/>
    <s v="INV-IGCC-25-0541"/>
    <d v="2025-11-08T00:00:00"/>
    <s v="N/A"/>
    <s v="Aug"/>
    <n v="2025"/>
  </r>
  <r>
    <n v="1308"/>
    <x v="3"/>
    <x v="11"/>
    <s v="Actual"/>
    <x v="13"/>
    <m/>
    <s v="Burj Al Rafidain Hamza"/>
    <s v="Third party Manpower"/>
    <n v="15868.533664302598"/>
    <s v="INV-IGCC-25-0535"/>
    <d v="2025-10-12T00:00:00"/>
    <s v="N/A"/>
    <s v="Jul"/>
    <n v="2025"/>
  </r>
  <r>
    <n v="1309"/>
    <x v="3"/>
    <x v="24"/>
    <s v="Actual"/>
    <x v="13"/>
    <m/>
    <s v="Burj Al Rafidain Hamza"/>
    <s v="Third party Manpower"/>
    <n v="2588.5394736842104"/>
    <s v="INV-IGCC-25-0538"/>
    <d v="2025-11-08T00:00:00"/>
    <s v="N/A"/>
    <s v="Aug"/>
    <n v="2025"/>
  </r>
  <r>
    <n v="1310"/>
    <x v="3"/>
    <x v="24"/>
    <s v="Actual"/>
    <x v="13"/>
    <m/>
    <s v="Taqadm Albasrah"/>
    <s v="labourers"/>
    <n v="1744.5560318432335"/>
    <s v="M.P-063"/>
    <d v="2025-09-20T00:00:00"/>
    <s v="N/A"/>
    <s v="Aug"/>
    <n v="2025"/>
  </r>
  <r>
    <n v="1311"/>
    <x v="3"/>
    <x v="21"/>
    <s v="Actual"/>
    <x v="13"/>
    <m/>
    <s v="Burj Al Rafidain Hamza"/>
    <s v="Third party Manpower"/>
    <n v="453.38667612293142"/>
    <s v="INV-IGCC-25-0534"/>
    <d v="2025-10-12T00:00:00"/>
    <s v="N/A"/>
    <s v="Jul"/>
    <n v="2025"/>
  </r>
  <r>
    <n v="1312"/>
    <x v="7"/>
    <x v="33"/>
    <s v="Actual"/>
    <x v="13"/>
    <m/>
    <s v="Burj Al Rafidain Hamza"/>
    <s v="Third party Manpower"/>
    <n v="18378.630263157895"/>
    <s v="INV-IGCC-25-0539"/>
    <d v="2025-11-08T00:00:00"/>
    <s v="N/A"/>
    <s v="Aug"/>
    <n v="2025"/>
  </r>
  <r>
    <n v="1313"/>
    <x v="3"/>
    <x v="12"/>
    <s v="Actual"/>
    <x v="13"/>
    <m/>
    <s v="Burj Al Rafidain Hamza"/>
    <s v="Third party Manpower"/>
    <n v="7636.1914473684219"/>
    <s v="INV-IGCC-25-0541"/>
    <d v="2025-11-08T00:00:00"/>
    <s v="N/A"/>
    <s v="Aug"/>
    <n v="2025"/>
  </r>
  <r>
    <n v="1314"/>
    <x v="3"/>
    <x v="12"/>
    <s v="Actual"/>
    <x v="13"/>
    <m/>
    <s v="Burj Al Rafidain Hamza"/>
    <s v="Third party Manpower"/>
    <n v="906.77335224586284"/>
    <s v="INV-IGCC-25-0536 RTT"/>
    <d v="2025-10-12T00:00:00"/>
    <s v="N/A"/>
    <s v="Jul"/>
    <n v="2025"/>
  </r>
  <r>
    <n v="1315"/>
    <x v="2"/>
    <x v="22"/>
    <s v="Actual"/>
    <x v="13"/>
    <m/>
    <s v="Taqadm Albasrah"/>
    <s v="labourers"/>
    <n v="1559.1549295774648"/>
    <s v="M.P-055"/>
    <d v="2025-08-28T00:00:00"/>
    <s v="N/A"/>
    <s v="Jul"/>
    <n v="2025"/>
  </r>
  <r>
    <n v="1316"/>
    <x v="2"/>
    <x v="22"/>
    <s v="Actual"/>
    <x v="13"/>
    <m/>
    <s v="Taqadm Albasrah"/>
    <s v="labourers"/>
    <n v="408.45070422535213"/>
    <s v="M.P-063"/>
    <d v="2025-09-20T00:00:00"/>
    <s v="N/A"/>
    <s v="Aug"/>
    <n v="2025"/>
  </r>
  <r>
    <n v="1317"/>
    <x v="0"/>
    <x v="0"/>
    <s v="Actual"/>
    <x v="13"/>
    <m/>
    <s v="Taqadm Albasrah"/>
    <s v="labourers"/>
    <n v="1139.5774647887324"/>
    <s v="M.P-055"/>
    <d v="2025-08-28T00:00:00"/>
    <s v="N/A"/>
    <s v="Jul"/>
    <n v="2025"/>
  </r>
  <r>
    <n v="1318"/>
    <x v="0"/>
    <x v="0"/>
    <s v="Actual"/>
    <x v="13"/>
    <m/>
    <s v="Taqadm Albasrah"/>
    <s v="labourers"/>
    <n v="1061.9718309859154"/>
    <s v="M.P-063"/>
    <d v="2025-09-20T00:00:00"/>
    <s v="N/A"/>
    <s v="Aug"/>
    <n v="2025"/>
  </r>
  <r>
    <n v="1319"/>
    <x v="5"/>
    <x v="5"/>
    <s v="Actual"/>
    <x v="13"/>
    <m/>
    <s v="Burj Al Rafidain Hamza"/>
    <s v="Third party Manpower"/>
    <n v="92604.228598108733"/>
    <s v="INV-IGCC-25-0535"/>
    <d v="2025-10-12T00:00:00"/>
    <s v="N/A"/>
    <s v="Jul"/>
    <n v="2025"/>
  </r>
  <r>
    <n v="1320"/>
    <x v="5"/>
    <x v="5"/>
    <s v="Actual"/>
    <x v="13"/>
    <m/>
    <s v="Burj Al Rafidain Hamza"/>
    <s v="Third party Manpower"/>
    <n v="67819.734210526323"/>
    <s v="INV-IGCC-25-0538"/>
    <d v="2025-11-08T00:00:00"/>
    <s v="N/A"/>
    <s v="Aug"/>
    <n v="2025"/>
  </r>
  <r>
    <n v="1321"/>
    <x v="1"/>
    <x v="1"/>
    <s v="Actual"/>
    <x v="13"/>
    <m/>
    <s v="Taqadm Albasrah"/>
    <s v="labourers"/>
    <n v="5370.9859154929582"/>
    <s v="M.P-055"/>
    <d v="2025-08-28T00:00:00"/>
    <s v="N/A"/>
    <s v="Jul"/>
    <n v="2025"/>
  </r>
  <r>
    <n v="1322"/>
    <x v="1"/>
    <x v="1"/>
    <s v="Actual"/>
    <x v="13"/>
    <m/>
    <s v="Burj Al Rafidain Hamza"/>
    <s v="Third party Manpower"/>
    <n v="1811.9776315789472"/>
    <s v="INV-IGCC-25-0539"/>
    <d v="2025-11-08T00:00:00"/>
    <s v="N/A"/>
    <s v="Aug"/>
    <n v="2025"/>
  </r>
  <r>
    <n v="1323"/>
    <x v="1"/>
    <x v="1"/>
    <s v="Actual"/>
    <x v="13"/>
    <m/>
    <s v="Burj Al Rafidain Hamza"/>
    <s v="Third party Manpower"/>
    <n v="1246.8133593380614"/>
    <s v="INV-IGCC-25-0535"/>
    <d v="2025-10-12T00:00:00"/>
    <s v="N/A"/>
    <s v="Jul"/>
    <n v="2025"/>
  </r>
  <r>
    <n v="1324"/>
    <x v="1"/>
    <x v="1"/>
    <s v="Actual"/>
    <x v="13"/>
    <m/>
    <s v="Burj Al Rafidain Hamza"/>
    <s v="Third party Manpower"/>
    <n v="1133.4666903073285"/>
    <s v="INV-IGCC-25-0534"/>
    <d v="2025-10-12T00:00:00"/>
    <s v="N/A"/>
    <s v="Jul"/>
    <n v="2025"/>
  </r>
  <r>
    <n v="1325"/>
    <x v="1"/>
    <x v="1"/>
    <s v="Actual"/>
    <x v="13"/>
    <m/>
    <s v="Taqadm Albasrah"/>
    <s v="labourers"/>
    <n v="503.98285364360078"/>
    <s v="M.P-063"/>
    <d v="2025-09-20T00:00:00"/>
    <s v="N/A"/>
    <s v="Aug"/>
    <n v="2025"/>
  </r>
  <r>
    <n v="1326"/>
    <x v="6"/>
    <x v="13"/>
    <s v="Actual"/>
    <x v="13"/>
    <m/>
    <s v="Burj Al Rafidain Hamza"/>
    <s v="Third party Manpower"/>
    <n v="2976.820394736842"/>
    <s v="INV-IGCC-25-0541"/>
    <d v="2025-11-08T00:00:00"/>
    <s v="N/A"/>
    <s v="Aug"/>
    <n v="2025"/>
  </r>
  <r>
    <n v="1327"/>
    <x v="6"/>
    <x v="13"/>
    <s v="Actual"/>
    <x v="13"/>
    <m/>
    <s v="Burj Al Rafidain Hamza"/>
    <s v="Third party Manpower"/>
    <n v="793.42668321512997"/>
    <s v="INV-IGCC-25-0536 RTT"/>
    <d v="2025-10-12T00:00:00"/>
    <s v="N/A"/>
    <s v="Jul"/>
    <n v="2025"/>
  </r>
  <r>
    <n v="1328"/>
    <x v="3"/>
    <x v="14"/>
    <s v="Actual"/>
    <x v="13"/>
    <m/>
    <s v="Burj Al Rafidain Hamza"/>
    <s v="Third party Manpower"/>
    <n v="14961.760312056736"/>
    <s v="INV-IGCC-25-0535"/>
    <d v="2025-10-12T00:00:00"/>
    <s v="N/A"/>
    <s v="Jul"/>
    <n v="2025"/>
  </r>
  <r>
    <n v="1329"/>
    <x v="3"/>
    <x v="14"/>
    <s v="Actual"/>
    <x v="13"/>
    <m/>
    <s v="Burj Al Rafidain Hamza"/>
    <s v="Third party Manpower"/>
    <n v="9448.1690789473669"/>
    <s v="INV-IGCC-25-0538"/>
    <d v="2025-11-08T00:00:00"/>
    <s v="N/A"/>
    <s v="Aug"/>
    <n v="2025"/>
  </r>
  <r>
    <n v="1330"/>
    <x v="3"/>
    <x v="27"/>
    <s v="Actual"/>
    <x v="13"/>
    <m/>
    <s v="Burj Al Rafidain Hamza"/>
    <s v="Third party Manpower"/>
    <n v="15142.955921052633"/>
    <s v="INV-IGCC-25-0539"/>
    <d v="2025-11-08T00:00:00"/>
    <s v="N/A"/>
    <s v="Aug"/>
    <n v="2025"/>
  </r>
  <r>
    <n v="1331"/>
    <x v="3"/>
    <x v="27"/>
    <s v="Actual"/>
    <x v="13"/>
    <m/>
    <s v="Burj Al Rafidain Hamza"/>
    <s v="Third party Manpower"/>
    <n v="8274.306839243498"/>
    <s v="INV-IGCC-25-0534"/>
    <d v="2025-10-12T00:00:00"/>
    <s v="N/A"/>
    <s v="Jul"/>
    <n v="2025"/>
  </r>
  <r>
    <n v="1332"/>
    <x v="7"/>
    <x v="20"/>
    <s v="Actual"/>
    <x v="13"/>
    <m/>
    <s v="Burj Al Rafidain Hamza"/>
    <s v="Third party Manpower"/>
    <n v="16307.798684210526"/>
    <s v="INV-IGCC-25-0541"/>
    <d v="2025-11-08T00:00:00"/>
    <s v="N/A"/>
    <s v="Aug"/>
    <n v="2025"/>
  </r>
  <r>
    <n v="1333"/>
    <x v="7"/>
    <x v="20"/>
    <s v="Actual"/>
    <x v="13"/>
    <m/>
    <s v="Burj Al Rafidain Hamza"/>
    <s v="Third party Manpower"/>
    <n v="5440.6401134751777"/>
    <s v="INV-IGCC-25-0536 RTT"/>
    <d v="2025-10-12T00:00:00"/>
    <s v="N/A"/>
    <s v="Jul"/>
    <n v="2025"/>
  </r>
  <r>
    <n v="1334"/>
    <x v="7"/>
    <x v="15"/>
    <s v="Actual"/>
    <x v="13"/>
    <m/>
    <s v="Burj Al Rafidain Hamza"/>
    <s v="Third party Manpower"/>
    <n v="17228.693692671397"/>
    <s v="INV-IGCC-25-0535"/>
    <d v="2025-10-12T00:00:00"/>
    <s v="N/A"/>
    <s v="Jul"/>
    <n v="2025"/>
  </r>
  <r>
    <n v="1335"/>
    <x v="7"/>
    <x v="15"/>
    <s v="Actual"/>
    <x v="13"/>
    <m/>
    <s v="Burj Al Rafidain Hamza"/>
    <s v="Third party Manpower"/>
    <n v="13719.259210526316"/>
    <s v="INV-IGCC-25-0538"/>
    <d v="2025-11-08T00:00:00"/>
    <s v="N/A"/>
    <s v="Aug"/>
    <n v="2025"/>
  </r>
  <r>
    <n v="1336"/>
    <x v="9"/>
    <x v="30"/>
    <s v="Actual"/>
    <x v="13"/>
    <m/>
    <s v="Burj Al Rafidain Hamza"/>
    <s v="Third party Manpower"/>
    <n v="14961.760312056736"/>
    <s v="INV-IGCC-25-0534"/>
    <d v="2025-10-12T00:00:00"/>
    <s v="N/A"/>
    <s v="Jul"/>
    <n v="2025"/>
  </r>
  <r>
    <n v="1337"/>
    <x v="9"/>
    <x v="30"/>
    <s v="Actual"/>
    <x v="13"/>
    <m/>
    <s v="Burj Al Rafidain Hamza"/>
    <s v="Third party Manpower"/>
    <n v="14754.674999999999"/>
    <s v="INV-IGCC-25-0539"/>
    <d v="2025-11-08T00:00:00"/>
    <s v="N/A"/>
    <s v="Aug"/>
    <n v="2025"/>
  </r>
  <r>
    <n v="1338"/>
    <x v="3"/>
    <x v="31"/>
    <s v="Actual"/>
    <x v="13"/>
    <m/>
    <s v="Burj Al Rafidain Hamza"/>
    <s v="Third party Manpower"/>
    <n v="161972.39004491724"/>
    <s v="INV-IGCC-25-0536 RTT"/>
    <d v="2025-10-12T00:00:00"/>
    <s v="N/A"/>
    <s v="Jul"/>
    <n v="2025"/>
  </r>
  <r>
    <n v="1339"/>
    <x v="3"/>
    <x v="31"/>
    <s v="Actual"/>
    <x v="13"/>
    <m/>
    <s v="Burj Al Rafidain Hamza"/>
    <s v="Third party Manpower"/>
    <n v="71443.689473684208"/>
    <s v="INV-IGCC-25-0541"/>
    <d v="2025-11-08T00:00:00"/>
    <s v="N/A"/>
    <s v="Aug"/>
    <n v="2025"/>
  </r>
  <r>
    <n v="1340"/>
    <x v="7"/>
    <x v="37"/>
    <s v="Actual"/>
    <x v="13"/>
    <m/>
    <s v="Burj Al Rafidain Hamza"/>
    <s v="Third party Manpower"/>
    <n v="31170.333983451535"/>
    <s v="INV-IGCC-25-0535"/>
    <d v="2025-10-12T00:00:00"/>
    <s v="N/A"/>
    <s v="Jul"/>
    <n v="2025"/>
  </r>
  <r>
    <n v="1341"/>
    <x v="7"/>
    <x v="37"/>
    <s v="Actual"/>
    <x v="13"/>
    <m/>
    <s v="Burj Al Rafidain Hamza"/>
    <s v="Third party Manpower"/>
    <n v="8930.461184210526"/>
    <s v="INV-IGCC-25-0538"/>
    <d v="2025-11-08T00:00:00"/>
    <s v="N/A"/>
    <s v="Aug"/>
    <n v="2025"/>
  </r>
  <r>
    <n v="1342"/>
    <x v="3"/>
    <x v="17"/>
    <s v="Actual"/>
    <x v="13"/>
    <m/>
    <s v="Burj Al Rafidain Hamza"/>
    <s v="Third party Manpower"/>
    <n v="2606.9733877068556"/>
    <s v="INV-IGCC-25-0534"/>
    <d v="2025-10-12T00:00:00"/>
    <s v="N/A"/>
    <s v="Jul"/>
    <n v="2025"/>
  </r>
  <r>
    <n v="1343"/>
    <x v="3"/>
    <x v="17"/>
    <s v="Actual"/>
    <x v="13"/>
    <m/>
    <s v="Burj Al Rafidain Hamza"/>
    <s v="Third party Manpower"/>
    <n v="2588.5394736842104"/>
    <s v="INV-IGCC-25-0539"/>
    <d v="2025-11-08T00:00:00"/>
    <s v="N/A"/>
    <s v="Aug"/>
    <n v="2025"/>
  </r>
  <r>
    <n v="1344"/>
    <x v="3"/>
    <x v="17"/>
    <s v="Actual"/>
    <x v="13"/>
    <m/>
    <s v="Taqadm Albasrah"/>
    <s v="labourers"/>
    <n v="2209.7709736680958"/>
    <s v="M.P-063"/>
    <d v="2025-09-20T00:00:00"/>
    <s v="N/A"/>
    <s v="Aug"/>
    <n v="2025"/>
  </r>
  <r>
    <n v="1345"/>
    <x v="8"/>
    <x v="18"/>
    <s v="Actual"/>
    <x v="13"/>
    <m/>
    <s v="Taqadm Albasrah"/>
    <s v="labourers"/>
    <n v="628.16901408450701"/>
    <s v="M.P-063"/>
    <d v="2025-09-20T00:00:00"/>
    <s v="N/A"/>
    <s v="Aug"/>
    <n v="2025"/>
  </r>
  <r>
    <n v="1346"/>
    <x v="8"/>
    <x v="18"/>
    <s v="Actual"/>
    <x v="13"/>
    <m/>
    <s v="Taqadm Albasrah"/>
    <s v="labourers"/>
    <n v="464.78873239436621"/>
    <s v="M.P-055"/>
    <d v="2025-08-28T00:00:00"/>
    <s v="N/A"/>
    <s v="Jul"/>
    <n v="2025"/>
  </r>
  <r>
    <n v="1347"/>
    <x v="2"/>
    <x v="2"/>
    <s v="Actual"/>
    <x v="14"/>
    <m/>
    <s v="Border Transportaion / Al Hodod"/>
    <s v="Hydrovac"/>
    <n v="2053.5211267605632"/>
    <n v="2025000129"/>
    <d v="2025-07-31T00:00:00"/>
    <s v="N/A"/>
    <s v="Jul"/>
    <n v="2025"/>
  </r>
  <r>
    <n v="1348"/>
    <x v="2"/>
    <x v="2"/>
    <s v="Actual"/>
    <x v="14"/>
    <m/>
    <s v="Tohama Company"/>
    <s v="Testing/Calibration"/>
    <n v="608"/>
    <s v="TIC-25-0571"/>
    <d v="2025-07-29T00:00:00"/>
    <n v="2025402087"/>
    <s v="Jul"/>
    <n v="2025"/>
  </r>
  <r>
    <n v="1349"/>
    <x v="2"/>
    <x v="2"/>
    <s v="Actual"/>
    <x v="14"/>
    <m/>
    <s v="Tohama Company"/>
    <s v="Testing/Calibration"/>
    <n v="400"/>
    <s v="TIC-8-25-0615"/>
    <d v="2025-08-07T00:00:00"/>
    <n v="2025401297"/>
    <s v="Aug"/>
    <n v="2025"/>
  </r>
  <r>
    <n v="1350"/>
    <x v="2"/>
    <x v="6"/>
    <s v="Actual"/>
    <x v="14"/>
    <m/>
    <s v="Border Transportaion / Al Hodod"/>
    <s v="Hydrovac"/>
    <n v="29815.795774647886"/>
    <s v="20254000141"/>
    <d v="2025-08-31T00:00:00"/>
    <s v="N/A"/>
    <s v="Aug"/>
    <n v="2025"/>
  </r>
  <r>
    <n v="1351"/>
    <x v="2"/>
    <x v="6"/>
    <s v="Actual"/>
    <x v="14"/>
    <m/>
    <s v="NAYA Co"/>
    <s v="Testing/Calibration"/>
    <n v="3300"/>
    <s v="INV-25-313"/>
    <d v="2025-07-27T00:00:00"/>
    <n v="2025402343"/>
    <s v="Jul"/>
    <n v="2025"/>
  </r>
  <r>
    <n v="1352"/>
    <x v="2"/>
    <x v="6"/>
    <s v="Actual"/>
    <x v="14"/>
    <m/>
    <s v="Tohama Company"/>
    <s v="Testing/Calibration"/>
    <n v="2323.9436619718308"/>
    <s v="TIC-8-25-0613"/>
    <d v="2025-08-07T00:00:00"/>
    <n v="2025403224"/>
    <s v="Aug"/>
    <n v="2025"/>
  </r>
  <r>
    <n v="1353"/>
    <x v="2"/>
    <x v="6"/>
    <s v="Actual"/>
    <x v="14"/>
    <m/>
    <s v="Enjaz For Training, Testing, Calibation &amp; Enginnering Services"/>
    <s v="Testing/Calibration"/>
    <n v="1135"/>
    <s v="INCL-0944"/>
    <d v="2025-08-18T00:00:00"/>
    <n v="2025403336"/>
    <s v="Aug"/>
    <n v="2025"/>
  </r>
  <r>
    <n v="1354"/>
    <x v="2"/>
    <x v="6"/>
    <s v="Actual"/>
    <x v="14"/>
    <m/>
    <s v="NAYA Co"/>
    <s v="Testing/Calibration"/>
    <n v="600"/>
    <s v="TR25-11105"/>
    <d v="2025-08-06T00:00:00"/>
    <n v="2025402553"/>
    <s v="Aug"/>
    <n v="2025"/>
  </r>
  <r>
    <n v="1355"/>
    <x v="2"/>
    <x v="6"/>
    <s v="Actual"/>
    <x v="14"/>
    <m/>
    <s v="Tohama Company"/>
    <s v="Testing/Calibration"/>
    <n v="70.422535211267601"/>
    <s v="CIV-1440"/>
    <d v="2025-08-25T00:00:00"/>
    <n v="2025403327"/>
    <s v="Aug"/>
    <n v="2025"/>
  </r>
  <r>
    <n v="1356"/>
    <x v="2"/>
    <x v="7"/>
    <s v="Actual"/>
    <x v="14"/>
    <m/>
    <s v="Border Transportaion / Al Hodod"/>
    <s v="Hydrovac"/>
    <n v="6810.8450704225352"/>
    <n v="2025000127"/>
    <d v="2025-07-31T00:00:00"/>
    <s v="N/A"/>
    <s v="Jul"/>
    <n v="2025"/>
  </r>
  <r>
    <n v="1357"/>
    <x v="2"/>
    <x v="7"/>
    <s v="Actual"/>
    <x v="14"/>
    <m/>
    <s v="Al NABAA AL YAQEEN COMPANY FOR ENGINEERNING SERVICES AND CONSULTANCIES"/>
    <s v="Testing/Calibration"/>
    <n v="1350"/>
    <s v="89NY-IGCC"/>
    <d v="2025-08-05T00:00:00"/>
    <n v="2025403227"/>
    <s v="Aug"/>
    <n v="2025"/>
  </r>
  <r>
    <n v="1358"/>
    <x v="2"/>
    <x v="9"/>
    <s v="Actual"/>
    <x v="14"/>
    <m/>
    <s v="Border Transportaion / Al Hodod"/>
    <s v="Hydrovac"/>
    <n v="3080.2816901408451"/>
    <n v="2025000128"/>
    <d v="2025-07-31T00:00:00"/>
    <s v="N/A"/>
    <s v="Jul"/>
    <n v="2025"/>
  </r>
  <r>
    <n v="1359"/>
    <x v="3"/>
    <x v="3"/>
    <s v="Actual"/>
    <x v="14"/>
    <m/>
    <s v="Border Transportaion / Al Hodod"/>
    <s v="Hydrovac"/>
    <n v="5006.4084507042253"/>
    <n v="2025000131"/>
    <d v="2025-07-31T00:00:00"/>
    <s v="N/A"/>
    <s v="Jul"/>
    <n v="2025"/>
  </r>
  <r>
    <n v="1360"/>
    <x v="3"/>
    <x v="3"/>
    <s v="Actual"/>
    <x v="14"/>
    <m/>
    <s v="Southern Services"/>
    <s v="Testing/Calibration"/>
    <n v="200"/>
    <s v="SS-OPM-IGCC-INV-062 Rev.0"/>
    <d v="2025-08-20T00:00:00"/>
    <n v="2025403366"/>
    <s v="Aug"/>
    <n v="2025"/>
  </r>
  <r>
    <n v="1361"/>
    <x v="3"/>
    <x v="10"/>
    <s v="Actual"/>
    <x v="14"/>
    <m/>
    <s v="NESİM MUMCU"/>
    <s v="Testing/Calibration"/>
    <n v="3600"/>
    <s v="07-25-IN-01"/>
    <d v="2025-07-04T00:00:00"/>
    <s v="N/A"/>
    <s v="Jul"/>
    <n v="2025"/>
  </r>
  <r>
    <n v="1362"/>
    <x v="3"/>
    <x v="10"/>
    <s v="Actual"/>
    <x v="14"/>
    <m/>
    <s v="Miqias Inspection instrumentation Calibration"/>
    <s v="Testing/Calibration"/>
    <n v="2885.211267605634"/>
    <s v="INV.25-670"/>
    <d v="2025-08-31T00:00:00"/>
    <n v="2025403773"/>
    <s v="Aug"/>
    <n v="2025"/>
  </r>
  <r>
    <n v="1363"/>
    <x v="3"/>
    <x v="10"/>
    <s v="Actual"/>
    <x v="14"/>
    <m/>
    <s v="Basra Galvanizing Co."/>
    <s v="Testing/Calibration"/>
    <n v="2501.9366197183099"/>
    <s v="B.G.B.I.052"/>
    <d v="2025-07-18T00:00:00"/>
    <n v="2025402432"/>
    <s v="Jul"/>
    <n v="2025"/>
  </r>
  <r>
    <n v="1364"/>
    <x v="3"/>
    <x v="10"/>
    <s v="Actual"/>
    <x v="14"/>
    <m/>
    <s v="Miqias Inspection instrumentation Calibration"/>
    <s v="Testing/Calibration"/>
    <n v="1540.8450704225352"/>
    <s v="INV.25-552"/>
    <d v="2025-07-31T00:00:00"/>
    <n v="2025403773"/>
    <s v="Jul"/>
    <n v="2025"/>
  </r>
  <r>
    <n v="1365"/>
    <x v="3"/>
    <x v="10"/>
    <s v="Actual"/>
    <x v="14"/>
    <m/>
    <s v="Miqias Inspection instrumentation Calibration"/>
    <s v="Testing/Calibration"/>
    <n v="1228.1690140845071"/>
    <s v="INV.25-668"/>
    <d v="2025-08-31T00:00:00"/>
    <n v="2025403773"/>
    <s v="Aug"/>
    <n v="2025"/>
  </r>
  <r>
    <n v="1366"/>
    <x v="3"/>
    <x v="10"/>
    <s v="Actual"/>
    <x v="14"/>
    <m/>
    <s v="Border Transportaion / Al Hodod"/>
    <s v="Hydrovac"/>
    <n v="1026.7605633802816"/>
    <s v="20254000153"/>
    <d v="2025-08-31T00:00:00"/>
    <s v="N/A"/>
    <s v="Aug"/>
    <n v="2025"/>
  </r>
  <r>
    <n v="1367"/>
    <x v="3"/>
    <x v="10"/>
    <s v="Actual"/>
    <x v="14"/>
    <m/>
    <s v="Miqias Inspection instrumentation Calibration"/>
    <s v="Testing/Calibration"/>
    <n v="601.4084507042254"/>
    <s v="INV.25-669"/>
    <d v="2025-08-31T00:00:00"/>
    <n v="2025403773"/>
    <s v="Aug"/>
    <n v="2025"/>
  </r>
  <r>
    <n v="1368"/>
    <x v="3"/>
    <x v="10"/>
    <s v="Actual"/>
    <x v="14"/>
    <m/>
    <s v="Miqias Inspection instrumentation Calibration"/>
    <s v="Testing/Calibration"/>
    <n v="579.57746478873241"/>
    <s v="INV.25-474"/>
    <d v="2025-06-30T00:00:00"/>
    <n v="2025403773"/>
    <s v="Jul"/>
    <n v="2025"/>
  </r>
  <r>
    <n v="1369"/>
    <x v="3"/>
    <x v="10"/>
    <s v="Actual"/>
    <x v="14"/>
    <m/>
    <s v="AFAQ AL JAWDA CO"/>
    <s v="Testing/Calibration"/>
    <n v="316.90140845070425"/>
    <s v="AJC-I-0478"/>
    <d v="2025-08-05T00:00:00"/>
    <n v="2025403702"/>
    <s v="Aug"/>
    <n v="2025"/>
  </r>
  <r>
    <n v="1370"/>
    <x v="3"/>
    <x v="10"/>
    <s v="Actual"/>
    <x v="14"/>
    <m/>
    <s v="Southern Services"/>
    <s v="Testing/Calibration"/>
    <n v="150"/>
    <s v="SS-OPM-IGCC-INV-063 Rev.0"/>
    <d v="2025-08-25T00:00:00"/>
    <n v="2025403368"/>
    <s v="Aug"/>
    <n v="2025"/>
  </r>
  <r>
    <n v="1371"/>
    <x v="3"/>
    <x v="11"/>
    <s v="Actual"/>
    <x v="14"/>
    <m/>
    <s v="Border Transportaion / Al Hodod"/>
    <s v="Hydrovac"/>
    <n v="2909.1549295774648"/>
    <s v="20254000151"/>
    <d v="2025-08-31T00:00:00"/>
    <s v="N/A"/>
    <s v="Aug"/>
    <n v="2025"/>
  </r>
  <r>
    <n v="1372"/>
    <x v="3"/>
    <x v="11"/>
    <s v="Actual"/>
    <x v="14"/>
    <m/>
    <s v="Basra Galvanizing Co."/>
    <s v="Testing/Calibration"/>
    <n v="1963.2042253521126"/>
    <s v="B.G.B.I.045"/>
    <d v="2025-07-02T00:00:00"/>
    <n v="2025403843"/>
    <s v="Jul"/>
    <n v="2025"/>
  </r>
  <r>
    <n v="1373"/>
    <x v="3"/>
    <x v="11"/>
    <s v="Actual"/>
    <x v="14"/>
    <m/>
    <s v="Al Zahraa for Tabreed"/>
    <s v="Testing/Calibration"/>
    <n v="1200"/>
    <s v="0156"/>
    <d v="2025-08-03T00:00:00"/>
    <n v="2025403322"/>
    <s v="Aug"/>
    <n v="2025"/>
  </r>
  <r>
    <n v="1374"/>
    <x v="3"/>
    <x v="11"/>
    <s v="Actual"/>
    <x v="14"/>
    <m/>
    <s v="Southern Services"/>
    <s v="Testing/Calibration"/>
    <n v="50"/>
    <s v="SS-OPM-IGCC-INV-060 Rev.0"/>
    <d v="2025-07-13T00:00:00"/>
    <n v="2025403367"/>
    <s v="Jul"/>
    <n v="2025"/>
  </r>
  <r>
    <n v="1375"/>
    <x v="8"/>
    <x v="19"/>
    <s v="Actual"/>
    <x v="14"/>
    <m/>
    <s v="NAYA Co"/>
    <s v="Testing/Calibration"/>
    <n v="900"/>
    <s v="TR25-11062"/>
    <d v="2025-07-26T00:00:00"/>
    <n v="2025402342"/>
    <s v="Jul"/>
    <n v="2025"/>
  </r>
  <r>
    <n v="1376"/>
    <x v="3"/>
    <x v="21"/>
    <s v="Actual"/>
    <x v="14"/>
    <m/>
    <s v="AFAQ AL JAWDA CO"/>
    <s v="Testing/Calibration"/>
    <n v="774.64788732394368"/>
    <s v="AFQ-I-0455"/>
    <d v="2025-07-11T00:00:00"/>
    <n v="2025402339"/>
    <s v="Jul"/>
    <n v="2025"/>
  </r>
  <r>
    <n v="1377"/>
    <x v="7"/>
    <x v="25"/>
    <s v="Actual"/>
    <x v="14"/>
    <m/>
    <s v="Border Transportaion / Al Hodod"/>
    <s v="Hydrovac"/>
    <n v="5304.929577464789"/>
    <s v="20254000144"/>
    <d v="2025-08-31T00:00:00"/>
    <s v="N/A"/>
    <s v="Aug"/>
    <n v="2025"/>
  </r>
  <r>
    <n v="1378"/>
    <x v="7"/>
    <x v="25"/>
    <s v="Actual"/>
    <x v="14"/>
    <m/>
    <s v="Border Transportaion / Al Hodod"/>
    <s v="Hydrovac"/>
    <n v="4107.0422535211264"/>
    <n v="2025000125"/>
    <d v="2025-07-31T00:00:00"/>
    <s v="N/A"/>
    <s v="Jul"/>
    <n v="2025"/>
  </r>
  <r>
    <n v="1379"/>
    <x v="4"/>
    <x v="4"/>
    <s v="Actual"/>
    <x v="14"/>
    <m/>
    <s v="Spark for Engineering Tests"/>
    <s v="Testing/Calibration"/>
    <n v="2144.3661971830984"/>
    <s v="03-2025"/>
    <d v="2025-07-31T00:00:00"/>
    <n v="2025403677"/>
    <s v="Jul"/>
    <n v="2025"/>
  </r>
  <r>
    <n v="1380"/>
    <x v="4"/>
    <x v="4"/>
    <s v="Actual"/>
    <x v="14"/>
    <m/>
    <s v="WECO"/>
    <s v="TEST BLOOD"/>
    <n v="1971.8309859154929"/>
    <s v="000144"/>
    <d v="2025-08-25T00:00:00"/>
    <n v="2025403156"/>
    <s v="Jul"/>
    <n v="2025"/>
  </r>
  <r>
    <n v="1381"/>
    <x v="4"/>
    <x v="4"/>
    <s v="Actual"/>
    <x v="14"/>
    <m/>
    <s v="AL JUTHOOR WORKSHOP"/>
    <s v="Testing/Calibration"/>
    <n v="1803.5211267605634"/>
    <s v="000668"/>
    <d v="2025-08-05T00:00:00"/>
    <n v="2025402744"/>
    <s v="Aug"/>
    <n v="2025"/>
  </r>
  <r>
    <n v="1382"/>
    <x v="4"/>
    <x v="4"/>
    <s v="Actual"/>
    <x v="14"/>
    <m/>
    <s v="WECO"/>
    <s v="TEST BLOOD"/>
    <n v="1161.9718309859154"/>
    <s v="000122"/>
    <d v="2025-07-12T00:00:00"/>
    <n v="2025402427"/>
    <s v="Jul"/>
    <n v="2025"/>
  </r>
  <r>
    <n v="1383"/>
    <x v="4"/>
    <x v="4"/>
    <s v="Actual"/>
    <x v="14"/>
    <m/>
    <s v="WECO"/>
    <s v="TEST BLOOD"/>
    <n v="1056.338028169014"/>
    <s v="000149"/>
    <d v="2025-08-26T00:00:00"/>
    <n v="2025403156"/>
    <s v="Aug"/>
    <n v="2025"/>
  </r>
  <r>
    <n v="1384"/>
    <x v="4"/>
    <x v="4"/>
    <s v="Actual"/>
    <x v="14"/>
    <m/>
    <s v="WECO"/>
    <s v="TEST BLOOD"/>
    <n v="704.22535211267609"/>
    <s v="000162"/>
    <d v="2025-09-01T00:00:00"/>
    <n v="2025403156"/>
    <s v="Aug"/>
    <n v="2025"/>
  </r>
  <r>
    <n v="1385"/>
    <x v="4"/>
    <x v="4"/>
    <s v="Actual"/>
    <x v="14"/>
    <m/>
    <s v="Alaq AL-Ezdehar Company"/>
    <s v="Testing/Calibration"/>
    <n v="400"/>
    <s v="O-1167A-25"/>
    <d v="2025-08-05T00:00:00"/>
    <n v="2025402487"/>
    <s v="Aug"/>
    <n v="2025"/>
  </r>
  <r>
    <n v="1386"/>
    <x v="3"/>
    <x v="12"/>
    <s v="Actual"/>
    <x v="14"/>
    <m/>
    <s v="AFAQ AL JAWDA CO"/>
    <s v="Testing/Calibration"/>
    <n v="105.63380281690141"/>
    <s v="AFQ-I-0453"/>
    <d v="2025-06-30T00:00:00"/>
    <n v="2025403732"/>
    <s v="Jul"/>
    <n v="2025"/>
  </r>
  <r>
    <n v="1387"/>
    <x v="2"/>
    <x v="22"/>
    <s v="Actual"/>
    <x v="14"/>
    <m/>
    <s v="Border Transportaion / Al Hodod"/>
    <s v="Hydrovac"/>
    <n v="1026.7605633802816"/>
    <s v="20254000140"/>
    <d v="2025-08-31T00:00:00"/>
    <s v="N/A"/>
    <s v="Aug"/>
    <n v="2025"/>
  </r>
  <r>
    <n v="1388"/>
    <x v="2"/>
    <x v="22"/>
    <s v="Actual"/>
    <x v="14"/>
    <m/>
    <s v="Tohama Company"/>
    <s v="Testing/Calibration"/>
    <n v="400"/>
    <s v="TIC-25-0572"/>
    <d v="2025-07-29T00:00:00"/>
    <n v="2025401708"/>
    <s v="Jul"/>
    <n v="2025"/>
  </r>
  <r>
    <n v="1389"/>
    <x v="0"/>
    <x v="0"/>
    <s v="Actual"/>
    <x v="14"/>
    <m/>
    <s v="Oxanteach"/>
    <s v="Emails"/>
    <n v="4436.5931999999993"/>
    <n v="59"/>
    <d v="2025-01-05T00:00:00"/>
    <s v="N/A"/>
    <s v="Jul"/>
    <n v="2025"/>
  </r>
  <r>
    <n v="1390"/>
    <x v="0"/>
    <x v="0"/>
    <s v="Actual"/>
    <x v="14"/>
    <m/>
    <s v="Ras Al Khaimah Advanced Businees Solutions"/>
    <s v="SAP FEES"/>
    <n v="3798"/>
    <s v="2025000702"/>
    <d v="2025-07-01T00:00:00"/>
    <s v="N/A"/>
    <s v="Jul"/>
    <n v="2025"/>
  </r>
  <r>
    <n v="1391"/>
    <x v="0"/>
    <x v="0"/>
    <s v="Actual"/>
    <x v="14"/>
    <m/>
    <s v="Petty Cash"/>
    <s v="Medical fees"/>
    <n v="2464.788732394366"/>
    <s v="##"/>
    <d v="2025-07-24T00:00:00"/>
    <s v="N/A"/>
    <s v="Jul"/>
    <n v="2025"/>
  </r>
  <r>
    <n v="1392"/>
    <x v="0"/>
    <x v="0"/>
    <s v="Actual"/>
    <x v="14"/>
    <m/>
    <s v="Ras Al Khaimah Advanced Businees Solutions"/>
    <s v="SAP FEES"/>
    <n v="1448.9"/>
    <s v="2025000857"/>
    <d v="2025-08-26T00:00:00"/>
    <s v="N/A"/>
    <s v="Aug"/>
    <n v="2025"/>
  </r>
  <r>
    <n v="1393"/>
    <x v="0"/>
    <x v="0"/>
    <s v="Actual"/>
    <x v="14"/>
    <m/>
    <s v="Petty Cash"/>
    <s v="طمر صحي للفترة 7/8/2025 لغاية 6/2/2026"/>
    <n v="774.64788732394368"/>
    <n v="380840"/>
    <d v="2025-07-08T00:00:00"/>
    <s v="N/A"/>
    <s v="Aug"/>
    <n v="2025"/>
  </r>
  <r>
    <n v="1394"/>
    <x v="0"/>
    <x v="0"/>
    <s v="Actual"/>
    <x v="14"/>
    <m/>
    <s v="BUREAU VERITAS"/>
    <s v="Testing/Calibration"/>
    <n v="450"/>
    <s v="25000476 RI 00215"/>
    <d v="2025-07-02T00:00:00"/>
    <s v="N/A"/>
    <s v="Jul"/>
    <n v="2025"/>
  </r>
  <r>
    <n v="1395"/>
    <x v="0"/>
    <x v="0"/>
    <s v="Actual"/>
    <x v="14"/>
    <m/>
    <s v="Petty Cash"/>
    <s v="طمر نفايات للفترة  9/7/2025 ولغاية 8/9/2025"/>
    <n v="246.47887323943661"/>
    <s v="##"/>
    <d v="2025-03-14T00:00:00"/>
    <s v="N/A"/>
    <s v="Jul"/>
    <n v="2025"/>
  </r>
  <r>
    <n v="1396"/>
    <x v="0"/>
    <x v="0"/>
    <s v="Actual"/>
    <x v="14"/>
    <m/>
    <s v="Petty Cash"/>
    <s v="عمولة شدات"/>
    <n v="56.338028169014088"/>
    <n v="969"/>
    <d v="2025-10-07T00:00:00"/>
    <s v="N/A"/>
    <s v="Jul"/>
    <n v="2025"/>
  </r>
  <r>
    <n v="1397"/>
    <x v="5"/>
    <x v="5"/>
    <s v="Actual"/>
    <x v="14"/>
    <m/>
    <s v="Tohama Company"/>
    <s v="Testing/Calibration"/>
    <n v="3813.3802816901407"/>
    <s v="CIV-IV-7-82"/>
    <d v="2025-07-31T00:00:00"/>
    <n v="2025404246"/>
    <s v="Aug"/>
    <n v="2025"/>
  </r>
  <r>
    <n v="1398"/>
    <x v="5"/>
    <x v="5"/>
    <s v="Actual"/>
    <x v="14"/>
    <m/>
    <s v="Tohama Company"/>
    <s v="Testing/Calibration"/>
    <n v="2211.2676056338028"/>
    <s v="CIV-IV-6-71"/>
    <d v="2025-06-30T00:00:00"/>
    <n v="2025404246"/>
    <s v="Jul"/>
    <n v="2025"/>
  </r>
  <r>
    <n v="1399"/>
    <x v="5"/>
    <x v="5"/>
    <s v="Actual"/>
    <x v="14"/>
    <m/>
    <s v="Border Transportaion / Al Hodod"/>
    <s v="Hydrovac"/>
    <n v="187415.17605633804"/>
    <n v="2025000123"/>
    <d v="2025-07-31T00:00:00"/>
    <s v="N/A"/>
    <s v="Jul"/>
    <n v="2025"/>
  </r>
  <r>
    <n v="1400"/>
    <x v="5"/>
    <x v="5"/>
    <s v="Actual"/>
    <x v="14"/>
    <m/>
    <s v="Border Transportaion / Al Hodod"/>
    <s v="Hydrovac"/>
    <n v="157649.57746478874"/>
    <s v="20254000134"/>
    <d v="2025-08-31T00:00:00"/>
    <s v="N/A"/>
    <s v="Aug"/>
    <n v="2025"/>
  </r>
  <r>
    <n v="1401"/>
    <x v="5"/>
    <x v="5"/>
    <s v="Actual"/>
    <x v="14"/>
    <m/>
    <s v="UFUQ AL-FADAA FOR ENERGY SERVICES"/>
    <s v="Third party services"/>
    <n v="17253.521126760563"/>
    <s v="13142"/>
    <d v="2025-07-25T00:00:00"/>
    <n v="2025402561"/>
    <s v="Jul"/>
    <n v="2025"/>
  </r>
  <r>
    <n v="1402"/>
    <x v="5"/>
    <x v="5"/>
    <s v="Actual"/>
    <x v="14"/>
    <m/>
    <s v="Al-Thakalain Office"/>
    <s v="Testing/Calibration"/>
    <n v="14907.042253521127"/>
    <s v="0027"/>
    <d v="2025-08-10T00:00:00"/>
    <n v="2025402768"/>
    <s v="Aug"/>
    <n v="2025"/>
  </r>
  <r>
    <n v="1403"/>
    <x v="5"/>
    <x v="5"/>
    <s v="Actual"/>
    <x v="14"/>
    <m/>
    <s v="AL NOKHBA FOR MEDICAL DIAGNOSTICS"/>
    <s v="Testing/CalibrationTEST BLOOD"/>
    <n v="11414.788732394367"/>
    <s v="NMD-005"/>
    <d v="2025-08-03T00:00:00"/>
    <n v="2025402592"/>
    <s v="Jul"/>
    <n v="2025"/>
  </r>
  <r>
    <n v="1404"/>
    <x v="5"/>
    <x v="5"/>
    <s v="Actual"/>
    <x v="14"/>
    <m/>
    <s v="Tohama Company"/>
    <s v="Testing/Calibration"/>
    <n v="6300"/>
    <s v="TIC-8-25-0618"/>
    <d v="2025-08-09T00:00:00"/>
    <n v="2025403324"/>
    <s v="Aug"/>
    <n v="2025"/>
  </r>
  <r>
    <n v="1405"/>
    <x v="5"/>
    <x v="5"/>
    <s v="Actual"/>
    <x v="14"/>
    <m/>
    <s v="Al Khaleej Company"/>
    <s v="Testing/Calibration"/>
    <n v="3521.1267605633802"/>
    <s v="5020"/>
    <d v="2025-08-09T00:00:00"/>
    <n v="2025402746"/>
    <s v="Aug"/>
    <n v="2025"/>
  </r>
  <r>
    <n v="1406"/>
    <x v="5"/>
    <x v="5"/>
    <s v="Actual"/>
    <x v="14"/>
    <m/>
    <s v="Basra Galvanizing Co."/>
    <s v="Testing/Calibration"/>
    <n v="2881.3380281690143"/>
    <s v="B.G.B.I.057"/>
    <d v="2025-07-17T00:00:00"/>
    <n v="2025402896"/>
    <s v="Jul"/>
    <n v="2025"/>
  </r>
  <r>
    <n v="1407"/>
    <x v="5"/>
    <x v="5"/>
    <s v="Actual"/>
    <x v="14"/>
    <m/>
    <s v="Tiqaneyat Al-Taqaddum Co. (ATC)"/>
    <s v="Testing/Calibration"/>
    <n v="1971.8309859154929"/>
    <s v="ACC-SINV-2025-00603-1"/>
    <d v="2025-07-04T00:00:00"/>
    <n v="2025402066"/>
    <s v="Jul"/>
    <n v="2025"/>
  </r>
  <r>
    <n v="1408"/>
    <x v="5"/>
    <x v="5"/>
    <s v="Actual"/>
    <x v="14"/>
    <m/>
    <s v="Lonestar Technical Services LLC"/>
    <s v="Testing/Calibration"/>
    <n v="1700"/>
    <s v="PHP1017770"/>
    <d v="2025-07-14T00:00:00"/>
    <n v="2025402683"/>
    <s v="Jul"/>
    <n v="2025"/>
  </r>
  <r>
    <n v="1409"/>
    <x v="5"/>
    <x v="5"/>
    <s v="Actual"/>
    <x v="14"/>
    <m/>
    <s v="Tohama Company"/>
    <s v="Testing/Calibration"/>
    <n v="1600"/>
    <s v="TIC-7-25-0539"/>
    <d v="2025-07-21T00:00:00"/>
    <n v="2025403230"/>
    <s v="Jul"/>
    <n v="2025"/>
  </r>
  <r>
    <n v="1410"/>
    <x v="5"/>
    <x v="5"/>
    <s v="Actual"/>
    <x v="14"/>
    <m/>
    <s v="Basra Seven Stars Company"/>
    <s v="Testing/Calibration"/>
    <n v="1260"/>
    <s v="25482"/>
    <d v="2025-07-16T00:00:00"/>
    <n v="2025402089"/>
    <s v="Jul"/>
    <n v="2025"/>
  </r>
  <r>
    <n v="1411"/>
    <x v="5"/>
    <x v="5"/>
    <s v="Actual"/>
    <x v="14"/>
    <m/>
    <s v="Basra Galvanizing Co."/>
    <s v="Testing/Calibration"/>
    <n v="952.3943661971831"/>
    <s v="B.G.B.I.054"/>
    <d v="2025-08-04T00:00:00"/>
    <n v="2025402958"/>
    <s v="Aug"/>
    <n v="2025"/>
  </r>
  <r>
    <n v="1412"/>
    <x v="5"/>
    <x v="5"/>
    <s v="Actual"/>
    <x v="14"/>
    <m/>
    <s v="Basra Seven Stars Company"/>
    <s v="Testing/Calibration"/>
    <n v="840"/>
    <s v="25483"/>
    <d v="2025-07-16T00:00:00"/>
    <n v="2025402090"/>
    <s v="Jul"/>
    <n v="2025"/>
  </r>
  <r>
    <n v="1413"/>
    <x v="5"/>
    <x v="5"/>
    <s v="Actual"/>
    <x v="14"/>
    <m/>
    <s v="Basra Galvanizing Co."/>
    <s v="Testing/Calibration"/>
    <n v="776.4084507042254"/>
    <s v="B.G.B.I.051"/>
    <d v="2025-08-01T00:00:00"/>
    <n v="2025402959"/>
    <s v="Aug"/>
    <n v="2025"/>
  </r>
  <r>
    <n v="1414"/>
    <x v="5"/>
    <x v="5"/>
    <s v="Actual"/>
    <x v="14"/>
    <m/>
    <s v="Basra Galvanizing Co."/>
    <s v="Testing/Calibration"/>
    <n v="733.27464788732391"/>
    <s v="B.G.B.I.050"/>
    <d v="2025-07-30T00:00:00"/>
    <n v="2025402957"/>
    <s v="Aug"/>
    <n v="2025"/>
  </r>
  <r>
    <n v="1415"/>
    <x v="5"/>
    <x v="5"/>
    <s v="Actual"/>
    <x v="14"/>
    <m/>
    <s v="Tohama Company"/>
    <s v="Testing/Calibration"/>
    <n v="600"/>
    <s v="TlC-7-25-0554"/>
    <d v="2025-07-24T00:00:00"/>
    <n v="2025403765"/>
    <s v="Jul"/>
    <n v="2025"/>
  </r>
  <r>
    <n v="1416"/>
    <x v="5"/>
    <x v="5"/>
    <s v="Actual"/>
    <x v="14"/>
    <m/>
    <s v="Tiqaneyat Al-Taqaddum Co. (ATC)"/>
    <s v="Testing/Calibration"/>
    <n v="563.38028169014081"/>
    <s v="ACC-SINV-2025-01515-1"/>
    <d v="2025-07-29T00:00:00"/>
    <n v="2025403766"/>
    <s v="Aug"/>
    <n v="2025"/>
  </r>
  <r>
    <n v="1417"/>
    <x v="5"/>
    <x v="5"/>
    <s v="Actual"/>
    <x v="14"/>
    <m/>
    <s v="Spark for Engineering Tests"/>
    <s v="Testing/Calibration"/>
    <n v="51.408450704225352"/>
    <s v="02-2025"/>
    <d v="2025-07-31T00:00:00"/>
    <n v="2025404112"/>
    <s v="Jul"/>
    <n v="2025"/>
  </r>
  <r>
    <n v="1418"/>
    <x v="1"/>
    <x v="1"/>
    <s v="Actual"/>
    <x v="14"/>
    <m/>
    <s v="Basra Seven Stars Company"/>
    <s v="Testing/Calibration"/>
    <n v="3120"/>
    <s v="25655"/>
    <d v="2025-09-22T00:00:00"/>
    <n v="2025403337"/>
    <s v="Aug"/>
    <n v="2025"/>
  </r>
  <r>
    <n v="1419"/>
    <x v="1"/>
    <x v="1"/>
    <s v="Actual"/>
    <x v="14"/>
    <m/>
    <s v="Basra Seven Stars Company"/>
    <s v="Testing/Calibration"/>
    <n v="360"/>
    <s v="25656"/>
    <d v="2025-09-22T00:00:00"/>
    <n v="2025403365"/>
    <s v="Jul"/>
    <n v="2025"/>
  </r>
  <r>
    <n v="1420"/>
    <x v="1"/>
    <x v="1"/>
    <s v="Actual"/>
    <x v="14"/>
    <m/>
    <s v="Basra Seven Stars Company"/>
    <s v="Testing/Calibration"/>
    <n v="360"/>
    <s v="25739"/>
    <d v="2025-10-21T00:00:00"/>
    <n v="2025403734"/>
    <s v="Aug"/>
    <n v="2025"/>
  </r>
  <r>
    <n v="1421"/>
    <x v="1"/>
    <x v="1"/>
    <s v="Actual"/>
    <x v="14"/>
    <m/>
    <s v="Basra Seven Stars Company"/>
    <s v="Testing/Calibration"/>
    <n v="320"/>
    <s v="25506"/>
    <d v="2025-07-26T00:00:00"/>
    <n v="2025402410"/>
    <s v="Jul"/>
    <n v="2025"/>
  </r>
  <r>
    <n v="1422"/>
    <x v="1"/>
    <x v="1"/>
    <s v="Actual"/>
    <x v="14"/>
    <m/>
    <s v="Arajeez Engineering Co."/>
    <s v="Testing/Calibration"/>
    <n v="126.7605633802817"/>
    <s v="AEC-257757123"/>
    <d v="2025-08-18T00:00:00"/>
    <n v="2025402675"/>
    <s v="Aug"/>
    <n v="2025"/>
  </r>
  <r>
    <n v="1423"/>
    <x v="6"/>
    <x v="13"/>
    <s v="Actual"/>
    <x v="14"/>
    <m/>
    <s v="Cihan Insurance Company"/>
    <s v="Insurance"/>
    <n v="20683.098591549297"/>
    <s v="220-25"/>
    <d v="2025-08-20T00:00:00"/>
    <s v="N/A"/>
    <s v="Aug"/>
    <n v="2025"/>
  </r>
  <r>
    <n v="1424"/>
    <x v="3"/>
    <x v="14"/>
    <s v="Actual"/>
    <x v="14"/>
    <m/>
    <s v="Border Transportaion / Al Hodod"/>
    <s v="Hydrovac"/>
    <n v="8803.5211267605628"/>
    <n v="2025000130"/>
    <d v="2025-07-31T00:00:00"/>
    <s v="N/A"/>
    <s v="Jul"/>
    <n v="2025"/>
  </r>
  <r>
    <n v="1425"/>
    <x v="3"/>
    <x v="14"/>
    <s v="Actual"/>
    <x v="14"/>
    <m/>
    <s v="AFAQ AL JAWDA CO"/>
    <s v="Testing/Calibration"/>
    <n v="1838.0281690140846"/>
    <s v="AFQ-I-0456"/>
    <d v="2025-07-31T00:00:00"/>
    <n v="2025402341"/>
    <s v="Aug"/>
    <n v="2025"/>
  </r>
  <r>
    <n v="1426"/>
    <x v="3"/>
    <x v="14"/>
    <s v="Actual"/>
    <x v="14"/>
    <m/>
    <s v="Miqias Inspection instrumentation Calibration"/>
    <s v="Testing/Calibration"/>
    <n v="373.23943661971833"/>
    <s v="932"/>
    <d v="2025-07-05T00:00:00"/>
    <n v="2025402274"/>
    <s v="Jul"/>
    <n v="2025"/>
  </r>
  <r>
    <n v="1427"/>
    <x v="3"/>
    <x v="14"/>
    <s v="Actual"/>
    <x v="14"/>
    <m/>
    <s v="AL JUTHOOR WORKSHOP"/>
    <s v="Testing/Calibration"/>
    <n v="211.26760563380282"/>
    <s v="000673"/>
    <d v="2025-08-17T00:00:00"/>
    <n v="2025402942"/>
    <s v="Aug"/>
    <n v="2025"/>
  </r>
  <r>
    <n v="1428"/>
    <x v="3"/>
    <x v="27"/>
    <s v="Actual"/>
    <x v="14"/>
    <m/>
    <s v="Border Transportaion / Al Hodod"/>
    <s v="Hydrovac"/>
    <n v="65694.612676056335"/>
    <n v="2025000124"/>
    <d v="2025-07-31T00:00:00"/>
    <s v="N/A"/>
    <s v="Jul"/>
    <n v="2025"/>
  </r>
  <r>
    <n v="1429"/>
    <x v="3"/>
    <x v="27"/>
    <s v="Actual"/>
    <x v="14"/>
    <m/>
    <s v="Border Transportaion / Al Hodod"/>
    <s v="Hydrovac"/>
    <n v="44741.091549295772"/>
    <s v="20254000139"/>
    <d v="2025-08-31T00:00:00"/>
    <s v="N/A"/>
    <s v="Aug"/>
    <n v="2025"/>
  </r>
  <r>
    <n v="1430"/>
    <x v="3"/>
    <x v="27"/>
    <s v="Actual"/>
    <x v="14"/>
    <m/>
    <s v="NESİM MUMCU"/>
    <s v="Testing/Calibration"/>
    <n v="3600"/>
    <s v="07-25-IN-01"/>
    <d v="2025-07-04T00:00:00"/>
    <s v="N/A"/>
    <s v="Jul"/>
    <n v="2025"/>
  </r>
  <r>
    <n v="1431"/>
    <x v="3"/>
    <x v="27"/>
    <s v="Actual"/>
    <x v="14"/>
    <m/>
    <s v="Spark for Engineering Tests"/>
    <s v="Testing/Calibration"/>
    <n v="2464.788732394366"/>
    <s v="1-2025"/>
    <d v="2025-07-28T00:00:00"/>
    <n v="2025403859"/>
    <s v="Jul"/>
    <n v="2025"/>
  </r>
  <r>
    <n v="1432"/>
    <x v="3"/>
    <x v="27"/>
    <s v="Actual"/>
    <x v="14"/>
    <m/>
    <s v="Al Faw Company For Engineering Testing"/>
    <s v="Testing/Calibration"/>
    <n v="1848.5915492957747"/>
    <s v="086/25"/>
    <d v="2025-07-19T00:00:00"/>
    <n v="2025402065"/>
    <s v="Jul"/>
    <n v="2025"/>
  </r>
  <r>
    <n v="1433"/>
    <x v="3"/>
    <x v="27"/>
    <s v="Actual"/>
    <x v="14"/>
    <m/>
    <s v="Arajeez Engineering Co."/>
    <s v="Testing/Calibration"/>
    <n v="433.09859154929575"/>
    <s v="AEC-257756777"/>
    <d v="2025-07-24T00:00:00"/>
    <n v="2025402458"/>
    <s v="Jul"/>
    <n v="2025"/>
  </r>
  <r>
    <n v="1434"/>
    <x v="7"/>
    <x v="20"/>
    <s v="Actual"/>
    <x v="14"/>
    <m/>
    <s v="Border Transportaion / Al Hodod"/>
    <s v="Hydrovac"/>
    <n v="9572.6408450704221"/>
    <s v="20254000154"/>
    <d v="2025-08-31T00:00:00"/>
    <s v="N/A"/>
    <s v="Aug"/>
    <n v="2025"/>
  </r>
  <r>
    <n v="1435"/>
    <x v="7"/>
    <x v="20"/>
    <s v="Actual"/>
    <x v="14"/>
    <m/>
    <s v="AL JUTHOOR WORKSHOP"/>
    <s v="Testing/Calibration"/>
    <n v="352.11267605633805"/>
    <s v="000665"/>
    <d v="2025-07-30T00:00:00"/>
    <n v="2025402552"/>
    <s v="Jul"/>
    <n v="2025"/>
  </r>
  <r>
    <n v="1436"/>
    <x v="7"/>
    <x v="20"/>
    <s v="Actual"/>
    <x v="14"/>
    <m/>
    <s v="Basra Galvanizing Co."/>
    <s v="Testing/Calibration"/>
    <n v="140.8450704225352"/>
    <s v="B.G.B.I.055"/>
    <d v="2025-08-15T00:00:00"/>
    <n v="2025403257"/>
    <s v="Aug"/>
    <n v="2025"/>
  </r>
  <r>
    <n v="1437"/>
    <x v="7"/>
    <x v="15"/>
    <s v="Actual"/>
    <x v="14"/>
    <m/>
    <s v="Petty Cash"/>
    <s v="Petty cash for EIMNT"/>
    <n v="1408.4507042253522"/>
    <s v="##"/>
    <d v="2025-05-28T00:00:00"/>
    <s v="N/A"/>
    <s v="Jul"/>
    <n v="2025"/>
  </r>
  <r>
    <n v="1438"/>
    <x v="3"/>
    <x v="31"/>
    <s v="Actual"/>
    <x v="14"/>
    <m/>
    <s v="Border Transportaion / Al Hodod"/>
    <s v="Hydrovac"/>
    <n v="12273.591549295774"/>
    <n v="2025000126"/>
    <d v="2025-07-31T00:00:00"/>
    <s v="N/A"/>
    <s v="Jul"/>
    <n v="2025"/>
  </r>
  <r>
    <n v="1439"/>
    <x v="3"/>
    <x v="31"/>
    <s v="Actual"/>
    <x v="14"/>
    <m/>
    <s v="Border Transportaion / Al Hodod"/>
    <s v="Hydrovac"/>
    <n v="2053.5211267605632"/>
    <s v="20254000152"/>
    <d v="2025-08-31T00:00:00"/>
    <s v="N/A"/>
    <s v="Aug"/>
    <n v="2025"/>
  </r>
  <r>
    <n v="1440"/>
    <x v="8"/>
    <x v="18"/>
    <s v="Actual"/>
    <x v="14"/>
    <m/>
    <s v="Al NABAA AL YAQEEN COMPANY FOR ENGINEERNING SERVICES AND CONSULTANCIES"/>
    <s v="Testing/Calibration"/>
    <n v="19584.400000000001"/>
    <s v="91NY-IGCC"/>
    <d v="2025-08-05T00:00:00"/>
    <n v="2025402893"/>
    <s v="Aug"/>
    <n v="2025"/>
  </r>
  <r>
    <n v="1441"/>
    <x v="8"/>
    <x v="18"/>
    <s v="Actual"/>
    <x v="14"/>
    <m/>
    <s v="Al NABAA AL YAQEEN COMPANY FOR ENGINEERNING SERVICES AND CONSULTANCIES"/>
    <s v="Testing/Calibration"/>
    <n v="10365.4"/>
    <s v="94NY-IGCC"/>
    <d v="2025-09-25T00:00:00"/>
    <n v="2025403676"/>
    <s v="Aug"/>
    <n v="2025"/>
  </r>
  <r>
    <n v="1442"/>
    <x v="8"/>
    <x v="18"/>
    <s v="Actual"/>
    <x v="14"/>
    <m/>
    <s v="Al NABAA AL YAQEEN COMPANY FOR ENGINEERNING SERVICES AND CONSULTANCIES"/>
    <s v="Testing/Calibration"/>
    <n v="10040.299999999999"/>
    <s v="88NY-IGCC"/>
    <d v="2025-07-14T00:00:00"/>
    <n v="2025402488"/>
    <s v="Jul"/>
    <n v="2025"/>
  </r>
  <r>
    <n v="1443"/>
    <x v="8"/>
    <x v="18"/>
    <s v="Actual"/>
    <x v="14"/>
    <m/>
    <s v="Basra Galvanizing Co."/>
    <s v="Testing/Calibration"/>
    <n v="2514.0845070422533"/>
    <s v="B.G.B.I.053"/>
    <d v="2025-07-28T00:00:00"/>
    <n v="2025402550"/>
    <s v="Jul"/>
    <n v="2025"/>
  </r>
  <r>
    <n v="1444"/>
    <x v="8"/>
    <x v="18"/>
    <s v="Actual"/>
    <x v="14"/>
    <m/>
    <s v="Basra Galvanizing Co."/>
    <s v="Testing/Calibration"/>
    <n v="2293.4859154929577"/>
    <s v="B.G.B.I.060"/>
    <d v="2025-08-20T00:00:00"/>
    <n v="2025403256"/>
    <s v="Aug"/>
    <n v="2025"/>
  </r>
  <r>
    <n v="1445"/>
    <x v="8"/>
    <x v="18"/>
    <s v="Actual"/>
    <x v="14"/>
    <m/>
    <s v="Petty Cash"/>
    <s v="PQR Testing"/>
    <n v="1478.8732394366198"/>
    <n v="22156"/>
    <d v="2025-07-28T00:00:00"/>
    <s v="N/A"/>
    <s v="Aug"/>
    <n v="2025"/>
  </r>
  <r>
    <n v="1446"/>
    <x v="8"/>
    <x v="18"/>
    <s v="Actual"/>
    <x v="14"/>
    <m/>
    <s v="AFAQ AL JAWDA CO"/>
    <s v="Testing/Calibration"/>
    <n v="1408.4507042253522"/>
    <s v="AJC-I-0490"/>
    <d v="2025-08-23T00:00:00"/>
    <n v="2025403120"/>
    <s v="Aug"/>
    <n v="2025"/>
  </r>
  <r>
    <n v="1447"/>
    <x v="8"/>
    <x v="18"/>
    <s v="Actual"/>
    <x v="14"/>
    <m/>
    <s v="Petty Cash"/>
    <s v="PQR Testing"/>
    <n v="985.91549295774644"/>
    <n v="27"/>
    <d v="2025-07-28T00:00:00"/>
    <s v="N/A"/>
    <s v="Aug"/>
    <n v="2025"/>
  </r>
  <r>
    <n v="1448"/>
    <x v="0"/>
    <x v="0"/>
    <s v="Actual"/>
    <x v="15"/>
    <m/>
    <s v="Petty Cash"/>
    <s v="TKT For HE"/>
    <n v="1514.0845070422536"/>
    <s v="##"/>
    <d v="2025-07-17T00:00:00"/>
    <s v="N/A"/>
    <s v="Jul"/>
    <n v="2025"/>
  </r>
  <r>
    <n v="1449"/>
    <x v="0"/>
    <x v="0"/>
    <s v="Actual"/>
    <x v="15"/>
    <m/>
    <s v="Petty Cash"/>
    <s v="HE - TKT"/>
    <n v="1507.0422535211267"/>
    <s v="##"/>
    <d v="2025-08-28T00:00:00"/>
    <s v="N/A"/>
    <s v="Aug"/>
    <n v="2025"/>
  </r>
  <r>
    <n v="1450"/>
    <x v="0"/>
    <x v="0"/>
    <s v="Actual"/>
    <x v="15"/>
    <m/>
    <s v="Petty Cash"/>
    <s v=" pocket mouny for Amman"/>
    <n v="808.45070422535207"/>
    <s v="##"/>
    <d v="2025-08-31T00:00:00"/>
    <s v="N/A"/>
    <s v="Aug"/>
    <n v="2025"/>
  </r>
  <r>
    <n v="1451"/>
    <x v="0"/>
    <x v="0"/>
    <s v="Actual"/>
    <x v="15"/>
    <m/>
    <s v="Petty Cash"/>
    <s v=" pocket mouny for Amman"/>
    <n v="800"/>
    <s v="##"/>
    <d v="2025-08-24T00:00:00"/>
    <s v="N/A"/>
    <s v="Aug"/>
    <n v="2025"/>
  </r>
  <r>
    <n v="1452"/>
    <x v="0"/>
    <x v="0"/>
    <s v="Actual"/>
    <x v="15"/>
    <m/>
    <s v="Petty Cash"/>
    <s v="Expense claim for Jul.25"/>
    <n v="538.73239436619713"/>
    <s v="##"/>
    <d v="2025-07-29T00:00:00"/>
    <s v="N/A"/>
    <s v="Aug"/>
    <n v="2025"/>
  </r>
  <r>
    <n v="1453"/>
    <x v="0"/>
    <x v="0"/>
    <s v="Actual"/>
    <x v="15"/>
    <m/>
    <s v="Petty Cash"/>
    <s v="Expense Claim"/>
    <n v="528.16901408450701"/>
    <s v="##"/>
    <d v="2025-08-21T00:00:00"/>
    <s v="N/A"/>
    <s v="Aug"/>
    <n v="2025"/>
  </r>
  <r>
    <n v="1454"/>
    <x v="0"/>
    <x v="0"/>
    <s v="Actual"/>
    <x v="15"/>
    <m/>
    <s v="Petty Cash"/>
    <s v="Expense Claim"/>
    <n v="468.3098591549296"/>
    <s v="##"/>
    <d v="2025-07-24T00:00:00"/>
    <s v="N/A"/>
    <s v="Jul"/>
    <n v="2025"/>
  </r>
  <r>
    <n v="1455"/>
    <x v="0"/>
    <x v="0"/>
    <s v="Actual"/>
    <x v="15"/>
    <m/>
    <s v="Petty Cash"/>
    <s v="Expense claim "/>
    <n v="422.53521126760563"/>
    <s v="##"/>
    <d v="2025-08-18T00:00:00"/>
    <s v="N/A"/>
    <s v="Aug"/>
    <n v="2025"/>
  </r>
  <r>
    <n v="1456"/>
    <x v="0"/>
    <x v="0"/>
    <s v="Actual"/>
    <x v="15"/>
    <m/>
    <s v="Petty Cash"/>
    <s v="Expense Claim"/>
    <n v="117.25352112676056"/>
    <s v="##"/>
    <d v="2025-08-07T00:00:00"/>
    <s v="N/A"/>
    <s v="Jul"/>
    <n v="2025"/>
  </r>
  <r>
    <n v="1457"/>
    <x v="0"/>
    <x v="0"/>
    <s v="Actual"/>
    <x v="15"/>
    <m/>
    <s v="Petty Cash"/>
    <s v="Expense Claim"/>
    <n v="84.507042253521121"/>
    <n v="2550"/>
    <d v="2025-07-21T00:00:00"/>
    <s v="N/A"/>
    <s v="Jul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D170E-CF1D-4990-A1AD-91F229EFB54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55" firstHeaderRow="1" firstDataRow="2" firstDataCol="1"/>
  <pivotFields count="14">
    <pivotField showAll="0"/>
    <pivotField axis="axisRow" showAll="0">
      <items count="13">
        <item m="1" x="11"/>
        <item x="4"/>
        <item x="2"/>
        <item x="6"/>
        <item x="8"/>
        <item x="0"/>
        <item x="10"/>
        <item x="9"/>
        <item x="1"/>
        <item x="7"/>
        <item x="3"/>
        <item x="5"/>
        <item t="default"/>
      </items>
    </pivotField>
    <pivotField axis="axisRow" showAll="0">
      <items count="39">
        <item x="36"/>
        <item x="35"/>
        <item x="32"/>
        <item x="18"/>
        <item x="17"/>
        <item x="37"/>
        <item x="16"/>
        <item x="31"/>
        <item x="30"/>
        <item x="15"/>
        <item x="20"/>
        <item x="29"/>
        <item x="28"/>
        <item x="27"/>
        <item x="14"/>
        <item x="13"/>
        <item x="1"/>
        <item x="5"/>
        <item x="0"/>
        <item x="22"/>
        <item x="12"/>
        <item x="26"/>
        <item x="4"/>
        <item x="25"/>
        <item x="34"/>
        <item x="33"/>
        <item x="21"/>
        <item x="19"/>
        <item x="24"/>
        <item x="11"/>
        <item x="10"/>
        <item x="3"/>
        <item x="9"/>
        <item x="8"/>
        <item x="7"/>
        <item x="6"/>
        <item x="23"/>
        <item x="2"/>
        <item t="default"/>
      </items>
    </pivotField>
    <pivotField showAll="0"/>
    <pivotField axis="axisCol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Fields count="2">
    <field x="1"/>
    <field x="2"/>
  </rowFields>
  <rowItems count="51">
    <i>
      <x v="1"/>
    </i>
    <i r="1">
      <x v="22"/>
    </i>
    <i>
      <x v="2"/>
    </i>
    <i r="1">
      <x/>
    </i>
    <i r="1">
      <x v="2"/>
    </i>
    <i r="1">
      <x v="12"/>
    </i>
    <i r="1">
      <x v="19"/>
    </i>
    <i r="1">
      <x v="21"/>
    </i>
    <i r="1">
      <x v="32"/>
    </i>
    <i r="1">
      <x v="34"/>
    </i>
    <i r="1">
      <x v="35"/>
    </i>
    <i r="1">
      <x v="37"/>
    </i>
    <i>
      <x v="3"/>
    </i>
    <i r="1">
      <x v="15"/>
    </i>
    <i>
      <x v="4"/>
    </i>
    <i r="1">
      <x v="3"/>
    </i>
    <i r="1">
      <x v="27"/>
    </i>
    <i>
      <x v="5"/>
    </i>
    <i r="1">
      <x v="18"/>
    </i>
    <i>
      <x v="6"/>
    </i>
    <i r="1">
      <x v="27"/>
    </i>
    <i>
      <x v="7"/>
    </i>
    <i r="1">
      <x v="8"/>
    </i>
    <i>
      <x v="8"/>
    </i>
    <i r="1">
      <x v="16"/>
    </i>
    <i>
      <x v="9"/>
    </i>
    <i r="1">
      <x v="5"/>
    </i>
    <i r="1">
      <x v="9"/>
    </i>
    <i r="1">
      <x v="10"/>
    </i>
    <i r="1">
      <x v="11"/>
    </i>
    <i r="1">
      <x v="23"/>
    </i>
    <i r="1">
      <x v="24"/>
    </i>
    <i r="1">
      <x v="25"/>
    </i>
    <i>
      <x v="10"/>
    </i>
    <i r="1">
      <x v="1"/>
    </i>
    <i r="1">
      <x v="4"/>
    </i>
    <i r="1">
      <x v="6"/>
    </i>
    <i r="1">
      <x v="7"/>
    </i>
    <i r="1">
      <x v="13"/>
    </i>
    <i r="1">
      <x v="14"/>
    </i>
    <i r="1">
      <x v="20"/>
    </i>
    <i r="1">
      <x v="26"/>
    </i>
    <i r="1">
      <x v="28"/>
    </i>
    <i r="1">
      <x v="29"/>
    </i>
    <i r="1">
      <x v="30"/>
    </i>
    <i r="1">
      <x v="31"/>
    </i>
    <i r="1">
      <x v="33"/>
    </i>
    <i r="1">
      <x v="36"/>
    </i>
    <i>
      <x v="11"/>
    </i>
    <i r="1">
      <x v="17"/>
    </i>
    <i t="grand">
      <x/>
    </i>
  </rowItems>
  <colFields count="1">
    <field x="4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Sum of Invoice Amount US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2D9A-3F7A-4917-8BE7-7C7AF739FBD1}">
  <dimension ref="A3:R55"/>
  <sheetViews>
    <sheetView tabSelected="1" topLeftCell="A20" workbookViewId="0">
      <selection activeCell="A55" sqref="A55"/>
    </sheetView>
  </sheetViews>
  <sheetFormatPr defaultRowHeight="14.4"/>
  <cols>
    <col min="1" max="1" width="25.21875" bestFit="1" customWidth="1"/>
    <col min="2" max="2" width="15.5546875" bestFit="1" customWidth="1"/>
    <col min="3" max="3" width="15.6640625" bestFit="1" customWidth="1"/>
    <col min="4" max="4" width="15.88671875" bestFit="1" customWidth="1"/>
    <col min="5" max="5" width="21.77734375" bestFit="1" customWidth="1"/>
    <col min="6" max="6" width="23.77734375" bestFit="1" customWidth="1"/>
    <col min="7" max="7" width="25.88671875" bestFit="1" customWidth="1"/>
    <col min="8" max="8" width="14.77734375" bestFit="1" customWidth="1"/>
    <col min="9" max="9" width="30" bestFit="1" customWidth="1"/>
    <col min="10" max="10" width="17.5546875" bestFit="1" customWidth="1"/>
    <col min="11" max="11" width="12.44140625" bestFit="1" customWidth="1"/>
    <col min="12" max="12" width="12.88671875" bestFit="1" customWidth="1"/>
    <col min="13" max="13" width="25.5546875" bestFit="1" customWidth="1"/>
    <col min="14" max="14" width="14.109375" bestFit="1" customWidth="1"/>
    <col min="15" max="15" width="20.109375" bestFit="1" customWidth="1"/>
    <col min="16" max="16" width="17.44140625" bestFit="1" customWidth="1"/>
    <col min="17" max="17" width="23" bestFit="1" customWidth="1"/>
    <col min="18" max="18" width="15.109375" bestFit="1" customWidth="1"/>
  </cols>
  <sheetData>
    <row r="3" spans="1:18">
      <c r="A3" s="33" t="s">
        <v>270</v>
      </c>
      <c r="B3" s="33" t="s">
        <v>271</v>
      </c>
    </row>
    <row r="4" spans="1:18">
      <c r="A4" s="33" t="s">
        <v>268</v>
      </c>
      <c r="B4" t="s">
        <v>89</v>
      </c>
      <c r="C4" t="s">
        <v>139</v>
      </c>
      <c r="D4" t="s">
        <v>239</v>
      </c>
      <c r="E4" t="s">
        <v>63</v>
      </c>
      <c r="F4" t="s">
        <v>105</v>
      </c>
      <c r="G4" t="s">
        <v>57</v>
      </c>
      <c r="H4" t="s">
        <v>83</v>
      </c>
      <c r="I4" t="s">
        <v>91</v>
      </c>
      <c r="J4" t="s">
        <v>71</v>
      </c>
      <c r="K4" t="s">
        <v>99</v>
      </c>
      <c r="L4" t="s">
        <v>112</v>
      </c>
      <c r="M4" t="s">
        <v>20</v>
      </c>
      <c r="N4" t="s">
        <v>120</v>
      </c>
      <c r="O4" t="s">
        <v>113</v>
      </c>
      <c r="P4" t="s">
        <v>82</v>
      </c>
      <c r="Q4" t="s">
        <v>287</v>
      </c>
      <c r="R4" t="s">
        <v>269</v>
      </c>
    </row>
    <row r="5" spans="1:18">
      <c r="A5" s="4" t="s">
        <v>29</v>
      </c>
      <c r="B5" s="36"/>
      <c r="C5" s="36"/>
      <c r="D5" s="36"/>
      <c r="E5" s="36">
        <v>1767.605633802817</v>
      </c>
      <c r="F5" s="36">
        <v>505.66334024775051</v>
      </c>
      <c r="G5" s="36"/>
      <c r="H5" s="36"/>
      <c r="I5" s="36">
        <v>59375.43425663386</v>
      </c>
      <c r="J5" s="36">
        <v>397267.85412480781</v>
      </c>
      <c r="K5" s="36"/>
      <c r="L5" s="36"/>
      <c r="M5" s="36">
        <v>110652</v>
      </c>
      <c r="N5" s="36">
        <v>19902.749295774647</v>
      </c>
      <c r="O5" s="36"/>
      <c r="P5" s="36">
        <v>9242.2535211267605</v>
      </c>
      <c r="Q5" s="36"/>
      <c r="R5" s="36">
        <v>598713.56017239369</v>
      </c>
    </row>
    <row r="6" spans="1:18">
      <c r="A6" s="56" t="s">
        <v>237</v>
      </c>
      <c r="B6" s="36"/>
      <c r="C6" s="36"/>
      <c r="D6" s="36"/>
      <c r="E6" s="36">
        <v>1767.605633802817</v>
      </c>
      <c r="F6" s="36">
        <v>505.66334024775051</v>
      </c>
      <c r="G6" s="36"/>
      <c r="H6" s="36"/>
      <c r="I6" s="36">
        <v>59375.43425663386</v>
      </c>
      <c r="J6" s="36">
        <v>397267.85412480781</v>
      </c>
      <c r="K6" s="36"/>
      <c r="L6" s="36"/>
      <c r="M6" s="36">
        <v>110652</v>
      </c>
      <c r="N6" s="36">
        <v>19902.749295774647</v>
      </c>
      <c r="O6" s="36"/>
      <c r="P6" s="36">
        <v>9242.2535211267605</v>
      </c>
      <c r="Q6" s="36"/>
      <c r="R6" s="36">
        <v>598713.56017239369</v>
      </c>
    </row>
    <row r="7" spans="1:18">
      <c r="A7" s="4" t="s">
        <v>17</v>
      </c>
      <c r="B7" s="36"/>
      <c r="C7" s="36"/>
      <c r="D7" s="36"/>
      <c r="E7" s="36">
        <v>1830.9859154929577</v>
      </c>
      <c r="F7" s="36">
        <v>8174.6478873239439</v>
      </c>
      <c r="G7" s="36"/>
      <c r="H7" s="36">
        <v>47511.678814143612</v>
      </c>
      <c r="I7" s="36">
        <v>278443.84488049947</v>
      </c>
      <c r="J7" s="36">
        <v>121550.67788732397</v>
      </c>
      <c r="K7" s="36">
        <v>11000</v>
      </c>
      <c r="L7" s="36"/>
      <c r="M7" s="36">
        <v>540415</v>
      </c>
      <c r="N7" s="36">
        <v>27131.326056338028</v>
      </c>
      <c r="O7" s="36">
        <v>37068.841878849053</v>
      </c>
      <c r="P7" s="36">
        <v>52974.570422535209</v>
      </c>
      <c r="Q7" s="36"/>
      <c r="R7" s="36">
        <v>1126101.5737425063</v>
      </c>
    </row>
    <row r="8" spans="1:18">
      <c r="A8" s="56" t="s">
        <v>500</v>
      </c>
      <c r="B8" s="36"/>
      <c r="C8" s="36"/>
      <c r="D8" s="36"/>
      <c r="E8" s="36"/>
      <c r="F8" s="36"/>
      <c r="G8" s="36"/>
      <c r="H8" s="36"/>
      <c r="I8" s="36"/>
      <c r="J8" s="36">
        <v>2805.52</v>
      </c>
      <c r="K8" s="36"/>
      <c r="L8" s="36"/>
      <c r="M8" s="36"/>
      <c r="N8" s="36"/>
      <c r="O8" s="36"/>
      <c r="P8" s="36"/>
      <c r="Q8" s="36"/>
      <c r="R8" s="36">
        <v>2805.52</v>
      </c>
    </row>
    <row r="9" spans="1:18">
      <c r="A9" s="56" t="s">
        <v>18</v>
      </c>
      <c r="B9" s="36"/>
      <c r="C9" s="36"/>
      <c r="D9" s="36"/>
      <c r="E9" s="36"/>
      <c r="F9" s="36"/>
      <c r="G9" s="36"/>
      <c r="H9" s="36"/>
      <c r="I9" s="36">
        <v>555.79630985915492</v>
      </c>
      <c r="J9" s="36"/>
      <c r="K9" s="36"/>
      <c r="L9" s="36"/>
      <c r="M9" s="36"/>
      <c r="N9" s="36"/>
      <c r="O9" s="36"/>
      <c r="P9" s="36"/>
      <c r="Q9" s="36"/>
      <c r="R9" s="36">
        <v>555.79630985915492</v>
      </c>
    </row>
    <row r="10" spans="1:18">
      <c r="A10" s="56" t="s">
        <v>74</v>
      </c>
      <c r="B10" s="36"/>
      <c r="C10" s="36"/>
      <c r="D10" s="36"/>
      <c r="E10" s="36"/>
      <c r="F10" s="36"/>
      <c r="G10" s="36"/>
      <c r="H10" s="36"/>
      <c r="I10" s="36">
        <v>4858.8130350915553</v>
      </c>
      <c r="J10" s="36"/>
      <c r="K10" s="36"/>
      <c r="L10" s="36"/>
      <c r="M10" s="36">
        <v>55354</v>
      </c>
      <c r="N10" s="36"/>
      <c r="O10" s="36"/>
      <c r="P10" s="36"/>
      <c r="Q10" s="36"/>
      <c r="R10" s="36">
        <v>60212.813035091553</v>
      </c>
    </row>
    <row r="11" spans="1:18">
      <c r="A11" s="56" t="s">
        <v>22</v>
      </c>
      <c r="B11" s="36"/>
      <c r="C11" s="36"/>
      <c r="D11" s="36"/>
      <c r="E11" s="36"/>
      <c r="F11" s="36"/>
      <c r="G11" s="36"/>
      <c r="H11" s="36">
        <v>28856.158278341383</v>
      </c>
      <c r="I11" s="36">
        <v>55484.481024417961</v>
      </c>
      <c r="J11" s="36">
        <v>22890.016056338034</v>
      </c>
      <c r="K11" s="36"/>
      <c r="L11" s="36"/>
      <c r="M11" s="36">
        <v>131577</v>
      </c>
      <c r="N11" s="36">
        <v>872.32605633802814</v>
      </c>
      <c r="O11" s="36">
        <v>1967.605633802817</v>
      </c>
      <c r="P11" s="36">
        <v>1426.7605633802816</v>
      </c>
      <c r="Q11" s="36"/>
      <c r="R11" s="36">
        <v>243074.34761261853</v>
      </c>
    </row>
    <row r="12" spans="1:18">
      <c r="A12" s="56" t="s">
        <v>95</v>
      </c>
      <c r="B12" s="36"/>
      <c r="C12" s="36"/>
      <c r="D12" s="36"/>
      <c r="E12" s="36"/>
      <c r="F12" s="36"/>
      <c r="G12" s="36"/>
      <c r="H12" s="36"/>
      <c r="I12" s="36">
        <v>18760.120306582994</v>
      </c>
      <c r="J12" s="36"/>
      <c r="K12" s="36"/>
      <c r="L12" s="36"/>
      <c r="M12" s="36">
        <v>77084</v>
      </c>
      <c r="N12" s="36"/>
      <c r="O12" s="36"/>
      <c r="P12" s="36"/>
      <c r="Q12" s="36"/>
      <c r="R12" s="36">
        <v>95844.12030658299</v>
      </c>
    </row>
    <row r="13" spans="1:18">
      <c r="A13" s="56" t="s">
        <v>23</v>
      </c>
      <c r="B13" s="36"/>
      <c r="C13" s="36"/>
      <c r="D13" s="36"/>
      <c r="E13" s="36"/>
      <c r="F13" s="36">
        <v>261.26760563380282</v>
      </c>
      <c r="G13" s="36"/>
      <c r="H13" s="36"/>
      <c r="I13" s="36">
        <v>12224.706204168906</v>
      </c>
      <c r="J13" s="36">
        <v>17898.241830985917</v>
      </c>
      <c r="K13" s="36">
        <v>11000</v>
      </c>
      <c r="L13" s="36"/>
      <c r="M13" s="36">
        <v>22860</v>
      </c>
      <c r="N13" s="36">
        <v>10399</v>
      </c>
      <c r="O13" s="36">
        <v>340.04000709219861</v>
      </c>
      <c r="P13" s="36">
        <v>3080.2816901408451</v>
      </c>
      <c r="Q13" s="36"/>
      <c r="R13" s="36">
        <v>78063.537338021677</v>
      </c>
    </row>
    <row r="14" spans="1:18">
      <c r="A14" s="56" t="s">
        <v>24</v>
      </c>
      <c r="B14" s="36"/>
      <c r="C14" s="36"/>
      <c r="D14" s="36"/>
      <c r="E14" s="36"/>
      <c r="F14" s="36">
        <v>3177.4647887323945</v>
      </c>
      <c r="G14" s="36"/>
      <c r="H14" s="36"/>
      <c r="I14" s="36">
        <v>63564.230421770051</v>
      </c>
      <c r="J14" s="36">
        <v>1509.3816901408452</v>
      </c>
      <c r="K14" s="36"/>
      <c r="L14" s="36"/>
      <c r="M14" s="36">
        <v>91023</v>
      </c>
      <c r="N14" s="36"/>
      <c r="O14" s="36">
        <v>1987.3239436619717</v>
      </c>
      <c r="P14" s="36">
        <v>8160.8450704225352</v>
      </c>
      <c r="Q14" s="36"/>
      <c r="R14" s="36">
        <v>169422.2459147278</v>
      </c>
    </row>
    <row r="15" spans="1:18">
      <c r="A15" s="56" t="s">
        <v>25</v>
      </c>
      <c r="B15" s="36"/>
      <c r="C15" s="36"/>
      <c r="D15" s="36"/>
      <c r="E15" s="36"/>
      <c r="F15" s="36">
        <v>1581.6901408450706</v>
      </c>
      <c r="G15" s="36"/>
      <c r="H15" s="36">
        <v>18655.520535802232</v>
      </c>
      <c r="I15" s="36">
        <v>113782.99967811513</v>
      </c>
      <c r="J15" s="36">
        <v>70669.318309859169</v>
      </c>
      <c r="K15" s="36"/>
      <c r="L15" s="36"/>
      <c r="M15" s="36">
        <v>141111</v>
      </c>
      <c r="N15" s="36">
        <v>15860</v>
      </c>
      <c r="O15" s="36">
        <v>30842.88637879911</v>
      </c>
      <c r="P15" s="36">
        <v>37245.161971830988</v>
      </c>
      <c r="Q15" s="36"/>
      <c r="R15" s="36">
        <v>429748.57701525174</v>
      </c>
    </row>
    <row r="16" spans="1:18">
      <c r="A16" s="56" t="s">
        <v>26</v>
      </c>
      <c r="B16" s="36"/>
      <c r="C16" s="36"/>
      <c r="D16" s="36"/>
      <c r="E16" s="36">
        <v>1830.9859154929577</v>
      </c>
      <c r="F16" s="36">
        <v>3154.2253521126759</v>
      </c>
      <c r="G16" s="36"/>
      <c r="H16" s="36"/>
      <c r="I16" s="36">
        <v>9212.6979004936748</v>
      </c>
      <c r="J16" s="36">
        <v>5778.2000000000007</v>
      </c>
      <c r="K16" s="36"/>
      <c r="L16" s="36"/>
      <c r="M16" s="36">
        <v>21406</v>
      </c>
      <c r="N16" s="36"/>
      <c r="O16" s="36">
        <v>1930.9859154929577</v>
      </c>
      <c r="P16" s="36">
        <v>3061.5211267605632</v>
      </c>
      <c r="Q16" s="36"/>
      <c r="R16" s="36">
        <v>46374.616210352833</v>
      </c>
    </row>
    <row r="17" spans="1:18">
      <c r="A17" s="4" t="s">
        <v>27</v>
      </c>
      <c r="B17" s="36"/>
      <c r="C17" s="36"/>
      <c r="D17" s="36"/>
      <c r="E17" s="36"/>
      <c r="F17" s="36">
        <v>1930.6790446516989</v>
      </c>
      <c r="G17" s="36"/>
      <c r="H17" s="36"/>
      <c r="I17" s="36">
        <v>61.956437913482404</v>
      </c>
      <c r="J17" s="36">
        <v>411.26760563380282</v>
      </c>
      <c r="K17" s="36"/>
      <c r="L17" s="36"/>
      <c r="M17" s="36">
        <v>59225</v>
      </c>
      <c r="N17" s="36"/>
      <c r="O17" s="36">
        <v>3770.2470779519717</v>
      </c>
      <c r="P17" s="36">
        <v>20683.098591549297</v>
      </c>
      <c r="Q17" s="36"/>
      <c r="R17" s="36">
        <v>86082.248757700247</v>
      </c>
    </row>
    <row r="18" spans="1:18">
      <c r="A18" s="56" t="s">
        <v>28</v>
      </c>
      <c r="B18" s="36"/>
      <c r="C18" s="36"/>
      <c r="D18" s="36"/>
      <c r="E18" s="36"/>
      <c r="F18" s="36">
        <v>1930.6790446516989</v>
      </c>
      <c r="G18" s="36"/>
      <c r="H18" s="36"/>
      <c r="I18" s="36">
        <v>61.956437913482404</v>
      </c>
      <c r="J18" s="36">
        <v>411.26760563380282</v>
      </c>
      <c r="K18" s="36"/>
      <c r="L18" s="36"/>
      <c r="M18" s="36">
        <v>59225</v>
      </c>
      <c r="N18" s="36"/>
      <c r="O18" s="36">
        <v>3770.2470779519717</v>
      </c>
      <c r="P18" s="36">
        <v>20683.098591549297</v>
      </c>
      <c r="Q18" s="36"/>
      <c r="R18" s="36">
        <v>86082.248757700247</v>
      </c>
    </row>
    <row r="19" spans="1:18">
      <c r="A19" s="4" t="s">
        <v>55</v>
      </c>
      <c r="B19" s="36"/>
      <c r="C19" s="36"/>
      <c r="D19" s="36"/>
      <c r="E19" s="36"/>
      <c r="F19" s="36">
        <v>3802.2599421066507</v>
      </c>
      <c r="G19" s="36">
        <v>27978.87323943662</v>
      </c>
      <c r="H19" s="36">
        <v>48951.048951049001</v>
      </c>
      <c r="I19" s="36">
        <v>164532.2155567595</v>
      </c>
      <c r="J19" s="36">
        <v>784882.92175307998</v>
      </c>
      <c r="K19" s="36">
        <v>23040</v>
      </c>
      <c r="L19" s="36"/>
      <c r="M19" s="36">
        <v>219654</v>
      </c>
      <c r="N19" s="36"/>
      <c r="O19" s="36">
        <v>1092.9577464788731</v>
      </c>
      <c r="P19" s="36">
        <v>49570.909859154941</v>
      </c>
      <c r="Q19" s="36"/>
      <c r="R19" s="36">
        <v>1323505.1870480655</v>
      </c>
    </row>
    <row r="20" spans="1:18">
      <c r="A20" s="56" t="s">
        <v>56</v>
      </c>
      <c r="B20" s="36"/>
      <c r="C20" s="36"/>
      <c r="D20" s="36"/>
      <c r="E20" s="36"/>
      <c r="F20" s="36">
        <v>3802.2599421066507</v>
      </c>
      <c r="G20" s="36">
        <v>14000</v>
      </c>
      <c r="H20" s="36">
        <v>48951.048951049001</v>
      </c>
      <c r="I20" s="36">
        <v>164532.2155567595</v>
      </c>
      <c r="J20" s="36">
        <v>534206.73422535229</v>
      </c>
      <c r="K20" s="36">
        <v>23040</v>
      </c>
      <c r="L20" s="36"/>
      <c r="M20" s="36">
        <v>219654</v>
      </c>
      <c r="N20" s="36"/>
      <c r="O20" s="36">
        <v>1092.9577464788731</v>
      </c>
      <c r="P20" s="36">
        <v>48670.909859154941</v>
      </c>
      <c r="Q20" s="36"/>
      <c r="R20" s="36">
        <v>1057950.1262809013</v>
      </c>
    </row>
    <row r="21" spans="1:18">
      <c r="A21" s="56" t="s">
        <v>98</v>
      </c>
      <c r="B21" s="36"/>
      <c r="C21" s="36"/>
      <c r="D21" s="36"/>
      <c r="E21" s="36"/>
      <c r="F21" s="36"/>
      <c r="G21" s="36">
        <v>13978.87323943662</v>
      </c>
      <c r="H21" s="36"/>
      <c r="I21" s="36"/>
      <c r="J21" s="36">
        <v>250676.18752772768</v>
      </c>
      <c r="K21" s="36"/>
      <c r="L21" s="36"/>
      <c r="M21" s="36"/>
      <c r="N21" s="36"/>
      <c r="O21" s="36"/>
      <c r="P21" s="36">
        <v>900</v>
      </c>
      <c r="Q21" s="36"/>
      <c r="R21" s="36">
        <v>265555.06076716428</v>
      </c>
    </row>
    <row r="22" spans="1:18">
      <c r="A22" s="4" t="s">
        <v>59</v>
      </c>
      <c r="B22" s="36">
        <v>42217.062937062939</v>
      </c>
      <c r="C22" s="36">
        <v>8533.3605633802817</v>
      </c>
      <c r="D22" s="36">
        <v>1080694</v>
      </c>
      <c r="E22" s="36">
        <v>17827.816901408452</v>
      </c>
      <c r="F22" s="36">
        <v>11077.138269631805</v>
      </c>
      <c r="G22" s="36">
        <v>996.12676056338023</v>
      </c>
      <c r="H22" s="36">
        <v>3211.2676056338032</v>
      </c>
      <c r="I22" s="36">
        <v>22398.178984902432</v>
      </c>
      <c r="J22" s="36">
        <v>62679.73295774647</v>
      </c>
      <c r="K22" s="36"/>
      <c r="L22" s="36">
        <v>53050.892307692309</v>
      </c>
      <c r="M22" s="36">
        <v>309510</v>
      </c>
      <c r="N22" s="36"/>
      <c r="O22" s="36">
        <v>2201.5492957746478</v>
      </c>
      <c r="P22" s="36">
        <v>13675.746721126758</v>
      </c>
      <c r="Q22" s="36">
        <v>6789.084507042252</v>
      </c>
      <c r="R22" s="36">
        <v>1634861.9578119651</v>
      </c>
    </row>
    <row r="23" spans="1:18">
      <c r="A23" s="56" t="s">
        <v>60</v>
      </c>
      <c r="B23" s="36">
        <v>42217.062937062939</v>
      </c>
      <c r="C23" s="36">
        <v>8533.3605633802817</v>
      </c>
      <c r="D23" s="36">
        <v>1080694</v>
      </c>
      <c r="E23" s="36">
        <v>17827.816901408452</v>
      </c>
      <c r="F23" s="36">
        <v>11077.138269631805</v>
      </c>
      <c r="G23" s="36">
        <v>996.12676056338023</v>
      </c>
      <c r="H23" s="36">
        <v>3211.2676056338032</v>
      </c>
      <c r="I23" s="36">
        <v>22398.178984902432</v>
      </c>
      <c r="J23" s="36">
        <v>62679.73295774647</v>
      </c>
      <c r="K23" s="36"/>
      <c r="L23" s="36">
        <v>53050.892307692309</v>
      </c>
      <c r="M23" s="36">
        <v>309510</v>
      </c>
      <c r="N23" s="36"/>
      <c r="O23" s="36">
        <v>2201.5492957746478</v>
      </c>
      <c r="P23" s="36">
        <v>13675.746721126758</v>
      </c>
      <c r="Q23" s="36">
        <v>6789.084507042252</v>
      </c>
      <c r="R23" s="36">
        <v>1634861.9578119651</v>
      </c>
    </row>
    <row r="24" spans="1:18">
      <c r="A24" s="4" t="s">
        <v>98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>
        <v>133570</v>
      </c>
      <c r="N24" s="36"/>
      <c r="O24" s="36"/>
      <c r="P24" s="36"/>
      <c r="Q24" s="36"/>
      <c r="R24" s="36">
        <v>133570</v>
      </c>
    </row>
    <row r="25" spans="1:18">
      <c r="A25" s="56" t="s">
        <v>98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>
        <v>133570</v>
      </c>
      <c r="N25" s="36"/>
      <c r="O25" s="36"/>
      <c r="P25" s="36"/>
      <c r="Q25" s="36"/>
      <c r="R25" s="36">
        <v>133570</v>
      </c>
    </row>
    <row r="26" spans="1:18">
      <c r="A26" s="4" t="s">
        <v>272</v>
      </c>
      <c r="B26" s="36"/>
      <c r="C26" s="36"/>
      <c r="D26" s="36"/>
      <c r="E26" s="36"/>
      <c r="F26" s="36"/>
      <c r="G26" s="36"/>
      <c r="H26" s="36"/>
      <c r="I26" s="36">
        <v>1464.1953608453673</v>
      </c>
      <c r="J26" s="36">
        <v>660.01352112676057</v>
      </c>
      <c r="K26" s="36"/>
      <c r="L26" s="36"/>
      <c r="M26" s="36">
        <v>21748</v>
      </c>
      <c r="N26" s="36"/>
      <c r="O26" s="36">
        <v>29716.435312056736</v>
      </c>
      <c r="P26" s="36"/>
      <c r="Q26" s="36"/>
      <c r="R26" s="36">
        <v>53588.644194028864</v>
      </c>
    </row>
    <row r="27" spans="1:18">
      <c r="A27" s="56" t="s">
        <v>32</v>
      </c>
      <c r="B27" s="36"/>
      <c r="C27" s="36"/>
      <c r="D27" s="36"/>
      <c r="E27" s="36"/>
      <c r="F27" s="36"/>
      <c r="G27" s="36"/>
      <c r="H27" s="36"/>
      <c r="I27" s="36">
        <v>1464.1953608453673</v>
      </c>
      <c r="J27" s="36">
        <v>660.01352112676057</v>
      </c>
      <c r="K27" s="36"/>
      <c r="L27" s="36"/>
      <c r="M27" s="36">
        <v>21748</v>
      </c>
      <c r="N27" s="36"/>
      <c r="O27" s="36">
        <v>29716.435312056736</v>
      </c>
      <c r="P27" s="36"/>
      <c r="Q27" s="36"/>
      <c r="R27" s="36">
        <v>53588.644194028864</v>
      </c>
    </row>
    <row r="28" spans="1:18">
      <c r="A28" s="4" t="s">
        <v>33</v>
      </c>
      <c r="B28" s="36"/>
      <c r="C28" s="36">
        <v>7196.9577464788736</v>
      </c>
      <c r="D28" s="36"/>
      <c r="E28" s="36">
        <v>14739.43661971831</v>
      </c>
      <c r="F28" s="36">
        <v>5888.0619934674078</v>
      </c>
      <c r="G28" s="36"/>
      <c r="H28" s="36"/>
      <c r="I28" s="36">
        <v>204944.64576773814</v>
      </c>
      <c r="J28" s="36">
        <v>47851.384788732394</v>
      </c>
      <c r="K28" s="36">
        <v>14830</v>
      </c>
      <c r="L28" s="36"/>
      <c r="M28" s="36">
        <v>126279</v>
      </c>
      <c r="N28" s="36"/>
      <c r="O28" s="36">
        <v>10067.226450360897</v>
      </c>
      <c r="P28" s="36">
        <v>4286.7605633802814</v>
      </c>
      <c r="Q28" s="36"/>
      <c r="R28" s="36">
        <v>436083.47392987629</v>
      </c>
    </row>
    <row r="29" spans="1:18">
      <c r="A29" s="56" t="s">
        <v>34</v>
      </c>
      <c r="B29" s="36"/>
      <c r="C29" s="36">
        <v>7196.9577464788736</v>
      </c>
      <c r="D29" s="36"/>
      <c r="E29" s="36">
        <v>14739.43661971831</v>
      </c>
      <c r="F29" s="36">
        <v>5888.0619934674078</v>
      </c>
      <c r="G29" s="36"/>
      <c r="H29" s="36"/>
      <c r="I29" s="36">
        <v>204944.64576773814</v>
      </c>
      <c r="J29" s="36">
        <v>47851.384788732394</v>
      </c>
      <c r="K29" s="36">
        <v>14830</v>
      </c>
      <c r="L29" s="36"/>
      <c r="M29" s="36">
        <v>126279</v>
      </c>
      <c r="N29" s="36"/>
      <c r="O29" s="36">
        <v>10067.226450360897</v>
      </c>
      <c r="P29" s="36">
        <v>4286.7605633802814</v>
      </c>
      <c r="Q29" s="36"/>
      <c r="R29" s="36">
        <v>436083.47392987629</v>
      </c>
    </row>
    <row r="30" spans="1:18">
      <c r="A30" s="4" t="s">
        <v>35</v>
      </c>
      <c r="B30" s="36"/>
      <c r="C30" s="36"/>
      <c r="D30" s="36"/>
      <c r="E30" s="36"/>
      <c r="F30" s="36">
        <v>74.647887323943664</v>
      </c>
      <c r="G30" s="36">
        <v>44800</v>
      </c>
      <c r="H30" s="36"/>
      <c r="I30" s="36">
        <v>138431.33738871219</v>
      </c>
      <c r="J30" s="36">
        <v>70432.331267605638</v>
      </c>
      <c r="K30" s="36"/>
      <c r="L30" s="36"/>
      <c r="M30" s="36">
        <v>236081</v>
      </c>
      <c r="N30" s="36"/>
      <c r="O30" s="36">
        <v>111175.81713170337</v>
      </c>
      <c r="P30" s="36">
        <v>20886.021126760563</v>
      </c>
      <c r="Q30" s="36"/>
      <c r="R30" s="36">
        <v>621881.15480210562</v>
      </c>
    </row>
    <row r="31" spans="1:18">
      <c r="A31" s="56" t="s">
        <v>475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>
        <v>18373</v>
      </c>
      <c r="N31" s="36"/>
      <c r="O31" s="36">
        <v>40100.795167662058</v>
      </c>
      <c r="P31" s="36"/>
      <c r="Q31" s="36"/>
      <c r="R31" s="36">
        <v>58473.795167662058</v>
      </c>
    </row>
    <row r="32" spans="1:18">
      <c r="A32" s="56" t="s">
        <v>37</v>
      </c>
      <c r="B32" s="36"/>
      <c r="C32" s="36"/>
      <c r="D32" s="36"/>
      <c r="E32" s="36"/>
      <c r="F32" s="36">
        <v>74.647887323943664</v>
      </c>
      <c r="G32" s="36"/>
      <c r="H32" s="36"/>
      <c r="I32" s="36">
        <v>55610.078874723484</v>
      </c>
      <c r="J32" s="36">
        <v>35979.379154929578</v>
      </c>
      <c r="K32" s="36"/>
      <c r="L32" s="36"/>
      <c r="M32" s="36">
        <v>85408</v>
      </c>
      <c r="N32" s="36"/>
      <c r="O32" s="36">
        <v>30947.952903197714</v>
      </c>
      <c r="P32" s="36">
        <v>1408.4507042253522</v>
      </c>
      <c r="Q32" s="36"/>
      <c r="R32" s="36">
        <v>209428.50952440005</v>
      </c>
    </row>
    <row r="33" spans="1:18">
      <c r="A33" s="56" t="s">
        <v>38</v>
      </c>
      <c r="B33" s="36"/>
      <c r="C33" s="36"/>
      <c r="D33" s="36"/>
      <c r="E33" s="36"/>
      <c r="F33" s="36"/>
      <c r="G33" s="36">
        <v>44800</v>
      </c>
      <c r="H33" s="36"/>
      <c r="I33" s="36">
        <v>76490.320412112807</v>
      </c>
      <c r="J33" s="36">
        <v>21747.883098591545</v>
      </c>
      <c r="K33" s="36"/>
      <c r="L33" s="36"/>
      <c r="M33" s="36">
        <v>97159</v>
      </c>
      <c r="N33" s="36"/>
      <c r="O33" s="36">
        <v>21748.438797685703</v>
      </c>
      <c r="P33" s="36">
        <v>10065.598591549297</v>
      </c>
      <c r="Q33" s="36"/>
      <c r="R33" s="36">
        <v>272011.24089993938</v>
      </c>
    </row>
    <row r="34" spans="1:18">
      <c r="A34" s="56" t="s">
        <v>39</v>
      </c>
      <c r="B34" s="36"/>
      <c r="C34" s="36"/>
      <c r="D34" s="36"/>
      <c r="E34" s="36"/>
      <c r="F34" s="36"/>
      <c r="G34" s="36"/>
      <c r="H34" s="36"/>
      <c r="I34" s="36">
        <v>157.33860090658442</v>
      </c>
      <c r="J34" s="36">
        <v>4611.58</v>
      </c>
      <c r="K34" s="36"/>
      <c r="L34" s="36"/>
      <c r="M34" s="36">
        <v>6967</v>
      </c>
      <c r="N34" s="36"/>
      <c r="O34" s="36"/>
      <c r="P34" s="36"/>
      <c r="Q34" s="36"/>
      <c r="R34" s="36">
        <v>11735.918600906585</v>
      </c>
    </row>
    <row r="35" spans="1:18">
      <c r="A35" s="56" t="s">
        <v>40</v>
      </c>
      <c r="B35" s="36"/>
      <c r="C35" s="36"/>
      <c r="D35" s="36"/>
      <c r="E35" s="36"/>
      <c r="F35" s="36"/>
      <c r="G35" s="36"/>
      <c r="H35" s="36"/>
      <c r="I35" s="36">
        <v>6173.5995009693161</v>
      </c>
      <c r="J35" s="36">
        <v>17.12</v>
      </c>
      <c r="K35" s="36"/>
      <c r="L35" s="36"/>
      <c r="M35" s="36">
        <v>18582</v>
      </c>
      <c r="N35" s="36"/>
      <c r="O35" s="36"/>
      <c r="P35" s="36">
        <v>9411.9718309859163</v>
      </c>
      <c r="Q35" s="36"/>
      <c r="R35" s="36">
        <v>34184.691331955233</v>
      </c>
    </row>
    <row r="36" spans="1:18">
      <c r="A36" s="56" t="s">
        <v>41</v>
      </c>
      <c r="B36" s="36"/>
      <c r="C36" s="36"/>
      <c r="D36" s="36"/>
      <c r="E36" s="36"/>
      <c r="F36" s="36"/>
      <c r="G36" s="36"/>
      <c r="H36" s="36"/>
      <c r="I36" s="36"/>
      <c r="J36" s="36">
        <v>6988.1690140845076</v>
      </c>
      <c r="K36" s="36"/>
      <c r="L36" s="36"/>
      <c r="M36" s="36">
        <v>3585</v>
      </c>
      <c r="N36" s="36"/>
      <c r="O36" s="36"/>
      <c r="P36" s="36"/>
      <c r="Q36" s="36"/>
      <c r="R36" s="36">
        <v>10573.169014084508</v>
      </c>
    </row>
    <row r="37" spans="1:18">
      <c r="A37" s="56" t="s">
        <v>42</v>
      </c>
      <c r="B37" s="36"/>
      <c r="C37" s="36"/>
      <c r="D37" s="36"/>
      <c r="E37" s="36"/>
      <c r="F37" s="36"/>
      <c r="G37" s="36"/>
      <c r="H37" s="36"/>
      <c r="I37" s="36"/>
      <c r="J37" s="36">
        <v>1088.2</v>
      </c>
      <c r="K37" s="36"/>
      <c r="L37" s="36"/>
      <c r="M37" s="36">
        <v>6007</v>
      </c>
      <c r="N37" s="36"/>
      <c r="O37" s="36">
        <v>18378.630263157895</v>
      </c>
      <c r="P37" s="36"/>
      <c r="Q37" s="36"/>
      <c r="R37" s="36">
        <v>25473.830263157895</v>
      </c>
    </row>
    <row r="38" spans="1:18">
      <c r="A38" s="4" t="s">
        <v>43</v>
      </c>
      <c r="B38" s="36"/>
      <c r="C38" s="36"/>
      <c r="D38" s="36"/>
      <c r="E38" s="36">
        <v>3521.1267605633802</v>
      </c>
      <c r="F38" s="36">
        <v>8071.8309859154933</v>
      </c>
      <c r="G38" s="36">
        <v>20915.492957746479</v>
      </c>
      <c r="H38" s="36">
        <v>62000.664828129607</v>
      </c>
      <c r="I38" s="36">
        <v>827739.61310497043</v>
      </c>
      <c r="J38" s="36">
        <v>457519.09216947464</v>
      </c>
      <c r="K38" s="36">
        <v>2816.9014084507044</v>
      </c>
      <c r="L38" s="36"/>
      <c r="M38" s="36">
        <v>1227814</v>
      </c>
      <c r="N38" s="36">
        <v>390733.22980985913</v>
      </c>
      <c r="O38" s="36">
        <v>568733.56948128797</v>
      </c>
      <c r="P38" s="36">
        <v>170975.21126760563</v>
      </c>
      <c r="Q38" s="36"/>
      <c r="R38" s="36">
        <v>3740840.7327740039</v>
      </c>
    </row>
    <row r="39" spans="1:18">
      <c r="A39" s="56" t="s">
        <v>498</v>
      </c>
      <c r="B39" s="36"/>
      <c r="C39" s="36"/>
      <c r="D39" s="36"/>
      <c r="E39" s="36"/>
      <c r="F39" s="36"/>
      <c r="G39" s="36"/>
      <c r="H39" s="36"/>
      <c r="I39" s="36"/>
      <c r="J39" s="36">
        <v>426.48</v>
      </c>
      <c r="K39" s="36"/>
      <c r="L39" s="36"/>
      <c r="M39" s="36"/>
      <c r="N39" s="36"/>
      <c r="O39" s="36"/>
      <c r="P39" s="36"/>
      <c r="Q39" s="36"/>
      <c r="R39" s="36">
        <v>426.48</v>
      </c>
    </row>
    <row r="40" spans="1:18">
      <c r="A40" s="56" t="s">
        <v>70</v>
      </c>
      <c r="B40" s="36"/>
      <c r="C40" s="36"/>
      <c r="D40" s="36"/>
      <c r="E40" s="36"/>
      <c r="F40" s="36">
        <v>3164.0845070422533</v>
      </c>
      <c r="G40" s="36">
        <v>70.422535211267601</v>
      </c>
      <c r="H40" s="36"/>
      <c r="I40" s="36">
        <v>27590.088010837029</v>
      </c>
      <c r="J40" s="36">
        <v>4024.41690140845</v>
      </c>
      <c r="K40" s="36"/>
      <c r="L40" s="36"/>
      <c r="M40" s="36"/>
      <c r="N40" s="36"/>
      <c r="O40" s="36">
        <v>7405.283835059161</v>
      </c>
      <c r="P40" s="36"/>
      <c r="Q40" s="36"/>
      <c r="R40" s="36">
        <v>42254.295789558164</v>
      </c>
    </row>
    <row r="41" spans="1:18">
      <c r="A41" s="56" t="s">
        <v>218</v>
      </c>
      <c r="B41" s="36"/>
      <c r="C41" s="36"/>
      <c r="D41" s="36"/>
      <c r="E41" s="36"/>
      <c r="F41" s="36">
        <v>186.61971830985917</v>
      </c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>
        <v>186.61971830985917</v>
      </c>
    </row>
    <row r="42" spans="1:18">
      <c r="A42" s="56" t="s">
        <v>44</v>
      </c>
      <c r="B42" s="36"/>
      <c r="C42" s="36"/>
      <c r="D42" s="36"/>
      <c r="E42" s="36"/>
      <c r="F42" s="36"/>
      <c r="G42" s="36"/>
      <c r="H42" s="36"/>
      <c r="I42" s="36">
        <v>31084.859477889575</v>
      </c>
      <c r="J42" s="36">
        <v>8066.87</v>
      </c>
      <c r="K42" s="36"/>
      <c r="L42" s="36"/>
      <c r="M42" s="36">
        <v>148767</v>
      </c>
      <c r="N42" s="36"/>
      <c r="O42" s="36">
        <v>233416.07951860144</v>
      </c>
      <c r="P42" s="36">
        <v>14327.112676056337</v>
      </c>
      <c r="Q42" s="36"/>
      <c r="R42" s="36">
        <v>435661.92167254735</v>
      </c>
    </row>
    <row r="43" spans="1:18">
      <c r="A43" s="56" t="s">
        <v>45</v>
      </c>
      <c r="B43" s="36"/>
      <c r="C43" s="36"/>
      <c r="D43" s="36"/>
      <c r="E43" s="36"/>
      <c r="F43" s="36"/>
      <c r="G43" s="36"/>
      <c r="H43" s="36"/>
      <c r="I43" s="36">
        <v>53289.858912008087</v>
      </c>
      <c r="J43" s="36">
        <v>5094.4474647887328</v>
      </c>
      <c r="K43" s="36"/>
      <c r="L43" s="36"/>
      <c r="M43" s="36">
        <v>70515</v>
      </c>
      <c r="N43" s="36"/>
      <c r="O43" s="36">
        <v>23417.262760296129</v>
      </c>
      <c r="P43" s="36">
        <v>118782.18309859154</v>
      </c>
      <c r="Q43" s="36"/>
      <c r="R43" s="36">
        <v>271098.75223568454</v>
      </c>
    </row>
    <row r="44" spans="1:18">
      <c r="A44" s="56" t="s">
        <v>46</v>
      </c>
      <c r="B44" s="36"/>
      <c r="C44" s="36"/>
      <c r="D44" s="36"/>
      <c r="E44" s="36"/>
      <c r="F44" s="36">
        <v>223.94366197183098</v>
      </c>
      <c r="G44" s="36">
        <v>5281.6901408450703</v>
      </c>
      <c r="H44" s="36"/>
      <c r="I44" s="36">
        <v>169725.30141528038</v>
      </c>
      <c r="J44" s="36">
        <v>62086.354084507046</v>
      </c>
      <c r="K44" s="36"/>
      <c r="L44" s="36"/>
      <c r="M44" s="36">
        <v>148970</v>
      </c>
      <c r="N44" s="36">
        <v>320000</v>
      </c>
      <c r="O44" s="36">
        <v>24409.929391004101</v>
      </c>
      <c r="P44" s="36">
        <v>11226.056338028167</v>
      </c>
      <c r="Q44" s="36"/>
      <c r="R44" s="36">
        <v>741923.27503163659</v>
      </c>
    </row>
    <row r="45" spans="1:18">
      <c r="A45" s="56" t="s">
        <v>47</v>
      </c>
      <c r="B45" s="36"/>
      <c r="C45" s="36"/>
      <c r="D45" s="36"/>
      <c r="E45" s="36"/>
      <c r="F45" s="36">
        <v>2370.4225352112676</v>
      </c>
      <c r="G45" s="36"/>
      <c r="H45" s="36"/>
      <c r="I45" s="36">
        <v>51090.904549432875</v>
      </c>
      <c r="J45" s="36">
        <v>18582.299577464786</v>
      </c>
      <c r="K45" s="36"/>
      <c r="L45" s="36"/>
      <c r="M45" s="36">
        <v>57733</v>
      </c>
      <c r="N45" s="36"/>
      <c r="O45" s="36">
        <v>8542.9647996142849</v>
      </c>
      <c r="P45" s="36">
        <v>105.63380281690141</v>
      </c>
      <c r="Q45" s="36"/>
      <c r="R45" s="36">
        <v>138425.22526454012</v>
      </c>
    </row>
    <row r="46" spans="1:18">
      <c r="A46" s="56" t="s">
        <v>48</v>
      </c>
      <c r="B46" s="36"/>
      <c r="C46" s="36"/>
      <c r="D46" s="36"/>
      <c r="E46" s="36"/>
      <c r="F46" s="36"/>
      <c r="G46" s="36"/>
      <c r="H46" s="36">
        <v>35468.60533832365</v>
      </c>
      <c r="I46" s="36">
        <v>6168.1329453263661</v>
      </c>
      <c r="J46" s="36">
        <v>9274.3033802816899</v>
      </c>
      <c r="K46" s="36"/>
      <c r="L46" s="36"/>
      <c r="M46" s="36">
        <v>22232</v>
      </c>
      <c r="N46" s="36"/>
      <c r="O46" s="36">
        <v>453.38667612293142</v>
      </c>
      <c r="P46" s="36">
        <v>774.64788732394368</v>
      </c>
      <c r="Q46" s="36"/>
      <c r="R46" s="36">
        <v>74371.07622737858</v>
      </c>
    </row>
    <row r="47" spans="1:18">
      <c r="A47" s="56" t="s">
        <v>49</v>
      </c>
      <c r="B47" s="36"/>
      <c r="C47" s="36"/>
      <c r="D47" s="36"/>
      <c r="E47" s="36"/>
      <c r="F47" s="36"/>
      <c r="G47" s="36"/>
      <c r="H47" s="36"/>
      <c r="I47" s="36">
        <v>25663.319150407482</v>
      </c>
      <c r="J47" s="36">
        <v>6359.3281690140848</v>
      </c>
      <c r="K47" s="36"/>
      <c r="L47" s="36"/>
      <c r="M47" s="36">
        <v>53110</v>
      </c>
      <c r="N47" s="36"/>
      <c r="O47" s="36">
        <v>4333.0955055274444</v>
      </c>
      <c r="P47" s="36"/>
      <c r="Q47" s="36"/>
      <c r="R47" s="36">
        <v>89465.742824949004</v>
      </c>
    </row>
    <row r="48" spans="1:18">
      <c r="A48" s="56" t="s">
        <v>50</v>
      </c>
      <c r="B48" s="36"/>
      <c r="C48" s="36"/>
      <c r="D48" s="36"/>
      <c r="E48" s="36"/>
      <c r="F48" s="36">
        <v>223.94366197183098</v>
      </c>
      <c r="G48" s="36">
        <v>15563.380281690141</v>
      </c>
      <c r="H48" s="36"/>
      <c r="I48" s="36">
        <v>131693.95060531018</v>
      </c>
      <c r="J48" s="36">
        <v>57459.707239897158</v>
      </c>
      <c r="K48" s="36"/>
      <c r="L48" s="36"/>
      <c r="M48" s="36">
        <v>218378</v>
      </c>
      <c r="N48" s="36">
        <v>61833.779105633796</v>
      </c>
      <c r="O48" s="36">
        <v>42401.063269565755</v>
      </c>
      <c r="P48" s="36">
        <v>6122.3591549295779</v>
      </c>
      <c r="Q48" s="36"/>
      <c r="R48" s="36">
        <v>533676.18331899832</v>
      </c>
    </row>
    <row r="49" spans="1:18">
      <c r="A49" s="56" t="s">
        <v>51</v>
      </c>
      <c r="B49" s="36"/>
      <c r="C49" s="36"/>
      <c r="D49" s="36"/>
      <c r="E49" s="36"/>
      <c r="F49" s="36">
        <v>1507.0422535211269</v>
      </c>
      <c r="G49" s="36"/>
      <c r="H49" s="36">
        <v>26532.059489805961</v>
      </c>
      <c r="I49" s="36">
        <v>279522.81632529944</v>
      </c>
      <c r="J49" s="36">
        <v>209378.26408450707</v>
      </c>
      <c r="K49" s="36"/>
      <c r="L49" s="36"/>
      <c r="M49" s="36">
        <v>443530</v>
      </c>
      <c r="N49" s="36">
        <v>8899.4507042253517</v>
      </c>
      <c r="O49" s="36">
        <v>217693.83228368795</v>
      </c>
      <c r="P49" s="36">
        <v>14430.80985915493</v>
      </c>
      <c r="Q49" s="36"/>
      <c r="R49" s="36">
        <v>1201494.275000202</v>
      </c>
    </row>
    <row r="50" spans="1:18">
      <c r="A50" s="56" t="s">
        <v>52</v>
      </c>
      <c r="B50" s="36"/>
      <c r="C50" s="36"/>
      <c r="D50" s="36"/>
      <c r="E50" s="36">
        <v>3521.1267605633802</v>
      </c>
      <c r="F50" s="36">
        <v>321.12676056338029</v>
      </c>
      <c r="G50" s="36"/>
      <c r="H50" s="36"/>
      <c r="I50" s="36">
        <v>34830.394448806757</v>
      </c>
      <c r="J50" s="36">
        <v>14398.581126760564</v>
      </c>
      <c r="K50" s="36">
        <v>2816.9014084507044</v>
      </c>
      <c r="L50" s="36"/>
      <c r="M50" s="36">
        <v>57818</v>
      </c>
      <c r="N50" s="36"/>
      <c r="O50" s="36">
        <v>6660.6714418087477</v>
      </c>
      <c r="P50" s="36">
        <v>5206.4084507042253</v>
      </c>
      <c r="Q50" s="36"/>
      <c r="R50" s="36">
        <v>125573.21039765776</v>
      </c>
    </row>
    <row r="51" spans="1:18">
      <c r="A51" s="56" t="s">
        <v>77</v>
      </c>
      <c r="B51" s="36"/>
      <c r="C51" s="36"/>
      <c r="D51" s="36"/>
      <c r="E51" s="36"/>
      <c r="F51" s="36">
        <v>74.647887323943664</v>
      </c>
      <c r="G51" s="36"/>
      <c r="H51" s="36"/>
      <c r="I51" s="36">
        <v>15234.025373971743</v>
      </c>
      <c r="J51" s="36">
        <v>6501.7605633802814</v>
      </c>
      <c r="K51" s="36"/>
      <c r="L51" s="36"/>
      <c r="M51" s="36">
        <v>6761</v>
      </c>
      <c r="N51" s="36"/>
      <c r="O51" s="36"/>
      <c r="P51" s="36"/>
      <c r="Q51" s="36"/>
      <c r="R51" s="36">
        <v>28571.433824675965</v>
      </c>
    </row>
    <row r="52" spans="1:18">
      <c r="A52" s="56" t="s">
        <v>73</v>
      </c>
      <c r="B52" s="36"/>
      <c r="C52" s="36"/>
      <c r="D52" s="36"/>
      <c r="E52" s="36"/>
      <c r="F52" s="36"/>
      <c r="G52" s="36"/>
      <c r="H52" s="36"/>
      <c r="I52" s="36">
        <v>1845.9618904003946</v>
      </c>
      <c r="J52" s="36">
        <v>55866.279577464782</v>
      </c>
      <c r="K52" s="36"/>
      <c r="L52" s="36"/>
      <c r="M52" s="36"/>
      <c r="N52" s="36"/>
      <c r="O52" s="36"/>
      <c r="P52" s="36"/>
      <c r="Q52" s="36"/>
      <c r="R52" s="36">
        <v>57712.241467865177</v>
      </c>
    </row>
    <row r="53" spans="1:18">
      <c r="A53" s="4" t="s">
        <v>53</v>
      </c>
      <c r="B53" s="36"/>
      <c r="C53" s="36"/>
      <c r="D53" s="36"/>
      <c r="E53" s="36">
        <v>2225.3521126760561</v>
      </c>
      <c r="F53" s="36">
        <v>2100.2467056693395</v>
      </c>
      <c r="G53" s="36"/>
      <c r="H53" s="36">
        <v>36850.389047572142</v>
      </c>
      <c r="I53" s="36">
        <v>821927.40504975768</v>
      </c>
      <c r="J53" s="36">
        <v>577085.7051709675</v>
      </c>
      <c r="K53" s="36">
        <v>49934</v>
      </c>
      <c r="L53" s="36"/>
      <c r="M53" s="36">
        <v>466636</v>
      </c>
      <c r="N53" s="36">
        <v>584383.28</v>
      </c>
      <c r="O53" s="36">
        <v>160423.96280863506</v>
      </c>
      <c r="P53" s="36">
        <v>418415.91549295787</v>
      </c>
      <c r="Q53" s="36"/>
      <c r="R53" s="36">
        <v>3119982.2563882354</v>
      </c>
    </row>
    <row r="54" spans="1:18">
      <c r="A54" s="56" t="s">
        <v>62</v>
      </c>
      <c r="B54" s="36"/>
      <c r="C54" s="36"/>
      <c r="D54" s="36"/>
      <c r="E54" s="36">
        <v>2225.3521126760561</v>
      </c>
      <c r="F54" s="36">
        <v>2100.2467056693395</v>
      </c>
      <c r="G54" s="36"/>
      <c r="H54" s="36">
        <v>36850.389047572142</v>
      </c>
      <c r="I54" s="36">
        <v>821927.40504975768</v>
      </c>
      <c r="J54" s="36">
        <v>577085.7051709675</v>
      </c>
      <c r="K54" s="36">
        <v>49934</v>
      </c>
      <c r="L54" s="36"/>
      <c r="M54" s="36">
        <v>466636</v>
      </c>
      <c r="N54" s="36">
        <v>584383.28</v>
      </c>
      <c r="O54" s="36">
        <v>160423.96280863506</v>
      </c>
      <c r="P54" s="36">
        <v>418415.91549295787</v>
      </c>
      <c r="Q54" s="36"/>
      <c r="R54" s="36">
        <v>3119982.2563882354</v>
      </c>
    </row>
    <row r="55" spans="1:18">
      <c r="A55" s="4" t="s">
        <v>269</v>
      </c>
      <c r="B55" s="36">
        <v>42217.062937062939</v>
      </c>
      <c r="C55" s="36">
        <v>15730.318309859154</v>
      </c>
      <c r="D55" s="36">
        <v>1080694</v>
      </c>
      <c r="E55" s="36">
        <v>41912.32394366197</v>
      </c>
      <c r="F55" s="36">
        <v>41625.176056338038</v>
      </c>
      <c r="G55" s="36">
        <v>94690.492957746479</v>
      </c>
      <c r="H55" s="36">
        <v>198525.04924652819</v>
      </c>
      <c r="I55" s="36">
        <v>2519318.8267887328</v>
      </c>
      <c r="J55" s="36">
        <v>2520340.9812464993</v>
      </c>
      <c r="K55" s="36">
        <v>101620.90140845071</v>
      </c>
      <c r="L55" s="36">
        <v>53050.892307692309</v>
      </c>
      <c r="M55" s="36">
        <v>3451584</v>
      </c>
      <c r="N55" s="36">
        <v>1022150.5851619719</v>
      </c>
      <c r="O55" s="36">
        <v>924250.60718309844</v>
      </c>
      <c r="P55" s="36">
        <v>760710.48756619729</v>
      </c>
      <c r="Q55" s="36">
        <v>6789.084507042252</v>
      </c>
      <c r="R55" s="36">
        <v>12875210.789620882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58"/>
  <sheetViews>
    <sheetView workbookViewId="0">
      <selection activeCell="B18" sqref="B18"/>
    </sheetView>
  </sheetViews>
  <sheetFormatPr defaultColWidth="9" defaultRowHeight="14.4"/>
  <cols>
    <col min="1" max="1" width="7.77734375" style="126" bestFit="1" customWidth="1"/>
    <col min="2" max="2" width="9.44140625" style="126" bestFit="1" customWidth="1"/>
    <col min="3" max="3" width="10.6640625" style="126" bestFit="1" customWidth="1"/>
    <col min="4" max="4" width="11.44140625" style="126" bestFit="1" customWidth="1"/>
    <col min="5" max="5" width="24.77734375" style="126" bestFit="1" customWidth="1"/>
    <col min="6" max="6" width="12.77734375" style="126" bestFit="1" customWidth="1"/>
    <col min="7" max="7" width="46.88671875" style="126" bestFit="1" customWidth="1"/>
    <col min="8" max="8" width="46.5546875" style="126" customWidth="1"/>
    <col min="9" max="9" width="20.88671875" style="128" bestFit="1" customWidth="1"/>
    <col min="10" max="10" width="26.6640625" style="126" bestFit="1" customWidth="1"/>
    <col min="11" max="11" width="13.6640625" style="65" bestFit="1" customWidth="1"/>
    <col min="12" max="12" width="13" style="126" bestFit="1" customWidth="1"/>
    <col min="13" max="13" width="9" style="126" bestFit="1" customWidth="1"/>
    <col min="14" max="14" width="6.88671875" style="126" bestFit="1" customWidth="1"/>
    <col min="15" max="16384" width="9" style="126"/>
  </cols>
  <sheetData>
    <row r="1" spans="1:14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0" t="s">
        <v>5</v>
      </c>
      <c r="G1" s="80" t="s">
        <v>6</v>
      </c>
      <c r="H1" s="80" t="s">
        <v>7</v>
      </c>
      <c r="I1" s="115" t="s">
        <v>8</v>
      </c>
      <c r="J1" s="80" t="s">
        <v>9</v>
      </c>
      <c r="K1" s="117" t="s">
        <v>10</v>
      </c>
      <c r="L1" s="80" t="s">
        <v>11</v>
      </c>
      <c r="M1" s="80" t="s">
        <v>12</v>
      </c>
      <c r="N1" s="80" t="s">
        <v>13</v>
      </c>
    </row>
    <row r="2" spans="1:14">
      <c r="A2" s="81">
        <v>1</v>
      </c>
      <c r="B2" s="81" t="s">
        <v>59</v>
      </c>
      <c r="C2" s="84" t="s">
        <v>60</v>
      </c>
      <c r="D2" s="81" t="s">
        <v>61</v>
      </c>
      <c r="E2" s="81" t="s">
        <v>89</v>
      </c>
      <c r="F2" s="81"/>
      <c r="G2" s="81" t="s">
        <v>21</v>
      </c>
      <c r="H2" s="81" t="s">
        <v>318</v>
      </c>
      <c r="I2" s="103">
        <v>6000</v>
      </c>
      <c r="J2" s="84" t="s">
        <v>14</v>
      </c>
      <c r="K2" s="84" t="s">
        <v>14</v>
      </c>
      <c r="L2" s="110" t="s">
        <v>14</v>
      </c>
      <c r="M2" s="81" t="s">
        <v>225</v>
      </c>
      <c r="N2" s="81">
        <v>2025</v>
      </c>
    </row>
    <row r="3" spans="1:14">
      <c r="A3" s="81">
        <v>2</v>
      </c>
      <c r="B3" s="81" t="s">
        <v>59</v>
      </c>
      <c r="C3" s="84" t="s">
        <v>60</v>
      </c>
      <c r="D3" s="81" t="s">
        <v>61</v>
      </c>
      <c r="E3" s="81" t="s">
        <v>89</v>
      </c>
      <c r="F3" s="81"/>
      <c r="G3" s="81" t="s">
        <v>21</v>
      </c>
      <c r="H3" s="81" t="s">
        <v>325</v>
      </c>
      <c r="I3" s="103">
        <v>6000</v>
      </c>
      <c r="J3" s="84" t="s">
        <v>14</v>
      </c>
      <c r="K3" s="84" t="s">
        <v>14</v>
      </c>
      <c r="L3" s="110" t="s">
        <v>14</v>
      </c>
      <c r="M3" s="81" t="s">
        <v>226</v>
      </c>
      <c r="N3" s="81">
        <v>2025</v>
      </c>
    </row>
    <row r="4" spans="1:14">
      <c r="A4" s="81">
        <v>3</v>
      </c>
      <c r="B4" s="81" t="s">
        <v>59</v>
      </c>
      <c r="C4" s="84" t="s">
        <v>60</v>
      </c>
      <c r="D4" s="81" t="s">
        <v>61</v>
      </c>
      <c r="E4" s="81" t="s">
        <v>89</v>
      </c>
      <c r="F4" s="81"/>
      <c r="G4" s="81" t="s">
        <v>21</v>
      </c>
      <c r="H4" s="81" t="s">
        <v>317</v>
      </c>
      <c r="I4" s="103">
        <v>4500</v>
      </c>
      <c r="J4" s="84" t="s">
        <v>14</v>
      </c>
      <c r="K4" s="84" t="s">
        <v>14</v>
      </c>
      <c r="L4" s="110" t="s">
        <v>14</v>
      </c>
      <c r="M4" s="81" t="s">
        <v>225</v>
      </c>
      <c r="N4" s="81">
        <v>2025</v>
      </c>
    </row>
    <row r="5" spans="1:14">
      <c r="A5" s="81">
        <v>4</v>
      </c>
      <c r="B5" s="81" t="s">
        <v>59</v>
      </c>
      <c r="C5" s="84" t="s">
        <v>60</v>
      </c>
      <c r="D5" s="81" t="s">
        <v>61</v>
      </c>
      <c r="E5" s="81" t="s">
        <v>89</v>
      </c>
      <c r="F5" s="81"/>
      <c r="G5" s="81" t="s">
        <v>21</v>
      </c>
      <c r="H5" s="81" t="s">
        <v>324</v>
      </c>
      <c r="I5" s="103">
        <v>4500</v>
      </c>
      <c r="J5" s="84" t="s">
        <v>14</v>
      </c>
      <c r="K5" s="84" t="s">
        <v>14</v>
      </c>
      <c r="L5" s="110" t="s">
        <v>14</v>
      </c>
      <c r="M5" s="81" t="s">
        <v>226</v>
      </c>
      <c r="N5" s="81">
        <v>2025</v>
      </c>
    </row>
    <row r="6" spans="1:14">
      <c r="A6" s="81">
        <v>5</v>
      </c>
      <c r="B6" s="81" t="s">
        <v>59</v>
      </c>
      <c r="C6" s="84" t="s">
        <v>60</v>
      </c>
      <c r="D6" s="81" t="s">
        <v>61</v>
      </c>
      <c r="E6" s="81" t="s">
        <v>89</v>
      </c>
      <c r="F6" s="81"/>
      <c r="G6" s="81" t="s">
        <v>21</v>
      </c>
      <c r="H6" s="81" t="s">
        <v>314</v>
      </c>
      <c r="I6" s="103">
        <f>5000000/1430</f>
        <v>3496.5034965034965</v>
      </c>
      <c r="J6" s="84" t="s">
        <v>14</v>
      </c>
      <c r="K6" s="84" t="s">
        <v>14</v>
      </c>
      <c r="L6" s="110" t="s">
        <v>14</v>
      </c>
      <c r="M6" s="81" t="s">
        <v>225</v>
      </c>
      <c r="N6" s="81">
        <v>2025</v>
      </c>
    </row>
    <row r="7" spans="1:14">
      <c r="A7" s="81">
        <v>6</v>
      </c>
      <c r="B7" s="81" t="s">
        <v>59</v>
      </c>
      <c r="C7" s="84" t="s">
        <v>60</v>
      </c>
      <c r="D7" s="81" t="s">
        <v>61</v>
      </c>
      <c r="E7" s="81" t="s">
        <v>89</v>
      </c>
      <c r="F7" s="81"/>
      <c r="G7" s="81" t="s">
        <v>21</v>
      </c>
      <c r="H7" s="81" t="s">
        <v>321</v>
      </c>
      <c r="I7" s="103">
        <f>5000000/1430</f>
        <v>3496.5034965034965</v>
      </c>
      <c r="J7" s="84" t="s">
        <v>14</v>
      </c>
      <c r="K7" s="84" t="s">
        <v>14</v>
      </c>
      <c r="L7" s="110" t="s">
        <v>14</v>
      </c>
      <c r="M7" s="81" t="s">
        <v>226</v>
      </c>
      <c r="N7" s="81">
        <v>2025</v>
      </c>
    </row>
    <row r="8" spans="1:14">
      <c r="A8" s="81">
        <v>7</v>
      </c>
      <c r="B8" s="81" t="s">
        <v>59</v>
      </c>
      <c r="C8" s="84" t="s">
        <v>60</v>
      </c>
      <c r="D8" s="81" t="s">
        <v>61</v>
      </c>
      <c r="E8" s="81" t="s">
        <v>89</v>
      </c>
      <c r="F8" s="81"/>
      <c r="G8" s="81" t="s">
        <v>90</v>
      </c>
      <c r="H8" s="81" t="s">
        <v>319</v>
      </c>
      <c r="I8" s="116">
        <v>3380</v>
      </c>
      <c r="J8" s="85" t="s">
        <v>327</v>
      </c>
      <c r="K8" s="84">
        <v>45869</v>
      </c>
      <c r="L8" s="110" t="s">
        <v>14</v>
      </c>
      <c r="M8" s="81" t="s">
        <v>225</v>
      </c>
      <c r="N8" s="81">
        <v>2025</v>
      </c>
    </row>
    <row r="9" spans="1:14">
      <c r="A9" s="81">
        <v>8</v>
      </c>
      <c r="B9" s="81" t="s">
        <v>59</v>
      </c>
      <c r="C9" s="84" t="s">
        <v>60</v>
      </c>
      <c r="D9" s="81" t="s">
        <v>61</v>
      </c>
      <c r="E9" s="81" t="s">
        <v>89</v>
      </c>
      <c r="F9" s="81"/>
      <c r="G9" s="81" t="s">
        <v>21</v>
      </c>
      <c r="H9" s="81" t="s">
        <v>313</v>
      </c>
      <c r="I9" s="103">
        <f>3000000/1430</f>
        <v>2097.9020979020979</v>
      </c>
      <c r="J9" s="84" t="s">
        <v>14</v>
      </c>
      <c r="K9" s="84" t="s">
        <v>14</v>
      </c>
      <c r="L9" s="110" t="s">
        <v>14</v>
      </c>
      <c r="M9" s="81" t="s">
        <v>225</v>
      </c>
      <c r="N9" s="81">
        <v>2025</v>
      </c>
    </row>
    <row r="10" spans="1:14">
      <c r="A10" s="81">
        <v>9</v>
      </c>
      <c r="B10" s="81" t="s">
        <v>59</v>
      </c>
      <c r="C10" s="84" t="s">
        <v>60</v>
      </c>
      <c r="D10" s="81" t="s">
        <v>61</v>
      </c>
      <c r="E10" s="81" t="s">
        <v>89</v>
      </c>
      <c r="F10" s="81"/>
      <c r="G10" s="81" t="s">
        <v>21</v>
      </c>
      <c r="H10" s="81" t="s">
        <v>320</v>
      </c>
      <c r="I10" s="103">
        <f>3000000/1430</f>
        <v>2097.9020979020979</v>
      </c>
      <c r="J10" s="84" t="s">
        <v>14</v>
      </c>
      <c r="K10" s="84" t="s">
        <v>14</v>
      </c>
      <c r="L10" s="110" t="s">
        <v>14</v>
      </c>
      <c r="M10" s="81" t="s">
        <v>226</v>
      </c>
      <c r="N10" s="81">
        <v>2025</v>
      </c>
    </row>
    <row r="11" spans="1:14">
      <c r="A11" s="81">
        <v>10</v>
      </c>
      <c r="B11" s="81" t="s">
        <v>59</v>
      </c>
      <c r="C11" s="84" t="s">
        <v>60</v>
      </c>
      <c r="D11" s="81" t="s">
        <v>61</v>
      </c>
      <c r="E11" s="81" t="s">
        <v>89</v>
      </c>
      <c r="F11" s="81"/>
      <c r="G11" s="81" t="s">
        <v>21</v>
      </c>
      <c r="H11" s="81" t="s">
        <v>315</v>
      </c>
      <c r="I11" s="103">
        <v>1750</v>
      </c>
      <c r="J11" s="84" t="s">
        <v>14</v>
      </c>
      <c r="K11" s="84" t="s">
        <v>14</v>
      </c>
      <c r="L11" s="110" t="s">
        <v>14</v>
      </c>
      <c r="M11" s="81" t="s">
        <v>225</v>
      </c>
      <c r="N11" s="81">
        <v>2025</v>
      </c>
    </row>
    <row r="12" spans="1:14">
      <c r="A12" s="81">
        <v>11</v>
      </c>
      <c r="B12" s="81" t="s">
        <v>59</v>
      </c>
      <c r="C12" s="84" t="s">
        <v>60</v>
      </c>
      <c r="D12" s="81" t="s">
        <v>61</v>
      </c>
      <c r="E12" s="81" t="s">
        <v>89</v>
      </c>
      <c r="F12" s="81"/>
      <c r="G12" s="81" t="s">
        <v>21</v>
      </c>
      <c r="H12" s="81" t="s">
        <v>322</v>
      </c>
      <c r="I12" s="103">
        <v>1750</v>
      </c>
      <c r="J12" s="84" t="s">
        <v>14</v>
      </c>
      <c r="K12" s="84" t="s">
        <v>14</v>
      </c>
      <c r="L12" s="110" t="s">
        <v>14</v>
      </c>
      <c r="M12" s="81" t="s">
        <v>226</v>
      </c>
      <c r="N12" s="81">
        <v>2025</v>
      </c>
    </row>
    <row r="13" spans="1:14">
      <c r="A13" s="81">
        <v>12</v>
      </c>
      <c r="B13" s="81" t="s">
        <v>59</v>
      </c>
      <c r="C13" s="84" t="s">
        <v>60</v>
      </c>
      <c r="D13" s="81" t="s">
        <v>61</v>
      </c>
      <c r="E13" s="81" t="s">
        <v>89</v>
      </c>
      <c r="F13" s="81"/>
      <c r="G13" s="81" t="s">
        <v>90</v>
      </c>
      <c r="H13" s="81" t="s">
        <v>326</v>
      </c>
      <c r="I13" s="116">
        <v>1400</v>
      </c>
      <c r="J13" s="81">
        <v>2025003008</v>
      </c>
      <c r="K13" s="84">
        <v>45900</v>
      </c>
      <c r="L13" s="110" t="s">
        <v>14</v>
      </c>
      <c r="M13" s="81" t="s">
        <v>226</v>
      </c>
      <c r="N13" s="81">
        <v>2025</v>
      </c>
    </row>
    <row r="14" spans="1:14">
      <c r="A14" s="81">
        <v>13</v>
      </c>
      <c r="B14" s="81" t="s">
        <v>59</v>
      </c>
      <c r="C14" s="84" t="s">
        <v>60</v>
      </c>
      <c r="D14" s="81" t="s">
        <v>61</v>
      </c>
      <c r="E14" s="81" t="s">
        <v>89</v>
      </c>
      <c r="F14" s="81"/>
      <c r="G14" s="81" t="s">
        <v>21</v>
      </c>
      <c r="H14" s="81" t="s">
        <v>316</v>
      </c>
      <c r="I14" s="103">
        <f>1250000/1430</f>
        <v>874.12587412587413</v>
      </c>
      <c r="J14" s="84" t="s">
        <v>14</v>
      </c>
      <c r="K14" s="84" t="s">
        <v>14</v>
      </c>
      <c r="L14" s="110" t="s">
        <v>14</v>
      </c>
      <c r="M14" s="81" t="s">
        <v>225</v>
      </c>
      <c r="N14" s="81">
        <v>2025</v>
      </c>
    </row>
    <row r="15" spans="1:14">
      <c r="A15" s="81">
        <v>14</v>
      </c>
      <c r="B15" s="81" t="s">
        <v>59</v>
      </c>
      <c r="C15" s="84" t="s">
        <v>60</v>
      </c>
      <c r="D15" s="81" t="s">
        <v>61</v>
      </c>
      <c r="E15" s="81" t="s">
        <v>89</v>
      </c>
      <c r="F15" s="81"/>
      <c r="G15" s="81" t="s">
        <v>21</v>
      </c>
      <c r="H15" s="81" t="s">
        <v>323</v>
      </c>
      <c r="I15" s="103">
        <f>1250000/1430</f>
        <v>874.12587412587413</v>
      </c>
      <c r="J15" s="84" t="s">
        <v>14</v>
      </c>
      <c r="K15" s="84" t="s">
        <v>14</v>
      </c>
      <c r="L15" s="110" t="s">
        <v>14</v>
      </c>
      <c r="M15" s="81" t="s">
        <v>226</v>
      </c>
      <c r="N15" s="81">
        <v>2025</v>
      </c>
    </row>
    <row r="16" spans="1:14">
      <c r="A16" s="81">
        <v>15</v>
      </c>
      <c r="B16" s="102" t="s">
        <v>59</v>
      </c>
      <c r="C16" s="102" t="s">
        <v>60</v>
      </c>
      <c r="D16" s="102" t="s">
        <v>61</v>
      </c>
      <c r="E16" s="102" t="s">
        <v>139</v>
      </c>
      <c r="F16" s="81"/>
      <c r="G16" s="102" t="s">
        <v>240</v>
      </c>
      <c r="H16" s="102" t="s">
        <v>139</v>
      </c>
      <c r="I16" s="105">
        <f>5221000/1420+1717.6</f>
        <v>5394.3605633802817</v>
      </c>
      <c r="J16" s="81" t="s">
        <v>344</v>
      </c>
      <c r="K16" s="84">
        <v>45880</v>
      </c>
      <c r="L16" s="81">
        <v>2025403037</v>
      </c>
      <c r="M16" s="99" t="s">
        <v>225</v>
      </c>
      <c r="N16" s="81">
        <v>2025</v>
      </c>
    </row>
    <row r="17" spans="1:14">
      <c r="A17" s="81">
        <v>16</v>
      </c>
      <c r="B17" s="99" t="s">
        <v>59</v>
      </c>
      <c r="C17" s="99" t="s">
        <v>60</v>
      </c>
      <c r="D17" s="102" t="s">
        <v>61</v>
      </c>
      <c r="E17" s="102" t="s">
        <v>139</v>
      </c>
      <c r="F17" s="81"/>
      <c r="G17" s="102" t="s">
        <v>240</v>
      </c>
      <c r="H17" s="102" t="s">
        <v>139</v>
      </c>
      <c r="I17" s="83">
        <v>2149</v>
      </c>
      <c r="J17" s="81" t="s">
        <v>347</v>
      </c>
      <c r="K17" s="84">
        <v>45917</v>
      </c>
      <c r="L17" s="81">
        <v>2025403441</v>
      </c>
      <c r="M17" s="99" t="s">
        <v>226</v>
      </c>
      <c r="N17" s="81">
        <v>2025</v>
      </c>
    </row>
    <row r="18" spans="1:14">
      <c r="A18" s="81">
        <v>17</v>
      </c>
      <c r="B18" s="99" t="s">
        <v>59</v>
      </c>
      <c r="C18" s="99" t="s">
        <v>60</v>
      </c>
      <c r="D18" s="102" t="s">
        <v>61</v>
      </c>
      <c r="E18" s="102" t="s">
        <v>139</v>
      </c>
      <c r="F18" s="81"/>
      <c r="G18" s="102" t="s">
        <v>240</v>
      </c>
      <c r="H18" s="102" t="s">
        <v>139</v>
      </c>
      <c r="I18" s="105">
        <v>990</v>
      </c>
      <c r="J18" s="81" t="s">
        <v>345</v>
      </c>
      <c r="K18" s="84">
        <v>45880</v>
      </c>
      <c r="L18" s="81">
        <v>2025403036</v>
      </c>
      <c r="M18" s="99" t="s">
        <v>225</v>
      </c>
      <c r="N18" s="81">
        <v>2025</v>
      </c>
    </row>
    <row r="19" spans="1:14">
      <c r="A19" s="81">
        <v>18</v>
      </c>
      <c r="B19" s="99" t="s">
        <v>33</v>
      </c>
      <c r="C19" s="99" t="s">
        <v>34</v>
      </c>
      <c r="D19" s="102" t="s">
        <v>61</v>
      </c>
      <c r="E19" s="102" t="s">
        <v>139</v>
      </c>
      <c r="F19" s="81"/>
      <c r="G19" s="102" t="s">
        <v>240</v>
      </c>
      <c r="H19" s="102" t="s">
        <v>139</v>
      </c>
      <c r="I19" s="83">
        <v>2958</v>
      </c>
      <c r="J19" s="81" t="s">
        <v>347</v>
      </c>
      <c r="K19" s="84">
        <v>45917</v>
      </c>
      <c r="L19" s="81">
        <v>2025403441</v>
      </c>
      <c r="M19" s="99" t="s">
        <v>226</v>
      </c>
      <c r="N19" s="81">
        <v>2025</v>
      </c>
    </row>
    <row r="20" spans="1:14">
      <c r="A20" s="81">
        <v>19</v>
      </c>
      <c r="B20" s="99" t="s">
        <v>33</v>
      </c>
      <c r="C20" s="99" t="s">
        <v>34</v>
      </c>
      <c r="D20" s="102" t="s">
        <v>61</v>
      </c>
      <c r="E20" s="102" t="s">
        <v>139</v>
      </c>
      <c r="F20" s="81"/>
      <c r="G20" s="102" t="s">
        <v>240</v>
      </c>
      <c r="H20" s="102" t="s">
        <v>139</v>
      </c>
      <c r="I20" s="105">
        <v>1987</v>
      </c>
      <c r="J20" s="81" t="s">
        <v>345</v>
      </c>
      <c r="K20" s="84">
        <v>45880</v>
      </c>
      <c r="L20" s="81">
        <v>2025403036</v>
      </c>
      <c r="M20" s="99" t="s">
        <v>225</v>
      </c>
      <c r="N20" s="81">
        <v>2025</v>
      </c>
    </row>
    <row r="21" spans="1:14">
      <c r="A21" s="81">
        <v>20</v>
      </c>
      <c r="B21" s="99" t="s">
        <v>33</v>
      </c>
      <c r="C21" s="99" t="s">
        <v>34</v>
      </c>
      <c r="D21" s="102" t="s">
        <v>61</v>
      </c>
      <c r="E21" s="99" t="s">
        <v>139</v>
      </c>
      <c r="F21" s="81"/>
      <c r="G21" s="99" t="s">
        <v>240</v>
      </c>
      <c r="H21" s="102" t="s">
        <v>139</v>
      </c>
      <c r="I21" s="105">
        <v>1959</v>
      </c>
      <c r="J21" s="81" t="s">
        <v>344</v>
      </c>
      <c r="K21" s="84">
        <v>45880</v>
      </c>
      <c r="L21" s="81">
        <v>2025403037</v>
      </c>
      <c r="M21" s="99" t="s">
        <v>225</v>
      </c>
      <c r="N21" s="81">
        <v>2025</v>
      </c>
    </row>
    <row r="22" spans="1:14">
      <c r="A22" s="81">
        <v>21</v>
      </c>
      <c r="B22" s="99" t="s">
        <v>33</v>
      </c>
      <c r="C22" s="99" t="s">
        <v>34</v>
      </c>
      <c r="D22" s="102" t="s">
        <v>61</v>
      </c>
      <c r="E22" s="102" t="s">
        <v>139</v>
      </c>
      <c r="F22" s="81"/>
      <c r="G22" s="102" t="s">
        <v>240</v>
      </c>
      <c r="H22" s="102" t="s">
        <v>139</v>
      </c>
      <c r="I22" s="83">
        <f>416000/1420</f>
        <v>292.95774647887322</v>
      </c>
      <c r="J22" s="81" t="s">
        <v>346</v>
      </c>
      <c r="K22" s="84">
        <v>45917</v>
      </c>
      <c r="L22" s="81">
        <v>2025403439</v>
      </c>
      <c r="M22" s="99" t="s">
        <v>226</v>
      </c>
      <c r="N22" s="81">
        <v>2025</v>
      </c>
    </row>
    <row r="23" spans="1:14">
      <c r="A23" s="81">
        <v>22</v>
      </c>
      <c r="B23" s="102" t="s">
        <v>59</v>
      </c>
      <c r="C23" s="102" t="s">
        <v>60</v>
      </c>
      <c r="D23" s="81" t="s">
        <v>61</v>
      </c>
      <c r="E23" s="102" t="s">
        <v>239</v>
      </c>
      <c r="F23" s="81"/>
      <c r="G23" s="102" t="s">
        <v>21</v>
      </c>
      <c r="H23" s="102" t="s">
        <v>239</v>
      </c>
      <c r="I23" s="105">
        <f>983419</f>
        <v>983419</v>
      </c>
      <c r="J23" s="81" t="s">
        <v>14</v>
      </c>
      <c r="K23" s="84" t="s">
        <v>14</v>
      </c>
      <c r="L23" s="81" t="s">
        <v>14</v>
      </c>
      <c r="M23" s="109" t="s">
        <v>225</v>
      </c>
      <c r="N23" s="81">
        <v>2025</v>
      </c>
    </row>
    <row r="24" spans="1:14">
      <c r="A24" s="81">
        <v>23</v>
      </c>
      <c r="B24" s="102" t="s">
        <v>59</v>
      </c>
      <c r="C24" s="102" t="s">
        <v>60</v>
      </c>
      <c r="D24" s="81" t="s">
        <v>61</v>
      </c>
      <c r="E24" s="102" t="s">
        <v>239</v>
      </c>
      <c r="F24" s="81"/>
      <c r="G24" s="102" t="s">
        <v>21</v>
      </c>
      <c r="H24" s="102" t="s">
        <v>239</v>
      </c>
      <c r="I24" s="105">
        <v>97275</v>
      </c>
      <c r="J24" s="81" t="s">
        <v>14</v>
      </c>
      <c r="K24" s="84" t="s">
        <v>14</v>
      </c>
      <c r="L24" s="81" t="s">
        <v>14</v>
      </c>
      <c r="M24" s="109" t="s">
        <v>226</v>
      </c>
      <c r="N24" s="81">
        <v>2025</v>
      </c>
    </row>
    <row r="25" spans="1:14">
      <c r="A25" s="81">
        <v>24</v>
      </c>
      <c r="B25" s="81" t="s">
        <v>17</v>
      </c>
      <c r="C25" s="84" t="s">
        <v>26</v>
      </c>
      <c r="D25" s="81" t="s">
        <v>61</v>
      </c>
      <c r="E25" s="81" t="s">
        <v>63</v>
      </c>
      <c r="F25" s="81"/>
      <c r="G25" s="81" t="s">
        <v>64</v>
      </c>
      <c r="H25" s="104" t="s">
        <v>66</v>
      </c>
      <c r="I25" s="105">
        <v>915.49295774647885</v>
      </c>
      <c r="J25" s="84" t="s">
        <v>68</v>
      </c>
      <c r="K25" s="84">
        <v>45724</v>
      </c>
      <c r="L25" s="106" t="s">
        <v>14</v>
      </c>
      <c r="M25" s="107" t="s">
        <v>226</v>
      </c>
      <c r="N25" s="81">
        <v>2025</v>
      </c>
    </row>
    <row r="26" spans="1:14">
      <c r="A26" s="81">
        <v>25</v>
      </c>
      <c r="B26" s="81" t="s">
        <v>17</v>
      </c>
      <c r="C26" s="84" t="s">
        <v>26</v>
      </c>
      <c r="D26" s="81" t="s">
        <v>61</v>
      </c>
      <c r="E26" s="81" t="s">
        <v>63</v>
      </c>
      <c r="F26" s="81"/>
      <c r="G26" s="81" t="s">
        <v>64</v>
      </c>
      <c r="H26" s="104" t="s">
        <v>66</v>
      </c>
      <c r="I26" s="105">
        <v>915.49295774647885</v>
      </c>
      <c r="J26" s="81" t="s">
        <v>68</v>
      </c>
      <c r="K26" s="84">
        <v>45664</v>
      </c>
      <c r="L26" s="106" t="s">
        <v>14</v>
      </c>
      <c r="M26" s="107" t="s">
        <v>225</v>
      </c>
      <c r="N26" s="81">
        <v>2025</v>
      </c>
    </row>
    <row r="27" spans="1:14">
      <c r="A27" s="81">
        <v>26</v>
      </c>
      <c r="B27" s="81" t="s">
        <v>43</v>
      </c>
      <c r="C27" s="84" t="s">
        <v>52</v>
      </c>
      <c r="D27" s="81" t="s">
        <v>61</v>
      </c>
      <c r="E27" s="81" t="s">
        <v>63</v>
      </c>
      <c r="F27" s="81"/>
      <c r="G27" s="81" t="s">
        <v>64</v>
      </c>
      <c r="H27" s="108" t="s">
        <v>65</v>
      </c>
      <c r="I27" s="105">
        <v>1760.5633802816901</v>
      </c>
      <c r="J27" s="81" t="s">
        <v>68</v>
      </c>
      <c r="K27" s="84">
        <v>45887</v>
      </c>
      <c r="L27" s="106" t="s">
        <v>14</v>
      </c>
      <c r="M27" s="107" t="s">
        <v>226</v>
      </c>
      <c r="N27" s="81">
        <v>2025</v>
      </c>
    </row>
    <row r="28" spans="1:14">
      <c r="A28" s="81">
        <v>27</v>
      </c>
      <c r="B28" s="81" t="s">
        <v>43</v>
      </c>
      <c r="C28" s="84" t="s">
        <v>52</v>
      </c>
      <c r="D28" s="81" t="s">
        <v>61</v>
      </c>
      <c r="E28" s="81" t="s">
        <v>63</v>
      </c>
      <c r="F28" s="81"/>
      <c r="G28" s="81" t="s">
        <v>64</v>
      </c>
      <c r="H28" s="104" t="s">
        <v>65</v>
      </c>
      <c r="I28" s="105">
        <v>1760.5633802816901</v>
      </c>
      <c r="J28" s="81" t="s">
        <v>68</v>
      </c>
      <c r="K28" s="84">
        <v>45854</v>
      </c>
      <c r="L28" s="106" t="s">
        <v>14</v>
      </c>
      <c r="M28" s="107" t="s">
        <v>225</v>
      </c>
      <c r="N28" s="81">
        <v>2025</v>
      </c>
    </row>
    <row r="29" spans="1:14">
      <c r="A29" s="81">
        <v>28</v>
      </c>
      <c r="B29" s="109" t="s">
        <v>29</v>
      </c>
      <c r="C29" s="109" t="s">
        <v>237</v>
      </c>
      <c r="D29" s="81" t="s">
        <v>61</v>
      </c>
      <c r="E29" s="81" t="s">
        <v>63</v>
      </c>
      <c r="F29" s="81"/>
      <c r="G29" s="81" t="s">
        <v>64</v>
      </c>
      <c r="H29" s="104" t="s">
        <v>65</v>
      </c>
      <c r="I29" s="105">
        <v>704.22535211267609</v>
      </c>
      <c r="J29" s="81" t="s">
        <v>68</v>
      </c>
      <c r="K29" s="84">
        <v>45852</v>
      </c>
      <c r="L29" s="106" t="s">
        <v>14</v>
      </c>
      <c r="M29" s="107" t="s">
        <v>225</v>
      </c>
      <c r="N29" s="81">
        <v>2025</v>
      </c>
    </row>
    <row r="30" spans="1:14">
      <c r="A30" s="81">
        <v>29</v>
      </c>
      <c r="B30" s="109" t="s">
        <v>29</v>
      </c>
      <c r="C30" s="109" t="s">
        <v>237</v>
      </c>
      <c r="D30" s="81" t="s">
        <v>61</v>
      </c>
      <c r="E30" s="81" t="s">
        <v>63</v>
      </c>
      <c r="F30" s="81"/>
      <c r="G30" s="81" t="s">
        <v>64</v>
      </c>
      <c r="H30" s="104" t="s">
        <v>1212</v>
      </c>
      <c r="I30" s="105">
        <v>704.22535211267609</v>
      </c>
      <c r="J30" s="81" t="s">
        <v>68</v>
      </c>
      <c r="K30" s="84">
        <v>45664</v>
      </c>
      <c r="L30" s="106" t="s">
        <v>14</v>
      </c>
      <c r="M30" s="107" t="s">
        <v>225</v>
      </c>
      <c r="N30" s="81">
        <v>2025</v>
      </c>
    </row>
    <row r="31" spans="1:14">
      <c r="A31" s="81">
        <v>30</v>
      </c>
      <c r="B31" s="109" t="s">
        <v>29</v>
      </c>
      <c r="C31" s="109" t="s">
        <v>237</v>
      </c>
      <c r="D31" s="81" t="s">
        <v>61</v>
      </c>
      <c r="E31" s="81" t="s">
        <v>63</v>
      </c>
      <c r="F31" s="81"/>
      <c r="G31" s="81" t="s">
        <v>64</v>
      </c>
      <c r="H31" s="104" t="s">
        <v>1211</v>
      </c>
      <c r="I31" s="105">
        <v>359.15492957746477</v>
      </c>
      <c r="J31" s="81" t="s">
        <v>68</v>
      </c>
      <c r="K31" s="84">
        <v>45876</v>
      </c>
      <c r="L31" s="106" t="s">
        <v>14</v>
      </c>
      <c r="M31" s="107" t="s">
        <v>225</v>
      </c>
      <c r="N31" s="81">
        <v>2025</v>
      </c>
    </row>
    <row r="32" spans="1:14">
      <c r="A32" s="81">
        <v>31</v>
      </c>
      <c r="B32" s="81" t="s">
        <v>59</v>
      </c>
      <c r="C32" s="84" t="s">
        <v>60</v>
      </c>
      <c r="D32" s="81" t="s">
        <v>61</v>
      </c>
      <c r="E32" s="81" t="s">
        <v>63</v>
      </c>
      <c r="F32" s="81"/>
      <c r="G32" s="81" t="s">
        <v>64</v>
      </c>
      <c r="H32" s="104" t="s">
        <v>65</v>
      </c>
      <c r="I32" s="105">
        <v>5783.8028169014087</v>
      </c>
      <c r="J32" s="81" t="s">
        <v>68</v>
      </c>
      <c r="K32" s="84">
        <v>45861</v>
      </c>
      <c r="L32" s="106" t="s">
        <v>14</v>
      </c>
      <c r="M32" s="107" t="s">
        <v>225</v>
      </c>
      <c r="N32" s="81">
        <v>2025</v>
      </c>
    </row>
    <row r="33" spans="1:14">
      <c r="A33" s="81">
        <v>32</v>
      </c>
      <c r="B33" s="81" t="s">
        <v>59</v>
      </c>
      <c r="C33" s="84" t="s">
        <v>60</v>
      </c>
      <c r="D33" s="81" t="s">
        <v>61</v>
      </c>
      <c r="E33" s="81" t="s">
        <v>63</v>
      </c>
      <c r="F33" s="81"/>
      <c r="G33" s="81" t="s">
        <v>64</v>
      </c>
      <c r="H33" s="104" t="s">
        <v>1210</v>
      </c>
      <c r="I33" s="105">
        <v>3554.9295774647885</v>
      </c>
      <c r="J33" s="81" t="s">
        <v>68</v>
      </c>
      <c r="K33" s="84">
        <v>45724</v>
      </c>
      <c r="L33" s="106" t="s">
        <v>14</v>
      </c>
      <c r="M33" s="107" t="s">
        <v>226</v>
      </c>
      <c r="N33" s="81">
        <v>2025</v>
      </c>
    </row>
    <row r="34" spans="1:14">
      <c r="A34" s="81">
        <v>33</v>
      </c>
      <c r="B34" s="81" t="s">
        <v>59</v>
      </c>
      <c r="C34" s="84" t="s">
        <v>60</v>
      </c>
      <c r="D34" s="81" t="s">
        <v>61</v>
      </c>
      <c r="E34" s="81" t="s">
        <v>63</v>
      </c>
      <c r="F34" s="81"/>
      <c r="G34" s="81" t="s">
        <v>64</v>
      </c>
      <c r="H34" s="104" t="s">
        <v>1207</v>
      </c>
      <c r="I34" s="105">
        <v>2785.5633802816901</v>
      </c>
      <c r="J34" s="81" t="s">
        <v>68</v>
      </c>
      <c r="K34" s="84">
        <v>45866</v>
      </c>
      <c r="L34" s="106" t="s">
        <v>14</v>
      </c>
      <c r="M34" s="107" t="s">
        <v>225</v>
      </c>
      <c r="N34" s="81">
        <v>2025</v>
      </c>
    </row>
    <row r="35" spans="1:14">
      <c r="A35" s="81">
        <v>34</v>
      </c>
      <c r="B35" s="81" t="s">
        <v>59</v>
      </c>
      <c r="C35" s="84" t="s">
        <v>60</v>
      </c>
      <c r="D35" s="81" t="s">
        <v>61</v>
      </c>
      <c r="E35" s="81" t="s">
        <v>63</v>
      </c>
      <c r="F35" s="81"/>
      <c r="G35" s="81" t="s">
        <v>64</v>
      </c>
      <c r="H35" s="104" t="s">
        <v>1205</v>
      </c>
      <c r="I35" s="105">
        <v>1760.5633802816901</v>
      </c>
      <c r="J35" s="104" t="s">
        <v>68</v>
      </c>
      <c r="K35" s="84">
        <v>45900</v>
      </c>
      <c r="L35" s="106" t="s">
        <v>14</v>
      </c>
      <c r="M35" s="107" t="s">
        <v>226</v>
      </c>
      <c r="N35" s="81">
        <v>2025</v>
      </c>
    </row>
    <row r="36" spans="1:14">
      <c r="A36" s="81">
        <v>35</v>
      </c>
      <c r="B36" s="81" t="s">
        <v>59</v>
      </c>
      <c r="C36" s="84" t="s">
        <v>60</v>
      </c>
      <c r="D36" s="81" t="s">
        <v>61</v>
      </c>
      <c r="E36" s="81" t="s">
        <v>63</v>
      </c>
      <c r="F36" s="81"/>
      <c r="G36" s="81" t="s">
        <v>64</v>
      </c>
      <c r="H36" s="104" t="s">
        <v>1206</v>
      </c>
      <c r="I36" s="105">
        <v>1584.5070422535211</v>
      </c>
      <c r="J36" s="81" t="s">
        <v>68</v>
      </c>
      <c r="K36" s="84">
        <v>45784</v>
      </c>
      <c r="L36" s="106" t="s">
        <v>14</v>
      </c>
      <c r="M36" s="107" t="s">
        <v>225</v>
      </c>
      <c r="N36" s="81">
        <v>2025</v>
      </c>
    </row>
    <row r="37" spans="1:14">
      <c r="A37" s="81">
        <v>36</v>
      </c>
      <c r="B37" s="81" t="s">
        <v>59</v>
      </c>
      <c r="C37" s="84" t="s">
        <v>60</v>
      </c>
      <c r="D37" s="81" t="s">
        <v>61</v>
      </c>
      <c r="E37" s="81" t="s">
        <v>63</v>
      </c>
      <c r="F37" s="81"/>
      <c r="G37" s="81" t="s">
        <v>64</v>
      </c>
      <c r="H37" s="104" t="s">
        <v>65</v>
      </c>
      <c r="I37" s="105">
        <v>925.35211267605632</v>
      </c>
      <c r="J37" s="81" t="s">
        <v>68</v>
      </c>
      <c r="K37" s="84">
        <v>45899</v>
      </c>
      <c r="L37" s="106" t="s">
        <v>14</v>
      </c>
      <c r="M37" s="107" t="s">
        <v>226</v>
      </c>
      <c r="N37" s="81">
        <v>2025</v>
      </c>
    </row>
    <row r="38" spans="1:14">
      <c r="A38" s="81">
        <v>37</v>
      </c>
      <c r="B38" s="81" t="s">
        <v>59</v>
      </c>
      <c r="C38" s="84" t="s">
        <v>60</v>
      </c>
      <c r="D38" s="81" t="s">
        <v>61</v>
      </c>
      <c r="E38" s="81" t="s">
        <v>63</v>
      </c>
      <c r="F38" s="81"/>
      <c r="G38" s="81" t="s">
        <v>64</v>
      </c>
      <c r="H38" s="104" t="s">
        <v>1209</v>
      </c>
      <c r="I38" s="105">
        <v>478.87323943661971</v>
      </c>
      <c r="J38" s="81" t="s">
        <v>68</v>
      </c>
      <c r="K38" s="84">
        <v>45785</v>
      </c>
      <c r="L38" s="106" t="s">
        <v>14</v>
      </c>
      <c r="M38" s="107" t="s">
        <v>226</v>
      </c>
      <c r="N38" s="81">
        <v>2025</v>
      </c>
    </row>
    <row r="39" spans="1:14">
      <c r="A39" s="81">
        <v>38</v>
      </c>
      <c r="B39" s="81" t="s">
        <v>59</v>
      </c>
      <c r="C39" s="84" t="s">
        <v>60</v>
      </c>
      <c r="D39" s="81" t="s">
        <v>61</v>
      </c>
      <c r="E39" s="81" t="s">
        <v>63</v>
      </c>
      <c r="F39" s="81"/>
      <c r="G39" s="81" t="s">
        <v>64</v>
      </c>
      <c r="H39" s="104" t="s">
        <v>288</v>
      </c>
      <c r="I39" s="105">
        <v>352.11267605633805</v>
      </c>
      <c r="J39" s="81" t="s">
        <v>68</v>
      </c>
      <c r="K39" s="84">
        <v>45858</v>
      </c>
      <c r="L39" s="106" t="s">
        <v>14</v>
      </c>
      <c r="M39" s="107" t="s">
        <v>225</v>
      </c>
      <c r="N39" s="81">
        <v>2025</v>
      </c>
    </row>
    <row r="40" spans="1:14">
      <c r="A40" s="81">
        <v>39</v>
      </c>
      <c r="B40" s="81" t="s">
        <v>59</v>
      </c>
      <c r="C40" s="84" t="s">
        <v>60</v>
      </c>
      <c r="D40" s="81" t="s">
        <v>61</v>
      </c>
      <c r="E40" s="81" t="s">
        <v>63</v>
      </c>
      <c r="F40" s="81"/>
      <c r="G40" s="81" t="s">
        <v>64</v>
      </c>
      <c r="H40" s="104" t="s">
        <v>1208</v>
      </c>
      <c r="I40" s="105">
        <v>352.11267605633805</v>
      </c>
      <c r="J40" s="81" t="s">
        <v>68</v>
      </c>
      <c r="K40" s="84">
        <v>45851</v>
      </c>
      <c r="L40" s="106" t="s">
        <v>14</v>
      </c>
      <c r="M40" s="107" t="s">
        <v>225</v>
      </c>
      <c r="N40" s="81">
        <v>2025</v>
      </c>
    </row>
    <row r="41" spans="1:14">
      <c r="A41" s="81">
        <v>40</v>
      </c>
      <c r="B41" s="81" t="s">
        <v>59</v>
      </c>
      <c r="C41" s="84" t="s">
        <v>60</v>
      </c>
      <c r="D41" s="81" t="s">
        <v>61</v>
      </c>
      <c r="E41" s="81" t="s">
        <v>63</v>
      </c>
      <c r="F41" s="81"/>
      <c r="G41" s="81" t="s">
        <v>64</v>
      </c>
      <c r="H41" s="104" t="s">
        <v>1205</v>
      </c>
      <c r="I41" s="105">
        <v>250</v>
      </c>
      <c r="J41" s="81" t="s">
        <v>68</v>
      </c>
      <c r="K41" s="84">
        <v>45837</v>
      </c>
      <c r="L41" s="106" t="s">
        <v>14</v>
      </c>
      <c r="M41" s="107" t="s">
        <v>225</v>
      </c>
      <c r="N41" s="81">
        <v>2025</v>
      </c>
    </row>
    <row r="42" spans="1:14">
      <c r="A42" s="81">
        <v>41</v>
      </c>
      <c r="B42" s="81" t="s">
        <v>53</v>
      </c>
      <c r="C42" s="129" t="s">
        <v>62</v>
      </c>
      <c r="D42" s="81" t="s">
        <v>61</v>
      </c>
      <c r="E42" s="81" t="s">
        <v>63</v>
      </c>
      <c r="F42" s="81"/>
      <c r="G42" s="81" t="s">
        <v>64</v>
      </c>
      <c r="H42" s="104" t="s">
        <v>65</v>
      </c>
      <c r="I42" s="105">
        <v>985.91549295774644</v>
      </c>
      <c r="J42" s="81" t="s">
        <v>68</v>
      </c>
      <c r="K42" s="84">
        <v>45937</v>
      </c>
      <c r="L42" s="106" t="s">
        <v>14</v>
      </c>
      <c r="M42" s="107" t="s">
        <v>225</v>
      </c>
      <c r="N42" s="81">
        <v>2025</v>
      </c>
    </row>
    <row r="43" spans="1:14">
      <c r="A43" s="81">
        <v>42</v>
      </c>
      <c r="B43" s="81" t="s">
        <v>53</v>
      </c>
      <c r="C43" s="129" t="s">
        <v>62</v>
      </c>
      <c r="D43" s="81" t="s">
        <v>61</v>
      </c>
      <c r="E43" s="81" t="s">
        <v>63</v>
      </c>
      <c r="F43" s="81"/>
      <c r="G43" s="81" t="s">
        <v>64</v>
      </c>
      <c r="H43" s="104" t="s">
        <v>69</v>
      </c>
      <c r="I43" s="105">
        <v>352.11267605633805</v>
      </c>
      <c r="J43" s="81" t="s">
        <v>68</v>
      </c>
      <c r="K43" s="84">
        <v>45724</v>
      </c>
      <c r="L43" s="106" t="s">
        <v>14</v>
      </c>
      <c r="M43" s="107" t="s">
        <v>226</v>
      </c>
      <c r="N43" s="81">
        <v>2025</v>
      </c>
    </row>
    <row r="44" spans="1:14">
      <c r="A44" s="81">
        <v>43</v>
      </c>
      <c r="B44" s="81" t="s">
        <v>53</v>
      </c>
      <c r="C44" s="129" t="s">
        <v>62</v>
      </c>
      <c r="D44" s="81" t="s">
        <v>61</v>
      </c>
      <c r="E44" s="81" t="s">
        <v>63</v>
      </c>
      <c r="F44" s="81"/>
      <c r="G44" s="81" t="s">
        <v>64</v>
      </c>
      <c r="H44" s="104" t="s">
        <v>69</v>
      </c>
      <c r="I44" s="105">
        <v>352.11267605633805</v>
      </c>
      <c r="J44" s="81" t="s">
        <v>68</v>
      </c>
      <c r="K44" s="84">
        <v>45664</v>
      </c>
      <c r="L44" s="106" t="s">
        <v>14</v>
      </c>
      <c r="M44" s="107" t="s">
        <v>225</v>
      </c>
      <c r="N44" s="81">
        <v>2025</v>
      </c>
    </row>
    <row r="45" spans="1:14">
      <c r="A45" s="81">
        <v>44</v>
      </c>
      <c r="B45" s="81" t="s">
        <v>53</v>
      </c>
      <c r="C45" s="129" t="s">
        <v>62</v>
      </c>
      <c r="D45" s="81" t="s">
        <v>61</v>
      </c>
      <c r="E45" s="81" t="s">
        <v>63</v>
      </c>
      <c r="F45" s="81"/>
      <c r="G45" s="81" t="s">
        <v>64</v>
      </c>
      <c r="H45" s="104" t="s">
        <v>65</v>
      </c>
      <c r="I45" s="105">
        <v>352.11267605633805</v>
      </c>
      <c r="J45" s="81" t="s">
        <v>68</v>
      </c>
      <c r="K45" s="84">
        <v>45853</v>
      </c>
      <c r="L45" s="106" t="s">
        <v>14</v>
      </c>
      <c r="M45" s="107" t="s">
        <v>225</v>
      </c>
      <c r="N45" s="81">
        <v>2025</v>
      </c>
    </row>
    <row r="46" spans="1:14">
      <c r="A46" s="81">
        <v>45</v>
      </c>
      <c r="B46" s="81" t="s">
        <v>53</v>
      </c>
      <c r="C46" s="129" t="s">
        <v>62</v>
      </c>
      <c r="D46" s="81" t="s">
        <v>61</v>
      </c>
      <c r="E46" s="81" t="s">
        <v>63</v>
      </c>
      <c r="F46" s="81"/>
      <c r="G46" s="81" t="s">
        <v>64</v>
      </c>
      <c r="H46" s="81" t="s">
        <v>65</v>
      </c>
      <c r="I46" s="105">
        <v>183.09859154929578</v>
      </c>
      <c r="J46" s="81" t="s">
        <v>68</v>
      </c>
      <c r="K46" s="84">
        <v>45890</v>
      </c>
      <c r="L46" s="106" t="s">
        <v>14</v>
      </c>
      <c r="M46" s="107" t="s">
        <v>226</v>
      </c>
      <c r="N46" s="81">
        <v>2025</v>
      </c>
    </row>
    <row r="47" spans="1:14">
      <c r="A47" s="81">
        <v>46</v>
      </c>
      <c r="B47" s="81" t="s">
        <v>33</v>
      </c>
      <c r="C47" s="81" t="s">
        <v>34</v>
      </c>
      <c r="D47" s="81" t="s">
        <v>61</v>
      </c>
      <c r="E47" s="81" t="s">
        <v>63</v>
      </c>
      <c r="F47" s="81"/>
      <c r="G47" s="81" t="s">
        <v>64</v>
      </c>
      <c r="H47" s="81" t="s">
        <v>65</v>
      </c>
      <c r="I47" s="105">
        <v>8098.5915492957747</v>
      </c>
      <c r="J47" s="81" t="s">
        <v>68</v>
      </c>
      <c r="K47" s="84">
        <v>45896</v>
      </c>
      <c r="L47" s="106" t="s">
        <v>14</v>
      </c>
      <c r="M47" s="107" t="s">
        <v>226</v>
      </c>
      <c r="N47" s="81">
        <v>2025</v>
      </c>
    </row>
    <row r="48" spans="1:14">
      <c r="A48" s="81">
        <v>47</v>
      </c>
      <c r="B48" s="81" t="s">
        <v>33</v>
      </c>
      <c r="C48" s="81" t="s">
        <v>34</v>
      </c>
      <c r="D48" s="81" t="s">
        <v>61</v>
      </c>
      <c r="E48" s="81" t="s">
        <v>63</v>
      </c>
      <c r="F48" s="81"/>
      <c r="G48" s="81" t="s">
        <v>64</v>
      </c>
      <c r="H48" s="81" t="s">
        <v>65</v>
      </c>
      <c r="I48" s="105">
        <v>2007.0422535211267</v>
      </c>
      <c r="J48" s="81" t="s">
        <v>68</v>
      </c>
      <c r="K48" s="84">
        <v>45889</v>
      </c>
      <c r="L48" s="106" t="s">
        <v>14</v>
      </c>
      <c r="M48" s="107" t="s">
        <v>226</v>
      </c>
      <c r="N48" s="81">
        <v>2025</v>
      </c>
    </row>
    <row r="49" spans="1:14">
      <c r="A49" s="81">
        <v>48</v>
      </c>
      <c r="B49" s="81" t="s">
        <v>33</v>
      </c>
      <c r="C49" s="81" t="s">
        <v>34</v>
      </c>
      <c r="D49" s="81" t="s">
        <v>61</v>
      </c>
      <c r="E49" s="81" t="s">
        <v>63</v>
      </c>
      <c r="F49" s="81"/>
      <c r="G49" s="81" t="s">
        <v>64</v>
      </c>
      <c r="H49" s="81" t="s">
        <v>1214</v>
      </c>
      <c r="I49" s="105">
        <v>1179.5774647887324</v>
      </c>
      <c r="J49" s="81" t="s">
        <v>68</v>
      </c>
      <c r="K49" s="84">
        <v>45887</v>
      </c>
      <c r="L49" s="106" t="s">
        <v>14</v>
      </c>
      <c r="M49" s="107" t="s">
        <v>226</v>
      </c>
      <c r="N49" s="81">
        <v>2025</v>
      </c>
    </row>
    <row r="50" spans="1:14">
      <c r="A50" s="81">
        <v>49</v>
      </c>
      <c r="B50" s="81" t="s">
        <v>33</v>
      </c>
      <c r="C50" s="84" t="s">
        <v>34</v>
      </c>
      <c r="D50" s="81" t="s">
        <v>61</v>
      </c>
      <c r="E50" s="81" t="s">
        <v>63</v>
      </c>
      <c r="F50" s="81"/>
      <c r="G50" s="81" t="s">
        <v>64</v>
      </c>
      <c r="H50" s="104" t="s">
        <v>65</v>
      </c>
      <c r="I50" s="105">
        <v>1056.338028169014</v>
      </c>
      <c r="J50" s="81" t="s">
        <v>68</v>
      </c>
      <c r="K50" s="84">
        <v>45785</v>
      </c>
      <c r="L50" s="106" t="s">
        <v>14</v>
      </c>
      <c r="M50" s="107" t="s">
        <v>226</v>
      </c>
      <c r="N50" s="81">
        <v>2025</v>
      </c>
    </row>
    <row r="51" spans="1:14">
      <c r="A51" s="81">
        <v>50</v>
      </c>
      <c r="B51" s="81" t="s">
        <v>33</v>
      </c>
      <c r="C51" s="84" t="s">
        <v>34</v>
      </c>
      <c r="D51" s="81" t="s">
        <v>61</v>
      </c>
      <c r="E51" s="81" t="s">
        <v>63</v>
      </c>
      <c r="F51" s="81"/>
      <c r="G51" s="81" t="s">
        <v>64</v>
      </c>
      <c r="H51" s="104" t="s">
        <v>65</v>
      </c>
      <c r="I51" s="105">
        <v>778.16901408450701</v>
      </c>
      <c r="J51" s="81" t="s">
        <v>68</v>
      </c>
      <c r="K51" s="84">
        <v>45855</v>
      </c>
      <c r="L51" s="106" t="s">
        <v>14</v>
      </c>
      <c r="M51" s="107" t="s">
        <v>225</v>
      </c>
      <c r="N51" s="81">
        <v>2025</v>
      </c>
    </row>
    <row r="52" spans="1:14">
      <c r="A52" s="81">
        <v>51</v>
      </c>
      <c r="B52" s="81" t="s">
        <v>33</v>
      </c>
      <c r="C52" s="84" t="s">
        <v>34</v>
      </c>
      <c r="D52" s="81" t="s">
        <v>61</v>
      </c>
      <c r="E52" s="81" t="s">
        <v>63</v>
      </c>
      <c r="F52" s="81"/>
      <c r="G52" s="81" t="s">
        <v>64</v>
      </c>
      <c r="H52" s="104" t="s">
        <v>67</v>
      </c>
      <c r="I52" s="105">
        <v>528.16901408450701</v>
      </c>
      <c r="J52" s="81" t="s">
        <v>68</v>
      </c>
      <c r="K52" s="84">
        <v>45724</v>
      </c>
      <c r="L52" s="106" t="s">
        <v>14</v>
      </c>
      <c r="M52" s="107" t="s">
        <v>226</v>
      </c>
      <c r="N52" s="81">
        <v>2025</v>
      </c>
    </row>
    <row r="53" spans="1:14">
      <c r="A53" s="81">
        <v>52</v>
      </c>
      <c r="B53" s="81" t="s">
        <v>33</v>
      </c>
      <c r="C53" s="81" t="s">
        <v>34</v>
      </c>
      <c r="D53" s="81" t="s">
        <v>61</v>
      </c>
      <c r="E53" s="81" t="s">
        <v>63</v>
      </c>
      <c r="F53" s="81"/>
      <c r="G53" s="81" t="s">
        <v>64</v>
      </c>
      <c r="H53" s="81" t="s">
        <v>67</v>
      </c>
      <c r="I53" s="105">
        <v>528.16901408450701</v>
      </c>
      <c r="J53" s="81" t="s">
        <v>68</v>
      </c>
      <c r="K53" s="84">
        <v>45664</v>
      </c>
      <c r="L53" s="106" t="s">
        <v>14</v>
      </c>
      <c r="M53" s="107" t="s">
        <v>225</v>
      </c>
      <c r="N53" s="81">
        <v>2025</v>
      </c>
    </row>
    <row r="54" spans="1:14">
      <c r="A54" s="81">
        <v>53</v>
      </c>
      <c r="B54" s="81" t="s">
        <v>33</v>
      </c>
      <c r="C54" s="84" t="s">
        <v>34</v>
      </c>
      <c r="D54" s="81" t="s">
        <v>61</v>
      </c>
      <c r="E54" s="81" t="s">
        <v>63</v>
      </c>
      <c r="F54" s="81"/>
      <c r="G54" s="81" t="s">
        <v>64</v>
      </c>
      <c r="H54" s="104" t="s">
        <v>67</v>
      </c>
      <c r="I54" s="105">
        <v>352.11267605633805</v>
      </c>
      <c r="J54" s="81" t="s">
        <v>68</v>
      </c>
      <c r="K54" s="84">
        <v>45724</v>
      </c>
      <c r="L54" s="106" t="s">
        <v>14</v>
      </c>
      <c r="M54" s="107" t="s">
        <v>226</v>
      </c>
      <c r="N54" s="81">
        <v>2025</v>
      </c>
    </row>
    <row r="55" spans="1:14">
      <c r="A55" s="81">
        <v>54</v>
      </c>
      <c r="B55" s="81" t="s">
        <v>33</v>
      </c>
      <c r="C55" s="81" t="s">
        <v>34</v>
      </c>
      <c r="D55" s="81" t="s">
        <v>61</v>
      </c>
      <c r="E55" s="81" t="s">
        <v>63</v>
      </c>
      <c r="F55" s="81"/>
      <c r="G55" s="81" t="s">
        <v>64</v>
      </c>
      <c r="H55" s="81" t="s">
        <v>1213</v>
      </c>
      <c r="I55" s="105">
        <v>211.26760563380282</v>
      </c>
      <c r="J55" s="81" t="s">
        <v>68</v>
      </c>
      <c r="K55" s="84">
        <v>45853</v>
      </c>
      <c r="L55" s="106" t="s">
        <v>14</v>
      </c>
      <c r="M55" s="107" t="s">
        <v>225</v>
      </c>
      <c r="N55" s="81">
        <v>2025</v>
      </c>
    </row>
    <row r="56" spans="1:14">
      <c r="A56" s="81">
        <v>55</v>
      </c>
      <c r="B56" s="81" t="s">
        <v>17</v>
      </c>
      <c r="C56" s="81" t="s">
        <v>26</v>
      </c>
      <c r="D56" s="81" t="s">
        <v>61</v>
      </c>
      <c r="E56" s="81" t="s">
        <v>105</v>
      </c>
      <c r="F56" s="81"/>
      <c r="G56" s="81" t="s">
        <v>106</v>
      </c>
      <c r="H56" s="81" t="s">
        <v>107</v>
      </c>
      <c r="I56" s="83">
        <v>1185.2112676056338</v>
      </c>
      <c r="J56" s="81" t="s">
        <v>356</v>
      </c>
      <c r="K56" s="84">
        <v>45839</v>
      </c>
      <c r="L56" s="81" t="s">
        <v>14</v>
      </c>
      <c r="M56" s="81" t="s">
        <v>225</v>
      </c>
      <c r="N56" s="81">
        <v>2025</v>
      </c>
    </row>
    <row r="57" spans="1:14">
      <c r="A57" s="81">
        <v>56</v>
      </c>
      <c r="B57" s="81" t="s">
        <v>17</v>
      </c>
      <c r="C57" s="81" t="s">
        <v>26</v>
      </c>
      <c r="D57" s="81" t="s">
        <v>61</v>
      </c>
      <c r="E57" s="81" t="s">
        <v>105</v>
      </c>
      <c r="F57" s="81"/>
      <c r="G57" s="81" t="s">
        <v>106</v>
      </c>
      <c r="H57" s="81" t="s">
        <v>107</v>
      </c>
      <c r="I57" s="83">
        <v>1185.2112676056338</v>
      </c>
      <c r="J57" s="81" t="s">
        <v>361</v>
      </c>
      <c r="K57" s="84">
        <v>45870</v>
      </c>
      <c r="L57" s="81" t="s">
        <v>14</v>
      </c>
      <c r="M57" s="81" t="s">
        <v>226</v>
      </c>
      <c r="N57" s="81">
        <v>2025</v>
      </c>
    </row>
    <row r="58" spans="1:14">
      <c r="A58" s="81">
        <v>57</v>
      </c>
      <c r="B58" s="81" t="s">
        <v>17</v>
      </c>
      <c r="C58" s="84" t="s">
        <v>26</v>
      </c>
      <c r="D58" s="81" t="s">
        <v>61</v>
      </c>
      <c r="E58" s="81" t="s">
        <v>105</v>
      </c>
      <c r="F58" s="81"/>
      <c r="G58" s="81" t="s">
        <v>64</v>
      </c>
      <c r="H58" s="104" t="s">
        <v>1221</v>
      </c>
      <c r="I58" s="105">
        <v>783.80281690140851</v>
      </c>
      <c r="J58" s="81" t="s">
        <v>68</v>
      </c>
      <c r="K58" s="84">
        <v>45856</v>
      </c>
      <c r="L58" s="106" t="s">
        <v>14</v>
      </c>
      <c r="M58" s="107" t="s">
        <v>225</v>
      </c>
      <c r="N58" s="81">
        <v>2025</v>
      </c>
    </row>
    <row r="59" spans="1:14">
      <c r="A59" s="81">
        <v>58</v>
      </c>
      <c r="B59" s="81" t="s">
        <v>17</v>
      </c>
      <c r="C59" s="84" t="s">
        <v>25</v>
      </c>
      <c r="D59" s="81" t="s">
        <v>61</v>
      </c>
      <c r="E59" s="81" t="s">
        <v>105</v>
      </c>
      <c r="F59" s="81"/>
      <c r="G59" s="81" t="s">
        <v>64</v>
      </c>
      <c r="H59" s="104" t="s">
        <v>1220</v>
      </c>
      <c r="I59" s="105">
        <v>1264.0845070422536</v>
      </c>
      <c r="J59" s="81" t="s">
        <v>68</v>
      </c>
      <c r="K59" s="84">
        <v>45784</v>
      </c>
      <c r="L59" s="106" t="s">
        <v>14</v>
      </c>
      <c r="M59" s="107" t="s">
        <v>225</v>
      </c>
      <c r="N59" s="81">
        <v>2025</v>
      </c>
    </row>
    <row r="60" spans="1:14">
      <c r="A60" s="81">
        <v>59</v>
      </c>
      <c r="B60" s="81" t="s">
        <v>17</v>
      </c>
      <c r="C60" s="84" t="s">
        <v>25</v>
      </c>
      <c r="D60" s="81" t="s">
        <v>61</v>
      </c>
      <c r="E60" s="81" t="s">
        <v>105</v>
      </c>
      <c r="F60" s="81"/>
      <c r="G60" s="81" t="s">
        <v>64</v>
      </c>
      <c r="H60" s="104" t="s">
        <v>1222</v>
      </c>
      <c r="I60" s="105">
        <v>242.95774647887325</v>
      </c>
      <c r="J60" s="81" t="s">
        <v>68</v>
      </c>
      <c r="K60" s="84">
        <v>45696</v>
      </c>
      <c r="L60" s="106" t="s">
        <v>14</v>
      </c>
      <c r="M60" s="107" t="s">
        <v>226</v>
      </c>
      <c r="N60" s="81">
        <v>2025</v>
      </c>
    </row>
    <row r="61" spans="1:14">
      <c r="A61" s="81">
        <v>60</v>
      </c>
      <c r="B61" s="81" t="s">
        <v>17</v>
      </c>
      <c r="C61" s="84" t="s">
        <v>25</v>
      </c>
      <c r="D61" s="81" t="s">
        <v>61</v>
      </c>
      <c r="E61" s="81" t="s">
        <v>105</v>
      </c>
      <c r="F61" s="81"/>
      <c r="G61" s="81" t="s">
        <v>64</v>
      </c>
      <c r="H61" s="104" t="s">
        <v>1219</v>
      </c>
      <c r="I61" s="105">
        <v>74.647887323943664</v>
      </c>
      <c r="J61" s="81" t="s">
        <v>68</v>
      </c>
      <c r="K61" s="84">
        <v>45857</v>
      </c>
      <c r="L61" s="106" t="s">
        <v>14</v>
      </c>
      <c r="M61" s="107" t="s">
        <v>225</v>
      </c>
      <c r="N61" s="81">
        <v>2025</v>
      </c>
    </row>
    <row r="62" spans="1:14">
      <c r="A62" s="81">
        <v>61</v>
      </c>
      <c r="B62" s="81" t="s">
        <v>17</v>
      </c>
      <c r="C62" s="84" t="s">
        <v>24</v>
      </c>
      <c r="D62" s="81" t="s">
        <v>61</v>
      </c>
      <c r="E62" s="81" t="s">
        <v>105</v>
      </c>
      <c r="F62" s="81"/>
      <c r="G62" s="81" t="s">
        <v>64</v>
      </c>
      <c r="H62" s="104" t="s">
        <v>1216</v>
      </c>
      <c r="I62" s="105">
        <v>1264.0845070422536</v>
      </c>
      <c r="J62" s="81" t="s">
        <v>68</v>
      </c>
      <c r="K62" s="84">
        <v>45867</v>
      </c>
      <c r="L62" s="106" t="s">
        <v>14</v>
      </c>
      <c r="M62" s="107" t="s">
        <v>225</v>
      </c>
      <c r="N62" s="81">
        <v>2025</v>
      </c>
    </row>
    <row r="63" spans="1:14">
      <c r="A63" s="81">
        <v>62</v>
      </c>
      <c r="B63" s="81" t="s">
        <v>17</v>
      </c>
      <c r="C63" s="84" t="s">
        <v>24</v>
      </c>
      <c r="D63" s="81" t="s">
        <v>61</v>
      </c>
      <c r="E63" s="81" t="s">
        <v>105</v>
      </c>
      <c r="F63" s="81"/>
      <c r="G63" s="81" t="s">
        <v>64</v>
      </c>
      <c r="H63" s="104" t="s">
        <v>1218</v>
      </c>
      <c r="I63" s="105">
        <v>760.21126760563379</v>
      </c>
      <c r="J63" s="81" t="s">
        <v>68</v>
      </c>
      <c r="K63" s="84">
        <v>45937</v>
      </c>
      <c r="L63" s="106" t="s">
        <v>14</v>
      </c>
      <c r="M63" s="107" t="s">
        <v>225</v>
      </c>
      <c r="N63" s="81">
        <v>2025</v>
      </c>
    </row>
    <row r="64" spans="1:14">
      <c r="A64" s="81">
        <v>63</v>
      </c>
      <c r="B64" s="81" t="s">
        <v>17</v>
      </c>
      <c r="C64" s="84" t="s">
        <v>24</v>
      </c>
      <c r="D64" s="81" t="s">
        <v>61</v>
      </c>
      <c r="E64" s="81" t="s">
        <v>105</v>
      </c>
      <c r="F64" s="81"/>
      <c r="G64" s="81" t="s">
        <v>64</v>
      </c>
      <c r="H64" s="104" t="s">
        <v>1217</v>
      </c>
      <c r="I64" s="105">
        <v>674.29577464788736</v>
      </c>
      <c r="J64" s="81" t="s">
        <v>68</v>
      </c>
      <c r="K64" s="84">
        <v>45837</v>
      </c>
      <c r="L64" s="106" t="s">
        <v>14</v>
      </c>
      <c r="M64" s="107" t="s">
        <v>225</v>
      </c>
      <c r="N64" s="81">
        <v>2025</v>
      </c>
    </row>
    <row r="65" spans="1:14">
      <c r="A65" s="81">
        <v>64</v>
      </c>
      <c r="B65" s="81" t="s">
        <v>17</v>
      </c>
      <c r="C65" s="84" t="s">
        <v>24</v>
      </c>
      <c r="D65" s="81" t="s">
        <v>61</v>
      </c>
      <c r="E65" s="81" t="s">
        <v>105</v>
      </c>
      <c r="F65" s="81"/>
      <c r="G65" s="81" t="s">
        <v>64</v>
      </c>
      <c r="H65" s="104" t="s">
        <v>1218</v>
      </c>
      <c r="I65" s="105">
        <v>478.87323943661971</v>
      </c>
      <c r="J65" s="81" t="s">
        <v>68</v>
      </c>
      <c r="K65" s="84">
        <v>45833</v>
      </c>
      <c r="L65" s="106" t="s">
        <v>14</v>
      </c>
      <c r="M65" s="107" t="s">
        <v>225</v>
      </c>
      <c r="N65" s="81">
        <v>2025</v>
      </c>
    </row>
    <row r="66" spans="1:14">
      <c r="A66" s="81">
        <v>65</v>
      </c>
      <c r="B66" s="81" t="s">
        <v>43</v>
      </c>
      <c r="C66" s="84" t="s">
        <v>77</v>
      </c>
      <c r="D66" s="81" t="s">
        <v>61</v>
      </c>
      <c r="E66" s="81" t="s">
        <v>105</v>
      </c>
      <c r="F66" s="81"/>
      <c r="G66" s="81" t="s">
        <v>64</v>
      </c>
      <c r="H66" s="104" t="s">
        <v>84</v>
      </c>
      <c r="I66" s="105">
        <v>74.647887323943664</v>
      </c>
      <c r="J66" s="81" t="s">
        <v>68</v>
      </c>
      <c r="K66" s="84">
        <v>45886</v>
      </c>
      <c r="L66" s="106" t="s">
        <v>14</v>
      </c>
      <c r="M66" s="107" t="s">
        <v>226</v>
      </c>
      <c r="N66" s="81">
        <v>2025</v>
      </c>
    </row>
    <row r="67" spans="1:14">
      <c r="A67" s="81">
        <v>66</v>
      </c>
      <c r="B67" s="81" t="s">
        <v>17</v>
      </c>
      <c r="C67" s="84" t="s">
        <v>23</v>
      </c>
      <c r="D67" s="81" t="s">
        <v>61</v>
      </c>
      <c r="E67" s="81" t="s">
        <v>105</v>
      </c>
      <c r="F67" s="81"/>
      <c r="G67" s="81" t="s">
        <v>64</v>
      </c>
      <c r="H67" s="104" t="s">
        <v>85</v>
      </c>
      <c r="I67" s="105">
        <v>223.94366197183098</v>
      </c>
      <c r="J67" s="81" t="s">
        <v>68</v>
      </c>
      <c r="K67" s="84">
        <v>45890</v>
      </c>
      <c r="L67" s="106" t="s">
        <v>14</v>
      </c>
      <c r="M67" s="107" t="s">
        <v>226</v>
      </c>
      <c r="N67" s="81">
        <v>2025</v>
      </c>
    </row>
    <row r="68" spans="1:14">
      <c r="A68" s="81">
        <v>67</v>
      </c>
      <c r="B68" s="81" t="s">
        <v>17</v>
      </c>
      <c r="C68" s="84" t="s">
        <v>23</v>
      </c>
      <c r="D68" s="81" t="s">
        <v>61</v>
      </c>
      <c r="E68" s="81" t="s">
        <v>105</v>
      </c>
      <c r="F68" s="81"/>
      <c r="G68" s="81" t="s">
        <v>64</v>
      </c>
      <c r="H68" s="104" t="s">
        <v>1215</v>
      </c>
      <c r="I68" s="105">
        <v>37.323943661971832</v>
      </c>
      <c r="J68" s="81" t="s">
        <v>68</v>
      </c>
      <c r="K68" s="84">
        <v>45856</v>
      </c>
      <c r="L68" s="106" t="s">
        <v>14</v>
      </c>
      <c r="M68" s="107" t="s">
        <v>225</v>
      </c>
      <c r="N68" s="81">
        <v>2025</v>
      </c>
    </row>
    <row r="69" spans="1:14">
      <c r="A69" s="81">
        <v>68</v>
      </c>
      <c r="B69" s="81" t="s">
        <v>43</v>
      </c>
      <c r="C69" s="84" t="s">
        <v>52</v>
      </c>
      <c r="D69" s="81" t="s">
        <v>61</v>
      </c>
      <c r="E69" s="81" t="s">
        <v>105</v>
      </c>
      <c r="F69" s="81"/>
      <c r="G69" s="81" t="s">
        <v>64</v>
      </c>
      <c r="H69" s="104" t="s">
        <v>296</v>
      </c>
      <c r="I69" s="105">
        <v>209.1549295774648</v>
      </c>
      <c r="J69" s="81" t="s">
        <v>68</v>
      </c>
      <c r="K69" s="84">
        <v>45886</v>
      </c>
      <c r="L69" s="106" t="s">
        <v>14</v>
      </c>
      <c r="M69" s="107" t="s">
        <v>226</v>
      </c>
      <c r="N69" s="81">
        <v>2025</v>
      </c>
    </row>
    <row r="70" spans="1:14">
      <c r="A70" s="81">
        <v>69</v>
      </c>
      <c r="B70" s="81" t="s">
        <v>43</v>
      </c>
      <c r="C70" s="84" t="s">
        <v>52</v>
      </c>
      <c r="D70" s="81" t="s">
        <v>61</v>
      </c>
      <c r="E70" s="81" t="s">
        <v>105</v>
      </c>
      <c r="F70" s="81"/>
      <c r="G70" s="81" t="s">
        <v>64</v>
      </c>
      <c r="H70" s="104" t="s">
        <v>1241</v>
      </c>
      <c r="I70" s="105">
        <v>111.97183098591549</v>
      </c>
      <c r="J70" s="81" t="s">
        <v>68</v>
      </c>
      <c r="K70" s="84">
        <v>45858</v>
      </c>
      <c r="L70" s="106" t="s">
        <v>14</v>
      </c>
      <c r="M70" s="107" t="s">
        <v>225</v>
      </c>
      <c r="N70" s="81">
        <v>2025</v>
      </c>
    </row>
    <row r="71" spans="1:14">
      <c r="A71" s="81">
        <v>70</v>
      </c>
      <c r="B71" s="81" t="s">
        <v>43</v>
      </c>
      <c r="C71" s="84" t="s">
        <v>51</v>
      </c>
      <c r="D71" s="81" t="s">
        <v>61</v>
      </c>
      <c r="E71" s="81" t="s">
        <v>105</v>
      </c>
      <c r="F71" s="81"/>
      <c r="G71" s="81" t="s">
        <v>64</v>
      </c>
      <c r="H71" s="104" t="s">
        <v>1220</v>
      </c>
      <c r="I71" s="105">
        <v>1264.0845070422536</v>
      </c>
      <c r="J71" s="81" t="s">
        <v>68</v>
      </c>
      <c r="K71" s="84">
        <v>45857</v>
      </c>
      <c r="L71" s="106" t="s">
        <v>14</v>
      </c>
      <c r="M71" s="107" t="s">
        <v>225</v>
      </c>
      <c r="N71" s="81">
        <v>2025</v>
      </c>
    </row>
    <row r="72" spans="1:14">
      <c r="A72" s="81">
        <v>71</v>
      </c>
      <c r="B72" s="81" t="s">
        <v>43</v>
      </c>
      <c r="C72" s="84" t="s">
        <v>51</v>
      </c>
      <c r="D72" s="81" t="s">
        <v>61</v>
      </c>
      <c r="E72" s="81" t="s">
        <v>105</v>
      </c>
      <c r="F72" s="81"/>
      <c r="G72" s="81" t="s">
        <v>64</v>
      </c>
      <c r="H72" s="104" t="s">
        <v>1222</v>
      </c>
      <c r="I72" s="105">
        <v>242.95774647887325</v>
      </c>
      <c r="J72" s="81" t="s">
        <v>68</v>
      </c>
      <c r="K72" s="84">
        <v>45696</v>
      </c>
      <c r="L72" s="106" t="s">
        <v>14</v>
      </c>
      <c r="M72" s="107" t="s">
        <v>226</v>
      </c>
      <c r="N72" s="81">
        <v>2025</v>
      </c>
    </row>
    <row r="73" spans="1:14">
      <c r="A73" s="81">
        <v>72</v>
      </c>
      <c r="B73" s="81" t="s">
        <v>43</v>
      </c>
      <c r="C73" s="84" t="s">
        <v>50</v>
      </c>
      <c r="D73" s="81" t="s">
        <v>61</v>
      </c>
      <c r="E73" s="81" t="s">
        <v>105</v>
      </c>
      <c r="F73" s="81"/>
      <c r="G73" s="81" t="s">
        <v>64</v>
      </c>
      <c r="H73" s="104" t="s">
        <v>1241</v>
      </c>
      <c r="I73" s="105">
        <v>111.97183098591549</v>
      </c>
      <c r="J73" s="81" t="s">
        <v>68</v>
      </c>
      <c r="K73" s="84">
        <v>45853</v>
      </c>
      <c r="L73" s="106" t="s">
        <v>14</v>
      </c>
      <c r="M73" s="107" t="s">
        <v>225</v>
      </c>
      <c r="N73" s="81">
        <v>2025</v>
      </c>
    </row>
    <row r="74" spans="1:14">
      <c r="A74" s="81">
        <v>73</v>
      </c>
      <c r="B74" s="81" t="s">
        <v>43</v>
      </c>
      <c r="C74" s="84" t="s">
        <v>50</v>
      </c>
      <c r="D74" s="81" t="s">
        <v>61</v>
      </c>
      <c r="E74" s="81" t="s">
        <v>105</v>
      </c>
      <c r="F74" s="81"/>
      <c r="G74" s="81" t="s">
        <v>64</v>
      </c>
      <c r="H74" s="104" t="s">
        <v>1246</v>
      </c>
      <c r="I74" s="105">
        <v>74.647887323943664</v>
      </c>
      <c r="J74" s="81" t="s">
        <v>68</v>
      </c>
      <c r="K74" s="84">
        <v>45886</v>
      </c>
      <c r="L74" s="106" t="s">
        <v>14</v>
      </c>
      <c r="M74" s="107" t="s">
        <v>226</v>
      </c>
      <c r="N74" s="81">
        <v>2025</v>
      </c>
    </row>
    <row r="75" spans="1:14">
      <c r="A75" s="81">
        <v>74</v>
      </c>
      <c r="B75" s="81" t="s">
        <v>43</v>
      </c>
      <c r="C75" s="84" t="s">
        <v>50</v>
      </c>
      <c r="D75" s="81" t="s">
        <v>61</v>
      </c>
      <c r="E75" s="81" t="s">
        <v>105</v>
      </c>
      <c r="F75" s="81"/>
      <c r="G75" s="81" t="s">
        <v>64</v>
      </c>
      <c r="H75" s="104" t="s">
        <v>1245</v>
      </c>
      <c r="I75" s="105">
        <v>37.323943661971832</v>
      </c>
      <c r="J75" s="81" t="s">
        <v>68</v>
      </c>
      <c r="K75" s="84">
        <v>45888</v>
      </c>
      <c r="L75" s="106" t="s">
        <v>14</v>
      </c>
      <c r="M75" s="107" t="s">
        <v>226</v>
      </c>
      <c r="N75" s="81">
        <v>2025</v>
      </c>
    </row>
    <row r="76" spans="1:14">
      <c r="A76" s="81">
        <v>75</v>
      </c>
      <c r="B76" s="109" t="s">
        <v>29</v>
      </c>
      <c r="C76" s="109" t="s">
        <v>237</v>
      </c>
      <c r="D76" s="81" t="s">
        <v>61</v>
      </c>
      <c r="E76" s="81" t="s">
        <v>105</v>
      </c>
      <c r="F76" s="81"/>
      <c r="G76" s="81" t="s">
        <v>109</v>
      </c>
      <c r="H76" s="81" t="s">
        <v>110</v>
      </c>
      <c r="I76" s="83">
        <v>204.40911170420952</v>
      </c>
      <c r="J76" s="81">
        <v>55</v>
      </c>
      <c r="K76" s="84">
        <v>45867</v>
      </c>
      <c r="L76" s="99" t="s">
        <v>14</v>
      </c>
      <c r="M76" s="99" t="s">
        <v>226</v>
      </c>
      <c r="N76" s="81">
        <v>2025</v>
      </c>
    </row>
    <row r="77" spans="1:14">
      <c r="A77" s="81">
        <v>76</v>
      </c>
      <c r="B77" s="109" t="s">
        <v>29</v>
      </c>
      <c r="C77" s="109" t="s">
        <v>237</v>
      </c>
      <c r="D77" s="81" t="s">
        <v>61</v>
      </c>
      <c r="E77" s="81" t="s">
        <v>105</v>
      </c>
      <c r="F77" s="81"/>
      <c r="G77" s="81" t="s">
        <v>109</v>
      </c>
      <c r="H77" s="81" t="s">
        <v>110</v>
      </c>
      <c r="I77" s="83">
        <v>151.95845389565363</v>
      </c>
      <c r="J77" s="81" t="s">
        <v>358</v>
      </c>
      <c r="K77" s="84">
        <v>45869</v>
      </c>
      <c r="L77" s="81" t="s">
        <v>14</v>
      </c>
      <c r="M77" s="81" t="s">
        <v>225</v>
      </c>
      <c r="N77" s="81">
        <v>2025</v>
      </c>
    </row>
    <row r="78" spans="1:14">
      <c r="A78" s="81">
        <v>77</v>
      </c>
      <c r="B78" s="109" t="s">
        <v>29</v>
      </c>
      <c r="C78" s="109" t="s">
        <v>237</v>
      </c>
      <c r="D78" s="81" t="s">
        <v>61</v>
      </c>
      <c r="E78" s="81" t="s">
        <v>105</v>
      </c>
      <c r="F78" s="81"/>
      <c r="G78" s="81" t="s">
        <v>64</v>
      </c>
      <c r="H78" s="104" t="s">
        <v>1234</v>
      </c>
      <c r="I78" s="105">
        <v>74.647887323943664</v>
      </c>
      <c r="J78" s="81" t="s">
        <v>68</v>
      </c>
      <c r="K78" s="84">
        <v>45696</v>
      </c>
      <c r="L78" s="106" t="s">
        <v>14</v>
      </c>
      <c r="M78" s="107" t="s">
        <v>226</v>
      </c>
      <c r="N78" s="81">
        <v>2025</v>
      </c>
    </row>
    <row r="79" spans="1:14">
      <c r="A79" s="81">
        <v>78</v>
      </c>
      <c r="B79" s="109" t="s">
        <v>29</v>
      </c>
      <c r="C79" s="109" t="s">
        <v>237</v>
      </c>
      <c r="D79" s="81" t="s">
        <v>61</v>
      </c>
      <c r="E79" s="81" t="s">
        <v>105</v>
      </c>
      <c r="F79" s="81"/>
      <c r="G79" s="81" t="s">
        <v>64</v>
      </c>
      <c r="H79" s="104" t="s">
        <v>1219</v>
      </c>
      <c r="I79" s="105">
        <v>74.647887323943664</v>
      </c>
      <c r="J79" s="81" t="s">
        <v>68</v>
      </c>
      <c r="K79" s="84">
        <v>45866</v>
      </c>
      <c r="L79" s="106" t="s">
        <v>14</v>
      </c>
      <c r="M79" s="107" t="s">
        <v>225</v>
      </c>
      <c r="N79" s="81">
        <v>2025</v>
      </c>
    </row>
    <row r="80" spans="1:14">
      <c r="A80" s="81">
        <v>79</v>
      </c>
      <c r="B80" s="81" t="s">
        <v>43</v>
      </c>
      <c r="C80" s="81" t="s">
        <v>47</v>
      </c>
      <c r="D80" s="81" t="s">
        <v>61</v>
      </c>
      <c r="E80" s="81" t="s">
        <v>105</v>
      </c>
      <c r="F80" s="81"/>
      <c r="G80" s="81" t="s">
        <v>106</v>
      </c>
      <c r="H80" s="81" t="s">
        <v>107</v>
      </c>
      <c r="I80" s="83">
        <v>1185.2112676056338</v>
      </c>
      <c r="J80" s="81" t="s">
        <v>357</v>
      </c>
      <c r="K80" s="84">
        <v>45839</v>
      </c>
      <c r="L80" s="81" t="s">
        <v>14</v>
      </c>
      <c r="M80" s="81" t="s">
        <v>225</v>
      </c>
      <c r="N80" s="81">
        <v>2025</v>
      </c>
    </row>
    <row r="81" spans="1:14">
      <c r="A81" s="81">
        <v>80</v>
      </c>
      <c r="B81" s="81" t="s">
        <v>43</v>
      </c>
      <c r="C81" s="81" t="s">
        <v>47</v>
      </c>
      <c r="D81" s="81" t="s">
        <v>61</v>
      </c>
      <c r="E81" s="81" t="s">
        <v>105</v>
      </c>
      <c r="F81" s="81"/>
      <c r="G81" s="81" t="s">
        <v>106</v>
      </c>
      <c r="H81" s="81" t="s">
        <v>107</v>
      </c>
      <c r="I81" s="83">
        <v>1185.2112676056338</v>
      </c>
      <c r="J81" s="81" t="s">
        <v>362</v>
      </c>
      <c r="K81" s="84">
        <v>45870</v>
      </c>
      <c r="L81" s="81" t="s">
        <v>14</v>
      </c>
      <c r="M81" s="81" t="s">
        <v>226</v>
      </c>
      <c r="N81" s="81">
        <v>2025</v>
      </c>
    </row>
    <row r="82" spans="1:14">
      <c r="A82" s="81">
        <v>81</v>
      </c>
      <c r="B82" s="81" t="s">
        <v>59</v>
      </c>
      <c r="C82" s="81" t="s">
        <v>60</v>
      </c>
      <c r="D82" s="81" t="s">
        <v>61</v>
      </c>
      <c r="E82" s="81" t="s">
        <v>105</v>
      </c>
      <c r="F82" s="81"/>
      <c r="G82" s="81" t="s">
        <v>64</v>
      </c>
      <c r="H82" s="81" t="s">
        <v>1228</v>
      </c>
      <c r="I82" s="105">
        <v>2747.1830985915494</v>
      </c>
      <c r="J82" s="81">
        <v>3208</v>
      </c>
      <c r="K82" s="84">
        <v>45897</v>
      </c>
      <c r="L82" s="106" t="s">
        <v>14</v>
      </c>
      <c r="M82" s="107" t="s">
        <v>226</v>
      </c>
      <c r="N82" s="81">
        <v>2025</v>
      </c>
    </row>
    <row r="83" spans="1:14">
      <c r="A83" s="81">
        <v>82</v>
      </c>
      <c r="B83" s="81" t="s">
        <v>59</v>
      </c>
      <c r="C83" s="84" t="s">
        <v>60</v>
      </c>
      <c r="D83" s="81" t="s">
        <v>61</v>
      </c>
      <c r="E83" s="81" t="s">
        <v>105</v>
      </c>
      <c r="F83" s="81"/>
      <c r="G83" s="81" t="s">
        <v>64</v>
      </c>
      <c r="H83" s="104" t="s">
        <v>1231</v>
      </c>
      <c r="I83" s="105">
        <v>2119.1901408450703</v>
      </c>
      <c r="J83" s="81">
        <v>82006</v>
      </c>
      <c r="K83" s="84">
        <v>45724</v>
      </c>
      <c r="L83" s="106" t="s">
        <v>14</v>
      </c>
      <c r="M83" s="107" t="s">
        <v>226</v>
      </c>
      <c r="N83" s="81">
        <v>2025</v>
      </c>
    </row>
    <row r="84" spans="1:14">
      <c r="A84" s="81">
        <v>83</v>
      </c>
      <c r="B84" s="81" t="s">
        <v>59</v>
      </c>
      <c r="C84" s="84" t="s">
        <v>60</v>
      </c>
      <c r="D84" s="81" t="s">
        <v>61</v>
      </c>
      <c r="E84" s="81" t="s">
        <v>105</v>
      </c>
      <c r="F84" s="81"/>
      <c r="G84" s="81" t="s">
        <v>64</v>
      </c>
      <c r="H84" s="104" t="s">
        <v>1233</v>
      </c>
      <c r="I84" s="105">
        <v>1590.8450704225352</v>
      </c>
      <c r="J84" s="84" t="s">
        <v>1199</v>
      </c>
      <c r="K84" s="84">
        <v>45897</v>
      </c>
      <c r="L84" s="106" t="s">
        <v>14</v>
      </c>
      <c r="M84" s="107" t="s">
        <v>226</v>
      </c>
      <c r="N84" s="81">
        <v>2025</v>
      </c>
    </row>
    <row r="85" spans="1:14">
      <c r="A85" s="81">
        <v>84</v>
      </c>
      <c r="B85" s="81" t="s">
        <v>59</v>
      </c>
      <c r="C85" s="84" t="s">
        <v>60</v>
      </c>
      <c r="D85" s="81" t="s">
        <v>61</v>
      </c>
      <c r="E85" s="81" t="s">
        <v>105</v>
      </c>
      <c r="F85" s="81"/>
      <c r="G85" s="81" t="s">
        <v>64</v>
      </c>
      <c r="H85" s="104" t="s">
        <v>1223</v>
      </c>
      <c r="I85" s="105">
        <v>676.05633802816897</v>
      </c>
      <c r="J85" s="81" t="s">
        <v>68</v>
      </c>
      <c r="K85" s="84">
        <v>45867</v>
      </c>
      <c r="L85" s="106" t="s">
        <v>14</v>
      </c>
      <c r="M85" s="107" t="s">
        <v>225</v>
      </c>
      <c r="N85" s="81">
        <v>2025</v>
      </c>
    </row>
    <row r="86" spans="1:14">
      <c r="A86" s="81">
        <v>85</v>
      </c>
      <c r="B86" s="81" t="s">
        <v>59</v>
      </c>
      <c r="C86" s="81" t="s">
        <v>60</v>
      </c>
      <c r="D86" s="81" t="s">
        <v>61</v>
      </c>
      <c r="E86" s="81" t="s">
        <v>105</v>
      </c>
      <c r="F86" s="81"/>
      <c r="G86" s="81" t="s">
        <v>64</v>
      </c>
      <c r="H86" s="81" t="s">
        <v>1230</v>
      </c>
      <c r="I86" s="105">
        <v>612.67605633802816</v>
      </c>
      <c r="J86" s="81">
        <v>98</v>
      </c>
      <c r="K86" s="84">
        <v>45846</v>
      </c>
      <c r="L86" s="106" t="s">
        <v>14</v>
      </c>
      <c r="M86" s="107" t="s">
        <v>226</v>
      </c>
      <c r="N86" s="81">
        <v>2025</v>
      </c>
    </row>
    <row r="87" spans="1:14">
      <c r="A87" s="81">
        <v>86</v>
      </c>
      <c r="B87" s="81" t="s">
        <v>59</v>
      </c>
      <c r="C87" s="81" t="s">
        <v>60</v>
      </c>
      <c r="D87" s="81" t="s">
        <v>61</v>
      </c>
      <c r="E87" s="81" t="s">
        <v>105</v>
      </c>
      <c r="F87" s="81"/>
      <c r="G87" s="81" t="s">
        <v>64</v>
      </c>
      <c r="H87" s="81" t="s">
        <v>1224</v>
      </c>
      <c r="I87" s="105">
        <v>577.46478873239437</v>
      </c>
      <c r="J87" s="81" t="s">
        <v>68</v>
      </c>
      <c r="K87" s="84">
        <v>45855</v>
      </c>
      <c r="L87" s="106" t="s">
        <v>14</v>
      </c>
      <c r="M87" s="107" t="s">
        <v>225</v>
      </c>
      <c r="N87" s="81">
        <v>2025</v>
      </c>
    </row>
    <row r="88" spans="1:14">
      <c r="A88" s="81">
        <v>87</v>
      </c>
      <c r="B88" s="81" t="s">
        <v>59</v>
      </c>
      <c r="C88" s="84" t="s">
        <v>60</v>
      </c>
      <c r="D88" s="81" t="s">
        <v>61</v>
      </c>
      <c r="E88" s="81" t="s">
        <v>105</v>
      </c>
      <c r="F88" s="81"/>
      <c r="G88" s="81" t="s">
        <v>64</v>
      </c>
      <c r="H88" s="104" t="s">
        <v>1225</v>
      </c>
      <c r="I88" s="105">
        <v>514.78873239436621</v>
      </c>
      <c r="J88" s="81" t="s">
        <v>68</v>
      </c>
      <c r="K88" s="84">
        <v>45856</v>
      </c>
      <c r="L88" s="106" t="s">
        <v>14</v>
      </c>
      <c r="M88" s="107" t="s">
        <v>225</v>
      </c>
      <c r="N88" s="81">
        <v>2025</v>
      </c>
    </row>
    <row r="89" spans="1:14">
      <c r="A89" s="81">
        <v>88</v>
      </c>
      <c r="B89" s="81" t="s">
        <v>59</v>
      </c>
      <c r="C89" s="81" t="s">
        <v>60</v>
      </c>
      <c r="D89" s="81" t="s">
        <v>61</v>
      </c>
      <c r="E89" s="81" t="s">
        <v>105</v>
      </c>
      <c r="F89" s="81"/>
      <c r="G89" s="81" t="s">
        <v>109</v>
      </c>
      <c r="H89" s="81" t="s">
        <v>110</v>
      </c>
      <c r="I89" s="83">
        <v>505.49714095361122</v>
      </c>
      <c r="J89" s="81">
        <v>55</v>
      </c>
      <c r="K89" s="84">
        <v>45867</v>
      </c>
      <c r="L89" s="99" t="s">
        <v>14</v>
      </c>
      <c r="M89" s="99" t="s">
        <v>226</v>
      </c>
      <c r="N89" s="81">
        <v>2025</v>
      </c>
    </row>
    <row r="90" spans="1:14">
      <c r="A90" s="81">
        <v>89</v>
      </c>
      <c r="B90" s="81" t="s">
        <v>59</v>
      </c>
      <c r="C90" s="81" t="s">
        <v>60</v>
      </c>
      <c r="D90" s="81" t="s">
        <v>61</v>
      </c>
      <c r="E90" s="81" t="s">
        <v>105</v>
      </c>
      <c r="F90" s="81"/>
      <c r="G90" s="81" t="s">
        <v>109</v>
      </c>
      <c r="H90" s="81" t="s">
        <v>110</v>
      </c>
      <c r="I90" s="83">
        <v>501.39464980495097</v>
      </c>
      <c r="J90" s="81" t="s">
        <v>358</v>
      </c>
      <c r="K90" s="84">
        <v>45869</v>
      </c>
      <c r="L90" s="81" t="s">
        <v>14</v>
      </c>
      <c r="M90" s="81" t="s">
        <v>225</v>
      </c>
      <c r="N90" s="81">
        <v>2025</v>
      </c>
    </row>
    <row r="91" spans="1:14">
      <c r="A91" s="81">
        <v>90</v>
      </c>
      <c r="B91" s="81" t="s">
        <v>59</v>
      </c>
      <c r="C91" s="81" t="s">
        <v>60</v>
      </c>
      <c r="D91" s="81" t="s">
        <v>61</v>
      </c>
      <c r="E91" s="81" t="s">
        <v>105</v>
      </c>
      <c r="F91" s="81"/>
      <c r="G91" s="81" t="s">
        <v>64</v>
      </c>
      <c r="H91" s="81" t="s">
        <v>1229</v>
      </c>
      <c r="I91" s="105">
        <v>290.84507042253523</v>
      </c>
      <c r="J91" s="81" t="s">
        <v>68</v>
      </c>
      <c r="K91" s="84">
        <v>45816</v>
      </c>
      <c r="L91" s="106" t="s">
        <v>14</v>
      </c>
      <c r="M91" s="107" t="s">
        <v>226</v>
      </c>
      <c r="N91" s="81">
        <v>2025</v>
      </c>
    </row>
    <row r="92" spans="1:14">
      <c r="A92" s="81">
        <v>91</v>
      </c>
      <c r="B92" s="81" t="s">
        <v>59</v>
      </c>
      <c r="C92" s="81" t="s">
        <v>60</v>
      </c>
      <c r="D92" s="81" t="s">
        <v>61</v>
      </c>
      <c r="E92" s="81" t="s">
        <v>105</v>
      </c>
      <c r="F92" s="81"/>
      <c r="G92" s="81" t="s">
        <v>64</v>
      </c>
      <c r="H92" s="104" t="s">
        <v>86</v>
      </c>
      <c r="I92" s="105">
        <v>241.72535211267606</v>
      </c>
      <c r="J92" s="81" t="s">
        <v>68</v>
      </c>
      <c r="K92" s="84">
        <v>45899</v>
      </c>
      <c r="L92" s="106" t="s">
        <v>14</v>
      </c>
      <c r="M92" s="107" t="s">
        <v>226</v>
      </c>
      <c r="N92" s="81">
        <v>2025</v>
      </c>
    </row>
    <row r="93" spans="1:14">
      <c r="A93" s="81">
        <v>92</v>
      </c>
      <c r="B93" s="81" t="s">
        <v>59</v>
      </c>
      <c r="C93" s="81" t="s">
        <v>60</v>
      </c>
      <c r="D93" s="81" t="s">
        <v>61</v>
      </c>
      <c r="E93" s="81" t="s">
        <v>105</v>
      </c>
      <c r="F93" s="81"/>
      <c r="G93" s="81" t="s">
        <v>64</v>
      </c>
      <c r="H93" s="81" t="s">
        <v>1226</v>
      </c>
      <c r="I93" s="105">
        <v>227.46478873239437</v>
      </c>
      <c r="J93" s="81">
        <v>401809</v>
      </c>
      <c r="K93" s="84">
        <v>45855</v>
      </c>
      <c r="L93" s="106" t="s">
        <v>14</v>
      </c>
      <c r="M93" s="107" t="s">
        <v>225</v>
      </c>
      <c r="N93" s="81">
        <v>2025</v>
      </c>
    </row>
    <row r="94" spans="1:14">
      <c r="A94" s="81">
        <v>93</v>
      </c>
      <c r="B94" s="81" t="s">
        <v>59</v>
      </c>
      <c r="C94" s="81" t="s">
        <v>60</v>
      </c>
      <c r="D94" s="81" t="s">
        <v>61</v>
      </c>
      <c r="E94" s="81" t="s">
        <v>105</v>
      </c>
      <c r="F94" s="81"/>
      <c r="G94" s="81" t="s">
        <v>64</v>
      </c>
      <c r="H94" s="81" t="s">
        <v>1227</v>
      </c>
      <c r="I94" s="105">
        <v>209.50704225352112</v>
      </c>
      <c r="J94" s="81">
        <v>89604</v>
      </c>
      <c r="K94" s="84">
        <v>45695</v>
      </c>
      <c r="L94" s="106" t="s">
        <v>14</v>
      </c>
      <c r="M94" s="107" t="s">
        <v>225</v>
      </c>
      <c r="N94" s="81">
        <v>2025</v>
      </c>
    </row>
    <row r="95" spans="1:14">
      <c r="A95" s="81">
        <v>94</v>
      </c>
      <c r="B95" s="81" t="s">
        <v>59</v>
      </c>
      <c r="C95" s="81" t="s">
        <v>60</v>
      </c>
      <c r="D95" s="81" t="s">
        <v>61</v>
      </c>
      <c r="E95" s="81" t="s">
        <v>105</v>
      </c>
      <c r="F95" s="81"/>
      <c r="G95" s="81" t="s">
        <v>64</v>
      </c>
      <c r="H95" s="81" t="s">
        <v>1232</v>
      </c>
      <c r="I95" s="105">
        <v>192.25352112676057</v>
      </c>
      <c r="J95" s="81">
        <v>89604</v>
      </c>
      <c r="K95" s="84">
        <v>45895</v>
      </c>
      <c r="L95" s="106" t="s">
        <v>14</v>
      </c>
      <c r="M95" s="107" t="s">
        <v>226</v>
      </c>
      <c r="N95" s="81">
        <v>2025</v>
      </c>
    </row>
    <row r="96" spans="1:14">
      <c r="A96" s="81">
        <v>95</v>
      </c>
      <c r="B96" s="81" t="s">
        <v>59</v>
      </c>
      <c r="C96" s="84" t="s">
        <v>60</v>
      </c>
      <c r="D96" s="81" t="s">
        <v>61</v>
      </c>
      <c r="E96" s="81" t="s">
        <v>105</v>
      </c>
      <c r="F96" s="81"/>
      <c r="G96" s="81" t="s">
        <v>64</v>
      </c>
      <c r="H96" s="104" t="s">
        <v>86</v>
      </c>
      <c r="I96" s="105">
        <v>70.24647887323944</v>
      </c>
      <c r="J96" s="81" t="s">
        <v>68</v>
      </c>
      <c r="K96" s="84">
        <v>45937</v>
      </c>
      <c r="L96" s="106" t="s">
        <v>14</v>
      </c>
      <c r="M96" s="107" t="s">
        <v>225</v>
      </c>
      <c r="N96" s="81">
        <v>2025</v>
      </c>
    </row>
    <row r="97" spans="1:14">
      <c r="A97" s="81">
        <v>96</v>
      </c>
      <c r="B97" s="81" t="s">
        <v>53</v>
      </c>
      <c r="C97" s="129" t="s">
        <v>62</v>
      </c>
      <c r="D97" s="81" t="s">
        <v>61</v>
      </c>
      <c r="E97" s="81" t="s">
        <v>105</v>
      </c>
      <c r="F97" s="81"/>
      <c r="G97" s="81" t="s">
        <v>64</v>
      </c>
      <c r="H97" s="104" t="s">
        <v>1247</v>
      </c>
      <c r="I97" s="105">
        <v>354.92957746478874</v>
      </c>
      <c r="J97" s="81" t="s">
        <v>68</v>
      </c>
      <c r="K97" s="84">
        <v>45855</v>
      </c>
      <c r="L97" s="106" t="s">
        <v>14</v>
      </c>
      <c r="M97" s="107" t="s">
        <v>225</v>
      </c>
      <c r="N97" s="81">
        <v>2025</v>
      </c>
    </row>
    <row r="98" spans="1:14">
      <c r="A98" s="81">
        <v>97</v>
      </c>
      <c r="B98" s="81" t="s">
        <v>53</v>
      </c>
      <c r="C98" s="129" t="s">
        <v>62</v>
      </c>
      <c r="D98" s="81" t="s">
        <v>61</v>
      </c>
      <c r="E98" s="81" t="s">
        <v>105</v>
      </c>
      <c r="F98" s="81"/>
      <c r="G98" s="81" t="s">
        <v>64</v>
      </c>
      <c r="H98" s="104" t="s">
        <v>1248</v>
      </c>
      <c r="I98" s="105">
        <v>280.28169014084506</v>
      </c>
      <c r="J98" s="81" t="s">
        <v>68</v>
      </c>
      <c r="K98" s="84">
        <v>45888</v>
      </c>
      <c r="L98" s="106" t="s">
        <v>14</v>
      </c>
      <c r="M98" s="107" t="s">
        <v>226</v>
      </c>
      <c r="N98" s="81">
        <v>2025</v>
      </c>
    </row>
    <row r="99" spans="1:14">
      <c r="A99" s="81">
        <v>98</v>
      </c>
      <c r="B99" s="81" t="s">
        <v>53</v>
      </c>
      <c r="C99" s="129" t="s">
        <v>62</v>
      </c>
      <c r="D99" s="81" t="s">
        <v>61</v>
      </c>
      <c r="E99" s="81" t="s">
        <v>105</v>
      </c>
      <c r="F99" s="81"/>
      <c r="G99" s="81" t="s">
        <v>109</v>
      </c>
      <c r="H99" s="81" t="s">
        <v>110</v>
      </c>
      <c r="I99" s="83">
        <v>793.03301408192488</v>
      </c>
      <c r="J99" s="81">
        <v>55</v>
      </c>
      <c r="K99" s="84">
        <v>45867</v>
      </c>
      <c r="L99" s="99" t="s">
        <v>14</v>
      </c>
      <c r="M99" s="99" t="s">
        <v>226</v>
      </c>
      <c r="N99" s="81">
        <v>2025</v>
      </c>
    </row>
    <row r="100" spans="1:14">
      <c r="A100" s="81">
        <v>99</v>
      </c>
      <c r="B100" s="81" t="s">
        <v>53</v>
      </c>
      <c r="C100" s="129" t="s">
        <v>62</v>
      </c>
      <c r="D100" s="81" t="s">
        <v>61</v>
      </c>
      <c r="E100" s="81" t="s">
        <v>105</v>
      </c>
      <c r="F100" s="81"/>
      <c r="G100" s="81" t="s">
        <v>109</v>
      </c>
      <c r="H100" s="81" t="s">
        <v>110</v>
      </c>
      <c r="I100" s="83">
        <v>672.00242398178102</v>
      </c>
      <c r="J100" s="81" t="s">
        <v>358</v>
      </c>
      <c r="K100" s="84">
        <v>45869</v>
      </c>
      <c r="L100" s="81" t="s">
        <v>14</v>
      </c>
      <c r="M100" s="81" t="s">
        <v>225</v>
      </c>
      <c r="N100" s="81">
        <v>2025</v>
      </c>
    </row>
    <row r="101" spans="1:14">
      <c r="A101" s="81">
        <v>100</v>
      </c>
      <c r="B101" s="81" t="s">
        <v>33</v>
      </c>
      <c r="C101" s="81" t="s">
        <v>34</v>
      </c>
      <c r="D101" s="81" t="s">
        <v>61</v>
      </c>
      <c r="E101" s="81" t="s">
        <v>105</v>
      </c>
      <c r="F101" s="81"/>
      <c r="G101" s="81" t="s">
        <v>109</v>
      </c>
      <c r="H101" s="81" t="s">
        <v>110</v>
      </c>
      <c r="I101" s="83">
        <v>2704.290407389678</v>
      </c>
      <c r="J101" s="81" t="s">
        <v>358</v>
      </c>
      <c r="K101" s="84">
        <v>45869</v>
      </c>
      <c r="L101" s="81" t="s">
        <v>14</v>
      </c>
      <c r="M101" s="81" t="s">
        <v>225</v>
      </c>
      <c r="N101" s="81">
        <v>2025</v>
      </c>
    </row>
    <row r="102" spans="1:14">
      <c r="A102" s="81">
        <v>101</v>
      </c>
      <c r="B102" s="81" t="s">
        <v>33</v>
      </c>
      <c r="C102" s="81" t="s">
        <v>34</v>
      </c>
      <c r="D102" s="81" t="s">
        <v>61</v>
      </c>
      <c r="E102" s="81" t="s">
        <v>105</v>
      </c>
      <c r="F102" s="81"/>
      <c r="G102" s="81" t="s">
        <v>109</v>
      </c>
      <c r="H102" s="81" t="s">
        <v>110</v>
      </c>
      <c r="I102" s="83">
        <v>2452.7856705847707</v>
      </c>
      <c r="J102" s="81">
        <v>55</v>
      </c>
      <c r="K102" s="84">
        <v>45867</v>
      </c>
      <c r="L102" s="99" t="s">
        <v>14</v>
      </c>
      <c r="M102" s="99" t="s">
        <v>226</v>
      </c>
      <c r="N102" s="81">
        <v>2025</v>
      </c>
    </row>
    <row r="103" spans="1:14">
      <c r="A103" s="81">
        <v>102</v>
      </c>
      <c r="B103" s="81" t="s">
        <v>33</v>
      </c>
      <c r="C103" s="81" t="s">
        <v>34</v>
      </c>
      <c r="D103" s="81" t="s">
        <v>61</v>
      </c>
      <c r="E103" s="81" t="s">
        <v>105</v>
      </c>
      <c r="F103" s="81"/>
      <c r="G103" s="81" t="s">
        <v>64</v>
      </c>
      <c r="H103" s="104" t="s">
        <v>1236</v>
      </c>
      <c r="I103" s="105">
        <v>261.26760563380282</v>
      </c>
      <c r="J103" s="81" t="s">
        <v>68</v>
      </c>
      <c r="K103" s="84">
        <v>45861</v>
      </c>
      <c r="L103" s="106" t="s">
        <v>14</v>
      </c>
      <c r="M103" s="107" t="s">
        <v>225</v>
      </c>
      <c r="N103" s="81">
        <v>2025</v>
      </c>
    </row>
    <row r="104" spans="1:14">
      <c r="A104" s="81">
        <v>103</v>
      </c>
      <c r="B104" s="81" t="s">
        <v>33</v>
      </c>
      <c r="C104" s="81" t="s">
        <v>34</v>
      </c>
      <c r="D104" s="81" t="s">
        <v>61</v>
      </c>
      <c r="E104" s="81" t="s">
        <v>105</v>
      </c>
      <c r="F104" s="81"/>
      <c r="G104" s="81" t="s">
        <v>64</v>
      </c>
      <c r="H104" s="81" t="s">
        <v>1237</v>
      </c>
      <c r="I104" s="105">
        <v>242.95774647887325</v>
      </c>
      <c r="J104" s="81" t="s">
        <v>68</v>
      </c>
      <c r="K104" s="84">
        <v>45755</v>
      </c>
      <c r="L104" s="106" t="s">
        <v>14</v>
      </c>
      <c r="M104" s="107" t="s">
        <v>226</v>
      </c>
      <c r="N104" s="81">
        <v>2025</v>
      </c>
    </row>
    <row r="105" spans="1:14">
      <c r="A105" s="81">
        <v>104</v>
      </c>
      <c r="B105" s="81" t="s">
        <v>33</v>
      </c>
      <c r="C105" s="84" t="s">
        <v>34</v>
      </c>
      <c r="D105" s="81" t="s">
        <v>61</v>
      </c>
      <c r="E105" s="81" t="s">
        <v>105</v>
      </c>
      <c r="F105" s="81"/>
      <c r="G105" s="81" t="s">
        <v>64</v>
      </c>
      <c r="H105" s="104" t="s">
        <v>1235</v>
      </c>
      <c r="I105" s="105">
        <v>77.464788732394368</v>
      </c>
      <c r="J105" s="81" t="s">
        <v>68</v>
      </c>
      <c r="K105" s="84">
        <v>45862</v>
      </c>
      <c r="L105" s="106" t="s">
        <v>14</v>
      </c>
      <c r="M105" s="107" t="s">
        <v>225</v>
      </c>
      <c r="N105" s="81">
        <v>2025</v>
      </c>
    </row>
    <row r="106" spans="1:14">
      <c r="A106" s="81">
        <v>105</v>
      </c>
      <c r="B106" s="81" t="s">
        <v>33</v>
      </c>
      <c r="C106" s="81" t="s">
        <v>34</v>
      </c>
      <c r="D106" s="81" t="s">
        <v>61</v>
      </c>
      <c r="E106" s="81" t="s">
        <v>105</v>
      </c>
      <c r="F106" s="81"/>
      <c r="G106" s="81" t="s">
        <v>64</v>
      </c>
      <c r="H106" s="81" t="s">
        <v>1219</v>
      </c>
      <c r="I106" s="105">
        <v>74.647887323943664</v>
      </c>
      <c r="J106" s="81" t="s">
        <v>68</v>
      </c>
      <c r="K106" s="84">
        <v>45856</v>
      </c>
      <c r="L106" s="106" t="s">
        <v>14</v>
      </c>
      <c r="M106" s="107" t="s">
        <v>225</v>
      </c>
      <c r="N106" s="81">
        <v>2025</v>
      </c>
    </row>
    <row r="107" spans="1:14">
      <c r="A107" s="81">
        <v>106</v>
      </c>
      <c r="B107" s="81" t="s">
        <v>33</v>
      </c>
      <c r="C107" s="84" t="s">
        <v>34</v>
      </c>
      <c r="D107" s="81" t="s">
        <v>61</v>
      </c>
      <c r="E107" s="81" t="s">
        <v>105</v>
      </c>
      <c r="F107" s="81"/>
      <c r="G107" s="81" t="s">
        <v>64</v>
      </c>
      <c r="H107" s="104" t="s">
        <v>1219</v>
      </c>
      <c r="I107" s="105">
        <v>74.647887323943664</v>
      </c>
      <c r="J107" s="81" t="s">
        <v>68</v>
      </c>
      <c r="K107" s="84">
        <v>45853</v>
      </c>
      <c r="L107" s="106" t="s">
        <v>14</v>
      </c>
      <c r="M107" s="107" t="s">
        <v>225</v>
      </c>
      <c r="N107" s="81">
        <v>2025</v>
      </c>
    </row>
    <row r="108" spans="1:14">
      <c r="A108" s="81">
        <v>107</v>
      </c>
      <c r="B108" s="81" t="s">
        <v>27</v>
      </c>
      <c r="C108" s="81" t="s">
        <v>28</v>
      </c>
      <c r="D108" s="81" t="s">
        <v>61</v>
      </c>
      <c r="E108" s="81" t="s">
        <v>105</v>
      </c>
      <c r="F108" s="81"/>
      <c r="G108" s="81" t="s">
        <v>109</v>
      </c>
      <c r="H108" s="81" t="s">
        <v>110</v>
      </c>
      <c r="I108" s="83">
        <v>982.54340728279578</v>
      </c>
      <c r="J108" s="81" t="s">
        <v>358</v>
      </c>
      <c r="K108" s="84">
        <v>45869</v>
      </c>
      <c r="L108" s="81" t="s">
        <v>14</v>
      </c>
      <c r="M108" s="81" t="s">
        <v>225</v>
      </c>
      <c r="N108" s="81">
        <v>2025</v>
      </c>
    </row>
    <row r="109" spans="1:14">
      <c r="A109" s="81">
        <v>108</v>
      </c>
      <c r="B109" s="81" t="s">
        <v>27</v>
      </c>
      <c r="C109" s="81" t="s">
        <v>28</v>
      </c>
      <c r="D109" s="81" t="s">
        <v>61</v>
      </c>
      <c r="E109" s="81" t="s">
        <v>105</v>
      </c>
      <c r="F109" s="81"/>
      <c r="G109" s="81" t="s">
        <v>109</v>
      </c>
      <c r="H109" s="81" t="s">
        <v>110</v>
      </c>
      <c r="I109" s="83">
        <v>948.13563736890296</v>
      </c>
      <c r="J109" s="81">
        <v>55</v>
      </c>
      <c r="K109" s="84">
        <v>45867</v>
      </c>
      <c r="L109" s="99" t="s">
        <v>14</v>
      </c>
      <c r="M109" s="99" t="s">
        <v>226</v>
      </c>
      <c r="N109" s="81">
        <v>2025</v>
      </c>
    </row>
    <row r="110" spans="1:14">
      <c r="A110" s="81">
        <v>109</v>
      </c>
      <c r="B110" s="81" t="s">
        <v>43</v>
      </c>
      <c r="C110" s="84" t="s">
        <v>46</v>
      </c>
      <c r="D110" s="81" t="s">
        <v>61</v>
      </c>
      <c r="E110" s="81" t="s">
        <v>105</v>
      </c>
      <c r="F110" s="81"/>
      <c r="G110" s="81" t="s">
        <v>64</v>
      </c>
      <c r="H110" s="104" t="s">
        <v>1240</v>
      </c>
      <c r="I110" s="105">
        <v>149.29577464788733</v>
      </c>
      <c r="J110" s="81" t="s">
        <v>68</v>
      </c>
      <c r="K110" s="84">
        <v>45856</v>
      </c>
      <c r="L110" s="106" t="s">
        <v>14</v>
      </c>
      <c r="M110" s="107" t="s">
        <v>225</v>
      </c>
      <c r="N110" s="81">
        <v>2025</v>
      </c>
    </row>
    <row r="111" spans="1:14">
      <c r="A111" s="81">
        <v>110</v>
      </c>
      <c r="B111" s="81" t="s">
        <v>43</v>
      </c>
      <c r="C111" s="84" t="s">
        <v>46</v>
      </c>
      <c r="D111" s="81" t="s">
        <v>61</v>
      </c>
      <c r="E111" s="81" t="s">
        <v>105</v>
      </c>
      <c r="F111" s="81"/>
      <c r="G111" s="81" t="s">
        <v>64</v>
      </c>
      <c r="H111" s="104" t="s">
        <v>84</v>
      </c>
      <c r="I111" s="105">
        <v>74.647887323943664</v>
      </c>
      <c r="J111" s="81" t="s">
        <v>68</v>
      </c>
      <c r="K111" s="84">
        <v>45888</v>
      </c>
      <c r="L111" s="106" t="s">
        <v>14</v>
      </c>
      <c r="M111" s="107" t="s">
        <v>226</v>
      </c>
      <c r="N111" s="81">
        <v>2025</v>
      </c>
    </row>
    <row r="112" spans="1:14">
      <c r="A112" s="81">
        <v>111</v>
      </c>
      <c r="B112" s="81" t="s">
        <v>35</v>
      </c>
      <c r="C112" s="84" t="s">
        <v>37</v>
      </c>
      <c r="D112" s="81" t="s">
        <v>61</v>
      </c>
      <c r="E112" s="81" t="s">
        <v>105</v>
      </c>
      <c r="F112" s="81"/>
      <c r="G112" s="81" t="s">
        <v>64</v>
      </c>
      <c r="H112" s="104" t="s">
        <v>1238</v>
      </c>
      <c r="I112" s="105">
        <v>74.647887323943664</v>
      </c>
      <c r="J112" s="81" t="s">
        <v>68</v>
      </c>
      <c r="K112" s="84">
        <v>45886</v>
      </c>
      <c r="L112" s="106" t="s">
        <v>14</v>
      </c>
      <c r="M112" s="107" t="s">
        <v>226</v>
      </c>
      <c r="N112" s="81">
        <v>2025</v>
      </c>
    </row>
    <row r="113" spans="1:14">
      <c r="A113" s="81">
        <v>112</v>
      </c>
      <c r="B113" s="81" t="s">
        <v>43</v>
      </c>
      <c r="C113" s="84" t="s">
        <v>218</v>
      </c>
      <c r="D113" s="81" t="s">
        <v>61</v>
      </c>
      <c r="E113" s="81" t="s">
        <v>105</v>
      </c>
      <c r="F113" s="81"/>
      <c r="G113" s="81" t="s">
        <v>64</v>
      </c>
      <c r="H113" s="104" t="s">
        <v>1243</v>
      </c>
      <c r="I113" s="105">
        <v>74.647887323943664</v>
      </c>
      <c r="J113" s="81" t="s">
        <v>68</v>
      </c>
      <c r="K113" s="84">
        <v>45888</v>
      </c>
      <c r="L113" s="106" t="s">
        <v>14</v>
      </c>
      <c r="M113" s="107" t="s">
        <v>226</v>
      </c>
      <c r="N113" s="81">
        <v>2025</v>
      </c>
    </row>
    <row r="114" spans="1:14">
      <c r="A114" s="81">
        <v>113</v>
      </c>
      <c r="B114" s="81" t="s">
        <v>43</v>
      </c>
      <c r="C114" s="84" t="s">
        <v>218</v>
      </c>
      <c r="D114" s="81" t="s">
        <v>61</v>
      </c>
      <c r="E114" s="81" t="s">
        <v>105</v>
      </c>
      <c r="F114" s="81"/>
      <c r="G114" s="81" t="s">
        <v>64</v>
      </c>
      <c r="H114" s="104" t="s">
        <v>1244</v>
      </c>
      <c r="I114" s="105">
        <v>74.647887323943664</v>
      </c>
      <c r="J114" s="81" t="s">
        <v>68</v>
      </c>
      <c r="K114" s="84">
        <v>45888</v>
      </c>
      <c r="L114" s="106" t="s">
        <v>14</v>
      </c>
      <c r="M114" s="107" t="s">
        <v>226</v>
      </c>
      <c r="N114" s="81">
        <v>2025</v>
      </c>
    </row>
    <row r="115" spans="1:14">
      <c r="A115" s="81">
        <v>114</v>
      </c>
      <c r="B115" s="81" t="s">
        <v>43</v>
      </c>
      <c r="C115" s="84" t="s">
        <v>218</v>
      </c>
      <c r="D115" s="81" t="s">
        <v>61</v>
      </c>
      <c r="E115" s="81" t="s">
        <v>105</v>
      </c>
      <c r="F115" s="81"/>
      <c r="G115" s="81" t="s">
        <v>64</v>
      </c>
      <c r="H115" s="104" t="s">
        <v>1215</v>
      </c>
      <c r="I115" s="105">
        <v>37.323943661971832</v>
      </c>
      <c r="J115" s="81" t="s">
        <v>68</v>
      </c>
      <c r="K115" s="84">
        <v>45852</v>
      </c>
      <c r="L115" s="106" t="s">
        <v>14</v>
      </c>
      <c r="M115" s="107" t="s">
        <v>225</v>
      </c>
      <c r="N115" s="81">
        <v>2025</v>
      </c>
    </row>
    <row r="116" spans="1:14">
      <c r="A116" s="81">
        <v>115</v>
      </c>
      <c r="B116" s="81" t="s">
        <v>43</v>
      </c>
      <c r="C116" s="81" t="s">
        <v>70</v>
      </c>
      <c r="D116" s="81" t="s">
        <v>61</v>
      </c>
      <c r="E116" s="81" t="s">
        <v>105</v>
      </c>
      <c r="F116" s="81"/>
      <c r="G116" s="81" t="s">
        <v>108</v>
      </c>
      <c r="H116" s="81" t="s">
        <v>107</v>
      </c>
      <c r="I116" s="83">
        <v>1115.4929577464789</v>
      </c>
      <c r="J116" s="81" t="s">
        <v>359</v>
      </c>
      <c r="K116" s="84">
        <v>45870</v>
      </c>
      <c r="L116" s="81" t="s">
        <v>14</v>
      </c>
      <c r="M116" s="81" t="s">
        <v>225</v>
      </c>
      <c r="N116" s="81">
        <v>2025</v>
      </c>
    </row>
    <row r="117" spans="1:14">
      <c r="A117" s="81">
        <v>116</v>
      </c>
      <c r="B117" s="81" t="s">
        <v>43</v>
      </c>
      <c r="C117" s="81" t="s">
        <v>70</v>
      </c>
      <c r="D117" s="81" t="s">
        <v>61</v>
      </c>
      <c r="E117" s="81" t="s">
        <v>105</v>
      </c>
      <c r="F117" s="81"/>
      <c r="G117" s="81" t="s">
        <v>108</v>
      </c>
      <c r="H117" s="81" t="s">
        <v>107</v>
      </c>
      <c r="I117" s="83">
        <v>1115.4929577464789</v>
      </c>
      <c r="J117" s="81" t="s">
        <v>360</v>
      </c>
      <c r="K117" s="84">
        <v>45901</v>
      </c>
      <c r="L117" s="81" t="s">
        <v>14</v>
      </c>
      <c r="M117" s="81" t="s">
        <v>226</v>
      </c>
      <c r="N117" s="81">
        <v>2025</v>
      </c>
    </row>
    <row r="118" spans="1:14">
      <c r="A118" s="81">
        <v>117</v>
      </c>
      <c r="B118" s="81" t="s">
        <v>43</v>
      </c>
      <c r="C118" s="84" t="s">
        <v>70</v>
      </c>
      <c r="D118" s="81" t="s">
        <v>61</v>
      </c>
      <c r="E118" s="81" t="s">
        <v>105</v>
      </c>
      <c r="F118" s="81"/>
      <c r="G118" s="81" t="s">
        <v>64</v>
      </c>
      <c r="H118" s="104" t="s">
        <v>1239</v>
      </c>
      <c r="I118" s="105">
        <v>522.53521126760563</v>
      </c>
      <c r="J118" s="81" t="s">
        <v>68</v>
      </c>
      <c r="K118" s="84">
        <v>45854</v>
      </c>
      <c r="L118" s="106" t="s">
        <v>14</v>
      </c>
      <c r="M118" s="107" t="s">
        <v>225</v>
      </c>
      <c r="N118" s="81">
        <v>2025</v>
      </c>
    </row>
    <row r="119" spans="1:14">
      <c r="A119" s="81">
        <v>118</v>
      </c>
      <c r="B119" s="81" t="s">
        <v>43</v>
      </c>
      <c r="C119" s="81" t="s">
        <v>70</v>
      </c>
      <c r="D119" s="81" t="s">
        <v>61</v>
      </c>
      <c r="E119" s="81" t="s">
        <v>105</v>
      </c>
      <c r="F119" s="81"/>
      <c r="G119" s="81" t="s">
        <v>64</v>
      </c>
      <c r="H119" s="104" t="s">
        <v>1242</v>
      </c>
      <c r="I119" s="105">
        <v>410.56338028169012</v>
      </c>
      <c r="J119" s="81" t="s">
        <v>68</v>
      </c>
      <c r="K119" s="84">
        <v>45886</v>
      </c>
      <c r="L119" s="106" t="s">
        <v>14</v>
      </c>
      <c r="M119" s="107" t="s">
        <v>226</v>
      </c>
      <c r="N119" s="81">
        <v>2025</v>
      </c>
    </row>
    <row r="120" spans="1:14">
      <c r="A120" s="81">
        <v>119</v>
      </c>
      <c r="B120" s="81" t="s">
        <v>55</v>
      </c>
      <c r="C120" s="81" t="s">
        <v>56</v>
      </c>
      <c r="D120" s="81" t="s">
        <v>61</v>
      </c>
      <c r="E120" s="81" t="s">
        <v>105</v>
      </c>
      <c r="F120" s="81"/>
      <c r="G120" s="81" t="s">
        <v>108</v>
      </c>
      <c r="H120" s="81" t="s">
        <v>107</v>
      </c>
      <c r="I120" s="83">
        <v>1394.3661971830986</v>
      </c>
      <c r="J120" s="81" t="s">
        <v>359</v>
      </c>
      <c r="K120" s="84">
        <v>45870</v>
      </c>
      <c r="L120" s="81" t="s">
        <v>14</v>
      </c>
      <c r="M120" s="81" t="s">
        <v>225</v>
      </c>
      <c r="N120" s="81">
        <v>2025</v>
      </c>
    </row>
    <row r="121" spans="1:14">
      <c r="A121" s="81">
        <v>120</v>
      </c>
      <c r="B121" s="81" t="s">
        <v>55</v>
      </c>
      <c r="C121" s="81" t="s">
        <v>56</v>
      </c>
      <c r="D121" s="81" t="s">
        <v>61</v>
      </c>
      <c r="E121" s="81" t="s">
        <v>105</v>
      </c>
      <c r="F121" s="81"/>
      <c r="G121" s="81" t="s">
        <v>108</v>
      </c>
      <c r="H121" s="81" t="s">
        <v>107</v>
      </c>
      <c r="I121" s="83">
        <v>1394.3661971830986</v>
      </c>
      <c r="J121" s="81" t="s">
        <v>360</v>
      </c>
      <c r="K121" s="84">
        <v>45901</v>
      </c>
      <c r="L121" s="81" t="s">
        <v>14</v>
      </c>
      <c r="M121" s="81" t="s">
        <v>226</v>
      </c>
      <c r="N121" s="81">
        <v>2025</v>
      </c>
    </row>
    <row r="122" spans="1:14">
      <c r="A122" s="81">
        <v>121</v>
      </c>
      <c r="B122" s="81" t="s">
        <v>55</v>
      </c>
      <c r="C122" s="81" t="s">
        <v>56</v>
      </c>
      <c r="D122" s="81" t="s">
        <v>61</v>
      </c>
      <c r="E122" s="81" t="s">
        <v>105</v>
      </c>
      <c r="F122" s="81"/>
      <c r="G122" s="81" t="s">
        <v>109</v>
      </c>
      <c r="H122" s="81" t="s">
        <v>110</v>
      </c>
      <c r="I122" s="83">
        <v>492.618298546017</v>
      </c>
      <c r="J122" s="81">
        <v>55</v>
      </c>
      <c r="K122" s="84">
        <v>45867</v>
      </c>
      <c r="L122" s="99" t="s">
        <v>14</v>
      </c>
      <c r="M122" s="99" t="s">
        <v>226</v>
      </c>
      <c r="N122" s="81">
        <v>2025</v>
      </c>
    </row>
    <row r="123" spans="1:14">
      <c r="A123" s="81">
        <v>122</v>
      </c>
      <c r="B123" s="81" t="s">
        <v>55</v>
      </c>
      <c r="C123" s="81" t="s">
        <v>56</v>
      </c>
      <c r="D123" s="81" t="s">
        <v>61</v>
      </c>
      <c r="E123" s="81" t="s">
        <v>105</v>
      </c>
      <c r="F123" s="81"/>
      <c r="G123" s="81" t="s">
        <v>109</v>
      </c>
      <c r="H123" s="81" t="s">
        <v>110</v>
      </c>
      <c r="I123" s="83">
        <v>483.58530553246464</v>
      </c>
      <c r="J123" s="81" t="s">
        <v>358</v>
      </c>
      <c r="K123" s="84">
        <v>45869</v>
      </c>
      <c r="L123" s="81" t="s">
        <v>14</v>
      </c>
      <c r="M123" s="81" t="s">
        <v>225</v>
      </c>
      <c r="N123" s="81">
        <v>2025</v>
      </c>
    </row>
    <row r="124" spans="1:14">
      <c r="A124" s="81">
        <v>123</v>
      </c>
      <c r="B124" s="81" t="s">
        <v>273</v>
      </c>
      <c r="C124" s="84" t="s">
        <v>56</v>
      </c>
      <c r="D124" s="81" t="s">
        <v>61</v>
      </c>
      <c r="E124" s="81" t="s">
        <v>105</v>
      </c>
      <c r="F124" s="81"/>
      <c r="G124" s="81" t="s">
        <v>64</v>
      </c>
      <c r="H124" s="104" t="s">
        <v>1215</v>
      </c>
      <c r="I124" s="105">
        <v>37.323943661971832</v>
      </c>
      <c r="J124" s="81" t="s">
        <v>68</v>
      </c>
      <c r="K124" s="84">
        <v>45857</v>
      </c>
      <c r="L124" s="106" t="s">
        <v>14</v>
      </c>
      <c r="M124" s="107" t="s">
        <v>225</v>
      </c>
      <c r="N124" s="81">
        <v>2025</v>
      </c>
    </row>
    <row r="125" spans="1:14">
      <c r="A125" s="81">
        <v>124</v>
      </c>
      <c r="B125" s="81" t="s">
        <v>43</v>
      </c>
      <c r="C125" s="81" t="s">
        <v>50</v>
      </c>
      <c r="D125" s="81" t="s">
        <v>61</v>
      </c>
      <c r="E125" s="81" t="s">
        <v>57</v>
      </c>
      <c r="F125" s="81"/>
      <c r="G125" s="81" t="s">
        <v>306</v>
      </c>
      <c r="H125" s="81" t="s">
        <v>57</v>
      </c>
      <c r="I125" s="103">
        <v>3345.0704225352115</v>
      </c>
      <c r="J125" s="81">
        <v>1121</v>
      </c>
      <c r="K125" s="84">
        <v>45839</v>
      </c>
      <c r="L125" s="81" t="s">
        <v>14</v>
      </c>
      <c r="M125" s="81" t="s">
        <v>225</v>
      </c>
      <c r="N125" s="81">
        <v>2025</v>
      </c>
    </row>
    <row r="126" spans="1:14">
      <c r="A126" s="81">
        <v>125</v>
      </c>
      <c r="B126" s="81" t="s">
        <v>43</v>
      </c>
      <c r="C126" s="81" t="s">
        <v>50</v>
      </c>
      <c r="D126" s="81" t="s">
        <v>61</v>
      </c>
      <c r="E126" s="81" t="s">
        <v>57</v>
      </c>
      <c r="F126" s="81"/>
      <c r="G126" s="81" t="s">
        <v>306</v>
      </c>
      <c r="H126" s="81" t="s">
        <v>57</v>
      </c>
      <c r="I126" s="83">
        <v>3169.0140845070423</v>
      </c>
      <c r="J126" s="81">
        <v>1120</v>
      </c>
      <c r="K126" s="84">
        <v>45839</v>
      </c>
      <c r="L126" s="81" t="s">
        <v>14</v>
      </c>
      <c r="M126" s="81" t="s">
        <v>225</v>
      </c>
      <c r="N126" s="81">
        <v>2025</v>
      </c>
    </row>
    <row r="127" spans="1:14">
      <c r="A127" s="81">
        <v>126</v>
      </c>
      <c r="B127" s="81" t="s">
        <v>43</v>
      </c>
      <c r="C127" s="81" t="s">
        <v>50</v>
      </c>
      <c r="D127" s="81" t="s">
        <v>61</v>
      </c>
      <c r="E127" s="81" t="s">
        <v>57</v>
      </c>
      <c r="F127" s="81"/>
      <c r="G127" s="81" t="s">
        <v>306</v>
      </c>
      <c r="H127" s="81" t="s">
        <v>57</v>
      </c>
      <c r="I127" s="83">
        <v>2816.9014084507044</v>
      </c>
      <c r="J127" s="81">
        <v>1254</v>
      </c>
      <c r="K127" s="84">
        <v>45889</v>
      </c>
      <c r="L127" s="81" t="s">
        <v>14</v>
      </c>
      <c r="M127" s="81" t="s">
        <v>226</v>
      </c>
      <c r="N127" s="81">
        <v>2025</v>
      </c>
    </row>
    <row r="128" spans="1:14">
      <c r="A128" s="81">
        <v>127</v>
      </c>
      <c r="B128" s="81" t="s">
        <v>43</v>
      </c>
      <c r="C128" s="81" t="s">
        <v>50</v>
      </c>
      <c r="D128" s="81" t="s">
        <v>61</v>
      </c>
      <c r="E128" s="81" t="s">
        <v>57</v>
      </c>
      <c r="F128" s="81"/>
      <c r="G128" s="81" t="s">
        <v>306</v>
      </c>
      <c r="H128" s="81" t="s">
        <v>57</v>
      </c>
      <c r="I128" s="83">
        <v>1936.6197183098591</v>
      </c>
      <c r="J128" s="81">
        <v>1257</v>
      </c>
      <c r="K128" s="84">
        <v>45853</v>
      </c>
      <c r="L128" s="81" t="s">
        <v>14</v>
      </c>
      <c r="M128" s="81" t="s">
        <v>225</v>
      </c>
      <c r="N128" s="81">
        <v>2025</v>
      </c>
    </row>
    <row r="129" spans="1:14">
      <c r="A129" s="81">
        <v>128</v>
      </c>
      <c r="B129" s="81" t="s">
        <v>43</v>
      </c>
      <c r="C129" s="81" t="s">
        <v>50</v>
      </c>
      <c r="D129" s="81" t="s">
        <v>61</v>
      </c>
      <c r="E129" s="81" t="s">
        <v>57</v>
      </c>
      <c r="F129" s="81"/>
      <c r="G129" s="81" t="s">
        <v>306</v>
      </c>
      <c r="H129" s="81" t="s">
        <v>57</v>
      </c>
      <c r="I129" s="103">
        <v>1373.2394366197184</v>
      </c>
      <c r="J129" s="81">
        <v>1210</v>
      </c>
      <c r="K129" s="84">
        <v>45864</v>
      </c>
      <c r="L129" s="81" t="s">
        <v>14</v>
      </c>
      <c r="M129" s="81" t="s">
        <v>225</v>
      </c>
      <c r="N129" s="81">
        <v>2025</v>
      </c>
    </row>
    <row r="130" spans="1:14">
      <c r="A130" s="81">
        <v>129</v>
      </c>
      <c r="B130" s="81" t="s">
        <v>43</v>
      </c>
      <c r="C130" s="81" t="s">
        <v>50</v>
      </c>
      <c r="D130" s="81" t="s">
        <v>61</v>
      </c>
      <c r="E130" s="81" t="s">
        <v>57</v>
      </c>
      <c r="F130" s="81"/>
      <c r="G130" s="81" t="s">
        <v>306</v>
      </c>
      <c r="H130" s="81" t="s">
        <v>57</v>
      </c>
      <c r="I130" s="83">
        <v>1232.394366197183</v>
      </c>
      <c r="J130" s="81">
        <v>1217</v>
      </c>
      <c r="K130" s="84">
        <v>45864</v>
      </c>
      <c r="L130" s="81" t="s">
        <v>14</v>
      </c>
      <c r="M130" s="81" t="s">
        <v>225</v>
      </c>
      <c r="N130" s="81">
        <v>2025</v>
      </c>
    </row>
    <row r="131" spans="1:14">
      <c r="A131" s="81">
        <v>130</v>
      </c>
      <c r="B131" s="81" t="s">
        <v>43</v>
      </c>
      <c r="C131" s="81" t="s">
        <v>50</v>
      </c>
      <c r="D131" s="81" t="s">
        <v>61</v>
      </c>
      <c r="E131" s="81" t="s">
        <v>57</v>
      </c>
      <c r="F131" s="81"/>
      <c r="G131" s="81" t="s">
        <v>306</v>
      </c>
      <c r="H131" s="81" t="s">
        <v>57</v>
      </c>
      <c r="I131" s="103">
        <v>915.49295774647885</v>
      </c>
      <c r="J131" s="81">
        <v>1123</v>
      </c>
      <c r="K131" s="84">
        <v>45839</v>
      </c>
      <c r="L131" s="81" t="s">
        <v>14</v>
      </c>
      <c r="M131" s="81" t="s">
        <v>225</v>
      </c>
      <c r="N131" s="81">
        <v>2025</v>
      </c>
    </row>
    <row r="132" spans="1:14">
      <c r="A132" s="81">
        <v>131</v>
      </c>
      <c r="B132" s="81" t="s">
        <v>43</v>
      </c>
      <c r="C132" s="81" t="s">
        <v>50</v>
      </c>
      <c r="D132" s="81" t="s">
        <v>61</v>
      </c>
      <c r="E132" s="81" t="s">
        <v>57</v>
      </c>
      <c r="F132" s="81"/>
      <c r="G132" s="81" t="s">
        <v>306</v>
      </c>
      <c r="H132" s="81" t="s">
        <v>57</v>
      </c>
      <c r="I132" s="103">
        <v>774.64788732394368</v>
      </c>
      <c r="J132" s="81">
        <v>1122</v>
      </c>
      <c r="K132" s="84">
        <v>45839</v>
      </c>
      <c r="L132" s="81" t="s">
        <v>14</v>
      </c>
      <c r="M132" s="81" t="s">
        <v>225</v>
      </c>
      <c r="N132" s="81">
        <v>2025</v>
      </c>
    </row>
    <row r="133" spans="1:14">
      <c r="A133" s="81">
        <v>132</v>
      </c>
      <c r="B133" s="81" t="s">
        <v>55</v>
      </c>
      <c r="C133" s="81" t="s">
        <v>98</v>
      </c>
      <c r="D133" s="81" t="s">
        <v>61</v>
      </c>
      <c r="E133" s="81" t="s">
        <v>57</v>
      </c>
      <c r="F133" s="81"/>
      <c r="G133" s="81" t="s">
        <v>306</v>
      </c>
      <c r="H133" s="81" t="s">
        <v>57</v>
      </c>
      <c r="I133" s="83">
        <v>8274.647887323943</v>
      </c>
      <c r="J133" s="81">
        <v>1252</v>
      </c>
      <c r="K133" s="84">
        <v>45884</v>
      </c>
      <c r="L133" s="81" t="s">
        <v>14</v>
      </c>
      <c r="M133" s="81" t="s">
        <v>226</v>
      </c>
      <c r="N133" s="81">
        <v>2025</v>
      </c>
    </row>
    <row r="134" spans="1:14">
      <c r="A134" s="81">
        <v>133</v>
      </c>
      <c r="B134" s="81" t="s">
        <v>55</v>
      </c>
      <c r="C134" s="81" t="s">
        <v>98</v>
      </c>
      <c r="D134" s="81" t="s">
        <v>61</v>
      </c>
      <c r="E134" s="81" t="s">
        <v>57</v>
      </c>
      <c r="F134" s="81"/>
      <c r="G134" s="81" t="s">
        <v>306</v>
      </c>
      <c r="H134" s="81" t="s">
        <v>57</v>
      </c>
      <c r="I134" s="83">
        <v>5704.2253521126759</v>
      </c>
      <c r="J134" s="81">
        <v>1250</v>
      </c>
      <c r="K134" s="84">
        <v>45884</v>
      </c>
      <c r="L134" s="81" t="s">
        <v>14</v>
      </c>
      <c r="M134" s="81" t="s">
        <v>226</v>
      </c>
      <c r="N134" s="81">
        <v>2025</v>
      </c>
    </row>
    <row r="135" spans="1:14">
      <c r="A135" s="81">
        <v>134</v>
      </c>
      <c r="B135" s="81" t="s">
        <v>59</v>
      </c>
      <c r="C135" s="84" t="s">
        <v>60</v>
      </c>
      <c r="D135" s="81" t="s">
        <v>61</v>
      </c>
      <c r="E135" s="81" t="s">
        <v>57</v>
      </c>
      <c r="F135" s="81"/>
      <c r="G135" s="81" t="s">
        <v>64</v>
      </c>
      <c r="H135" s="104" t="s">
        <v>1250</v>
      </c>
      <c r="I135" s="105">
        <v>943.30985915492954</v>
      </c>
      <c r="J135" s="81" t="s">
        <v>68</v>
      </c>
      <c r="K135" s="84">
        <v>45855</v>
      </c>
      <c r="L135" s="106" t="s">
        <v>14</v>
      </c>
      <c r="M135" s="107" t="s">
        <v>225</v>
      </c>
      <c r="N135" s="81">
        <v>2025</v>
      </c>
    </row>
    <row r="136" spans="1:14">
      <c r="A136" s="81">
        <v>135</v>
      </c>
      <c r="B136" s="81" t="s">
        <v>59</v>
      </c>
      <c r="C136" s="84" t="s">
        <v>60</v>
      </c>
      <c r="D136" s="81" t="s">
        <v>61</v>
      </c>
      <c r="E136" s="81" t="s">
        <v>57</v>
      </c>
      <c r="F136" s="81"/>
      <c r="G136" s="81" t="s">
        <v>64</v>
      </c>
      <c r="H136" s="104" t="s">
        <v>1251</v>
      </c>
      <c r="I136" s="105">
        <v>52.816901408450704</v>
      </c>
      <c r="J136" s="81">
        <v>5255</v>
      </c>
      <c r="K136" s="84">
        <v>45868</v>
      </c>
      <c r="L136" s="106" t="s">
        <v>14</v>
      </c>
      <c r="M136" s="107" t="s">
        <v>226</v>
      </c>
      <c r="N136" s="81">
        <v>2025</v>
      </c>
    </row>
    <row r="137" spans="1:14">
      <c r="A137" s="81">
        <v>136</v>
      </c>
      <c r="B137" s="81" t="s">
        <v>43</v>
      </c>
      <c r="C137" s="81" t="s">
        <v>46</v>
      </c>
      <c r="D137" s="81" t="s">
        <v>61</v>
      </c>
      <c r="E137" s="81" t="s">
        <v>57</v>
      </c>
      <c r="F137" s="81"/>
      <c r="G137" s="81" t="s">
        <v>306</v>
      </c>
      <c r="H137" s="81" t="s">
        <v>57</v>
      </c>
      <c r="I137" s="83">
        <v>5281.6901408450703</v>
      </c>
      <c r="J137" s="81">
        <v>1219</v>
      </c>
      <c r="K137" s="84">
        <v>45865</v>
      </c>
      <c r="L137" s="81" t="s">
        <v>14</v>
      </c>
      <c r="M137" s="81" t="s">
        <v>225</v>
      </c>
      <c r="N137" s="81">
        <v>2025</v>
      </c>
    </row>
    <row r="138" spans="1:14">
      <c r="A138" s="81">
        <v>137</v>
      </c>
      <c r="B138" s="81" t="s">
        <v>35</v>
      </c>
      <c r="C138" s="81" t="s">
        <v>38</v>
      </c>
      <c r="D138" s="81" t="s">
        <v>61</v>
      </c>
      <c r="E138" s="81" t="s">
        <v>57</v>
      </c>
      <c r="F138" s="81"/>
      <c r="G138" s="81" t="s">
        <v>310</v>
      </c>
      <c r="H138" s="81" t="s">
        <v>57</v>
      </c>
      <c r="I138" s="103">
        <v>44800</v>
      </c>
      <c r="J138" s="81" t="s">
        <v>312</v>
      </c>
      <c r="K138" s="84">
        <v>45838</v>
      </c>
      <c r="L138" s="81" t="s">
        <v>14</v>
      </c>
      <c r="M138" s="81" t="s">
        <v>225</v>
      </c>
      <c r="N138" s="81">
        <v>2025</v>
      </c>
    </row>
    <row r="139" spans="1:14">
      <c r="A139" s="81">
        <v>138</v>
      </c>
      <c r="B139" s="81" t="s">
        <v>43</v>
      </c>
      <c r="C139" s="84" t="s">
        <v>70</v>
      </c>
      <c r="D139" s="81" t="s">
        <v>61</v>
      </c>
      <c r="E139" s="81" t="s">
        <v>57</v>
      </c>
      <c r="F139" s="81"/>
      <c r="G139" s="81" t="s">
        <v>64</v>
      </c>
      <c r="H139" s="104" t="s">
        <v>1252</v>
      </c>
      <c r="I139" s="105">
        <v>70.422535211267601</v>
      </c>
      <c r="J139" s="81">
        <v>18793</v>
      </c>
      <c r="K139" s="84">
        <v>45832</v>
      </c>
      <c r="L139" s="106" t="s">
        <v>14</v>
      </c>
      <c r="M139" s="107" t="s">
        <v>225</v>
      </c>
      <c r="N139" s="81">
        <v>2025</v>
      </c>
    </row>
    <row r="140" spans="1:14">
      <c r="A140" s="81">
        <v>139</v>
      </c>
      <c r="B140" s="81" t="s">
        <v>55</v>
      </c>
      <c r="C140" s="81" t="s">
        <v>56</v>
      </c>
      <c r="D140" s="81" t="s">
        <v>61</v>
      </c>
      <c r="E140" s="81" t="s">
        <v>57</v>
      </c>
      <c r="F140" s="81"/>
      <c r="G140" s="81" t="s">
        <v>305</v>
      </c>
      <c r="H140" s="81" t="s">
        <v>57</v>
      </c>
      <c r="I140" s="103">
        <v>14000</v>
      </c>
      <c r="J140" s="81" t="s">
        <v>311</v>
      </c>
      <c r="K140" s="84">
        <v>45879</v>
      </c>
      <c r="L140" s="81">
        <v>2025403004</v>
      </c>
      <c r="M140" s="81" t="s">
        <v>226</v>
      </c>
      <c r="N140" s="81">
        <v>2025</v>
      </c>
    </row>
    <row r="141" spans="1:14">
      <c r="A141" s="81">
        <v>140</v>
      </c>
      <c r="B141" s="81" t="s">
        <v>17</v>
      </c>
      <c r="C141" s="81" t="s">
        <v>25</v>
      </c>
      <c r="D141" s="81" t="s">
        <v>19</v>
      </c>
      <c r="E141" s="81" t="s">
        <v>83</v>
      </c>
      <c r="F141" s="81"/>
      <c r="G141" s="81" t="s">
        <v>21</v>
      </c>
      <c r="H141" s="104" t="s">
        <v>308</v>
      </c>
      <c r="I141" s="83">
        <v>1958.04195804196</v>
      </c>
      <c r="J141" s="81" t="s">
        <v>14</v>
      </c>
      <c r="K141" s="84" t="s">
        <v>14</v>
      </c>
      <c r="L141" s="110" t="s">
        <v>14</v>
      </c>
      <c r="M141" s="81" t="s">
        <v>225</v>
      </c>
      <c r="N141" s="81">
        <v>2025</v>
      </c>
    </row>
    <row r="142" spans="1:14">
      <c r="A142" s="81">
        <v>141</v>
      </c>
      <c r="B142" s="81" t="s">
        <v>17</v>
      </c>
      <c r="C142" s="81" t="s">
        <v>25</v>
      </c>
      <c r="D142" s="81" t="s">
        <v>19</v>
      </c>
      <c r="E142" s="81" t="s">
        <v>83</v>
      </c>
      <c r="F142" s="81"/>
      <c r="G142" s="81" t="s">
        <v>21</v>
      </c>
      <c r="H142" s="104" t="s">
        <v>309</v>
      </c>
      <c r="I142" s="83">
        <v>1958.04195804196</v>
      </c>
      <c r="J142" s="81" t="s">
        <v>14</v>
      </c>
      <c r="K142" s="84" t="s">
        <v>14</v>
      </c>
      <c r="L142" s="110" t="s">
        <v>14</v>
      </c>
      <c r="M142" s="81" t="s">
        <v>226</v>
      </c>
      <c r="N142" s="81">
        <v>2025</v>
      </c>
    </row>
    <row r="143" spans="1:14">
      <c r="A143" s="81">
        <v>142</v>
      </c>
      <c r="B143" s="81" t="s">
        <v>43</v>
      </c>
      <c r="C143" s="81" t="s">
        <v>51</v>
      </c>
      <c r="D143" s="81" t="s">
        <v>19</v>
      </c>
      <c r="E143" s="81" t="s">
        <v>83</v>
      </c>
      <c r="F143" s="81"/>
      <c r="G143" s="81" t="s">
        <v>21</v>
      </c>
      <c r="H143" s="104" t="s">
        <v>308</v>
      </c>
      <c r="I143" s="83">
        <v>6223.7762237762199</v>
      </c>
      <c r="J143" s="81" t="s">
        <v>14</v>
      </c>
      <c r="K143" s="84" t="s">
        <v>14</v>
      </c>
      <c r="L143" s="110" t="s">
        <v>14</v>
      </c>
      <c r="M143" s="81" t="s">
        <v>225</v>
      </c>
      <c r="N143" s="81">
        <v>2025</v>
      </c>
    </row>
    <row r="144" spans="1:14">
      <c r="A144" s="81">
        <v>143</v>
      </c>
      <c r="B144" s="81" t="s">
        <v>43</v>
      </c>
      <c r="C144" s="81" t="s">
        <v>51</v>
      </c>
      <c r="D144" s="81" t="s">
        <v>19</v>
      </c>
      <c r="E144" s="81" t="s">
        <v>83</v>
      </c>
      <c r="F144" s="81"/>
      <c r="G144" s="81" t="s">
        <v>21</v>
      </c>
      <c r="H144" s="104" t="s">
        <v>309</v>
      </c>
      <c r="I144" s="83">
        <v>6223.7762237762199</v>
      </c>
      <c r="J144" s="81" t="s">
        <v>14</v>
      </c>
      <c r="K144" s="84" t="s">
        <v>14</v>
      </c>
      <c r="L144" s="110" t="s">
        <v>14</v>
      </c>
      <c r="M144" s="81" t="s">
        <v>226</v>
      </c>
      <c r="N144" s="81">
        <v>2025</v>
      </c>
    </row>
    <row r="145" spans="1:14">
      <c r="A145" s="81">
        <v>144</v>
      </c>
      <c r="B145" s="81" t="s">
        <v>43</v>
      </c>
      <c r="C145" s="81" t="s">
        <v>48</v>
      </c>
      <c r="D145" s="81" t="s">
        <v>19</v>
      </c>
      <c r="E145" s="81" t="s">
        <v>83</v>
      </c>
      <c r="F145" s="81"/>
      <c r="G145" s="81" t="s">
        <v>21</v>
      </c>
      <c r="H145" s="104" t="s">
        <v>308</v>
      </c>
      <c r="I145" s="83">
        <v>979.02097902097898</v>
      </c>
      <c r="J145" s="81" t="s">
        <v>14</v>
      </c>
      <c r="K145" s="84" t="s">
        <v>14</v>
      </c>
      <c r="L145" s="110" t="s">
        <v>14</v>
      </c>
      <c r="M145" s="81" t="s">
        <v>225</v>
      </c>
      <c r="N145" s="81">
        <v>2025</v>
      </c>
    </row>
    <row r="146" spans="1:14">
      <c r="A146" s="81">
        <v>145</v>
      </c>
      <c r="B146" s="81" t="s">
        <v>43</v>
      </c>
      <c r="C146" s="81" t="s">
        <v>48</v>
      </c>
      <c r="D146" s="81" t="s">
        <v>19</v>
      </c>
      <c r="E146" s="81" t="s">
        <v>83</v>
      </c>
      <c r="F146" s="81"/>
      <c r="G146" s="81" t="s">
        <v>21</v>
      </c>
      <c r="H146" s="104" t="s">
        <v>309</v>
      </c>
      <c r="I146" s="83">
        <v>979.02097902097898</v>
      </c>
      <c r="J146" s="81" t="s">
        <v>14</v>
      </c>
      <c r="K146" s="84" t="s">
        <v>14</v>
      </c>
      <c r="L146" s="110" t="s">
        <v>14</v>
      </c>
      <c r="M146" s="81" t="s">
        <v>226</v>
      </c>
      <c r="N146" s="81">
        <v>2025</v>
      </c>
    </row>
    <row r="147" spans="1:14">
      <c r="A147" s="81">
        <v>146</v>
      </c>
      <c r="B147" s="81" t="s">
        <v>17</v>
      </c>
      <c r="C147" s="81" t="s">
        <v>22</v>
      </c>
      <c r="D147" s="81" t="s">
        <v>19</v>
      </c>
      <c r="E147" s="81" t="s">
        <v>83</v>
      </c>
      <c r="F147" s="81"/>
      <c r="G147" s="81" t="s">
        <v>21</v>
      </c>
      <c r="H147" s="104" t="s">
        <v>308</v>
      </c>
      <c r="I147" s="83">
        <v>3237.7622377622401</v>
      </c>
      <c r="J147" s="81" t="s">
        <v>14</v>
      </c>
      <c r="K147" s="84" t="s">
        <v>14</v>
      </c>
      <c r="L147" s="110" t="s">
        <v>14</v>
      </c>
      <c r="M147" s="81" t="s">
        <v>225</v>
      </c>
      <c r="N147" s="81">
        <v>2025</v>
      </c>
    </row>
    <row r="148" spans="1:14">
      <c r="A148" s="81">
        <v>147</v>
      </c>
      <c r="B148" s="81" t="s">
        <v>17</v>
      </c>
      <c r="C148" s="81" t="s">
        <v>22</v>
      </c>
      <c r="D148" s="81" t="s">
        <v>19</v>
      </c>
      <c r="E148" s="81" t="s">
        <v>83</v>
      </c>
      <c r="F148" s="81"/>
      <c r="G148" s="81" t="s">
        <v>21</v>
      </c>
      <c r="H148" s="104" t="s">
        <v>309</v>
      </c>
      <c r="I148" s="83">
        <v>3237.7622377622401</v>
      </c>
      <c r="J148" s="81" t="s">
        <v>14</v>
      </c>
      <c r="K148" s="84" t="s">
        <v>14</v>
      </c>
      <c r="L148" s="110" t="s">
        <v>14</v>
      </c>
      <c r="M148" s="81" t="s">
        <v>226</v>
      </c>
      <c r="N148" s="81">
        <v>2025</v>
      </c>
    </row>
    <row r="149" spans="1:14">
      <c r="A149" s="81">
        <v>148</v>
      </c>
      <c r="B149" s="81" t="s">
        <v>59</v>
      </c>
      <c r="C149" s="84" t="s">
        <v>60</v>
      </c>
      <c r="D149" s="81" t="s">
        <v>61</v>
      </c>
      <c r="E149" s="81" t="s">
        <v>83</v>
      </c>
      <c r="F149" s="81"/>
      <c r="G149" s="81" t="s">
        <v>64</v>
      </c>
      <c r="H149" s="104" t="s">
        <v>1254</v>
      </c>
      <c r="I149" s="105">
        <v>1971.8309859154929</v>
      </c>
      <c r="J149" s="81" t="s">
        <v>68</v>
      </c>
      <c r="K149" s="84">
        <v>45852</v>
      </c>
      <c r="L149" s="106" t="s">
        <v>14</v>
      </c>
      <c r="M149" s="107" t="s">
        <v>225</v>
      </c>
      <c r="N149" s="81">
        <v>2025</v>
      </c>
    </row>
    <row r="150" spans="1:14">
      <c r="A150" s="81">
        <v>149</v>
      </c>
      <c r="B150" s="81" t="s">
        <v>59</v>
      </c>
      <c r="C150" s="84" t="s">
        <v>60</v>
      </c>
      <c r="D150" s="81" t="s">
        <v>61</v>
      </c>
      <c r="E150" s="81" t="s">
        <v>83</v>
      </c>
      <c r="F150" s="81"/>
      <c r="G150" s="81" t="s">
        <v>64</v>
      </c>
      <c r="H150" s="104" t="s">
        <v>1255</v>
      </c>
      <c r="I150" s="105">
        <v>985.91549295774644</v>
      </c>
      <c r="J150" s="81" t="s">
        <v>68</v>
      </c>
      <c r="K150" s="84">
        <v>45897</v>
      </c>
      <c r="L150" s="106" t="s">
        <v>14</v>
      </c>
      <c r="M150" s="107" t="s">
        <v>226</v>
      </c>
      <c r="N150" s="81">
        <v>2025</v>
      </c>
    </row>
    <row r="151" spans="1:14">
      <c r="A151" s="81">
        <v>150</v>
      </c>
      <c r="B151" s="81" t="s">
        <v>59</v>
      </c>
      <c r="C151" s="81" t="s">
        <v>60</v>
      </c>
      <c r="D151" s="81" t="s">
        <v>61</v>
      </c>
      <c r="E151" s="81" t="s">
        <v>83</v>
      </c>
      <c r="F151" s="81"/>
      <c r="G151" s="81" t="s">
        <v>64</v>
      </c>
      <c r="H151" s="81" t="s">
        <v>1256</v>
      </c>
      <c r="I151" s="105">
        <v>126.7605633802817</v>
      </c>
      <c r="J151" s="81" t="s">
        <v>68</v>
      </c>
      <c r="K151" s="84">
        <v>45908</v>
      </c>
      <c r="L151" s="106" t="s">
        <v>14</v>
      </c>
      <c r="M151" s="107" t="s">
        <v>226</v>
      </c>
      <c r="N151" s="81">
        <v>2025</v>
      </c>
    </row>
    <row r="152" spans="1:14">
      <c r="A152" s="81">
        <v>151</v>
      </c>
      <c r="B152" s="81" t="s">
        <v>59</v>
      </c>
      <c r="C152" s="84" t="s">
        <v>60</v>
      </c>
      <c r="D152" s="81" t="s">
        <v>61</v>
      </c>
      <c r="E152" s="81" t="s">
        <v>83</v>
      </c>
      <c r="F152" s="81"/>
      <c r="G152" s="81" t="s">
        <v>64</v>
      </c>
      <c r="H152" s="104" t="s">
        <v>1253</v>
      </c>
      <c r="I152" s="105">
        <v>126.7605633802817</v>
      </c>
      <c r="J152" s="81" t="s">
        <v>68</v>
      </c>
      <c r="K152" s="84">
        <v>45876</v>
      </c>
      <c r="L152" s="106" t="s">
        <v>14</v>
      </c>
      <c r="M152" s="107" t="s">
        <v>225</v>
      </c>
      <c r="N152" s="81">
        <v>2025</v>
      </c>
    </row>
    <row r="153" spans="1:14">
      <c r="A153" s="81">
        <v>152</v>
      </c>
      <c r="B153" s="81" t="s">
        <v>53</v>
      </c>
      <c r="C153" s="129" t="s">
        <v>62</v>
      </c>
      <c r="D153" s="81" t="s">
        <v>19</v>
      </c>
      <c r="E153" s="81" t="s">
        <v>83</v>
      </c>
      <c r="F153" s="81"/>
      <c r="G153" s="81" t="s">
        <v>21</v>
      </c>
      <c r="H153" s="104" t="s">
        <v>308</v>
      </c>
      <c r="I153" s="83">
        <v>9622.3776223776204</v>
      </c>
      <c r="J153" s="81" t="s">
        <v>14</v>
      </c>
      <c r="K153" s="84" t="s">
        <v>14</v>
      </c>
      <c r="L153" s="110" t="s">
        <v>14</v>
      </c>
      <c r="M153" s="81" t="s">
        <v>225</v>
      </c>
      <c r="N153" s="81">
        <v>2025</v>
      </c>
    </row>
    <row r="154" spans="1:14">
      <c r="A154" s="81">
        <v>153</v>
      </c>
      <c r="B154" s="81" t="s">
        <v>53</v>
      </c>
      <c r="C154" s="129" t="s">
        <v>62</v>
      </c>
      <c r="D154" s="81" t="s">
        <v>19</v>
      </c>
      <c r="E154" s="81" t="s">
        <v>83</v>
      </c>
      <c r="F154" s="81"/>
      <c r="G154" s="81" t="s">
        <v>21</v>
      </c>
      <c r="H154" s="104" t="s">
        <v>309</v>
      </c>
      <c r="I154" s="83">
        <v>9622.3776223776204</v>
      </c>
      <c r="J154" s="81" t="s">
        <v>14</v>
      </c>
      <c r="K154" s="84" t="s">
        <v>14</v>
      </c>
      <c r="L154" s="110" t="s">
        <v>14</v>
      </c>
      <c r="M154" s="81" t="s">
        <v>226</v>
      </c>
      <c r="N154" s="81">
        <v>2025</v>
      </c>
    </row>
    <row r="155" spans="1:14">
      <c r="A155" s="81">
        <v>154</v>
      </c>
      <c r="B155" s="81" t="s">
        <v>55</v>
      </c>
      <c r="C155" s="81" t="s">
        <v>56</v>
      </c>
      <c r="D155" s="81" t="s">
        <v>61</v>
      </c>
      <c r="E155" s="81" t="s">
        <v>83</v>
      </c>
      <c r="F155" s="81"/>
      <c r="G155" s="81" t="s">
        <v>21</v>
      </c>
      <c r="H155" s="104" t="s">
        <v>307</v>
      </c>
      <c r="I155" s="105">
        <v>24475.5244755245</v>
      </c>
      <c r="J155" s="81" t="s">
        <v>14</v>
      </c>
      <c r="K155" s="84" t="s">
        <v>14</v>
      </c>
      <c r="L155" s="110" t="s">
        <v>14</v>
      </c>
      <c r="M155" s="81" t="s">
        <v>226</v>
      </c>
      <c r="N155" s="81">
        <v>2025</v>
      </c>
    </row>
    <row r="156" spans="1:14">
      <c r="A156" s="81">
        <v>155</v>
      </c>
      <c r="B156" s="81" t="s">
        <v>55</v>
      </c>
      <c r="C156" s="81" t="s">
        <v>56</v>
      </c>
      <c r="D156" s="81" t="s">
        <v>61</v>
      </c>
      <c r="E156" s="81" t="s">
        <v>83</v>
      </c>
      <c r="F156" s="81"/>
      <c r="G156" s="81" t="s">
        <v>21</v>
      </c>
      <c r="H156" s="81" t="s">
        <v>307</v>
      </c>
      <c r="I156" s="83">
        <v>24475.5244755245</v>
      </c>
      <c r="J156" s="81" t="s">
        <v>14</v>
      </c>
      <c r="K156" s="84" t="s">
        <v>14</v>
      </c>
      <c r="L156" s="81" t="s">
        <v>14</v>
      </c>
      <c r="M156" s="81" t="s">
        <v>226</v>
      </c>
      <c r="N156" s="81">
        <v>2025</v>
      </c>
    </row>
    <row r="157" spans="1:14">
      <c r="A157" s="81">
        <v>156</v>
      </c>
      <c r="B157" s="81" t="s">
        <v>43</v>
      </c>
      <c r="C157" s="81" t="s">
        <v>48</v>
      </c>
      <c r="D157" s="81" t="s">
        <v>19</v>
      </c>
      <c r="E157" s="81" t="s">
        <v>83</v>
      </c>
      <c r="F157" s="81"/>
      <c r="G157" s="81" t="s">
        <v>21</v>
      </c>
      <c r="H157" s="81" t="s">
        <v>308</v>
      </c>
      <c r="I157" s="83">
        <v>8862.6760563380285</v>
      </c>
      <c r="J157" s="81" t="s">
        <v>14</v>
      </c>
      <c r="K157" s="84" t="s">
        <v>14</v>
      </c>
      <c r="L157" s="81" t="s">
        <v>14</v>
      </c>
      <c r="M157" s="81" t="s">
        <v>225</v>
      </c>
      <c r="N157" s="81">
        <v>2025</v>
      </c>
    </row>
    <row r="158" spans="1:14">
      <c r="A158" s="81">
        <v>157</v>
      </c>
      <c r="B158" s="81" t="s">
        <v>43</v>
      </c>
      <c r="C158" s="81" t="s">
        <v>51</v>
      </c>
      <c r="D158" s="81" t="s">
        <v>19</v>
      </c>
      <c r="E158" s="81" t="s">
        <v>83</v>
      </c>
      <c r="F158" s="81"/>
      <c r="G158" s="81" t="s">
        <v>21</v>
      </c>
      <c r="H158" s="81" t="s">
        <v>308</v>
      </c>
      <c r="I158" s="83">
        <v>10563.380281690141</v>
      </c>
      <c r="J158" s="81" t="s">
        <v>14</v>
      </c>
      <c r="K158" s="84" t="s">
        <v>14</v>
      </c>
      <c r="L158" s="81" t="s">
        <v>14</v>
      </c>
      <c r="M158" s="81" t="s">
        <v>225</v>
      </c>
      <c r="N158" s="81">
        <v>2025</v>
      </c>
    </row>
    <row r="159" spans="1:14">
      <c r="A159" s="81">
        <v>158</v>
      </c>
      <c r="B159" s="81" t="s">
        <v>53</v>
      </c>
      <c r="C159" s="81" t="s">
        <v>62</v>
      </c>
      <c r="D159" s="81" t="s">
        <v>19</v>
      </c>
      <c r="E159" s="81" t="s">
        <v>83</v>
      </c>
      <c r="F159" s="81"/>
      <c r="G159" s="81" t="s">
        <v>21</v>
      </c>
      <c r="H159" s="81" t="s">
        <v>308</v>
      </c>
      <c r="I159" s="83">
        <v>7042.2535211267605</v>
      </c>
      <c r="J159" s="81" t="s">
        <v>14</v>
      </c>
      <c r="K159" s="84" t="s">
        <v>14</v>
      </c>
      <c r="L159" s="81" t="s">
        <v>14</v>
      </c>
      <c r="M159" s="81" t="s">
        <v>225</v>
      </c>
      <c r="N159" s="81">
        <v>2025</v>
      </c>
    </row>
    <row r="160" spans="1:14">
      <c r="A160" s="81">
        <v>159</v>
      </c>
      <c r="B160" s="81" t="s">
        <v>17</v>
      </c>
      <c r="C160" s="81" t="s">
        <v>25</v>
      </c>
      <c r="D160" s="81" t="s">
        <v>19</v>
      </c>
      <c r="E160" s="81" t="s">
        <v>83</v>
      </c>
      <c r="F160" s="81"/>
      <c r="G160" s="81" t="s">
        <v>21</v>
      </c>
      <c r="H160" s="81" t="s">
        <v>308</v>
      </c>
      <c r="I160" s="83">
        <v>4792.2535211267605</v>
      </c>
      <c r="J160" s="81" t="s">
        <v>14</v>
      </c>
      <c r="K160" s="84" t="s">
        <v>14</v>
      </c>
      <c r="L160" s="81" t="s">
        <v>14</v>
      </c>
      <c r="M160" s="81" t="s">
        <v>225</v>
      </c>
      <c r="N160" s="81">
        <v>2025</v>
      </c>
    </row>
    <row r="161" spans="1:14">
      <c r="A161" s="81">
        <v>160</v>
      </c>
      <c r="B161" s="81" t="s">
        <v>17</v>
      </c>
      <c r="C161" s="81" t="s">
        <v>22</v>
      </c>
      <c r="D161" s="81" t="s">
        <v>19</v>
      </c>
      <c r="E161" s="81" t="s">
        <v>83</v>
      </c>
      <c r="F161" s="81"/>
      <c r="G161" s="81" t="s">
        <v>21</v>
      </c>
      <c r="H161" s="81" t="s">
        <v>308</v>
      </c>
      <c r="I161" s="83">
        <v>7042.2535211267605</v>
      </c>
      <c r="J161" s="81" t="s">
        <v>14</v>
      </c>
      <c r="K161" s="84" t="s">
        <v>14</v>
      </c>
      <c r="L161" s="81" t="s">
        <v>14</v>
      </c>
      <c r="M161" s="81" t="s">
        <v>225</v>
      </c>
      <c r="N161" s="81">
        <v>2025</v>
      </c>
    </row>
    <row r="162" spans="1:14">
      <c r="A162" s="81">
        <v>161</v>
      </c>
      <c r="B162" s="81" t="s">
        <v>17</v>
      </c>
      <c r="C162" s="81" t="s">
        <v>22</v>
      </c>
      <c r="D162" s="81" t="s">
        <v>19</v>
      </c>
      <c r="E162" s="81" t="s">
        <v>83</v>
      </c>
      <c r="F162" s="81"/>
      <c r="G162" s="81" t="s">
        <v>21</v>
      </c>
      <c r="H162" s="81" t="s">
        <v>308</v>
      </c>
      <c r="I162" s="83">
        <v>3521.1267605633802</v>
      </c>
      <c r="J162" s="81" t="s">
        <v>14</v>
      </c>
      <c r="K162" s="84" t="s">
        <v>14</v>
      </c>
      <c r="L162" s="81" t="s">
        <v>14</v>
      </c>
      <c r="M162" s="81" t="s">
        <v>225</v>
      </c>
      <c r="N162" s="81">
        <v>2025</v>
      </c>
    </row>
    <row r="163" spans="1:14">
      <c r="A163" s="81">
        <v>162</v>
      </c>
      <c r="B163" s="81" t="s">
        <v>17</v>
      </c>
      <c r="C163" s="81" t="s">
        <v>25</v>
      </c>
      <c r="D163" s="81" t="s">
        <v>19</v>
      </c>
      <c r="E163" s="81" t="s">
        <v>83</v>
      </c>
      <c r="F163" s="81"/>
      <c r="G163" s="81" t="s">
        <v>21</v>
      </c>
      <c r="H163" s="81" t="s">
        <v>308</v>
      </c>
      <c r="I163" s="83">
        <v>2306.3380281690143</v>
      </c>
      <c r="J163" s="81" t="s">
        <v>14</v>
      </c>
      <c r="K163" s="84" t="s">
        <v>14</v>
      </c>
      <c r="L163" s="81" t="s">
        <v>14</v>
      </c>
      <c r="M163" s="81" t="s">
        <v>225</v>
      </c>
      <c r="N163" s="81">
        <v>2025</v>
      </c>
    </row>
    <row r="164" spans="1:14">
      <c r="A164" s="81">
        <v>163</v>
      </c>
      <c r="B164" s="81" t="s">
        <v>43</v>
      </c>
      <c r="C164" s="81" t="s">
        <v>48</v>
      </c>
      <c r="D164" s="81" t="s">
        <v>19</v>
      </c>
      <c r="E164" s="81" t="s">
        <v>83</v>
      </c>
      <c r="F164" s="81"/>
      <c r="G164" s="81" t="s">
        <v>21</v>
      </c>
      <c r="H164" s="81" t="s">
        <v>309</v>
      </c>
      <c r="I164" s="83">
        <v>24647.887323943662</v>
      </c>
      <c r="J164" s="81" t="s">
        <v>14</v>
      </c>
      <c r="K164" s="84" t="s">
        <v>14</v>
      </c>
      <c r="L164" s="81" t="s">
        <v>14</v>
      </c>
      <c r="M164" s="81" t="s">
        <v>226</v>
      </c>
      <c r="N164" s="81">
        <v>2025</v>
      </c>
    </row>
    <row r="165" spans="1:14">
      <c r="A165" s="81">
        <v>164</v>
      </c>
      <c r="B165" s="81" t="s">
        <v>43</v>
      </c>
      <c r="C165" s="81" t="s">
        <v>51</v>
      </c>
      <c r="D165" s="81" t="s">
        <v>19</v>
      </c>
      <c r="E165" s="81" t="s">
        <v>83</v>
      </c>
      <c r="F165" s="81"/>
      <c r="G165" s="81" t="s">
        <v>21</v>
      </c>
      <c r="H165" s="81" t="s">
        <v>309</v>
      </c>
      <c r="I165" s="83">
        <v>3521.1267605633802</v>
      </c>
      <c r="J165" s="81" t="s">
        <v>14</v>
      </c>
      <c r="K165" s="84" t="s">
        <v>14</v>
      </c>
      <c r="L165" s="81" t="s">
        <v>14</v>
      </c>
      <c r="M165" s="81" t="s">
        <v>226</v>
      </c>
      <c r="N165" s="81">
        <v>2025</v>
      </c>
    </row>
    <row r="166" spans="1:14">
      <c r="A166" s="81">
        <v>165</v>
      </c>
      <c r="B166" s="81" t="s">
        <v>53</v>
      </c>
      <c r="C166" s="81" t="s">
        <v>62</v>
      </c>
      <c r="D166" s="81" t="s">
        <v>19</v>
      </c>
      <c r="E166" s="81" t="s">
        <v>83</v>
      </c>
      <c r="F166" s="81"/>
      <c r="G166" s="81" t="s">
        <v>21</v>
      </c>
      <c r="H166" s="81" t="s">
        <v>309</v>
      </c>
      <c r="I166" s="83">
        <v>10563.380281690141</v>
      </c>
      <c r="J166" s="81" t="s">
        <v>14</v>
      </c>
      <c r="K166" s="84" t="s">
        <v>14</v>
      </c>
      <c r="L166" s="81" t="s">
        <v>14</v>
      </c>
      <c r="M166" s="81" t="s">
        <v>226</v>
      </c>
      <c r="N166" s="81">
        <v>2025</v>
      </c>
    </row>
    <row r="167" spans="1:14">
      <c r="A167" s="81">
        <v>166</v>
      </c>
      <c r="B167" s="81" t="s">
        <v>17</v>
      </c>
      <c r="C167" s="81" t="s">
        <v>25</v>
      </c>
      <c r="D167" s="81" t="s">
        <v>19</v>
      </c>
      <c r="E167" s="81" t="s">
        <v>83</v>
      </c>
      <c r="F167" s="81"/>
      <c r="G167" s="81" t="s">
        <v>21</v>
      </c>
      <c r="H167" s="81" t="s">
        <v>309</v>
      </c>
      <c r="I167" s="83">
        <v>3521.1267605633802</v>
      </c>
      <c r="J167" s="81" t="s">
        <v>14</v>
      </c>
      <c r="K167" s="84" t="s">
        <v>14</v>
      </c>
      <c r="L167" s="81" t="s">
        <v>14</v>
      </c>
      <c r="M167" s="81" t="s">
        <v>226</v>
      </c>
      <c r="N167" s="81">
        <v>2025</v>
      </c>
    </row>
    <row r="168" spans="1:14">
      <c r="A168" s="81">
        <v>167</v>
      </c>
      <c r="B168" s="81" t="s">
        <v>17</v>
      </c>
      <c r="C168" s="81" t="s">
        <v>25</v>
      </c>
      <c r="D168" s="81" t="s">
        <v>19</v>
      </c>
      <c r="E168" s="81" t="s">
        <v>83</v>
      </c>
      <c r="F168" s="81"/>
      <c r="G168" s="81" t="s">
        <v>21</v>
      </c>
      <c r="H168" s="81" t="s">
        <v>309</v>
      </c>
      <c r="I168" s="83">
        <v>4119.7183098591549</v>
      </c>
      <c r="J168" s="81" t="s">
        <v>14</v>
      </c>
      <c r="K168" s="84" t="s">
        <v>14</v>
      </c>
      <c r="L168" s="81" t="s">
        <v>14</v>
      </c>
      <c r="M168" s="81" t="s">
        <v>226</v>
      </c>
      <c r="N168" s="81">
        <v>2025</v>
      </c>
    </row>
    <row r="169" spans="1:14">
      <c r="A169" s="81">
        <v>168</v>
      </c>
      <c r="B169" s="81" t="s">
        <v>17</v>
      </c>
      <c r="C169" s="81" t="s">
        <v>22</v>
      </c>
      <c r="D169" s="81" t="s">
        <v>19</v>
      </c>
      <c r="E169" s="81" t="s">
        <v>83</v>
      </c>
      <c r="F169" s="81"/>
      <c r="G169" s="81" t="s">
        <v>21</v>
      </c>
      <c r="H169" s="81" t="s">
        <v>309</v>
      </c>
      <c r="I169" s="83">
        <v>7042.2535211267605</v>
      </c>
      <c r="J169" s="81" t="s">
        <v>14</v>
      </c>
      <c r="K169" s="84" t="s">
        <v>14</v>
      </c>
      <c r="L169" s="81" t="s">
        <v>14</v>
      </c>
      <c r="M169" s="81" t="s">
        <v>226</v>
      </c>
      <c r="N169" s="81">
        <v>2025</v>
      </c>
    </row>
    <row r="170" spans="1:14">
      <c r="A170" s="81">
        <v>169</v>
      </c>
      <c r="B170" s="81" t="s">
        <v>17</v>
      </c>
      <c r="C170" s="81" t="s">
        <v>22</v>
      </c>
      <c r="D170" s="81" t="s">
        <v>19</v>
      </c>
      <c r="E170" s="81" t="s">
        <v>83</v>
      </c>
      <c r="F170" s="81"/>
      <c r="G170" s="81" t="s">
        <v>21</v>
      </c>
      <c r="H170" s="81" t="s">
        <v>309</v>
      </c>
      <c r="I170" s="83">
        <v>4775</v>
      </c>
      <c r="J170" s="81" t="s">
        <v>14</v>
      </c>
      <c r="K170" s="84" t="s">
        <v>14</v>
      </c>
      <c r="L170" s="81" t="s">
        <v>14</v>
      </c>
      <c r="M170" s="81" t="s">
        <v>226</v>
      </c>
      <c r="N170" s="81">
        <v>2025</v>
      </c>
    </row>
    <row r="171" spans="1:14">
      <c r="A171" s="81">
        <v>170</v>
      </c>
      <c r="B171" s="81" t="s">
        <v>17</v>
      </c>
      <c r="C171" s="81" t="s">
        <v>26</v>
      </c>
      <c r="D171" s="81" t="s">
        <v>19</v>
      </c>
      <c r="E171" s="81" t="s">
        <v>91</v>
      </c>
      <c r="F171" s="81"/>
      <c r="G171" s="109" t="s">
        <v>93</v>
      </c>
      <c r="H171" s="81" t="s">
        <v>1181</v>
      </c>
      <c r="I171" s="83">
        <v>3112.0476619718306</v>
      </c>
      <c r="J171" s="109" t="s">
        <v>14</v>
      </c>
      <c r="K171" s="119" t="s">
        <v>14</v>
      </c>
      <c r="L171" s="109" t="s">
        <v>14</v>
      </c>
      <c r="M171" s="81" t="s">
        <v>226</v>
      </c>
      <c r="N171" s="81">
        <v>2025</v>
      </c>
    </row>
    <row r="172" spans="1:14">
      <c r="A172" s="81">
        <v>171</v>
      </c>
      <c r="B172" s="81" t="s">
        <v>17</v>
      </c>
      <c r="C172" s="81" t="s">
        <v>26</v>
      </c>
      <c r="D172" s="81" t="s">
        <v>61</v>
      </c>
      <c r="E172" s="81" t="s">
        <v>91</v>
      </c>
      <c r="F172" s="81"/>
      <c r="G172" s="81" t="s">
        <v>92</v>
      </c>
      <c r="H172" s="81" t="s">
        <v>1182</v>
      </c>
      <c r="I172" s="83">
        <v>2066.9994024278644</v>
      </c>
      <c r="J172" s="81" t="s">
        <v>1192</v>
      </c>
      <c r="K172" s="84">
        <v>45923</v>
      </c>
      <c r="L172" s="81" t="s">
        <v>14</v>
      </c>
      <c r="M172" s="81" t="s">
        <v>226</v>
      </c>
      <c r="N172" s="81">
        <v>2025</v>
      </c>
    </row>
    <row r="173" spans="1:14">
      <c r="A173" s="81">
        <v>172</v>
      </c>
      <c r="B173" s="81" t="s">
        <v>17</v>
      </c>
      <c r="C173" s="81" t="s">
        <v>26</v>
      </c>
      <c r="D173" s="81" t="s">
        <v>61</v>
      </c>
      <c r="E173" s="81" t="s">
        <v>91</v>
      </c>
      <c r="F173" s="81"/>
      <c r="G173" s="111" t="s">
        <v>93</v>
      </c>
      <c r="H173" s="81" t="s">
        <v>1181</v>
      </c>
      <c r="I173" s="83">
        <v>1548.5965686226004</v>
      </c>
      <c r="J173" s="81" t="s">
        <v>1189</v>
      </c>
      <c r="K173" s="84">
        <v>45884</v>
      </c>
      <c r="L173" s="81" t="s">
        <v>14</v>
      </c>
      <c r="M173" s="81" t="s">
        <v>225</v>
      </c>
      <c r="N173" s="81">
        <v>2025</v>
      </c>
    </row>
    <row r="174" spans="1:14">
      <c r="A174" s="81">
        <v>173</v>
      </c>
      <c r="B174" s="81" t="s">
        <v>17</v>
      </c>
      <c r="C174" s="81" t="s">
        <v>26</v>
      </c>
      <c r="D174" s="81" t="s">
        <v>61</v>
      </c>
      <c r="E174" s="81" t="s">
        <v>91</v>
      </c>
      <c r="F174" s="81"/>
      <c r="G174" s="81" t="s">
        <v>92</v>
      </c>
      <c r="H174" s="81" t="s">
        <v>1181</v>
      </c>
      <c r="I174" s="83">
        <v>1221.2777954597598</v>
      </c>
      <c r="J174" s="81" t="s">
        <v>1193</v>
      </c>
      <c r="K174" s="84">
        <v>45923</v>
      </c>
      <c r="L174" s="81" t="s">
        <v>14</v>
      </c>
      <c r="M174" s="81" t="s">
        <v>226</v>
      </c>
      <c r="N174" s="81">
        <v>2025</v>
      </c>
    </row>
    <row r="175" spans="1:14">
      <c r="A175" s="81">
        <v>174</v>
      </c>
      <c r="B175" s="81" t="s">
        <v>17</v>
      </c>
      <c r="C175" s="81" t="s">
        <v>26</v>
      </c>
      <c r="D175" s="81" t="s">
        <v>61</v>
      </c>
      <c r="E175" s="81" t="s">
        <v>91</v>
      </c>
      <c r="F175" s="81"/>
      <c r="G175" s="81" t="s">
        <v>92</v>
      </c>
      <c r="H175" s="81" t="s">
        <v>1182</v>
      </c>
      <c r="I175" s="83">
        <v>1121.4114392471963</v>
      </c>
      <c r="J175" s="81" t="s">
        <v>1190</v>
      </c>
      <c r="K175" s="84">
        <v>45895</v>
      </c>
      <c r="L175" s="81" t="s">
        <v>14</v>
      </c>
      <c r="M175" s="81" t="s">
        <v>225</v>
      </c>
      <c r="N175" s="81">
        <v>2025</v>
      </c>
    </row>
    <row r="176" spans="1:14">
      <c r="A176" s="81">
        <v>175</v>
      </c>
      <c r="B176" s="81" t="s">
        <v>17</v>
      </c>
      <c r="C176" s="81" t="s">
        <v>26</v>
      </c>
      <c r="D176" s="81" t="s">
        <v>61</v>
      </c>
      <c r="E176" s="81" t="s">
        <v>91</v>
      </c>
      <c r="F176" s="81"/>
      <c r="G176" s="111" t="s">
        <v>93</v>
      </c>
      <c r="H176" s="81" t="s">
        <v>1182</v>
      </c>
      <c r="I176" s="83">
        <v>74.65105389118483</v>
      </c>
      <c r="J176" s="81" t="s">
        <v>1189</v>
      </c>
      <c r="K176" s="84">
        <v>45884</v>
      </c>
      <c r="L176" s="81" t="s">
        <v>14</v>
      </c>
      <c r="M176" s="81" t="s">
        <v>225</v>
      </c>
      <c r="N176" s="81">
        <v>2025</v>
      </c>
    </row>
    <row r="177" spans="1:14">
      <c r="A177" s="81">
        <v>176</v>
      </c>
      <c r="B177" s="81" t="s">
        <v>17</v>
      </c>
      <c r="C177" s="81" t="s">
        <v>26</v>
      </c>
      <c r="D177" s="81" t="s">
        <v>19</v>
      </c>
      <c r="E177" s="81" t="s">
        <v>91</v>
      </c>
      <c r="F177" s="81"/>
      <c r="G177" s="109" t="s">
        <v>93</v>
      </c>
      <c r="H177" s="109" t="s">
        <v>1182</v>
      </c>
      <c r="I177" s="83">
        <v>67.713978873239441</v>
      </c>
      <c r="J177" s="109" t="s">
        <v>14</v>
      </c>
      <c r="K177" s="119" t="s">
        <v>14</v>
      </c>
      <c r="L177" s="109" t="s">
        <v>14</v>
      </c>
      <c r="M177" s="81" t="s">
        <v>226</v>
      </c>
      <c r="N177" s="81">
        <v>2025</v>
      </c>
    </row>
    <row r="178" spans="1:14">
      <c r="A178" s="81">
        <v>177</v>
      </c>
      <c r="B178" s="81" t="s">
        <v>43</v>
      </c>
      <c r="C178" s="81" t="s">
        <v>73</v>
      </c>
      <c r="D178" s="81" t="s">
        <v>61</v>
      </c>
      <c r="E178" s="81" t="s">
        <v>91</v>
      </c>
      <c r="F178" s="81"/>
      <c r="G178" s="81" t="s">
        <v>92</v>
      </c>
      <c r="H178" s="81" t="s">
        <v>1182</v>
      </c>
      <c r="I178" s="83">
        <v>1624.4976687116948</v>
      </c>
      <c r="J178" s="81" t="s">
        <v>1190</v>
      </c>
      <c r="K178" s="84">
        <v>45895</v>
      </c>
      <c r="L178" s="81" t="s">
        <v>14</v>
      </c>
      <c r="M178" s="81" t="s">
        <v>225</v>
      </c>
      <c r="N178" s="81">
        <v>2025</v>
      </c>
    </row>
    <row r="179" spans="1:14">
      <c r="A179" s="81">
        <v>178</v>
      </c>
      <c r="B179" s="81" t="s">
        <v>43</v>
      </c>
      <c r="C179" s="81" t="s">
        <v>73</v>
      </c>
      <c r="D179" s="81" t="s">
        <v>61</v>
      </c>
      <c r="E179" s="81" t="s">
        <v>91</v>
      </c>
      <c r="F179" s="81"/>
      <c r="G179" s="81" t="s">
        <v>92</v>
      </c>
      <c r="H179" s="81" t="s">
        <v>1182</v>
      </c>
      <c r="I179" s="83">
        <v>221.46422168869978</v>
      </c>
      <c r="J179" s="81" t="s">
        <v>1192</v>
      </c>
      <c r="K179" s="84">
        <v>45923</v>
      </c>
      <c r="L179" s="81" t="s">
        <v>14</v>
      </c>
      <c r="M179" s="81" t="s">
        <v>226</v>
      </c>
      <c r="N179" s="81">
        <v>2025</v>
      </c>
    </row>
    <row r="180" spans="1:14">
      <c r="A180" s="81">
        <v>179</v>
      </c>
      <c r="B180" s="81" t="s">
        <v>17</v>
      </c>
      <c r="C180" s="81" t="s">
        <v>25</v>
      </c>
      <c r="D180" s="81" t="s">
        <v>19</v>
      </c>
      <c r="E180" s="81" t="s">
        <v>91</v>
      </c>
      <c r="F180" s="81"/>
      <c r="G180" s="109" t="s">
        <v>93</v>
      </c>
      <c r="H180" s="81" t="s">
        <v>1181</v>
      </c>
      <c r="I180" s="83">
        <v>48943.743000000002</v>
      </c>
      <c r="J180" s="109" t="s">
        <v>14</v>
      </c>
      <c r="K180" s="119" t="s">
        <v>14</v>
      </c>
      <c r="L180" s="109" t="s">
        <v>14</v>
      </c>
      <c r="M180" s="81" t="s">
        <v>226</v>
      </c>
      <c r="N180" s="81">
        <v>2025</v>
      </c>
    </row>
    <row r="181" spans="1:14">
      <c r="A181" s="81">
        <v>180</v>
      </c>
      <c r="B181" s="81" t="s">
        <v>17</v>
      </c>
      <c r="C181" s="81" t="s">
        <v>25</v>
      </c>
      <c r="D181" s="81" t="s">
        <v>61</v>
      </c>
      <c r="E181" s="81" t="s">
        <v>91</v>
      </c>
      <c r="F181" s="81"/>
      <c r="G181" s="111" t="s">
        <v>93</v>
      </c>
      <c r="H181" s="81" t="s">
        <v>1181</v>
      </c>
      <c r="I181" s="83">
        <v>23065.1044697055</v>
      </c>
      <c r="J181" s="81" t="s">
        <v>1189</v>
      </c>
      <c r="K181" s="84">
        <v>45884</v>
      </c>
      <c r="L181" s="81" t="s">
        <v>14</v>
      </c>
      <c r="M181" s="81" t="s">
        <v>225</v>
      </c>
      <c r="N181" s="81">
        <v>2025</v>
      </c>
    </row>
    <row r="182" spans="1:14">
      <c r="A182" s="81">
        <v>181</v>
      </c>
      <c r="B182" s="81" t="s">
        <v>17</v>
      </c>
      <c r="C182" s="81" t="s">
        <v>25</v>
      </c>
      <c r="D182" s="81" t="s">
        <v>19</v>
      </c>
      <c r="E182" s="81" t="s">
        <v>91</v>
      </c>
      <c r="F182" s="81"/>
      <c r="G182" s="109" t="s">
        <v>93</v>
      </c>
      <c r="H182" s="109" t="s">
        <v>1182</v>
      </c>
      <c r="I182" s="83">
        <v>7333.4233098591549</v>
      </c>
      <c r="J182" s="109" t="s">
        <v>14</v>
      </c>
      <c r="K182" s="119" t="s">
        <v>14</v>
      </c>
      <c r="L182" s="109" t="s">
        <v>14</v>
      </c>
      <c r="M182" s="81" t="s">
        <v>226</v>
      </c>
      <c r="N182" s="81">
        <v>2025</v>
      </c>
    </row>
    <row r="183" spans="1:14">
      <c r="A183" s="81">
        <v>182</v>
      </c>
      <c r="B183" s="81" t="s">
        <v>17</v>
      </c>
      <c r="C183" s="81" t="s">
        <v>25</v>
      </c>
      <c r="D183" s="81" t="s">
        <v>61</v>
      </c>
      <c r="E183" s="81" t="s">
        <v>91</v>
      </c>
      <c r="F183" s="81"/>
      <c r="G183" s="81" t="s">
        <v>92</v>
      </c>
      <c r="H183" s="81" t="s">
        <v>1182</v>
      </c>
      <c r="I183" s="83">
        <v>6659.468206905749</v>
      </c>
      <c r="J183" s="81" t="s">
        <v>1192</v>
      </c>
      <c r="K183" s="84">
        <v>45923</v>
      </c>
      <c r="L183" s="81" t="s">
        <v>14</v>
      </c>
      <c r="M183" s="81" t="s">
        <v>226</v>
      </c>
      <c r="N183" s="81">
        <v>2025</v>
      </c>
    </row>
    <row r="184" spans="1:14">
      <c r="A184" s="81">
        <v>183</v>
      </c>
      <c r="B184" s="81" t="s">
        <v>17</v>
      </c>
      <c r="C184" s="81" t="s">
        <v>25</v>
      </c>
      <c r="D184" s="81" t="s">
        <v>61</v>
      </c>
      <c r="E184" s="81" t="s">
        <v>91</v>
      </c>
      <c r="F184" s="81"/>
      <c r="G184" s="81" t="s">
        <v>92</v>
      </c>
      <c r="H184" s="81" t="s">
        <v>1181</v>
      </c>
      <c r="I184" s="83">
        <v>6481.7482936228862</v>
      </c>
      <c r="J184" s="81" t="s">
        <v>1193</v>
      </c>
      <c r="K184" s="84">
        <v>45923</v>
      </c>
      <c r="L184" s="81" t="s">
        <v>14</v>
      </c>
      <c r="M184" s="81" t="s">
        <v>226</v>
      </c>
      <c r="N184" s="81">
        <v>2025</v>
      </c>
    </row>
    <row r="185" spans="1:14">
      <c r="A185" s="81">
        <v>184</v>
      </c>
      <c r="B185" s="81" t="s">
        <v>17</v>
      </c>
      <c r="C185" s="81" t="s">
        <v>25</v>
      </c>
      <c r="D185" s="81" t="s">
        <v>61</v>
      </c>
      <c r="E185" s="81" t="s">
        <v>91</v>
      </c>
      <c r="F185" s="81"/>
      <c r="G185" s="111" t="s">
        <v>93</v>
      </c>
      <c r="H185" s="81" t="s">
        <v>1182</v>
      </c>
      <c r="I185" s="83">
        <v>6419.9906346418957</v>
      </c>
      <c r="J185" s="81" t="s">
        <v>1189</v>
      </c>
      <c r="K185" s="84">
        <v>45884</v>
      </c>
      <c r="L185" s="81" t="s">
        <v>14</v>
      </c>
      <c r="M185" s="81" t="s">
        <v>225</v>
      </c>
      <c r="N185" s="81">
        <v>2025</v>
      </c>
    </row>
    <row r="186" spans="1:14">
      <c r="A186" s="81">
        <v>185</v>
      </c>
      <c r="B186" s="81" t="s">
        <v>17</v>
      </c>
      <c r="C186" s="81" t="s">
        <v>25</v>
      </c>
      <c r="D186" s="81" t="s">
        <v>61</v>
      </c>
      <c r="E186" s="81" t="s">
        <v>91</v>
      </c>
      <c r="F186" s="81"/>
      <c r="G186" s="81" t="s">
        <v>94</v>
      </c>
      <c r="H186" s="81" t="s">
        <v>1181</v>
      </c>
      <c r="I186" s="83">
        <v>5488.4013965198683</v>
      </c>
      <c r="J186" s="81" t="s">
        <v>1195</v>
      </c>
      <c r="K186" s="84">
        <v>45900</v>
      </c>
      <c r="L186" s="81" t="s">
        <v>14</v>
      </c>
      <c r="M186" s="81" t="s">
        <v>226</v>
      </c>
      <c r="N186" s="81">
        <v>2025</v>
      </c>
    </row>
    <row r="187" spans="1:14">
      <c r="A187" s="81">
        <v>186</v>
      </c>
      <c r="B187" s="81" t="s">
        <v>17</v>
      </c>
      <c r="C187" s="81" t="s">
        <v>25</v>
      </c>
      <c r="D187" s="81" t="s">
        <v>61</v>
      </c>
      <c r="E187" s="81" t="s">
        <v>91</v>
      </c>
      <c r="F187" s="81"/>
      <c r="G187" s="81" t="s">
        <v>92</v>
      </c>
      <c r="H187" s="81" t="s">
        <v>1182</v>
      </c>
      <c r="I187" s="83">
        <v>4359.254832413686</v>
      </c>
      <c r="J187" s="81" t="s">
        <v>1190</v>
      </c>
      <c r="K187" s="84">
        <v>45895</v>
      </c>
      <c r="L187" s="81" t="s">
        <v>14</v>
      </c>
      <c r="M187" s="81" t="s">
        <v>225</v>
      </c>
      <c r="N187" s="81">
        <v>2025</v>
      </c>
    </row>
    <row r="188" spans="1:14">
      <c r="A188" s="81">
        <v>187</v>
      </c>
      <c r="B188" s="81" t="s">
        <v>17</v>
      </c>
      <c r="C188" s="81" t="s">
        <v>25</v>
      </c>
      <c r="D188" s="81" t="s">
        <v>61</v>
      </c>
      <c r="E188" s="81" t="s">
        <v>91</v>
      </c>
      <c r="F188" s="81"/>
      <c r="G188" s="81" t="s">
        <v>92</v>
      </c>
      <c r="H188" s="81" t="s">
        <v>1181</v>
      </c>
      <c r="I188" s="83">
        <v>2563.3131733570626</v>
      </c>
      <c r="J188" s="81" t="s">
        <v>1191</v>
      </c>
      <c r="K188" s="84">
        <v>45895</v>
      </c>
      <c r="L188" s="81" t="s">
        <v>14</v>
      </c>
      <c r="M188" s="81" t="s">
        <v>225</v>
      </c>
      <c r="N188" s="81">
        <v>2025</v>
      </c>
    </row>
    <row r="189" spans="1:14">
      <c r="A189" s="81">
        <v>188</v>
      </c>
      <c r="B189" s="81" t="s">
        <v>17</v>
      </c>
      <c r="C189" s="81" t="s">
        <v>25</v>
      </c>
      <c r="D189" s="81" t="s">
        <v>61</v>
      </c>
      <c r="E189" s="81" t="s">
        <v>91</v>
      </c>
      <c r="F189" s="81"/>
      <c r="G189" s="81" t="s">
        <v>94</v>
      </c>
      <c r="H189" s="81" t="s">
        <v>1181</v>
      </c>
      <c r="I189" s="83">
        <v>2468.5523610893101</v>
      </c>
      <c r="J189" s="81">
        <v>2025000132</v>
      </c>
      <c r="K189" s="84">
        <v>45869</v>
      </c>
      <c r="L189" s="81" t="s">
        <v>14</v>
      </c>
      <c r="M189" s="81" t="s">
        <v>225</v>
      </c>
      <c r="N189" s="81">
        <v>2025</v>
      </c>
    </row>
    <row r="190" spans="1:14">
      <c r="A190" s="81">
        <v>189</v>
      </c>
      <c r="B190" s="81" t="s">
        <v>17</v>
      </c>
      <c r="C190" s="81" t="s">
        <v>24</v>
      </c>
      <c r="D190" s="81" t="s">
        <v>61</v>
      </c>
      <c r="E190" s="81" t="s">
        <v>91</v>
      </c>
      <c r="F190" s="81"/>
      <c r="G190" s="111" t="s">
        <v>93</v>
      </c>
      <c r="H190" s="81" t="s">
        <v>1181</v>
      </c>
      <c r="I190" s="83">
        <v>18373.074775669851</v>
      </c>
      <c r="J190" s="81" t="s">
        <v>1189</v>
      </c>
      <c r="K190" s="84">
        <v>45884</v>
      </c>
      <c r="L190" s="81" t="s">
        <v>14</v>
      </c>
      <c r="M190" s="81" t="s">
        <v>225</v>
      </c>
      <c r="N190" s="81">
        <v>2025</v>
      </c>
    </row>
    <row r="191" spans="1:14">
      <c r="A191" s="81">
        <v>190</v>
      </c>
      <c r="B191" s="81" t="s">
        <v>17</v>
      </c>
      <c r="C191" s="81" t="s">
        <v>24</v>
      </c>
      <c r="D191" s="81" t="s">
        <v>61</v>
      </c>
      <c r="E191" s="81" t="s">
        <v>91</v>
      </c>
      <c r="F191" s="81"/>
      <c r="G191" s="81" t="s">
        <v>92</v>
      </c>
      <c r="H191" s="81" t="s">
        <v>1182</v>
      </c>
      <c r="I191" s="83">
        <v>10457.750269817809</v>
      </c>
      <c r="J191" s="81" t="s">
        <v>1190</v>
      </c>
      <c r="K191" s="84">
        <v>45895</v>
      </c>
      <c r="L191" s="81" t="s">
        <v>14</v>
      </c>
      <c r="M191" s="81" t="s">
        <v>225</v>
      </c>
      <c r="N191" s="81">
        <v>2025</v>
      </c>
    </row>
    <row r="192" spans="1:14">
      <c r="A192" s="81">
        <v>191</v>
      </c>
      <c r="B192" s="81" t="s">
        <v>17</v>
      </c>
      <c r="C192" s="81" t="s">
        <v>24</v>
      </c>
      <c r="D192" s="81" t="s">
        <v>61</v>
      </c>
      <c r="E192" s="81" t="s">
        <v>91</v>
      </c>
      <c r="F192" s="81"/>
      <c r="G192" s="81" t="s">
        <v>92</v>
      </c>
      <c r="H192" s="81" t="s">
        <v>1181</v>
      </c>
      <c r="I192" s="83">
        <v>7324.4027748293456</v>
      </c>
      <c r="J192" s="81" t="s">
        <v>1193</v>
      </c>
      <c r="K192" s="84">
        <v>45923</v>
      </c>
      <c r="L192" s="81" t="s">
        <v>14</v>
      </c>
      <c r="M192" s="81" t="s">
        <v>226</v>
      </c>
      <c r="N192" s="81">
        <v>2025</v>
      </c>
    </row>
    <row r="193" spans="1:14">
      <c r="A193" s="81">
        <v>192</v>
      </c>
      <c r="B193" s="81" t="s">
        <v>17</v>
      </c>
      <c r="C193" s="81" t="s">
        <v>24</v>
      </c>
      <c r="D193" s="81" t="s">
        <v>61</v>
      </c>
      <c r="E193" s="81" t="s">
        <v>91</v>
      </c>
      <c r="F193" s="81"/>
      <c r="G193" s="81" t="s">
        <v>92</v>
      </c>
      <c r="H193" s="81" t="s">
        <v>1182</v>
      </c>
      <c r="I193" s="83">
        <v>6793.9007089954475</v>
      </c>
      <c r="J193" s="81" t="s">
        <v>1192</v>
      </c>
      <c r="K193" s="84">
        <v>45923</v>
      </c>
      <c r="L193" s="81" t="s">
        <v>14</v>
      </c>
      <c r="M193" s="81" t="s">
        <v>226</v>
      </c>
      <c r="N193" s="81">
        <v>2025</v>
      </c>
    </row>
    <row r="194" spans="1:14">
      <c r="A194" s="81">
        <v>193</v>
      </c>
      <c r="B194" s="81" t="s">
        <v>17</v>
      </c>
      <c r="C194" s="81" t="s">
        <v>24</v>
      </c>
      <c r="D194" s="81" t="s">
        <v>19</v>
      </c>
      <c r="E194" s="81" t="s">
        <v>91</v>
      </c>
      <c r="F194" s="81"/>
      <c r="G194" s="109" t="s">
        <v>93</v>
      </c>
      <c r="H194" s="81" t="s">
        <v>1181</v>
      </c>
      <c r="I194" s="83">
        <v>5479.414936619718</v>
      </c>
      <c r="J194" s="109" t="s">
        <v>14</v>
      </c>
      <c r="K194" s="119" t="s">
        <v>14</v>
      </c>
      <c r="L194" s="109" t="s">
        <v>14</v>
      </c>
      <c r="M194" s="81" t="s">
        <v>226</v>
      </c>
      <c r="N194" s="81">
        <v>2025</v>
      </c>
    </row>
    <row r="195" spans="1:14">
      <c r="A195" s="81">
        <v>194</v>
      </c>
      <c r="B195" s="81" t="s">
        <v>17</v>
      </c>
      <c r="C195" s="81" t="s">
        <v>24</v>
      </c>
      <c r="D195" s="81" t="s">
        <v>19</v>
      </c>
      <c r="E195" s="81" t="s">
        <v>91</v>
      </c>
      <c r="F195" s="81"/>
      <c r="G195" s="109" t="s">
        <v>93</v>
      </c>
      <c r="H195" s="109" t="s">
        <v>1182</v>
      </c>
      <c r="I195" s="83">
        <v>5111.863401408451</v>
      </c>
      <c r="J195" s="109" t="s">
        <v>14</v>
      </c>
      <c r="K195" s="119" t="s">
        <v>14</v>
      </c>
      <c r="L195" s="109" t="s">
        <v>14</v>
      </c>
      <c r="M195" s="81" t="s">
        <v>226</v>
      </c>
      <c r="N195" s="81">
        <v>2025</v>
      </c>
    </row>
    <row r="196" spans="1:14">
      <c r="A196" s="81">
        <v>195</v>
      </c>
      <c r="B196" s="81" t="s">
        <v>17</v>
      </c>
      <c r="C196" s="81" t="s">
        <v>24</v>
      </c>
      <c r="D196" s="81" t="s">
        <v>61</v>
      </c>
      <c r="E196" s="81" t="s">
        <v>91</v>
      </c>
      <c r="F196" s="81"/>
      <c r="G196" s="111" t="s">
        <v>93</v>
      </c>
      <c r="H196" s="81" t="s">
        <v>1182</v>
      </c>
      <c r="I196" s="83">
        <v>5089.3684780025733</v>
      </c>
      <c r="J196" s="81" t="s">
        <v>1189</v>
      </c>
      <c r="K196" s="84">
        <v>45884</v>
      </c>
      <c r="L196" s="81" t="s">
        <v>14</v>
      </c>
      <c r="M196" s="81" t="s">
        <v>225</v>
      </c>
      <c r="N196" s="81">
        <v>2025</v>
      </c>
    </row>
    <row r="197" spans="1:14">
      <c r="A197" s="81">
        <v>196</v>
      </c>
      <c r="B197" s="81" t="s">
        <v>17</v>
      </c>
      <c r="C197" s="81" t="s">
        <v>24</v>
      </c>
      <c r="D197" s="81" t="s">
        <v>61</v>
      </c>
      <c r="E197" s="81" t="s">
        <v>91</v>
      </c>
      <c r="F197" s="81"/>
      <c r="G197" s="81" t="s">
        <v>92</v>
      </c>
      <c r="H197" s="81" t="s">
        <v>1181</v>
      </c>
      <c r="I197" s="83">
        <v>3414.1380850336145</v>
      </c>
      <c r="J197" s="81" t="s">
        <v>1191</v>
      </c>
      <c r="K197" s="84">
        <v>45895</v>
      </c>
      <c r="L197" s="81" t="s">
        <v>14</v>
      </c>
      <c r="M197" s="81" t="s">
        <v>225</v>
      </c>
      <c r="N197" s="81">
        <v>2025</v>
      </c>
    </row>
    <row r="198" spans="1:14">
      <c r="A198" s="81">
        <v>197</v>
      </c>
      <c r="B198" s="81" t="s">
        <v>17</v>
      </c>
      <c r="C198" s="81" t="s">
        <v>24</v>
      </c>
      <c r="D198" s="81" t="s">
        <v>61</v>
      </c>
      <c r="E198" s="81" t="s">
        <v>91</v>
      </c>
      <c r="F198" s="81"/>
      <c r="G198" s="81" t="s">
        <v>94</v>
      </c>
      <c r="H198" s="81" t="s">
        <v>1181</v>
      </c>
      <c r="I198" s="83">
        <v>1297.0236635947936</v>
      </c>
      <c r="J198" s="81" t="s">
        <v>1195</v>
      </c>
      <c r="K198" s="84">
        <v>45900</v>
      </c>
      <c r="L198" s="81" t="s">
        <v>14</v>
      </c>
      <c r="M198" s="81" t="s">
        <v>226</v>
      </c>
      <c r="N198" s="81">
        <v>2025</v>
      </c>
    </row>
    <row r="199" spans="1:14">
      <c r="A199" s="81">
        <v>198</v>
      </c>
      <c r="B199" s="81" t="s">
        <v>17</v>
      </c>
      <c r="C199" s="81" t="s">
        <v>24</v>
      </c>
      <c r="D199" s="81" t="s">
        <v>61</v>
      </c>
      <c r="E199" s="81" t="s">
        <v>91</v>
      </c>
      <c r="F199" s="81"/>
      <c r="G199" s="81" t="s">
        <v>94</v>
      </c>
      <c r="H199" s="81" t="s">
        <v>1181</v>
      </c>
      <c r="I199" s="83">
        <v>223.29332779845041</v>
      </c>
      <c r="J199" s="81">
        <v>2025000132</v>
      </c>
      <c r="K199" s="84">
        <v>45869</v>
      </c>
      <c r="L199" s="81" t="s">
        <v>14</v>
      </c>
      <c r="M199" s="81" t="s">
        <v>225</v>
      </c>
      <c r="N199" s="81">
        <v>2025</v>
      </c>
    </row>
    <row r="200" spans="1:14">
      <c r="A200" s="81">
        <v>199</v>
      </c>
      <c r="B200" s="81" t="s">
        <v>43</v>
      </c>
      <c r="C200" s="81" t="s">
        <v>77</v>
      </c>
      <c r="D200" s="81" t="s">
        <v>61</v>
      </c>
      <c r="E200" s="81" t="s">
        <v>91</v>
      </c>
      <c r="F200" s="81"/>
      <c r="G200" s="81" t="s">
        <v>94</v>
      </c>
      <c r="H200" s="81" t="s">
        <v>1181</v>
      </c>
      <c r="I200" s="83">
        <v>3727.0633514700194</v>
      </c>
      <c r="J200" s="81">
        <v>2025000132</v>
      </c>
      <c r="K200" s="84">
        <v>45869</v>
      </c>
      <c r="L200" s="81" t="s">
        <v>14</v>
      </c>
      <c r="M200" s="81" t="s">
        <v>225</v>
      </c>
      <c r="N200" s="81">
        <v>2025</v>
      </c>
    </row>
    <row r="201" spans="1:14">
      <c r="A201" s="81">
        <v>200</v>
      </c>
      <c r="B201" s="81" t="s">
        <v>43</v>
      </c>
      <c r="C201" s="81" t="s">
        <v>77</v>
      </c>
      <c r="D201" s="81" t="s">
        <v>61</v>
      </c>
      <c r="E201" s="81" t="s">
        <v>91</v>
      </c>
      <c r="F201" s="81"/>
      <c r="G201" s="111" t="s">
        <v>93</v>
      </c>
      <c r="H201" s="81" t="s">
        <v>1181</v>
      </c>
      <c r="I201" s="83">
        <v>3066.5278542268784</v>
      </c>
      <c r="J201" s="81" t="s">
        <v>1189</v>
      </c>
      <c r="K201" s="84">
        <v>45884</v>
      </c>
      <c r="L201" s="81" t="s">
        <v>14</v>
      </c>
      <c r="M201" s="81" t="s">
        <v>225</v>
      </c>
      <c r="N201" s="81">
        <v>2025</v>
      </c>
    </row>
    <row r="202" spans="1:14">
      <c r="A202" s="81">
        <v>201</v>
      </c>
      <c r="B202" s="81" t="s">
        <v>43</v>
      </c>
      <c r="C202" s="81" t="s">
        <v>77</v>
      </c>
      <c r="D202" s="81" t="s">
        <v>61</v>
      </c>
      <c r="E202" s="81" t="s">
        <v>91</v>
      </c>
      <c r="F202" s="81"/>
      <c r="G202" s="81" t="s">
        <v>92</v>
      </c>
      <c r="H202" s="81" t="s">
        <v>1182</v>
      </c>
      <c r="I202" s="83">
        <v>2856.1917008247037</v>
      </c>
      <c r="J202" s="81" t="s">
        <v>1190</v>
      </c>
      <c r="K202" s="84">
        <v>45895</v>
      </c>
      <c r="L202" s="81" t="s">
        <v>14</v>
      </c>
      <c r="M202" s="81" t="s">
        <v>225</v>
      </c>
      <c r="N202" s="81">
        <v>2025</v>
      </c>
    </row>
    <row r="203" spans="1:14">
      <c r="A203" s="81">
        <v>202</v>
      </c>
      <c r="B203" s="81" t="s">
        <v>43</v>
      </c>
      <c r="C203" s="81" t="s">
        <v>77</v>
      </c>
      <c r="D203" s="81" t="s">
        <v>61</v>
      </c>
      <c r="E203" s="81" t="s">
        <v>91</v>
      </c>
      <c r="F203" s="81"/>
      <c r="G203" s="81" t="s">
        <v>92</v>
      </c>
      <c r="H203" s="81" t="s">
        <v>1181</v>
      </c>
      <c r="I203" s="83">
        <v>1793.7773170461908</v>
      </c>
      <c r="J203" s="81" t="s">
        <v>1191</v>
      </c>
      <c r="K203" s="84">
        <v>45895</v>
      </c>
      <c r="L203" s="81" t="s">
        <v>14</v>
      </c>
      <c r="M203" s="81" t="s">
        <v>225</v>
      </c>
      <c r="N203" s="81">
        <v>2025</v>
      </c>
    </row>
    <row r="204" spans="1:14">
      <c r="A204" s="81">
        <v>203</v>
      </c>
      <c r="B204" s="81" t="s">
        <v>43</v>
      </c>
      <c r="C204" s="81" t="s">
        <v>77</v>
      </c>
      <c r="D204" s="81" t="s">
        <v>61</v>
      </c>
      <c r="E204" s="81" t="s">
        <v>91</v>
      </c>
      <c r="F204" s="81"/>
      <c r="G204" s="81" t="s">
        <v>94</v>
      </c>
      <c r="H204" s="81" t="s">
        <v>1181</v>
      </c>
      <c r="I204" s="83">
        <v>1380.4421906402872</v>
      </c>
      <c r="J204" s="81" t="s">
        <v>1195</v>
      </c>
      <c r="K204" s="84">
        <v>45900</v>
      </c>
      <c r="L204" s="81" t="s">
        <v>14</v>
      </c>
      <c r="M204" s="81" t="s">
        <v>226</v>
      </c>
      <c r="N204" s="81">
        <v>2025</v>
      </c>
    </row>
    <row r="205" spans="1:14">
      <c r="A205" s="81">
        <v>204</v>
      </c>
      <c r="B205" s="81" t="s">
        <v>43</v>
      </c>
      <c r="C205" s="81" t="s">
        <v>77</v>
      </c>
      <c r="D205" s="81" t="s">
        <v>61</v>
      </c>
      <c r="E205" s="81" t="s">
        <v>91</v>
      </c>
      <c r="F205" s="81"/>
      <c r="G205" s="81" t="s">
        <v>92</v>
      </c>
      <c r="H205" s="81" t="s">
        <v>1182</v>
      </c>
      <c r="I205" s="83">
        <v>1230.3568881782153</v>
      </c>
      <c r="J205" s="81" t="s">
        <v>1192</v>
      </c>
      <c r="K205" s="84">
        <v>45923</v>
      </c>
      <c r="L205" s="81" t="s">
        <v>14</v>
      </c>
      <c r="M205" s="81" t="s">
        <v>226</v>
      </c>
      <c r="N205" s="81">
        <v>2025</v>
      </c>
    </row>
    <row r="206" spans="1:14">
      <c r="A206" s="81">
        <v>205</v>
      </c>
      <c r="B206" s="81" t="s">
        <v>43</v>
      </c>
      <c r="C206" s="81" t="s">
        <v>77</v>
      </c>
      <c r="D206" s="81" t="s">
        <v>61</v>
      </c>
      <c r="E206" s="81" t="s">
        <v>91</v>
      </c>
      <c r="F206" s="81"/>
      <c r="G206" s="81" t="s">
        <v>92</v>
      </c>
      <c r="H206" s="81" t="s">
        <v>1181</v>
      </c>
      <c r="I206" s="83">
        <v>1006.7245786276995</v>
      </c>
      <c r="J206" s="81" t="s">
        <v>1193</v>
      </c>
      <c r="K206" s="84">
        <v>45923</v>
      </c>
      <c r="L206" s="81" t="s">
        <v>14</v>
      </c>
      <c r="M206" s="81" t="s">
        <v>226</v>
      </c>
      <c r="N206" s="81">
        <v>2025</v>
      </c>
    </row>
    <row r="207" spans="1:14">
      <c r="A207" s="81">
        <v>206</v>
      </c>
      <c r="B207" s="81" t="s">
        <v>43</v>
      </c>
      <c r="C207" s="81" t="s">
        <v>77</v>
      </c>
      <c r="D207" s="81" t="s">
        <v>19</v>
      </c>
      <c r="E207" s="81" t="s">
        <v>91</v>
      </c>
      <c r="F207" s="81"/>
      <c r="G207" s="109" t="s">
        <v>93</v>
      </c>
      <c r="H207" s="81" t="s">
        <v>1181</v>
      </c>
      <c r="I207" s="83">
        <v>172.94149295774648</v>
      </c>
      <c r="J207" s="109" t="s">
        <v>14</v>
      </c>
      <c r="K207" s="119" t="s">
        <v>14</v>
      </c>
      <c r="L207" s="109" t="s">
        <v>14</v>
      </c>
      <c r="M207" s="81" t="s">
        <v>226</v>
      </c>
      <c r="N207" s="81">
        <v>2025</v>
      </c>
    </row>
    <row r="208" spans="1:14">
      <c r="A208" s="81">
        <v>207</v>
      </c>
      <c r="B208" s="81" t="s">
        <v>17</v>
      </c>
      <c r="C208" s="81" t="s">
        <v>23</v>
      </c>
      <c r="D208" s="81" t="s">
        <v>61</v>
      </c>
      <c r="E208" s="81" t="s">
        <v>91</v>
      </c>
      <c r="F208" s="81"/>
      <c r="G208" s="111" t="s">
        <v>93</v>
      </c>
      <c r="H208" s="81" t="s">
        <v>1181</v>
      </c>
      <c r="I208" s="83">
        <v>2460.7864046167433</v>
      </c>
      <c r="J208" s="81" t="s">
        <v>1189</v>
      </c>
      <c r="K208" s="84">
        <v>45884</v>
      </c>
      <c r="L208" s="81" t="s">
        <v>14</v>
      </c>
      <c r="M208" s="81" t="s">
        <v>225</v>
      </c>
      <c r="N208" s="81">
        <v>2025</v>
      </c>
    </row>
    <row r="209" spans="1:14">
      <c r="A209" s="81">
        <v>208</v>
      </c>
      <c r="B209" s="81" t="s">
        <v>17</v>
      </c>
      <c r="C209" s="81" t="s">
        <v>23</v>
      </c>
      <c r="D209" s="81" t="s">
        <v>19</v>
      </c>
      <c r="E209" s="81" t="s">
        <v>91</v>
      </c>
      <c r="F209" s="81"/>
      <c r="G209" s="109" t="s">
        <v>93</v>
      </c>
      <c r="H209" s="81" t="s">
        <v>1181</v>
      </c>
      <c r="I209" s="83">
        <v>2048.7540633802819</v>
      </c>
      <c r="J209" s="109" t="s">
        <v>14</v>
      </c>
      <c r="K209" s="119" t="s">
        <v>14</v>
      </c>
      <c r="L209" s="109" t="s">
        <v>14</v>
      </c>
      <c r="M209" s="81" t="s">
        <v>226</v>
      </c>
      <c r="N209" s="81">
        <v>2025</v>
      </c>
    </row>
    <row r="210" spans="1:14">
      <c r="A210" s="81">
        <v>209</v>
      </c>
      <c r="B210" s="81" t="s">
        <v>17</v>
      </c>
      <c r="C210" s="81" t="s">
        <v>23</v>
      </c>
      <c r="D210" s="81" t="s">
        <v>61</v>
      </c>
      <c r="E210" s="81" t="s">
        <v>91</v>
      </c>
      <c r="F210" s="81"/>
      <c r="G210" s="81" t="s">
        <v>92</v>
      </c>
      <c r="H210" s="81" t="s">
        <v>1182</v>
      </c>
      <c r="I210" s="83">
        <v>1709.2540971696567</v>
      </c>
      <c r="J210" s="81" t="s">
        <v>1190</v>
      </c>
      <c r="K210" s="84">
        <v>45895</v>
      </c>
      <c r="L210" s="81" t="s">
        <v>14</v>
      </c>
      <c r="M210" s="81" t="s">
        <v>225</v>
      </c>
      <c r="N210" s="81">
        <v>2025</v>
      </c>
    </row>
    <row r="211" spans="1:14">
      <c r="A211" s="81">
        <v>210</v>
      </c>
      <c r="B211" s="81" t="s">
        <v>17</v>
      </c>
      <c r="C211" s="81" t="s">
        <v>23</v>
      </c>
      <c r="D211" s="81" t="s">
        <v>61</v>
      </c>
      <c r="E211" s="81" t="s">
        <v>91</v>
      </c>
      <c r="F211" s="81"/>
      <c r="G211" s="111" t="s">
        <v>97</v>
      </c>
      <c r="H211" s="111" t="s">
        <v>1182</v>
      </c>
      <c r="I211" s="83">
        <v>1380</v>
      </c>
      <c r="J211" s="81" t="s">
        <v>1187</v>
      </c>
      <c r="K211" s="84">
        <v>45869</v>
      </c>
      <c r="L211" s="81" t="s">
        <v>14</v>
      </c>
      <c r="M211" s="81" t="s">
        <v>225</v>
      </c>
      <c r="N211" s="81">
        <v>2025</v>
      </c>
    </row>
    <row r="212" spans="1:14">
      <c r="A212" s="81">
        <v>211</v>
      </c>
      <c r="B212" s="81" t="s">
        <v>17</v>
      </c>
      <c r="C212" s="81" t="s">
        <v>23</v>
      </c>
      <c r="D212" s="81" t="s">
        <v>61</v>
      </c>
      <c r="E212" s="81" t="s">
        <v>91</v>
      </c>
      <c r="F212" s="81"/>
      <c r="G212" s="111" t="s">
        <v>97</v>
      </c>
      <c r="H212" s="111" t="s">
        <v>1182</v>
      </c>
      <c r="I212" s="83">
        <v>1320</v>
      </c>
      <c r="J212" s="81" t="s">
        <v>1188</v>
      </c>
      <c r="K212" s="84">
        <v>45900</v>
      </c>
      <c r="L212" s="81" t="s">
        <v>14</v>
      </c>
      <c r="M212" s="81" t="s">
        <v>226</v>
      </c>
      <c r="N212" s="81">
        <v>2025</v>
      </c>
    </row>
    <row r="213" spans="1:14">
      <c r="A213" s="81">
        <v>212</v>
      </c>
      <c r="B213" s="81" t="s">
        <v>17</v>
      </c>
      <c r="C213" s="81" t="s">
        <v>23</v>
      </c>
      <c r="D213" s="81" t="s">
        <v>19</v>
      </c>
      <c r="E213" s="81" t="s">
        <v>91</v>
      </c>
      <c r="F213" s="81"/>
      <c r="G213" s="109" t="s">
        <v>93</v>
      </c>
      <c r="H213" s="109" t="s">
        <v>1182</v>
      </c>
      <c r="I213" s="83">
        <v>1312.2968028169014</v>
      </c>
      <c r="J213" s="109" t="s">
        <v>14</v>
      </c>
      <c r="K213" s="119" t="s">
        <v>14</v>
      </c>
      <c r="L213" s="109" t="s">
        <v>14</v>
      </c>
      <c r="M213" s="81" t="s">
        <v>226</v>
      </c>
      <c r="N213" s="81">
        <v>2025</v>
      </c>
    </row>
    <row r="214" spans="1:14">
      <c r="A214" s="81">
        <v>213</v>
      </c>
      <c r="B214" s="81" t="s">
        <v>17</v>
      </c>
      <c r="C214" s="81" t="s">
        <v>23</v>
      </c>
      <c r="D214" s="81" t="s">
        <v>61</v>
      </c>
      <c r="E214" s="81" t="s">
        <v>91</v>
      </c>
      <c r="F214" s="81"/>
      <c r="G214" s="111" t="s">
        <v>93</v>
      </c>
      <c r="H214" s="81" t="s">
        <v>1182</v>
      </c>
      <c r="I214" s="83">
        <v>597.20845837056606</v>
      </c>
      <c r="J214" s="81" t="s">
        <v>1189</v>
      </c>
      <c r="K214" s="84">
        <v>45884</v>
      </c>
      <c r="L214" s="81" t="s">
        <v>14</v>
      </c>
      <c r="M214" s="81" t="s">
        <v>225</v>
      </c>
      <c r="N214" s="81">
        <v>2025</v>
      </c>
    </row>
    <row r="215" spans="1:14">
      <c r="A215" s="81">
        <v>214</v>
      </c>
      <c r="B215" s="81" t="s">
        <v>17</v>
      </c>
      <c r="C215" s="81" t="s">
        <v>23</v>
      </c>
      <c r="D215" s="81" t="s">
        <v>61</v>
      </c>
      <c r="E215" s="81" t="s">
        <v>91</v>
      </c>
      <c r="F215" s="81"/>
      <c r="G215" s="81" t="s">
        <v>92</v>
      </c>
      <c r="H215" s="81" t="s">
        <v>1182</v>
      </c>
      <c r="I215" s="83">
        <v>590.57125783653271</v>
      </c>
      <c r="J215" s="81" t="s">
        <v>1192</v>
      </c>
      <c r="K215" s="84">
        <v>45923</v>
      </c>
      <c r="L215" s="81" t="s">
        <v>14</v>
      </c>
      <c r="M215" s="81" t="s">
        <v>226</v>
      </c>
      <c r="N215" s="81">
        <v>2025</v>
      </c>
    </row>
    <row r="216" spans="1:14">
      <c r="A216" s="81">
        <v>215</v>
      </c>
      <c r="B216" s="81" t="s">
        <v>17</v>
      </c>
      <c r="C216" s="81" t="s">
        <v>23</v>
      </c>
      <c r="D216" s="81" t="s">
        <v>61</v>
      </c>
      <c r="E216" s="81" t="s">
        <v>91</v>
      </c>
      <c r="F216" s="81"/>
      <c r="G216" s="81" t="s">
        <v>94</v>
      </c>
      <c r="H216" s="81" t="s">
        <v>1181</v>
      </c>
      <c r="I216" s="83">
        <v>381.39312881347314</v>
      </c>
      <c r="J216" s="81" t="s">
        <v>1195</v>
      </c>
      <c r="K216" s="84">
        <v>45900</v>
      </c>
      <c r="L216" s="81" t="s">
        <v>14</v>
      </c>
      <c r="M216" s="81" t="s">
        <v>226</v>
      </c>
      <c r="N216" s="81">
        <v>2025</v>
      </c>
    </row>
    <row r="217" spans="1:14">
      <c r="A217" s="81">
        <v>216</v>
      </c>
      <c r="B217" s="81" t="s">
        <v>17</v>
      </c>
      <c r="C217" s="81" t="s">
        <v>23</v>
      </c>
      <c r="D217" s="81" t="s">
        <v>61</v>
      </c>
      <c r="E217" s="81" t="s">
        <v>91</v>
      </c>
      <c r="F217" s="81"/>
      <c r="G217" s="81" t="s">
        <v>92</v>
      </c>
      <c r="H217" s="81" t="s">
        <v>1181</v>
      </c>
      <c r="I217" s="83">
        <v>284.51150708613454</v>
      </c>
      <c r="J217" s="81" t="s">
        <v>1191</v>
      </c>
      <c r="K217" s="84">
        <v>45895</v>
      </c>
      <c r="L217" s="81" t="s">
        <v>14</v>
      </c>
      <c r="M217" s="81" t="s">
        <v>225</v>
      </c>
      <c r="N217" s="81">
        <v>2025</v>
      </c>
    </row>
    <row r="218" spans="1:14">
      <c r="A218" s="81">
        <v>217</v>
      </c>
      <c r="B218" s="81" t="s">
        <v>17</v>
      </c>
      <c r="C218" s="81" t="s">
        <v>23</v>
      </c>
      <c r="D218" s="81" t="s">
        <v>61</v>
      </c>
      <c r="E218" s="81" t="s">
        <v>91</v>
      </c>
      <c r="F218" s="81"/>
      <c r="G218" s="81" t="s">
        <v>94</v>
      </c>
      <c r="H218" s="81" t="s">
        <v>1181</v>
      </c>
      <c r="I218" s="83">
        <v>139.93048407861747</v>
      </c>
      <c r="J218" s="81">
        <v>2025000132</v>
      </c>
      <c r="K218" s="84">
        <v>45869</v>
      </c>
      <c r="L218" s="81" t="s">
        <v>14</v>
      </c>
      <c r="M218" s="81" t="s">
        <v>225</v>
      </c>
      <c r="N218" s="81">
        <v>2025</v>
      </c>
    </row>
    <row r="219" spans="1:14">
      <c r="A219" s="81">
        <v>218</v>
      </c>
      <c r="B219" s="81" t="s">
        <v>43</v>
      </c>
      <c r="C219" s="81" t="s">
        <v>52</v>
      </c>
      <c r="D219" s="81" t="s">
        <v>61</v>
      </c>
      <c r="E219" s="81" t="s">
        <v>91</v>
      </c>
      <c r="F219" s="81"/>
      <c r="G219" s="81" t="s">
        <v>92</v>
      </c>
      <c r="H219" s="81" t="s">
        <v>1181</v>
      </c>
      <c r="I219" s="83">
        <v>15299.132150451689</v>
      </c>
      <c r="J219" s="81" t="s">
        <v>1191</v>
      </c>
      <c r="K219" s="84">
        <v>45895</v>
      </c>
      <c r="L219" s="81" t="s">
        <v>14</v>
      </c>
      <c r="M219" s="81" t="s">
        <v>225</v>
      </c>
      <c r="N219" s="81">
        <v>2025</v>
      </c>
    </row>
    <row r="220" spans="1:14">
      <c r="A220" s="81">
        <v>219</v>
      </c>
      <c r="B220" s="81" t="s">
        <v>43</v>
      </c>
      <c r="C220" s="81" t="s">
        <v>52</v>
      </c>
      <c r="D220" s="81" t="s">
        <v>61</v>
      </c>
      <c r="E220" s="81" t="s">
        <v>91</v>
      </c>
      <c r="F220" s="81"/>
      <c r="G220" s="81" t="s">
        <v>92</v>
      </c>
      <c r="H220" s="81" t="s">
        <v>1181</v>
      </c>
      <c r="I220" s="83">
        <v>9227.5289166436014</v>
      </c>
      <c r="J220" s="81" t="s">
        <v>1193</v>
      </c>
      <c r="K220" s="84">
        <v>45923</v>
      </c>
      <c r="L220" s="81" t="s">
        <v>14</v>
      </c>
      <c r="M220" s="81" t="s">
        <v>226</v>
      </c>
      <c r="N220" s="81">
        <v>2025</v>
      </c>
    </row>
    <row r="221" spans="1:14">
      <c r="A221" s="81">
        <v>220</v>
      </c>
      <c r="B221" s="81" t="s">
        <v>43</v>
      </c>
      <c r="C221" s="81" t="s">
        <v>52</v>
      </c>
      <c r="D221" s="81" t="s">
        <v>61</v>
      </c>
      <c r="E221" s="81" t="s">
        <v>91</v>
      </c>
      <c r="F221" s="81"/>
      <c r="G221" s="81" t="s">
        <v>92</v>
      </c>
      <c r="H221" s="81" t="s">
        <v>1182</v>
      </c>
      <c r="I221" s="83">
        <v>5385.7489174090324</v>
      </c>
      <c r="J221" s="81" t="s">
        <v>1190</v>
      </c>
      <c r="K221" s="84">
        <v>45895</v>
      </c>
      <c r="L221" s="81" t="s">
        <v>14</v>
      </c>
      <c r="M221" s="81" t="s">
        <v>225</v>
      </c>
      <c r="N221" s="81">
        <v>2025</v>
      </c>
    </row>
    <row r="222" spans="1:14">
      <c r="A222" s="81">
        <v>221</v>
      </c>
      <c r="B222" s="81" t="s">
        <v>43</v>
      </c>
      <c r="C222" s="81" t="s">
        <v>52</v>
      </c>
      <c r="D222" s="81" t="s">
        <v>61</v>
      </c>
      <c r="E222" s="81" t="s">
        <v>91</v>
      </c>
      <c r="F222" s="81"/>
      <c r="G222" s="81" t="s">
        <v>92</v>
      </c>
      <c r="H222" s="81" t="s">
        <v>1182</v>
      </c>
      <c r="I222" s="83">
        <v>2583.7492530348304</v>
      </c>
      <c r="J222" s="81" t="s">
        <v>1192</v>
      </c>
      <c r="K222" s="84">
        <v>45923</v>
      </c>
      <c r="L222" s="81" t="s">
        <v>14</v>
      </c>
      <c r="M222" s="81" t="s">
        <v>226</v>
      </c>
      <c r="N222" s="81">
        <v>2025</v>
      </c>
    </row>
    <row r="223" spans="1:14">
      <c r="A223" s="81">
        <v>222</v>
      </c>
      <c r="B223" s="81" t="s">
        <v>43</v>
      </c>
      <c r="C223" s="81" t="s">
        <v>52</v>
      </c>
      <c r="D223" s="81" t="s">
        <v>61</v>
      </c>
      <c r="E223" s="81" t="s">
        <v>91</v>
      </c>
      <c r="F223" s="81"/>
      <c r="G223" s="111" t="s">
        <v>96</v>
      </c>
      <c r="H223" s="109" t="s">
        <v>1182</v>
      </c>
      <c r="I223" s="83">
        <f>2560000/1420</f>
        <v>1802.8169014084508</v>
      </c>
      <c r="J223" s="81" t="s">
        <v>365</v>
      </c>
      <c r="K223" s="84">
        <v>45900</v>
      </c>
      <c r="L223" s="81" t="s">
        <v>14</v>
      </c>
      <c r="M223" s="109" t="s">
        <v>226</v>
      </c>
      <c r="N223" s="81">
        <v>2025</v>
      </c>
    </row>
    <row r="224" spans="1:14">
      <c r="A224" s="81">
        <v>223</v>
      </c>
      <c r="B224" s="81" t="s">
        <v>43</v>
      </c>
      <c r="C224" s="81" t="s">
        <v>52</v>
      </c>
      <c r="D224" s="81" t="s">
        <v>61</v>
      </c>
      <c r="E224" s="81" t="s">
        <v>91</v>
      </c>
      <c r="F224" s="81"/>
      <c r="G224" s="111" t="s">
        <v>96</v>
      </c>
      <c r="H224" s="111" t="s">
        <v>1182</v>
      </c>
      <c r="I224" s="83">
        <v>531.41830985915487</v>
      </c>
      <c r="J224" s="81" t="s">
        <v>1183</v>
      </c>
      <c r="K224" s="84">
        <v>45869</v>
      </c>
      <c r="L224" s="81" t="s">
        <v>14</v>
      </c>
      <c r="M224" s="81" t="s">
        <v>225</v>
      </c>
      <c r="N224" s="81">
        <v>2025</v>
      </c>
    </row>
    <row r="225" spans="1:14">
      <c r="A225" s="81">
        <v>224</v>
      </c>
      <c r="B225" s="81" t="s">
        <v>43</v>
      </c>
      <c r="C225" s="81" t="s">
        <v>51</v>
      </c>
      <c r="D225" s="81" t="s">
        <v>61</v>
      </c>
      <c r="E225" s="81" t="s">
        <v>91</v>
      </c>
      <c r="F225" s="81"/>
      <c r="G225" s="81" t="s">
        <v>92</v>
      </c>
      <c r="H225" s="81" t="s">
        <v>1181</v>
      </c>
      <c r="I225" s="83">
        <v>42414.244022996572</v>
      </c>
      <c r="J225" s="81" t="s">
        <v>1191</v>
      </c>
      <c r="K225" s="84">
        <v>45895</v>
      </c>
      <c r="L225" s="81" t="s">
        <v>14</v>
      </c>
      <c r="M225" s="81" t="s">
        <v>225</v>
      </c>
      <c r="N225" s="81">
        <v>2025</v>
      </c>
    </row>
    <row r="226" spans="1:14">
      <c r="A226" s="81">
        <v>225</v>
      </c>
      <c r="B226" s="81" t="s">
        <v>43</v>
      </c>
      <c r="C226" s="81" t="s">
        <v>51</v>
      </c>
      <c r="D226" s="81" t="s">
        <v>61</v>
      </c>
      <c r="E226" s="81" t="s">
        <v>91</v>
      </c>
      <c r="F226" s="81"/>
      <c r="G226" s="81" t="s">
        <v>92</v>
      </c>
      <c r="H226" s="81" t="s">
        <v>1181</v>
      </c>
      <c r="I226" s="83">
        <v>38886.105157922429</v>
      </c>
      <c r="J226" s="81" t="s">
        <v>1193</v>
      </c>
      <c r="K226" s="84">
        <v>45923</v>
      </c>
      <c r="L226" s="81" t="s">
        <v>14</v>
      </c>
      <c r="M226" s="81" t="s">
        <v>226</v>
      </c>
      <c r="N226" s="81">
        <v>2025</v>
      </c>
    </row>
    <row r="227" spans="1:14">
      <c r="A227" s="81">
        <v>226</v>
      </c>
      <c r="B227" s="81" t="s">
        <v>43</v>
      </c>
      <c r="C227" s="81" t="s">
        <v>51</v>
      </c>
      <c r="D227" s="81" t="s">
        <v>61</v>
      </c>
      <c r="E227" s="81" t="s">
        <v>91</v>
      </c>
      <c r="F227" s="81"/>
      <c r="G227" s="81" t="s">
        <v>94</v>
      </c>
      <c r="H227" s="81" t="s">
        <v>1181</v>
      </c>
      <c r="I227" s="83">
        <v>33798.720116973571</v>
      </c>
      <c r="J227" s="81">
        <v>2025000132</v>
      </c>
      <c r="K227" s="84">
        <v>45869</v>
      </c>
      <c r="L227" s="81" t="s">
        <v>14</v>
      </c>
      <c r="M227" s="81" t="s">
        <v>225</v>
      </c>
      <c r="N227" s="81">
        <v>2025</v>
      </c>
    </row>
    <row r="228" spans="1:14">
      <c r="A228" s="81">
        <v>227</v>
      </c>
      <c r="B228" s="81" t="s">
        <v>43</v>
      </c>
      <c r="C228" s="81" t="s">
        <v>51</v>
      </c>
      <c r="D228" s="81" t="s">
        <v>61</v>
      </c>
      <c r="E228" s="81" t="s">
        <v>91</v>
      </c>
      <c r="F228" s="81"/>
      <c r="G228" s="81" t="s">
        <v>94</v>
      </c>
      <c r="H228" s="81" t="s">
        <v>1181</v>
      </c>
      <c r="I228" s="83">
        <v>31475.15836500331</v>
      </c>
      <c r="J228" s="81" t="s">
        <v>1195</v>
      </c>
      <c r="K228" s="84">
        <v>45900</v>
      </c>
      <c r="L228" s="81" t="s">
        <v>14</v>
      </c>
      <c r="M228" s="81" t="s">
        <v>226</v>
      </c>
      <c r="N228" s="81">
        <v>2025</v>
      </c>
    </row>
    <row r="229" spans="1:14">
      <c r="A229" s="81">
        <v>228</v>
      </c>
      <c r="B229" s="81" t="s">
        <v>43</v>
      </c>
      <c r="C229" s="81" t="s">
        <v>51</v>
      </c>
      <c r="D229" s="81" t="s">
        <v>61</v>
      </c>
      <c r="E229" s="81" t="s">
        <v>91</v>
      </c>
      <c r="F229" s="81"/>
      <c r="G229" s="111" t="s">
        <v>93</v>
      </c>
      <c r="H229" s="81" t="s">
        <v>1181</v>
      </c>
      <c r="I229" s="83">
        <v>28569.059338973078</v>
      </c>
      <c r="J229" s="81" t="s">
        <v>1189</v>
      </c>
      <c r="K229" s="84">
        <v>45884</v>
      </c>
      <c r="L229" s="81" t="s">
        <v>14</v>
      </c>
      <c r="M229" s="81" t="s">
        <v>225</v>
      </c>
      <c r="N229" s="81">
        <v>2025</v>
      </c>
    </row>
    <row r="230" spans="1:14">
      <c r="A230" s="81">
        <v>229</v>
      </c>
      <c r="B230" s="81" t="s">
        <v>43</v>
      </c>
      <c r="C230" s="81" t="s">
        <v>51</v>
      </c>
      <c r="D230" s="81" t="s">
        <v>61</v>
      </c>
      <c r="E230" s="81" t="s">
        <v>91</v>
      </c>
      <c r="F230" s="81"/>
      <c r="G230" s="111" t="s">
        <v>93</v>
      </c>
      <c r="H230" s="81" t="s">
        <v>1182</v>
      </c>
      <c r="I230" s="83">
        <v>27427.583396474714</v>
      </c>
      <c r="J230" s="81" t="s">
        <v>1189</v>
      </c>
      <c r="K230" s="84">
        <v>45884</v>
      </c>
      <c r="L230" s="81" t="s">
        <v>14</v>
      </c>
      <c r="M230" s="81" t="s">
        <v>225</v>
      </c>
      <c r="N230" s="81">
        <v>2025</v>
      </c>
    </row>
    <row r="231" spans="1:14">
      <c r="A231" s="81">
        <v>230</v>
      </c>
      <c r="B231" s="81" t="s">
        <v>43</v>
      </c>
      <c r="C231" s="81" t="s">
        <v>51</v>
      </c>
      <c r="D231" s="81" t="s">
        <v>19</v>
      </c>
      <c r="E231" s="81" t="s">
        <v>91</v>
      </c>
      <c r="F231" s="81"/>
      <c r="G231" s="109" t="s">
        <v>93</v>
      </c>
      <c r="H231" s="109" t="s">
        <v>1182</v>
      </c>
      <c r="I231" s="83">
        <v>26495.665598591549</v>
      </c>
      <c r="J231" s="109" t="s">
        <v>14</v>
      </c>
      <c r="K231" s="119" t="s">
        <v>14</v>
      </c>
      <c r="L231" s="109" t="s">
        <v>14</v>
      </c>
      <c r="M231" s="81" t="s">
        <v>226</v>
      </c>
      <c r="N231" s="81">
        <v>2025</v>
      </c>
    </row>
    <row r="232" spans="1:14">
      <c r="A232" s="81">
        <v>231</v>
      </c>
      <c r="B232" s="81" t="s">
        <v>43</v>
      </c>
      <c r="C232" s="81" t="s">
        <v>51</v>
      </c>
      <c r="D232" s="81" t="s">
        <v>61</v>
      </c>
      <c r="E232" s="81" t="s">
        <v>91</v>
      </c>
      <c r="F232" s="81"/>
      <c r="G232" s="81" t="s">
        <v>92</v>
      </c>
      <c r="H232" s="81" t="s">
        <v>1182</v>
      </c>
      <c r="I232" s="83">
        <v>23562.031653530139</v>
      </c>
      <c r="J232" s="81" t="s">
        <v>1190</v>
      </c>
      <c r="K232" s="84">
        <v>45895</v>
      </c>
      <c r="L232" s="81" t="s">
        <v>14</v>
      </c>
      <c r="M232" s="81" t="s">
        <v>225</v>
      </c>
      <c r="N232" s="81">
        <v>2025</v>
      </c>
    </row>
    <row r="233" spans="1:14">
      <c r="A233" s="81">
        <v>232</v>
      </c>
      <c r="B233" s="81" t="s">
        <v>43</v>
      </c>
      <c r="C233" s="81" t="s">
        <v>51</v>
      </c>
      <c r="D233" s="81" t="s">
        <v>61</v>
      </c>
      <c r="E233" s="81" t="s">
        <v>91</v>
      </c>
      <c r="F233" s="81"/>
      <c r="G233" s="81" t="s">
        <v>92</v>
      </c>
      <c r="H233" s="81" t="s">
        <v>1182</v>
      </c>
      <c r="I233" s="83">
        <v>18460.532555115784</v>
      </c>
      <c r="J233" s="81" t="s">
        <v>1192</v>
      </c>
      <c r="K233" s="84">
        <v>45923</v>
      </c>
      <c r="L233" s="81" t="s">
        <v>14</v>
      </c>
      <c r="M233" s="81" t="s">
        <v>226</v>
      </c>
      <c r="N233" s="81">
        <v>2025</v>
      </c>
    </row>
    <row r="234" spans="1:14">
      <c r="A234" s="81">
        <v>233</v>
      </c>
      <c r="B234" s="81" t="s">
        <v>43</v>
      </c>
      <c r="C234" s="81" t="s">
        <v>51</v>
      </c>
      <c r="D234" s="81" t="s">
        <v>19</v>
      </c>
      <c r="E234" s="81" t="s">
        <v>91</v>
      </c>
      <c r="F234" s="81"/>
      <c r="G234" s="109" t="s">
        <v>93</v>
      </c>
      <c r="H234" s="81" t="s">
        <v>1181</v>
      </c>
      <c r="I234" s="83">
        <v>8433.7161197183104</v>
      </c>
      <c r="J234" s="109" t="s">
        <v>14</v>
      </c>
      <c r="K234" s="119" t="s">
        <v>14</v>
      </c>
      <c r="L234" s="109" t="s">
        <v>14</v>
      </c>
      <c r="M234" s="81" t="s">
        <v>226</v>
      </c>
      <c r="N234" s="81">
        <v>2025</v>
      </c>
    </row>
    <row r="235" spans="1:14">
      <c r="A235" s="81">
        <v>234</v>
      </c>
      <c r="B235" s="81" t="s">
        <v>43</v>
      </c>
      <c r="C235" s="81" t="s">
        <v>50</v>
      </c>
      <c r="D235" s="81" t="s">
        <v>61</v>
      </c>
      <c r="E235" s="81" t="s">
        <v>91</v>
      </c>
      <c r="F235" s="81"/>
      <c r="G235" s="111" t="s">
        <v>93</v>
      </c>
      <c r="H235" s="81" t="s">
        <v>1182</v>
      </c>
      <c r="I235" s="83">
        <v>24962.134174713956</v>
      </c>
      <c r="J235" s="81" t="s">
        <v>1189</v>
      </c>
      <c r="K235" s="84">
        <v>45884</v>
      </c>
      <c r="L235" s="81" t="s">
        <v>14</v>
      </c>
      <c r="M235" s="81" t="s">
        <v>225</v>
      </c>
      <c r="N235" s="81">
        <v>2025</v>
      </c>
    </row>
    <row r="236" spans="1:14">
      <c r="A236" s="81">
        <v>235</v>
      </c>
      <c r="B236" s="81" t="s">
        <v>43</v>
      </c>
      <c r="C236" s="81" t="s">
        <v>50</v>
      </c>
      <c r="D236" s="81" t="s">
        <v>19</v>
      </c>
      <c r="E236" s="81" t="s">
        <v>91</v>
      </c>
      <c r="F236" s="81"/>
      <c r="G236" s="109" t="s">
        <v>93</v>
      </c>
      <c r="H236" s="109" t="s">
        <v>1182</v>
      </c>
      <c r="I236" s="83">
        <v>22127.707992957749</v>
      </c>
      <c r="J236" s="109" t="s">
        <v>14</v>
      </c>
      <c r="K236" s="119" t="s">
        <v>14</v>
      </c>
      <c r="L236" s="109" t="s">
        <v>14</v>
      </c>
      <c r="M236" s="81" t="s">
        <v>226</v>
      </c>
      <c r="N236" s="81">
        <v>2025</v>
      </c>
    </row>
    <row r="237" spans="1:14">
      <c r="A237" s="81">
        <v>236</v>
      </c>
      <c r="B237" s="81" t="s">
        <v>43</v>
      </c>
      <c r="C237" s="81" t="s">
        <v>50</v>
      </c>
      <c r="D237" s="81" t="s">
        <v>61</v>
      </c>
      <c r="E237" s="81" t="s">
        <v>91</v>
      </c>
      <c r="F237" s="81"/>
      <c r="G237" s="111" t="s">
        <v>93</v>
      </c>
      <c r="H237" s="81" t="s">
        <v>1181</v>
      </c>
      <c r="I237" s="83">
        <v>20695.178814642681</v>
      </c>
      <c r="J237" s="81" t="s">
        <v>1189</v>
      </c>
      <c r="K237" s="84">
        <v>45884</v>
      </c>
      <c r="L237" s="81" t="s">
        <v>14</v>
      </c>
      <c r="M237" s="81" t="s">
        <v>225</v>
      </c>
      <c r="N237" s="81">
        <v>2025</v>
      </c>
    </row>
    <row r="238" spans="1:14">
      <c r="A238" s="81">
        <v>237</v>
      </c>
      <c r="B238" s="81" t="s">
        <v>43</v>
      </c>
      <c r="C238" s="81" t="s">
        <v>50</v>
      </c>
      <c r="D238" s="81" t="s">
        <v>61</v>
      </c>
      <c r="E238" s="81" t="s">
        <v>91</v>
      </c>
      <c r="F238" s="81"/>
      <c r="G238" s="81" t="s">
        <v>92</v>
      </c>
      <c r="H238" s="81" t="s">
        <v>1182</v>
      </c>
      <c r="I238" s="83">
        <v>17417.068667002084</v>
      </c>
      <c r="J238" s="81" t="s">
        <v>1190</v>
      </c>
      <c r="K238" s="84">
        <v>45895</v>
      </c>
      <c r="L238" s="81" t="s">
        <v>14</v>
      </c>
      <c r="M238" s="81" t="s">
        <v>225</v>
      </c>
      <c r="N238" s="81">
        <v>2025</v>
      </c>
    </row>
    <row r="239" spans="1:14">
      <c r="A239" s="81">
        <v>238</v>
      </c>
      <c r="B239" s="81" t="s">
        <v>43</v>
      </c>
      <c r="C239" s="81" t="s">
        <v>50</v>
      </c>
      <c r="D239" s="81" t="s">
        <v>61</v>
      </c>
      <c r="E239" s="81" t="s">
        <v>91</v>
      </c>
      <c r="F239" s="81"/>
      <c r="G239" s="81" t="s">
        <v>92</v>
      </c>
      <c r="H239" s="81" t="s">
        <v>1181</v>
      </c>
      <c r="I239" s="83">
        <v>15197.249965042287</v>
      </c>
      <c r="J239" s="81" t="s">
        <v>1191</v>
      </c>
      <c r="K239" s="84">
        <v>45895</v>
      </c>
      <c r="L239" s="81" t="s">
        <v>14</v>
      </c>
      <c r="M239" s="81" t="s">
        <v>225</v>
      </c>
      <c r="N239" s="81">
        <v>2025</v>
      </c>
    </row>
    <row r="240" spans="1:14">
      <c r="A240" s="81">
        <v>239</v>
      </c>
      <c r="B240" s="81" t="s">
        <v>43</v>
      </c>
      <c r="C240" s="81" t="s">
        <v>50</v>
      </c>
      <c r="D240" s="81" t="s">
        <v>61</v>
      </c>
      <c r="E240" s="81" t="s">
        <v>91</v>
      </c>
      <c r="F240" s="81"/>
      <c r="G240" s="81" t="s">
        <v>92</v>
      </c>
      <c r="H240" s="81" t="s">
        <v>1182</v>
      </c>
      <c r="I240" s="83">
        <v>13917.925592860571</v>
      </c>
      <c r="J240" s="81" t="s">
        <v>1192</v>
      </c>
      <c r="K240" s="84">
        <v>45923</v>
      </c>
      <c r="L240" s="81" t="s">
        <v>14</v>
      </c>
      <c r="M240" s="81" t="s">
        <v>226</v>
      </c>
      <c r="N240" s="81">
        <v>2025</v>
      </c>
    </row>
    <row r="241" spans="1:14">
      <c r="A241" s="81">
        <v>240</v>
      </c>
      <c r="B241" s="81" t="s">
        <v>43</v>
      </c>
      <c r="C241" s="81" t="s">
        <v>50</v>
      </c>
      <c r="D241" s="81" t="s">
        <v>19</v>
      </c>
      <c r="E241" s="81" t="s">
        <v>91</v>
      </c>
      <c r="F241" s="81"/>
      <c r="G241" s="109" t="s">
        <v>93</v>
      </c>
      <c r="H241" s="81" t="s">
        <v>1181</v>
      </c>
      <c r="I241" s="83">
        <v>8185.6717464788735</v>
      </c>
      <c r="J241" s="109" t="s">
        <v>14</v>
      </c>
      <c r="K241" s="119" t="s">
        <v>14</v>
      </c>
      <c r="L241" s="109" t="s">
        <v>14</v>
      </c>
      <c r="M241" s="81" t="s">
        <v>226</v>
      </c>
      <c r="N241" s="81">
        <v>2025</v>
      </c>
    </row>
    <row r="242" spans="1:14">
      <c r="A242" s="81">
        <v>241</v>
      </c>
      <c r="B242" s="81" t="s">
        <v>43</v>
      </c>
      <c r="C242" s="81" t="s">
        <v>50</v>
      </c>
      <c r="D242" s="81" t="s">
        <v>61</v>
      </c>
      <c r="E242" s="81" t="s">
        <v>91</v>
      </c>
      <c r="F242" s="81"/>
      <c r="G242" s="81" t="s">
        <v>94</v>
      </c>
      <c r="H242" s="81" t="s">
        <v>1181</v>
      </c>
      <c r="I242" s="83">
        <v>3026.0297422529329</v>
      </c>
      <c r="J242" s="81" t="s">
        <v>1195</v>
      </c>
      <c r="K242" s="84">
        <v>45900</v>
      </c>
      <c r="L242" s="81" t="s">
        <v>14</v>
      </c>
      <c r="M242" s="81" t="s">
        <v>226</v>
      </c>
      <c r="N242" s="81">
        <v>2025</v>
      </c>
    </row>
    <row r="243" spans="1:14">
      <c r="A243" s="81">
        <v>242</v>
      </c>
      <c r="B243" s="81" t="s">
        <v>43</v>
      </c>
      <c r="C243" s="81" t="s">
        <v>50</v>
      </c>
      <c r="D243" s="81" t="s">
        <v>61</v>
      </c>
      <c r="E243" s="81" t="s">
        <v>91</v>
      </c>
      <c r="F243" s="81"/>
      <c r="G243" s="81" t="s">
        <v>92</v>
      </c>
      <c r="H243" s="81" t="s">
        <v>1181</v>
      </c>
      <c r="I243" s="83">
        <v>2785.2749562394447</v>
      </c>
      <c r="J243" s="81" t="s">
        <v>1193</v>
      </c>
      <c r="K243" s="84">
        <v>45923</v>
      </c>
      <c r="L243" s="81" t="s">
        <v>14</v>
      </c>
      <c r="M243" s="81" t="s">
        <v>226</v>
      </c>
      <c r="N243" s="81">
        <v>2025</v>
      </c>
    </row>
    <row r="244" spans="1:14">
      <c r="A244" s="81">
        <v>243</v>
      </c>
      <c r="B244" s="81" t="s">
        <v>43</v>
      </c>
      <c r="C244" s="81" t="s">
        <v>50</v>
      </c>
      <c r="D244" s="81" t="s">
        <v>61</v>
      </c>
      <c r="E244" s="81" t="s">
        <v>91</v>
      </c>
      <c r="F244" s="81"/>
      <c r="G244" s="81" t="s">
        <v>94</v>
      </c>
      <c r="H244" s="81" t="s">
        <v>1181</v>
      </c>
      <c r="I244" s="83">
        <v>1133.8835184676411</v>
      </c>
      <c r="J244" s="81">
        <v>2025000132</v>
      </c>
      <c r="K244" s="84">
        <v>45869</v>
      </c>
      <c r="L244" s="81" t="s">
        <v>14</v>
      </c>
      <c r="M244" s="81" t="s">
        <v>225</v>
      </c>
      <c r="N244" s="81">
        <v>2025</v>
      </c>
    </row>
    <row r="245" spans="1:14">
      <c r="A245" s="81">
        <v>244</v>
      </c>
      <c r="B245" s="81" t="s">
        <v>43</v>
      </c>
      <c r="C245" s="81" t="s">
        <v>50</v>
      </c>
      <c r="D245" s="81" t="s">
        <v>19</v>
      </c>
      <c r="E245" s="81" t="s">
        <v>91</v>
      </c>
      <c r="F245" s="81"/>
      <c r="G245" s="109" t="s">
        <v>93</v>
      </c>
      <c r="H245" s="109" t="s">
        <v>1182</v>
      </c>
      <c r="I245" s="83">
        <v>787.37808450704222</v>
      </c>
      <c r="J245" s="109" t="s">
        <v>14</v>
      </c>
      <c r="K245" s="119" t="s">
        <v>14</v>
      </c>
      <c r="L245" s="109" t="s">
        <v>14</v>
      </c>
      <c r="M245" s="81" t="s">
        <v>226</v>
      </c>
      <c r="N245" s="81">
        <v>2025</v>
      </c>
    </row>
    <row r="246" spans="1:14">
      <c r="A246" s="81">
        <v>245</v>
      </c>
      <c r="B246" s="81" t="s">
        <v>43</v>
      </c>
      <c r="C246" s="81" t="s">
        <v>50</v>
      </c>
      <c r="D246" s="81" t="s">
        <v>61</v>
      </c>
      <c r="E246" s="81" t="s">
        <v>91</v>
      </c>
      <c r="F246" s="81"/>
      <c r="G246" s="81" t="s">
        <v>94</v>
      </c>
      <c r="H246" s="81" t="s">
        <v>1181</v>
      </c>
      <c r="I246" s="83">
        <v>679.27801816444469</v>
      </c>
      <c r="J246" s="81" t="s">
        <v>1195</v>
      </c>
      <c r="K246" s="84">
        <v>45900</v>
      </c>
      <c r="L246" s="81" t="s">
        <v>14</v>
      </c>
      <c r="M246" s="81" t="s">
        <v>226</v>
      </c>
      <c r="N246" s="81">
        <v>2025</v>
      </c>
    </row>
    <row r="247" spans="1:14">
      <c r="A247" s="81">
        <v>246</v>
      </c>
      <c r="B247" s="81" t="s">
        <v>43</v>
      </c>
      <c r="C247" s="81" t="s">
        <v>50</v>
      </c>
      <c r="D247" s="81" t="s">
        <v>61</v>
      </c>
      <c r="E247" s="81" t="s">
        <v>91</v>
      </c>
      <c r="F247" s="81"/>
      <c r="G247" s="81" t="s">
        <v>94</v>
      </c>
      <c r="H247" s="81" t="s">
        <v>1181</v>
      </c>
      <c r="I247" s="83">
        <v>378.25889825043851</v>
      </c>
      <c r="J247" s="81">
        <v>2025000132</v>
      </c>
      <c r="K247" s="84">
        <v>45869</v>
      </c>
      <c r="L247" s="81" t="s">
        <v>14</v>
      </c>
      <c r="M247" s="81" t="s">
        <v>225</v>
      </c>
      <c r="N247" s="81">
        <v>2025</v>
      </c>
    </row>
    <row r="248" spans="1:14">
      <c r="A248" s="81">
        <v>247</v>
      </c>
      <c r="B248" s="81" t="s">
        <v>43</v>
      </c>
      <c r="C248" s="81" t="s">
        <v>50</v>
      </c>
      <c r="D248" s="81" t="s">
        <v>19</v>
      </c>
      <c r="E248" s="81" t="s">
        <v>91</v>
      </c>
      <c r="F248" s="81"/>
      <c r="G248" s="109" t="s">
        <v>93</v>
      </c>
      <c r="H248" s="81" t="s">
        <v>1181</v>
      </c>
      <c r="I248" s="83">
        <v>172.94149295774648</v>
      </c>
      <c r="J248" s="109" t="s">
        <v>14</v>
      </c>
      <c r="K248" s="119" t="s">
        <v>14</v>
      </c>
      <c r="L248" s="109" t="s">
        <v>14</v>
      </c>
      <c r="M248" s="81" t="s">
        <v>226</v>
      </c>
      <c r="N248" s="81">
        <v>2025</v>
      </c>
    </row>
    <row r="249" spans="1:14">
      <c r="A249" s="81">
        <v>248</v>
      </c>
      <c r="B249" s="81" t="s">
        <v>43</v>
      </c>
      <c r="C249" s="81" t="s">
        <v>50</v>
      </c>
      <c r="D249" s="81" t="s">
        <v>61</v>
      </c>
      <c r="E249" s="81" t="s">
        <v>91</v>
      </c>
      <c r="F249" s="81"/>
      <c r="G249" s="81" t="s">
        <v>92</v>
      </c>
      <c r="H249" s="81" t="s">
        <v>1182</v>
      </c>
      <c r="I249" s="83">
        <v>141.26067328796447</v>
      </c>
      <c r="J249" s="81" t="s">
        <v>1190</v>
      </c>
      <c r="K249" s="84">
        <v>45895</v>
      </c>
      <c r="L249" s="81" t="s">
        <v>14</v>
      </c>
      <c r="M249" s="81" t="s">
        <v>225</v>
      </c>
      <c r="N249" s="81">
        <v>2025</v>
      </c>
    </row>
    <row r="250" spans="1:14">
      <c r="A250" s="81">
        <v>249</v>
      </c>
      <c r="B250" s="81" t="s">
        <v>43</v>
      </c>
      <c r="C250" s="81" t="s">
        <v>50</v>
      </c>
      <c r="D250" s="81" t="s">
        <v>61</v>
      </c>
      <c r="E250" s="81" t="s">
        <v>91</v>
      </c>
      <c r="F250" s="81"/>
      <c r="G250" s="81" t="s">
        <v>92</v>
      </c>
      <c r="H250" s="81" t="s">
        <v>1181</v>
      </c>
      <c r="I250" s="83">
        <v>86.708267484336815</v>
      </c>
      <c r="J250" s="81" t="s">
        <v>1191</v>
      </c>
      <c r="K250" s="84">
        <v>45895</v>
      </c>
      <c r="L250" s="81" t="s">
        <v>14</v>
      </c>
      <c r="M250" s="81" t="s">
        <v>225</v>
      </c>
      <c r="N250" s="81">
        <v>2025</v>
      </c>
    </row>
    <row r="251" spans="1:14">
      <c r="A251" s="81">
        <v>250</v>
      </c>
      <c r="B251" s="81" t="s">
        <v>43</v>
      </c>
      <c r="C251" s="81" t="s">
        <v>49</v>
      </c>
      <c r="D251" s="81" t="s">
        <v>61</v>
      </c>
      <c r="E251" s="81" t="s">
        <v>91</v>
      </c>
      <c r="F251" s="81"/>
      <c r="G251" s="81" t="s">
        <v>92</v>
      </c>
      <c r="H251" s="81" t="s">
        <v>1182</v>
      </c>
      <c r="I251" s="83">
        <v>8235.6199483928212</v>
      </c>
      <c r="J251" s="81" t="s">
        <v>1192</v>
      </c>
      <c r="K251" s="84">
        <v>45923</v>
      </c>
      <c r="L251" s="81" t="s">
        <v>14</v>
      </c>
      <c r="M251" s="81" t="s">
        <v>226</v>
      </c>
      <c r="N251" s="81">
        <v>2025</v>
      </c>
    </row>
    <row r="252" spans="1:14">
      <c r="A252" s="81">
        <v>251</v>
      </c>
      <c r="B252" s="81" t="s">
        <v>43</v>
      </c>
      <c r="C252" s="81" t="s">
        <v>49</v>
      </c>
      <c r="D252" s="81" t="s">
        <v>61</v>
      </c>
      <c r="E252" s="81" t="s">
        <v>91</v>
      </c>
      <c r="F252" s="81"/>
      <c r="G252" s="81" t="s">
        <v>92</v>
      </c>
      <c r="H252" s="81" t="s">
        <v>1182</v>
      </c>
      <c r="I252" s="83">
        <v>6074.2086743132922</v>
      </c>
      <c r="J252" s="81" t="s">
        <v>1190</v>
      </c>
      <c r="K252" s="84">
        <v>45895</v>
      </c>
      <c r="L252" s="81" t="s">
        <v>14</v>
      </c>
      <c r="M252" s="81" t="s">
        <v>225</v>
      </c>
      <c r="N252" s="81">
        <v>2025</v>
      </c>
    </row>
    <row r="253" spans="1:14">
      <c r="A253" s="81">
        <v>252</v>
      </c>
      <c r="B253" s="81" t="s">
        <v>43</v>
      </c>
      <c r="C253" s="81" t="s">
        <v>49</v>
      </c>
      <c r="D253" s="81" t="s">
        <v>61</v>
      </c>
      <c r="E253" s="81" t="s">
        <v>91</v>
      </c>
      <c r="F253" s="81"/>
      <c r="G253" s="81" t="s">
        <v>92</v>
      </c>
      <c r="H253" s="81" t="s">
        <v>1181</v>
      </c>
      <c r="I253" s="83">
        <v>4335.982473106169</v>
      </c>
      <c r="J253" s="81" t="s">
        <v>1191</v>
      </c>
      <c r="K253" s="84">
        <v>45895</v>
      </c>
      <c r="L253" s="81" t="s">
        <v>14</v>
      </c>
      <c r="M253" s="81" t="s">
        <v>225</v>
      </c>
      <c r="N253" s="81">
        <v>2025</v>
      </c>
    </row>
    <row r="254" spans="1:14">
      <c r="A254" s="81">
        <v>253</v>
      </c>
      <c r="B254" s="81" t="s">
        <v>43</v>
      </c>
      <c r="C254" s="81" t="s">
        <v>49</v>
      </c>
      <c r="D254" s="81" t="s">
        <v>61</v>
      </c>
      <c r="E254" s="81" t="s">
        <v>91</v>
      </c>
      <c r="F254" s="81"/>
      <c r="G254" s="81" t="s">
        <v>92</v>
      </c>
      <c r="H254" s="81" t="s">
        <v>1181</v>
      </c>
      <c r="I254" s="83">
        <v>4324.7921785179642</v>
      </c>
      <c r="J254" s="81" t="s">
        <v>1193</v>
      </c>
      <c r="K254" s="84">
        <v>45923</v>
      </c>
      <c r="L254" s="81" t="s">
        <v>14</v>
      </c>
      <c r="M254" s="81" t="s">
        <v>226</v>
      </c>
      <c r="N254" s="81">
        <v>2025</v>
      </c>
    </row>
    <row r="255" spans="1:14">
      <c r="A255" s="81">
        <v>254</v>
      </c>
      <c r="B255" s="81" t="s">
        <v>43</v>
      </c>
      <c r="C255" s="81" t="s">
        <v>49</v>
      </c>
      <c r="D255" s="81" t="s">
        <v>61</v>
      </c>
      <c r="E255" s="81" t="s">
        <v>91</v>
      </c>
      <c r="F255" s="81"/>
      <c r="G255" s="111" t="s">
        <v>93</v>
      </c>
      <c r="H255" s="81" t="s">
        <v>1181</v>
      </c>
      <c r="I255" s="83">
        <v>1686.5903212235498</v>
      </c>
      <c r="J255" s="81" t="s">
        <v>1189</v>
      </c>
      <c r="K255" s="84">
        <v>45884</v>
      </c>
      <c r="L255" s="81" t="s">
        <v>14</v>
      </c>
      <c r="M255" s="81" t="s">
        <v>225</v>
      </c>
      <c r="N255" s="81">
        <v>2025</v>
      </c>
    </row>
    <row r="256" spans="1:14">
      <c r="A256" s="81">
        <v>255</v>
      </c>
      <c r="B256" s="81" t="s">
        <v>43</v>
      </c>
      <c r="C256" s="81" t="s">
        <v>49</v>
      </c>
      <c r="D256" s="81" t="s">
        <v>19</v>
      </c>
      <c r="E256" s="81" t="s">
        <v>91</v>
      </c>
      <c r="F256" s="81"/>
      <c r="G256" s="109" t="s">
        <v>93</v>
      </c>
      <c r="H256" s="81" t="s">
        <v>1181</v>
      </c>
      <c r="I256" s="83">
        <v>566.08883802816899</v>
      </c>
      <c r="J256" s="109" t="s">
        <v>14</v>
      </c>
      <c r="K256" s="119" t="s">
        <v>14</v>
      </c>
      <c r="L256" s="109" t="s">
        <v>14</v>
      </c>
      <c r="M256" s="81" t="s">
        <v>226</v>
      </c>
      <c r="N256" s="81">
        <v>2025</v>
      </c>
    </row>
    <row r="257" spans="1:14">
      <c r="A257" s="81">
        <v>256</v>
      </c>
      <c r="B257" s="81" t="s">
        <v>43</v>
      </c>
      <c r="C257" s="81" t="s">
        <v>49</v>
      </c>
      <c r="D257" s="81" t="s">
        <v>61</v>
      </c>
      <c r="E257" s="81" t="s">
        <v>91</v>
      </c>
      <c r="F257" s="81"/>
      <c r="G257" s="81" t="s">
        <v>94</v>
      </c>
      <c r="H257" s="81" t="s">
        <v>1181</v>
      </c>
      <c r="I257" s="83">
        <v>440.03671682551487</v>
      </c>
      <c r="J257" s="81">
        <v>2025000132</v>
      </c>
      <c r="K257" s="84">
        <v>45869</v>
      </c>
      <c r="L257" s="81" t="s">
        <v>14</v>
      </c>
      <c r="M257" s="81" t="s">
        <v>225</v>
      </c>
      <c r="N257" s="81">
        <v>2025</v>
      </c>
    </row>
    <row r="258" spans="1:14">
      <c r="A258" s="81">
        <v>257</v>
      </c>
      <c r="B258" s="81" t="s">
        <v>43</v>
      </c>
      <c r="C258" s="81" t="s">
        <v>48</v>
      </c>
      <c r="D258" s="81" t="s">
        <v>19</v>
      </c>
      <c r="E258" s="81" t="s">
        <v>91</v>
      </c>
      <c r="F258" s="81"/>
      <c r="G258" s="109" t="s">
        <v>93</v>
      </c>
      <c r="H258" s="81" t="s">
        <v>1181</v>
      </c>
      <c r="I258" s="83">
        <v>2161.4301267605633</v>
      </c>
      <c r="J258" s="109" t="s">
        <v>14</v>
      </c>
      <c r="K258" s="119" t="s">
        <v>14</v>
      </c>
      <c r="L258" s="109" t="s">
        <v>14</v>
      </c>
      <c r="M258" s="81" t="s">
        <v>226</v>
      </c>
      <c r="N258" s="81">
        <v>2025</v>
      </c>
    </row>
    <row r="259" spans="1:14">
      <c r="A259" s="81">
        <v>258</v>
      </c>
      <c r="B259" s="81" t="s">
        <v>43</v>
      </c>
      <c r="C259" s="81" t="s">
        <v>48</v>
      </c>
      <c r="D259" s="81" t="s">
        <v>61</v>
      </c>
      <c r="E259" s="81" t="s">
        <v>91</v>
      </c>
      <c r="F259" s="81"/>
      <c r="G259" s="111" t="s">
        <v>93</v>
      </c>
      <c r="H259" s="81" t="s">
        <v>1181</v>
      </c>
      <c r="I259" s="83">
        <v>2146.569517541554</v>
      </c>
      <c r="J259" s="81" t="s">
        <v>1189</v>
      </c>
      <c r="K259" s="84">
        <v>45884</v>
      </c>
      <c r="L259" s="81" t="s">
        <v>14</v>
      </c>
      <c r="M259" s="81" t="s">
        <v>225</v>
      </c>
      <c r="N259" s="81">
        <v>2025</v>
      </c>
    </row>
    <row r="260" spans="1:14">
      <c r="A260" s="81">
        <v>259</v>
      </c>
      <c r="B260" s="81" t="s">
        <v>43</v>
      </c>
      <c r="C260" s="81" t="s">
        <v>48</v>
      </c>
      <c r="D260" s="81" t="s">
        <v>61</v>
      </c>
      <c r="E260" s="81" t="s">
        <v>91</v>
      </c>
      <c r="F260" s="81"/>
      <c r="G260" s="81" t="s">
        <v>92</v>
      </c>
      <c r="H260" s="81" t="s">
        <v>1182</v>
      </c>
      <c r="I260" s="83">
        <v>1591.0412560287598</v>
      </c>
      <c r="J260" s="81" t="s">
        <v>1190</v>
      </c>
      <c r="K260" s="84">
        <v>45895</v>
      </c>
      <c r="L260" s="81" t="s">
        <v>14</v>
      </c>
      <c r="M260" s="81" t="s">
        <v>225</v>
      </c>
      <c r="N260" s="81">
        <v>2025</v>
      </c>
    </row>
    <row r="261" spans="1:14">
      <c r="A261" s="81">
        <v>260</v>
      </c>
      <c r="B261" s="81" t="s">
        <v>43</v>
      </c>
      <c r="C261" s="81" t="s">
        <v>48</v>
      </c>
      <c r="D261" s="81" t="s">
        <v>61</v>
      </c>
      <c r="E261" s="81" t="s">
        <v>91</v>
      </c>
      <c r="F261" s="81"/>
      <c r="G261" s="81" t="s">
        <v>94</v>
      </c>
      <c r="H261" s="81" t="s">
        <v>1181</v>
      </c>
      <c r="I261" s="83">
        <v>269.09204499548883</v>
      </c>
      <c r="J261" s="81" t="s">
        <v>1195</v>
      </c>
      <c r="K261" s="84">
        <v>45900</v>
      </c>
      <c r="L261" s="81" t="s">
        <v>14</v>
      </c>
      <c r="M261" s="81" t="s">
        <v>226</v>
      </c>
      <c r="N261" s="81">
        <v>2025</v>
      </c>
    </row>
    <row r="262" spans="1:14">
      <c r="A262" s="81">
        <v>261</v>
      </c>
      <c r="B262" s="81" t="s">
        <v>35</v>
      </c>
      <c r="C262" s="81" t="s">
        <v>40</v>
      </c>
      <c r="D262" s="81" t="s">
        <v>61</v>
      </c>
      <c r="E262" s="81" t="s">
        <v>91</v>
      </c>
      <c r="F262" s="81"/>
      <c r="G262" s="111" t="s">
        <v>92</v>
      </c>
      <c r="H262" s="81" t="s">
        <v>1182</v>
      </c>
      <c r="I262" s="83">
        <v>3220.7432117866529</v>
      </c>
      <c r="J262" s="81" t="s">
        <v>1190</v>
      </c>
      <c r="K262" s="84">
        <v>45895</v>
      </c>
      <c r="L262" s="81" t="s">
        <v>14</v>
      </c>
      <c r="M262" s="81" t="s">
        <v>225</v>
      </c>
      <c r="N262" s="81">
        <v>2025</v>
      </c>
    </row>
    <row r="263" spans="1:14">
      <c r="A263" s="81">
        <v>262</v>
      </c>
      <c r="B263" s="81" t="s">
        <v>35</v>
      </c>
      <c r="C263" s="81" t="s">
        <v>40</v>
      </c>
      <c r="D263" s="81" t="s">
        <v>61</v>
      </c>
      <c r="E263" s="81" t="s">
        <v>91</v>
      </c>
      <c r="F263" s="81"/>
      <c r="G263" s="81" t="s">
        <v>92</v>
      </c>
      <c r="H263" s="81" t="s">
        <v>1182</v>
      </c>
      <c r="I263" s="83">
        <v>2952.8562891826637</v>
      </c>
      <c r="J263" s="81" t="s">
        <v>1192</v>
      </c>
      <c r="K263" s="84">
        <v>45923</v>
      </c>
      <c r="L263" s="81" t="s">
        <v>14</v>
      </c>
      <c r="M263" s="81" t="s">
        <v>226</v>
      </c>
      <c r="N263" s="81">
        <v>2025</v>
      </c>
    </row>
    <row r="264" spans="1:14">
      <c r="A264" s="81">
        <v>263</v>
      </c>
      <c r="B264" s="109" t="s">
        <v>29</v>
      </c>
      <c r="C264" s="109" t="s">
        <v>237</v>
      </c>
      <c r="D264" s="81" t="s">
        <v>61</v>
      </c>
      <c r="E264" s="81" t="s">
        <v>91</v>
      </c>
      <c r="F264" s="81"/>
      <c r="G264" s="81" t="s">
        <v>92</v>
      </c>
      <c r="H264" s="81" t="s">
        <v>1182</v>
      </c>
      <c r="I264" s="83">
        <v>14003.403307016339</v>
      </c>
      <c r="J264" s="81" t="s">
        <v>1192</v>
      </c>
      <c r="K264" s="84">
        <v>45923</v>
      </c>
      <c r="L264" s="81" t="s">
        <v>14</v>
      </c>
      <c r="M264" s="81" t="s">
        <v>226</v>
      </c>
      <c r="N264" s="81">
        <v>2025</v>
      </c>
    </row>
    <row r="265" spans="1:14">
      <c r="A265" s="81">
        <v>264</v>
      </c>
      <c r="B265" s="109" t="s">
        <v>29</v>
      </c>
      <c r="C265" s="109" t="s">
        <v>237</v>
      </c>
      <c r="D265" s="81" t="s">
        <v>61</v>
      </c>
      <c r="E265" s="81" t="s">
        <v>91</v>
      </c>
      <c r="F265" s="81"/>
      <c r="G265" s="81" t="s">
        <v>94</v>
      </c>
      <c r="H265" s="81" t="s">
        <v>1181</v>
      </c>
      <c r="I265" s="83">
        <v>10854.407718794384</v>
      </c>
      <c r="J265" s="81">
        <v>2025000132</v>
      </c>
      <c r="K265" s="84">
        <v>45869</v>
      </c>
      <c r="L265" s="81" t="s">
        <v>14</v>
      </c>
      <c r="M265" s="81" t="s">
        <v>225</v>
      </c>
      <c r="N265" s="81">
        <v>2025</v>
      </c>
    </row>
    <row r="266" spans="1:14">
      <c r="A266" s="81">
        <v>265</v>
      </c>
      <c r="B266" s="109" t="s">
        <v>29</v>
      </c>
      <c r="C266" s="109" t="s">
        <v>237</v>
      </c>
      <c r="D266" s="81" t="s">
        <v>61</v>
      </c>
      <c r="E266" s="81" t="s">
        <v>91</v>
      </c>
      <c r="F266" s="81"/>
      <c r="G266" s="111" t="s">
        <v>92</v>
      </c>
      <c r="H266" s="81" t="s">
        <v>1182</v>
      </c>
      <c r="I266" s="83">
        <v>9362.8565289190192</v>
      </c>
      <c r="J266" s="81" t="s">
        <v>1190</v>
      </c>
      <c r="K266" s="84">
        <v>45895</v>
      </c>
      <c r="L266" s="81" t="s">
        <v>14</v>
      </c>
      <c r="M266" s="81" t="s">
        <v>225</v>
      </c>
      <c r="N266" s="81">
        <v>2025</v>
      </c>
    </row>
    <row r="267" spans="1:14">
      <c r="A267" s="81">
        <v>266</v>
      </c>
      <c r="B267" s="109" t="s">
        <v>29</v>
      </c>
      <c r="C267" s="109" t="s">
        <v>237</v>
      </c>
      <c r="D267" s="81" t="s">
        <v>61</v>
      </c>
      <c r="E267" s="81" t="s">
        <v>91</v>
      </c>
      <c r="F267" s="81"/>
      <c r="G267" s="81" t="s">
        <v>92</v>
      </c>
      <c r="H267" s="81" t="s">
        <v>1181</v>
      </c>
      <c r="I267" s="83">
        <v>6374.5887319633512</v>
      </c>
      <c r="J267" s="81" t="s">
        <v>1191</v>
      </c>
      <c r="K267" s="84">
        <v>45895</v>
      </c>
      <c r="L267" s="81" t="s">
        <v>14</v>
      </c>
      <c r="M267" s="81" t="s">
        <v>225</v>
      </c>
      <c r="N267" s="81">
        <v>2025</v>
      </c>
    </row>
    <row r="268" spans="1:14">
      <c r="A268" s="81">
        <v>267</v>
      </c>
      <c r="B268" s="109" t="s">
        <v>29</v>
      </c>
      <c r="C268" s="109" t="s">
        <v>237</v>
      </c>
      <c r="D268" s="81" t="s">
        <v>19</v>
      </c>
      <c r="E268" s="81" t="s">
        <v>91</v>
      </c>
      <c r="F268" s="81"/>
      <c r="G268" s="109" t="s">
        <v>93</v>
      </c>
      <c r="H268" s="109" t="s">
        <v>1182</v>
      </c>
      <c r="I268" s="83">
        <v>5789.409549295774</v>
      </c>
      <c r="J268" s="109" t="s">
        <v>14</v>
      </c>
      <c r="K268" s="119" t="s">
        <v>14</v>
      </c>
      <c r="L268" s="109" t="s">
        <v>14</v>
      </c>
      <c r="M268" s="81" t="s">
        <v>226</v>
      </c>
      <c r="N268" s="81">
        <v>2025</v>
      </c>
    </row>
    <row r="269" spans="1:14">
      <c r="A269" s="81">
        <v>268</v>
      </c>
      <c r="B269" s="109" t="s">
        <v>29</v>
      </c>
      <c r="C269" s="109" t="s">
        <v>237</v>
      </c>
      <c r="D269" s="81" t="s">
        <v>61</v>
      </c>
      <c r="E269" s="81" t="s">
        <v>91</v>
      </c>
      <c r="F269" s="81"/>
      <c r="G269" s="81" t="s">
        <v>92</v>
      </c>
      <c r="H269" s="81" t="s">
        <v>1181</v>
      </c>
      <c r="I269" s="83">
        <v>4484.0614715299353</v>
      </c>
      <c r="J269" s="81" t="s">
        <v>1193</v>
      </c>
      <c r="K269" s="84">
        <v>45923</v>
      </c>
      <c r="L269" s="81" t="s">
        <v>14</v>
      </c>
      <c r="M269" s="81" t="s">
        <v>226</v>
      </c>
      <c r="N269" s="81">
        <v>2025</v>
      </c>
    </row>
    <row r="270" spans="1:14">
      <c r="A270" s="81">
        <v>269</v>
      </c>
      <c r="B270" s="109" t="s">
        <v>29</v>
      </c>
      <c r="C270" s="109" t="s">
        <v>237</v>
      </c>
      <c r="D270" s="81" t="s">
        <v>61</v>
      </c>
      <c r="E270" s="81" t="s">
        <v>91</v>
      </c>
      <c r="F270" s="81"/>
      <c r="G270" s="81" t="s">
        <v>94</v>
      </c>
      <c r="H270" s="81" t="s">
        <v>1181</v>
      </c>
      <c r="I270" s="83">
        <v>4384.4063444192825</v>
      </c>
      <c r="J270" s="81" t="s">
        <v>1195</v>
      </c>
      <c r="K270" s="84">
        <v>45900</v>
      </c>
      <c r="L270" s="81" t="s">
        <v>14</v>
      </c>
      <c r="M270" s="81" t="s">
        <v>226</v>
      </c>
      <c r="N270" s="81">
        <v>2025</v>
      </c>
    </row>
    <row r="271" spans="1:14">
      <c r="A271" s="81">
        <v>270</v>
      </c>
      <c r="B271" s="109" t="s">
        <v>29</v>
      </c>
      <c r="C271" s="109" t="s">
        <v>237</v>
      </c>
      <c r="D271" s="81" t="s">
        <v>61</v>
      </c>
      <c r="E271" s="81" t="s">
        <v>91</v>
      </c>
      <c r="F271" s="81"/>
      <c r="G271" s="111" t="s">
        <v>93</v>
      </c>
      <c r="H271" s="81" t="s">
        <v>1182</v>
      </c>
      <c r="I271" s="83">
        <v>2015.5784550619901</v>
      </c>
      <c r="J271" s="81" t="s">
        <v>1189</v>
      </c>
      <c r="K271" s="84">
        <v>45884</v>
      </c>
      <c r="L271" s="81" t="s">
        <v>14</v>
      </c>
      <c r="M271" s="81" t="s">
        <v>225</v>
      </c>
      <c r="N271" s="81">
        <v>2025</v>
      </c>
    </row>
    <row r="272" spans="1:14">
      <c r="A272" s="81">
        <v>271</v>
      </c>
      <c r="B272" s="109" t="s">
        <v>29</v>
      </c>
      <c r="C272" s="109" t="s">
        <v>237</v>
      </c>
      <c r="D272" s="81" t="s">
        <v>61</v>
      </c>
      <c r="E272" s="81" t="s">
        <v>91</v>
      </c>
      <c r="F272" s="81"/>
      <c r="G272" s="111" t="s">
        <v>96</v>
      </c>
      <c r="H272" s="111" t="s">
        <v>1181</v>
      </c>
      <c r="I272" s="83">
        <v>1575</v>
      </c>
      <c r="J272" s="81" t="s">
        <v>1184</v>
      </c>
      <c r="K272" s="84">
        <v>45868</v>
      </c>
      <c r="L272" s="81" t="s">
        <v>14</v>
      </c>
      <c r="M272" s="81" t="s">
        <v>225</v>
      </c>
      <c r="N272" s="81">
        <v>2025</v>
      </c>
    </row>
    <row r="273" spans="1:14">
      <c r="A273" s="81">
        <v>272</v>
      </c>
      <c r="B273" s="109" t="s">
        <v>29</v>
      </c>
      <c r="C273" s="109" t="s">
        <v>237</v>
      </c>
      <c r="D273" s="81" t="s">
        <v>61</v>
      </c>
      <c r="E273" s="81" t="s">
        <v>91</v>
      </c>
      <c r="F273" s="81"/>
      <c r="G273" s="111" t="s">
        <v>93</v>
      </c>
      <c r="H273" s="81" t="s">
        <v>1181</v>
      </c>
      <c r="I273" s="83">
        <v>318.1522693520933</v>
      </c>
      <c r="J273" s="81" t="s">
        <v>1189</v>
      </c>
      <c r="K273" s="84">
        <v>45884</v>
      </c>
      <c r="L273" s="81" t="s">
        <v>14</v>
      </c>
      <c r="M273" s="81" t="s">
        <v>225</v>
      </c>
      <c r="N273" s="81">
        <v>2025</v>
      </c>
    </row>
    <row r="274" spans="1:14">
      <c r="A274" s="81">
        <v>273</v>
      </c>
      <c r="B274" s="109" t="s">
        <v>29</v>
      </c>
      <c r="C274" s="109" t="s">
        <v>237</v>
      </c>
      <c r="D274" s="81" t="s">
        <v>19</v>
      </c>
      <c r="E274" s="81" t="s">
        <v>91</v>
      </c>
      <c r="F274" s="81"/>
      <c r="G274" s="109" t="s">
        <v>93</v>
      </c>
      <c r="H274" s="81" t="s">
        <v>1181</v>
      </c>
      <c r="I274" s="83">
        <v>213.56988028169013</v>
      </c>
      <c r="J274" s="109" t="s">
        <v>14</v>
      </c>
      <c r="K274" s="119" t="s">
        <v>14</v>
      </c>
      <c r="L274" s="109" t="s">
        <v>14</v>
      </c>
      <c r="M274" s="81" t="s">
        <v>226</v>
      </c>
      <c r="N274" s="81">
        <v>2025</v>
      </c>
    </row>
    <row r="275" spans="1:14">
      <c r="A275" s="81">
        <v>274</v>
      </c>
      <c r="B275" s="81" t="s">
        <v>17</v>
      </c>
      <c r="C275" s="81" t="s">
        <v>95</v>
      </c>
      <c r="D275" s="81" t="s">
        <v>61</v>
      </c>
      <c r="E275" s="81" t="s">
        <v>91</v>
      </c>
      <c r="F275" s="81"/>
      <c r="G275" s="111" t="s">
        <v>93</v>
      </c>
      <c r="H275" s="81" t="s">
        <v>1182</v>
      </c>
      <c r="I275" s="83">
        <v>11272.309137568911</v>
      </c>
      <c r="J275" s="81" t="s">
        <v>1189</v>
      </c>
      <c r="K275" s="84">
        <v>45884</v>
      </c>
      <c r="L275" s="81" t="s">
        <v>14</v>
      </c>
      <c r="M275" s="81" t="s">
        <v>225</v>
      </c>
      <c r="N275" s="81">
        <v>2025</v>
      </c>
    </row>
    <row r="276" spans="1:14">
      <c r="A276" s="81">
        <v>275</v>
      </c>
      <c r="B276" s="81" t="s">
        <v>17</v>
      </c>
      <c r="C276" s="81" t="s">
        <v>95</v>
      </c>
      <c r="D276" s="81" t="s">
        <v>19</v>
      </c>
      <c r="E276" s="81" t="s">
        <v>91</v>
      </c>
      <c r="F276" s="81"/>
      <c r="G276" s="109" t="s">
        <v>93</v>
      </c>
      <c r="H276" s="109" t="s">
        <v>1182</v>
      </c>
      <c r="I276" s="83">
        <v>7487.811169014084</v>
      </c>
      <c r="J276" s="109" t="s">
        <v>14</v>
      </c>
      <c r="K276" s="119" t="s">
        <v>14</v>
      </c>
      <c r="L276" s="109" t="s">
        <v>14</v>
      </c>
      <c r="M276" s="81" t="s">
        <v>226</v>
      </c>
      <c r="N276" s="81">
        <v>2025</v>
      </c>
    </row>
    <row r="277" spans="1:14">
      <c r="A277" s="81">
        <v>276</v>
      </c>
      <c r="B277" s="81" t="s">
        <v>43</v>
      </c>
      <c r="C277" s="81" t="s">
        <v>47</v>
      </c>
      <c r="D277" s="81" t="s">
        <v>61</v>
      </c>
      <c r="E277" s="81" t="s">
        <v>91</v>
      </c>
      <c r="F277" s="81"/>
      <c r="G277" s="81" t="s">
        <v>92</v>
      </c>
      <c r="H277" s="81" t="s">
        <v>1182</v>
      </c>
      <c r="I277" s="83">
        <v>16274.382824309301</v>
      </c>
      <c r="J277" s="81" t="s">
        <v>1192</v>
      </c>
      <c r="K277" s="84">
        <v>45923</v>
      </c>
      <c r="L277" s="81" t="s">
        <v>14</v>
      </c>
      <c r="M277" s="81" t="s">
        <v>226</v>
      </c>
      <c r="N277" s="81">
        <v>2025</v>
      </c>
    </row>
    <row r="278" spans="1:14">
      <c r="A278" s="81">
        <v>277</v>
      </c>
      <c r="B278" s="81" t="s">
        <v>43</v>
      </c>
      <c r="C278" s="81" t="s">
        <v>47</v>
      </c>
      <c r="D278" s="81" t="s">
        <v>61</v>
      </c>
      <c r="E278" s="81" t="s">
        <v>91</v>
      </c>
      <c r="F278" s="81"/>
      <c r="G278" s="111" t="s">
        <v>92</v>
      </c>
      <c r="H278" s="81" t="s">
        <v>1182</v>
      </c>
      <c r="I278" s="83">
        <v>12964.879483782965</v>
      </c>
      <c r="J278" s="81" t="s">
        <v>1190</v>
      </c>
      <c r="K278" s="84">
        <v>45895</v>
      </c>
      <c r="L278" s="81" t="s">
        <v>14</v>
      </c>
      <c r="M278" s="81" t="s">
        <v>225</v>
      </c>
      <c r="N278" s="81">
        <v>2025</v>
      </c>
    </row>
    <row r="279" spans="1:14">
      <c r="A279" s="81">
        <v>278</v>
      </c>
      <c r="B279" s="81" t="s">
        <v>43</v>
      </c>
      <c r="C279" s="81" t="s">
        <v>47</v>
      </c>
      <c r="D279" s="81" t="s">
        <v>19</v>
      </c>
      <c r="E279" s="81" t="s">
        <v>91</v>
      </c>
      <c r="F279" s="81"/>
      <c r="G279" s="109" t="s">
        <v>93</v>
      </c>
      <c r="H279" s="81" t="s">
        <v>1181</v>
      </c>
      <c r="I279" s="83">
        <v>5382.9902253521132</v>
      </c>
      <c r="J279" s="109" t="s">
        <v>14</v>
      </c>
      <c r="K279" s="119" t="s">
        <v>14</v>
      </c>
      <c r="L279" s="109" t="s">
        <v>14</v>
      </c>
      <c r="M279" s="81" t="s">
        <v>226</v>
      </c>
      <c r="N279" s="81">
        <v>2025</v>
      </c>
    </row>
    <row r="280" spans="1:14">
      <c r="A280" s="81">
        <v>279</v>
      </c>
      <c r="B280" s="81" t="s">
        <v>43</v>
      </c>
      <c r="C280" s="107" t="s">
        <v>47</v>
      </c>
      <c r="D280" s="81" t="s">
        <v>61</v>
      </c>
      <c r="E280" s="81" t="s">
        <v>91</v>
      </c>
      <c r="F280" s="81"/>
      <c r="G280" s="81" t="s">
        <v>93</v>
      </c>
      <c r="H280" s="81" t="s">
        <v>1181</v>
      </c>
      <c r="I280" s="83">
        <v>5059.7709636706495</v>
      </c>
      <c r="J280" s="81" t="s">
        <v>1189</v>
      </c>
      <c r="K280" s="84">
        <v>45884</v>
      </c>
      <c r="L280" s="81" t="s">
        <v>14</v>
      </c>
      <c r="M280" s="81" t="s">
        <v>225</v>
      </c>
      <c r="N280" s="81">
        <v>2025</v>
      </c>
    </row>
    <row r="281" spans="1:14">
      <c r="A281" s="81">
        <v>280</v>
      </c>
      <c r="B281" s="81" t="s">
        <v>43</v>
      </c>
      <c r="C281" s="81" t="s">
        <v>47</v>
      </c>
      <c r="D281" s="81" t="s">
        <v>61</v>
      </c>
      <c r="E281" s="81" t="s">
        <v>91</v>
      </c>
      <c r="F281" s="81"/>
      <c r="G281" s="81" t="s">
        <v>94</v>
      </c>
      <c r="H281" s="81" t="s">
        <v>1181</v>
      </c>
      <c r="I281" s="83">
        <v>3456.2181888318464</v>
      </c>
      <c r="J281" s="81" t="s">
        <v>1195</v>
      </c>
      <c r="K281" s="84">
        <v>45900</v>
      </c>
      <c r="L281" s="81" t="s">
        <v>14</v>
      </c>
      <c r="M281" s="81" t="s">
        <v>226</v>
      </c>
      <c r="N281" s="81">
        <v>2025</v>
      </c>
    </row>
    <row r="282" spans="1:14">
      <c r="A282" s="81">
        <v>281</v>
      </c>
      <c r="B282" s="81" t="s">
        <v>43</v>
      </c>
      <c r="C282" s="81" t="s">
        <v>47</v>
      </c>
      <c r="D282" s="81" t="s">
        <v>61</v>
      </c>
      <c r="E282" s="81" t="s">
        <v>91</v>
      </c>
      <c r="F282" s="81"/>
      <c r="G282" s="81" t="s">
        <v>92</v>
      </c>
      <c r="H282" s="81" t="s">
        <v>1181</v>
      </c>
      <c r="I282" s="83">
        <v>1867.548635812924</v>
      </c>
      <c r="J282" s="81" t="s">
        <v>1193</v>
      </c>
      <c r="K282" s="84">
        <v>45923</v>
      </c>
      <c r="L282" s="81" t="s">
        <v>14</v>
      </c>
      <c r="M282" s="81" t="s">
        <v>226</v>
      </c>
      <c r="N282" s="81">
        <v>2025</v>
      </c>
    </row>
    <row r="283" spans="1:14">
      <c r="A283" s="81">
        <v>282</v>
      </c>
      <c r="B283" s="81" t="s">
        <v>43</v>
      </c>
      <c r="C283" s="81" t="s">
        <v>47</v>
      </c>
      <c r="D283" s="81" t="s">
        <v>61</v>
      </c>
      <c r="E283" s="81" t="s">
        <v>91</v>
      </c>
      <c r="F283" s="81"/>
      <c r="G283" s="111" t="s">
        <v>93</v>
      </c>
      <c r="H283" s="81" t="s">
        <v>1182</v>
      </c>
      <c r="I283" s="83">
        <v>1791.6252933884357</v>
      </c>
      <c r="J283" s="81" t="s">
        <v>1189</v>
      </c>
      <c r="K283" s="84">
        <v>45884</v>
      </c>
      <c r="L283" s="81" t="s">
        <v>14</v>
      </c>
      <c r="M283" s="81" t="s">
        <v>225</v>
      </c>
      <c r="N283" s="81">
        <v>2025</v>
      </c>
    </row>
    <row r="284" spans="1:14">
      <c r="A284" s="81">
        <v>283</v>
      </c>
      <c r="B284" s="81" t="s">
        <v>43</v>
      </c>
      <c r="C284" s="81" t="s">
        <v>47</v>
      </c>
      <c r="D284" s="81" t="s">
        <v>61</v>
      </c>
      <c r="E284" s="81" t="s">
        <v>91</v>
      </c>
      <c r="F284" s="81"/>
      <c r="G284" s="81" t="s">
        <v>94</v>
      </c>
      <c r="H284" s="81" t="s">
        <v>1181</v>
      </c>
      <c r="I284" s="83">
        <v>1741.6879552797461</v>
      </c>
      <c r="J284" s="81">
        <v>2025000132</v>
      </c>
      <c r="K284" s="84">
        <v>45869</v>
      </c>
      <c r="L284" s="81" t="s">
        <v>14</v>
      </c>
      <c r="M284" s="81" t="s">
        <v>225</v>
      </c>
      <c r="N284" s="81">
        <v>2025</v>
      </c>
    </row>
    <row r="285" spans="1:14">
      <c r="A285" s="81">
        <v>284</v>
      </c>
      <c r="B285" s="81" t="s">
        <v>43</v>
      </c>
      <c r="C285" s="81" t="s">
        <v>47</v>
      </c>
      <c r="D285" s="81" t="s">
        <v>19</v>
      </c>
      <c r="E285" s="81" t="s">
        <v>91</v>
      </c>
      <c r="F285" s="81"/>
      <c r="G285" s="109" t="s">
        <v>93</v>
      </c>
      <c r="H285" s="109" t="s">
        <v>1182</v>
      </c>
      <c r="I285" s="83">
        <v>1698.2664577464789</v>
      </c>
      <c r="J285" s="109" t="s">
        <v>14</v>
      </c>
      <c r="K285" s="119" t="s">
        <v>14</v>
      </c>
      <c r="L285" s="109" t="s">
        <v>14</v>
      </c>
      <c r="M285" s="81" t="s">
        <v>226</v>
      </c>
      <c r="N285" s="81">
        <v>2025</v>
      </c>
    </row>
    <row r="286" spans="1:14">
      <c r="A286" s="81">
        <v>285</v>
      </c>
      <c r="B286" s="81" t="s">
        <v>43</v>
      </c>
      <c r="C286" s="81" t="s">
        <v>47</v>
      </c>
      <c r="D286" s="81" t="s">
        <v>61</v>
      </c>
      <c r="E286" s="81" t="s">
        <v>91</v>
      </c>
      <c r="F286" s="81"/>
      <c r="G286" s="81" t="s">
        <v>92</v>
      </c>
      <c r="H286" s="81" t="s">
        <v>1181</v>
      </c>
      <c r="I286" s="83">
        <v>853.53452125840352</v>
      </c>
      <c r="J286" s="81" t="s">
        <v>1191</v>
      </c>
      <c r="K286" s="84">
        <v>45895</v>
      </c>
      <c r="L286" s="81" t="s">
        <v>14</v>
      </c>
      <c r="M286" s="81" t="s">
        <v>225</v>
      </c>
      <c r="N286" s="81">
        <v>2025</v>
      </c>
    </row>
    <row r="287" spans="1:14">
      <c r="A287" s="81">
        <v>286</v>
      </c>
      <c r="B287" s="81" t="s">
        <v>17</v>
      </c>
      <c r="C287" s="81" t="s">
        <v>22</v>
      </c>
      <c r="D287" s="81" t="s">
        <v>61</v>
      </c>
      <c r="E287" s="81" t="s">
        <v>91</v>
      </c>
      <c r="F287" s="81"/>
      <c r="G287" s="111" t="s">
        <v>93</v>
      </c>
      <c r="H287" s="81" t="s">
        <v>1182</v>
      </c>
      <c r="I287" s="83">
        <v>17231.951987923723</v>
      </c>
      <c r="J287" s="81" t="s">
        <v>1189</v>
      </c>
      <c r="K287" s="84">
        <v>45884</v>
      </c>
      <c r="L287" s="81" t="s">
        <v>14</v>
      </c>
      <c r="M287" s="81" t="s">
        <v>225</v>
      </c>
      <c r="N287" s="81">
        <v>2025</v>
      </c>
    </row>
    <row r="288" spans="1:14">
      <c r="A288" s="81">
        <v>287</v>
      </c>
      <c r="B288" s="107" t="s">
        <v>17</v>
      </c>
      <c r="C288" s="107" t="s">
        <v>22</v>
      </c>
      <c r="D288" s="81" t="s">
        <v>61</v>
      </c>
      <c r="E288" s="81" t="s">
        <v>91</v>
      </c>
      <c r="F288" s="81"/>
      <c r="G288" s="81" t="s">
        <v>93</v>
      </c>
      <c r="H288" s="81" t="s">
        <v>1181</v>
      </c>
      <c r="I288" s="83">
        <v>13189.741608148239</v>
      </c>
      <c r="J288" s="81" t="s">
        <v>1189</v>
      </c>
      <c r="K288" s="84">
        <v>45884</v>
      </c>
      <c r="L288" s="81" t="s">
        <v>14</v>
      </c>
      <c r="M288" s="81" t="s">
        <v>225</v>
      </c>
      <c r="N288" s="81">
        <v>2025</v>
      </c>
    </row>
    <row r="289" spans="1:14">
      <c r="A289" s="81">
        <v>288</v>
      </c>
      <c r="B289" s="81" t="s">
        <v>17</v>
      </c>
      <c r="C289" s="81" t="s">
        <v>22</v>
      </c>
      <c r="D289" s="81" t="s">
        <v>19</v>
      </c>
      <c r="E289" s="81" t="s">
        <v>91</v>
      </c>
      <c r="F289" s="81"/>
      <c r="G289" s="109" t="s">
        <v>93</v>
      </c>
      <c r="H289" s="109" t="s">
        <v>1182</v>
      </c>
      <c r="I289" s="83">
        <v>9580.1732112676054</v>
      </c>
      <c r="J289" s="109" t="s">
        <v>14</v>
      </c>
      <c r="K289" s="119" t="s">
        <v>14</v>
      </c>
      <c r="L289" s="109" t="s">
        <v>14</v>
      </c>
      <c r="M289" s="81" t="s">
        <v>226</v>
      </c>
      <c r="N289" s="81">
        <v>2025</v>
      </c>
    </row>
    <row r="290" spans="1:14">
      <c r="A290" s="81">
        <v>289</v>
      </c>
      <c r="B290" s="81" t="s">
        <v>17</v>
      </c>
      <c r="C290" s="81" t="s">
        <v>22</v>
      </c>
      <c r="D290" s="81" t="s">
        <v>19</v>
      </c>
      <c r="E290" s="81" t="s">
        <v>91</v>
      </c>
      <c r="F290" s="81"/>
      <c r="G290" s="109" t="s">
        <v>93</v>
      </c>
      <c r="H290" s="81" t="s">
        <v>1181</v>
      </c>
      <c r="I290" s="83">
        <v>7624.1874577464787</v>
      </c>
      <c r="J290" s="109" t="s">
        <v>14</v>
      </c>
      <c r="K290" s="119" t="s">
        <v>14</v>
      </c>
      <c r="L290" s="109" t="s">
        <v>14</v>
      </c>
      <c r="M290" s="81" t="s">
        <v>226</v>
      </c>
      <c r="N290" s="81">
        <v>2025</v>
      </c>
    </row>
    <row r="291" spans="1:14">
      <c r="A291" s="81">
        <v>290</v>
      </c>
      <c r="B291" s="81" t="s">
        <v>17</v>
      </c>
      <c r="C291" s="81" t="s">
        <v>22</v>
      </c>
      <c r="D291" s="81" t="s">
        <v>61</v>
      </c>
      <c r="E291" s="81" t="s">
        <v>91</v>
      </c>
      <c r="F291" s="81"/>
      <c r="G291" s="81" t="s">
        <v>92</v>
      </c>
      <c r="H291" s="81" t="s">
        <v>1181</v>
      </c>
      <c r="I291" s="83">
        <v>6116.7264392801917</v>
      </c>
      <c r="J291" s="81" t="s">
        <v>1191</v>
      </c>
      <c r="K291" s="84">
        <v>45895</v>
      </c>
      <c r="L291" s="81" t="s">
        <v>14</v>
      </c>
      <c r="M291" s="81" t="s">
        <v>225</v>
      </c>
      <c r="N291" s="81">
        <v>2025</v>
      </c>
    </row>
    <row r="292" spans="1:14">
      <c r="A292" s="81">
        <v>291</v>
      </c>
      <c r="B292" s="81" t="s">
        <v>17</v>
      </c>
      <c r="C292" s="81" t="s">
        <v>22</v>
      </c>
      <c r="D292" s="81" t="s">
        <v>61</v>
      </c>
      <c r="E292" s="81" t="s">
        <v>91</v>
      </c>
      <c r="F292" s="81"/>
      <c r="G292" s="81" t="s">
        <v>92</v>
      </c>
      <c r="H292" s="81" t="s">
        <v>1182</v>
      </c>
      <c r="I292" s="83">
        <v>1393.5409558257888</v>
      </c>
      <c r="J292" s="81" t="s">
        <v>1192</v>
      </c>
      <c r="K292" s="84">
        <v>45923</v>
      </c>
      <c r="L292" s="81" t="s">
        <v>14</v>
      </c>
      <c r="M292" s="81" t="s">
        <v>226</v>
      </c>
      <c r="N292" s="81">
        <v>2025</v>
      </c>
    </row>
    <row r="293" spans="1:14">
      <c r="A293" s="81">
        <v>292</v>
      </c>
      <c r="B293" s="81" t="s">
        <v>17</v>
      </c>
      <c r="C293" s="81" t="s">
        <v>22</v>
      </c>
      <c r="D293" s="81" t="s">
        <v>61</v>
      </c>
      <c r="E293" s="81" t="s">
        <v>91</v>
      </c>
      <c r="F293" s="81"/>
      <c r="G293" s="81" t="s">
        <v>92</v>
      </c>
      <c r="H293" s="81" t="s">
        <v>1181</v>
      </c>
      <c r="I293" s="83">
        <v>348.15936422594012</v>
      </c>
      <c r="J293" s="81" t="s">
        <v>1193</v>
      </c>
      <c r="K293" s="84">
        <v>45923</v>
      </c>
      <c r="L293" s="81" t="s">
        <v>14</v>
      </c>
      <c r="M293" s="81" t="s">
        <v>226</v>
      </c>
      <c r="N293" s="81">
        <v>2025</v>
      </c>
    </row>
    <row r="294" spans="1:14">
      <c r="A294" s="81">
        <v>293</v>
      </c>
      <c r="B294" s="81" t="s">
        <v>59</v>
      </c>
      <c r="C294" s="81" t="s">
        <v>60</v>
      </c>
      <c r="D294" s="81" t="s">
        <v>61</v>
      </c>
      <c r="E294" s="81" t="s">
        <v>91</v>
      </c>
      <c r="F294" s="81"/>
      <c r="G294" s="111" t="s">
        <v>92</v>
      </c>
      <c r="H294" s="81" t="s">
        <v>1182</v>
      </c>
      <c r="I294" s="83">
        <v>6947.9187144202951</v>
      </c>
      <c r="J294" s="81" t="s">
        <v>1190</v>
      </c>
      <c r="K294" s="84">
        <v>45895</v>
      </c>
      <c r="L294" s="81" t="s">
        <v>14</v>
      </c>
      <c r="M294" s="81" t="s">
        <v>225</v>
      </c>
      <c r="N294" s="81">
        <v>2025</v>
      </c>
    </row>
    <row r="295" spans="1:14">
      <c r="A295" s="81">
        <v>294</v>
      </c>
      <c r="B295" s="81" t="s">
        <v>59</v>
      </c>
      <c r="C295" s="81" t="s">
        <v>60</v>
      </c>
      <c r="D295" s="81" t="s">
        <v>61</v>
      </c>
      <c r="E295" s="81" t="s">
        <v>91</v>
      </c>
      <c r="F295" s="81"/>
      <c r="G295" s="111" t="s">
        <v>93</v>
      </c>
      <c r="H295" s="81" t="s">
        <v>1182</v>
      </c>
      <c r="I295" s="83">
        <v>4531.4503032017647</v>
      </c>
      <c r="J295" s="81" t="s">
        <v>1189</v>
      </c>
      <c r="K295" s="84">
        <v>45884</v>
      </c>
      <c r="L295" s="81" t="s">
        <v>14</v>
      </c>
      <c r="M295" s="81" t="s">
        <v>225</v>
      </c>
      <c r="N295" s="81">
        <v>2025</v>
      </c>
    </row>
    <row r="296" spans="1:14">
      <c r="A296" s="81">
        <v>295</v>
      </c>
      <c r="B296" s="81" t="s">
        <v>59</v>
      </c>
      <c r="C296" s="81" t="s">
        <v>60</v>
      </c>
      <c r="D296" s="81" t="s">
        <v>61</v>
      </c>
      <c r="E296" s="81" t="s">
        <v>91</v>
      </c>
      <c r="F296" s="81"/>
      <c r="G296" s="81" t="s">
        <v>94</v>
      </c>
      <c r="H296" s="81" t="s">
        <v>1181</v>
      </c>
      <c r="I296" s="83">
        <v>3878.5133046785959</v>
      </c>
      <c r="J296" s="81" t="s">
        <v>1195</v>
      </c>
      <c r="K296" s="84">
        <v>45900</v>
      </c>
      <c r="L296" s="81" t="s">
        <v>14</v>
      </c>
      <c r="M296" s="81" t="s">
        <v>226</v>
      </c>
      <c r="N296" s="81">
        <v>2025</v>
      </c>
    </row>
    <row r="297" spans="1:14">
      <c r="A297" s="81">
        <v>296</v>
      </c>
      <c r="B297" s="81" t="s">
        <v>59</v>
      </c>
      <c r="C297" s="81" t="s">
        <v>60</v>
      </c>
      <c r="D297" s="81" t="s">
        <v>61</v>
      </c>
      <c r="E297" s="81" t="s">
        <v>91</v>
      </c>
      <c r="F297" s="81"/>
      <c r="G297" s="81" t="s">
        <v>94</v>
      </c>
      <c r="H297" s="81" t="s">
        <v>1181</v>
      </c>
      <c r="I297" s="83">
        <v>3274.3733491139874</v>
      </c>
      <c r="J297" s="81">
        <v>2025000132</v>
      </c>
      <c r="K297" s="84">
        <v>45869</v>
      </c>
      <c r="L297" s="81" t="s">
        <v>14</v>
      </c>
      <c r="M297" s="81" t="s">
        <v>225</v>
      </c>
      <c r="N297" s="81">
        <v>2025</v>
      </c>
    </row>
    <row r="298" spans="1:14">
      <c r="A298" s="81">
        <v>297</v>
      </c>
      <c r="B298" s="81" t="s">
        <v>59</v>
      </c>
      <c r="C298" s="81" t="s">
        <v>60</v>
      </c>
      <c r="D298" s="81" t="s">
        <v>19</v>
      </c>
      <c r="E298" s="81" t="s">
        <v>91</v>
      </c>
      <c r="F298" s="81"/>
      <c r="G298" s="109" t="s">
        <v>93</v>
      </c>
      <c r="H298" s="109" t="s">
        <v>1182</v>
      </c>
      <c r="I298" s="83">
        <v>2276.5439225352115</v>
      </c>
      <c r="J298" s="109" t="s">
        <v>14</v>
      </c>
      <c r="K298" s="119" t="s">
        <v>14</v>
      </c>
      <c r="L298" s="109" t="s">
        <v>14</v>
      </c>
      <c r="M298" s="81" t="s">
        <v>226</v>
      </c>
      <c r="N298" s="81">
        <v>2025</v>
      </c>
    </row>
    <row r="299" spans="1:14">
      <c r="A299" s="81">
        <v>298</v>
      </c>
      <c r="B299" s="81" t="s">
        <v>59</v>
      </c>
      <c r="C299" s="81" t="s">
        <v>60</v>
      </c>
      <c r="D299" s="81" t="s">
        <v>61</v>
      </c>
      <c r="E299" s="81" t="s">
        <v>91</v>
      </c>
      <c r="F299" s="81"/>
      <c r="G299" s="81" t="s">
        <v>92</v>
      </c>
      <c r="H299" s="81" t="s">
        <v>1182</v>
      </c>
      <c r="I299" s="83">
        <v>1489.3793909525762</v>
      </c>
      <c r="J299" s="81" t="s">
        <v>1192</v>
      </c>
      <c r="K299" s="84">
        <v>45923</v>
      </c>
      <c r="L299" s="81" t="s">
        <v>14</v>
      </c>
      <c r="M299" s="81" t="s">
        <v>226</v>
      </c>
      <c r="N299" s="81">
        <v>2025</v>
      </c>
    </row>
    <row r="300" spans="1:14">
      <c r="A300" s="81">
        <v>299</v>
      </c>
      <c r="B300" s="81" t="s">
        <v>53</v>
      </c>
      <c r="C300" s="129" t="s">
        <v>62</v>
      </c>
      <c r="D300" s="81" t="s">
        <v>61</v>
      </c>
      <c r="E300" s="81" t="s">
        <v>91</v>
      </c>
      <c r="F300" s="81"/>
      <c r="G300" s="81" t="s">
        <v>94</v>
      </c>
      <c r="H300" s="81" t="s">
        <v>1181</v>
      </c>
      <c r="I300" s="83">
        <v>79234.152440895588</v>
      </c>
      <c r="J300" s="81" t="s">
        <v>1195</v>
      </c>
      <c r="K300" s="84">
        <v>45900</v>
      </c>
      <c r="L300" s="81" t="s">
        <v>14</v>
      </c>
      <c r="M300" s="81" t="s">
        <v>226</v>
      </c>
      <c r="N300" s="81">
        <v>2025</v>
      </c>
    </row>
    <row r="301" spans="1:14">
      <c r="A301" s="81">
        <v>300</v>
      </c>
      <c r="B301" s="81" t="s">
        <v>53</v>
      </c>
      <c r="C301" s="129" t="s">
        <v>62</v>
      </c>
      <c r="D301" s="81" t="s">
        <v>19</v>
      </c>
      <c r="E301" s="81" t="s">
        <v>91</v>
      </c>
      <c r="F301" s="81"/>
      <c r="G301" s="109" t="s">
        <v>93</v>
      </c>
      <c r="H301" s="81" t="s">
        <v>1181</v>
      </c>
      <c r="I301" s="83">
        <v>33089.382197183098</v>
      </c>
      <c r="J301" s="109" t="s">
        <v>14</v>
      </c>
      <c r="K301" s="119" t="s">
        <v>14</v>
      </c>
      <c r="L301" s="109" t="s">
        <v>14</v>
      </c>
      <c r="M301" s="81" t="s">
        <v>226</v>
      </c>
      <c r="N301" s="81">
        <v>2025</v>
      </c>
    </row>
    <row r="302" spans="1:14">
      <c r="A302" s="81">
        <v>301</v>
      </c>
      <c r="B302" s="81" t="s">
        <v>53</v>
      </c>
      <c r="C302" s="129" t="s">
        <v>62</v>
      </c>
      <c r="D302" s="81" t="s">
        <v>19</v>
      </c>
      <c r="E302" s="81" t="s">
        <v>91</v>
      </c>
      <c r="F302" s="81"/>
      <c r="G302" s="109" t="s">
        <v>93</v>
      </c>
      <c r="H302" s="109" t="s">
        <v>1182</v>
      </c>
      <c r="I302" s="83">
        <v>23691.49425352113</v>
      </c>
      <c r="J302" s="109" t="s">
        <v>14</v>
      </c>
      <c r="K302" s="119" t="s">
        <v>14</v>
      </c>
      <c r="L302" s="109" t="s">
        <v>14</v>
      </c>
      <c r="M302" s="81" t="s">
        <v>226</v>
      </c>
      <c r="N302" s="81">
        <v>2025</v>
      </c>
    </row>
    <row r="303" spans="1:14">
      <c r="A303" s="81">
        <v>302</v>
      </c>
      <c r="B303" s="81" t="s">
        <v>53</v>
      </c>
      <c r="C303" s="129" t="s">
        <v>62</v>
      </c>
      <c r="D303" s="81" t="s">
        <v>61</v>
      </c>
      <c r="E303" s="81" t="s">
        <v>91</v>
      </c>
      <c r="F303" s="81"/>
      <c r="G303" s="81" t="s">
        <v>92</v>
      </c>
      <c r="H303" s="81" t="s">
        <v>1181</v>
      </c>
      <c r="I303" s="83">
        <v>210877.11108279449</v>
      </c>
      <c r="J303" s="81" t="s">
        <v>1191</v>
      </c>
      <c r="K303" s="84">
        <v>45895</v>
      </c>
      <c r="L303" s="81" t="s">
        <v>14</v>
      </c>
      <c r="M303" s="81" t="s">
        <v>225</v>
      </c>
      <c r="N303" s="81">
        <v>2025</v>
      </c>
    </row>
    <row r="304" spans="1:14">
      <c r="A304" s="81">
        <v>303</v>
      </c>
      <c r="B304" s="81" t="s">
        <v>53</v>
      </c>
      <c r="C304" s="129" t="s">
        <v>62</v>
      </c>
      <c r="D304" s="81" t="s">
        <v>61</v>
      </c>
      <c r="E304" s="81" t="s">
        <v>91</v>
      </c>
      <c r="F304" s="81"/>
      <c r="G304" s="81" t="s">
        <v>92</v>
      </c>
      <c r="H304" s="81" t="s">
        <v>1181</v>
      </c>
      <c r="I304" s="83">
        <v>166781.28913135847</v>
      </c>
      <c r="J304" s="81" t="s">
        <v>1193</v>
      </c>
      <c r="K304" s="84">
        <v>45923</v>
      </c>
      <c r="L304" s="81" t="s">
        <v>14</v>
      </c>
      <c r="M304" s="81" t="s">
        <v>226</v>
      </c>
      <c r="N304" s="81">
        <v>2025</v>
      </c>
    </row>
    <row r="305" spans="1:14">
      <c r="A305" s="81">
        <v>304</v>
      </c>
      <c r="B305" s="81" t="s">
        <v>53</v>
      </c>
      <c r="C305" s="129" t="s">
        <v>62</v>
      </c>
      <c r="D305" s="81" t="s">
        <v>61</v>
      </c>
      <c r="E305" s="81" t="s">
        <v>91</v>
      </c>
      <c r="F305" s="81"/>
      <c r="G305" s="111" t="s">
        <v>93</v>
      </c>
      <c r="H305" s="81" t="s">
        <v>1181</v>
      </c>
      <c r="I305" s="83">
        <v>127717.81741269436</v>
      </c>
      <c r="J305" s="81" t="s">
        <v>1189</v>
      </c>
      <c r="K305" s="84">
        <v>45884</v>
      </c>
      <c r="L305" s="81" t="s">
        <v>14</v>
      </c>
      <c r="M305" s="81" t="s">
        <v>225</v>
      </c>
      <c r="N305" s="81">
        <v>2025</v>
      </c>
    </row>
    <row r="306" spans="1:14">
      <c r="A306" s="81">
        <v>305</v>
      </c>
      <c r="B306" s="81" t="s">
        <v>53</v>
      </c>
      <c r="C306" s="129" t="s">
        <v>62</v>
      </c>
      <c r="D306" s="81" t="s">
        <v>61</v>
      </c>
      <c r="E306" s="81" t="s">
        <v>91</v>
      </c>
      <c r="F306" s="81"/>
      <c r="G306" s="81" t="s">
        <v>92</v>
      </c>
      <c r="H306" s="81" t="s">
        <v>1182</v>
      </c>
      <c r="I306" s="83">
        <v>59280.663887059061</v>
      </c>
      <c r="J306" s="81" t="s">
        <v>1192</v>
      </c>
      <c r="K306" s="84">
        <v>45923</v>
      </c>
      <c r="L306" s="81" t="s">
        <v>14</v>
      </c>
      <c r="M306" s="81" t="s">
        <v>226</v>
      </c>
      <c r="N306" s="81">
        <v>2025</v>
      </c>
    </row>
    <row r="307" spans="1:14">
      <c r="A307" s="81">
        <v>306</v>
      </c>
      <c r="B307" s="81" t="s">
        <v>53</v>
      </c>
      <c r="C307" s="129" t="s">
        <v>62</v>
      </c>
      <c r="D307" s="81" t="s">
        <v>61</v>
      </c>
      <c r="E307" s="81" t="s">
        <v>91</v>
      </c>
      <c r="F307" s="81"/>
      <c r="G307" s="111" t="s">
        <v>92</v>
      </c>
      <c r="H307" s="81" t="s">
        <v>1182</v>
      </c>
      <c r="I307" s="83">
        <v>47177.966381331047</v>
      </c>
      <c r="J307" s="81" t="s">
        <v>1190</v>
      </c>
      <c r="K307" s="84">
        <v>45895</v>
      </c>
      <c r="L307" s="81" t="s">
        <v>14</v>
      </c>
      <c r="M307" s="81" t="s">
        <v>225</v>
      </c>
      <c r="N307" s="81">
        <v>2025</v>
      </c>
    </row>
    <row r="308" spans="1:14">
      <c r="A308" s="81">
        <v>307</v>
      </c>
      <c r="B308" s="81" t="s">
        <v>53</v>
      </c>
      <c r="C308" s="129" t="s">
        <v>62</v>
      </c>
      <c r="D308" s="81" t="s">
        <v>61</v>
      </c>
      <c r="E308" s="81" t="s">
        <v>91</v>
      </c>
      <c r="F308" s="81"/>
      <c r="G308" s="81" t="s">
        <v>94</v>
      </c>
      <c r="H308" s="81" t="s">
        <v>1181</v>
      </c>
      <c r="I308" s="83">
        <v>45283.976058141328</v>
      </c>
      <c r="J308" s="81">
        <v>2025000132</v>
      </c>
      <c r="K308" s="84">
        <v>45869</v>
      </c>
      <c r="L308" s="81" t="s">
        <v>14</v>
      </c>
      <c r="M308" s="81" t="s">
        <v>225</v>
      </c>
      <c r="N308" s="81">
        <v>2025</v>
      </c>
    </row>
    <row r="309" spans="1:14">
      <c r="A309" s="81">
        <v>308</v>
      </c>
      <c r="B309" s="81" t="s">
        <v>53</v>
      </c>
      <c r="C309" s="129" t="s">
        <v>62</v>
      </c>
      <c r="D309" s="81" t="s">
        <v>61</v>
      </c>
      <c r="E309" s="81" t="s">
        <v>91</v>
      </c>
      <c r="F309" s="81"/>
      <c r="G309" s="111" t="s">
        <v>93</v>
      </c>
      <c r="H309" s="81" t="s">
        <v>1182</v>
      </c>
      <c r="I309" s="83">
        <v>25193.552204779167</v>
      </c>
      <c r="J309" s="81" t="s">
        <v>1189</v>
      </c>
      <c r="K309" s="84">
        <v>45884</v>
      </c>
      <c r="L309" s="81" t="s">
        <v>14</v>
      </c>
      <c r="M309" s="81" t="s">
        <v>225</v>
      </c>
      <c r="N309" s="81">
        <v>2025</v>
      </c>
    </row>
    <row r="310" spans="1:14">
      <c r="A310" s="81">
        <v>309</v>
      </c>
      <c r="B310" s="81" t="s">
        <v>53</v>
      </c>
      <c r="C310" s="129" t="s">
        <v>62</v>
      </c>
      <c r="D310" s="81" t="s">
        <v>61</v>
      </c>
      <c r="E310" s="81" t="s">
        <v>91</v>
      </c>
      <c r="F310" s="81"/>
      <c r="G310" s="111" t="s">
        <v>97</v>
      </c>
      <c r="H310" s="111" t="s">
        <v>1182</v>
      </c>
      <c r="I310" s="83">
        <v>1840</v>
      </c>
      <c r="J310" s="81" t="s">
        <v>1185</v>
      </c>
      <c r="K310" s="84">
        <v>45869</v>
      </c>
      <c r="L310" s="81" t="s">
        <v>14</v>
      </c>
      <c r="M310" s="81" t="s">
        <v>225</v>
      </c>
      <c r="N310" s="81">
        <v>2025</v>
      </c>
    </row>
    <row r="311" spans="1:14">
      <c r="A311" s="81">
        <v>310</v>
      </c>
      <c r="B311" s="81" t="s">
        <v>53</v>
      </c>
      <c r="C311" s="129" t="s">
        <v>62</v>
      </c>
      <c r="D311" s="81" t="s">
        <v>61</v>
      </c>
      <c r="E311" s="81" t="s">
        <v>91</v>
      </c>
      <c r="F311" s="81"/>
      <c r="G311" s="111" t="s">
        <v>97</v>
      </c>
      <c r="H311" s="111" t="s">
        <v>1182</v>
      </c>
      <c r="I311" s="83">
        <v>1760</v>
      </c>
      <c r="J311" s="81" t="s">
        <v>1186</v>
      </c>
      <c r="K311" s="84">
        <v>45900</v>
      </c>
      <c r="L311" s="81" t="s">
        <v>14</v>
      </c>
      <c r="M311" s="81" t="s">
        <v>226</v>
      </c>
      <c r="N311" s="81">
        <v>2025</v>
      </c>
    </row>
    <row r="312" spans="1:14">
      <c r="A312" s="81">
        <v>311</v>
      </c>
      <c r="B312" s="81" t="s">
        <v>33</v>
      </c>
      <c r="C312" s="81" t="s">
        <v>34</v>
      </c>
      <c r="D312" s="81" t="s">
        <v>61</v>
      </c>
      <c r="E312" s="81" t="s">
        <v>91</v>
      </c>
      <c r="F312" s="81"/>
      <c r="G312" s="111" t="s">
        <v>92</v>
      </c>
      <c r="H312" s="81" t="s">
        <v>1182</v>
      </c>
      <c r="I312" s="83">
        <v>43985.72264708006</v>
      </c>
      <c r="J312" s="81" t="s">
        <v>1190</v>
      </c>
      <c r="K312" s="84">
        <v>45895</v>
      </c>
      <c r="L312" s="81" t="s">
        <v>14</v>
      </c>
      <c r="M312" s="81" t="s">
        <v>225</v>
      </c>
      <c r="N312" s="81">
        <v>2025</v>
      </c>
    </row>
    <row r="313" spans="1:14">
      <c r="A313" s="81">
        <v>312</v>
      </c>
      <c r="B313" s="81" t="s">
        <v>33</v>
      </c>
      <c r="C313" s="81" t="s">
        <v>34</v>
      </c>
      <c r="D313" s="81" t="s">
        <v>61</v>
      </c>
      <c r="E313" s="81" t="s">
        <v>91</v>
      </c>
      <c r="F313" s="81"/>
      <c r="G313" s="81" t="s">
        <v>92</v>
      </c>
      <c r="H313" s="81" t="s">
        <v>1181</v>
      </c>
      <c r="I313" s="83">
        <v>42720.676602153493</v>
      </c>
      <c r="J313" s="81" t="s">
        <v>1191</v>
      </c>
      <c r="K313" s="84">
        <v>45895</v>
      </c>
      <c r="L313" s="81" t="s">
        <v>14</v>
      </c>
      <c r="M313" s="81" t="s">
        <v>225</v>
      </c>
      <c r="N313" s="81">
        <v>2025</v>
      </c>
    </row>
    <row r="314" spans="1:14">
      <c r="A314" s="81">
        <v>313</v>
      </c>
      <c r="B314" s="81" t="s">
        <v>33</v>
      </c>
      <c r="C314" s="81" t="s">
        <v>34</v>
      </c>
      <c r="D314" s="81" t="s">
        <v>61</v>
      </c>
      <c r="E314" s="81" t="s">
        <v>91</v>
      </c>
      <c r="F314" s="81"/>
      <c r="G314" s="81" t="s">
        <v>92</v>
      </c>
      <c r="H314" s="81" t="s">
        <v>1182</v>
      </c>
      <c r="I314" s="83">
        <v>41501.101440150152</v>
      </c>
      <c r="J314" s="81" t="s">
        <v>1192</v>
      </c>
      <c r="K314" s="84">
        <v>45923</v>
      </c>
      <c r="L314" s="81" t="s">
        <v>14</v>
      </c>
      <c r="M314" s="81" t="s">
        <v>226</v>
      </c>
      <c r="N314" s="81">
        <v>2025</v>
      </c>
    </row>
    <row r="315" spans="1:14">
      <c r="A315" s="81">
        <v>314</v>
      </c>
      <c r="B315" s="81" t="s">
        <v>33</v>
      </c>
      <c r="C315" s="81" t="s">
        <v>34</v>
      </c>
      <c r="D315" s="81" t="s">
        <v>61</v>
      </c>
      <c r="E315" s="81" t="s">
        <v>91</v>
      </c>
      <c r="F315" s="81"/>
      <c r="G315" s="81" t="s">
        <v>92</v>
      </c>
      <c r="H315" s="81" t="s">
        <v>1181</v>
      </c>
      <c r="I315" s="83">
        <v>31744.627523002495</v>
      </c>
      <c r="J315" s="81" t="s">
        <v>1193</v>
      </c>
      <c r="K315" s="84">
        <v>45923</v>
      </c>
      <c r="L315" s="81" t="s">
        <v>14</v>
      </c>
      <c r="M315" s="81" t="s">
        <v>226</v>
      </c>
      <c r="N315" s="81">
        <v>2025</v>
      </c>
    </row>
    <row r="316" spans="1:14">
      <c r="A316" s="81">
        <v>315</v>
      </c>
      <c r="B316" s="81" t="s">
        <v>33</v>
      </c>
      <c r="C316" s="81" t="s">
        <v>34</v>
      </c>
      <c r="D316" s="81" t="s">
        <v>61</v>
      </c>
      <c r="E316" s="81" t="s">
        <v>91</v>
      </c>
      <c r="F316" s="81"/>
      <c r="G316" s="81" t="s">
        <v>94</v>
      </c>
      <c r="H316" s="81" t="s">
        <v>1181</v>
      </c>
      <c r="I316" s="83">
        <v>16026.804210597036</v>
      </c>
      <c r="J316" s="81">
        <v>2025000132</v>
      </c>
      <c r="K316" s="84">
        <v>45869</v>
      </c>
      <c r="L316" s="81" t="s">
        <v>14</v>
      </c>
      <c r="M316" s="81" t="s">
        <v>225</v>
      </c>
      <c r="N316" s="81">
        <v>2025</v>
      </c>
    </row>
    <row r="317" spans="1:14">
      <c r="A317" s="81">
        <v>316</v>
      </c>
      <c r="B317" s="81" t="s">
        <v>33</v>
      </c>
      <c r="C317" s="81" t="s">
        <v>34</v>
      </c>
      <c r="D317" s="81" t="s">
        <v>61</v>
      </c>
      <c r="E317" s="81" t="s">
        <v>91</v>
      </c>
      <c r="F317" s="81"/>
      <c r="G317" s="111" t="s">
        <v>93</v>
      </c>
      <c r="H317" s="81" t="s">
        <v>1181</v>
      </c>
      <c r="I317" s="83">
        <v>9179.6767149665029</v>
      </c>
      <c r="J317" s="81" t="s">
        <v>1189</v>
      </c>
      <c r="K317" s="84">
        <v>45884</v>
      </c>
      <c r="L317" s="81" t="s">
        <v>14</v>
      </c>
      <c r="M317" s="81" t="s">
        <v>225</v>
      </c>
      <c r="N317" s="81">
        <v>2025</v>
      </c>
    </row>
    <row r="318" spans="1:14">
      <c r="A318" s="81">
        <v>317</v>
      </c>
      <c r="B318" s="81" t="s">
        <v>33</v>
      </c>
      <c r="C318" s="81" t="s">
        <v>34</v>
      </c>
      <c r="D318" s="81" t="s">
        <v>61</v>
      </c>
      <c r="E318" s="81" t="s">
        <v>91</v>
      </c>
      <c r="F318" s="81"/>
      <c r="G318" s="111" t="s">
        <v>93</v>
      </c>
      <c r="H318" s="111" t="s">
        <v>1182</v>
      </c>
      <c r="I318" s="83">
        <v>7316.3273181359509</v>
      </c>
      <c r="J318" s="81" t="s">
        <v>1189</v>
      </c>
      <c r="K318" s="84">
        <v>45884</v>
      </c>
      <c r="L318" s="81" t="s">
        <v>14</v>
      </c>
      <c r="M318" s="81" t="s">
        <v>225</v>
      </c>
      <c r="N318" s="81">
        <v>2025</v>
      </c>
    </row>
    <row r="319" spans="1:14">
      <c r="A319" s="81">
        <v>318</v>
      </c>
      <c r="B319" s="81" t="s">
        <v>33</v>
      </c>
      <c r="C319" s="81" t="s">
        <v>34</v>
      </c>
      <c r="D319" s="81" t="s">
        <v>61</v>
      </c>
      <c r="E319" s="81" t="s">
        <v>91</v>
      </c>
      <c r="F319" s="81"/>
      <c r="G319" s="81" t="s">
        <v>94</v>
      </c>
      <c r="H319" s="81" t="s">
        <v>1181</v>
      </c>
      <c r="I319" s="83">
        <v>6115.5652412298859</v>
      </c>
      <c r="J319" s="81" t="s">
        <v>1195</v>
      </c>
      <c r="K319" s="84">
        <v>45900</v>
      </c>
      <c r="L319" s="81" t="s">
        <v>14</v>
      </c>
      <c r="M319" s="81" t="s">
        <v>226</v>
      </c>
      <c r="N319" s="81">
        <v>2025</v>
      </c>
    </row>
    <row r="320" spans="1:14">
      <c r="A320" s="81">
        <v>319</v>
      </c>
      <c r="B320" s="81" t="s">
        <v>33</v>
      </c>
      <c r="C320" s="81" t="s">
        <v>34</v>
      </c>
      <c r="D320" s="81" t="s">
        <v>19</v>
      </c>
      <c r="E320" s="81" t="s">
        <v>91</v>
      </c>
      <c r="F320" s="81"/>
      <c r="G320" s="109" t="s">
        <v>93</v>
      </c>
      <c r="H320" s="109" t="s">
        <v>1182</v>
      </c>
      <c r="I320" s="83">
        <v>3536.0238309859155</v>
      </c>
      <c r="J320" s="109" t="s">
        <v>14</v>
      </c>
      <c r="K320" s="119" t="s">
        <v>14</v>
      </c>
      <c r="L320" s="109" t="s">
        <v>14</v>
      </c>
      <c r="M320" s="81" t="s">
        <v>226</v>
      </c>
      <c r="N320" s="81">
        <v>2025</v>
      </c>
    </row>
    <row r="321" spans="1:14">
      <c r="A321" s="81">
        <v>320</v>
      </c>
      <c r="B321" s="81" t="s">
        <v>33</v>
      </c>
      <c r="C321" s="81" t="s">
        <v>34</v>
      </c>
      <c r="D321" s="81" t="s">
        <v>19</v>
      </c>
      <c r="E321" s="81" t="s">
        <v>91</v>
      </c>
      <c r="F321" s="81"/>
      <c r="G321" s="109" t="s">
        <v>93</v>
      </c>
      <c r="H321" s="81" t="s">
        <v>1181</v>
      </c>
      <c r="I321" s="83">
        <v>2818.1202394366201</v>
      </c>
      <c r="J321" s="109" t="s">
        <v>14</v>
      </c>
      <c r="K321" s="119" t="s">
        <v>14</v>
      </c>
      <c r="L321" s="109" t="s">
        <v>14</v>
      </c>
      <c r="M321" s="81" t="s">
        <v>226</v>
      </c>
      <c r="N321" s="81">
        <v>2025</v>
      </c>
    </row>
    <row r="322" spans="1:14">
      <c r="A322" s="81">
        <v>321</v>
      </c>
      <c r="B322" s="81" t="s">
        <v>27</v>
      </c>
      <c r="C322" s="81" t="s">
        <v>28</v>
      </c>
      <c r="D322" s="81" t="s">
        <v>61</v>
      </c>
      <c r="E322" s="81" t="s">
        <v>91</v>
      </c>
      <c r="F322" s="81"/>
      <c r="G322" s="111" t="s">
        <v>92</v>
      </c>
      <c r="H322" s="81" t="s">
        <v>1182</v>
      </c>
      <c r="I322" s="83">
        <v>61.956437913482404</v>
      </c>
      <c r="J322" s="81" t="s">
        <v>1190</v>
      </c>
      <c r="K322" s="84">
        <v>45895</v>
      </c>
      <c r="L322" s="81" t="s">
        <v>14</v>
      </c>
      <c r="M322" s="81" t="s">
        <v>225</v>
      </c>
      <c r="N322" s="81">
        <v>2025</v>
      </c>
    </row>
    <row r="323" spans="1:14">
      <c r="A323" s="81">
        <v>322</v>
      </c>
      <c r="B323" s="81" t="s">
        <v>43</v>
      </c>
      <c r="C323" s="81" t="s">
        <v>46</v>
      </c>
      <c r="D323" s="81" t="s">
        <v>61</v>
      </c>
      <c r="E323" s="81" t="s">
        <v>91</v>
      </c>
      <c r="F323" s="81"/>
      <c r="G323" s="81" t="s">
        <v>92</v>
      </c>
      <c r="H323" s="81" t="s">
        <v>1181</v>
      </c>
      <c r="I323" s="83">
        <v>44403.304672040824</v>
      </c>
      <c r="J323" s="81" t="s">
        <v>1191</v>
      </c>
      <c r="K323" s="84">
        <v>45895</v>
      </c>
      <c r="L323" s="81" t="s">
        <v>14</v>
      </c>
      <c r="M323" s="81" t="s">
        <v>225</v>
      </c>
      <c r="N323" s="81">
        <v>2025</v>
      </c>
    </row>
    <row r="324" spans="1:14">
      <c r="A324" s="81">
        <v>323</v>
      </c>
      <c r="B324" s="81" t="s">
        <v>43</v>
      </c>
      <c r="C324" s="81" t="s">
        <v>46</v>
      </c>
      <c r="D324" s="81" t="s">
        <v>61</v>
      </c>
      <c r="E324" s="81" t="s">
        <v>91</v>
      </c>
      <c r="F324" s="81"/>
      <c r="G324" s="81" t="s">
        <v>92</v>
      </c>
      <c r="H324" s="81" t="s">
        <v>1181</v>
      </c>
      <c r="I324" s="83">
        <v>37889.803670153698</v>
      </c>
      <c r="J324" s="81" t="s">
        <v>1193</v>
      </c>
      <c r="K324" s="84">
        <v>45923</v>
      </c>
      <c r="L324" s="81" t="s">
        <v>14</v>
      </c>
      <c r="M324" s="81" t="s">
        <v>226</v>
      </c>
      <c r="N324" s="81">
        <v>2025</v>
      </c>
    </row>
    <row r="325" spans="1:14">
      <c r="A325" s="81">
        <v>324</v>
      </c>
      <c r="B325" s="81" t="s">
        <v>43</v>
      </c>
      <c r="C325" s="81" t="s">
        <v>46</v>
      </c>
      <c r="D325" s="81" t="s">
        <v>61</v>
      </c>
      <c r="E325" s="81" t="s">
        <v>91</v>
      </c>
      <c r="F325" s="81"/>
      <c r="G325" s="81" t="s">
        <v>92</v>
      </c>
      <c r="H325" s="81" t="s">
        <v>1182</v>
      </c>
      <c r="I325" s="83">
        <v>18299.161666672993</v>
      </c>
      <c r="J325" s="81" t="s">
        <v>1192</v>
      </c>
      <c r="K325" s="84">
        <v>45923</v>
      </c>
      <c r="L325" s="81" t="s">
        <v>14</v>
      </c>
      <c r="M325" s="81" t="s">
        <v>226</v>
      </c>
      <c r="N325" s="81">
        <v>2025</v>
      </c>
    </row>
    <row r="326" spans="1:14">
      <c r="A326" s="81">
        <v>325</v>
      </c>
      <c r="B326" s="81" t="s">
        <v>43</v>
      </c>
      <c r="C326" s="81" t="s">
        <v>46</v>
      </c>
      <c r="D326" s="81" t="s">
        <v>61</v>
      </c>
      <c r="E326" s="81" t="s">
        <v>91</v>
      </c>
      <c r="F326" s="81"/>
      <c r="G326" s="111" t="s">
        <v>92</v>
      </c>
      <c r="H326" s="81" t="s">
        <v>1182</v>
      </c>
      <c r="I326" s="83">
        <v>16336.548611446295</v>
      </c>
      <c r="J326" s="81" t="s">
        <v>1190</v>
      </c>
      <c r="K326" s="84">
        <v>45895</v>
      </c>
      <c r="L326" s="81" t="s">
        <v>14</v>
      </c>
      <c r="M326" s="81" t="s">
        <v>225</v>
      </c>
      <c r="N326" s="81">
        <v>2025</v>
      </c>
    </row>
    <row r="327" spans="1:14">
      <c r="A327" s="81">
        <v>326</v>
      </c>
      <c r="B327" s="81" t="s">
        <v>43</v>
      </c>
      <c r="C327" s="81" t="s">
        <v>46</v>
      </c>
      <c r="D327" s="81" t="s">
        <v>19</v>
      </c>
      <c r="E327" s="81" t="s">
        <v>91</v>
      </c>
      <c r="F327" s="81"/>
      <c r="G327" s="109" t="s">
        <v>93</v>
      </c>
      <c r="H327" s="81" t="s">
        <v>1181</v>
      </c>
      <c r="I327" s="83">
        <v>15554.577352112676</v>
      </c>
      <c r="J327" s="109" t="s">
        <v>14</v>
      </c>
      <c r="K327" s="119" t="s">
        <v>14</v>
      </c>
      <c r="L327" s="109" t="s">
        <v>14</v>
      </c>
      <c r="M327" s="81" t="s">
        <v>226</v>
      </c>
      <c r="N327" s="81">
        <v>2025</v>
      </c>
    </row>
    <row r="328" spans="1:14">
      <c r="A328" s="81">
        <v>327</v>
      </c>
      <c r="B328" s="81" t="s">
        <v>43</v>
      </c>
      <c r="C328" s="81" t="s">
        <v>46</v>
      </c>
      <c r="D328" s="81" t="s">
        <v>61</v>
      </c>
      <c r="E328" s="81" t="s">
        <v>91</v>
      </c>
      <c r="F328" s="81"/>
      <c r="G328" s="111" t="s">
        <v>93</v>
      </c>
      <c r="H328" s="81" t="s">
        <v>1181</v>
      </c>
      <c r="I328" s="83">
        <v>14218.46745202023</v>
      </c>
      <c r="J328" s="81" t="s">
        <v>1189</v>
      </c>
      <c r="K328" s="84">
        <v>45884</v>
      </c>
      <c r="L328" s="81" t="s">
        <v>14</v>
      </c>
      <c r="M328" s="81" t="s">
        <v>225</v>
      </c>
      <c r="N328" s="81">
        <v>2025</v>
      </c>
    </row>
    <row r="329" spans="1:14">
      <c r="A329" s="81">
        <v>328</v>
      </c>
      <c r="B329" s="81" t="s">
        <v>43</v>
      </c>
      <c r="C329" s="81" t="s">
        <v>46</v>
      </c>
      <c r="D329" s="81" t="s">
        <v>61</v>
      </c>
      <c r="E329" s="81" t="s">
        <v>91</v>
      </c>
      <c r="F329" s="81"/>
      <c r="G329" s="81" t="s">
        <v>94</v>
      </c>
      <c r="H329" s="81" t="s">
        <v>1181</v>
      </c>
      <c r="I329" s="83">
        <v>10639.927061081242</v>
      </c>
      <c r="J329" s="81">
        <v>2025000132</v>
      </c>
      <c r="K329" s="84">
        <v>45869</v>
      </c>
      <c r="L329" s="81" t="s">
        <v>14</v>
      </c>
      <c r="M329" s="81" t="s">
        <v>225</v>
      </c>
      <c r="N329" s="81">
        <v>2025</v>
      </c>
    </row>
    <row r="330" spans="1:14">
      <c r="A330" s="81">
        <v>329</v>
      </c>
      <c r="B330" s="81" t="s">
        <v>43</v>
      </c>
      <c r="C330" s="81" t="s">
        <v>46</v>
      </c>
      <c r="D330" s="81" t="s">
        <v>19</v>
      </c>
      <c r="E330" s="81" t="s">
        <v>91</v>
      </c>
      <c r="F330" s="81"/>
      <c r="G330" s="109" t="s">
        <v>93</v>
      </c>
      <c r="H330" s="109" t="s">
        <v>1182</v>
      </c>
      <c r="I330" s="83">
        <v>5462.3509999999997</v>
      </c>
      <c r="J330" s="109" t="s">
        <v>14</v>
      </c>
      <c r="K330" s="119" t="s">
        <v>14</v>
      </c>
      <c r="L330" s="109" t="s">
        <v>14</v>
      </c>
      <c r="M330" s="81" t="s">
        <v>226</v>
      </c>
      <c r="N330" s="81">
        <v>2025</v>
      </c>
    </row>
    <row r="331" spans="1:14">
      <c r="A331" s="81">
        <v>330</v>
      </c>
      <c r="B331" s="81" t="s">
        <v>43</v>
      </c>
      <c r="C331" s="81" t="s">
        <v>46</v>
      </c>
      <c r="D331" s="81" t="s">
        <v>61</v>
      </c>
      <c r="E331" s="81" t="s">
        <v>91</v>
      </c>
      <c r="F331" s="81"/>
      <c r="G331" s="111" t="s">
        <v>93</v>
      </c>
      <c r="H331" s="111" t="s">
        <v>1182</v>
      </c>
      <c r="I331" s="83">
        <v>3637.3400133565706</v>
      </c>
      <c r="J331" s="81" t="s">
        <v>1189</v>
      </c>
      <c r="K331" s="84">
        <v>45884</v>
      </c>
      <c r="L331" s="81" t="s">
        <v>14</v>
      </c>
      <c r="M331" s="81" t="s">
        <v>225</v>
      </c>
      <c r="N331" s="81">
        <v>2025</v>
      </c>
    </row>
    <row r="332" spans="1:14">
      <c r="A332" s="81">
        <v>331</v>
      </c>
      <c r="B332" s="81" t="s">
        <v>43</v>
      </c>
      <c r="C332" s="81" t="s">
        <v>46</v>
      </c>
      <c r="D332" s="81" t="s">
        <v>61</v>
      </c>
      <c r="E332" s="81" t="s">
        <v>91</v>
      </c>
      <c r="F332" s="81"/>
      <c r="G332" s="81" t="s">
        <v>94</v>
      </c>
      <c r="H332" s="81" t="s">
        <v>1181</v>
      </c>
      <c r="I332" s="83">
        <v>3283.8199163958366</v>
      </c>
      <c r="J332" s="81" t="s">
        <v>1195</v>
      </c>
      <c r="K332" s="84">
        <v>45900</v>
      </c>
      <c r="L332" s="81" t="s">
        <v>14</v>
      </c>
      <c r="M332" s="81" t="s">
        <v>226</v>
      </c>
      <c r="N332" s="81">
        <v>2025</v>
      </c>
    </row>
    <row r="333" spans="1:14">
      <c r="A333" s="81">
        <v>332</v>
      </c>
      <c r="B333" s="81" t="s">
        <v>43</v>
      </c>
      <c r="C333" s="81" t="s">
        <v>45</v>
      </c>
      <c r="D333" s="81" t="s">
        <v>61</v>
      </c>
      <c r="E333" s="81" t="s">
        <v>91</v>
      </c>
      <c r="F333" s="81"/>
      <c r="G333" s="81" t="s">
        <v>92</v>
      </c>
      <c r="H333" s="81" t="s">
        <v>1181</v>
      </c>
      <c r="I333" s="83">
        <v>17660.848573022977</v>
      </c>
      <c r="J333" s="81" t="s">
        <v>1191</v>
      </c>
      <c r="K333" s="84">
        <v>45895</v>
      </c>
      <c r="L333" s="81" t="s">
        <v>14</v>
      </c>
      <c r="M333" s="81" t="s">
        <v>225</v>
      </c>
      <c r="N333" s="81">
        <v>2025</v>
      </c>
    </row>
    <row r="334" spans="1:14">
      <c r="A334" s="81">
        <v>333</v>
      </c>
      <c r="B334" s="81" t="s">
        <v>43</v>
      </c>
      <c r="C334" s="81" t="s">
        <v>45</v>
      </c>
      <c r="D334" s="81" t="s">
        <v>61</v>
      </c>
      <c r="E334" s="81" t="s">
        <v>91</v>
      </c>
      <c r="F334" s="81"/>
      <c r="G334" s="81" t="s">
        <v>92</v>
      </c>
      <c r="H334" s="81" t="s">
        <v>1181</v>
      </c>
      <c r="I334" s="83">
        <v>10314.221370281108</v>
      </c>
      <c r="J334" s="81" t="s">
        <v>1193</v>
      </c>
      <c r="K334" s="84">
        <v>45923</v>
      </c>
      <c r="L334" s="81" t="s">
        <v>14</v>
      </c>
      <c r="M334" s="81" t="s">
        <v>226</v>
      </c>
      <c r="N334" s="81">
        <v>2025</v>
      </c>
    </row>
    <row r="335" spans="1:14">
      <c r="A335" s="81">
        <v>334</v>
      </c>
      <c r="B335" s="81" t="s">
        <v>43</v>
      </c>
      <c r="C335" s="81" t="s">
        <v>45</v>
      </c>
      <c r="D335" s="81" t="s">
        <v>61</v>
      </c>
      <c r="E335" s="81" t="s">
        <v>91</v>
      </c>
      <c r="F335" s="81"/>
      <c r="G335" s="81" t="s">
        <v>92</v>
      </c>
      <c r="H335" s="81" t="s">
        <v>1182</v>
      </c>
      <c r="I335" s="83">
        <v>6937.9172727983705</v>
      </c>
      <c r="J335" s="81" t="s">
        <v>1192</v>
      </c>
      <c r="K335" s="84">
        <v>45923</v>
      </c>
      <c r="L335" s="81" t="s">
        <v>14</v>
      </c>
      <c r="M335" s="81" t="s">
        <v>226</v>
      </c>
      <c r="N335" s="81">
        <v>2025</v>
      </c>
    </row>
    <row r="336" spans="1:14">
      <c r="A336" s="81">
        <v>335</v>
      </c>
      <c r="B336" s="81" t="s">
        <v>43</v>
      </c>
      <c r="C336" s="81" t="s">
        <v>45</v>
      </c>
      <c r="D336" s="81" t="s">
        <v>61</v>
      </c>
      <c r="E336" s="81" t="s">
        <v>91</v>
      </c>
      <c r="F336" s="81"/>
      <c r="G336" s="81" t="s">
        <v>94</v>
      </c>
      <c r="H336" s="81" t="s">
        <v>1181</v>
      </c>
      <c r="I336" s="83">
        <v>5716.6069165521658</v>
      </c>
      <c r="J336" s="81">
        <v>2025000132</v>
      </c>
      <c r="K336" s="84">
        <v>45869</v>
      </c>
      <c r="L336" s="81" t="s">
        <v>14</v>
      </c>
      <c r="M336" s="81" t="s">
        <v>225</v>
      </c>
      <c r="N336" s="81">
        <v>2025</v>
      </c>
    </row>
    <row r="337" spans="1:14">
      <c r="A337" s="81">
        <v>336</v>
      </c>
      <c r="B337" s="81" t="s">
        <v>43</v>
      </c>
      <c r="C337" s="81" t="s">
        <v>45</v>
      </c>
      <c r="D337" s="81" t="s">
        <v>61</v>
      </c>
      <c r="E337" s="81" t="s">
        <v>91</v>
      </c>
      <c r="F337" s="81"/>
      <c r="G337" s="111" t="s">
        <v>92</v>
      </c>
      <c r="H337" s="81" t="s">
        <v>1182</v>
      </c>
      <c r="I337" s="83">
        <v>5654.1441818361864</v>
      </c>
      <c r="J337" s="81" t="s">
        <v>1190</v>
      </c>
      <c r="K337" s="84">
        <v>45895</v>
      </c>
      <c r="L337" s="81" t="s">
        <v>14</v>
      </c>
      <c r="M337" s="81" t="s">
        <v>225</v>
      </c>
      <c r="N337" s="81">
        <v>2025</v>
      </c>
    </row>
    <row r="338" spans="1:14">
      <c r="A338" s="81">
        <v>337</v>
      </c>
      <c r="B338" s="81" t="s">
        <v>43</v>
      </c>
      <c r="C338" s="81" t="s">
        <v>45</v>
      </c>
      <c r="D338" s="81" t="s">
        <v>61</v>
      </c>
      <c r="E338" s="81" t="s">
        <v>91</v>
      </c>
      <c r="F338" s="81"/>
      <c r="G338" s="81" t="s">
        <v>94</v>
      </c>
      <c r="H338" s="81" t="s">
        <v>1181</v>
      </c>
      <c r="I338" s="83">
        <v>5521.7687625611488</v>
      </c>
      <c r="J338" s="81" t="s">
        <v>1195</v>
      </c>
      <c r="K338" s="84">
        <v>45900</v>
      </c>
      <c r="L338" s="81" t="s">
        <v>14</v>
      </c>
      <c r="M338" s="81" t="s">
        <v>226</v>
      </c>
      <c r="N338" s="81">
        <v>2025</v>
      </c>
    </row>
    <row r="339" spans="1:14">
      <c r="A339" s="81">
        <v>338</v>
      </c>
      <c r="B339" s="81" t="s">
        <v>43</v>
      </c>
      <c r="C339" s="81" t="s">
        <v>45</v>
      </c>
      <c r="D339" s="81" t="s">
        <v>61</v>
      </c>
      <c r="E339" s="81" t="s">
        <v>91</v>
      </c>
      <c r="F339" s="81"/>
      <c r="G339" s="111" t="s">
        <v>93</v>
      </c>
      <c r="H339" s="111" t="s">
        <v>1182</v>
      </c>
      <c r="I339" s="83">
        <v>746.51053891184836</v>
      </c>
      <c r="J339" s="81" t="s">
        <v>1189</v>
      </c>
      <c r="K339" s="84">
        <v>45884</v>
      </c>
      <c r="L339" s="81" t="s">
        <v>14</v>
      </c>
      <c r="M339" s="81" t="s">
        <v>225</v>
      </c>
      <c r="N339" s="81">
        <v>2025</v>
      </c>
    </row>
    <row r="340" spans="1:14">
      <c r="A340" s="81">
        <v>339</v>
      </c>
      <c r="B340" s="81" t="s">
        <v>43</v>
      </c>
      <c r="C340" s="81" t="s">
        <v>45</v>
      </c>
      <c r="D340" s="81" t="s">
        <v>19</v>
      </c>
      <c r="E340" s="81" t="s">
        <v>91</v>
      </c>
      <c r="F340" s="81"/>
      <c r="G340" s="109" t="s">
        <v>93</v>
      </c>
      <c r="H340" s="81" t="s">
        <v>1181</v>
      </c>
      <c r="I340" s="83">
        <v>566.08883802816899</v>
      </c>
      <c r="J340" s="109" t="s">
        <v>14</v>
      </c>
      <c r="K340" s="119" t="s">
        <v>14</v>
      </c>
      <c r="L340" s="109" t="s">
        <v>14</v>
      </c>
      <c r="M340" s="81" t="s">
        <v>226</v>
      </c>
      <c r="N340" s="81">
        <v>2025</v>
      </c>
    </row>
    <row r="341" spans="1:14">
      <c r="A341" s="81">
        <v>340</v>
      </c>
      <c r="B341" s="81" t="s">
        <v>43</v>
      </c>
      <c r="C341" s="81" t="s">
        <v>45</v>
      </c>
      <c r="D341" s="81" t="s">
        <v>61</v>
      </c>
      <c r="E341" s="81" t="s">
        <v>91</v>
      </c>
      <c r="F341" s="81"/>
      <c r="G341" s="111" t="s">
        <v>93</v>
      </c>
      <c r="H341" s="81" t="s">
        <v>1181</v>
      </c>
      <c r="I341" s="83">
        <v>171.75245801612246</v>
      </c>
      <c r="J341" s="81" t="s">
        <v>1189</v>
      </c>
      <c r="K341" s="84">
        <v>45884</v>
      </c>
      <c r="L341" s="81" t="s">
        <v>14</v>
      </c>
      <c r="M341" s="81" t="s">
        <v>225</v>
      </c>
      <c r="N341" s="81">
        <v>2025</v>
      </c>
    </row>
    <row r="342" spans="1:14">
      <c r="A342" s="81">
        <v>341</v>
      </c>
      <c r="B342" s="81" t="s">
        <v>17</v>
      </c>
      <c r="C342" s="81" t="s">
        <v>74</v>
      </c>
      <c r="D342" s="81" t="s">
        <v>61</v>
      </c>
      <c r="E342" s="81" t="s">
        <v>91</v>
      </c>
      <c r="F342" s="81"/>
      <c r="G342" s="81" t="s">
        <v>92</v>
      </c>
      <c r="H342" s="81" t="s">
        <v>1182</v>
      </c>
      <c r="I342" s="83">
        <v>3122.5161315390178</v>
      </c>
      <c r="J342" s="81" t="s">
        <v>1192</v>
      </c>
      <c r="K342" s="84">
        <v>45923</v>
      </c>
      <c r="L342" s="81" t="s">
        <v>14</v>
      </c>
      <c r="M342" s="81" t="s">
        <v>226</v>
      </c>
      <c r="N342" s="81">
        <v>2025</v>
      </c>
    </row>
    <row r="343" spans="1:14">
      <c r="A343" s="81">
        <v>342</v>
      </c>
      <c r="B343" s="81" t="s">
        <v>17</v>
      </c>
      <c r="C343" s="81" t="s">
        <v>74</v>
      </c>
      <c r="D343" s="81" t="s">
        <v>61</v>
      </c>
      <c r="E343" s="81" t="s">
        <v>91</v>
      </c>
      <c r="F343" s="81"/>
      <c r="G343" s="111" t="s">
        <v>92</v>
      </c>
      <c r="H343" s="81" t="s">
        <v>1182</v>
      </c>
      <c r="I343" s="83">
        <v>1363.0416340966131</v>
      </c>
      <c r="J343" s="81" t="s">
        <v>1190</v>
      </c>
      <c r="K343" s="84">
        <v>45895</v>
      </c>
      <c r="L343" s="81" t="s">
        <v>14</v>
      </c>
      <c r="M343" s="81" t="s">
        <v>225</v>
      </c>
      <c r="N343" s="81">
        <v>2025</v>
      </c>
    </row>
    <row r="344" spans="1:14">
      <c r="A344" s="81">
        <v>343</v>
      </c>
      <c r="B344" s="81" t="s">
        <v>17</v>
      </c>
      <c r="C344" s="81" t="s">
        <v>74</v>
      </c>
      <c r="D344" s="81" t="s">
        <v>61</v>
      </c>
      <c r="E344" s="81" t="s">
        <v>91</v>
      </c>
      <c r="F344" s="81"/>
      <c r="G344" s="111" t="s">
        <v>93</v>
      </c>
      <c r="H344" s="111" t="s">
        <v>1182</v>
      </c>
      <c r="I344" s="83">
        <v>373.25526945592418</v>
      </c>
      <c r="J344" s="81" t="s">
        <v>1189</v>
      </c>
      <c r="K344" s="84">
        <v>45884</v>
      </c>
      <c r="L344" s="81" t="s">
        <v>14</v>
      </c>
      <c r="M344" s="81" t="s">
        <v>225</v>
      </c>
      <c r="N344" s="81">
        <v>2025</v>
      </c>
    </row>
    <row r="345" spans="1:14">
      <c r="A345" s="81">
        <v>344</v>
      </c>
      <c r="B345" s="81" t="s">
        <v>35</v>
      </c>
      <c r="C345" s="81" t="s">
        <v>39</v>
      </c>
      <c r="D345" s="81" t="s">
        <v>61</v>
      </c>
      <c r="E345" s="81" t="s">
        <v>91</v>
      </c>
      <c r="F345" s="81"/>
      <c r="G345" s="81" t="s">
        <v>92</v>
      </c>
      <c r="H345" s="81" t="s">
        <v>1181</v>
      </c>
      <c r="I345" s="83">
        <v>86.708267484336815</v>
      </c>
      <c r="J345" s="81" t="s">
        <v>1191</v>
      </c>
      <c r="K345" s="84">
        <v>45895</v>
      </c>
      <c r="L345" s="81" t="s">
        <v>14</v>
      </c>
      <c r="M345" s="81" t="s">
        <v>225</v>
      </c>
      <c r="N345" s="81">
        <v>2025</v>
      </c>
    </row>
    <row r="346" spans="1:14">
      <c r="A346" s="81">
        <v>345</v>
      </c>
      <c r="B346" s="81" t="s">
        <v>35</v>
      </c>
      <c r="C346" s="81" t="s">
        <v>39</v>
      </c>
      <c r="D346" s="81" t="s">
        <v>61</v>
      </c>
      <c r="E346" s="81" t="s">
        <v>91</v>
      </c>
      <c r="F346" s="81"/>
      <c r="G346" s="111" t="s">
        <v>92</v>
      </c>
      <c r="H346" s="81" t="s">
        <v>1182</v>
      </c>
      <c r="I346" s="83">
        <v>70.630333422247602</v>
      </c>
      <c r="J346" s="81" t="s">
        <v>1190</v>
      </c>
      <c r="K346" s="84">
        <v>45895</v>
      </c>
      <c r="L346" s="81" t="s">
        <v>14</v>
      </c>
      <c r="M346" s="81" t="s">
        <v>225</v>
      </c>
      <c r="N346" s="81">
        <v>2025</v>
      </c>
    </row>
    <row r="347" spans="1:14">
      <c r="A347" s="81">
        <v>346</v>
      </c>
      <c r="B347" s="81" t="s">
        <v>35</v>
      </c>
      <c r="C347" s="81" t="s">
        <v>38</v>
      </c>
      <c r="D347" s="81" t="s">
        <v>61</v>
      </c>
      <c r="E347" s="81" t="s">
        <v>91</v>
      </c>
      <c r="F347" s="81"/>
      <c r="G347" s="111" t="s">
        <v>92</v>
      </c>
      <c r="H347" s="81" t="s">
        <v>1182</v>
      </c>
      <c r="I347" s="83">
        <v>24613.92797568857</v>
      </c>
      <c r="J347" s="81" t="s">
        <v>1190</v>
      </c>
      <c r="K347" s="84">
        <v>45895</v>
      </c>
      <c r="L347" s="81" t="s">
        <v>14</v>
      </c>
      <c r="M347" s="81" t="s">
        <v>225</v>
      </c>
      <c r="N347" s="81">
        <v>2025</v>
      </c>
    </row>
    <row r="348" spans="1:14">
      <c r="A348" s="81">
        <v>347</v>
      </c>
      <c r="B348" s="81" t="s">
        <v>35</v>
      </c>
      <c r="C348" s="81" t="s">
        <v>38</v>
      </c>
      <c r="D348" s="81" t="s">
        <v>61</v>
      </c>
      <c r="E348" s="81" t="s">
        <v>91</v>
      </c>
      <c r="F348" s="81"/>
      <c r="G348" s="81" t="s">
        <v>92</v>
      </c>
      <c r="H348" s="81" t="s">
        <v>1182</v>
      </c>
      <c r="I348" s="83">
        <v>15321.179921162382</v>
      </c>
      <c r="J348" s="81" t="s">
        <v>1192</v>
      </c>
      <c r="K348" s="84">
        <v>45923</v>
      </c>
      <c r="L348" s="81" t="s">
        <v>14</v>
      </c>
      <c r="M348" s="81" t="s">
        <v>226</v>
      </c>
      <c r="N348" s="81">
        <v>2025</v>
      </c>
    </row>
    <row r="349" spans="1:14">
      <c r="A349" s="81">
        <v>348</v>
      </c>
      <c r="B349" s="81" t="s">
        <v>35</v>
      </c>
      <c r="C349" s="81" t="s">
        <v>38</v>
      </c>
      <c r="D349" s="81" t="s">
        <v>61</v>
      </c>
      <c r="E349" s="81" t="s">
        <v>91</v>
      </c>
      <c r="F349" s="81"/>
      <c r="G349" s="81" t="s">
        <v>92</v>
      </c>
      <c r="H349" s="81" t="s">
        <v>1181</v>
      </c>
      <c r="I349" s="83">
        <v>11082.565530927934</v>
      </c>
      <c r="J349" s="81" t="s">
        <v>1193</v>
      </c>
      <c r="K349" s="84">
        <v>45923</v>
      </c>
      <c r="L349" s="81" t="s">
        <v>14</v>
      </c>
      <c r="M349" s="81" t="s">
        <v>226</v>
      </c>
      <c r="N349" s="81">
        <v>2025</v>
      </c>
    </row>
    <row r="350" spans="1:14">
      <c r="A350" s="81">
        <v>349</v>
      </c>
      <c r="B350" s="81" t="s">
        <v>35</v>
      </c>
      <c r="C350" s="81" t="s">
        <v>38</v>
      </c>
      <c r="D350" s="81" t="s">
        <v>61</v>
      </c>
      <c r="E350" s="81" t="s">
        <v>91</v>
      </c>
      <c r="F350" s="81"/>
      <c r="G350" s="81" t="s">
        <v>92</v>
      </c>
      <c r="H350" s="81" t="s">
        <v>1181</v>
      </c>
      <c r="I350" s="83">
        <v>8117.6822695981527</v>
      </c>
      <c r="J350" s="81" t="s">
        <v>1191</v>
      </c>
      <c r="K350" s="84">
        <v>45895</v>
      </c>
      <c r="L350" s="81" t="s">
        <v>14</v>
      </c>
      <c r="M350" s="81" t="s">
        <v>225</v>
      </c>
      <c r="N350" s="81">
        <v>2025</v>
      </c>
    </row>
    <row r="351" spans="1:14">
      <c r="A351" s="81">
        <v>350</v>
      </c>
      <c r="B351" s="81" t="s">
        <v>35</v>
      </c>
      <c r="C351" s="81" t="s">
        <v>38</v>
      </c>
      <c r="D351" s="81" t="s">
        <v>19</v>
      </c>
      <c r="E351" s="81" t="s">
        <v>91</v>
      </c>
      <c r="F351" s="81"/>
      <c r="G351" s="109" t="s">
        <v>93</v>
      </c>
      <c r="H351" s="81" t="s">
        <v>1181</v>
      </c>
      <c r="I351" s="83">
        <v>5908.060661971831</v>
      </c>
      <c r="J351" s="109" t="s">
        <v>14</v>
      </c>
      <c r="K351" s="119" t="s">
        <v>14</v>
      </c>
      <c r="L351" s="109" t="s">
        <v>14</v>
      </c>
      <c r="M351" s="81" t="s">
        <v>226</v>
      </c>
      <c r="N351" s="81">
        <v>2025</v>
      </c>
    </row>
    <row r="352" spans="1:14">
      <c r="A352" s="81">
        <v>351</v>
      </c>
      <c r="B352" s="81" t="s">
        <v>35</v>
      </c>
      <c r="C352" s="81" t="s">
        <v>38</v>
      </c>
      <c r="D352" s="81" t="s">
        <v>19</v>
      </c>
      <c r="E352" s="81" t="s">
        <v>91</v>
      </c>
      <c r="F352" s="81"/>
      <c r="G352" s="109" t="s">
        <v>93</v>
      </c>
      <c r="H352" s="109" t="s">
        <v>1182</v>
      </c>
      <c r="I352" s="83">
        <v>3535.4819859154927</v>
      </c>
      <c r="J352" s="109" t="s">
        <v>14</v>
      </c>
      <c r="K352" s="119" t="s">
        <v>14</v>
      </c>
      <c r="L352" s="109" t="s">
        <v>14</v>
      </c>
      <c r="M352" s="81" t="s">
        <v>226</v>
      </c>
      <c r="N352" s="81">
        <v>2025</v>
      </c>
    </row>
    <row r="353" spans="1:14">
      <c r="A353" s="81">
        <v>352</v>
      </c>
      <c r="B353" s="81" t="s">
        <v>35</v>
      </c>
      <c r="C353" s="81" t="s">
        <v>38</v>
      </c>
      <c r="D353" s="81" t="s">
        <v>61</v>
      </c>
      <c r="E353" s="81" t="s">
        <v>91</v>
      </c>
      <c r="F353" s="81"/>
      <c r="G353" s="111" t="s">
        <v>93</v>
      </c>
      <c r="H353" s="111" t="s">
        <v>1182</v>
      </c>
      <c r="I353" s="83">
        <v>2679.8418990445125</v>
      </c>
      <c r="J353" s="81" t="s">
        <v>1189</v>
      </c>
      <c r="K353" s="84">
        <v>45884</v>
      </c>
      <c r="L353" s="81" t="s">
        <v>14</v>
      </c>
      <c r="M353" s="81" t="s">
        <v>225</v>
      </c>
      <c r="N353" s="81">
        <v>2025</v>
      </c>
    </row>
    <row r="354" spans="1:14">
      <c r="A354" s="81">
        <v>353</v>
      </c>
      <c r="B354" s="81" t="s">
        <v>35</v>
      </c>
      <c r="C354" s="81" t="s">
        <v>38</v>
      </c>
      <c r="D354" s="81" t="s">
        <v>61</v>
      </c>
      <c r="E354" s="81" t="s">
        <v>91</v>
      </c>
      <c r="F354" s="81"/>
      <c r="G354" s="81" t="s">
        <v>94</v>
      </c>
      <c r="H354" s="81" t="s">
        <v>1181</v>
      </c>
      <c r="I354" s="83">
        <v>2331.4134567957649</v>
      </c>
      <c r="J354" s="81" t="s">
        <v>1195</v>
      </c>
      <c r="K354" s="84">
        <v>45900</v>
      </c>
      <c r="L354" s="81" t="s">
        <v>14</v>
      </c>
      <c r="M354" s="81" t="s">
        <v>226</v>
      </c>
      <c r="N354" s="81">
        <v>2025</v>
      </c>
    </row>
    <row r="355" spans="1:14">
      <c r="A355" s="81">
        <v>354</v>
      </c>
      <c r="B355" s="81" t="s">
        <v>35</v>
      </c>
      <c r="C355" s="81" t="s">
        <v>38</v>
      </c>
      <c r="D355" s="81" t="s">
        <v>61</v>
      </c>
      <c r="E355" s="81" t="s">
        <v>91</v>
      </c>
      <c r="F355" s="81"/>
      <c r="G355" s="111" t="s">
        <v>93</v>
      </c>
      <c r="H355" s="81" t="s">
        <v>1181</v>
      </c>
      <c r="I355" s="83">
        <v>1507.7095292607264</v>
      </c>
      <c r="J355" s="81" t="s">
        <v>1189</v>
      </c>
      <c r="K355" s="84">
        <v>45884</v>
      </c>
      <c r="L355" s="81" t="s">
        <v>14</v>
      </c>
      <c r="M355" s="81" t="s">
        <v>225</v>
      </c>
      <c r="N355" s="81">
        <v>2025</v>
      </c>
    </row>
    <row r="356" spans="1:14">
      <c r="A356" s="81">
        <v>355</v>
      </c>
      <c r="B356" s="81" t="s">
        <v>35</v>
      </c>
      <c r="C356" s="81" t="s">
        <v>38</v>
      </c>
      <c r="D356" s="81" t="s">
        <v>61</v>
      </c>
      <c r="E356" s="81" t="s">
        <v>91</v>
      </c>
      <c r="F356" s="81"/>
      <c r="G356" s="81" t="s">
        <v>94</v>
      </c>
      <c r="H356" s="81" t="s">
        <v>1181</v>
      </c>
      <c r="I356" s="83">
        <v>1392.4571817474539</v>
      </c>
      <c r="J356" s="81">
        <v>2025000132</v>
      </c>
      <c r="K356" s="84">
        <v>45869</v>
      </c>
      <c r="L356" s="81" t="s">
        <v>14</v>
      </c>
      <c r="M356" s="81" t="s">
        <v>225</v>
      </c>
      <c r="N356" s="81">
        <v>2025</v>
      </c>
    </row>
    <row r="357" spans="1:14">
      <c r="A357" s="81">
        <v>356</v>
      </c>
      <c r="B357" s="81" t="s">
        <v>35</v>
      </c>
      <c r="C357" s="81" t="s">
        <v>37</v>
      </c>
      <c r="D357" s="81" t="s">
        <v>61</v>
      </c>
      <c r="E357" s="81" t="s">
        <v>91</v>
      </c>
      <c r="F357" s="81"/>
      <c r="G357" s="111" t="s">
        <v>92</v>
      </c>
      <c r="H357" s="81" t="s">
        <v>1182</v>
      </c>
      <c r="I357" s="83">
        <v>13628.308862580059</v>
      </c>
      <c r="J357" s="81" t="s">
        <v>1190</v>
      </c>
      <c r="K357" s="84">
        <v>45895</v>
      </c>
      <c r="L357" s="81" t="s">
        <v>14</v>
      </c>
      <c r="M357" s="81" t="s">
        <v>225</v>
      </c>
      <c r="N357" s="81">
        <v>2025</v>
      </c>
    </row>
    <row r="358" spans="1:14">
      <c r="A358" s="81">
        <v>357</v>
      </c>
      <c r="B358" s="81" t="s">
        <v>35</v>
      </c>
      <c r="C358" s="81" t="s">
        <v>37</v>
      </c>
      <c r="D358" s="81" t="s">
        <v>61</v>
      </c>
      <c r="E358" s="81" t="s">
        <v>91</v>
      </c>
      <c r="F358" s="81"/>
      <c r="G358" s="81" t="s">
        <v>92</v>
      </c>
      <c r="H358" s="81" t="s">
        <v>1182</v>
      </c>
      <c r="I358" s="83">
        <v>13022.096240683211</v>
      </c>
      <c r="J358" s="81" t="s">
        <v>1192</v>
      </c>
      <c r="K358" s="84">
        <v>45923</v>
      </c>
      <c r="L358" s="81" t="s">
        <v>14</v>
      </c>
      <c r="M358" s="81" t="s">
        <v>226</v>
      </c>
      <c r="N358" s="81">
        <v>2025</v>
      </c>
    </row>
    <row r="359" spans="1:14">
      <c r="A359" s="81">
        <v>358</v>
      </c>
      <c r="B359" s="81" t="s">
        <v>35</v>
      </c>
      <c r="C359" s="81" t="s">
        <v>37</v>
      </c>
      <c r="D359" s="81" t="s">
        <v>61</v>
      </c>
      <c r="E359" s="81" t="s">
        <v>91</v>
      </c>
      <c r="F359" s="81"/>
      <c r="G359" s="81" t="s">
        <v>92</v>
      </c>
      <c r="H359" s="81" t="s">
        <v>1181</v>
      </c>
      <c r="I359" s="83">
        <v>11018.886812544524</v>
      </c>
      <c r="J359" s="81" t="s">
        <v>1191</v>
      </c>
      <c r="K359" s="84">
        <v>45895</v>
      </c>
      <c r="L359" s="81" t="s">
        <v>14</v>
      </c>
      <c r="M359" s="81" t="s">
        <v>225</v>
      </c>
      <c r="N359" s="81">
        <v>2025</v>
      </c>
    </row>
    <row r="360" spans="1:14">
      <c r="A360" s="81">
        <v>359</v>
      </c>
      <c r="B360" s="81" t="s">
        <v>35</v>
      </c>
      <c r="C360" s="81" t="s">
        <v>37</v>
      </c>
      <c r="D360" s="81" t="s">
        <v>61</v>
      </c>
      <c r="E360" s="81" t="s">
        <v>91</v>
      </c>
      <c r="F360" s="81"/>
      <c r="G360" s="81" t="s">
        <v>92</v>
      </c>
      <c r="H360" s="81" t="s">
        <v>1181</v>
      </c>
      <c r="I360" s="83">
        <v>6419.1883344916696</v>
      </c>
      <c r="J360" s="81" t="s">
        <v>1193</v>
      </c>
      <c r="K360" s="84">
        <v>45923</v>
      </c>
      <c r="L360" s="81" t="s">
        <v>14</v>
      </c>
      <c r="M360" s="81" t="s">
        <v>226</v>
      </c>
      <c r="N360" s="81">
        <v>2025</v>
      </c>
    </row>
    <row r="361" spans="1:14">
      <c r="A361" s="81">
        <v>360</v>
      </c>
      <c r="B361" s="81" t="s">
        <v>35</v>
      </c>
      <c r="C361" s="81" t="s">
        <v>37</v>
      </c>
      <c r="D361" s="81" t="s">
        <v>61</v>
      </c>
      <c r="E361" s="81" t="s">
        <v>91</v>
      </c>
      <c r="F361" s="81"/>
      <c r="G361" s="111" t="s">
        <v>93</v>
      </c>
      <c r="H361" s="111" t="s">
        <v>1182</v>
      </c>
      <c r="I361" s="83">
        <v>3555.6167441086536</v>
      </c>
      <c r="J361" s="81" t="s">
        <v>1189</v>
      </c>
      <c r="K361" s="84">
        <v>45884</v>
      </c>
      <c r="L361" s="81" t="s">
        <v>14</v>
      </c>
      <c r="M361" s="81" t="s">
        <v>225</v>
      </c>
      <c r="N361" s="81">
        <v>2025</v>
      </c>
    </row>
    <row r="362" spans="1:14">
      <c r="A362" s="81">
        <v>361</v>
      </c>
      <c r="B362" s="81" t="s">
        <v>35</v>
      </c>
      <c r="C362" s="81" t="s">
        <v>37</v>
      </c>
      <c r="D362" s="81" t="s">
        <v>19</v>
      </c>
      <c r="E362" s="81" t="s">
        <v>91</v>
      </c>
      <c r="F362" s="81"/>
      <c r="G362" s="109" t="s">
        <v>93</v>
      </c>
      <c r="H362" s="109" t="s">
        <v>1182</v>
      </c>
      <c r="I362" s="83">
        <v>3388.8135492957749</v>
      </c>
      <c r="J362" s="109" t="s">
        <v>14</v>
      </c>
      <c r="K362" s="119" t="s">
        <v>14</v>
      </c>
      <c r="L362" s="109" t="s">
        <v>14</v>
      </c>
      <c r="M362" s="81" t="s">
        <v>226</v>
      </c>
      <c r="N362" s="81">
        <v>2025</v>
      </c>
    </row>
    <row r="363" spans="1:14">
      <c r="A363" s="81">
        <v>362</v>
      </c>
      <c r="B363" s="81" t="s">
        <v>35</v>
      </c>
      <c r="C363" s="81" t="s">
        <v>37</v>
      </c>
      <c r="D363" s="81" t="s">
        <v>61</v>
      </c>
      <c r="E363" s="81" t="s">
        <v>91</v>
      </c>
      <c r="F363" s="81"/>
      <c r="G363" s="111" t="s">
        <v>93</v>
      </c>
      <c r="H363" s="81" t="s">
        <v>1181</v>
      </c>
      <c r="I363" s="83">
        <v>2642.5088408985507</v>
      </c>
      <c r="J363" s="81" t="s">
        <v>1189</v>
      </c>
      <c r="K363" s="84">
        <v>45884</v>
      </c>
      <c r="L363" s="81" t="s">
        <v>14</v>
      </c>
      <c r="M363" s="81" t="s">
        <v>225</v>
      </c>
      <c r="N363" s="81">
        <v>2025</v>
      </c>
    </row>
    <row r="364" spans="1:14">
      <c r="A364" s="81">
        <v>363</v>
      </c>
      <c r="B364" s="81" t="s">
        <v>35</v>
      </c>
      <c r="C364" s="81" t="s">
        <v>37</v>
      </c>
      <c r="D364" s="81" t="s">
        <v>61</v>
      </c>
      <c r="E364" s="81" t="s">
        <v>91</v>
      </c>
      <c r="F364" s="81"/>
      <c r="G364" s="81" t="s">
        <v>94</v>
      </c>
      <c r="H364" s="81" t="s">
        <v>1181</v>
      </c>
      <c r="I364" s="83">
        <v>1205.5323529975478</v>
      </c>
      <c r="J364" s="81" t="s">
        <v>1195</v>
      </c>
      <c r="K364" s="84">
        <v>45900</v>
      </c>
      <c r="L364" s="81" t="s">
        <v>14</v>
      </c>
      <c r="M364" s="81" t="s">
        <v>226</v>
      </c>
      <c r="N364" s="81">
        <v>2025</v>
      </c>
    </row>
    <row r="365" spans="1:14">
      <c r="A365" s="81">
        <v>364</v>
      </c>
      <c r="B365" s="81" t="s">
        <v>35</v>
      </c>
      <c r="C365" s="81" t="s">
        <v>37</v>
      </c>
      <c r="D365" s="81" t="s">
        <v>61</v>
      </c>
      <c r="E365" s="81" t="s">
        <v>91</v>
      </c>
      <c r="F365" s="81"/>
      <c r="G365" s="81" t="s">
        <v>94</v>
      </c>
      <c r="H365" s="81" t="s">
        <v>1181</v>
      </c>
      <c r="I365" s="83">
        <v>729.12713712348875</v>
      </c>
      <c r="J365" s="81">
        <v>2025000132</v>
      </c>
      <c r="K365" s="84">
        <v>45869</v>
      </c>
      <c r="L365" s="81" t="s">
        <v>14</v>
      </c>
      <c r="M365" s="81" t="s">
        <v>225</v>
      </c>
      <c r="N365" s="81">
        <v>2025</v>
      </c>
    </row>
    <row r="366" spans="1:14">
      <c r="A366" s="81">
        <v>365</v>
      </c>
      <c r="B366" s="81" t="s">
        <v>272</v>
      </c>
      <c r="C366" s="81" t="s">
        <v>32</v>
      </c>
      <c r="D366" s="81" t="s">
        <v>19</v>
      </c>
      <c r="E366" s="81" t="s">
        <v>91</v>
      </c>
      <c r="F366" s="81"/>
      <c r="G366" s="109" t="s">
        <v>93</v>
      </c>
      <c r="H366" s="81" t="s">
        <v>1181</v>
      </c>
      <c r="I366" s="83">
        <v>691.7659718309859</v>
      </c>
      <c r="J366" s="109" t="s">
        <v>14</v>
      </c>
      <c r="K366" s="119" t="s">
        <v>14</v>
      </c>
      <c r="L366" s="109" t="s">
        <v>14</v>
      </c>
      <c r="M366" s="81" t="s">
        <v>226</v>
      </c>
      <c r="N366" s="81">
        <v>2025</v>
      </c>
    </row>
    <row r="367" spans="1:14">
      <c r="A367" s="81">
        <v>366</v>
      </c>
      <c r="B367" s="81" t="s">
        <v>272</v>
      </c>
      <c r="C367" s="81" t="s">
        <v>32</v>
      </c>
      <c r="D367" s="81" t="s">
        <v>61</v>
      </c>
      <c r="E367" s="81" t="s">
        <v>91</v>
      </c>
      <c r="F367" s="81"/>
      <c r="G367" s="81" t="s">
        <v>92</v>
      </c>
      <c r="H367" s="81" t="s">
        <v>1182</v>
      </c>
      <c r="I367" s="83">
        <v>516.74985060696611</v>
      </c>
      <c r="J367" s="81" t="s">
        <v>1192</v>
      </c>
      <c r="K367" s="84">
        <v>45923</v>
      </c>
      <c r="L367" s="81" t="s">
        <v>14</v>
      </c>
      <c r="M367" s="81" t="s">
        <v>226</v>
      </c>
      <c r="N367" s="81">
        <v>2025</v>
      </c>
    </row>
    <row r="368" spans="1:14">
      <c r="A368" s="81">
        <v>367</v>
      </c>
      <c r="B368" s="81" t="s">
        <v>272</v>
      </c>
      <c r="C368" s="81" t="s">
        <v>32</v>
      </c>
      <c r="D368" s="81" t="s">
        <v>61</v>
      </c>
      <c r="E368" s="81" t="s">
        <v>91</v>
      </c>
      <c r="F368" s="81"/>
      <c r="G368" s="81" t="s">
        <v>92</v>
      </c>
      <c r="H368" s="81" t="s">
        <v>1181</v>
      </c>
      <c r="I368" s="83">
        <v>255.67953840741527</v>
      </c>
      <c r="J368" s="81" t="s">
        <v>1193</v>
      </c>
      <c r="K368" s="84">
        <v>45923</v>
      </c>
      <c r="L368" s="81" t="s">
        <v>14</v>
      </c>
      <c r="M368" s="81" t="s">
        <v>226</v>
      </c>
      <c r="N368" s="81">
        <v>2025</v>
      </c>
    </row>
    <row r="369" spans="1:14">
      <c r="A369" s="81">
        <v>368</v>
      </c>
      <c r="B369" s="81" t="s">
        <v>43</v>
      </c>
      <c r="C369" s="81" t="s">
        <v>44</v>
      </c>
      <c r="D369" s="81" t="s">
        <v>61</v>
      </c>
      <c r="E369" s="81" t="s">
        <v>91</v>
      </c>
      <c r="F369" s="81"/>
      <c r="G369" s="81" t="s">
        <v>92</v>
      </c>
      <c r="H369" s="81" t="s">
        <v>1182</v>
      </c>
      <c r="I369" s="83">
        <v>12943.094530212111</v>
      </c>
      <c r="J369" s="81" t="s">
        <v>1192</v>
      </c>
      <c r="K369" s="84">
        <v>45923</v>
      </c>
      <c r="L369" s="81" t="s">
        <v>14</v>
      </c>
      <c r="M369" s="81" t="s">
        <v>226</v>
      </c>
      <c r="N369" s="81">
        <v>2025</v>
      </c>
    </row>
    <row r="370" spans="1:14">
      <c r="A370" s="81">
        <v>369</v>
      </c>
      <c r="B370" s="81" t="s">
        <v>43</v>
      </c>
      <c r="C370" s="81" t="s">
        <v>44</v>
      </c>
      <c r="D370" s="81" t="s">
        <v>61</v>
      </c>
      <c r="E370" s="81" t="s">
        <v>91</v>
      </c>
      <c r="F370" s="81"/>
      <c r="G370" s="111" t="s">
        <v>92</v>
      </c>
      <c r="H370" s="81" t="s">
        <v>1182</v>
      </c>
      <c r="I370" s="83">
        <v>5768.887440288393</v>
      </c>
      <c r="J370" s="81" t="s">
        <v>1190</v>
      </c>
      <c r="K370" s="84">
        <v>45895</v>
      </c>
      <c r="L370" s="81" t="s">
        <v>14</v>
      </c>
      <c r="M370" s="81" t="s">
        <v>225</v>
      </c>
      <c r="N370" s="81">
        <v>2025</v>
      </c>
    </row>
    <row r="371" spans="1:14">
      <c r="A371" s="81">
        <v>370</v>
      </c>
      <c r="B371" s="81" t="s">
        <v>43</v>
      </c>
      <c r="C371" s="81" t="s">
        <v>44</v>
      </c>
      <c r="D371" s="81" t="s">
        <v>19</v>
      </c>
      <c r="E371" s="81" t="s">
        <v>91</v>
      </c>
      <c r="F371" s="81"/>
      <c r="G371" s="109" t="s">
        <v>93</v>
      </c>
      <c r="H371" s="81" t="s">
        <v>1181</v>
      </c>
      <c r="I371" s="83">
        <v>3251.5872112676057</v>
      </c>
      <c r="J371" s="109" t="s">
        <v>14</v>
      </c>
      <c r="K371" s="119" t="s">
        <v>14</v>
      </c>
      <c r="L371" s="109" t="s">
        <v>14</v>
      </c>
      <c r="M371" s="81" t="s">
        <v>226</v>
      </c>
      <c r="N371" s="81">
        <v>2025</v>
      </c>
    </row>
    <row r="372" spans="1:14">
      <c r="A372" s="81">
        <v>371</v>
      </c>
      <c r="B372" s="81" t="s">
        <v>43</v>
      </c>
      <c r="C372" s="81" t="s">
        <v>44</v>
      </c>
      <c r="D372" s="81" t="s">
        <v>61</v>
      </c>
      <c r="E372" s="81" t="s">
        <v>91</v>
      </c>
      <c r="F372" s="81"/>
      <c r="G372" s="81" t="s">
        <v>92</v>
      </c>
      <c r="H372" s="81" t="s">
        <v>1181</v>
      </c>
      <c r="I372" s="83">
        <v>2733.45904303712</v>
      </c>
      <c r="J372" s="81" t="s">
        <v>1193</v>
      </c>
      <c r="K372" s="84">
        <v>45923</v>
      </c>
      <c r="L372" s="81" t="s">
        <v>14</v>
      </c>
      <c r="M372" s="81" t="s">
        <v>226</v>
      </c>
      <c r="N372" s="81">
        <v>2025</v>
      </c>
    </row>
    <row r="373" spans="1:14">
      <c r="A373" s="81">
        <v>372</v>
      </c>
      <c r="B373" s="81" t="s">
        <v>43</v>
      </c>
      <c r="C373" s="81" t="s">
        <v>44</v>
      </c>
      <c r="D373" s="81" t="s">
        <v>61</v>
      </c>
      <c r="E373" s="81" t="s">
        <v>91</v>
      </c>
      <c r="F373" s="81"/>
      <c r="G373" s="81" t="s">
        <v>94</v>
      </c>
      <c r="H373" s="81" t="s">
        <v>1181</v>
      </c>
      <c r="I373" s="83">
        <v>2163.7123211318612</v>
      </c>
      <c r="J373" s="81">
        <v>2025000132</v>
      </c>
      <c r="K373" s="84">
        <v>45869</v>
      </c>
      <c r="L373" s="81" t="s">
        <v>14</v>
      </c>
      <c r="M373" s="81" t="s">
        <v>225</v>
      </c>
      <c r="N373" s="81">
        <v>2025</v>
      </c>
    </row>
    <row r="374" spans="1:14">
      <c r="A374" s="81">
        <v>373</v>
      </c>
      <c r="B374" s="81" t="s">
        <v>43</v>
      </c>
      <c r="C374" s="81" t="s">
        <v>44</v>
      </c>
      <c r="D374" s="81" t="s">
        <v>61</v>
      </c>
      <c r="E374" s="81" t="s">
        <v>91</v>
      </c>
      <c r="F374" s="81"/>
      <c r="G374" s="111" t="s">
        <v>93</v>
      </c>
      <c r="H374" s="81" t="s">
        <v>1181</v>
      </c>
      <c r="I374" s="83">
        <v>1846.5608660489549</v>
      </c>
      <c r="J374" s="81" t="s">
        <v>1189</v>
      </c>
      <c r="K374" s="84">
        <v>45884</v>
      </c>
      <c r="L374" s="81" t="s">
        <v>14</v>
      </c>
      <c r="M374" s="81" t="s">
        <v>225</v>
      </c>
      <c r="N374" s="81">
        <v>2025</v>
      </c>
    </row>
    <row r="375" spans="1:14">
      <c r="A375" s="81">
        <v>374</v>
      </c>
      <c r="B375" s="81" t="s">
        <v>43</v>
      </c>
      <c r="C375" s="81" t="s">
        <v>44</v>
      </c>
      <c r="D375" s="81" t="s">
        <v>61</v>
      </c>
      <c r="E375" s="81" t="s">
        <v>91</v>
      </c>
      <c r="F375" s="81"/>
      <c r="G375" s="81" t="s">
        <v>92</v>
      </c>
      <c r="H375" s="81" t="s">
        <v>1181</v>
      </c>
      <c r="I375" s="83">
        <v>1460.492393648761</v>
      </c>
      <c r="J375" s="81" t="s">
        <v>1191</v>
      </c>
      <c r="K375" s="84">
        <v>45895</v>
      </c>
      <c r="L375" s="81" t="s">
        <v>14</v>
      </c>
      <c r="M375" s="81" t="s">
        <v>225</v>
      </c>
      <c r="N375" s="81">
        <v>2025</v>
      </c>
    </row>
    <row r="376" spans="1:14">
      <c r="A376" s="81">
        <v>375</v>
      </c>
      <c r="B376" s="81" t="s">
        <v>43</v>
      </c>
      <c r="C376" s="81" t="s">
        <v>44</v>
      </c>
      <c r="D376" s="81" t="s">
        <v>61</v>
      </c>
      <c r="E376" s="81" t="s">
        <v>91</v>
      </c>
      <c r="F376" s="81"/>
      <c r="G376" s="81" t="s">
        <v>94</v>
      </c>
      <c r="H376" s="81" t="s">
        <v>1181</v>
      </c>
      <c r="I376" s="83">
        <v>917.06567225476977</v>
      </c>
      <c r="J376" s="81" t="s">
        <v>1195</v>
      </c>
      <c r="K376" s="84">
        <v>45900</v>
      </c>
      <c r="L376" s="81" t="s">
        <v>14</v>
      </c>
      <c r="M376" s="81" t="s">
        <v>226</v>
      </c>
      <c r="N376" s="81">
        <v>2025</v>
      </c>
    </row>
    <row r="377" spans="1:14">
      <c r="A377" s="81">
        <v>376</v>
      </c>
      <c r="B377" s="81" t="s">
        <v>43</v>
      </c>
      <c r="C377" s="81" t="s">
        <v>70</v>
      </c>
      <c r="D377" s="81" t="s">
        <v>61</v>
      </c>
      <c r="E377" s="81" t="s">
        <v>91</v>
      </c>
      <c r="F377" s="81"/>
      <c r="G377" s="81" t="s">
        <v>92</v>
      </c>
      <c r="H377" s="81" t="s">
        <v>1182</v>
      </c>
      <c r="I377" s="83">
        <v>9394.0979058398807</v>
      </c>
      <c r="J377" s="81" t="s">
        <v>1192</v>
      </c>
      <c r="K377" s="84">
        <v>45923</v>
      </c>
      <c r="L377" s="81" t="s">
        <v>14</v>
      </c>
      <c r="M377" s="81" t="s">
        <v>226</v>
      </c>
      <c r="N377" s="81">
        <v>2025</v>
      </c>
    </row>
    <row r="378" spans="1:14">
      <c r="A378" s="81">
        <v>377</v>
      </c>
      <c r="B378" s="81" t="s">
        <v>43</v>
      </c>
      <c r="C378" s="81" t="s">
        <v>70</v>
      </c>
      <c r="D378" s="81" t="s">
        <v>61</v>
      </c>
      <c r="E378" s="81" t="s">
        <v>91</v>
      </c>
      <c r="F378" s="81"/>
      <c r="G378" s="111" t="s">
        <v>92</v>
      </c>
      <c r="H378" s="81" t="s">
        <v>1182</v>
      </c>
      <c r="I378" s="83">
        <v>8393.361914472529</v>
      </c>
      <c r="J378" s="81" t="s">
        <v>1190</v>
      </c>
      <c r="K378" s="84">
        <v>45895</v>
      </c>
      <c r="L378" s="81" t="s">
        <v>14</v>
      </c>
      <c r="M378" s="81" t="s">
        <v>225</v>
      </c>
      <c r="N378" s="81">
        <v>2025</v>
      </c>
    </row>
    <row r="379" spans="1:14">
      <c r="A379" s="81">
        <v>378</v>
      </c>
      <c r="B379" s="81" t="s">
        <v>43</v>
      </c>
      <c r="C379" s="81" t="s">
        <v>70</v>
      </c>
      <c r="D379" s="81" t="s">
        <v>61</v>
      </c>
      <c r="E379" s="81" t="s">
        <v>91</v>
      </c>
      <c r="F379" s="81"/>
      <c r="G379" s="111" t="s">
        <v>93</v>
      </c>
      <c r="H379" s="81" t="s">
        <v>1181</v>
      </c>
      <c r="I379" s="83">
        <v>2098.0161504312632</v>
      </c>
      <c r="J379" s="81" t="s">
        <v>1189</v>
      </c>
      <c r="K379" s="84">
        <v>45884</v>
      </c>
      <c r="L379" s="81" t="s">
        <v>14</v>
      </c>
      <c r="M379" s="81" t="s">
        <v>225</v>
      </c>
      <c r="N379" s="81">
        <v>2025</v>
      </c>
    </row>
    <row r="380" spans="1:14">
      <c r="A380" s="81">
        <v>379</v>
      </c>
      <c r="B380" s="81" t="s">
        <v>43</v>
      </c>
      <c r="C380" s="81" t="s">
        <v>70</v>
      </c>
      <c r="D380" s="81" t="s">
        <v>61</v>
      </c>
      <c r="E380" s="81" t="s">
        <v>91</v>
      </c>
      <c r="F380" s="81"/>
      <c r="G380" s="81" t="s">
        <v>94</v>
      </c>
      <c r="H380" s="81" t="s">
        <v>1181</v>
      </c>
      <c r="I380" s="83">
        <v>2096.7652055748376</v>
      </c>
      <c r="J380" s="81" t="s">
        <v>1195</v>
      </c>
      <c r="K380" s="84">
        <v>45900</v>
      </c>
      <c r="L380" s="81" t="s">
        <v>14</v>
      </c>
      <c r="M380" s="81" t="s">
        <v>226</v>
      </c>
      <c r="N380" s="81">
        <v>2025</v>
      </c>
    </row>
    <row r="381" spans="1:14">
      <c r="A381" s="81">
        <v>380</v>
      </c>
      <c r="B381" s="81" t="s">
        <v>43</v>
      </c>
      <c r="C381" s="81" t="s">
        <v>70</v>
      </c>
      <c r="D381" s="81" t="s">
        <v>61</v>
      </c>
      <c r="E381" s="81" t="s">
        <v>91</v>
      </c>
      <c r="F381" s="81"/>
      <c r="G381" s="111" t="s">
        <v>93</v>
      </c>
      <c r="H381" s="111" t="s">
        <v>1182</v>
      </c>
      <c r="I381" s="83">
        <v>1642.3231856060661</v>
      </c>
      <c r="J381" s="81" t="s">
        <v>1189</v>
      </c>
      <c r="K381" s="84">
        <v>45884</v>
      </c>
      <c r="L381" s="81" t="s">
        <v>14</v>
      </c>
      <c r="M381" s="81" t="s">
        <v>225</v>
      </c>
      <c r="N381" s="81">
        <v>2025</v>
      </c>
    </row>
    <row r="382" spans="1:14">
      <c r="A382" s="81">
        <v>381</v>
      </c>
      <c r="B382" s="81" t="s">
        <v>43</v>
      </c>
      <c r="C382" s="81" t="s">
        <v>70</v>
      </c>
      <c r="D382" s="81" t="s">
        <v>19</v>
      </c>
      <c r="E382" s="81" t="s">
        <v>91</v>
      </c>
      <c r="F382" s="81"/>
      <c r="G382" s="109" t="s">
        <v>93</v>
      </c>
      <c r="H382" s="109" t="s">
        <v>1182</v>
      </c>
      <c r="I382" s="83">
        <v>1466.684661971831</v>
      </c>
      <c r="J382" s="109" t="s">
        <v>14</v>
      </c>
      <c r="K382" s="119" t="s">
        <v>14</v>
      </c>
      <c r="L382" s="109" t="s">
        <v>14</v>
      </c>
      <c r="M382" s="81" t="s">
        <v>226</v>
      </c>
      <c r="N382" s="81">
        <v>2025</v>
      </c>
    </row>
    <row r="383" spans="1:14">
      <c r="A383" s="81">
        <v>382</v>
      </c>
      <c r="B383" s="81" t="s">
        <v>43</v>
      </c>
      <c r="C383" s="81" t="s">
        <v>70</v>
      </c>
      <c r="D383" s="81" t="s">
        <v>61</v>
      </c>
      <c r="E383" s="81" t="s">
        <v>91</v>
      </c>
      <c r="F383" s="81"/>
      <c r="G383" s="81" t="s">
        <v>92</v>
      </c>
      <c r="H383" s="81" t="s">
        <v>1181</v>
      </c>
      <c r="I383" s="83">
        <v>1283.9597851168073</v>
      </c>
      <c r="J383" s="81" t="s">
        <v>1191</v>
      </c>
      <c r="K383" s="84">
        <v>45895</v>
      </c>
      <c r="L383" s="81" t="s">
        <v>14</v>
      </c>
      <c r="M383" s="81" t="s">
        <v>225</v>
      </c>
      <c r="N383" s="81">
        <v>2025</v>
      </c>
    </row>
    <row r="384" spans="1:14">
      <c r="A384" s="81">
        <v>383</v>
      </c>
      <c r="B384" s="81" t="s">
        <v>43</v>
      </c>
      <c r="C384" s="81" t="s">
        <v>70</v>
      </c>
      <c r="D384" s="81" t="s">
        <v>61</v>
      </c>
      <c r="E384" s="81" t="s">
        <v>91</v>
      </c>
      <c r="F384" s="81"/>
      <c r="G384" s="81" t="s">
        <v>94</v>
      </c>
      <c r="H384" s="81" t="s">
        <v>1181</v>
      </c>
      <c r="I384" s="83">
        <v>643.68023605064275</v>
      </c>
      <c r="J384" s="81">
        <v>2025000132</v>
      </c>
      <c r="K384" s="84">
        <v>45869</v>
      </c>
      <c r="L384" s="81" t="s">
        <v>14</v>
      </c>
      <c r="M384" s="81" t="s">
        <v>225</v>
      </c>
      <c r="N384" s="81">
        <v>2025</v>
      </c>
    </row>
    <row r="385" spans="1:14">
      <c r="A385" s="81">
        <v>384</v>
      </c>
      <c r="B385" s="81" t="s">
        <v>43</v>
      </c>
      <c r="C385" s="81" t="s">
        <v>70</v>
      </c>
      <c r="D385" s="81" t="s">
        <v>61</v>
      </c>
      <c r="E385" s="81" t="s">
        <v>91</v>
      </c>
      <c r="F385" s="81"/>
      <c r="G385" s="81" t="s">
        <v>92</v>
      </c>
      <c r="H385" s="81" t="s">
        <v>1181</v>
      </c>
      <c r="I385" s="83">
        <v>571.19896577316717</v>
      </c>
      <c r="J385" s="81" t="s">
        <v>1193</v>
      </c>
      <c r="K385" s="84">
        <v>45923</v>
      </c>
      <c r="L385" s="81" t="s">
        <v>14</v>
      </c>
      <c r="M385" s="81" t="s">
        <v>226</v>
      </c>
      <c r="N385" s="81">
        <v>2025</v>
      </c>
    </row>
    <row r="386" spans="1:14">
      <c r="A386" s="81">
        <v>385</v>
      </c>
      <c r="B386" s="81" t="s">
        <v>55</v>
      </c>
      <c r="C386" s="81" t="s">
        <v>56</v>
      </c>
      <c r="D386" s="81" t="s">
        <v>61</v>
      </c>
      <c r="E386" s="81" t="s">
        <v>91</v>
      </c>
      <c r="F386" s="81"/>
      <c r="G386" s="81" t="s">
        <v>92</v>
      </c>
      <c r="H386" s="81" t="s">
        <v>1182</v>
      </c>
      <c r="I386" s="83">
        <v>30200.726688580817</v>
      </c>
      <c r="J386" s="81" t="s">
        <v>1192</v>
      </c>
      <c r="K386" s="84">
        <v>45923</v>
      </c>
      <c r="L386" s="81" t="s">
        <v>14</v>
      </c>
      <c r="M386" s="81" t="s">
        <v>226</v>
      </c>
      <c r="N386" s="81">
        <v>2025</v>
      </c>
    </row>
    <row r="387" spans="1:14">
      <c r="A387" s="81">
        <v>386</v>
      </c>
      <c r="B387" s="81" t="s">
        <v>55</v>
      </c>
      <c r="C387" s="81" t="s">
        <v>56</v>
      </c>
      <c r="D387" s="81" t="s">
        <v>61</v>
      </c>
      <c r="E387" s="81" t="s">
        <v>91</v>
      </c>
      <c r="F387" s="81"/>
      <c r="G387" s="111" t="s">
        <v>93</v>
      </c>
      <c r="H387" s="81" t="s">
        <v>1181</v>
      </c>
      <c r="I387" s="83">
        <v>24486.22499321356</v>
      </c>
      <c r="J387" s="81" t="s">
        <v>1189</v>
      </c>
      <c r="K387" s="84">
        <v>45884</v>
      </c>
      <c r="L387" s="81" t="s">
        <v>14</v>
      </c>
      <c r="M387" s="81" t="s">
        <v>225</v>
      </c>
      <c r="N387" s="81">
        <v>2025</v>
      </c>
    </row>
    <row r="388" spans="1:14">
      <c r="A388" s="81">
        <v>387</v>
      </c>
      <c r="B388" s="81" t="s">
        <v>55</v>
      </c>
      <c r="C388" s="81" t="s">
        <v>56</v>
      </c>
      <c r="D388" s="81" t="s">
        <v>61</v>
      </c>
      <c r="E388" s="81" t="s">
        <v>91</v>
      </c>
      <c r="F388" s="81"/>
      <c r="G388" s="81" t="s">
        <v>94</v>
      </c>
      <c r="H388" s="81" t="s">
        <v>1181</v>
      </c>
      <c r="I388" s="83">
        <v>21575.168309859157</v>
      </c>
      <c r="J388" s="81" t="s">
        <v>1194</v>
      </c>
      <c r="K388" s="84">
        <v>45900</v>
      </c>
      <c r="L388" s="81" t="s">
        <v>14</v>
      </c>
      <c r="M388" s="81" t="s">
        <v>226</v>
      </c>
      <c r="N388" s="81">
        <v>2025</v>
      </c>
    </row>
    <row r="389" spans="1:14">
      <c r="A389" s="81">
        <v>388</v>
      </c>
      <c r="B389" s="81" t="s">
        <v>55</v>
      </c>
      <c r="C389" s="81" t="s">
        <v>56</v>
      </c>
      <c r="D389" s="81" t="s">
        <v>61</v>
      </c>
      <c r="E389" s="81" t="s">
        <v>91</v>
      </c>
      <c r="F389" s="81"/>
      <c r="G389" s="111" t="s">
        <v>92</v>
      </c>
      <c r="H389" s="81" t="s">
        <v>1182</v>
      </c>
      <c r="I389" s="83">
        <v>21134.950579911922</v>
      </c>
      <c r="J389" s="81" t="s">
        <v>1190</v>
      </c>
      <c r="K389" s="84">
        <v>45895</v>
      </c>
      <c r="L389" s="81" t="s">
        <v>14</v>
      </c>
      <c r="M389" s="81" t="s">
        <v>225</v>
      </c>
      <c r="N389" s="81">
        <v>2025</v>
      </c>
    </row>
    <row r="390" spans="1:14">
      <c r="A390" s="81">
        <v>389</v>
      </c>
      <c r="B390" s="81" t="s">
        <v>55</v>
      </c>
      <c r="C390" s="81" t="s">
        <v>56</v>
      </c>
      <c r="D390" s="81" t="s">
        <v>61</v>
      </c>
      <c r="E390" s="81" t="s">
        <v>91</v>
      </c>
      <c r="F390" s="81"/>
      <c r="G390" s="81" t="s">
        <v>94</v>
      </c>
      <c r="H390" s="81" t="s">
        <v>1181</v>
      </c>
      <c r="I390" s="83">
        <v>19223.501079433176</v>
      </c>
      <c r="J390" s="81">
        <v>2025000132</v>
      </c>
      <c r="K390" s="84">
        <v>45869</v>
      </c>
      <c r="L390" s="81" t="s">
        <v>14</v>
      </c>
      <c r="M390" s="81" t="s">
        <v>225</v>
      </c>
      <c r="N390" s="81">
        <v>2025</v>
      </c>
    </row>
    <row r="391" spans="1:14">
      <c r="A391" s="81">
        <v>390</v>
      </c>
      <c r="B391" s="81" t="s">
        <v>55</v>
      </c>
      <c r="C391" s="81" t="s">
        <v>56</v>
      </c>
      <c r="D391" s="81" t="s">
        <v>19</v>
      </c>
      <c r="E391" s="81" t="s">
        <v>91</v>
      </c>
      <c r="F391" s="81"/>
      <c r="G391" s="109" t="s">
        <v>93</v>
      </c>
      <c r="H391" s="81" t="s">
        <v>1181</v>
      </c>
      <c r="I391" s="83">
        <v>13301.733492957746</v>
      </c>
      <c r="J391" s="109" t="s">
        <v>14</v>
      </c>
      <c r="K391" s="119" t="s">
        <v>14</v>
      </c>
      <c r="L391" s="109" t="s">
        <v>14</v>
      </c>
      <c r="M391" s="81" t="s">
        <v>226</v>
      </c>
      <c r="N391" s="81">
        <v>2025</v>
      </c>
    </row>
    <row r="392" spans="1:14">
      <c r="A392" s="81">
        <v>391</v>
      </c>
      <c r="B392" s="81" t="s">
        <v>55</v>
      </c>
      <c r="C392" s="81" t="s">
        <v>56</v>
      </c>
      <c r="D392" s="81" t="s">
        <v>61</v>
      </c>
      <c r="E392" s="81" t="s">
        <v>91</v>
      </c>
      <c r="F392" s="81"/>
      <c r="G392" s="81" t="s">
        <v>92</v>
      </c>
      <c r="H392" s="81" t="s">
        <v>1181</v>
      </c>
      <c r="I392" s="83">
        <v>11297.193310024793</v>
      </c>
      <c r="J392" s="81" t="s">
        <v>1191</v>
      </c>
      <c r="K392" s="84">
        <v>45895</v>
      </c>
      <c r="L392" s="81" t="s">
        <v>14</v>
      </c>
      <c r="M392" s="81" t="s">
        <v>225</v>
      </c>
      <c r="N392" s="81">
        <v>2025</v>
      </c>
    </row>
    <row r="393" spans="1:14">
      <c r="A393" s="81">
        <v>392</v>
      </c>
      <c r="B393" s="81" t="s">
        <v>55</v>
      </c>
      <c r="C393" s="81" t="s">
        <v>56</v>
      </c>
      <c r="D393" s="81" t="s">
        <v>61</v>
      </c>
      <c r="E393" s="81" t="s">
        <v>91</v>
      </c>
      <c r="F393" s="81"/>
      <c r="G393" s="81" t="s">
        <v>92</v>
      </c>
      <c r="H393" s="81" t="s">
        <v>1181</v>
      </c>
      <c r="I393" s="83">
        <v>10170.33361420544</v>
      </c>
      <c r="J393" s="81" t="s">
        <v>1193</v>
      </c>
      <c r="K393" s="84">
        <v>45923</v>
      </c>
      <c r="L393" s="81" t="s">
        <v>14</v>
      </c>
      <c r="M393" s="81" t="s">
        <v>226</v>
      </c>
      <c r="N393" s="81">
        <v>2025</v>
      </c>
    </row>
    <row r="394" spans="1:14">
      <c r="A394" s="81">
        <v>393</v>
      </c>
      <c r="B394" s="81" t="s">
        <v>55</v>
      </c>
      <c r="C394" s="81" t="s">
        <v>56</v>
      </c>
      <c r="D394" s="81" t="s">
        <v>19</v>
      </c>
      <c r="E394" s="81" t="s">
        <v>91</v>
      </c>
      <c r="F394" s="81"/>
      <c r="G394" s="109" t="s">
        <v>93</v>
      </c>
      <c r="H394" s="109" t="s">
        <v>1182</v>
      </c>
      <c r="I394" s="83">
        <v>7140.4386549295778</v>
      </c>
      <c r="J394" s="109" t="s">
        <v>14</v>
      </c>
      <c r="K394" s="119" t="s">
        <v>14</v>
      </c>
      <c r="L394" s="109" t="s">
        <v>14</v>
      </c>
      <c r="M394" s="81" t="s">
        <v>226</v>
      </c>
      <c r="N394" s="81">
        <v>2025</v>
      </c>
    </row>
    <row r="395" spans="1:14">
      <c r="A395" s="81">
        <v>394</v>
      </c>
      <c r="B395" s="81" t="s">
        <v>55</v>
      </c>
      <c r="C395" s="81" t="s">
        <v>56</v>
      </c>
      <c r="D395" s="81" t="s">
        <v>61</v>
      </c>
      <c r="E395" s="81" t="s">
        <v>91</v>
      </c>
      <c r="F395" s="81"/>
      <c r="G395" s="111" t="s">
        <v>93</v>
      </c>
      <c r="H395" s="111" t="s">
        <v>1182</v>
      </c>
      <c r="I395" s="83">
        <v>6001.9448336432833</v>
      </c>
      <c r="J395" s="81" t="s">
        <v>1189</v>
      </c>
      <c r="K395" s="84">
        <v>45884</v>
      </c>
      <c r="L395" s="81" t="s">
        <v>14</v>
      </c>
      <c r="M395" s="81" t="s">
        <v>225</v>
      </c>
      <c r="N395" s="81">
        <v>2025</v>
      </c>
    </row>
    <row r="396" spans="1:14">
      <c r="A396" s="81">
        <v>395</v>
      </c>
      <c r="B396" s="81" t="s">
        <v>17</v>
      </c>
      <c r="C396" s="81" t="s">
        <v>18</v>
      </c>
      <c r="D396" s="81" t="s">
        <v>19</v>
      </c>
      <c r="E396" s="81" t="s">
        <v>91</v>
      </c>
      <c r="F396" s="81"/>
      <c r="G396" s="109" t="s">
        <v>93</v>
      </c>
      <c r="H396" s="109" t="s">
        <v>1182</v>
      </c>
      <c r="I396" s="83">
        <v>555.79630985915492</v>
      </c>
      <c r="J396" s="109" t="s">
        <v>14</v>
      </c>
      <c r="K396" s="119" t="s">
        <v>14</v>
      </c>
      <c r="L396" s="109" t="s">
        <v>14</v>
      </c>
      <c r="M396" s="81" t="s">
        <v>226</v>
      </c>
      <c r="N396" s="81">
        <v>2025</v>
      </c>
    </row>
    <row r="397" spans="1:14">
      <c r="A397" s="81">
        <v>396</v>
      </c>
      <c r="B397" s="81" t="s">
        <v>17</v>
      </c>
      <c r="C397" s="81" t="s">
        <v>26</v>
      </c>
      <c r="D397" s="81" t="s">
        <v>61</v>
      </c>
      <c r="E397" s="81" t="s">
        <v>71</v>
      </c>
      <c r="F397" s="81"/>
      <c r="G397" s="81" t="s">
        <v>131</v>
      </c>
      <c r="H397" s="112" t="s">
        <v>71</v>
      </c>
      <c r="I397" s="105">
        <v>2345.8000000000002</v>
      </c>
      <c r="J397" s="81" t="s">
        <v>1102</v>
      </c>
      <c r="K397" s="84">
        <v>45889</v>
      </c>
      <c r="L397" s="81">
        <v>2024403568</v>
      </c>
      <c r="M397" s="81" t="s">
        <v>226</v>
      </c>
      <c r="N397" s="81">
        <v>2025</v>
      </c>
    </row>
    <row r="398" spans="1:14">
      <c r="A398" s="81">
        <v>397</v>
      </c>
      <c r="B398" s="81" t="s">
        <v>17</v>
      </c>
      <c r="C398" s="81" t="s">
        <v>26</v>
      </c>
      <c r="D398" s="81" t="s">
        <v>61</v>
      </c>
      <c r="E398" s="81" t="s">
        <v>71</v>
      </c>
      <c r="F398" s="81"/>
      <c r="G398" s="81" t="s">
        <v>127</v>
      </c>
      <c r="H398" s="81" t="s">
        <v>128</v>
      </c>
      <c r="I398" s="105">
        <v>1232.4000000000001</v>
      </c>
      <c r="J398" s="107" t="s">
        <v>881</v>
      </c>
      <c r="K398" s="113">
        <v>45889</v>
      </c>
      <c r="L398" s="81">
        <v>2025402727</v>
      </c>
      <c r="M398" s="81" t="s">
        <v>226</v>
      </c>
      <c r="N398" s="81">
        <v>2025</v>
      </c>
    </row>
    <row r="399" spans="1:14">
      <c r="A399" s="81">
        <v>398</v>
      </c>
      <c r="B399" s="81" t="s">
        <v>17</v>
      </c>
      <c r="C399" s="81" t="s">
        <v>26</v>
      </c>
      <c r="D399" s="81" t="s">
        <v>61</v>
      </c>
      <c r="E399" s="112" t="s">
        <v>71</v>
      </c>
      <c r="F399" s="81"/>
      <c r="G399" s="81" t="s">
        <v>127</v>
      </c>
      <c r="H399" s="81" t="s">
        <v>128</v>
      </c>
      <c r="I399" s="105">
        <v>1112.4000000000001</v>
      </c>
      <c r="J399" s="81" t="s">
        <v>744</v>
      </c>
      <c r="K399" s="84">
        <v>45873</v>
      </c>
      <c r="L399" s="81">
        <v>2025402556</v>
      </c>
      <c r="M399" s="112" t="s">
        <v>226</v>
      </c>
      <c r="N399" s="81">
        <v>2025</v>
      </c>
    </row>
    <row r="400" spans="1:14">
      <c r="A400" s="81">
        <v>399</v>
      </c>
      <c r="B400" s="81" t="s">
        <v>17</v>
      </c>
      <c r="C400" s="81" t="s">
        <v>26</v>
      </c>
      <c r="D400" s="81" t="s">
        <v>61</v>
      </c>
      <c r="E400" s="81" t="s">
        <v>71</v>
      </c>
      <c r="F400" s="81"/>
      <c r="G400" s="81" t="s">
        <v>134</v>
      </c>
      <c r="H400" s="81" t="s">
        <v>71</v>
      </c>
      <c r="I400" s="105">
        <v>621</v>
      </c>
      <c r="J400" s="81" t="s">
        <v>951</v>
      </c>
      <c r="K400" s="84">
        <v>45897</v>
      </c>
      <c r="L400" s="81">
        <v>2025402785</v>
      </c>
      <c r="M400" s="81" t="s">
        <v>226</v>
      </c>
      <c r="N400" s="81">
        <v>2025</v>
      </c>
    </row>
    <row r="401" spans="1:14">
      <c r="A401" s="81">
        <v>400</v>
      </c>
      <c r="B401" s="81" t="s">
        <v>17</v>
      </c>
      <c r="C401" s="81" t="s">
        <v>26</v>
      </c>
      <c r="D401" s="81" t="s">
        <v>61</v>
      </c>
      <c r="E401" s="112" t="s">
        <v>71</v>
      </c>
      <c r="F401" s="81"/>
      <c r="G401" s="81" t="s">
        <v>482</v>
      </c>
      <c r="H401" s="81" t="s">
        <v>71</v>
      </c>
      <c r="I401" s="105">
        <v>300</v>
      </c>
      <c r="J401" s="81" t="s">
        <v>640</v>
      </c>
      <c r="K401" s="84">
        <v>45858</v>
      </c>
      <c r="L401" s="81">
        <v>2025402225</v>
      </c>
      <c r="M401" s="112" t="s">
        <v>225</v>
      </c>
      <c r="N401" s="81">
        <v>2025</v>
      </c>
    </row>
    <row r="402" spans="1:14">
      <c r="A402" s="81">
        <v>401</v>
      </c>
      <c r="B402" s="81" t="s">
        <v>17</v>
      </c>
      <c r="C402" s="81" t="s">
        <v>26</v>
      </c>
      <c r="D402" s="81" t="s">
        <v>61</v>
      </c>
      <c r="E402" s="112" t="s">
        <v>71</v>
      </c>
      <c r="F402" s="81"/>
      <c r="G402" s="81" t="s">
        <v>134</v>
      </c>
      <c r="H402" s="81" t="s">
        <v>71</v>
      </c>
      <c r="I402" s="105">
        <v>166.6</v>
      </c>
      <c r="J402" s="81" t="s">
        <v>804</v>
      </c>
      <c r="K402" s="84">
        <v>45875</v>
      </c>
      <c r="L402" s="81">
        <v>2025402034</v>
      </c>
      <c r="M402" s="112" t="s">
        <v>226</v>
      </c>
      <c r="N402" s="81">
        <v>2025</v>
      </c>
    </row>
    <row r="403" spans="1:14">
      <c r="A403" s="81">
        <v>402</v>
      </c>
      <c r="B403" s="81" t="s">
        <v>43</v>
      </c>
      <c r="C403" s="81" t="s">
        <v>73</v>
      </c>
      <c r="D403" s="81" t="s">
        <v>61</v>
      </c>
      <c r="E403" s="81" t="s">
        <v>71</v>
      </c>
      <c r="F403" s="81"/>
      <c r="G403" s="81" t="s">
        <v>259</v>
      </c>
      <c r="H403" s="81" t="s">
        <v>71</v>
      </c>
      <c r="I403" s="105">
        <v>48043.85</v>
      </c>
      <c r="J403" s="81" t="s">
        <v>999</v>
      </c>
      <c r="K403" s="84">
        <v>45889</v>
      </c>
      <c r="L403" s="81">
        <v>2025402892</v>
      </c>
      <c r="M403" s="81" t="s">
        <v>226</v>
      </c>
      <c r="N403" s="81">
        <v>2025</v>
      </c>
    </row>
    <row r="404" spans="1:14">
      <c r="A404" s="81">
        <v>403</v>
      </c>
      <c r="B404" s="81" t="s">
        <v>43</v>
      </c>
      <c r="C404" s="81" t="s">
        <v>73</v>
      </c>
      <c r="D404" s="81" t="s">
        <v>61</v>
      </c>
      <c r="E404" s="112" t="s">
        <v>71</v>
      </c>
      <c r="F404" s="81"/>
      <c r="G404" s="81" t="s">
        <v>131</v>
      </c>
      <c r="H404" s="112" t="s">
        <v>71</v>
      </c>
      <c r="I404" s="105">
        <v>3372.5</v>
      </c>
      <c r="J404" s="81" t="s">
        <v>661</v>
      </c>
      <c r="K404" s="84">
        <v>45862</v>
      </c>
      <c r="L404" s="81">
        <v>2025402284</v>
      </c>
      <c r="M404" s="112" t="s">
        <v>225</v>
      </c>
      <c r="N404" s="81">
        <v>2025</v>
      </c>
    </row>
    <row r="405" spans="1:14">
      <c r="A405" s="81">
        <v>404</v>
      </c>
      <c r="B405" s="81" t="s">
        <v>43</v>
      </c>
      <c r="C405" s="81" t="s">
        <v>73</v>
      </c>
      <c r="D405" s="81" t="s">
        <v>61</v>
      </c>
      <c r="E405" s="81" t="s">
        <v>71</v>
      </c>
      <c r="F405" s="81"/>
      <c r="G405" s="81" t="s">
        <v>64</v>
      </c>
      <c r="H405" s="81" t="s">
        <v>1300</v>
      </c>
      <c r="I405" s="83">
        <v>1858.0985915492959</v>
      </c>
      <c r="J405" s="81" t="s">
        <v>68</v>
      </c>
      <c r="K405" s="84">
        <v>45888</v>
      </c>
      <c r="L405" s="109" t="s">
        <v>14</v>
      </c>
      <c r="M405" s="81" t="s">
        <v>226</v>
      </c>
      <c r="N405" s="81">
        <v>2025</v>
      </c>
    </row>
    <row r="406" spans="1:14">
      <c r="A406" s="81">
        <v>405</v>
      </c>
      <c r="B406" s="81" t="s">
        <v>43</v>
      </c>
      <c r="C406" s="81" t="s">
        <v>73</v>
      </c>
      <c r="D406" s="81" t="s">
        <v>61</v>
      </c>
      <c r="E406" s="81" t="s">
        <v>71</v>
      </c>
      <c r="F406" s="81"/>
      <c r="G406" s="81" t="s">
        <v>64</v>
      </c>
      <c r="H406" s="81" t="s">
        <v>294</v>
      </c>
      <c r="I406" s="83">
        <v>1846.8309859154929</v>
      </c>
      <c r="J406" s="81" t="s">
        <v>68</v>
      </c>
      <c r="K406" s="84">
        <v>45857</v>
      </c>
      <c r="L406" s="109" t="s">
        <v>14</v>
      </c>
      <c r="M406" s="81" t="s">
        <v>225</v>
      </c>
      <c r="N406" s="81">
        <v>2025</v>
      </c>
    </row>
    <row r="407" spans="1:14">
      <c r="A407" s="81">
        <v>406</v>
      </c>
      <c r="B407" s="81" t="s">
        <v>43</v>
      </c>
      <c r="C407" s="81" t="s">
        <v>73</v>
      </c>
      <c r="D407" s="81" t="s">
        <v>61</v>
      </c>
      <c r="E407" s="81" t="s">
        <v>71</v>
      </c>
      <c r="F407" s="81"/>
      <c r="G407" s="81" t="s">
        <v>260</v>
      </c>
      <c r="H407" s="81" t="s">
        <v>261</v>
      </c>
      <c r="I407" s="105">
        <v>400</v>
      </c>
      <c r="J407" s="81" t="s">
        <v>1116</v>
      </c>
      <c r="K407" s="84">
        <v>45901</v>
      </c>
      <c r="L407" s="81">
        <v>2025403292</v>
      </c>
      <c r="M407" s="81" t="s">
        <v>226</v>
      </c>
      <c r="N407" s="81">
        <v>2025</v>
      </c>
    </row>
    <row r="408" spans="1:14">
      <c r="A408" s="81">
        <v>407</v>
      </c>
      <c r="B408" s="81" t="s">
        <v>43</v>
      </c>
      <c r="C408" s="81" t="s">
        <v>73</v>
      </c>
      <c r="D408" s="81" t="s">
        <v>61</v>
      </c>
      <c r="E408" s="81" t="s">
        <v>71</v>
      </c>
      <c r="F408" s="81"/>
      <c r="G408" s="81" t="s">
        <v>260</v>
      </c>
      <c r="H408" s="81" t="s">
        <v>261</v>
      </c>
      <c r="I408" s="105">
        <v>345</v>
      </c>
      <c r="J408" s="81" t="s">
        <v>1116</v>
      </c>
      <c r="K408" s="84">
        <v>45901</v>
      </c>
      <c r="L408" s="81">
        <v>2025403292</v>
      </c>
      <c r="M408" s="81" t="s">
        <v>226</v>
      </c>
      <c r="N408" s="81">
        <v>2025</v>
      </c>
    </row>
    <row r="409" spans="1:14">
      <c r="A409" s="81">
        <v>408</v>
      </c>
      <c r="B409" s="81" t="s">
        <v>17</v>
      </c>
      <c r="C409" s="81" t="s">
        <v>25</v>
      </c>
      <c r="D409" s="81" t="s">
        <v>61</v>
      </c>
      <c r="E409" s="81" t="s">
        <v>71</v>
      </c>
      <c r="F409" s="81"/>
      <c r="G409" s="81" t="s">
        <v>244</v>
      </c>
      <c r="H409" s="81" t="s">
        <v>128</v>
      </c>
      <c r="I409" s="105">
        <v>16380</v>
      </c>
      <c r="J409" s="81" t="s">
        <v>1103</v>
      </c>
      <c r="K409" s="84">
        <v>45860</v>
      </c>
      <c r="L409" s="81">
        <v>2025402996</v>
      </c>
      <c r="M409" s="81" t="s">
        <v>225</v>
      </c>
      <c r="N409" s="81">
        <v>2025</v>
      </c>
    </row>
    <row r="410" spans="1:14">
      <c r="A410" s="81">
        <v>409</v>
      </c>
      <c r="B410" s="81" t="s">
        <v>17</v>
      </c>
      <c r="C410" s="81" t="s">
        <v>25</v>
      </c>
      <c r="D410" s="81" t="s">
        <v>61</v>
      </c>
      <c r="E410" s="81" t="s">
        <v>71</v>
      </c>
      <c r="F410" s="81"/>
      <c r="G410" s="81" t="s">
        <v>127</v>
      </c>
      <c r="H410" s="81" t="s">
        <v>128</v>
      </c>
      <c r="I410" s="105">
        <v>8600</v>
      </c>
      <c r="J410" s="107" t="s">
        <v>896</v>
      </c>
      <c r="K410" s="113">
        <v>45892</v>
      </c>
      <c r="L410" s="81">
        <v>2025402776</v>
      </c>
      <c r="M410" s="81" t="s">
        <v>226</v>
      </c>
      <c r="N410" s="81">
        <v>2025</v>
      </c>
    </row>
    <row r="411" spans="1:14">
      <c r="A411" s="81">
        <v>410</v>
      </c>
      <c r="B411" s="81" t="s">
        <v>17</v>
      </c>
      <c r="C411" s="81" t="s">
        <v>25</v>
      </c>
      <c r="D411" s="81" t="s">
        <v>61</v>
      </c>
      <c r="E411" s="112" t="s">
        <v>71</v>
      </c>
      <c r="F411" s="81"/>
      <c r="G411" s="81" t="s">
        <v>251</v>
      </c>
      <c r="H411" s="109" t="s">
        <v>256</v>
      </c>
      <c r="I411" s="83">
        <v>5492.9577464788736</v>
      </c>
      <c r="J411" s="81" t="s">
        <v>553</v>
      </c>
      <c r="K411" s="84">
        <v>45850</v>
      </c>
      <c r="L411" s="81">
        <v>2025402276</v>
      </c>
      <c r="M411" s="112" t="s">
        <v>225</v>
      </c>
      <c r="N411" s="81">
        <v>2025</v>
      </c>
    </row>
    <row r="412" spans="1:14">
      <c r="A412" s="81">
        <v>411</v>
      </c>
      <c r="B412" s="81" t="s">
        <v>17</v>
      </c>
      <c r="C412" s="81" t="s">
        <v>25</v>
      </c>
      <c r="D412" s="81" t="s">
        <v>61</v>
      </c>
      <c r="E412" s="81" t="s">
        <v>71</v>
      </c>
      <c r="F412" s="81"/>
      <c r="G412" s="81" t="s">
        <v>248</v>
      </c>
      <c r="H412" s="81" t="s">
        <v>257</v>
      </c>
      <c r="I412" s="83">
        <v>4753.5211267605637</v>
      </c>
      <c r="J412" s="81" t="s">
        <v>1010</v>
      </c>
      <c r="K412" s="84">
        <v>45889</v>
      </c>
      <c r="L412" s="81">
        <v>2025402779</v>
      </c>
      <c r="M412" s="81" t="s">
        <v>226</v>
      </c>
      <c r="N412" s="81">
        <v>2025</v>
      </c>
    </row>
    <row r="413" spans="1:14">
      <c r="A413" s="81">
        <v>412</v>
      </c>
      <c r="B413" s="81" t="s">
        <v>17</v>
      </c>
      <c r="C413" s="81" t="s">
        <v>25</v>
      </c>
      <c r="D413" s="81" t="s">
        <v>61</v>
      </c>
      <c r="E413" s="112" t="s">
        <v>71</v>
      </c>
      <c r="F413" s="81"/>
      <c r="G413" s="81" t="s">
        <v>238</v>
      </c>
      <c r="H413" s="81" t="s">
        <v>71</v>
      </c>
      <c r="I413" s="105">
        <v>3540</v>
      </c>
      <c r="J413" s="81" t="s">
        <v>282</v>
      </c>
      <c r="K413" s="84">
        <v>45876</v>
      </c>
      <c r="L413" s="81">
        <v>2025402466</v>
      </c>
      <c r="M413" s="112" t="s">
        <v>226</v>
      </c>
      <c r="N413" s="81">
        <v>2025</v>
      </c>
    </row>
    <row r="414" spans="1:14">
      <c r="A414" s="81">
        <v>413</v>
      </c>
      <c r="B414" s="81" t="s">
        <v>17</v>
      </c>
      <c r="C414" s="81" t="s">
        <v>25</v>
      </c>
      <c r="D414" s="81" t="s">
        <v>61</v>
      </c>
      <c r="E414" s="81" t="s">
        <v>71</v>
      </c>
      <c r="F414" s="81"/>
      <c r="G414" s="81" t="s">
        <v>127</v>
      </c>
      <c r="H414" s="81" t="s">
        <v>128</v>
      </c>
      <c r="I414" s="105">
        <v>3075.4</v>
      </c>
      <c r="J414" s="81" t="s">
        <v>1101</v>
      </c>
      <c r="K414" s="84">
        <v>45892</v>
      </c>
      <c r="L414" s="81">
        <v>2025402730</v>
      </c>
      <c r="M414" s="81" t="s">
        <v>226</v>
      </c>
      <c r="N414" s="81">
        <v>2025</v>
      </c>
    </row>
    <row r="415" spans="1:14">
      <c r="A415" s="81">
        <v>414</v>
      </c>
      <c r="B415" s="81" t="s">
        <v>17</v>
      </c>
      <c r="C415" s="81" t="s">
        <v>25</v>
      </c>
      <c r="D415" s="81" t="s">
        <v>61</v>
      </c>
      <c r="E415" s="81" t="s">
        <v>71</v>
      </c>
      <c r="F415" s="81"/>
      <c r="G415" s="81" t="s">
        <v>134</v>
      </c>
      <c r="H415" s="81" t="s">
        <v>71</v>
      </c>
      <c r="I415" s="105">
        <v>2998.1</v>
      </c>
      <c r="J415" s="81" t="s">
        <v>919</v>
      </c>
      <c r="K415" s="84">
        <v>45889</v>
      </c>
      <c r="L415" s="81">
        <v>2025402668</v>
      </c>
      <c r="M415" s="81" t="s">
        <v>226</v>
      </c>
      <c r="N415" s="81">
        <v>2025</v>
      </c>
    </row>
    <row r="416" spans="1:14">
      <c r="A416" s="81">
        <v>415</v>
      </c>
      <c r="B416" s="81" t="s">
        <v>17</v>
      </c>
      <c r="C416" s="81" t="s">
        <v>25</v>
      </c>
      <c r="D416" s="81" t="s">
        <v>61</v>
      </c>
      <c r="E416" s="81" t="s">
        <v>71</v>
      </c>
      <c r="F416" s="81"/>
      <c r="G416" s="81" t="s">
        <v>263</v>
      </c>
      <c r="H416" s="81" t="s">
        <v>261</v>
      </c>
      <c r="I416" s="83">
        <v>2535.211267605634</v>
      </c>
      <c r="J416" s="107" t="s">
        <v>866</v>
      </c>
      <c r="K416" s="113">
        <v>45871</v>
      </c>
      <c r="L416" s="81">
        <v>2025402702</v>
      </c>
      <c r="M416" s="81" t="s">
        <v>225</v>
      </c>
      <c r="N416" s="81">
        <v>2025</v>
      </c>
    </row>
    <row r="417" spans="1:14">
      <c r="A417" s="81">
        <v>416</v>
      </c>
      <c r="B417" s="81" t="s">
        <v>17</v>
      </c>
      <c r="C417" s="81" t="s">
        <v>25</v>
      </c>
      <c r="D417" s="81" t="s">
        <v>61</v>
      </c>
      <c r="E417" s="112" t="s">
        <v>71</v>
      </c>
      <c r="F417" s="81"/>
      <c r="G417" s="102" t="s">
        <v>134</v>
      </c>
      <c r="H417" s="81" t="s">
        <v>71</v>
      </c>
      <c r="I417" s="105">
        <v>2317.5</v>
      </c>
      <c r="J417" s="102" t="s">
        <v>527</v>
      </c>
      <c r="K417" s="84">
        <v>45850</v>
      </c>
      <c r="L417" s="102">
        <v>2025402162</v>
      </c>
      <c r="M417" s="112" t="s">
        <v>225</v>
      </c>
      <c r="N417" s="81">
        <v>2025</v>
      </c>
    </row>
    <row r="418" spans="1:14">
      <c r="A418" s="81">
        <v>417</v>
      </c>
      <c r="B418" s="81" t="s">
        <v>17</v>
      </c>
      <c r="C418" s="81" t="s">
        <v>25</v>
      </c>
      <c r="D418" s="81" t="s">
        <v>61</v>
      </c>
      <c r="E418" s="81" t="s">
        <v>71</v>
      </c>
      <c r="F418" s="81"/>
      <c r="G418" s="81" t="s">
        <v>132</v>
      </c>
      <c r="H418" s="112" t="s">
        <v>71</v>
      </c>
      <c r="I418" s="105">
        <v>2005.6</v>
      </c>
      <c r="J418" s="107" t="s">
        <v>884</v>
      </c>
      <c r="K418" s="113">
        <v>45889</v>
      </c>
      <c r="L418" s="81">
        <v>2025402733</v>
      </c>
      <c r="M418" s="81" t="s">
        <v>226</v>
      </c>
      <c r="N418" s="81">
        <v>2025</v>
      </c>
    </row>
    <row r="419" spans="1:14">
      <c r="A419" s="81">
        <v>418</v>
      </c>
      <c r="B419" s="81" t="s">
        <v>17</v>
      </c>
      <c r="C419" s="84" t="s">
        <v>25</v>
      </c>
      <c r="D419" s="81" t="s">
        <v>61</v>
      </c>
      <c r="E419" s="81" t="s">
        <v>71</v>
      </c>
      <c r="F419" s="81"/>
      <c r="G419" s="81" t="s">
        <v>64</v>
      </c>
      <c r="H419" s="104" t="s">
        <v>1264</v>
      </c>
      <c r="I419" s="105">
        <v>1838.7323943661972</v>
      </c>
      <c r="J419" s="81" t="s">
        <v>68</v>
      </c>
      <c r="K419" s="84">
        <v>45886</v>
      </c>
      <c r="L419" s="106" t="s">
        <v>14</v>
      </c>
      <c r="M419" s="107" t="s">
        <v>226</v>
      </c>
      <c r="N419" s="81">
        <v>2025</v>
      </c>
    </row>
    <row r="420" spans="1:14">
      <c r="A420" s="81">
        <v>419</v>
      </c>
      <c r="B420" s="81" t="s">
        <v>17</v>
      </c>
      <c r="C420" s="84" t="s">
        <v>25</v>
      </c>
      <c r="D420" s="81" t="s">
        <v>61</v>
      </c>
      <c r="E420" s="81" t="s">
        <v>71</v>
      </c>
      <c r="F420" s="81"/>
      <c r="G420" s="81" t="s">
        <v>64</v>
      </c>
      <c r="H420" s="104" t="s">
        <v>1264</v>
      </c>
      <c r="I420" s="105">
        <v>1816.1971830985915</v>
      </c>
      <c r="J420" s="81" t="s">
        <v>68</v>
      </c>
      <c r="K420" s="84">
        <v>45860</v>
      </c>
      <c r="L420" s="106" t="s">
        <v>14</v>
      </c>
      <c r="M420" s="107" t="s">
        <v>225</v>
      </c>
      <c r="N420" s="81">
        <v>2025</v>
      </c>
    </row>
    <row r="421" spans="1:14">
      <c r="A421" s="81">
        <v>420</v>
      </c>
      <c r="B421" s="81" t="s">
        <v>17</v>
      </c>
      <c r="C421" s="81" t="s">
        <v>25</v>
      </c>
      <c r="D421" s="81" t="s">
        <v>61</v>
      </c>
      <c r="E421" s="81" t="s">
        <v>71</v>
      </c>
      <c r="F421" s="81"/>
      <c r="G421" s="81" t="s">
        <v>131</v>
      </c>
      <c r="H421" s="112" t="s">
        <v>71</v>
      </c>
      <c r="I421" s="105">
        <v>1532.37</v>
      </c>
      <c r="J421" s="81" t="s">
        <v>1132</v>
      </c>
      <c r="K421" s="84">
        <v>45899</v>
      </c>
      <c r="L421" s="81">
        <v>2025402854</v>
      </c>
      <c r="M421" s="81" t="s">
        <v>226</v>
      </c>
      <c r="N421" s="81">
        <v>2025</v>
      </c>
    </row>
    <row r="422" spans="1:14">
      <c r="A422" s="81">
        <v>421</v>
      </c>
      <c r="B422" s="81" t="s">
        <v>17</v>
      </c>
      <c r="C422" s="84" t="s">
        <v>25</v>
      </c>
      <c r="D422" s="81" t="s">
        <v>61</v>
      </c>
      <c r="E422" s="81" t="s">
        <v>71</v>
      </c>
      <c r="F422" s="81"/>
      <c r="G422" s="81" t="s">
        <v>64</v>
      </c>
      <c r="H422" s="104" t="s">
        <v>1264</v>
      </c>
      <c r="I422" s="105">
        <v>1511.2676056338028</v>
      </c>
      <c r="J422" s="81" t="s">
        <v>68</v>
      </c>
      <c r="K422" s="84">
        <v>45851</v>
      </c>
      <c r="L422" s="106" t="s">
        <v>14</v>
      </c>
      <c r="M422" s="107" t="s">
        <v>225</v>
      </c>
      <c r="N422" s="81">
        <v>2025</v>
      </c>
    </row>
    <row r="423" spans="1:14">
      <c r="A423" s="81">
        <v>422</v>
      </c>
      <c r="B423" s="81" t="s">
        <v>17</v>
      </c>
      <c r="C423" s="81" t="s">
        <v>25</v>
      </c>
      <c r="D423" s="81" t="s">
        <v>61</v>
      </c>
      <c r="E423" s="112" t="s">
        <v>71</v>
      </c>
      <c r="F423" s="81"/>
      <c r="G423" s="81" t="s">
        <v>134</v>
      </c>
      <c r="H423" s="81" t="s">
        <v>71</v>
      </c>
      <c r="I423" s="105">
        <v>1507.5</v>
      </c>
      <c r="J423" s="81" t="s">
        <v>628</v>
      </c>
      <c r="K423" s="84">
        <v>45855</v>
      </c>
      <c r="L423" s="81">
        <v>2025402248</v>
      </c>
      <c r="M423" s="112" t="s">
        <v>225</v>
      </c>
      <c r="N423" s="81">
        <v>2025</v>
      </c>
    </row>
    <row r="424" spans="1:14">
      <c r="A424" s="81">
        <v>423</v>
      </c>
      <c r="B424" s="81" t="s">
        <v>17</v>
      </c>
      <c r="C424" s="81" t="s">
        <v>25</v>
      </c>
      <c r="D424" s="81" t="s">
        <v>61</v>
      </c>
      <c r="E424" s="81" t="s">
        <v>71</v>
      </c>
      <c r="F424" s="81"/>
      <c r="G424" s="81" t="s">
        <v>244</v>
      </c>
      <c r="H424" s="81" t="s">
        <v>128</v>
      </c>
      <c r="I424" s="105">
        <v>1290</v>
      </c>
      <c r="J424" s="81" t="s">
        <v>1113</v>
      </c>
      <c r="K424" s="84">
        <v>45900</v>
      </c>
      <c r="L424" s="81">
        <v>2025403243</v>
      </c>
      <c r="M424" s="81" t="s">
        <v>226</v>
      </c>
      <c r="N424" s="81">
        <v>2025</v>
      </c>
    </row>
    <row r="425" spans="1:14">
      <c r="A425" s="81">
        <v>424</v>
      </c>
      <c r="B425" s="81" t="s">
        <v>17</v>
      </c>
      <c r="C425" s="84" t="s">
        <v>25</v>
      </c>
      <c r="D425" s="81" t="s">
        <v>61</v>
      </c>
      <c r="E425" s="81" t="s">
        <v>71</v>
      </c>
      <c r="F425" s="81"/>
      <c r="G425" s="81" t="s">
        <v>64</v>
      </c>
      <c r="H425" s="104" t="s">
        <v>1264</v>
      </c>
      <c r="I425" s="105">
        <v>1184.5070422535211</v>
      </c>
      <c r="J425" s="81" t="s">
        <v>68</v>
      </c>
      <c r="K425" s="84">
        <v>45724</v>
      </c>
      <c r="L425" s="106" t="s">
        <v>14</v>
      </c>
      <c r="M425" s="107" t="s">
        <v>226</v>
      </c>
      <c r="N425" s="81">
        <v>2025</v>
      </c>
    </row>
    <row r="426" spans="1:14">
      <c r="A426" s="81">
        <v>425</v>
      </c>
      <c r="B426" s="81" t="s">
        <v>17</v>
      </c>
      <c r="C426" s="81" t="s">
        <v>25</v>
      </c>
      <c r="D426" s="81" t="s">
        <v>61</v>
      </c>
      <c r="E426" s="81" t="s">
        <v>71</v>
      </c>
      <c r="F426" s="81"/>
      <c r="G426" s="81" t="s">
        <v>491</v>
      </c>
      <c r="H426" s="112" t="s">
        <v>71</v>
      </c>
      <c r="I426" s="83">
        <v>1133.8028169014085</v>
      </c>
      <c r="J426" s="81" t="s">
        <v>1086</v>
      </c>
      <c r="K426" s="84">
        <v>45876</v>
      </c>
      <c r="L426" s="81">
        <v>2025402790</v>
      </c>
      <c r="M426" s="81" t="s">
        <v>226</v>
      </c>
      <c r="N426" s="81">
        <v>2025</v>
      </c>
    </row>
    <row r="427" spans="1:14">
      <c r="A427" s="81">
        <v>426</v>
      </c>
      <c r="B427" s="81" t="s">
        <v>17</v>
      </c>
      <c r="C427" s="81" t="s">
        <v>25</v>
      </c>
      <c r="D427" s="81" t="s">
        <v>61</v>
      </c>
      <c r="E427" s="81" t="s">
        <v>71</v>
      </c>
      <c r="F427" s="81"/>
      <c r="G427" s="81" t="s">
        <v>132</v>
      </c>
      <c r="H427" s="112" t="s">
        <v>71</v>
      </c>
      <c r="I427" s="105">
        <v>1002.87</v>
      </c>
      <c r="J427" s="81" t="s">
        <v>654</v>
      </c>
      <c r="K427" s="84">
        <v>45862</v>
      </c>
      <c r="L427" s="81">
        <v>2025402326</v>
      </c>
      <c r="M427" s="112" t="s">
        <v>225</v>
      </c>
      <c r="N427" s="81">
        <v>2025</v>
      </c>
    </row>
    <row r="428" spans="1:14">
      <c r="A428" s="81">
        <v>427</v>
      </c>
      <c r="B428" s="81" t="s">
        <v>17</v>
      </c>
      <c r="C428" s="81" t="s">
        <v>25</v>
      </c>
      <c r="D428" s="81" t="s">
        <v>61</v>
      </c>
      <c r="E428" s="81" t="s">
        <v>71</v>
      </c>
      <c r="F428" s="81"/>
      <c r="G428" s="81" t="s">
        <v>132</v>
      </c>
      <c r="H428" s="112" t="s">
        <v>71</v>
      </c>
      <c r="I428" s="105">
        <v>833.36</v>
      </c>
      <c r="J428" s="81" t="s">
        <v>1145</v>
      </c>
      <c r="K428" s="84">
        <v>45944</v>
      </c>
      <c r="L428" s="81">
        <v>2025403064</v>
      </c>
      <c r="M428" s="81" t="s">
        <v>226</v>
      </c>
      <c r="N428" s="81">
        <v>2025</v>
      </c>
    </row>
    <row r="429" spans="1:14">
      <c r="A429" s="81">
        <v>428</v>
      </c>
      <c r="B429" s="81" t="s">
        <v>17</v>
      </c>
      <c r="C429" s="81" t="s">
        <v>25</v>
      </c>
      <c r="D429" s="81" t="s">
        <v>61</v>
      </c>
      <c r="E429" s="81" t="s">
        <v>71</v>
      </c>
      <c r="F429" s="81"/>
      <c r="G429" s="81" t="s">
        <v>134</v>
      </c>
      <c r="H429" s="81" t="s">
        <v>71</v>
      </c>
      <c r="I429" s="105">
        <v>625</v>
      </c>
      <c r="J429" s="81" t="s">
        <v>944</v>
      </c>
      <c r="K429" s="84">
        <v>45880</v>
      </c>
      <c r="L429" s="81">
        <v>2025402628</v>
      </c>
      <c r="M429" s="81" t="s">
        <v>226</v>
      </c>
      <c r="N429" s="81">
        <v>2025</v>
      </c>
    </row>
    <row r="430" spans="1:14">
      <c r="A430" s="81">
        <v>429</v>
      </c>
      <c r="B430" s="81" t="s">
        <v>17</v>
      </c>
      <c r="C430" s="81" t="s">
        <v>25</v>
      </c>
      <c r="D430" s="81" t="s">
        <v>61</v>
      </c>
      <c r="E430" s="81" t="s">
        <v>71</v>
      </c>
      <c r="F430" s="81"/>
      <c r="G430" s="81" t="s">
        <v>131</v>
      </c>
      <c r="H430" s="112" t="s">
        <v>71</v>
      </c>
      <c r="I430" s="105">
        <v>586.65</v>
      </c>
      <c r="J430" s="81" t="s">
        <v>1076</v>
      </c>
      <c r="K430" s="84">
        <v>45901</v>
      </c>
      <c r="L430" s="81">
        <v>2025402950</v>
      </c>
      <c r="M430" s="81" t="s">
        <v>226</v>
      </c>
      <c r="N430" s="81">
        <v>2025</v>
      </c>
    </row>
    <row r="431" spans="1:14">
      <c r="A431" s="81">
        <v>430</v>
      </c>
      <c r="B431" s="81" t="s">
        <v>17</v>
      </c>
      <c r="C431" s="81" t="s">
        <v>25</v>
      </c>
      <c r="D431" s="81" t="s">
        <v>61</v>
      </c>
      <c r="E431" s="81" t="s">
        <v>71</v>
      </c>
      <c r="F431" s="81"/>
      <c r="G431" s="81" t="s">
        <v>134</v>
      </c>
      <c r="H431" s="81" t="s">
        <v>71</v>
      </c>
      <c r="I431" s="105">
        <v>580</v>
      </c>
      <c r="J431" s="81" t="s">
        <v>986</v>
      </c>
      <c r="K431" s="84">
        <v>45897</v>
      </c>
      <c r="L431" s="81">
        <v>2025402786</v>
      </c>
      <c r="M431" s="81" t="s">
        <v>226</v>
      </c>
      <c r="N431" s="81">
        <v>2025</v>
      </c>
    </row>
    <row r="432" spans="1:14">
      <c r="A432" s="81">
        <v>431</v>
      </c>
      <c r="B432" s="81" t="s">
        <v>17</v>
      </c>
      <c r="C432" s="81" t="s">
        <v>25</v>
      </c>
      <c r="D432" s="81" t="s">
        <v>61</v>
      </c>
      <c r="E432" s="81" t="s">
        <v>71</v>
      </c>
      <c r="F432" s="81"/>
      <c r="G432" s="81" t="s">
        <v>247</v>
      </c>
      <c r="H432" s="112" t="s">
        <v>71</v>
      </c>
      <c r="I432" s="83">
        <v>560.56338028169012</v>
      </c>
      <c r="J432" s="81" t="s">
        <v>1067</v>
      </c>
      <c r="K432" s="84">
        <v>45876</v>
      </c>
      <c r="L432" s="81">
        <v>2025402858</v>
      </c>
      <c r="M432" s="81" t="s">
        <v>226</v>
      </c>
      <c r="N432" s="81">
        <v>2025</v>
      </c>
    </row>
    <row r="433" spans="1:14">
      <c r="A433" s="81">
        <v>432</v>
      </c>
      <c r="B433" s="81" t="s">
        <v>17</v>
      </c>
      <c r="C433" s="81" t="s">
        <v>25</v>
      </c>
      <c r="D433" s="81" t="s">
        <v>61</v>
      </c>
      <c r="E433" s="81" t="s">
        <v>71</v>
      </c>
      <c r="F433" s="81"/>
      <c r="G433" s="81" t="s">
        <v>132</v>
      </c>
      <c r="H433" s="112" t="s">
        <v>71</v>
      </c>
      <c r="I433" s="105">
        <v>510.88</v>
      </c>
      <c r="J433" s="81" t="s">
        <v>1015</v>
      </c>
      <c r="K433" s="84">
        <v>45894</v>
      </c>
      <c r="L433" s="81">
        <v>2025402738</v>
      </c>
      <c r="M433" s="81" t="s">
        <v>226</v>
      </c>
      <c r="N433" s="81">
        <v>2025</v>
      </c>
    </row>
    <row r="434" spans="1:14">
      <c r="A434" s="81">
        <v>433</v>
      </c>
      <c r="B434" s="81" t="s">
        <v>17</v>
      </c>
      <c r="C434" s="81" t="s">
        <v>25</v>
      </c>
      <c r="D434" s="81" t="s">
        <v>61</v>
      </c>
      <c r="E434" s="81" t="s">
        <v>71</v>
      </c>
      <c r="F434" s="81"/>
      <c r="G434" s="81" t="s">
        <v>246</v>
      </c>
      <c r="H434" s="81" t="s">
        <v>71</v>
      </c>
      <c r="I434" s="83">
        <v>475.35211267605632</v>
      </c>
      <c r="J434" s="81" t="s">
        <v>1005</v>
      </c>
      <c r="K434" s="84">
        <v>45869</v>
      </c>
      <c r="L434" s="81">
        <v>2025402737</v>
      </c>
      <c r="M434" s="81" t="s">
        <v>226</v>
      </c>
      <c r="N434" s="81">
        <v>2025</v>
      </c>
    </row>
    <row r="435" spans="1:14">
      <c r="A435" s="81">
        <v>434</v>
      </c>
      <c r="B435" s="81" t="s">
        <v>17</v>
      </c>
      <c r="C435" s="84" t="s">
        <v>25</v>
      </c>
      <c r="D435" s="81" t="s">
        <v>61</v>
      </c>
      <c r="E435" s="81" t="s">
        <v>71</v>
      </c>
      <c r="F435" s="81"/>
      <c r="G435" s="81" t="s">
        <v>64</v>
      </c>
      <c r="H435" s="104" t="s">
        <v>1264</v>
      </c>
      <c r="I435" s="105">
        <v>467.6056338028169</v>
      </c>
      <c r="J435" s="81" t="s">
        <v>68</v>
      </c>
      <c r="K435" s="84">
        <v>45836</v>
      </c>
      <c r="L435" s="106" t="s">
        <v>14</v>
      </c>
      <c r="M435" s="107" t="s">
        <v>225</v>
      </c>
      <c r="N435" s="81">
        <v>2025</v>
      </c>
    </row>
    <row r="436" spans="1:14">
      <c r="A436" s="81">
        <v>435</v>
      </c>
      <c r="B436" s="81" t="s">
        <v>17</v>
      </c>
      <c r="C436" s="81" t="s">
        <v>25</v>
      </c>
      <c r="D436" s="81" t="s">
        <v>61</v>
      </c>
      <c r="E436" s="112" t="s">
        <v>71</v>
      </c>
      <c r="F436" s="81"/>
      <c r="G436" s="81" t="s">
        <v>132</v>
      </c>
      <c r="H436" s="112" t="s">
        <v>71</v>
      </c>
      <c r="I436" s="105">
        <v>325.72000000000003</v>
      </c>
      <c r="J436" s="81" t="s">
        <v>656</v>
      </c>
      <c r="K436" s="84">
        <v>45862</v>
      </c>
      <c r="L436" s="81">
        <v>2025402325</v>
      </c>
      <c r="M436" s="112" t="s">
        <v>225</v>
      </c>
      <c r="N436" s="81">
        <v>2025</v>
      </c>
    </row>
    <row r="437" spans="1:14">
      <c r="A437" s="81">
        <v>436</v>
      </c>
      <c r="B437" s="81" t="s">
        <v>17</v>
      </c>
      <c r="C437" s="81" t="s">
        <v>25</v>
      </c>
      <c r="D437" s="81" t="s">
        <v>61</v>
      </c>
      <c r="E437" s="112" t="s">
        <v>71</v>
      </c>
      <c r="F437" s="81"/>
      <c r="G437" s="81" t="s">
        <v>132</v>
      </c>
      <c r="H437" s="112" t="s">
        <v>71</v>
      </c>
      <c r="I437" s="105">
        <v>299.95</v>
      </c>
      <c r="J437" s="81" t="s">
        <v>655</v>
      </c>
      <c r="K437" s="84">
        <v>45862</v>
      </c>
      <c r="L437" s="81">
        <v>2025402318</v>
      </c>
      <c r="M437" s="112" t="s">
        <v>225</v>
      </c>
      <c r="N437" s="81">
        <v>2025</v>
      </c>
    </row>
    <row r="438" spans="1:14">
      <c r="A438" s="81">
        <v>437</v>
      </c>
      <c r="B438" s="81" t="s">
        <v>17</v>
      </c>
      <c r="C438" s="81" t="s">
        <v>25</v>
      </c>
      <c r="D438" s="81" t="s">
        <v>61</v>
      </c>
      <c r="E438" s="81" t="s">
        <v>71</v>
      </c>
      <c r="F438" s="81"/>
      <c r="G438" s="81" t="s">
        <v>131</v>
      </c>
      <c r="H438" s="112" t="s">
        <v>71</v>
      </c>
      <c r="I438" s="105">
        <v>253</v>
      </c>
      <c r="J438" s="81" t="s">
        <v>1069</v>
      </c>
      <c r="K438" s="84">
        <v>45900</v>
      </c>
      <c r="L438" s="81">
        <v>2025402951</v>
      </c>
      <c r="M438" s="81" t="s">
        <v>226</v>
      </c>
      <c r="N438" s="81">
        <v>2025</v>
      </c>
    </row>
    <row r="439" spans="1:14">
      <c r="A439" s="81">
        <v>438</v>
      </c>
      <c r="B439" s="81" t="s">
        <v>17</v>
      </c>
      <c r="C439" s="81" t="s">
        <v>25</v>
      </c>
      <c r="D439" s="81" t="s">
        <v>61</v>
      </c>
      <c r="E439" s="81" t="s">
        <v>71</v>
      </c>
      <c r="F439" s="81"/>
      <c r="G439" s="81" t="s">
        <v>134</v>
      </c>
      <c r="H439" s="81" t="s">
        <v>71</v>
      </c>
      <c r="I439" s="105">
        <v>235.5</v>
      </c>
      <c r="J439" s="107" t="s">
        <v>908</v>
      </c>
      <c r="K439" s="113">
        <v>45893</v>
      </c>
      <c r="L439" s="81">
        <v>2025402682</v>
      </c>
      <c r="M439" s="81" t="s">
        <v>226</v>
      </c>
      <c r="N439" s="81">
        <v>2025</v>
      </c>
    </row>
    <row r="440" spans="1:14">
      <c r="A440" s="81">
        <v>439</v>
      </c>
      <c r="B440" s="81" t="s">
        <v>17</v>
      </c>
      <c r="C440" s="81" t="s">
        <v>25</v>
      </c>
      <c r="D440" s="81" t="s">
        <v>61</v>
      </c>
      <c r="E440" s="81" t="s">
        <v>71</v>
      </c>
      <c r="F440" s="81"/>
      <c r="G440" s="81" t="s">
        <v>131</v>
      </c>
      <c r="H440" s="112" t="s">
        <v>71</v>
      </c>
      <c r="I440" s="105">
        <v>230.6</v>
      </c>
      <c r="J440" s="81" t="s">
        <v>647</v>
      </c>
      <c r="K440" s="84">
        <v>45862</v>
      </c>
      <c r="L440" s="81">
        <v>2025402285</v>
      </c>
      <c r="M440" s="112" t="s">
        <v>225</v>
      </c>
      <c r="N440" s="81">
        <v>2025</v>
      </c>
    </row>
    <row r="441" spans="1:14">
      <c r="A441" s="81">
        <v>440</v>
      </c>
      <c r="B441" s="81" t="s">
        <v>17</v>
      </c>
      <c r="C441" s="81" t="s">
        <v>25</v>
      </c>
      <c r="D441" s="81" t="s">
        <v>61</v>
      </c>
      <c r="E441" s="112" t="s">
        <v>71</v>
      </c>
      <c r="F441" s="81"/>
      <c r="G441" s="81" t="s">
        <v>131</v>
      </c>
      <c r="H441" s="112" t="s">
        <v>71</v>
      </c>
      <c r="I441" s="105">
        <v>169.6</v>
      </c>
      <c r="J441" s="81" t="s">
        <v>648</v>
      </c>
      <c r="K441" s="84">
        <v>45860</v>
      </c>
      <c r="L441" s="81">
        <v>2025402382</v>
      </c>
      <c r="M441" s="112" t="s">
        <v>225</v>
      </c>
      <c r="N441" s="81">
        <v>2025</v>
      </c>
    </row>
    <row r="442" spans="1:14">
      <c r="A442" s="81">
        <v>441</v>
      </c>
      <c r="B442" s="81" t="s">
        <v>17</v>
      </c>
      <c r="C442" s="81" t="s">
        <v>24</v>
      </c>
      <c r="D442" s="81" t="s">
        <v>61</v>
      </c>
      <c r="E442" s="81" t="s">
        <v>71</v>
      </c>
      <c r="F442" s="81"/>
      <c r="G442" s="81" t="s">
        <v>64</v>
      </c>
      <c r="H442" s="81" t="s">
        <v>293</v>
      </c>
      <c r="I442" s="105">
        <v>721.83098591549299</v>
      </c>
      <c r="J442" s="81" t="s">
        <v>68</v>
      </c>
      <c r="K442" s="84">
        <v>45863</v>
      </c>
      <c r="L442" s="106" t="s">
        <v>14</v>
      </c>
      <c r="M442" s="107" t="s">
        <v>225</v>
      </c>
      <c r="N442" s="81">
        <v>2025</v>
      </c>
    </row>
    <row r="443" spans="1:14">
      <c r="A443" s="81">
        <v>442</v>
      </c>
      <c r="B443" s="81" t="s">
        <v>17</v>
      </c>
      <c r="C443" s="81" t="s">
        <v>24</v>
      </c>
      <c r="D443" s="81" t="s">
        <v>61</v>
      </c>
      <c r="E443" s="112" t="s">
        <v>71</v>
      </c>
      <c r="F443" s="81"/>
      <c r="G443" s="81" t="s">
        <v>134</v>
      </c>
      <c r="H443" s="81" t="s">
        <v>71</v>
      </c>
      <c r="I443" s="105">
        <v>575.1</v>
      </c>
      <c r="J443" s="81" t="s">
        <v>560</v>
      </c>
      <c r="K443" s="114">
        <v>45846</v>
      </c>
      <c r="L443" s="81">
        <v>2025402107</v>
      </c>
      <c r="M443" s="112" t="s">
        <v>225</v>
      </c>
      <c r="N443" s="81">
        <v>2025</v>
      </c>
    </row>
    <row r="444" spans="1:14">
      <c r="A444" s="81">
        <v>443</v>
      </c>
      <c r="B444" s="81" t="s">
        <v>17</v>
      </c>
      <c r="C444" s="84" t="s">
        <v>24</v>
      </c>
      <c r="D444" s="81" t="s">
        <v>61</v>
      </c>
      <c r="E444" s="81" t="s">
        <v>71</v>
      </c>
      <c r="F444" s="81"/>
      <c r="G444" s="81" t="s">
        <v>64</v>
      </c>
      <c r="H444" s="104" t="s">
        <v>1263</v>
      </c>
      <c r="I444" s="105">
        <v>158.45070422535213</v>
      </c>
      <c r="J444" s="81">
        <v>421</v>
      </c>
      <c r="K444" s="84">
        <v>45856</v>
      </c>
      <c r="L444" s="106" t="s">
        <v>14</v>
      </c>
      <c r="M444" s="107" t="s">
        <v>225</v>
      </c>
      <c r="N444" s="81">
        <v>2025</v>
      </c>
    </row>
    <row r="445" spans="1:14">
      <c r="A445" s="81">
        <v>444</v>
      </c>
      <c r="B445" s="81" t="s">
        <v>17</v>
      </c>
      <c r="C445" s="81" t="s">
        <v>24</v>
      </c>
      <c r="D445" s="81" t="s">
        <v>61</v>
      </c>
      <c r="E445" s="112" t="s">
        <v>71</v>
      </c>
      <c r="F445" s="81"/>
      <c r="G445" s="81" t="s">
        <v>132</v>
      </c>
      <c r="H445" s="112" t="s">
        <v>71</v>
      </c>
      <c r="I445" s="105">
        <v>54</v>
      </c>
      <c r="J445" s="81" t="s">
        <v>512</v>
      </c>
      <c r="K445" s="84">
        <v>45845</v>
      </c>
      <c r="L445" s="81">
        <v>2025401990</v>
      </c>
      <c r="M445" s="112" t="s">
        <v>225</v>
      </c>
      <c r="N445" s="81">
        <v>2025</v>
      </c>
    </row>
    <row r="446" spans="1:14">
      <c r="A446" s="81">
        <v>445</v>
      </c>
      <c r="B446" s="81" t="s">
        <v>43</v>
      </c>
      <c r="C446" s="81" t="s">
        <v>77</v>
      </c>
      <c r="D446" s="81" t="s">
        <v>61</v>
      </c>
      <c r="E446" s="81" t="s">
        <v>71</v>
      </c>
      <c r="F446" s="81"/>
      <c r="G446" s="81" t="s">
        <v>64</v>
      </c>
      <c r="H446" s="81" t="s">
        <v>1285</v>
      </c>
      <c r="I446" s="83">
        <v>2328.1690140845071</v>
      </c>
      <c r="J446" s="81" t="s">
        <v>68</v>
      </c>
      <c r="K446" s="84">
        <v>45860</v>
      </c>
      <c r="L446" s="109" t="s">
        <v>14</v>
      </c>
      <c r="M446" s="81" t="s">
        <v>225</v>
      </c>
      <c r="N446" s="81">
        <v>2025</v>
      </c>
    </row>
    <row r="447" spans="1:14">
      <c r="A447" s="81">
        <v>446</v>
      </c>
      <c r="B447" s="81" t="s">
        <v>43</v>
      </c>
      <c r="C447" s="81" t="s">
        <v>77</v>
      </c>
      <c r="D447" s="81" t="s">
        <v>61</v>
      </c>
      <c r="E447" s="81" t="s">
        <v>71</v>
      </c>
      <c r="F447" s="81"/>
      <c r="G447" s="81" t="s">
        <v>64</v>
      </c>
      <c r="H447" s="81" t="s">
        <v>78</v>
      </c>
      <c r="I447" s="83">
        <v>2279.2253521126759</v>
      </c>
      <c r="J447" s="81" t="s">
        <v>68</v>
      </c>
      <c r="K447" s="84">
        <v>45755</v>
      </c>
      <c r="L447" s="109" t="s">
        <v>14</v>
      </c>
      <c r="M447" s="81" t="s">
        <v>226</v>
      </c>
      <c r="N447" s="81">
        <v>2025</v>
      </c>
    </row>
    <row r="448" spans="1:14">
      <c r="A448" s="81">
        <v>447</v>
      </c>
      <c r="B448" s="81" t="s">
        <v>43</v>
      </c>
      <c r="C448" s="81" t="s">
        <v>77</v>
      </c>
      <c r="D448" s="81" t="s">
        <v>61</v>
      </c>
      <c r="E448" s="81" t="s">
        <v>71</v>
      </c>
      <c r="F448" s="81"/>
      <c r="G448" s="81" t="s">
        <v>64</v>
      </c>
      <c r="H448" s="81" t="s">
        <v>1292</v>
      </c>
      <c r="I448" s="83">
        <v>1894.3661971830986</v>
      </c>
      <c r="J448" s="81" t="s">
        <v>68</v>
      </c>
      <c r="K448" s="84">
        <v>45695</v>
      </c>
      <c r="L448" s="109" t="s">
        <v>14</v>
      </c>
      <c r="M448" s="81" t="s">
        <v>225</v>
      </c>
      <c r="N448" s="81">
        <v>2025</v>
      </c>
    </row>
    <row r="449" spans="1:14">
      <c r="A449" s="81">
        <v>448</v>
      </c>
      <c r="B449" s="81" t="s">
        <v>17</v>
      </c>
      <c r="C449" s="81" t="s">
        <v>23</v>
      </c>
      <c r="D449" s="81" t="s">
        <v>61</v>
      </c>
      <c r="E449" s="81" t="s">
        <v>71</v>
      </c>
      <c r="F449" s="81"/>
      <c r="G449" s="81" t="s">
        <v>249</v>
      </c>
      <c r="H449" s="81" t="s">
        <v>71</v>
      </c>
      <c r="I449" s="83">
        <v>3380.2816901408451</v>
      </c>
      <c r="J449" s="81" t="s">
        <v>1129</v>
      </c>
      <c r="K449" s="84">
        <v>45855</v>
      </c>
      <c r="L449" s="81">
        <v>2025403459</v>
      </c>
      <c r="M449" s="81" t="s">
        <v>225</v>
      </c>
      <c r="N449" s="81">
        <v>2025</v>
      </c>
    </row>
    <row r="450" spans="1:14">
      <c r="A450" s="81">
        <v>449</v>
      </c>
      <c r="B450" s="81" t="s">
        <v>17</v>
      </c>
      <c r="C450" s="81" t="s">
        <v>23</v>
      </c>
      <c r="D450" s="81" t="s">
        <v>61</v>
      </c>
      <c r="E450" s="81" t="s">
        <v>71</v>
      </c>
      <c r="F450" s="81"/>
      <c r="G450" s="81" t="s">
        <v>263</v>
      </c>
      <c r="H450" s="81" t="s">
        <v>261</v>
      </c>
      <c r="I450" s="83">
        <v>3271.1267605633802</v>
      </c>
      <c r="J450" s="81" t="s">
        <v>1117</v>
      </c>
      <c r="K450" s="84">
        <v>45901</v>
      </c>
      <c r="L450" s="81">
        <v>2025403288</v>
      </c>
      <c r="M450" s="81" t="s">
        <v>226</v>
      </c>
      <c r="N450" s="81">
        <v>2025</v>
      </c>
    </row>
    <row r="451" spans="1:14">
      <c r="A451" s="81">
        <v>450</v>
      </c>
      <c r="B451" s="81" t="s">
        <v>17</v>
      </c>
      <c r="C451" s="81" t="s">
        <v>23</v>
      </c>
      <c r="D451" s="81" t="s">
        <v>61</v>
      </c>
      <c r="E451" s="81" t="s">
        <v>71</v>
      </c>
      <c r="F451" s="81"/>
      <c r="G451" s="81" t="s">
        <v>131</v>
      </c>
      <c r="H451" s="112" t="s">
        <v>71</v>
      </c>
      <c r="I451" s="105">
        <v>1813.89</v>
      </c>
      <c r="J451" s="81" t="s">
        <v>1165</v>
      </c>
      <c r="K451" s="84">
        <v>45977</v>
      </c>
      <c r="L451" s="81">
        <v>2025403956</v>
      </c>
      <c r="M451" s="81" t="s">
        <v>225</v>
      </c>
      <c r="N451" s="81">
        <v>2025</v>
      </c>
    </row>
    <row r="452" spans="1:14">
      <c r="A452" s="81">
        <v>451</v>
      </c>
      <c r="B452" s="81" t="s">
        <v>17</v>
      </c>
      <c r="C452" s="81" t="s">
        <v>23</v>
      </c>
      <c r="D452" s="81" t="s">
        <v>61</v>
      </c>
      <c r="E452" s="81" t="s">
        <v>71</v>
      </c>
      <c r="F452" s="81"/>
      <c r="G452" s="81" t="s">
        <v>131</v>
      </c>
      <c r="H452" s="112" t="s">
        <v>71</v>
      </c>
      <c r="I452" s="105">
        <v>1206.27</v>
      </c>
      <c r="J452" s="81" t="s">
        <v>1021</v>
      </c>
      <c r="K452" s="84">
        <v>45896</v>
      </c>
      <c r="L452" s="81">
        <v>2025402759</v>
      </c>
      <c r="M452" s="81" t="s">
        <v>226</v>
      </c>
      <c r="N452" s="81">
        <v>2025</v>
      </c>
    </row>
    <row r="453" spans="1:14">
      <c r="A453" s="81">
        <v>452</v>
      </c>
      <c r="B453" s="81" t="s">
        <v>17</v>
      </c>
      <c r="C453" s="81" t="s">
        <v>23</v>
      </c>
      <c r="D453" s="81" t="s">
        <v>61</v>
      </c>
      <c r="E453" s="81" t="s">
        <v>71</v>
      </c>
      <c r="F453" s="81"/>
      <c r="G453" s="81" t="s">
        <v>131</v>
      </c>
      <c r="H453" s="112" t="s">
        <v>71</v>
      </c>
      <c r="I453" s="105">
        <v>1106.2</v>
      </c>
      <c r="J453" s="81" t="s">
        <v>1124</v>
      </c>
      <c r="K453" s="84">
        <v>45889</v>
      </c>
      <c r="L453" s="81">
        <v>2024403733</v>
      </c>
      <c r="M453" s="81" t="s">
        <v>226</v>
      </c>
      <c r="N453" s="81">
        <v>2025</v>
      </c>
    </row>
    <row r="454" spans="1:14">
      <c r="A454" s="81">
        <v>453</v>
      </c>
      <c r="B454" s="81" t="s">
        <v>17</v>
      </c>
      <c r="C454" s="81" t="s">
        <v>23</v>
      </c>
      <c r="D454" s="81" t="s">
        <v>61</v>
      </c>
      <c r="E454" s="112" t="s">
        <v>71</v>
      </c>
      <c r="F454" s="81"/>
      <c r="G454" s="81" t="s">
        <v>131</v>
      </c>
      <c r="H454" s="112" t="s">
        <v>71</v>
      </c>
      <c r="I454" s="105">
        <v>920</v>
      </c>
      <c r="J454" s="81" t="s">
        <v>529</v>
      </c>
      <c r="K454" s="84">
        <v>45846</v>
      </c>
      <c r="L454" s="81">
        <v>2025402143</v>
      </c>
      <c r="M454" s="112" t="s">
        <v>225</v>
      </c>
      <c r="N454" s="81">
        <v>2025</v>
      </c>
    </row>
    <row r="455" spans="1:14">
      <c r="A455" s="81">
        <v>454</v>
      </c>
      <c r="B455" s="81" t="s">
        <v>17</v>
      </c>
      <c r="C455" s="84" t="s">
        <v>23</v>
      </c>
      <c r="D455" s="81" t="s">
        <v>61</v>
      </c>
      <c r="E455" s="81" t="s">
        <v>71</v>
      </c>
      <c r="F455" s="81"/>
      <c r="G455" s="81" t="s">
        <v>64</v>
      </c>
      <c r="H455" s="104" t="s">
        <v>292</v>
      </c>
      <c r="I455" s="105">
        <v>858.45070422535207</v>
      </c>
      <c r="J455" s="81" t="s">
        <v>68</v>
      </c>
      <c r="K455" s="84">
        <v>45856</v>
      </c>
      <c r="L455" s="106" t="s">
        <v>14</v>
      </c>
      <c r="M455" s="107" t="s">
        <v>226</v>
      </c>
      <c r="N455" s="81">
        <v>2025</v>
      </c>
    </row>
    <row r="456" spans="1:14">
      <c r="A456" s="81">
        <v>455</v>
      </c>
      <c r="B456" s="81" t="s">
        <v>17</v>
      </c>
      <c r="C456" s="81" t="s">
        <v>23</v>
      </c>
      <c r="D456" s="81" t="s">
        <v>61</v>
      </c>
      <c r="E456" s="81" t="s">
        <v>71</v>
      </c>
      <c r="F456" s="81"/>
      <c r="G456" s="81" t="s">
        <v>64</v>
      </c>
      <c r="H456" s="81" t="s">
        <v>1262</v>
      </c>
      <c r="I456" s="105">
        <v>852.11267605633805</v>
      </c>
      <c r="J456" s="81">
        <v>757</v>
      </c>
      <c r="K456" s="84">
        <v>45834</v>
      </c>
      <c r="L456" s="106" t="s">
        <v>14</v>
      </c>
      <c r="M456" s="107" t="s">
        <v>225</v>
      </c>
      <c r="N456" s="81">
        <v>2025</v>
      </c>
    </row>
    <row r="457" spans="1:14">
      <c r="A457" s="81">
        <v>456</v>
      </c>
      <c r="B457" s="81" t="s">
        <v>17</v>
      </c>
      <c r="C457" s="81" t="s">
        <v>23</v>
      </c>
      <c r="D457" s="81" t="s">
        <v>61</v>
      </c>
      <c r="E457" s="81" t="s">
        <v>71</v>
      </c>
      <c r="F457" s="81"/>
      <c r="G457" s="81" t="s">
        <v>131</v>
      </c>
      <c r="H457" s="112" t="s">
        <v>71</v>
      </c>
      <c r="I457" s="105">
        <v>849.2</v>
      </c>
      <c r="J457" s="81" t="s">
        <v>1125</v>
      </c>
      <c r="K457" s="84">
        <v>45889</v>
      </c>
      <c r="L457" s="81">
        <v>2024403730</v>
      </c>
      <c r="M457" s="81" t="s">
        <v>226</v>
      </c>
      <c r="N457" s="81">
        <v>2025</v>
      </c>
    </row>
    <row r="458" spans="1:14">
      <c r="A458" s="81">
        <v>457</v>
      </c>
      <c r="B458" s="81" t="s">
        <v>17</v>
      </c>
      <c r="C458" s="81" t="s">
        <v>23</v>
      </c>
      <c r="D458" s="81" t="s">
        <v>61</v>
      </c>
      <c r="E458" s="112" t="s">
        <v>71</v>
      </c>
      <c r="F458" s="81"/>
      <c r="G458" s="81" t="s">
        <v>131</v>
      </c>
      <c r="H458" s="112" t="s">
        <v>71</v>
      </c>
      <c r="I458" s="105">
        <v>645</v>
      </c>
      <c r="J458" s="81" t="s">
        <v>786</v>
      </c>
      <c r="K458" s="84">
        <v>45875</v>
      </c>
      <c r="L458" s="81">
        <v>2025402545</v>
      </c>
      <c r="M458" s="112" t="s">
        <v>226</v>
      </c>
      <c r="N458" s="81">
        <v>2025</v>
      </c>
    </row>
    <row r="459" spans="1:14">
      <c r="A459" s="81">
        <v>458</v>
      </c>
      <c r="B459" s="81" t="s">
        <v>17</v>
      </c>
      <c r="C459" s="81" t="s">
        <v>23</v>
      </c>
      <c r="D459" s="81" t="s">
        <v>61</v>
      </c>
      <c r="E459" s="81" t="s">
        <v>71</v>
      </c>
      <c r="F459" s="81"/>
      <c r="G459" s="81" t="s">
        <v>134</v>
      </c>
      <c r="H459" s="81" t="s">
        <v>71</v>
      </c>
      <c r="I459" s="105">
        <v>628</v>
      </c>
      <c r="J459" s="81" t="s">
        <v>913</v>
      </c>
      <c r="K459" s="84">
        <v>45893</v>
      </c>
      <c r="L459" s="81">
        <v>2025402752</v>
      </c>
      <c r="M459" s="81" t="s">
        <v>226</v>
      </c>
      <c r="N459" s="81">
        <v>2025</v>
      </c>
    </row>
    <row r="460" spans="1:14">
      <c r="A460" s="81">
        <v>459</v>
      </c>
      <c r="B460" s="81" t="s">
        <v>17</v>
      </c>
      <c r="C460" s="81" t="s">
        <v>23</v>
      </c>
      <c r="D460" s="81" t="s">
        <v>61</v>
      </c>
      <c r="E460" s="81" t="s">
        <v>71</v>
      </c>
      <c r="F460" s="81"/>
      <c r="G460" s="81" t="s">
        <v>131</v>
      </c>
      <c r="H460" s="112" t="s">
        <v>71</v>
      </c>
      <c r="I460" s="105">
        <v>541</v>
      </c>
      <c r="J460" s="81" t="s">
        <v>1031</v>
      </c>
      <c r="K460" s="84">
        <v>45900</v>
      </c>
      <c r="L460" s="81">
        <v>2025402855</v>
      </c>
      <c r="M460" s="81" t="s">
        <v>226</v>
      </c>
      <c r="N460" s="81">
        <v>2025</v>
      </c>
    </row>
    <row r="461" spans="1:14">
      <c r="A461" s="81">
        <v>460</v>
      </c>
      <c r="B461" s="81" t="s">
        <v>17</v>
      </c>
      <c r="C461" s="81" t="s">
        <v>23</v>
      </c>
      <c r="D461" s="81" t="s">
        <v>61</v>
      </c>
      <c r="E461" s="112" t="s">
        <v>71</v>
      </c>
      <c r="F461" s="81"/>
      <c r="G461" s="81" t="s">
        <v>134</v>
      </c>
      <c r="H461" s="81" t="s">
        <v>71</v>
      </c>
      <c r="I461" s="105">
        <v>453.6</v>
      </c>
      <c r="J461" s="81" t="s">
        <v>734</v>
      </c>
      <c r="K461" s="84">
        <v>45865</v>
      </c>
      <c r="L461" s="81">
        <v>2025402335</v>
      </c>
      <c r="M461" s="112" t="s">
        <v>225</v>
      </c>
      <c r="N461" s="81">
        <v>2025</v>
      </c>
    </row>
    <row r="462" spans="1:14">
      <c r="A462" s="81">
        <v>461</v>
      </c>
      <c r="B462" s="81" t="s">
        <v>17</v>
      </c>
      <c r="C462" s="81" t="s">
        <v>23</v>
      </c>
      <c r="D462" s="81" t="s">
        <v>61</v>
      </c>
      <c r="E462" s="112" t="s">
        <v>71</v>
      </c>
      <c r="F462" s="81"/>
      <c r="G462" s="81" t="s">
        <v>134</v>
      </c>
      <c r="H462" s="81" t="s">
        <v>71</v>
      </c>
      <c r="I462" s="105">
        <v>380</v>
      </c>
      <c r="J462" s="81" t="s">
        <v>766</v>
      </c>
      <c r="K462" s="84">
        <v>45872</v>
      </c>
      <c r="L462" s="81">
        <v>2025402401</v>
      </c>
      <c r="M462" s="112" t="s">
        <v>226</v>
      </c>
      <c r="N462" s="81">
        <v>2025</v>
      </c>
    </row>
    <row r="463" spans="1:14">
      <c r="A463" s="81">
        <v>462</v>
      </c>
      <c r="B463" s="81" t="s">
        <v>17</v>
      </c>
      <c r="C463" s="81" t="s">
        <v>23</v>
      </c>
      <c r="D463" s="81" t="s">
        <v>61</v>
      </c>
      <c r="E463" s="112" t="s">
        <v>71</v>
      </c>
      <c r="F463" s="81"/>
      <c r="G463" s="81" t="s">
        <v>131</v>
      </c>
      <c r="H463" s="112" t="s">
        <v>71</v>
      </c>
      <c r="I463" s="105">
        <v>273</v>
      </c>
      <c r="J463" s="81" t="s">
        <v>505</v>
      </c>
      <c r="K463" s="84">
        <v>45840</v>
      </c>
      <c r="L463" s="81">
        <v>2024403768</v>
      </c>
      <c r="M463" s="112" t="s">
        <v>225</v>
      </c>
      <c r="N463" s="81">
        <v>2025</v>
      </c>
    </row>
    <row r="464" spans="1:14">
      <c r="A464" s="81">
        <v>463</v>
      </c>
      <c r="B464" s="81" t="s">
        <v>17</v>
      </c>
      <c r="C464" s="81" t="s">
        <v>23</v>
      </c>
      <c r="D464" s="81" t="s">
        <v>61</v>
      </c>
      <c r="E464" s="81" t="s">
        <v>71</v>
      </c>
      <c r="F464" s="81"/>
      <c r="G464" s="81" t="s">
        <v>134</v>
      </c>
      <c r="H464" s="81" t="s">
        <v>71</v>
      </c>
      <c r="I464" s="105">
        <v>220</v>
      </c>
      <c r="J464" s="81" t="s">
        <v>920</v>
      </c>
      <c r="K464" s="84">
        <v>45880</v>
      </c>
      <c r="L464" s="81">
        <v>2025402665</v>
      </c>
      <c r="M464" s="81" t="s">
        <v>226</v>
      </c>
      <c r="N464" s="81">
        <v>2025</v>
      </c>
    </row>
    <row r="465" spans="1:14">
      <c r="A465" s="81">
        <v>464</v>
      </c>
      <c r="B465" s="81" t="s">
        <v>17</v>
      </c>
      <c r="C465" s="81" t="s">
        <v>23</v>
      </c>
      <c r="D465" s="81" t="s">
        <v>61</v>
      </c>
      <c r="E465" s="81" t="s">
        <v>71</v>
      </c>
      <c r="F465" s="81"/>
      <c r="G465" s="81" t="s">
        <v>132</v>
      </c>
      <c r="H465" s="112" t="s">
        <v>71</v>
      </c>
      <c r="I465" s="105">
        <v>197.61</v>
      </c>
      <c r="J465" s="107" t="s">
        <v>888</v>
      </c>
      <c r="K465" s="113">
        <v>45889</v>
      </c>
      <c r="L465" s="81">
        <v>2025402743</v>
      </c>
      <c r="M465" s="81" t="s">
        <v>226</v>
      </c>
      <c r="N465" s="81">
        <v>2025</v>
      </c>
    </row>
    <row r="466" spans="1:14">
      <c r="A466" s="81">
        <v>465</v>
      </c>
      <c r="B466" s="81" t="s">
        <v>17</v>
      </c>
      <c r="C466" s="81" t="s">
        <v>23</v>
      </c>
      <c r="D466" s="81" t="s">
        <v>61</v>
      </c>
      <c r="E466" s="112" t="s">
        <v>71</v>
      </c>
      <c r="F466" s="81"/>
      <c r="G466" s="81" t="s">
        <v>134</v>
      </c>
      <c r="H466" s="81" t="s">
        <v>71</v>
      </c>
      <c r="I466" s="105">
        <v>172.5</v>
      </c>
      <c r="J466" s="81" t="s">
        <v>562</v>
      </c>
      <c r="K466" s="84">
        <v>45846</v>
      </c>
      <c r="L466" s="81">
        <v>2025402120</v>
      </c>
      <c r="M466" s="112" t="s">
        <v>225</v>
      </c>
      <c r="N466" s="81">
        <v>2025</v>
      </c>
    </row>
    <row r="467" spans="1:14">
      <c r="A467" s="81">
        <v>466</v>
      </c>
      <c r="B467" s="81" t="s">
        <v>17</v>
      </c>
      <c r="C467" s="81" t="s">
        <v>23</v>
      </c>
      <c r="D467" s="81" t="s">
        <v>61</v>
      </c>
      <c r="E467" s="81" t="s">
        <v>71</v>
      </c>
      <c r="F467" s="81"/>
      <c r="G467" s="81" t="s">
        <v>134</v>
      </c>
      <c r="H467" s="81" t="s">
        <v>71</v>
      </c>
      <c r="I467" s="105">
        <v>60</v>
      </c>
      <c r="J467" s="107" t="s">
        <v>878</v>
      </c>
      <c r="K467" s="113">
        <v>45888</v>
      </c>
      <c r="L467" s="81">
        <v>2025402697</v>
      </c>
      <c r="M467" s="81" t="s">
        <v>226</v>
      </c>
      <c r="N467" s="81">
        <v>2025</v>
      </c>
    </row>
    <row r="468" spans="1:14">
      <c r="A468" s="81">
        <v>467</v>
      </c>
      <c r="B468" s="81" t="s">
        <v>17</v>
      </c>
      <c r="C468" s="81" t="s">
        <v>23</v>
      </c>
      <c r="D468" s="81" t="s">
        <v>61</v>
      </c>
      <c r="E468" s="81" t="s">
        <v>71</v>
      </c>
      <c r="F468" s="81"/>
      <c r="G468" s="81" t="s">
        <v>131</v>
      </c>
      <c r="H468" s="112" t="s">
        <v>71</v>
      </c>
      <c r="I468" s="105">
        <v>40</v>
      </c>
      <c r="J468" s="81" t="s">
        <v>504</v>
      </c>
      <c r="K468" s="84">
        <v>45839</v>
      </c>
      <c r="L468" s="81">
        <v>2024403769</v>
      </c>
      <c r="M468" s="112" t="s">
        <v>225</v>
      </c>
      <c r="N468" s="81">
        <v>2025</v>
      </c>
    </row>
    <row r="469" spans="1:14">
      <c r="A469" s="81">
        <v>468</v>
      </c>
      <c r="B469" s="81" t="s">
        <v>17</v>
      </c>
      <c r="C469" s="81" t="s">
        <v>23</v>
      </c>
      <c r="D469" s="81" t="s">
        <v>61</v>
      </c>
      <c r="E469" s="112" t="s">
        <v>71</v>
      </c>
      <c r="F469" s="81"/>
      <c r="G469" s="81" t="s">
        <v>134</v>
      </c>
      <c r="H469" s="81" t="s">
        <v>71</v>
      </c>
      <c r="I469" s="105">
        <v>30</v>
      </c>
      <c r="J469" s="81" t="s">
        <v>591</v>
      </c>
      <c r="K469" s="84">
        <v>45855</v>
      </c>
      <c r="L469" s="81">
        <v>2025402263</v>
      </c>
      <c r="M469" s="112" t="s">
        <v>225</v>
      </c>
      <c r="N469" s="81">
        <v>2025</v>
      </c>
    </row>
    <row r="470" spans="1:14">
      <c r="A470" s="81">
        <v>469</v>
      </c>
      <c r="B470" s="112" t="s">
        <v>43</v>
      </c>
      <c r="C470" s="112" t="s">
        <v>52</v>
      </c>
      <c r="D470" s="81" t="s">
        <v>61</v>
      </c>
      <c r="E470" s="112" t="s">
        <v>71</v>
      </c>
      <c r="F470" s="81"/>
      <c r="G470" s="112" t="s">
        <v>134</v>
      </c>
      <c r="H470" s="81" t="s">
        <v>71</v>
      </c>
      <c r="I470" s="105">
        <v>4130.3</v>
      </c>
      <c r="J470" s="81" t="s">
        <v>578</v>
      </c>
      <c r="K470" s="84">
        <v>45848</v>
      </c>
      <c r="L470" s="81">
        <v>2025402165</v>
      </c>
      <c r="M470" s="112" t="s">
        <v>225</v>
      </c>
      <c r="N470" s="81">
        <v>2025</v>
      </c>
    </row>
    <row r="471" spans="1:14">
      <c r="A471" s="81">
        <v>470</v>
      </c>
      <c r="B471" s="81" t="s">
        <v>43</v>
      </c>
      <c r="C471" s="81" t="s">
        <v>52</v>
      </c>
      <c r="D471" s="81" t="s">
        <v>61</v>
      </c>
      <c r="E471" s="81" t="s">
        <v>71</v>
      </c>
      <c r="F471" s="81"/>
      <c r="G471" s="81" t="s">
        <v>64</v>
      </c>
      <c r="H471" s="81" t="s">
        <v>1291</v>
      </c>
      <c r="I471" s="83">
        <v>1837.6760563380283</v>
      </c>
      <c r="J471" s="81" t="s">
        <v>68</v>
      </c>
      <c r="K471" s="84">
        <v>45838</v>
      </c>
      <c r="L471" s="109" t="s">
        <v>14</v>
      </c>
      <c r="M471" s="81" t="s">
        <v>225</v>
      </c>
      <c r="N471" s="81">
        <v>2025</v>
      </c>
    </row>
    <row r="472" spans="1:14">
      <c r="A472" s="81">
        <v>471</v>
      </c>
      <c r="B472" s="81" t="s">
        <v>43</v>
      </c>
      <c r="C472" s="81" t="s">
        <v>52</v>
      </c>
      <c r="D472" s="81" t="s">
        <v>61</v>
      </c>
      <c r="E472" s="81" t="s">
        <v>71</v>
      </c>
      <c r="F472" s="81"/>
      <c r="G472" s="81" t="s">
        <v>134</v>
      </c>
      <c r="H472" s="81" t="s">
        <v>71</v>
      </c>
      <c r="I472" s="105">
        <v>1540</v>
      </c>
      <c r="J472" s="81" t="s">
        <v>932</v>
      </c>
      <c r="K472" s="84">
        <v>45889</v>
      </c>
      <c r="L472" s="81">
        <v>2025402607</v>
      </c>
      <c r="M472" s="81" t="s">
        <v>226</v>
      </c>
      <c r="N472" s="81">
        <v>2025</v>
      </c>
    </row>
    <row r="473" spans="1:14">
      <c r="A473" s="81">
        <v>472</v>
      </c>
      <c r="B473" s="81" t="s">
        <v>43</v>
      </c>
      <c r="C473" s="81" t="s">
        <v>52</v>
      </c>
      <c r="D473" s="81" t="s">
        <v>61</v>
      </c>
      <c r="E473" s="112" t="s">
        <v>71</v>
      </c>
      <c r="F473" s="81"/>
      <c r="G473" s="81" t="s">
        <v>134</v>
      </c>
      <c r="H473" s="81" t="s">
        <v>71</v>
      </c>
      <c r="I473" s="105">
        <v>1200</v>
      </c>
      <c r="J473" s="81" t="s">
        <v>757</v>
      </c>
      <c r="K473" s="84">
        <v>45873</v>
      </c>
      <c r="L473" s="81">
        <v>2025402544</v>
      </c>
      <c r="M473" s="112" t="s">
        <v>226</v>
      </c>
      <c r="N473" s="81">
        <v>2025</v>
      </c>
    </row>
    <row r="474" spans="1:14">
      <c r="A474" s="81">
        <v>473</v>
      </c>
      <c r="B474" s="81" t="s">
        <v>43</v>
      </c>
      <c r="C474" s="81" t="s">
        <v>52</v>
      </c>
      <c r="D474" s="81" t="s">
        <v>61</v>
      </c>
      <c r="E474" s="81" t="s">
        <v>71</v>
      </c>
      <c r="F474" s="81"/>
      <c r="G474" s="81" t="s">
        <v>64</v>
      </c>
      <c r="H474" s="81" t="s">
        <v>1290</v>
      </c>
      <c r="I474" s="83">
        <v>1023.2394366197183</v>
      </c>
      <c r="J474" s="81" t="s">
        <v>68</v>
      </c>
      <c r="K474" s="84">
        <v>45854</v>
      </c>
      <c r="L474" s="109" t="s">
        <v>14</v>
      </c>
      <c r="M474" s="81" t="s">
        <v>225</v>
      </c>
      <c r="N474" s="81">
        <v>2025</v>
      </c>
    </row>
    <row r="475" spans="1:14">
      <c r="A475" s="81">
        <v>474</v>
      </c>
      <c r="B475" s="81" t="s">
        <v>43</v>
      </c>
      <c r="C475" s="81" t="s">
        <v>52</v>
      </c>
      <c r="D475" s="81" t="s">
        <v>61</v>
      </c>
      <c r="E475" s="81" t="s">
        <v>71</v>
      </c>
      <c r="F475" s="81"/>
      <c r="G475" s="81" t="s">
        <v>64</v>
      </c>
      <c r="H475" s="81" t="s">
        <v>291</v>
      </c>
      <c r="I475" s="83">
        <v>967.6056338028169</v>
      </c>
      <c r="J475" s="81" t="s">
        <v>68</v>
      </c>
      <c r="K475" s="84">
        <v>45696</v>
      </c>
      <c r="L475" s="109" t="s">
        <v>14</v>
      </c>
      <c r="M475" s="81" t="s">
        <v>226</v>
      </c>
      <c r="N475" s="81">
        <v>2025</v>
      </c>
    </row>
    <row r="476" spans="1:14">
      <c r="A476" s="81">
        <v>475</v>
      </c>
      <c r="B476" s="81" t="s">
        <v>43</v>
      </c>
      <c r="C476" s="81" t="s">
        <v>52</v>
      </c>
      <c r="D476" s="81" t="s">
        <v>61</v>
      </c>
      <c r="E476" s="112" t="s">
        <v>71</v>
      </c>
      <c r="F476" s="81"/>
      <c r="G476" s="81" t="s">
        <v>131</v>
      </c>
      <c r="H476" s="112" t="s">
        <v>71</v>
      </c>
      <c r="I476" s="105">
        <v>958.88</v>
      </c>
      <c r="J476" s="81" t="s">
        <v>733</v>
      </c>
      <c r="K476" s="84">
        <v>45868</v>
      </c>
      <c r="L476" s="81">
        <v>2025402503</v>
      </c>
      <c r="M476" s="112" t="s">
        <v>225</v>
      </c>
      <c r="N476" s="81">
        <v>2025</v>
      </c>
    </row>
    <row r="477" spans="1:14">
      <c r="A477" s="81">
        <v>476</v>
      </c>
      <c r="B477" s="81" t="s">
        <v>43</v>
      </c>
      <c r="C477" s="81" t="s">
        <v>52</v>
      </c>
      <c r="D477" s="81" t="s">
        <v>61</v>
      </c>
      <c r="E477" s="112" t="s">
        <v>71</v>
      </c>
      <c r="F477" s="81"/>
      <c r="G477" s="81" t="s">
        <v>134</v>
      </c>
      <c r="H477" s="81" t="s">
        <v>71</v>
      </c>
      <c r="I477" s="105">
        <v>799.5</v>
      </c>
      <c r="J477" s="81" t="s">
        <v>714</v>
      </c>
      <c r="K477" s="84">
        <v>45855</v>
      </c>
      <c r="L477" s="81">
        <v>2025402230</v>
      </c>
      <c r="M477" s="112" t="s">
        <v>225</v>
      </c>
      <c r="N477" s="81">
        <v>2025</v>
      </c>
    </row>
    <row r="478" spans="1:14">
      <c r="A478" s="81">
        <v>477</v>
      </c>
      <c r="B478" s="81" t="s">
        <v>43</v>
      </c>
      <c r="C478" s="81" t="s">
        <v>52</v>
      </c>
      <c r="D478" s="81" t="s">
        <v>61</v>
      </c>
      <c r="E478" s="81" t="s">
        <v>71</v>
      </c>
      <c r="F478" s="81"/>
      <c r="G478" s="81" t="s">
        <v>134</v>
      </c>
      <c r="H478" s="81" t="s">
        <v>71</v>
      </c>
      <c r="I478" s="105">
        <v>595</v>
      </c>
      <c r="J478" s="81" t="s">
        <v>933</v>
      </c>
      <c r="K478" s="84">
        <v>45889</v>
      </c>
      <c r="L478" s="81">
        <v>2025402610</v>
      </c>
      <c r="M478" s="81" t="s">
        <v>226</v>
      </c>
      <c r="N478" s="81">
        <v>2025</v>
      </c>
    </row>
    <row r="479" spans="1:14">
      <c r="A479" s="81">
        <v>478</v>
      </c>
      <c r="B479" s="81" t="s">
        <v>43</v>
      </c>
      <c r="C479" s="81" t="s">
        <v>52</v>
      </c>
      <c r="D479" s="81" t="s">
        <v>61</v>
      </c>
      <c r="E479" s="81" t="s">
        <v>71</v>
      </c>
      <c r="F479" s="81"/>
      <c r="G479" s="81" t="s">
        <v>134</v>
      </c>
      <c r="H479" s="81" t="s">
        <v>71</v>
      </c>
      <c r="I479" s="105">
        <v>520</v>
      </c>
      <c r="J479" s="81" t="s">
        <v>982</v>
      </c>
      <c r="K479" s="84">
        <v>45893</v>
      </c>
      <c r="L479" s="81">
        <v>2025402747</v>
      </c>
      <c r="M479" s="81" t="s">
        <v>226</v>
      </c>
      <c r="N479" s="81">
        <v>2025</v>
      </c>
    </row>
    <row r="480" spans="1:14">
      <c r="A480" s="81">
        <v>479</v>
      </c>
      <c r="B480" s="81" t="s">
        <v>43</v>
      </c>
      <c r="C480" s="81" t="s">
        <v>52</v>
      </c>
      <c r="D480" s="81" t="s">
        <v>61</v>
      </c>
      <c r="E480" s="81" t="s">
        <v>71</v>
      </c>
      <c r="F480" s="81"/>
      <c r="G480" s="81" t="s">
        <v>131</v>
      </c>
      <c r="H480" s="112" t="s">
        <v>71</v>
      </c>
      <c r="I480" s="105">
        <v>488.88</v>
      </c>
      <c r="J480" s="81" t="s">
        <v>1146</v>
      </c>
      <c r="K480" s="84">
        <v>45946</v>
      </c>
      <c r="L480" s="81">
        <v>2025403638</v>
      </c>
      <c r="M480" s="81" t="s">
        <v>226</v>
      </c>
      <c r="N480" s="81">
        <v>2025</v>
      </c>
    </row>
    <row r="481" spans="1:14">
      <c r="A481" s="81">
        <v>480</v>
      </c>
      <c r="B481" s="81" t="s">
        <v>43</v>
      </c>
      <c r="C481" s="81" t="s">
        <v>52</v>
      </c>
      <c r="D481" s="81" t="s">
        <v>61</v>
      </c>
      <c r="E481" s="112" t="s">
        <v>71</v>
      </c>
      <c r="F481" s="81"/>
      <c r="G481" s="81" t="s">
        <v>131</v>
      </c>
      <c r="H481" s="112" t="s">
        <v>71</v>
      </c>
      <c r="I481" s="105">
        <v>337.5</v>
      </c>
      <c r="J481" s="81" t="s">
        <v>676</v>
      </c>
      <c r="K481" s="84">
        <v>45866</v>
      </c>
      <c r="L481" s="81">
        <v>2025402395</v>
      </c>
      <c r="M481" s="112" t="s">
        <v>225</v>
      </c>
      <c r="N481" s="81">
        <v>2025</v>
      </c>
    </row>
    <row r="482" spans="1:14">
      <c r="A482" s="81">
        <v>481</v>
      </c>
      <c r="B482" s="81" t="s">
        <v>43</v>
      </c>
      <c r="C482" s="81" t="s">
        <v>51</v>
      </c>
      <c r="D482" s="81" t="s">
        <v>61</v>
      </c>
      <c r="E482" s="81" t="s">
        <v>71</v>
      </c>
      <c r="F482" s="81"/>
      <c r="G482" s="81" t="s">
        <v>260</v>
      </c>
      <c r="H482" s="81" t="s">
        <v>261</v>
      </c>
      <c r="I482" s="105">
        <v>31165</v>
      </c>
      <c r="J482" s="81" t="s">
        <v>1104</v>
      </c>
      <c r="K482" s="84">
        <v>45870</v>
      </c>
      <c r="L482" s="81">
        <v>2025403223</v>
      </c>
      <c r="M482" s="81" t="s">
        <v>225</v>
      </c>
      <c r="N482" s="81">
        <v>2025</v>
      </c>
    </row>
    <row r="483" spans="1:14">
      <c r="A483" s="81">
        <v>482</v>
      </c>
      <c r="B483" s="81" t="s">
        <v>43</v>
      </c>
      <c r="C483" s="81" t="s">
        <v>51</v>
      </c>
      <c r="D483" s="81" t="s">
        <v>61</v>
      </c>
      <c r="E483" s="81" t="s">
        <v>71</v>
      </c>
      <c r="F483" s="81"/>
      <c r="G483" s="81" t="s">
        <v>127</v>
      </c>
      <c r="H483" s="81" t="s">
        <v>128</v>
      </c>
      <c r="I483" s="105">
        <v>22661.200000000001</v>
      </c>
      <c r="J483" s="81" t="s">
        <v>1033</v>
      </c>
      <c r="K483" s="84">
        <v>45896</v>
      </c>
      <c r="L483" s="81">
        <v>2025402875</v>
      </c>
      <c r="M483" s="81" t="s">
        <v>226</v>
      </c>
      <c r="N483" s="81">
        <v>2025</v>
      </c>
    </row>
    <row r="484" spans="1:14">
      <c r="A484" s="81">
        <v>483</v>
      </c>
      <c r="B484" s="81" t="s">
        <v>43</v>
      </c>
      <c r="C484" s="81" t="s">
        <v>51</v>
      </c>
      <c r="D484" s="81" t="s">
        <v>61</v>
      </c>
      <c r="E484" s="81" t="s">
        <v>71</v>
      </c>
      <c r="F484" s="81"/>
      <c r="G484" s="81" t="s">
        <v>260</v>
      </c>
      <c r="H484" s="81" t="s">
        <v>261</v>
      </c>
      <c r="I484" s="105">
        <v>18170</v>
      </c>
      <c r="J484" s="81" t="s">
        <v>1116</v>
      </c>
      <c r="K484" s="84">
        <v>45901</v>
      </c>
      <c r="L484" s="81">
        <v>2025403292</v>
      </c>
      <c r="M484" s="81" t="s">
        <v>226</v>
      </c>
      <c r="N484" s="81">
        <v>2025</v>
      </c>
    </row>
    <row r="485" spans="1:14">
      <c r="A485" s="81">
        <v>484</v>
      </c>
      <c r="B485" s="81" t="s">
        <v>43</v>
      </c>
      <c r="C485" s="81" t="s">
        <v>51</v>
      </c>
      <c r="D485" s="81" t="s">
        <v>61</v>
      </c>
      <c r="E485" s="81" t="s">
        <v>71</v>
      </c>
      <c r="F485" s="81"/>
      <c r="G485" s="81" t="s">
        <v>260</v>
      </c>
      <c r="H485" s="81" t="s">
        <v>261</v>
      </c>
      <c r="I485" s="105">
        <v>12420</v>
      </c>
      <c r="J485" s="81" t="s">
        <v>1104</v>
      </c>
      <c r="K485" s="84">
        <v>45870</v>
      </c>
      <c r="L485" s="81">
        <v>2025403223</v>
      </c>
      <c r="M485" s="81" t="s">
        <v>225</v>
      </c>
      <c r="N485" s="81">
        <v>2025</v>
      </c>
    </row>
    <row r="486" spans="1:14">
      <c r="A486" s="81">
        <v>485</v>
      </c>
      <c r="B486" s="81" t="s">
        <v>43</v>
      </c>
      <c r="C486" s="81" t="s">
        <v>51</v>
      </c>
      <c r="D486" s="81" t="s">
        <v>61</v>
      </c>
      <c r="E486" s="81" t="s">
        <v>71</v>
      </c>
      <c r="F486" s="81"/>
      <c r="G486" s="81" t="s">
        <v>490</v>
      </c>
      <c r="H486" s="81" t="s">
        <v>71</v>
      </c>
      <c r="I486" s="83">
        <v>9849.2957746478878</v>
      </c>
      <c r="J486" s="81" t="s">
        <v>1007</v>
      </c>
      <c r="K486" s="84">
        <v>45880</v>
      </c>
      <c r="L486" s="81">
        <v>2025402900</v>
      </c>
      <c r="M486" s="81" t="s">
        <v>226</v>
      </c>
      <c r="N486" s="81">
        <v>2025</v>
      </c>
    </row>
    <row r="487" spans="1:14">
      <c r="A487" s="81">
        <v>486</v>
      </c>
      <c r="B487" s="81" t="s">
        <v>43</v>
      </c>
      <c r="C487" s="81" t="s">
        <v>51</v>
      </c>
      <c r="D487" s="81" t="s">
        <v>61</v>
      </c>
      <c r="E487" s="112" t="s">
        <v>71</v>
      </c>
      <c r="F487" s="81"/>
      <c r="G487" s="81" t="s">
        <v>127</v>
      </c>
      <c r="H487" s="81" t="s">
        <v>128</v>
      </c>
      <c r="I487" s="105">
        <v>8667.5</v>
      </c>
      <c r="J487" s="81" t="s">
        <v>725</v>
      </c>
      <c r="K487" s="84">
        <v>45862</v>
      </c>
      <c r="L487" s="81">
        <v>2025402411</v>
      </c>
      <c r="M487" s="112" t="s">
        <v>225</v>
      </c>
      <c r="N487" s="81">
        <v>2025</v>
      </c>
    </row>
    <row r="488" spans="1:14">
      <c r="A488" s="81">
        <v>487</v>
      </c>
      <c r="B488" s="81" t="s">
        <v>43</v>
      </c>
      <c r="C488" s="81" t="s">
        <v>51</v>
      </c>
      <c r="D488" s="81" t="s">
        <v>61</v>
      </c>
      <c r="E488" s="81" t="s">
        <v>71</v>
      </c>
      <c r="F488" s="81"/>
      <c r="G488" s="81" t="s">
        <v>260</v>
      </c>
      <c r="H488" s="81" t="s">
        <v>261</v>
      </c>
      <c r="I488" s="105">
        <v>5310</v>
      </c>
      <c r="J488" s="81" t="s">
        <v>1104</v>
      </c>
      <c r="K488" s="84">
        <v>45870</v>
      </c>
      <c r="L488" s="81">
        <v>2025403223</v>
      </c>
      <c r="M488" s="81" t="s">
        <v>225</v>
      </c>
      <c r="N488" s="81">
        <v>2025</v>
      </c>
    </row>
    <row r="489" spans="1:14">
      <c r="A489" s="81">
        <v>488</v>
      </c>
      <c r="B489" s="81" t="s">
        <v>43</v>
      </c>
      <c r="C489" s="81" t="s">
        <v>51</v>
      </c>
      <c r="D489" s="81" t="s">
        <v>61</v>
      </c>
      <c r="E489" s="81" t="s">
        <v>71</v>
      </c>
      <c r="F489" s="81"/>
      <c r="G489" s="81" t="s">
        <v>247</v>
      </c>
      <c r="H489" s="112" t="s">
        <v>71</v>
      </c>
      <c r="I489" s="83">
        <v>4611.4084507042253</v>
      </c>
      <c r="J489" s="81" t="s">
        <v>597</v>
      </c>
      <c r="K489" s="84">
        <v>45875</v>
      </c>
      <c r="L489" s="81">
        <v>2025403075</v>
      </c>
      <c r="M489" s="81" t="s">
        <v>226</v>
      </c>
      <c r="N489" s="81">
        <v>2025</v>
      </c>
    </row>
    <row r="490" spans="1:14">
      <c r="A490" s="81">
        <v>489</v>
      </c>
      <c r="B490" s="112" t="s">
        <v>43</v>
      </c>
      <c r="C490" s="112" t="s">
        <v>51</v>
      </c>
      <c r="D490" s="81" t="s">
        <v>61</v>
      </c>
      <c r="E490" s="112" t="s">
        <v>71</v>
      </c>
      <c r="F490" s="81"/>
      <c r="G490" s="112" t="s">
        <v>251</v>
      </c>
      <c r="H490" s="109" t="s">
        <v>256</v>
      </c>
      <c r="I490" s="83">
        <v>4119.7183098591549</v>
      </c>
      <c r="J490" s="81" t="s">
        <v>552</v>
      </c>
      <c r="K490" s="84">
        <v>45850</v>
      </c>
      <c r="L490" s="81">
        <v>2025402279</v>
      </c>
      <c r="M490" s="112" t="s">
        <v>225</v>
      </c>
      <c r="N490" s="81">
        <v>2025</v>
      </c>
    </row>
    <row r="491" spans="1:14">
      <c r="A491" s="81">
        <v>490</v>
      </c>
      <c r="B491" s="81" t="s">
        <v>43</v>
      </c>
      <c r="C491" s="81" t="s">
        <v>51</v>
      </c>
      <c r="D491" s="81" t="s">
        <v>61</v>
      </c>
      <c r="E491" s="112" t="s">
        <v>71</v>
      </c>
      <c r="F491" s="81"/>
      <c r="G491" s="81" t="s">
        <v>251</v>
      </c>
      <c r="H491" s="109" t="s">
        <v>256</v>
      </c>
      <c r="I491" s="83">
        <v>4119.7183098591549</v>
      </c>
      <c r="J491" s="81" t="s">
        <v>706</v>
      </c>
      <c r="K491" s="84">
        <v>45866</v>
      </c>
      <c r="L491" s="81">
        <v>2025402463</v>
      </c>
      <c r="M491" s="112" t="s">
        <v>225</v>
      </c>
      <c r="N491" s="81">
        <v>2025</v>
      </c>
    </row>
    <row r="492" spans="1:14">
      <c r="A492" s="81">
        <v>491</v>
      </c>
      <c r="B492" s="81" t="s">
        <v>43</v>
      </c>
      <c r="C492" s="81" t="s">
        <v>51</v>
      </c>
      <c r="D492" s="81" t="s">
        <v>61</v>
      </c>
      <c r="E492" s="81" t="s">
        <v>71</v>
      </c>
      <c r="F492" s="81"/>
      <c r="G492" s="81" t="s">
        <v>251</v>
      </c>
      <c r="H492" s="109" t="s">
        <v>256</v>
      </c>
      <c r="I492" s="83">
        <v>4119.7183098591549</v>
      </c>
      <c r="J492" s="81" t="s">
        <v>1120</v>
      </c>
      <c r="K492" s="84">
        <v>45894</v>
      </c>
      <c r="L492" s="81">
        <v>2025403347</v>
      </c>
      <c r="M492" s="81" t="s">
        <v>226</v>
      </c>
      <c r="N492" s="81">
        <v>2025</v>
      </c>
    </row>
    <row r="493" spans="1:14">
      <c r="A493" s="81">
        <v>492</v>
      </c>
      <c r="B493" s="81" t="s">
        <v>43</v>
      </c>
      <c r="C493" s="81" t="s">
        <v>51</v>
      </c>
      <c r="D493" s="81" t="s">
        <v>61</v>
      </c>
      <c r="E493" s="81" t="s">
        <v>71</v>
      </c>
      <c r="F493" s="81"/>
      <c r="G493" s="81" t="s">
        <v>134</v>
      </c>
      <c r="H493" s="81" t="s">
        <v>71</v>
      </c>
      <c r="I493" s="105">
        <v>3676</v>
      </c>
      <c r="J493" s="81" t="s">
        <v>937</v>
      </c>
      <c r="K493" s="84">
        <v>45892</v>
      </c>
      <c r="L493" s="81">
        <v>2025402666</v>
      </c>
      <c r="M493" s="81" t="s">
        <v>226</v>
      </c>
      <c r="N493" s="81">
        <v>2025</v>
      </c>
    </row>
    <row r="494" spans="1:14">
      <c r="A494" s="81">
        <v>493</v>
      </c>
      <c r="B494" s="81" t="s">
        <v>43</v>
      </c>
      <c r="C494" s="81" t="s">
        <v>51</v>
      </c>
      <c r="D494" s="81" t="s">
        <v>61</v>
      </c>
      <c r="E494" s="81" t="s">
        <v>71</v>
      </c>
      <c r="F494" s="81"/>
      <c r="G494" s="81" t="s">
        <v>492</v>
      </c>
      <c r="H494" s="112" t="s">
        <v>71</v>
      </c>
      <c r="I494" s="83">
        <v>3327.4647887323945</v>
      </c>
      <c r="J494" s="81" t="s">
        <v>1089</v>
      </c>
      <c r="K494" s="84">
        <v>45893</v>
      </c>
      <c r="L494" s="81">
        <v>2025402918</v>
      </c>
      <c r="M494" s="81" t="s">
        <v>226</v>
      </c>
      <c r="N494" s="81">
        <v>2025</v>
      </c>
    </row>
    <row r="495" spans="1:14">
      <c r="A495" s="81">
        <v>494</v>
      </c>
      <c r="B495" s="81" t="s">
        <v>43</v>
      </c>
      <c r="C495" s="81" t="s">
        <v>51</v>
      </c>
      <c r="D495" s="81" t="s">
        <v>61</v>
      </c>
      <c r="E495" s="81" t="s">
        <v>71</v>
      </c>
      <c r="F495" s="81"/>
      <c r="G495" s="81" t="s">
        <v>248</v>
      </c>
      <c r="H495" s="81" t="s">
        <v>257</v>
      </c>
      <c r="I495" s="83">
        <v>3169.0140845070423</v>
      </c>
      <c r="J495" s="81" t="s">
        <v>726</v>
      </c>
      <c r="K495" s="84">
        <v>45850</v>
      </c>
      <c r="L495" s="81">
        <v>2025402412</v>
      </c>
      <c r="M495" s="112" t="s">
        <v>225</v>
      </c>
      <c r="N495" s="81">
        <v>2025</v>
      </c>
    </row>
    <row r="496" spans="1:14">
      <c r="A496" s="81">
        <v>495</v>
      </c>
      <c r="B496" s="81" t="s">
        <v>43</v>
      </c>
      <c r="C496" s="81" t="s">
        <v>51</v>
      </c>
      <c r="D496" s="81" t="s">
        <v>61</v>
      </c>
      <c r="E496" s="81" t="s">
        <v>71</v>
      </c>
      <c r="F496" s="81"/>
      <c r="G496" s="81" t="s">
        <v>248</v>
      </c>
      <c r="H496" s="81" t="s">
        <v>257</v>
      </c>
      <c r="I496" s="83">
        <v>3169.0140845070423</v>
      </c>
      <c r="J496" s="81" t="s">
        <v>1003</v>
      </c>
      <c r="K496" s="84">
        <v>45886</v>
      </c>
      <c r="L496" s="81">
        <v>2025402773</v>
      </c>
      <c r="M496" s="81" t="s">
        <v>226</v>
      </c>
      <c r="N496" s="81">
        <v>2025</v>
      </c>
    </row>
    <row r="497" spans="1:14">
      <c r="A497" s="81">
        <v>496</v>
      </c>
      <c r="B497" s="81" t="s">
        <v>43</v>
      </c>
      <c r="C497" s="81" t="s">
        <v>51</v>
      </c>
      <c r="D497" s="81" t="s">
        <v>61</v>
      </c>
      <c r="E497" s="81" t="s">
        <v>71</v>
      </c>
      <c r="F497" s="81"/>
      <c r="G497" s="81" t="s">
        <v>131</v>
      </c>
      <c r="H497" s="112" t="s">
        <v>71</v>
      </c>
      <c r="I497" s="105">
        <v>3144.25</v>
      </c>
      <c r="J497" s="81" t="s">
        <v>832</v>
      </c>
      <c r="K497" s="84">
        <v>45883</v>
      </c>
      <c r="L497" s="81">
        <v>2025402498</v>
      </c>
      <c r="M497" s="112" t="s">
        <v>226</v>
      </c>
      <c r="N497" s="81">
        <v>2025</v>
      </c>
    </row>
    <row r="498" spans="1:14">
      <c r="A498" s="81">
        <v>497</v>
      </c>
      <c r="B498" s="81" t="s">
        <v>43</v>
      </c>
      <c r="C498" s="81" t="s">
        <v>51</v>
      </c>
      <c r="D498" s="81" t="s">
        <v>61</v>
      </c>
      <c r="E498" s="81" t="s">
        <v>71</v>
      </c>
      <c r="F498" s="81"/>
      <c r="G498" s="81" t="s">
        <v>260</v>
      </c>
      <c r="H498" s="81" t="s">
        <v>261</v>
      </c>
      <c r="I498" s="105">
        <v>2990</v>
      </c>
      <c r="J498" s="81" t="s">
        <v>1116</v>
      </c>
      <c r="K498" s="84">
        <v>45901</v>
      </c>
      <c r="L498" s="81">
        <v>2025403292</v>
      </c>
      <c r="M498" s="81" t="s">
        <v>226</v>
      </c>
      <c r="N498" s="81">
        <v>2025</v>
      </c>
    </row>
    <row r="499" spans="1:14">
      <c r="A499" s="81">
        <v>498</v>
      </c>
      <c r="B499" s="81" t="s">
        <v>43</v>
      </c>
      <c r="C499" s="81" t="s">
        <v>51</v>
      </c>
      <c r="D499" s="81" t="s">
        <v>61</v>
      </c>
      <c r="E499" s="112" t="s">
        <v>71</v>
      </c>
      <c r="F499" s="81"/>
      <c r="G499" s="81" t="s">
        <v>132</v>
      </c>
      <c r="H499" s="112" t="s">
        <v>71</v>
      </c>
      <c r="I499" s="105">
        <v>2678.61</v>
      </c>
      <c r="J499" s="81" t="s">
        <v>702</v>
      </c>
      <c r="K499" s="84">
        <v>45867</v>
      </c>
      <c r="L499" s="81">
        <v>2025402315</v>
      </c>
      <c r="M499" s="112" t="s">
        <v>225</v>
      </c>
      <c r="N499" s="81">
        <v>2025</v>
      </c>
    </row>
    <row r="500" spans="1:14">
      <c r="A500" s="81">
        <v>499</v>
      </c>
      <c r="B500" s="81" t="s">
        <v>43</v>
      </c>
      <c r="C500" s="81" t="s">
        <v>51</v>
      </c>
      <c r="D500" s="81" t="s">
        <v>61</v>
      </c>
      <c r="E500" s="81" t="s">
        <v>71</v>
      </c>
      <c r="F500" s="81"/>
      <c r="G500" s="81" t="s">
        <v>246</v>
      </c>
      <c r="H500" s="81" t="s">
        <v>71</v>
      </c>
      <c r="I500" s="83">
        <v>2657.7464788732395</v>
      </c>
      <c r="J500" s="81" t="s">
        <v>1009</v>
      </c>
      <c r="K500" s="84">
        <v>45888</v>
      </c>
      <c r="L500" s="81">
        <v>2025402784</v>
      </c>
      <c r="M500" s="81" t="s">
        <v>226</v>
      </c>
      <c r="N500" s="81">
        <v>2025</v>
      </c>
    </row>
    <row r="501" spans="1:14">
      <c r="A501" s="81">
        <v>500</v>
      </c>
      <c r="B501" s="81" t="s">
        <v>43</v>
      </c>
      <c r="C501" s="81" t="s">
        <v>51</v>
      </c>
      <c r="D501" s="81" t="s">
        <v>61</v>
      </c>
      <c r="E501" s="81" t="s">
        <v>71</v>
      </c>
      <c r="F501" s="81"/>
      <c r="G501" s="81" t="s">
        <v>260</v>
      </c>
      <c r="H501" s="81" t="s">
        <v>261</v>
      </c>
      <c r="I501" s="105">
        <v>2610</v>
      </c>
      <c r="J501" s="81" t="s">
        <v>1116</v>
      </c>
      <c r="K501" s="84">
        <v>45901</v>
      </c>
      <c r="L501" s="81">
        <v>2025403292</v>
      </c>
      <c r="M501" s="81" t="s">
        <v>226</v>
      </c>
      <c r="N501" s="81">
        <v>2025</v>
      </c>
    </row>
    <row r="502" spans="1:14">
      <c r="A502" s="81">
        <v>501</v>
      </c>
      <c r="B502" s="81" t="s">
        <v>43</v>
      </c>
      <c r="C502" s="81" t="s">
        <v>51</v>
      </c>
      <c r="D502" s="81" t="s">
        <v>61</v>
      </c>
      <c r="E502" s="112" t="s">
        <v>71</v>
      </c>
      <c r="F502" s="81"/>
      <c r="G502" s="81" t="s">
        <v>134</v>
      </c>
      <c r="H502" s="81" t="s">
        <v>71</v>
      </c>
      <c r="I502" s="105">
        <v>2397.6999999999998</v>
      </c>
      <c r="J502" s="81" t="s">
        <v>576</v>
      </c>
      <c r="K502" s="84">
        <v>45848</v>
      </c>
      <c r="L502" s="81">
        <v>2025402163</v>
      </c>
      <c r="M502" s="112" t="s">
        <v>225</v>
      </c>
      <c r="N502" s="81">
        <v>2025</v>
      </c>
    </row>
    <row r="503" spans="1:14">
      <c r="A503" s="81">
        <v>502</v>
      </c>
      <c r="B503" s="81" t="s">
        <v>43</v>
      </c>
      <c r="C503" s="81" t="s">
        <v>51</v>
      </c>
      <c r="D503" s="81" t="s">
        <v>61</v>
      </c>
      <c r="E503" s="112" t="s">
        <v>71</v>
      </c>
      <c r="F503" s="81"/>
      <c r="G503" s="81" t="s">
        <v>134</v>
      </c>
      <c r="H503" s="81" t="s">
        <v>71</v>
      </c>
      <c r="I503" s="105">
        <v>2318</v>
      </c>
      <c r="J503" s="81" t="s">
        <v>623</v>
      </c>
      <c r="K503" s="84">
        <v>45855</v>
      </c>
      <c r="L503" s="81">
        <v>2025402243</v>
      </c>
      <c r="M503" s="112" t="s">
        <v>225</v>
      </c>
      <c r="N503" s="81">
        <v>2025</v>
      </c>
    </row>
    <row r="504" spans="1:14">
      <c r="A504" s="81">
        <v>503</v>
      </c>
      <c r="B504" s="81" t="s">
        <v>43</v>
      </c>
      <c r="C504" s="81" t="s">
        <v>51</v>
      </c>
      <c r="D504" s="81" t="s">
        <v>61</v>
      </c>
      <c r="E504" s="81" t="s">
        <v>71</v>
      </c>
      <c r="F504" s="81"/>
      <c r="G504" s="81" t="s">
        <v>134</v>
      </c>
      <c r="H504" s="81" t="s">
        <v>71</v>
      </c>
      <c r="I504" s="105">
        <v>2131.5</v>
      </c>
      <c r="J504" s="81" t="s">
        <v>955</v>
      </c>
      <c r="K504" s="84">
        <v>45897</v>
      </c>
      <c r="L504" s="81">
        <v>2025402818</v>
      </c>
      <c r="M504" s="81" t="s">
        <v>226</v>
      </c>
      <c r="N504" s="81">
        <v>2025</v>
      </c>
    </row>
    <row r="505" spans="1:14">
      <c r="A505" s="81">
        <v>504</v>
      </c>
      <c r="B505" s="81" t="s">
        <v>43</v>
      </c>
      <c r="C505" s="81" t="s">
        <v>51</v>
      </c>
      <c r="D505" s="81" t="s">
        <v>61</v>
      </c>
      <c r="E505" s="81" t="s">
        <v>71</v>
      </c>
      <c r="F505" s="81"/>
      <c r="G505" s="81" t="s">
        <v>249</v>
      </c>
      <c r="H505" s="81" t="s">
        <v>71</v>
      </c>
      <c r="I505" s="83">
        <v>2056.3380281690143</v>
      </c>
      <c r="J505" s="81" t="s">
        <v>1008</v>
      </c>
      <c r="K505" s="84">
        <v>45889</v>
      </c>
      <c r="L505" s="81">
        <v>2025402823</v>
      </c>
      <c r="M505" s="81" t="s">
        <v>226</v>
      </c>
      <c r="N505" s="81">
        <v>2025</v>
      </c>
    </row>
    <row r="506" spans="1:14">
      <c r="A506" s="81">
        <v>505</v>
      </c>
      <c r="B506" s="81" t="s">
        <v>43</v>
      </c>
      <c r="C506" s="81" t="s">
        <v>51</v>
      </c>
      <c r="D506" s="81" t="s">
        <v>61</v>
      </c>
      <c r="E506" s="112" t="s">
        <v>71</v>
      </c>
      <c r="F506" s="81"/>
      <c r="G506" s="81" t="s">
        <v>131</v>
      </c>
      <c r="H506" s="112" t="s">
        <v>71</v>
      </c>
      <c r="I506" s="105">
        <v>1982.66</v>
      </c>
      <c r="J506" s="81" t="s">
        <v>827</v>
      </c>
      <c r="K506" s="84">
        <v>45861</v>
      </c>
      <c r="L506" s="81">
        <v>2025402350</v>
      </c>
      <c r="M506" s="112" t="s">
        <v>225</v>
      </c>
      <c r="N506" s="81">
        <v>2025</v>
      </c>
    </row>
    <row r="507" spans="1:14">
      <c r="A507" s="81">
        <v>506</v>
      </c>
      <c r="B507" s="81" t="s">
        <v>43</v>
      </c>
      <c r="C507" s="81" t="s">
        <v>51</v>
      </c>
      <c r="D507" s="81" t="s">
        <v>61</v>
      </c>
      <c r="E507" s="81" t="s">
        <v>71</v>
      </c>
      <c r="F507" s="81"/>
      <c r="G507" s="81" t="s">
        <v>131</v>
      </c>
      <c r="H507" s="112" t="s">
        <v>71</v>
      </c>
      <c r="I507" s="105">
        <v>1869.7</v>
      </c>
      <c r="J507" s="81" t="s">
        <v>660</v>
      </c>
      <c r="K507" s="84">
        <v>45846</v>
      </c>
      <c r="L507" s="81">
        <v>2025402099</v>
      </c>
      <c r="M507" s="112" t="s">
        <v>225</v>
      </c>
      <c r="N507" s="81">
        <v>2025</v>
      </c>
    </row>
    <row r="508" spans="1:14">
      <c r="A508" s="81">
        <v>507</v>
      </c>
      <c r="B508" s="81" t="s">
        <v>43</v>
      </c>
      <c r="C508" s="81" t="s">
        <v>51</v>
      </c>
      <c r="D508" s="81" t="s">
        <v>61</v>
      </c>
      <c r="E508" s="81" t="s">
        <v>71</v>
      </c>
      <c r="F508" s="81"/>
      <c r="G508" s="81" t="s">
        <v>134</v>
      </c>
      <c r="H508" s="81" t="s">
        <v>71</v>
      </c>
      <c r="I508" s="105">
        <v>1840</v>
      </c>
      <c r="J508" s="81" t="s">
        <v>952</v>
      </c>
      <c r="K508" s="84">
        <v>45880</v>
      </c>
      <c r="L508" s="81">
        <v>2025402597</v>
      </c>
      <c r="M508" s="81" t="s">
        <v>226</v>
      </c>
      <c r="N508" s="81">
        <v>2025</v>
      </c>
    </row>
    <row r="509" spans="1:14">
      <c r="A509" s="81">
        <v>508</v>
      </c>
      <c r="B509" s="81" t="s">
        <v>43</v>
      </c>
      <c r="C509" s="81" t="s">
        <v>51</v>
      </c>
      <c r="D509" s="81" t="s">
        <v>61</v>
      </c>
      <c r="E509" s="81" t="s">
        <v>71</v>
      </c>
      <c r="F509" s="81"/>
      <c r="G509" s="81" t="s">
        <v>260</v>
      </c>
      <c r="H509" s="81" t="s">
        <v>261</v>
      </c>
      <c r="I509" s="105">
        <v>1710</v>
      </c>
      <c r="J509" s="81" t="s">
        <v>1104</v>
      </c>
      <c r="K509" s="84">
        <v>45870</v>
      </c>
      <c r="L509" s="81">
        <v>2025403223</v>
      </c>
      <c r="M509" s="81" t="s">
        <v>225</v>
      </c>
      <c r="N509" s="81">
        <v>2025</v>
      </c>
    </row>
    <row r="510" spans="1:14">
      <c r="A510" s="81">
        <v>509</v>
      </c>
      <c r="B510" s="107" t="s">
        <v>43</v>
      </c>
      <c r="C510" s="107" t="s">
        <v>51</v>
      </c>
      <c r="D510" s="81" t="s">
        <v>61</v>
      </c>
      <c r="E510" s="81" t="s">
        <v>71</v>
      </c>
      <c r="F510" s="81"/>
      <c r="G510" s="81" t="s">
        <v>132</v>
      </c>
      <c r="H510" s="112" t="s">
        <v>71</v>
      </c>
      <c r="I510" s="105">
        <v>1707.29</v>
      </c>
      <c r="J510" s="107" t="s">
        <v>860</v>
      </c>
      <c r="K510" s="113">
        <v>45887</v>
      </c>
      <c r="L510" s="81">
        <v>2025402620</v>
      </c>
      <c r="M510" s="81" t="s">
        <v>226</v>
      </c>
      <c r="N510" s="81">
        <v>2025</v>
      </c>
    </row>
    <row r="511" spans="1:14">
      <c r="A511" s="81">
        <v>510</v>
      </c>
      <c r="B511" s="81" t="s">
        <v>43</v>
      </c>
      <c r="C511" s="81" t="s">
        <v>51</v>
      </c>
      <c r="D511" s="81" t="s">
        <v>61</v>
      </c>
      <c r="E511" s="81" t="s">
        <v>71</v>
      </c>
      <c r="F511" s="81"/>
      <c r="G511" s="81" t="s">
        <v>134</v>
      </c>
      <c r="H511" s="81" t="s">
        <v>71</v>
      </c>
      <c r="I511" s="105">
        <v>1604.6</v>
      </c>
      <c r="J511" s="81" t="s">
        <v>568</v>
      </c>
      <c r="K511" s="84">
        <v>45848</v>
      </c>
      <c r="L511" s="81">
        <v>2025402117</v>
      </c>
      <c r="M511" s="112" t="s">
        <v>225</v>
      </c>
      <c r="N511" s="81">
        <v>2025</v>
      </c>
    </row>
    <row r="512" spans="1:14">
      <c r="A512" s="81">
        <v>511</v>
      </c>
      <c r="B512" s="81" t="s">
        <v>43</v>
      </c>
      <c r="C512" s="81" t="s">
        <v>51</v>
      </c>
      <c r="D512" s="81" t="s">
        <v>61</v>
      </c>
      <c r="E512" s="81" t="s">
        <v>71</v>
      </c>
      <c r="F512" s="81"/>
      <c r="G512" s="81" t="s">
        <v>64</v>
      </c>
      <c r="H512" s="81" t="s">
        <v>290</v>
      </c>
      <c r="I512" s="83">
        <v>1500.7042253521126</v>
      </c>
      <c r="J512" s="81" t="s">
        <v>68</v>
      </c>
      <c r="K512" s="84">
        <v>45890</v>
      </c>
      <c r="L512" s="109" t="s">
        <v>14</v>
      </c>
      <c r="M512" s="81" t="s">
        <v>226</v>
      </c>
      <c r="N512" s="81">
        <v>2025</v>
      </c>
    </row>
    <row r="513" spans="1:14">
      <c r="A513" s="81">
        <v>512</v>
      </c>
      <c r="B513" s="112" t="s">
        <v>43</v>
      </c>
      <c r="C513" s="112" t="s">
        <v>51</v>
      </c>
      <c r="D513" s="81" t="s">
        <v>61</v>
      </c>
      <c r="E513" s="112" t="s">
        <v>71</v>
      </c>
      <c r="F513" s="81"/>
      <c r="G513" s="112" t="s">
        <v>134</v>
      </c>
      <c r="H513" s="81" t="s">
        <v>71</v>
      </c>
      <c r="I513" s="105">
        <v>1450</v>
      </c>
      <c r="J513" s="81" t="s">
        <v>595</v>
      </c>
      <c r="K513" s="84">
        <v>45855</v>
      </c>
      <c r="L513" s="81">
        <v>2025402160</v>
      </c>
      <c r="M513" s="112" t="s">
        <v>225</v>
      </c>
      <c r="N513" s="81">
        <v>2025</v>
      </c>
    </row>
    <row r="514" spans="1:14">
      <c r="A514" s="81">
        <v>513</v>
      </c>
      <c r="B514" s="81" t="s">
        <v>43</v>
      </c>
      <c r="C514" s="81" t="s">
        <v>51</v>
      </c>
      <c r="D514" s="81" t="s">
        <v>61</v>
      </c>
      <c r="E514" s="81" t="s">
        <v>71</v>
      </c>
      <c r="F514" s="81"/>
      <c r="G514" s="81" t="s">
        <v>64</v>
      </c>
      <c r="H514" s="81" t="s">
        <v>1297</v>
      </c>
      <c r="I514" s="83">
        <v>1450</v>
      </c>
      <c r="J514" s="81" t="s">
        <v>68</v>
      </c>
      <c r="K514" s="84">
        <v>45889</v>
      </c>
      <c r="L514" s="109" t="s">
        <v>14</v>
      </c>
      <c r="M514" s="81" t="s">
        <v>226</v>
      </c>
      <c r="N514" s="81">
        <v>2025</v>
      </c>
    </row>
    <row r="515" spans="1:14">
      <c r="A515" s="81">
        <v>514</v>
      </c>
      <c r="B515" s="81" t="s">
        <v>43</v>
      </c>
      <c r="C515" s="81" t="s">
        <v>51</v>
      </c>
      <c r="D515" s="81" t="s">
        <v>61</v>
      </c>
      <c r="E515" s="81" t="s">
        <v>71</v>
      </c>
      <c r="F515" s="81"/>
      <c r="G515" s="81" t="s">
        <v>64</v>
      </c>
      <c r="H515" s="81" t="s">
        <v>1289</v>
      </c>
      <c r="I515" s="83">
        <v>1408.8028169014085</v>
      </c>
      <c r="J515" s="81" t="s">
        <v>68</v>
      </c>
      <c r="K515" s="84">
        <v>45837</v>
      </c>
      <c r="L515" s="109" t="s">
        <v>14</v>
      </c>
      <c r="M515" s="81" t="s">
        <v>225</v>
      </c>
      <c r="N515" s="81">
        <v>2025</v>
      </c>
    </row>
    <row r="516" spans="1:14">
      <c r="A516" s="81">
        <v>515</v>
      </c>
      <c r="B516" s="81" t="s">
        <v>43</v>
      </c>
      <c r="C516" s="81" t="s">
        <v>51</v>
      </c>
      <c r="D516" s="81" t="s">
        <v>61</v>
      </c>
      <c r="E516" s="81" t="s">
        <v>71</v>
      </c>
      <c r="F516" s="81"/>
      <c r="G516" s="81" t="s">
        <v>134</v>
      </c>
      <c r="H516" s="81" t="s">
        <v>71</v>
      </c>
      <c r="I516" s="105">
        <v>1406</v>
      </c>
      <c r="J516" s="81" t="s">
        <v>559</v>
      </c>
      <c r="K516" s="84">
        <v>45846</v>
      </c>
      <c r="L516" s="81">
        <v>2025402048</v>
      </c>
      <c r="M516" s="112" t="s">
        <v>225</v>
      </c>
      <c r="N516" s="81">
        <v>2025</v>
      </c>
    </row>
    <row r="517" spans="1:14">
      <c r="A517" s="81">
        <v>516</v>
      </c>
      <c r="B517" s="81" t="s">
        <v>43</v>
      </c>
      <c r="C517" s="81" t="s">
        <v>51</v>
      </c>
      <c r="D517" s="81" t="s">
        <v>61</v>
      </c>
      <c r="E517" s="81" t="s">
        <v>71</v>
      </c>
      <c r="F517" s="81"/>
      <c r="G517" s="81" t="s">
        <v>64</v>
      </c>
      <c r="H517" s="81" t="s">
        <v>1298</v>
      </c>
      <c r="I517" s="83">
        <v>1390.1408450704225</v>
      </c>
      <c r="J517" s="81" t="s">
        <v>68</v>
      </c>
      <c r="K517" s="84">
        <v>45696</v>
      </c>
      <c r="L517" s="109" t="s">
        <v>14</v>
      </c>
      <c r="M517" s="81" t="s">
        <v>226</v>
      </c>
      <c r="N517" s="81">
        <v>2025</v>
      </c>
    </row>
    <row r="518" spans="1:14">
      <c r="A518" s="81">
        <v>517</v>
      </c>
      <c r="B518" s="81" t="s">
        <v>43</v>
      </c>
      <c r="C518" s="81" t="s">
        <v>51</v>
      </c>
      <c r="D518" s="81" t="s">
        <v>61</v>
      </c>
      <c r="E518" s="81" t="s">
        <v>71</v>
      </c>
      <c r="F518" s="81"/>
      <c r="G518" s="81" t="s">
        <v>64</v>
      </c>
      <c r="H518" s="81" t="s">
        <v>1289</v>
      </c>
      <c r="I518" s="83">
        <v>1379.5774647887324</v>
      </c>
      <c r="J518" s="81" t="s">
        <v>68</v>
      </c>
      <c r="K518" s="84">
        <v>45998</v>
      </c>
      <c r="L518" s="109" t="s">
        <v>14</v>
      </c>
      <c r="M518" s="81" t="s">
        <v>225</v>
      </c>
      <c r="N518" s="81">
        <v>2025</v>
      </c>
    </row>
    <row r="519" spans="1:14">
      <c r="A519" s="81">
        <v>518</v>
      </c>
      <c r="B519" s="81" t="s">
        <v>43</v>
      </c>
      <c r="C519" s="81" t="s">
        <v>51</v>
      </c>
      <c r="D519" s="81" t="s">
        <v>61</v>
      </c>
      <c r="E519" s="81" t="s">
        <v>71</v>
      </c>
      <c r="F519" s="81"/>
      <c r="G519" s="81" t="s">
        <v>64</v>
      </c>
      <c r="H519" s="81" t="s">
        <v>1288</v>
      </c>
      <c r="I519" s="83">
        <v>1345.7746478873239</v>
      </c>
      <c r="J519" s="81" t="s">
        <v>68</v>
      </c>
      <c r="K519" s="84">
        <v>45860</v>
      </c>
      <c r="L519" s="109" t="s">
        <v>14</v>
      </c>
      <c r="M519" s="81" t="s">
        <v>225</v>
      </c>
      <c r="N519" s="81">
        <v>2025</v>
      </c>
    </row>
    <row r="520" spans="1:14">
      <c r="A520" s="81">
        <v>519</v>
      </c>
      <c r="B520" s="81" t="s">
        <v>43</v>
      </c>
      <c r="C520" s="81" t="s">
        <v>51</v>
      </c>
      <c r="D520" s="81" t="s">
        <v>61</v>
      </c>
      <c r="E520" s="81" t="s">
        <v>71</v>
      </c>
      <c r="F520" s="81"/>
      <c r="G520" s="81" t="s">
        <v>134</v>
      </c>
      <c r="H520" s="81" t="s">
        <v>71</v>
      </c>
      <c r="I520" s="105">
        <v>1315</v>
      </c>
      <c r="J520" s="81" t="s">
        <v>957</v>
      </c>
      <c r="K520" s="84">
        <v>45897</v>
      </c>
      <c r="L520" s="81">
        <v>2025402799</v>
      </c>
      <c r="M520" s="81" t="s">
        <v>226</v>
      </c>
      <c r="N520" s="81">
        <v>2025</v>
      </c>
    </row>
    <row r="521" spans="1:14">
      <c r="A521" s="81">
        <v>520</v>
      </c>
      <c r="B521" s="81" t="s">
        <v>43</v>
      </c>
      <c r="C521" s="81" t="s">
        <v>51</v>
      </c>
      <c r="D521" s="81" t="s">
        <v>61</v>
      </c>
      <c r="E521" s="81" t="s">
        <v>71</v>
      </c>
      <c r="F521" s="81"/>
      <c r="G521" s="81" t="s">
        <v>134</v>
      </c>
      <c r="H521" s="81" t="s">
        <v>71</v>
      </c>
      <c r="I521" s="105">
        <v>1315</v>
      </c>
      <c r="J521" s="81" t="s">
        <v>1162</v>
      </c>
      <c r="K521" s="84">
        <v>45965</v>
      </c>
      <c r="L521" s="81">
        <v>2025403960</v>
      </c>
      <c r="M521" s="81" t="s">
        <v>226</v>
      </c>
      <c r="N521" s="81">
        <v>2025</v>
      </c>
    </row>
    <row r="522" spans="1:14">
      <c r="A522" s="81">
        <v>521</v>
      </c>
      <c r="B522" s="81" t="s">
        <v>43</v>
      </c>
      <c r="C522" s="81" t="s">
        <v>51</v>
      </c>
      <c r="D522" s="81" t="s">
        <v>61</v>
      </c>
      <c r="E522" s="81" t="s">
        <v>71</v>
      </c>
      <c r="F522" s="81"/>
      <c r="G522" s="81" t="s">
        <v>260</v>
      </c>
      <c r="H522" s="81" t="s">
        <v>261</v>
      </c>
      <c r="I522" s="105">
        <v>1170</v>
      </c>
      <c r="J522" s="81" t="s">
        <v>1116</v>
      </c>
      <c r="K522" s="84">
        <v>45901</v>
      </c>
      <c r="L522" s="81">
        <v>2025403292</v>
      </c>
      <c r="M522" s="81" t="s">
        <v>226</v>
      </c>
      <c r="N522" s="81">
        <v>2025</v>
      </c>
    </row>
    <row r="523" spans="1:14">
      <c r="A523" s="81">
        <v>522</v>
      </c>
      <c r="B523" s="81" t="s">
        <v>43</v>
      </c>
      <c r="C523" s="81" t="s">
        <v>51</v>
      </c>
      <c r="D523" s="81" t="s">
        <v>61</v>
      </c>
      <c r="E523" s="81" t="s">
        <v>71</v>
      </c>
      <c r="F523" s="81"/>
      <c r="G523" s="81" t="s">
        <v>131</v>
      </c>
      <c r="H523" s="112" t="s">
        <v>71</v>
      </c>
      <c r="I523" s="105">
        <v>1034.3599999999999</v>
      </c>
      <c r="J523" s="81" t="s">
        <v>1014</v>
      </c>
      <c r="K523" s="84">
        <v>45900</v>
      </c>
      <c r="L523" s="81">
        <v>2025402910</v>
      </c>
      <c r="M523" s="81" t="s">
        <v>226</v>
      </c>
      <c r="N523" s="81">
        <v>2025</v>
      </c>
    </row>
    <row r="524" spans="1:14">
      <c r="A524" s="81">
        <v>523</v>
      </c>
      <c r="B524" s="81" t="s">
        <v>43</v>
      </c>
      <c r="C524" s="81" t="s">
        <v>51</v>
      </c>
      <c r="D524" s="81" t="s">
        <v>61</v>
      </c>
      <c r="E524" s="81" t="s">
        <v>71</v>
      </c>
      <c r="F524" s="81"/>
      <c r="G524" s="81" t="s">
        <v>132</v>
      </c>
      <c r="H524" s="112" t="s">
        <v>71</v>
      </c>
      <c r="I524" s="105">
        <v>1023.2</v>
      </c>
      <c r="J524" s="81" t="s">
        <v>995</v>
      </c>
      <c r="K524" s="84">
        <v>45892</v>
      </c>
      <c r="L524" s="81">
        <v>2025402705</v>
      </c>
      <c r="M524" s="81" t="s">
        <v>226</v>
      </c>
      <c r="N524" s="81">
        <v>2025</v>
      </c>
    </row>
    <row r="525" spans="1:14">
      <c r="A525" s="81">
        <v>524</v>
      </c>
      <c r="B525" s="81" t="s">
        <v>43</v>
      </c>
      <c r="C525" s="81" t="s">
        <v>51</v>
      </c>
      <c r="D525" s="81" t="s">
        <v>61</v>
      </c>
      <c r="E525" s="112" t="s">
        <v>71</v>
      </c>
      <c r="F525" s="81"/>
      <c r="G525" s="81" t="s">
        <v>134</v>
      </c>
      <c r="H525" s="81" t="s">
        <v>71</v>
      </c>
      <c r="I525" s="105">
        <v>1003.6</v>
      </c>
      <c r="J525" s="81" t="s">
        <v>823</v>
      </c>
      <c r="K525" s="84">
        <v>45848</v>
      </c>
      <c r="L525" s="81">
        <v>2025402168</v>
      </c>
      <c r="M525" s="112" t="s">
        <v>225</v>
      </c>
      <c r="N525" s="81">
        <v>2025</v>
      </c>
    </row>
    <row r="526" spans="1:14">
      <c r="A526" s="81">
        <v>525</v>
      </c>
      <c r="B526" s="81" t="s">
        <v>43</v>
      </c>
      <c r="C526" s="81" t="s">
        <v>51</v>
      </c>
      <c r="D526" s="81" t="s">
        <v>61</v>
      </c>
      <c r="E526" s="81" t="s">
        <v>71</v>
      </c>
      <c r="F526" s="81"/>
      <c r="G526" s="81" t="s">
        <v>131</v>
      </c>
      <c r="H526" s="112" t="s">
        <v>71</v>
      </c>
      <c r="I526" s="105">
        <v>950</v>
      </c>
      <c r="J526" s="81" t="s">
        <v>503</v>
      </c>
      <c r="K526" s="84">
        <v>45840</v>
      </c>
      <c r="L526" s="81">
        <v>2025401807</v>
      </c>
      <c r="M526" s="112" t="s">
        <v>225</v>
      </c>
      <c r="N526" s="81">
        <v>2025</v>
      </c>
    </row>
    <row r="527" spans="1:14">
      <c r="A527" s="81">
        <v>526</v>
      </c>
      <c r="B527" s="81" t="s">
        <v>43</v>
      </c>
      <c r="C527" s="81" t="s">
        <v>51</v>
      </c>
      <c r="D527" s="81" t="s">
        <v>61</v>
      </c>
      <c r="E527" s="112" t="s">
        <v>71</v>
      </c>
      <c r="F527" s="81"/>
      <c r="G527" s="81" t="s">
        <v>134</v>
      </c>
      <c r="H527" s="81" t="s">
        <v>71</v>
      </c>
      <c r="I527" s="105">
        <v>910</v>
      </c>
      <c r="J527" s="81" t="s">
        <v>592</v>
      </c>
      <c r="K527" s="84">
        <v>45855</v>
      </c>
      <c r="L527" s="81">
        <v>2025402155</v>
      </c>
      <c r="M527" s="112" t="s">
        <v>225</v>
      </c>
      <c r="N527" s="81">
        <v>2025</v>
      </c>
    </row>
    <row r="528" spans="1:14">
      <c r="A528" s="81">
        <v>527</v>
      </c>
      <c r="B528" s="81" t="s">
        <v>43</v>
      </c>
      <c r="C528" s="81" t="s">
        <v>51</v>
      </c>
      <c r="D528" s="81" t="s">
        <v>61</v>
      </c>
      <c r="E528" s="81" t="s">
        <v>71</v>
      </c>
      <c r="F528" s="81"/>
      <c r="G528" s="81" t="s">
        <v>247</v>
      </c>
      <c r="H528" s="112" t="s">
        <v>71</v>
      </c>
      <c r="I528" s="83">
        <v>880.28169014084506</v>
      </c>
      <c r="J528" s="81" t="s">
        <v>1093</v>
      </c>
      <c r="K528" s="84">
        <v>45895</v>
      </c>
      <c r="L528" s="81">
        <v>2025402908</v>
      </c>
      <c r="M528" s="81" t="s">
        <v>226</v>
      </c>
      <c r="N528" s="81">
        <v>2025</v>
      </c>
    </row>
    <row r="529" spans="1:14">
      <c r="A529" s="81">
        <v>528</v>
      </c>
      <c r="B529" s="81" t="s">
        <v>43</v>
      </c>
      <c r="C529" s="81" t="s">
        <v>51</v>
      </c>
      <c r="D529" s="81" t="s">
        <v>61</v>
      </c>
      <c r="E529" s="81" t="s">
        <v>71</v>
      </c>
      <c r="F529" s="81"/>
      <c r="G529" s="81" t="s">
        <v>64</v>
      </c>
      <c r="H529" s="81" t="s">
        <v>1299</v>
      </c>
      <c r="I529" s="83">
        <v>845.07042253521126</v>
      </c>
      <c r="J529" s="81" t="s">
        <v>68</v>
      </c>
      <c r="K529" s="84">
        <v>45724</v>
      </c>
      <c r="L529" s="109" t="s">
        <v>14</v>
      </c>
      <c r="M529" s="81" t="s">
        <v>226</v>
      </c>
      <c r="N529" s="81">
        <v>2025</v>
      </c>
    </row>
    <row r="530" spans="1:14">
      <c r="A530" s="81">
        <v>529</v>
      </c>
      <c r="B530" s="81" t="s">
        <v>43</v>
      </c>
      <c r="C530" s="81" t="s">
        <v>51</v>
      </c>
      <c r="D530" s="81" t="s">
        <v>61</v>
      </c>
      <c r="E530" s="112" t="s">
        <v>71</v>
      </c>
      <c r="F530" s="81"/>
      <c r="G530" s="81" t="s">
        <v>131</v>
      </c>
      <c r="H530" s="112" t="s">
        <v>71</v>
      </c>
      <c r="I530" s="105">
        <v>838.91</v>
      </c>
      <c r="J530" s="81" t="s">
        <v>632</v>
      </c>
      <c r="K530" s="84">
        <v>45840</v>
      </c>
      <c r="L530" s="81">
        <v>2025402057</v>
      </c>
      <c r="M530" s="112" t="s">
        <v>225</v>
      </c>
      <c r="N530" s="81">
        <v>2025</v>
      </c>
    </row>
    <row r="531" spans="1:14">
      <c r="A531" s="81">
        <v>530</v>
      </c>
      <c r="B531" s="81" t="s">
        <v>43</v>
      </c>
      <c r="C531" s="81" t="s">
        <v>51</v>
      </c>
      <c r="D531" s="81" t="s">
        <v>61</v>
      </c>
      <c r="E531" s="81" t="s">
        <v>71</v>
      </c>
      <c r="F531" s="81"/>
      <c r="G531" s="81" t="s">
        <v>134</v>
      </c>
      <c r="H531" s="81" t="s">
        <v>71</v>
      </c>
      <c r="I531" s="105">
        <v>750</v>
      </c>
      <c r="J531" s="81" t="s">
        <v>956</v>
      </c>
      <c r="K531" s="84">
        <v>45897</v>
      </c>
      <c r="L531" s="81">
        <v>2025402820</v>
      </c>
      <c r="M531" s="81" t="s">
        <v>226</v>
      </c>
      <c r="N531" s="81">
        <v>2025</v>
      </c>
    </row>
    <row r="532" spans="1:14">
      <c r="A532" s="81">
        <v>531</v>
      </c>
      <c r="B532" s="81" t="s">
        <v>43</v>
      </c>
      <c r="C532" s="81" t="s">
        <v>51</v>
      </c>
      <c r="D532" s="81" t="s">
        <v>61</v>
      </c>
      <c r="E532" s="81" t="s">
        <v>71</v>
      </c>
      <c r="F532" s="81"/>
      <c r="G532" s="81" t="s">
        <v>131</v>
      </c>
      <c r="H532" s="112" t="s">
        <v>71</v>
      </c>
      <c r="I532" s="105">
        <v>730.14</v>
      </c>
      <c r="J532" s="81" t="s">
        <v>1029</v>
      </c>
      <c r="K532" s="84">
        <v>45897</v>
      </c>
      <c r="L532" s="81">
        <v>2025402842</v>
      </c>
      <c r="M532" s="81" t="s">
        <v>226</v>
      </c>
      <c r="N532" s="81">
        <v>2025</v>
      </c>
    </row>
    <row r="533" spans="1:14">
      <c r="A533" s="81">
        <v>532</v>
      </c>
      <c r="B533" s="112" t="s">
        <v>43</v>
      </c>
      <c r="C533" s="112" t="s">
        <v>51</v>
      </c>
      <c r="D533" s="81" t="s">
        <v>61</v>
      </c>
      <c r="E533" s="81" t="s">
        <v>71</v>
      </c>
      <c r="F533" s="81"/>
      <c r="G533" s="81" t="s">
        <v>134</v>
      </c>
      <c r="H533" s="81" t="s">
        <v>71</v>
      </c>
      <c r="I533" s="105">
        <v>683.5</v>
      </c>
      <c r="J533" s="81" t="s">
        <v>762</v>
      </c>
      <c r="K533" s="84">
        <v>45872</v>
      </c>
      <c r="L533" s="81">
        <v>2025402321</v>
      </c>
      <c r="M533" s="112" t="s">
        <v>226</v>
      </c>
      <c r="N533" s="81">
        <v>2025</v>
      </c>
    </row>
    <row r="534" spans="1:14">
      <c r="A534" s="81">
        <v>533</v>
      </c>
      <c r="B534" s="81" t="s">
        <v>43</v>
      </c>
      <c r="C534" s="81" t="s">
        <v>51</v>
      </c>
      <c r="D534" s="81" t="s">
        <v>61</v>
      </c>
      <c r="E534" s="112" t="s">
        <v>71</v>
      </c>
      <c r="F534" s="81"/>
      <c r="G534" s="81" t="s">
        <v>134</v>
      </c>
      <c r="H534" s="81" t="s">
        <v>71</v>
      </c>
      <c r="I534" s="105">
        <v>668</v>
      </c>
      <c r="J534" s="81" t="s">
        <v>625</v>
      </c>
      <c r="K534" s="84">
        <v>45855</v>
      </c>
      <c r="L534" s="81">
        <v>2025402193</v>
      </c>
      <c r="M534" s="112" t="s">
        <v>225</v>
      </c>
      <c r="N534" s="81">
        <v>2025</v>
      </c>
    </row>
    <row r="535" spans="1:14">
      <c r="A535" s="81">
        <v>534</v>
      </c>
      <c r="B535" s="81" t="s">
        <v>43</v>
      </c>
      <c r="C535" s="81" t="s">
        <v>51</v>
      </c>
      <c r="D535" s="81" t="s">
        <v>61</v>
      </c>
      <c r="E535" s="81" t="s">
        <v>71</v>
      </c>
      <c r="F535" s="81"/>
      <c r="G535" s="81" t="s">
        <v>132</v>
      </c>
      <c r="H535" s="112" t="s">
        <v>71</v>
      </c>
      <c r="I535" s="105">
        <v>589.25</v>
      </c>
      <c r="J535" s="107" t="s">
        <v>886</v>
      </c>
      <c r="K535" s="113">
        <v>45889</v>
      </c>
      <c r="L535" s="81">
        <v>2025402706</v>
      </c>
      <c r="M535" s="81" t="s">
        <v>226</v>
      </c>
      <c r="N535" s="81">
        <v>2025</v>
      </c>
    </row>
    <row r="536" spans="1:14">
      <c r="A536" s="81">
        <v>535</v>
      </c>
      <c r="B536" s="81" t="s">
        <v>43</v>
      </c>
      <c r="C536" s="81" t="s">
        <v>51</v>
      </c>
      <c r="D536" s="81" t="s">
        <v>61</v>
      </c>
      <c r="E536" s="112" t="s">
        <v>71</v>
      </c>
      <c r="F536" s="81"/>
      <c r="G536" s="81" t="s">
        <v>134</v>
      </c>
      <c r="H536" s="81" t="s">
        <v>71</v>
      </c>
      <c r="I536" s="105">
        <v>584.29999999999995</v>
      </c>
      <c r="J536" s="81" t="s">
        <v>813</v>
      </c>
      <c r="K536" s="84">
        <v>45875</v>
      </c>
      <c r="L536" s="81">
        <v>2025402442</v>
      </c>
      <c r="M536" s="112" t="s">
        <v>226</v>
      </c>
      <c r="N536" s="81">
        <v>2025</v>
      </c>
    </row>
    <row r="537" spans="1:14">
      <c r="A537" s="81">
        <v>536</v>
      </c>
      <c r="B537" s="81" t="s">
        <v>43</v>
      </c>
      <c r="C537" s="81" t="s">
        <v>51</v>
      </c>
      <c r="D537" s="81" t="s">
        <v>61</v>
      </c>
      <c r="E537" s="81" t="s">
        <v>71</v>
      </c>
      <c r="F537" s="81"/>
      <c r="G537" s="81" t="s">
        <v>134</v>
      </c>
      <c r="H537" s="81" t="s">
        <v>71</v>
      </c>
      <c r="I537" s="105">
        <v>565.79999999999995</v>
      </c>
      <c r="J537" s="81" t="s">
        <v>878</v>
      </c>
      <c r="K537" s="84">
        <v>45888</v>
      </c>
      <c r="L537" s="81">
        <v>2025402671</v>
      </c>
      <c r="M537" s="81" t="s">
        <v>226</v>
      </c>
      <c r="N537" s="81">
        <v>2025</v>
      </c>
    </row>
    <row r="538" spans="1:14">
      <c r="A538" s="81">
        <v>537</v>
      </c>
      <c r="B538" s="81" t="s">
        <v>43</v>
      </c>
      <c r="C538" s="81" t="s">
        <v>51</v>
      </c>
      <c r="D538" s="81" t="s">
        <v>61</v>
      </c>
      <c r="E538" s="112" t="s">
        <v>71</v>
      </c>
      <c r="F538" s="81"/>
      <c r="G538" s="81" t="s">
        <v>134</v>
      </c>
      <c r="H538" s="81" t="s">
        <v>71</v>
      </c>
      <c r="I538" s="105">
        <v>532.6</v>
      </c>
      <c r="J538" s="81" t="s">
        <v>811</v>
      </c>
      <c r="K538" s="84">
        <v>45875</v>
      </c>
      <c r="L538" s="81">
        <v>2025402511</v>
      </c>
      <c r="M538" s="112" t="s">
        <v>226</v>
      </c>
      <c r="N538" s="81">
        <v>2025</v>
      </c>
    </row>
    <row r="539" spans="1:14">
      <c r="A539" s="81">
        <v>538</v>
      </c>
      <c r="B539" s="81" t="s">
        <v>43</v>
      </c>
      <c r="C539" s="81" t="s">
        <v>51</v>
      </c>
      <c r="D539" s="81" t="s">
        <v>61</v>
      </c>
      <c r="E539" s="81" t="s">
        <v>71</v>
      </c>
      <c r="F539" s="81"/>
      <c r="G539" s="81" t="s">
        <v>132</v>
      </c>
      <c r="H539" s="112" t="s">
        <v>71</v>
      </c>
      <c r="I539" s="105">
        <v>525.54</v>
      </c>
      <c r="J539" s="107" t="s">
        <v>863</v>
      </c>
      <c r="K539" s="113">
        <v>45887</v>
      </c>
      <c r="L539" s="81">
        <v>2025402640</v>
      </c>
      <c r="M539" s="81" t="s">
        <v>226</v>
      </c>
      <c r="N539" s="81">
        <v>2025</v>
      </c>
    </row>
    <row r="540" spans="1:14">
      <c r="A540" s="81">
        <v>539</v>
      </c>
      <c r="B540" s="107" t="s">
        <v>43</v>
      </c>
      <c r="C540" s="107" t="s">
        <v>51</v>
      </c>
      <c r="D540" s="81" t="s">
        <v>61</v>
      </c>
      <c r="E540" s="81" t="s">
        <v>71</v>
      </c>
      <c r="F540" s="81"/>
      <c r="G540" s="81" t="s">
        <v>132</v>
      </c>
      <c r="H540" s="112" t="s">
        <v>71</v>
      </c>
      <c r="I540" s="105">
        <v>518.5</v>
      </c>
      <c r="J540" s="107" t="s">
        <v>861</v>
      </c>
      <c r="K540" s="113">
        <v>45887</v>
      </c>
      <c r="L540" s="81">
        <v>2025402650</v>
      </c>
      <c r="M540" s="81" t="s">
        <v>226</v>
      </c>
      <c r="N540" s="81">
        <v>2025</v>
      </c>
    </row>
    <row r="541" spans="1:14">
      <c r="A541" s="81">
        <v>540</v>
      </c>
      <c r="B541" s="81" t="s">
        <v>43</v>
      </c>
      <c r="C541" s="81" t="s">
        <v>51</v>
      </c>
      <c r="D541" s="81" t="s">
        <v>61</v>
      </c>
      <c r="E541" s="81" t="s">
        <v>71</v>
      </c>
      <c r="F541" s="81"/>
      <c r="G541" s="81" t="s">
        <v>134</v>
      </c>
      <c r="H541" s="81" t="s">
        <v>71</v>
      </c>
      <c r="I541" s="105">
        <v>495</v>
      </c>
      <c r="J541" s="81" t="s">
        <v>960</v>
      </c>
      <c r="K541" s="84">
        <v>45897</v>
      </c>
      <c r="L541" s="81">
        <v>2025402804</v>
      </c>
      <c r="M541" s="81" t="s">
        <v>226</v>
      </c>
      <c r="N541" s="81">
        <v>2025</v>
      </c>
    </row>
    <row r="542" spans="1:14">
      <c r="A542" s="81">
        <v>541</v>
      </c>
      <c r="B542" s="81" t="s">
        <v>43</v>
      </c>
      <c r="C542" s="81" t="s">
        <v>51</v>
      </c>
      <c r="D542" s="81" t="s">
        <v>61</v>
      </c>
      <c r="E542" s="112" t="s">
        <v>71</v>
      </c>
      <c r="F542" s="81"/>
      <c r="G542" s="81" t="s">
        <v>132</v>
      </c>
      <c r="H542" s="112" t="s">
        <v>71</v>
      </c>
      <c r="I542" s="105">
        <v>485</v>
      </c>
      <c r="J542" s="81" t="s">
        <v>634</v>
      </c>
      <c r="K542" s="84">
        <v>45860</v>
      </c>
      <c r="L542" s="81">
        <v>2025402349</v>
      </c>
      <c r="M542" s="112" t="s">
        <v>225</v>
      </c>
      <c r="N542" s="81">
        <v>2025</v>
      </c>
    </row>
    <row r="543" spans="1:14">
      <c r="A543" s="81">
        <v>542</v>
      </c>
      <c r="B543" s="81" t="s">
        <v>43</v>
      </c>
      <c r="C543" s="81" t="s">
        <v>51</v>
      </c>
      <c r="D543" s="81" t="s">
        <v>61</v>
      </c>
      <c r="E543" s="112" t="s">
        <v>71</v>
      </c>
      <c r="F543" s="81"/>
      <c r="G543" s="81" t="s">
        <v>243</v>
      </c>
      <c r="H543" s="109" t="s">
        <v>254</v>
      </c>
      <c r="I543" s="105">
        <v>475</v>
      </c>
      <c r="J543" s="81" t="s">
        <v>519</v>
      </c>
      <c r="K543" s="84">
        <v>45846</v>
      </c>
      <c r="L543" s="102">
        <v>2025402212</v>
      </c>
      <c r="M543" s="112" t="s">
        <v>225</v>
      </c>
      <c r="N543" s="81">
        <v>2025</v>
      </c>
    </row>
    <row r="544" spans="1:14">
      <c r="A544" s="81">
        <v>543</v>
      </c>
      <c r="B544" s="81" t="s">
        <v>43</v>
      </c>
      <c r="C544" s="81" t="s">
        <v>51</v>
      </c>
      <c r="D544" s="81" t="s">
        <v>61</v>
      </c>
      <c r="E544" s="112" t="s">
        <v>71</v>
      </c>
      <c r="F544" s="81"/>
      <c r="G544" s="81" t="s">
        <v>132</v>
      </c>
      <c r="H544" s="112" t="s">
        <v>71</v>
      </c>
      <c r="I544" s="105">
        <v>457.7</v>
      </c>
      <c r="J544" s="81" t="s">
        <v>605</v>
      </c>
      <c r="K544" s="84">
        <v>45855</v>
      </c>
      <c r="L544" s="81">
        <v>2025402281</v>
      </c>
      <c r="M544" s="112" t="s">
        <v>225</v>
      </c>
      <c r="N544" s="81">
        <v>2025</v>
      </c>
    </row>
    <row r="545" spans="1:14">
      <c r="A545" s="81">
        <v>544</v>
      </c>
      <c r="B545" s="81" t="s">
        <v>43</v>
      </c>
      <c r="C545" s="81" t="s">
        <v>51</v>
      </c>
      <c r="D545" s="81" t="s">
        <v>61</v>
      </c>
      <c r="E545" s="112" t="s">
        <v>71</v>
      </c>
      <c r="F545" s="81"/>
      <c r="G545" s="81" t="s">
        <v>134</v>
      </c>
      <c r="H545" s="81" t="s">
        <v>71</v>
      </c>
      <c r="I545" s="105">
        <v>443.7</v>
      </c>
      <c r="J545" s="81" t="s">
        <v>774</v>
      </c>
      <c r="K545" s="84">
        <v>45872</v>
      </c>
      <c r="L545" s="81">
        <v>2025402210</v>
      </c>
      <c r="M545" s="112" t="s">
        <v>226</v>
      </c>
      <c r="N545" s="81">
        <v>2025</v>
      </c>
    </row>
    <row r="546" spans="1:14">
      <c r="A546" s="81">
        <v>545</v>
      </c>
      <c r="B546" s="81" t="s">
        <v>43</v>
      </c>
      <c r="C546" s="81" t="s">
        <v>51</v>
      </c>
      <c r="D546" s="81" t="s">
        <v>61</v>
      </c>
      <c r="E546" s="81" t="s">
        <v>71</v>
      </c>
      <c r="F546" s="81"/>
      <c r="G546" s="81" t="s">
        <v>134</v>
      </c>
      <c r="H546" s="81" t="s">
        <v>71</v>
      </c>
      <c r="I546" s="105">
        <v>432</v>
      </c>
      <c r="J546" s="81" t="s">
        <v>918</v>
      </c>
      <c r="K546" s="84">
        <v>45893</v>
      </c>
      <c r="L546" s="81">
        <v>2025402661</v>
      </c>
      <c r="M546" s="81" t="s">
        <v>226</v>
      </c>
      <c r="N546" s="81">
        <v>2025</v>
      </c>
    </row>
    <row r="547" spans="1:14">
      <c r="A547" s="81">
        <v>546</v>
      </c>
      <c r="B547" s="81" t="s">
        <v>43</v>
      </c>
      <c r="C547" s="81" t="s">
        <v>51</v>
      </c>
      <c r="D547" s="81" t="s">
        <v>61</v>
      </c>
      <c r="E547" s="81" t="s">
        <v>71</v>
      </c>
      <c r="F547" s="81"/>
      <c r="G547" s="81" t="s">
        <v>134</v>
      </c>
      <c r="H547" s="81" t="s">
        <v>71</v>
      </c>
      <c r="I547" s="105">
        <v>425</v>
      </c>
      <c r="J547" s="81" t="s">
        <v>940</v>
      </c>
      <c r="K547" s="84">
        <v>45889</v>
      </c>
      <c r="L547" s="81">
        <v>2025402604</v>
      </c>
      <c r="M547" s="81" t="s">
        <v>226</v>
      </c>
      <c r="N547" s="81">
        <v>2025</v>
      </c>
    </row>
    <row r="548" spans="1:14">
      <c r="A548" s="81">
        <v>547</v>
      </c>
      <c r="B548" s="81" t="s">
        <v>43</v>
      </c>
      <c r="C548" s="81" t="s">
        <v>51</v>
      </c>
      <c r="D548" s="81" t="s">
        <v>61</v>
      </c>
      <c r="E548" s="81" t="s">
        <v>71</v>
      </c>
      <c r="F548" s="81"/>
      <c r="G548" s="81" t="s">
        <v>131</v>
      </c>
      <c r="H548" s="112" t="s">
        <v>71</v>
      </c>
      <c r="I548" s="105">
        <v>421.15</v>
      </c>
      <c r="J548" s="81" t="s">
        <v>1049</v>
      </c>
      <c r="K548" s="84">
        <v>45900</v>
      </c>
      <c r="L548" s="81">
        <v>2025402848</v>
      </c>
      <c r="M548" s="81" t="s">
        <v>226</v>
      </c>
      <c r="N548" s="81">
        <v>2025</v>
      </c>
    </row>
    <row r="549" spans="1:14">
      <c r="A549" s="81">
        <v>548</v>
      </c>
      <c r="B549" s="81" t="s">
        <v>43</v>
      </c>
      <c r="C549" s="81" t="s">
        <v>51</v>
      </c>
      <c r="D549" s="81" t="s">
        <v>61</v>
      </c>
      <c r="E549" s="112" t="s">
        <v>71</v>
      </c>
      <c r="F549" s="81"/>
      <c r="G549" s="81" t="s">
        <v>131</v>
      </c>
      <c r="H549" s="112" t="s">
        <v>71</v>
      </c>
      <c r="I549" s="105">
        <v>392</v>
      </c>
      <c r="J549" s="81" t="s">
        <v>830</v>
      </c>
      <c r="K549" s="84">
        <v>45876</v>
      </c>
      <c r="L549" s="81">
        <v>2025402582</v>
      </c>
      <c r="M549" s="112" t="s">
        <v>226</v>
      </c>
      <c r="N549" s="81">
        <v>2025</v>
      </c>
    </row>
    <row r="550" spans="1:14">
      <c r="A550" s="81">
        <v>549</v>
      </c>
      <c r="B550" s="81" t="s">
        <v>43</v>
      </c>
      <c r="C550" s="81" t="s">
        <v>51</v>
      </c>
      <c r="D550" s="81" t="s">
        <v>61</v>
      </c>
      <c r="E550" s="81" t="s">
        <v>71</v>
      </c>
      <c r="F550" s="81"/>
      <c r="G550" s="81" t="s">
        <v>134</v>
      </c>
      <c r="H550" s="81" t="s">
        <v>71</v>
      </c>
      <c r="I550" s="105">
        <v>350</v>
      </c>
      <c r="J550" s="81" t="s">
        <v>958</v>
      </c>
      <c r="K550" s="84">
        <v>45897</v>
      </c>
      <c r="L550" s="81">
        <v>2025402803</v>
      </c>
      <c r="M550" s="81" t="s">
        <v>226</v>
      </c>
      <c r="N550" s="81">
        <v>2025</v>
      </c>
    </row>
    <row r="551" spans="1:14">
      <c r="A551" s="81">
        <v>550</v>
      </c>
      <c r="B551" s="81" t="s">
        <v>43</v>
      </c>
      <c r="C551" s="81" t="s">
        <v>51</v>
      </c>
      <c r="D551" s="81" t="s">
        <v>61</v>
      </c>
      <c r="E551" s="81" t="s">
        <v>71</v>
      </c>
      <c r="F551" s="81"/>
      <c r="G551" s="81" t="s">
        <v>134</v>
      </c>
      <c r="H551" s="81" t="s">
        <v>71</v>
      </c>
      <c r="I551" s="105">
        <v>343.8</v>
      </c>
      <c r="J551" s="81" t="s">
        <v>938</v>
      </c>
      <c r="K551" s="84">
        <v>45889</v>
      </c>
      <c r="L551" s="81">
        <v>2025402606</v>
      </c>
      <c r="M551" s="81" t="s">
        <v>226</v>
      </c>
      <c r="N551" s="81">
        <v>2025</v>
      </c>
    </row>
    <row r="552" spans="1:14">
      <c r="A552" s="81">
        <v>551</v>
      </c>
      <c r="B552" s="81" t="s">
        <v>43</v>
      </c>
      <c r="C552" s="81" t="s">
        <v>51</v>
      </c>
      <c r="D552" s="81" t="s">
        <v>61</v>
      </c>
      <c r="E552" s="112" t="s">
        <v>71</v>
      </c>
      <c r="F552" s="81"/>
      <c r="G552" s="81" t="s">
        <v>131</v>
      </c>
      <c r="H552" s="112" t="s">
        <v>71</v>
      </c>
      <c r="I552" s="105">
        <v>337.45</v>
      </c>
      <c r="J552" s="81" t="s">
        <v>833</v>
      </c>
      <c r="K552" s="84">
        <v>45883</v>
      </c>
      <c r="L552" s="81">
        <v>2025402500</v>
      </c>
      <c r="M552" s="112" t="s">
        <v>226</v>
      </c>
      <c r="N552" s="81">
        <v>2025</v>
      </c>
    </row>
    <row r="553" spans="1:14">
      <c r="A553" s="81">
        <v>552</v>
      </c>
      <c r="B553" s="81" t="s">
        <v>43</v>
      </c>
      <c r="C553" s="81" t="s">
        <v>51</v>
      </c>
      <c r="D553" s="81" t="s">
        <v>61</v>
      </c>
      <c r="E553" s="81" t="s">
        <v>71</v>
      </c>
      <c r="F553" s="81"/>
      <c r="G553" s="81" t="s">
        <v>134</v>
      </c>
      <c r="H553" s="81" t="s">
        <v>71</v>
      </c>
      <c r="I553" s="105">
        <v>320</v>
      </c>
      <c r="J553" s="81" t="s">
        <v>939</v>
      </c>
      <c r="K553" s="84">
        <v>45889</v>
      </c>
      <c r="L553" s="81">
        <v>2025402605</v>
      </c>
      <c r="M553" s="81" t="s">
        <v>226</v>
      </c>
      <c r="N553" s="81">
        <v>2025</v>
      </c>
    </row>
    <row r="554" spans="1:14">
      <c r="A554" s="81">
        <v>553</v>
      </c>
      <c r="B554" s="81" t="s">
        <v>43</v>
      </c>
      <c r="C554" s="81" t="s">
        <v>51</v>
      </c>
      <c r="D554" s="81" t="s">
        <v>61</v>
      </c>
      <c r="E554" s="81" t="s">
        <v>71</v>
      </c>
      <c r="F554" s="81"/>
      <c r="G554" s="81" t="s">
        <v>131</v>
      </c>
      <c r="H554" s="112" t="s">
        <v>71</v>
      </c>
      <c r="I554" s="105">
        <v>287.89999999999998</v>
      </c>
      <c r="J554" s="81" t="s">
        <v>1050</v>
      </c>
      <c r="K554" s="84">
        <v>45900</v>
      </c>
      <c r="L554" s="81">
        <v>2025402843</v>
      </c>
      <c r="M554" s="81" t="s">
        <v>226</v>
      </c>
      <c r="N554" s="81">
        <v>2025</v>
      </c>
    </row>
    <row r="555" spans="1:14">
      <c r="A555" s="81">
        <v>554</v>
      </c>
      <c r="B555" s="81" t="s">
        <v>43</v>
      </c>
      <c r="C555" s="81" t="s">
        <v>51</v>
      </c>
      <c r="D555" s="81" t="s">
        <v>61</v>
      </c>
      <c r="E555" s="81" t="s">
        <v>71</v>
      </c>
      <c r="F555" s="81"/>
      <c r="G555" s="81" t="s">
        <v>134</v>
      </c>
      <c r="H555" s="81" t="s">
        <v>71</v>
      </c>
      <c r="I555" s="105">
        <v>247</v>
      </c>
      <c r="J555" s="107" t="s">
        <v>906</v>
      </c>
      <c r="K555" s="113">
        <v>45893</v>
      </c>
      <c r="L555" s="81">
        <v>2025402754</v>
      </c>
      <c r="M555" s="81" t="s">
        <v>226</v>
      </c>
      <c r="N555" s="81">
        <v>2025</v>
      </c>
    </row>
    <row r="556" spans="1:14">
      <c r="A556" s="81">
        <v>555</v>
      </c>
      <c r="B556" s="81" t="s">
        <v>43</v>
      </c>
      <c r="C556" s="81" t="s">
        <v>51</v>
      </c>
      <c r="D556" s="81" t="s">
        <v>61</v>
      </c>
      <c r="E556" s="81" t="s">
        <v>71</v>
      </c>
      <c r="F556" s="81"/>
      <c r="G556" s="81" t="s">
        <v>489</v>
      </c>
      <c r="H556" s="81" t="s">
        <v>71</v>
      </c>
      <c r="I556" s="83">
        <v>232.3943661971831</v>
      </c>
      <c r="J556" s="81" t="s">
        <v>1164</v>
      </c>
      <c r="K556" s="84">
        <v>45889</v>
      </c>
      <c r="L556" s="81">
        <v>2025403722</v>
      </c>
      <c r="M556" s="81" t="s">
        <v>226</v>
      </c>
      <c r="N556" s="81">
        <v>2025</v>
      </c>
    </row>
    <row r="557" spans="1:14">
      <c r="A557" s="81">
        <v>556</v>
      </c>
      <c r="B557" s="81" t="s">
        <v>43</v>
      </c>
      <c r="C557" s="81" t="s">
        <v>51</v>
      </c>
      <c r="D557" s="81" t="s">
        <v>61</v>
      </c>
      <c r="E557" s="81" t="s">
        <v>71</v>
      </c>
      <c r="F557" s="81"/>
      <c r="G557" s="81" t="s">
        <v>131</v>
      </c>
      <c r="H557" s="112" t="s">
        <v>71</v>
      </c>
      <c r="I557" s="105">
        <v>231</v>
      </c>
      <c r="J557" s="81" t="s">
        <v>1020</v>
      </c>
      <c r="K557" s="84">
        <v>45900</v>
      </c>
      <c r="L557" s="81">
        <v>2025402516</v>
      </c>
      <c r="M557" s="81" t="s">
        <v>226</v>
      </c>
      <c r="N557" s="81">
        <v>2025</v>
      </c>
    </row>
    <row r="558" spans="1:14">
      <c r="A558" s="81">
        <v>557</v>
      </c>
      <c r="B558" s="81" t="s">
        <v>43</v>
      </c>
      <c r="C558" s="81" t="s">
        <v>51</v>
      </c>
      <c r="D558" s="81" t="s">
        <v>61</v>
      </c>
      <c r="E558" s="112" t="s">
        <v>71</v>
      </c>
      <c r="F558" s="81"/>
      <c r="G558" s="81" t="s">
        <v>247</v>
      </c>
      <c r="H558" s="112" t="s">
        <v>71</v>
      </c>
      <c r="I558" s="83">
        <v>221.83098591549296</v>
      </c>
      <c r="J558" s="81" t="s">
        <v>589</v>
      </c>
      <c r="K558" s="84">
        <v>45850</v>
      </c>
      <c r="L558" s="81">
        <v>2025402297</v>
      </c>
      <c r="M558" s="112" t="s">
        <v>225</v>
      </c>
      <c r="N558" s="81">
        <v>2025</v>
      </c>
    </row>
    <row r="559" spans="1:14">
      <c r="A559" s="81">
        <v>558</v>
      </c>
      <c r="B559" s="112" t="s">
        <v>43</v>
      </c>
      <c r="C559" s="112" t="s">
        <v>51</v>
      </c>
      <c r="D559" s="81" t="s">
        <v>61</v>
      </c>
      <c r="E559" s="81" t="s">
        <v>71</v>
      </c>
      <c r="F559" s="81"/>
      <c r="G559" s="81" t="s">
        <v>131</v>
      </c>
      <c r="H559" s="112" t="s">
        <v>71</v>
      </c>
      <c r="I559" s="105">
        <v>213.12</v>
      </c>
      <c r="J559" s="81" t="s">
        <v>659</v>
      </c>
      <c r="K559" s="84">
        <v>45858</v>
      </c>
      <c r="L559" s="81">
        <v>2025402309</v>
      </c>
      <c r="M559" s="112" t="s">
        <v>225</v>
      </c>
      <c r="N559" s="81">
        <v>2025</v>
      </c>
    </row>
    <row r="560" spans="1:14">
      <c r="A560" s="81">
        <v>559</v>
      </c>
      <c r="B560" s="81" t="s">
        <v>43</v>
      </c>
      <c r="C560" s="81" t="s">
        <v>51</v>
      </c>
      <c r="D560" s="81" t="s">
        <v>61</v>
      </c>
      <c r="E560" s="81" t="s">
        <v>71</v>
      </c>
      <c r="F560" s="81"/>
      <c r="G560" s="81" t="s">
        <v>131</v>
      </c>
      <c r="H560" s="112" t="s">
        <v>71</v>
      </c>
      <c r="I560" s="105">
        <v>180</v>
      </c>
      <c r="J560" s="81" t="s">
        <v>1052</v>
      </c>
      <c r="K560" s="84">
        <v>45897</v>
      </c>
      <c r="L560" s="81">
        <v>2025402828</v>
      </c>
      <c r="M560" s="81" t="s">
        <v>226</v>
      </c>
      <c r="N560" s="81">
        <v>2025</v>
      </c>
    </row>
    <row r="561" spans="1:14">
      <c r="A561" s="81">
        <v>560</v>
      </c>
      <c r="B561" s="81" t="s">
        <v>43</v>
      </c>
      <c r="C561" s="81" t="s">
        <v>51</v>
      </c>
      <c r="D561" s="81" t="s">
        <v>61</v>
      </c>
      <c r="E561" s="81" t="s">
        <v>71</v>
      </c>
      <c r="F561" s="81"/>
      <c r="G561" s="81" t="s">
        <v>132</v>
      </c>
      <c r="H561" s="112" t="s">
        <v>71</v>
      </c>
      <c r="I561" s="105">
        <v>150</v>
      </c>
      <c r="J561" s="107" t="s">
        <v>887</v>
      </c>
      <c r="K561" s="113">
        <v>45889</v>
      </c>
      <c r="L561" s="81">
        <v>2025402663</v>
      </c>
      <c r="M561" s="81" t="s">
        <v>226</v>
      </c>
      <c r="N561" s="81">
        <v>2025</v>
      </c>
    </row>
    <row r="562" spans="1:14">
      <c r="A562" s="81">
        <v>561</v>
      </c>
      <c r="B562" s="81" t="s">
        <v>43</v>
      </c>
      <c r="C562" s="81" t="s">
        <v>51</v>
      </c>
      <c r="D562" s="81" t="s">
        <v>61</v>
      </c>
      <c r="E562" s="81" t="s">
        <v>71</v>
      </c>
      <c r="F562" s="81"/>
      <c r="G562" s="81" t="s">
        <v>134</v>
      </c>
      <c r="H562" s="81" t="s">
        <v>71</v>
      </c>
      <c r="I562" s="105">
        <v>140</v>
      </c>
      <c r="J562" s="81" t="s">
        <v>959</v>
      </c>
      <c r="K562" s="84">
        <v>45897</v>
      </c>
      <c r="L562" s="81">
        <v>2025402806</v>
      </c>
      <c r="M562" s="81" t="s">
        <v>226</v>
      </c>
      <c r="N562" s="81">
        <v>2025</v>
      </c>
    </row>
    <row r="563" spans="1:14">
      <c r="A563" s="81">
        <v>562</v>
      </c>
      <c r="B563" s="81" t="s">
        <v>43</v>
      </c>
      <c r="C563" s="81" t="s">
        <v>51</v>
      </c>
      <c r="D563" s="81" t="s">
        <v>61</v>
      </c>
      <c r="E563" s="112" t="s">
        <v>71</v>
      </c>
      <c r="F563" s="81"/>
      <c r="G563" s="81" t="s">
        <v>131</v>
      </c>
      <c r="H563" s="112" t="s">
        <v>71</v>
      </c>
      <c r="I563" s="105">
        <v>134.19999999999999</v>
      </c>
      <c r="J563" s="81" t="s">
        <v>793</v>
      </c>
      <c r="K563" s="84">
        <v>45875</v>
      </c>
      <c r="L563" s="81">
        <v>2025402446</v>
      </c>
      <c r="M563" s="112" t="s">
        <v>226</v>
      </c>
      <c r="N563" s="81">
        <v>2025</v>
      </c>
    </row>
    <row r="564" spans="1:14">
      <c r="A564" s="81">
        <v>563</v>
      </c>
      <c r="B564" s="81" t="s">
        <v>43</v>
      </c>
      <c r="C564" s="81" t="s">
        <v>51</v>
      </c>
      <c r="D564" s="81" t="s">
        <v>61</v>
      </c>
      <c r="E564" s="81" t="s">
        <v>71</v>
      </c>
      <c r="F564" s="81"/>
      <c r="G564" s="81" t="s">
        <v>134</v>
      </c>
      <c r="H564" s="81" t="s">
        <v>71</v>
      </c>
      <c r="I564" s="105">
        <v>134</v>
      </c>
      <c r="J564" s="81" t="s">
        <v>948</v>
      </c>
      <c r="K564" s="84">
        <v>45893</v>
      </c>
      <c r="L564" s="81">
        <v>2025402660</v>
      </c>
      <c r="M564" s="81" t="s">
        <v>226</v>
      </c>
      <c r="N564" s="81">
        <v>2025</v>
      </c>
    </row>
    <row r="565" spans="1:14">
      <c r="A565" s="81">
        <v>564</v>
      </c>
      <c r="B565" s="81" t="s">
        <v>43</v>
      </c>
      <c r="C565" s="81" t="s">
        <v>51</v>
      </c>
      <c r="D565" s="81" t="s">
        <v>61</v>
      </c>
      <c r="E565" s="81" t="s">
        <v>71</v>
      </c>
      <c r="F565" s="81"/>
      <c r="G565" s="81" t="s">
        <v>131</v>
      </c>
      <c r="H565" s="112" t="s">
        <v>71</v>
      </c>
      <c r="I565" s="105">
        <v>133</v>
      </c>
      <c r="J565" s="81" t="s">
        <v>803</v>
      </c>
      <c r="K565" s="84">
        <v>45840</v>
      </c>
      <c r="L565" s="81">
        <v>2025402056</v>
      </c>
      <c r="M565" s="112" t="s">
        <v>225</v>
      </c>
      <c r="N565" s="81">
        <v>2025</v>
      </c>
    </row>
    <row r="566" spans="1:14">
      <c r="A566" s="81">
        <v>565</v>
      </c>
      <c r="B566" s="81" t="s">
        <v>43</v>
      </c>
      <c r="C566" s="81" t="s">
        <v>51</v>
      </c>
      <c r="D566" s="81" t="s">
        <v>61</v>
      </c>
      <c r="E566" s="81" t="s">
        <v>71</v>
      </c>
      <c r="F566" s="81"/>
      <c r="G566" s="81" t="s">
        <v>134</v>
      </c>
      <c r="H566" s="81" t="s">
        <v>71</v>
      </c>
      <c r="I566" s="105">
        <v>125</v>
      </c>
      <c r="J566" s="81" t="s">
        <v>946</v>
      </c>
      <c r="K566" s="84">
        <v>45892</v>
      </c>
      <c r="L566" s="81">
        <v>2025402672</v>
      </c>
      <c r="M566" s="81" t="s">
        <v>226</v>
      </c>
      <c r="N566" s="81">
        <v>2025</v>
      </c>
    </row>
    <row r="567" spans="1:14">
      <c r="A567" s="81">
        <v>566</v>
      </c>
      <c r="B567" s="81" t="s">
        <v>43</v>
      </c>
      <c r="C567" s="81" t="s">
        <v>51</v>
      </c>
      <c r="D567" s="81" t="s">
        <v>61</v>
      </c>
      <c r="E567" s="81" t="s">
        <v>71</v>
      </c>
      <c r="F567" s="81"/>
      <c r="G567" s="81" t="s">
        <v>132</v>
      </c>
      <c r="H567" s="112" t="s">
        <v>71</v>
      </c>
      <c r="I567" s="105">
        <v>119.98</v>
      </c>
      <c r="J567" s="107" t="s">
        <v>885</v>
      </c>
      <c r="K567" s="113">
        <v>45889</v>
      </c>
      <c r="L567" s="81">
        <v>2025402708</v>
      </c>
      <c r="M567" s="81" t="s">
        <v>226</v>
      </c>
      <c r="N567" s="81">
        <v>2025</v>
      </c>
    </row>
    <row r="568" spans="1:14">
      <c r="A568" s="81">
        <v>567</v>
      </c>
      <c r="B568" s="81" t="s">
        <v>43</v>
      </c>
      <c r="C568" s="81" t="s">
        <v>51</v>
      </c>
      <c r="D568" s="81" t="s">
        <v>61</v>
      </c>
      <c r="E568" s="112" t="s">
        <v>71</v>
      </c>
      <c r="F568" s="81"/>
      <c r="G568" s="81" t="s">
        <v>131</v>
      </c>
      <c r="H568" s="112" t="s">
        <v>71</v>
      </c>
      <c r="I568" s="105">
        <v>117.5</v>
      </c>
      <c r="J568" s="81" t="s">
        <v>522</v>
      </c>
      <c r="K568" s="84">
        <v>45850</v>
      </c>
      <c r="L568" s="81">
        <v>2025402218</v>
      </c>
      <c r="M568" s="112" t="s">
        <v>225</v>
      </c>
      <c r="N568" s="81">
        <v>2025</v>
      </c>
    </row>
    <row r="569" spans="1:14">
      <c r="A569" s="81">
        <v>568</v>
      </c>
      <c r="B569" s="81" t="s">
        <v>43</v>
      </c>
      <c r="C569" s="81" t="s">
        <v>51</v>
      </c>
      <c r="D569" s="81" t="s">
        <v>61</v>
      </c>
      <c r="E569" s="81" t="s">
        <v>71</v>
      </c>
      <c r="F569" s="81"/>
      <c r="G569" s="81" t="s">
        <v>131</v>
      </c>
      <c r="H569" s="112" t="s">
        <v>71</v>
      </c>
      <c r="I569" s="105">
        <v>108.36</v>
      </c>
      <c r="J569" s="81" t="s">
        <v>1028</v>
      </c>
      <c r="K569" s="84">
        <v>45900</v>
      </c>
      <c r="L569" s="81">
        <v>2025402846</v>
      </c>
      <c r="M569" s="81" t="s">
        <v>226</v>
      </c>
      <c r="N569" s="81">
        <v>2025</v>
      </c>
    </row>
    <row r="570" spans="1:14">
      <c r="A570" s="81">
        <v>569</v>
      </c>
      <c r="B570" s="107" t="s">
        <v>43</v>
      </c>
      <c r="C570" s="107" t="s">
        <v>51</v>
      </c>
      <c r="D570" s="81" t="s">
        <v>61</v>
      </c>
      <c r="E570" s="81" t="s">
        <v>71</v>
      </c>
      <c r="F570" s="81"/>
      <c r="G570" s="81" t="s">
        <v>132</v>
      </c>
      <c r="H570" s="112" t="s">
        <v>71</v>
      </c>
      <c r="I570" s="105">
        <v>106.08</v>
      </c>
      <c r="J570" s="107" t="s">
        <v>862</v>
      </c>
      <c r="K570" s="113">
        <v>45887</v>
      </c>
      <c r="L570" s="81">
        <v>2025402649</v>
      </c>
      <c r="M570" s="81" t="s">
        <v>226</v>
      </c>
      <c r="N570" s="81">
        <v>2025</v>
      </c>
    </row>
    <row r="571" spans="1:14">
      <c r="A571" s="81">
        <v>570</v>
      </c>
      <c r="B571" s="81" t="s">
        <v>43</v>
      </c>
      <c r="C571" s="81" t="s">
        <v>51</v>
      </c>
      <c r="D571" s="81" t="s">
        <v>61</v>
      </c>
      <c r="E571" s="112" t="s">
        <v>71</v>
      </c>
      <c r="F571" s="81"/>
      <c r="G571" s="81" t="s">
        <v>244</v>
      </c>
      <c r="H571" s="81" t="s">
        <v>128</v>
      </c>
      <c r="I571" s="105">
        <v>75</v>
      </c>
      <c r="J571" s="81" t="s">
        <v>608</v>
      </c>
      <c r="K571" s="84">
        <v>45848</v>
      </c>
      <c r="L571" s="81">
        <v>2025402336</v>
      </c>
      <c r="M571" s="112" t="s">
        <v>225</v>
      </c>
      <c r="N571" s="81">
        <v>2025</v>
      </c>
    </row>
    <row r="572" spans="1:14">
      <c r="A572" s="81">
        <v>571</v>
      </c>
      <c r="B572" s="112" t="s">
        <v>43</v>
      </c>
      <c r="C572" s="112" t="s">
        <v>51</v>
      </c>
      <c r="D572" s="81" t="s">
        <v>61</v>
      </c>
      <c r="E572" s="81" t="s">
        <v>71</v>
      </c>
      <c r="F572" s="81"/>
      <c r="G572" s="81" t="s">
        <v>131</v>
      </c>
      <c r="H572" s="112" t="s">
        <v>71</v>
      </c>
      <c r="I572" s="105">
        <v>26.6</v>
      </c>
      <c r="J572" s="81" t="s">
        <v>672</v>
      </c>
      <c r="K572" s="84">
        <v>45861</v>
      </c>
      <c r="L572" s="81">
        <v>2025402354</v>
      </c>
      <c r="M572" s="112" t="s">
        <v>225</v>
      </c>
      <c r="N572" s="81">
        <v>2025</v>
      </c>
    </row>
    <row r="573" spans="1:14">
      <c r="A573" s="81">
        <v>572</v>
      </c>
      <c r="B573" s="81" t="s">
        <v>43</v>
      </c>
      <c r="C573" s="81" t="s">
        <v>50</v>
      </c>
      <c r="D573" s="81" t="s">
        <v>61</v>
      </c>
      <c r="E573" s="81" t="s">
        <v>71</v>
      </c>
      <c r="F573" s="81"/>
      <c r="G573" s="81" t="s">
        <v>259</v>
      </c>
      <c r="H573" s="81" t="s">
        <v>71</v>
      </c>
      <c r="I573" s="105">
        <v>7388.45</v>
      </c>
      <c r="J573" s="81" t="s">
        <v>1119</v>
      </c>
      <c r="K573" s="84">
        <v>45874</v>
      </c>
      <c r="L573" s="81">
        <v>2025401493</v>
      </c>
      <c r="M573" s="81" t="s">
        <v>226</v>
      </c>
      <c r="N573" s="81">
        <v>2025</v>
      </c>
    </row>
    <row r="574" spans="1:14">
      <c r="A574" s="81">
        <v>573</v>
      </c>
      <c r="B574" s="81" t="s">
        <v>43</v>
      </c>
      <c r="C574" s="81" t="s">
        <v>50</v>
      </c>
      <c r="D574" s="81" t="s">
        <v>61</v>
      </c>
      <c r="E574" s="112" t="s">
        <v>71</v>
      </c>
      <c r="F574" s="81"/>
      <c r="G574" s="81" t="s">
        <v>485</v>
      </c>
      <c r="H574" s="81" t="s">
        <v>71</v>
      </c>
      <c r="I574" s="83">
        <v>5176.0563380281692</v>
      </c>
      <c r="J574" s="81" t="s">
        <v>736</v>
      </c>
      <c r="K574" s="84">
        <v>45862</v>
      </c>
      <c r="L574" s="81">
        <v>2025402509</v>
      </c>
      <c r="M574" s="112" t="s">
        <v>225</v>
      </c>
      <c r="N574" s="81">
        <v>2025</v>
      </c>
    </row>
    <row r="575" spans="1:14">
      <c r="A575" s="81">
        <v>574</v>
      </c>
      <c r="B575" s="81" t="s">
        <v>43</v>
      </c>
      <c r="C575" s="81" t="s">
        <v>50</v>
      </c>
      <c r="D575" s="81" t="s">
        <v>61</v>
      </c>
      <c r="E575" s="112" t="s">
        <v>71</v>
      </c>
      <c r="F575" s="81"/>
      <c r="G575" s="81" t="s">
        <v>251</v>
      </c>
      <c r="H575" s="109" t="s">
        <v>256</v>
      </c>
      <c r="I575" s="83">
        <v>4119.7183098591549</v>
      </c>
      <c r="J575" s="81" t="s">
        <v>551</v>
      </c>
      <c r="K575" s="84">
        <v>45850</v>
      </c>
      <c r="L575" s="81">
        <v>2025402278</v>
      </c>
      <c r="M575" s="112" t="s">
        <v>225</v>
      </c>
      <c r="N575" s="81">
        <v>2025</v>
      </c>
    </row>
    <row r="576" spans="1:14">
      <c r="A576" s="81">
        <v>575</v>
      </c>
      <c r="B576" s="81" t="s">
        <v>43</v>
      </c>
      <c r="C576" s="81" t="s">
        <v>50</v>
      </c>
      <c r="D576" s="81" t="s">
        <v>61</v>
      </c>
      <c r="E576" s="81" t="s">
        <v>71</v>
      </c>
      <c r="F576" s="81"/>
      <c r="G576" s="81" t="s">
        <v>64</v>
      </c>
      <c r="H576" s="81" t="s">
        <v>1287</v>
      </c>
      <c r="I576" s="83">
        <v>3174.6478873239435</v>
      </c>
      <c r="J576" s="81" t="s">
        <v>68</v>
      </c>
      <c r="K576" s="84">
        <v>45886</v>
      </c>
      <c r="L576" s="109" t="s">
        <v>14</v>
      </c>
      <c r="M576" s="81" t="s">
        <v>226</v>
      </c>
      <c r="N576" s="81">
        <v>2025</v>
      </c>
    </row>
    <row r="577" spans="1:14">
      <c r="A577" s="81">
        <v>576</v>
      </c>
      <c r="B577" s="81" t="s">
        <v>43</v>
      </c>
      <c r="C577" s="81" t="s">
        <v>50</v>
      </c>
      <c r="D577" s="81" t="s">
        <v>61</v>
      </c>
      <c r="E577" s="81" t="s">
        <v>71</v>
      </c>
      <c r="F577" s="81"/>
      <c r="G577" s="81" t="s">
        <v>64</v>
      </c>
      <c r="H577" s="81" t="s">
        <v>1287</v>
      </c>
      <c r="I577" s="83">
        <v>2967.9577464788731</v>
      </c>
      <c r="J577" s="81" t="s">
        <v>68</v>
      </c>
      <c r="K577" s="84">
        <v>45863</v>
      </c>
      <c r="L577" s="109" t="s">
        <v>14</v>
      </c>
      <c r="M577" s="81" t="s">
        <v>225</v>
      </c>
      <c r="N577" s="81">
        <v>2025</v>
      </c>
    </row>
    <row r="578" spans="1:14">
      <c r="A578" s="81">
        <v>577</v>
      </c>
      <c r="B578" s="81" t="s">
        <v>43</v>
      </c>
      <c r="C578" s="81" t="s">
        <v>50</v>
      </c>
      <c r="D578" s="81" t="s">
        <v>61</v>
      </c>
      <c r="E578" s="81" t="s">
        <v>71</v>
      </c>
      <c r="F578" s="81"/>
      <c r="G578" s="81" t="s">
        <v>64</v>
      </c>
      <c r="H578" s="81" t="s">
        <v>1285</v>
      </c>
      <c r="I578" s="83">
        <v>2935.211267605634</v>
      </c>
      <c r="J578" s="81" t="s">
        <v>68</v>
      </c>
      <c r="K578" s="84">
        <v>45908</v>
      </c>
      <c r="L578" s="109" t="s">
        <v>14</v>
      </c>
      <c r="M578" s="81" t="s">
        <v>226</v>
      </c>
      <c r="N578" s="81">
        <v>2025</v>
      </c>
    </row>
    <row r="579" spans="1:14">
      <c r="A579" s="81">
        <v>578</v>
      </c>
      <c r="B579" s="81" t="s">
        <v>43</v>
      </c>
      <c r="C579" s="81" t="s">
        <v>50</v>
      </c>
      <c r="D579" s="81" t="s">
        <v>61</v>
      </c>
      <c r="E579" s="81" t="s">
        <v>71</v>
      </c>
      <c r="F579" s="81"/>
      <c r="G579" s="81" t="s">
        <v>64</v>
      </c>
      <c r="H579" s="81" t="s">
        <v>1288</v>
      </c>
      <c r="I579" s="83">
        <v>2884.5070422535209</v>
      </c>
      <c r="J579" s="81" t="s">
        <v>68</v>
      </c>
      <c r="K579" s="84">
        <v>45858</v>
      </c>
      <c r="L579" s="109" t="s">
        <v>14</v>
      </c>
      <c r="M579" s="81" t="s">
        <v>225</v>
      </c>
      <c r="N579" s="81">
        <v>2025</v>
      </c>
    </row>
    <row r="580" spans="1:14">
      <c r="A580" s="81">
        <v>579</v>
      </c>
      <c r="B580" s="81" t="s">
        <v>43</v>
      </c>
      <c r="C580" s="81" t="s">
        <v>50</v>
      </c>
      <c r="D580" s="81" t="s">
        <v>61</v>
      </c>
      <c r="E580" s="81" t="s">
        <v>71</v>
      </c>
      <c r="F580" s="81"/>
      <c r="G580" s="81" t="s">
        <v>64</v>
      </c>
      <c r="H580" s="81" t="s">
        <v>1288</v>
      </c>
      <c r="I580" s="83">
        <v>2485.5633802816901</v>
      </c>
      <c r="J580" s="81" t="s">
        <v>68</v>
      </c>
      <c r="K580" s="84">
        <v>45937</v>
      </c>
      <c r="L580" s="109" t="s">
        <v>14</v>
      </c>
      <c r="M580" s="81" t="s">
        <v>225</v>
      </c>
      <c r="N580" s="81">
        <v>2025</v>
      </c>
    </row>
    <row r="581" spans="1:14">
      <c r="A581" s="81">
        <v>580</v>
      </c>
      <c r="B581" s="81" t="s">
        <v>43</v>
      </c>
      <c r="C581" s="81" t="s">
        <v>50</v>
      </c>
      <c r="D581" s="81" t="s">
        <v>61</v>
      </c>
      <c r="E581" s="81" t="s">
        <v>71</v>
      </c>
      <c r="F581" s="81"/>
      <c r="G581" s="81" t="s">
        <v>259</v>
      </c>
      <c r="H581" s="81" t="s">
        <v>71</v>
      </c>
      <c r="I581" s="105">
        <v>2230.19</v>
      </c>
      <c r="J581" s="81" t="s">
        <v>1122</v>
      </c>
      <c r="K581" s="84">
        <v>45846</v>
      </c>
      <c r="L581" s="81">
        <v>2025401410</v>
      </c>
      <c r="M581" s="81" t="s">
        <v>225</v>
      </c>
      <c r="N581" s="81">
        <v>2025</v>
      </c>
    </row>
    <row r="582" spans="1:14">
      <c r="A582" s="81">
        <v>581</v>
      </c>
      <c r="B582" s="81" t="s">
        <v>43</v>
      </c>
      <c r="C582" s="81" t="s">
        <v>50</v>
      </c>
      <c r="D582" s="81" t="s">
        <v>61</v>
      </c>
      <c r="E582" s="81" t="s">
        <v>71</v>
      </c>
      <c r="F582" s="81"/>
      <c r="G582" s="81" t="s">
        <v>259</v>
      </c>
      <c r="H582" s="81" t="s">
        <v>71</v>
      </c>
      <c r="I582" s="105">
        <v>2175.207084468665</v>
      </c>
      <c r="J582" s="81" t="s">
        <v>1121</v>
      </c>
      <c r="K582" s="84">
        <v>45851</v>
      </c>
      <c r="L582" s="81">
        <v>2025401675</v>
      </c>
      <c r="M582" s="81" t="s">
        <v>225</v>
      </c>
      <c r="N582" s="81">
        <v>2025</v>
      </c>
    </row>
    <row r="583" spans="1:14">
      <c r="A583" s="81">
        <v>582</v>
      </c>
      <c r="B583" s="81" t="s">
        <v>43</v>
      </c>
      <c r="C583" s="81" t="s">
        <v>50</v>
      </c>
      <c r="D583" s="81" t="s">
        <v>61</v>
      </c>
      <c r="E583" s="81" t="s">
        <v>71</v>
      </c>
      <c r="F583" s="81"/>
      <c r="G583" s="81" t="s">
        <v>131</v>
      </c>
      <c r="H583" s="112" t="s">
        <v>71</v>
      </c>
      <c r="I583" s="105">
        <v>1954.95</v>
      </c>
      <c r="J583" s="81" t="s">
        <v>685</v>
      </c>
      <c r="K583" s="84">
        <v>45862</v>
      </c>
      <c r="L583" s="81">
        <v>2025402312</v>
      </c>
      <c r="M583" s="112" t="s">
        <v>225</v>
      </c>
      <c r="N583" s="81">
        <v>2025</v>
      </c>
    </row>
    <row r="584" spans="1:14">
      <c r="A584" s="81">
        <v>583</v>
      </c>
      <c r="B584" s="81" t="s">
        <v>43</v>
      </c>
      <c r="C584" s="81" t="s">
        <v>50</v>
      </c>
      <c r="D584" s="81" t="s">
        <v>61</v>
      </c>
      <c r="E584" s="81" t="s">
        <v>71</v>
      </c>
      <c r="F584" s="81"/>
      <c r="G584" s="81" t="s">
        <v>132</v>
      </c>
      <c r="H584" s="112" t="s">
        <v>71</v>
      </c>
      <c r="I584" s="105">
        <v>1936.86</v>
      </c>
      <c r="J584" s="81" t="s">
        <v>710</v>
      </c>
      <c r="K584" s="84">
        <v>45867</v>
      </c>
      <c r="L584" s="81">
        <v>2025402450</v>
      </c>
      <c r="M584" s="112" t="s">
        <v>225</v>
      </c>
      <c r="N584" s="81">
        <v>2025</v>
      </c>
    </row>
    <row r="585" spans="1:14">
      <c r="A585" s="81">
        <v>584</v>
      </c>
      <c r="B585" s="81" t="s">
        <v>43</v>
      </c>
      <c r="C585" s="81" t="s">
        <v>50</v>
      </c>
      <c r="D585" s="81" t="s">
        <v>61</v>
      </c>
      <c r="E585" s="112" t="s">
        <v>71</v>
      </c>
      <c r="F585" s="81"/>
      <c r="G585" s="81" t="s">
        <v>134</v>
      </c>
      <c r="H585" s="81" t="s">
        <v>71</v>
      </c>
      <c r="I585" s="105">
        <v>1567</v>
      </c>
      <c r="J585" s="81" t="s">
        <v>624</v>
      </c>
      <c r="K585" s="84">
        <v>45855</v>
      </c>
      <c r="L585" s="81">
        <v>2025402194</v>
      </c>
      <c r="M585" s="112" t="s">
        <v>225</v>
      </c>
      <c r="N585" s="81">
        <v>2025</v>
      </c>
    </row>
    <row r="586" spans="1:14">
      <c r="A586" s="81">
        <v>585</v>
      </c>
      <c r="B586" s="81" t="s">
        <v>43</v>
      </c>
      <c r="C586" s="81" t="s">
        <v>50</v>
      </c>
      <c r="D586" s="81" t="s">
        <v>61</v>
      </c>
      <c r="E586" s="112" t="s">
        <v>71</v>
      </c>
      <c r="F586" s="81"/>
      <c r="G586" s="81" t="s">
        <v>132</v>
      </c>
      <c r="H586" s="112" t="s">
        <v>71</v>
      </c>
      <c r="I586" s="105">
        <v>1535.16</v>
      </c>
      <c r="J586" s="81" t="s">
        <v>636</v>
      </c>
      <c r="K586" s="84">
        <v>45860</v>
      </c>
      <c r="L586" s="81">
        <v>2025402344</v>
      </c>
      <c r="M586" s="112" t="s">
        <v>225</v>
      </c>
      <c r="N586" s="81">
        <v>2025</v>
      </c>
    </row>
    <row r="587" spans="1:14">
      <c r="A587" s="81">
        <v>586</v>
      </c>
      <c r="B587" s="81" t="s">
        <v>43</v>
      </c>
      <c r="C587" s="81" t="s">
        <v>50</v>
      </c>
      <c r="D587" s="81" t="s">
        <v>61</v>
      </c>
      <c r="E587" s="81" t="s">
        <v>71</v>
      </c>
      <c r="F587" s="81"/>
      <c r="G587" s="81" t="s">
        <v>259</v>
      </c>
      <c r="H587" s="81" t="s">
        <v>71</v>
      </c>
      <c r="I587" s="103">
        <v>1198.9100817438693</v>
      </c>
      <c r="J587" s="81" t="s">
        <v>1175</v>
      </c>
      <c r="K587" s="84">
        <v>45846</v>
      </c>
      <c r="L587" s="81" t="s">
        <v>1178</v>
      </c>
      <c r="M587" s="81" t="s">
        <v>225</v>
      </c>
      <c r="N587" s="81">
        <v>2025</v>
      </c>
    </row>
    <row r="588" spans="1:14">
      <c r="A588" s="81">
        <v>587</v>
      </c>
      <c r="B588" s="81" t="s">
        <v>43</v>
      </c>
      <c r="C588" s="81" t="s">
        <v>50</v>
      </c>
      <c r="D588" s="81" t="s">
        <v>61</v>
      </c>
      <c r="E588" s="81" t="s">
        <v>71</v>
      </c>
      <c r="F588" s="81"/>
      <c r="G588" s="81" t="s">
        <v>132</v>
      </c>
      <c r="H588" s="112" t="s">
        <v>71</v>
      </c>
      <c r="I588" s="105">
        <v>965.34</v>
      </c>
      <c r="J588" s="81" t="s">
        <v>711</v>
      </c>
      <c r="K588" s="84">
        <v>45867</v>
      </c>
      <c r="L588" s="81">
        <v>2025402447</v>
      </c>
      <c r="M588" s="112" t="s">
        <v>225</v>
      </c>
      <c r="N588" s="81">
        <v>2025</v>
      </c>
    </row>
    <row r="589" spans="1:14">
      <c r="A589" s="81">
        <v>588</v>
      </c>
      <c r="B589" s="81" t="s">
        <v>43</v>
      </c>
      <c r="C589" s="81" t="s">
        <v>50</v>
      </c>
      <c r="D589" s="81" t="s">
        <v>61</v>
      </c>
      <c r="E589" s="81" t="s">
        <v>71</v>
      </c>
      <c r="F589" s="81"/>
      <c r="G589" s="81" t="s">
        <v>485</v>
      </c>
      <c r="H589" s="81" t="s">
        <v>71</v>
      </c>
      <c r="I589" s="83">
        <v>957.74647887323943</v>
      </c>
      <c r="J589" s="81" t="s">
        <v>1100</v>
      </c>
      <c r="K589" s="84">
        <v>45889</v>
      </c>
      <c r="L589" s="81">
        <v>2025402939</v>
      </c>
      <c r="M589" s="81" t="s">
        <v>226</v>
      </c>
      <c r="N589" s="81">
        <v>2025</v>
      </c>
    </row>
    <row r="590" spans="1:14">
      <c r="A590" s="81">
        <v>589</v>
      </c>
      <c r="B590" s="81" t="s">
        <v>43</v>
      </c>
      <c r="C590" s="81" t="s">
        <v>50</v>
      </c>
      <c r="D590" s="81" t="s">
        <v>61</v>
      </c>
      <c r="E590" s="112" t="s">
        <v>71</v>
      </c>
      <c r="F590" s="81"/>
      <c r="G590" s="81" t="s">
        <v>131</v>
      </c>
      <c r="H590" s="112" t="s">
        <v>71</v>
      </c>
      <c r="I590" s="105">
        <v>913.2</v>
      </c>
      <c r="J590" s="81" t="s">
        <v>675</v>
      </c>
      <c r="K590" s="84">
        <v>45866</v>
      </c>
      <c r="L590" s="81">
        <v>2025402400</v>
      </c>
      <c r="M590" s="112" t="s">
        <v>225</v>
      </c>
      <c r="N590" s="81">
        <v>2025</v>
      </c>
    </row>
    <row r="591" spans="1:14">
      <c r="A591" s="81">
        <v>590</v>
      </c>
      <c r="B591" s="81" t="s">
        <v>43</v>
      </c>
      <c r="C591" s="81" t="s">
        <v>50</v>
      </c>
      <c r="D591" s="81" t="s">
        <v>61</v>
      </c>
      <c r="E591" s="81" t="s">
        <v>71</v>
      </c>
      <c r="F591" s="81"/>
      <c r="G591" s="81" t="s">
        <v>131</v>
      </c>
      <c r="H591" s="112" t="s">
        <v>71</v>
      </c>
      <c r="I591" s="105">
        <v>842.66</v>
      </c>
      <c r="J591" s="81" t="s">
        <v>781</v>
      </c>
      <c r="K591" s="84">
        <v>45861</v>
      </c>
      <c r="L591" s="81">
        <v>2025402403</v>
      </c>
      <c r="M591" s="112" t="s">
        <v>225</v>
      </c>
      <c r="N591" s="81">
        <v>2025</v>
      </c>
    </row>
    <row r="592" spans="1:14">
      <c r="A592" s="81">
        <v>591</v>
      </c>
      <c r="B592" s="81" t="s">
        <v>43</v>
      </c>
      <c r="C592" s="81" t="s">
        <v>50</v>
      </c>
      <c r="D592" s="81" t="s">
        <v>61</v>
      </c>
      <c r="E592" s="81" t="s">
        <v>71</v>
      </c>
      <c r="F592" s="81"/>
      <c r="G592" s="81" t="s">
        <v>259</v>
      </c>
      <c r="H592" s="81" t="s">
        <v>71</v>
      </c>
      <c r="I592" s="105">
        <v>686.39782016348772</v>
      </c>
      <c r="J592" s="81" t="s">
        <v>1123</v>
      </c>
      <c r="K592" s="84">
        <v>45859</v>
      </c>
      <c r="L592" s="81">
        <v>2025401403</v>
      </c>
      <c r="M592" s="81" t="s">
        <v>225</v>
      </c>
      <c r="N592" s="81">
        <v>2025</v>
      </c>
    </row>
    <row r="593" spans="1:14">
      <c r="A593" s="81">
        <v>592</v>
      </c>
      <c r="B593" s="81" t="s">
        <v>43</v>
      </c>
      <c r="C593" s="81" t="s">
        <v>50</v>
      </c>
      <c r="D593" s="81" t="s">
        <v>61</v>
      </c>
      <c r="E593" s="81" t="s">
        <v>71</v>
      </c>
      <c r="F593" s="81"/>
      <c r="G593" s="81" t="s">
        <v>131</v>
      </c>
      <c r="H593" s="112" t="s">
        <v>71</v>
      </c>
      <c r="I593" s="105">
        <v>662.25</v>
      </c>
      <c r="J593" s="81" t="s">
        <v>662</v>
      </c>
      <c r="K593" s="84">
        <v>45861</v>
      </c>
      <c r="L593" s="81">
        <v>2025402286</v>
      </c>
      <c r="M593" s="112" t="s">
        <v>225</v>
      </c>
      <c r="N593" s="81">
        <v>2025</v>
      </c>
    </row>
    <row r="594" spans="1:14">
      <c r="A594" s="81">
        <v>593</v>
      </c>
      <c r="B594" s="81" t="s">
        <v>43</v>
      </c>
      <c r="C594" s="81" t="s">
        <v>50</v>
      </c>
      <c r="D594" s="81" t="s">
        <v>61</v>
      </c>
      <c r="E594" s="112" t="s">
        <v>71</v>
      </c>
      <c r="F594" s="81"/>
      <c r="G594" s="81" t="s">
        <v>132</v>
      </c>
      <c r="H594" s="112" t="s">
        <v>71</v>
      </c>
      <c r="I594" s="105">
        <v>591.4</v>
      </c>
      <c r="J594" s="81" t="s">
        <v>516</v>
      </c>
      <c r="K594" s="84">
        <v>45845</v>
      </c>
      <c r="L594" s="81">
        <v>2025402095</v>
      </c>
      <c r="M594" s="112" t="s">
        <v>225</v>
      </c>
      <c r="N594" s="81">
        <v>2025</v>
      </c>
    </row>
    <row r="595" spans="1:14">
      <c r="A595" s="81">
        <v>594</v>
      </c>
      <c r="B595" s="81" t="s">
        <v>43</v>
      </c>
      <c r="C595" s="81" t="s">
        <v>50</v>
      </c>
      <c r="D595" s="81" t="s">
        <v>61</v>
      </c>
      <c r="E595" s="81" t="s">
        <v>71</v>
      </c>
      <c r="F595" s="81"/>
      <c r="G595" s="81" t="s">
        <v>134</v>
      </c>
      <c r="H595" s="81" t="s">
        <v>71</v>
      </c>
      <c r="I595" s="105">
        <v>560</v>
      </c>
      <c r="J595" s="81" t="s">
        <v>922</v>
      </c>
      <c r="K595" s="84">
        <v>45893</v>
      </c>
      <c r="L595" s="81">
        <v>2025402694</v>
      </c>
      <c r="M595" s="81" t="s">
        <v>226</v>
      </c>
      <c r="N595" s="81">
        <v>2025</v>
      </c>
    </row>
    <row r="596" spans="1:14">
      <c r="A596" s="81">
        <v>595</v>
      </c>
      <c r="B596" s="81" t="s">
        <v>43</v>
      </c>
      <c r="C596" s="81" t="s">
        <v>50</v>
      </c>
      <c r="D596" s="81" t="s">
        <v>61</v>
      </c>
      <c r="E596" s="81" t="s">
        <v>71</v>
      </c>
      <c r="F596" s="81"/>
      <c r="G596" s="81" t="s">
        <v>134</v>
      </c>
      <c r="H596" s="81" t="s">
        <v>71</v>
      </c>
      <c r="I596" s="105">
        <v>525</v>
      </c>
      <c r="J596" s="81" t="s">
        <v>968</v>
      </c>
      <c r="K596" s="84">
        <v>45899</v>
      </c>
      <c r="L596" s="81">
        <v>2025402793</v>
      </c>
      <c r="M596" s="81" t="s">
        <v>226</v>
      </c>
      <c r="N596" s="81">
        <v>2025</v>
      </c>
    </row>
    <row r="597" spans="1:14">
      <c r="A597" s="81">
        <v>596</v>
      </c>
      <c r="B597" s="81" t="s">
        <v>43</v>
      </c>
      <c r="C597" s="81" t="s">
        <v>50</v>
      </c>
      <c r="D597" s="81" t="s">
        <v>61</v>
      </c>
      <c r="E597" s="112" t="s">
        <v>71</v>
      </c>
      <c r="F597" s="81"/>
      <c r="G597" s="81" t="s">
        <v>131</v>
      </c>
      <c r="H597" s="112" t="s">
        <v>71</v>
      </c>
      <c r="I597" s="105">
        <v>504.81</v>
      </c>
      <c r="J597" s="81" t="s">
        <v>789</v>
      </c>
      <c r="K597" s="84">
        <v>45875</v>
      </c>
      <c r="L597" s="81">
        <v>2025402537</v>
      </c>
      <c r="M597" s="112" t="s">
        <v>226</v>
      </c>
      <c r="N597" s="81">
        <v>2025</v>
      </c>
    </row>
    <row r="598" spans="1:14">
      <c r="A598" s="81">
        <v>597</v>
      </c>
      <c r="B598" s="81" t="s">
        <v>43</v>
      </c>
      <c r="C598" s="81" t="s">
        <v>50</v>
      </c>
      <c r="D598" s="81" t="s">
        <v>61</v>
      </c>
      <c r="E598" s="81" t="s">
        <v>71</v>
      </c>
      <c r="F598" s="81"/>
      <c r="G598" s="81" t="s">
        <v>131</v>
      </c>
      <c r="H598" s="112" t="s">
        <v>71</v>
      </c>
      <c r="I598" s="105">
        <v>495</v>
      </c>
      <c r="J598" s="81" t="s">
        <v>1095</v>
      </c>
      <c r="K598" s="84">
        <v>45889</v>
      </c>
      <c r="L598" s="81">
        <v>2024403740</v>
      </c>
      <c r="M598" s="81" t="s">
        <v>226</v>
      </c>
      <c r="N598" s="81">
        <v>2025</v>
      </c>
    </row>
    <row r="599" spans="1:14">
      <c r="A599" s="81">
        <v>598</v>
      </c>
      <c r="B599" s="81" t="s">
        <v>43</v>
      </c>
      <c r="C599" s="81" t="s">
        <v>50</v>
      </c>
      <c r="D599" s="81" t="s">
        <v>61</v>
      </c>
      <c r="E599" s="81" t="s">
        <v>71</v>
      </c>
      <c r="F599" s="81"/>
      <c r="G599" s="81" t="s">
        <v>131</v>
      </c>
      <c r="H599" s="112" t="s">
        <v>71</v>
      </c>
      <c r="I599" s="105">
        <v>488.88</v>
      </c>
      <c r="J599" s="81" t="s">
        <v>1045</v>
      </c>
      <c r="K599" s="84">
        <v>45900</v>
      </c>
      <c r="L599" s="81">
        <v>2025402847</v>
      </c>
      <c r="M599" s="81" t="s">
        <v>226</v>
      </c>
      <c r="N599" s="81">
        <v>2025</v>
      </c>
    </row>
    <row r="600" spans="1:14">
      <c r="A600" s="81">
        <v>599</v>
      </c>
      <c r="B600" s="81" t="s">
        <v>43</v>
      </c>
      <c r="C600" s="81" t="s">
        <v>50</v>
      </c>
      <c r="D600" s="81" t="s">
        <v>61</v>
      </c>
      <c r="E600" s="81" t="s">
        <v>71</v>
      </c>
      <c r="F600" s="81"/>
      <c r="G600" s="81" t="s">
        <v>134</v>
      </c>
      <c r="H600" s="81" t="s">
        <v>71</v>
      </c>
      <c r="I600" s="105">
        <v>450</v>
      </c>
      <c r="J600" s="81" t="s">
        <v>934</v>
      </c>
      <c r="K600" s="84">
        <v>45889</v>
      </c>
      <c r="L600" s="81">
        <v>2025402617</v>
      </c>
      <c r="M600" s="81" t="s">
        <v>226</v>
      </c>
      <c r="N600" s="81">
        <v>2025</v>
      </c>
    </row>
    <row r="601" spans="1:14">
      <c r="A601" s="81">
        <v>600</v>
      </c>
      <c r="B601" s="81" t="s">
        <v>43</v>
      </c>
      <c r="C601" s="81" t="s">
        <v>50</v>
      </c>
      <c r="D601" s="81" t="s">
        <v>61</v>
      </c>
      <c r="E601" s="81" t="s">
        <v>71</v>
      </c>
      <c r="F601" s="81"/>
      <c r="G601" s="81" t="s">
        <v>131</v>
      </c>
      <c r="H601" s="112" t="s">
        <v>71</v>
      </c>
      <c r="I601" s="105">
        <v>399.23</v>
      </c>
      <c r="J601" s="81" t="s">
        <v>1023</v>
      </c>
      <c r="K601" s="84">
        <v>45900</v>
      </c>
      <c r="L601" s="81">
        <v>2025402826</v>
      </c>
      <c r="M601" s="81" t="s">
        <v>226</v>
      </c>
      <c r="N601" s="81">
        <v>2025</v>
      </c>
    </row>
    <row r="602" spans="1:14">
      <c r="A602" s="81">
        <v>601</v>
      </c>
      <c r="B602" s="81" t="s">
        <v>43</v>
      </c>
      <c r="C602" s="81" t="s">
        <v>50</v>
      </c>
      <c r="D602" s="81" t="s">
        <v>61</v>
      </c>
      <c r="E602" s="81" t="s">
        <v>71</v>
      </c>
      <c r="F602" s="81"/>
      <c r="G602" s="81" t="s">
        <v>134</v>
      </c>
      <c r="H602" s="81" t="s">
        <v>71</v>
      </c>
      <c r="I602" s="105">
        <v>390</v>
      </c>
      <c r="J602" s="81" t="s">
        <v>924</v>
      </c>
      <c r="K602" s="84">
        <v>45893</v>
      </c>
      <c r="L602" s="81">
        <v>2025402676</v>
      </c>
      <c r="M602" s="81" t="s">
        <v>226</v>
      </c>
      <c r="N602" s="81">
        <v>2025</v>
      </c>
    </row>
    <row r="603" spans="1:14">
      <c r="A603" s="81">
        <v>602</v>
      </c>
      <c r="B603" s="81" t="s">
        <v>43</v>
      </c>
      <c r="C603" s="81" t="s">
        <v>50</v>
      </c>
      <c r="D603" s="81" t="s">
        <v>61</v>
      </c>
      <c r="E603" s="81" t="s">
        <v>71</v>
      </c>
      <c r="F603" s="81"/>
      <c r="G603" s="81" t="s">
        <v>132</v>
      </c>
      <c r="H603" s="112" t="s">
        <v>71</v>
      </c>
      <c r="I603" s="105">
        <v>379.84</v>
      </c>
      <c r="J603" s="107" t="s">
        <v>871</v>
      </c>
      <c r="K603" s="113">
        <v>45888</v>
      </c>
      <c r="L603" s="81">
        <v>2025402696</v>
      </c>
      <c r="M603" s="81" t="s">
        <v>226</v>
      </c>
      <c r="N603" s="81">
        <v>2025</v>
      </c>
    </row>
    <row r="604" spans="1:14">
      <c r="A604" s="81">
        <v>603</v>
      </c>
      <c r="B604" s="81" t="s">
        <v>43</v>
      </c>
      <c r="C604" s="81" t="s">
        <v>50</v>
      </c>
      <c r="D604" s="81" t="s">
        <v>61</v>
      </c>
      <c r="E604" s="112" t="s">
        <v>71</v>
      </c>
      <c r="F604" s="81"/>
      <c r="G604" s="81" t="s">
        <v>131</v>
      </c>
      <c r="H604" s="112" t="s">
        <v>71</v>
      </c>
      <c r="I604" s="105">
        <v>360</v>
      </c>
      <c r="J604" s="81" t="s">
        <v>684</v>
      </c>
      <c r="K604" s="84">
        <v>45865</v>
      </c>
      <c r="L604" s="81">
        <v>2025402377</v>
      </c>
      <c r="M604" s="112" t="s">
        <v>225</v>
      </c>
      <c r="N604" s="81">
        <v>2025</v>
      </c>
    </row>
    <row r="605" spans="1:14">
      <c r="A605" s="81">
        <v>604</v>
      </c>
      <c r="B605" s="81" t="s">
        <v>43</v>
      </c>
      <c r="C605" s="81" t="s">
        <v>50</v>
      </c>
      <c r="D605" s="81" t="s">
        <v>61</v>
      </c>
      <c r="E605" s="112" t="s">
        <v>71</v>
      </c>
      <c r="F605" s="81"/>
      <c r="G605" s="81" t="s">
        <v>131</v>
      </c>
      <c r="H605" s="112" t="s">
        <v>71</v>
      </c>
      <c r="I605" s="105">
        <v>322.8</v>
      </c>
      <c r="J605" s="81" t="s">
        <v>664</v>
      </c>
      <c r="K605" s="84">
        <v>45861</v>
      </c>
      <c r="L605" s="81">
        <v>2025402371</v>
      </c>
      <c r="M605" s="112" t="s">
        <v>225</v>
      </c>
      <c r="N605" s="81">
        <v>2025</v>
      </c>
    </row>
    <row r="606" spans="1:14">
      <c r="A606" s="81">
        <v>605</v>
      </c>
      <c r="B606" s="81" t="s">
        <v>43</v>
      </c>
      <c r="C606" s="81" t="s">
        <v>50</v>
      </c>
      <c r="D606" s="81" t="s">
        <v>61</v>
      </c>
      <c r="E606" s="81" t="s">
        <v>71</v>
      </c>
      <c r="F606" s="81"/>
      <c r="G606" s="81" t="s">
        <v>131</v>
      </c>
      <c r="H606" s="112" t="s">
        <v>71</v>
      </c>
      <c r="I606" s="105">
        <v>295.8</v>
      </c>
      <c r="J606" s="81" t="s">
        <v>752</v>
      </c>
      <c r="K606" s="84">
        <v>45873</v>
      </c>
      <c r="L606" s="81">
        <v>2025402536</v>
      </c>
      <c r="M606" s="112" t="s">
        <v>226</v>
      </c>
      <c r="N606" s="81">
        <v>2025</v>
      </c>
    </row>
    <row r="607" spans="1:14">
      <c r="A607" s="81">
        <v>606</v>
      </c>
      <c r="B607" s="81" t="s">
        <v>43</v>
      </c>
      <c r="C607" s="81" t="s">
        <v>50</v>
      </c>
      <c r="D607" s="81" t="s">
        <v>61</v>
      </c>
      <c r="E607" s="112" t="s">
        <v>71</v>
      </c>
      <c r="F607" s="81"/>
      <c r="G607" s="81" t="s">
        <v>131</v>
      </c>
      <c r="H607" s="112" t="s">
        <v>71</v>
      </c>
      <c r="I607" s="105">
        <v>289.04000000000002</v>
      </c>
      <c r="J607" s="81" t="s">
        <v>794</v>
      </c>
      <c r="K607" s="84">
        <v>45868</v>
      </c>
      <c r="L607" s="81">
        <v>2025402504</v>
      </c>
      <c r="M607" s="112" t="s">
        <v>225</v>
      </c>
      <c r="N607" s="81">
        <v>2025</v>
      </c>
    </row>
    <row r="608" spans="1:14">
      <c r="A608" s="81">
        <v>607</v>
      </c>
      <c r="B608" s="81" t="s">
        <v>43</v>
      </c>
      <c r="C608" s="81" t="s">
        <v>50</v>
      </c>
      <c r="D608" s="81" t="s">
        <v>61</v>
      </c>
      <c r="E608" s="112" t="s">
        <v>71</v>
      </c>
      <c r="F608" s="81"/>
      <c r="G608" s="81" t="s">
        <v>132</v>
      </c>
      <c r="H608" s="112" t="s">
        <v>71</v>
      </c>
      <c r="I608" s="105">
        <v>267.01</v>
      </c>
      <c r="J608" s="81" t="s">
        <v>544</v>
      </c>
      <c r="K608" s="84">
        <v>45850</v>
      </c>
      <c r="L608" s="81">
        <v>2025402186</v>
      </c>
      <c r="M608" s="112" t="s">
        <v>225</v>
      </c>
      <c r="N608" s="81">
        <v>2025</v>
      </c>
    </row>
    <row r="609" spans="1:14">
      <c r="A609" s="81">
        <v>608</v>
      </c>
      <c r="B609" s="81" t="s">
        <v>43</v>
      </c>
      <c r="C609" s="81" t="s">
        <v>50</v>
      </c>
      <c r="D609" s="81" t="s">
        <v>61</v>
      </c>
      <c r="E609" s="81" t="s">
        <v>71</v>
      </c>
      <c r="F609" s="81"/>
      <c r="G609" s="81" t="s">
        <v>131</v>
      </c>
      <c r="H609" s="112" t="s">
        <v>71</v>
      </c>
      <c r="I609" s="105">
        <v>240.75</v>
      </c>
      <c r="J609" s="81" t="s">
        <v>1040</v>
      </c>
      <c r="K609" s="84">
        <v>45900</v>
      </c>
      <c r="L609" s="81">
        <v>2025402833</v>
      </c>
      <c r="M609" s="81" t="s">
        <v>226</v>
      </c>
      <c r="N609" s="81">
        <v>2025</v>
      </c>
    </row>
    <row r="610" spans="1:14">
      <c r="A610" s="81">
        <v>609</v>
      </c>
      <c r="B610" s="81" t="s">
        <v>43</v>
      </c>
      <c r="C610" s="81" t="s">
        <v>50</v>
      </c>
      <c r="D610" s="81" t="s">
        <v>61</v>
      </c>
      <c r="E610" s="81" t="s">
        <v>71</v>
      </c>
      <c r="F610" s="81"/>
      <c r="G610" s="81" t="s">
        <v>132</v>
      </c>
      <c r="H610" s="112" t="s">
        <v>71</v>
      </c>
      <c r="I610" s="105">
        <v>231.42</v>
      </c>
      <c r="J610" s="107" t="s">
        <v>868</v>
      </c>
      <c r="K610" s="113">
        <v>45888</v>
      </c>
      <c r="L610" s="81">
        <v>2025402693</v>
      </c>
      <c r="M610" s="81" t="s">
        <v>226</v>
      </c>
      <c r="N610" s="81">
        <v>2025</v>
      </c>
    </row>
    <row r="611" spans="1:14">
      <c r="A611" s="81">
        <v>610</v>
      </c>
      <c r="B611" s="112" t="s">
        <v>43</v>
      </c>
      <c r="C611" s="112" t="s">
        <v>50</v>
      </c>
      <c r="D611" s="81" t="s">
        <v>61</v>
      </c>
      <c r="E611" s="112" t="s">
        <v>71</v>
      </c>
      <c r="F611" s="81"/>
      <c r="G611" s="112" t="s">
        <v>134</v>
      </c>
      <c r="H611" s="81" t="s">
        <v>71</v>
      </c>
      <c r="I611" s="105">
        <v>224</v>
      </c>
      <c r="J611" s="81" t="s">
        <v>570</v>
      </c>
      <c r="K611" s="84">
        <v>45850</v>
      </c>
      <c r="L611" s="81">
        <v>2025402166</v>
      </c>
      <c r="M611" s="112" t="s">
        <v>225</v>
      </c>
      <c r="N611" s="81">
        <v>2025</v>
      </c>
    </row>
    <row r="612" spans="1:14">
      <c r="A612" s="81">
        <v>611</v>
      </c>
      <c r="B612" s="81" t="s">
        <v>43</v>
      </c>
      <c r="C612" s="81" t="s">
        <v>50</v>
      </c>
      <c r="D612" s="81" t="s">
        <v>61</v>
      </c>
      <c r="E612" s="112" t="s">
        <v>71</v>
      </c>
      <c r="F612" s="81"/>
      <c r="G612" s="81" t="s">
        <v>134</v>
      </c>
      <c r="H612" s="81" t="s">
        <v>71</v>
      </c>
      <c r="I612" s="105">
        <v>205</v>
      </c>
      <c r="J612" s="81" t="s">
        <v>557</v>
      </c>
      <c r="K612" s="84">
        <v>45846</v>
      </c>
      <c r="L612" s="81">
        <v>2025402053</v>
      </c>
      <c r="M612" s="112" t="s">
        <v>225</v>
      </c>
      <c r="N612" s="81">
        <v>2025</v>
      </c>
    </row>
    <row r="613" spans="1:14">
      <c r="A613" s="81">
        <v>612</v>
      </c>
      <c r="B613" s="81" t="s">
        <v>43</v>
      </c>
      <c r="C613" s="81" t="s">
        <v>50</v>
      </c>
      <c r="D613" s="81" t="s">
        <v>61</v>
      </c>
      <c r="E613" s="81" t="s">
        <v>71</v>
      </c>
      <c r="F613" s="81"/>
      <c r="G613" s="81" t="s">
        <v>134</v>
      </c>
      <c r="H613" s="81" t="s">
        <v>71</v>
      </c>
      <c r="I613" s="105">
        <v>170</v>
      </c>
      <c r="J613" s="81" t="s">
        <v>1082</v>
      </c>
      <c r="K613" s="84">
        <v>45902</v>
      </c>
      <c r="L613" s="81">
        <v>2025402946</v>
      </c>
      <c r="M613" s="81" t="s">
        <v>226</v>
      </c>
      <c r="N613" s="81">
        <v>2025</v>
      </c>
    </row>
    <row r="614" spans="1:14">
      <c r="A614" s="81">
        <v>613</v>
      </c>
      <c r="B614" s="81" t="s">
        <v>43</v>
      </c>
      <c r="C614" s="81" t="s">
        <v>50</v>
      </c>
      <c r="D614" s="81" t="s">
        <v>61</v>
      </c>
      <c r="E614" s="112" t="s">
        <v>71</v>
      </c>
      <c r="F614" s="81"/>
      <c r="G614" s="81" t="s">
        <v>131</v>
      </c>
      <c r="H614" s="112" t="s">
        <v>71</v>
      </c>
      <c r="I614" s="105">
        <v>142.21</v>
      </c>
      <c r="J614" s="81" t="s">
        <v>705</v>
      </c>
      <c r="K614" s="84">
        <v>45867</v>
      </c>
      <c r="L614" s="81">
        <v>2025402445</v>
      </c>
      <c r="M614" s="112" t="s">
        <v>225</v>
      </c>
      <c r="N614" s="81">
        <v>2025</v>
      </c>
    </row>
    <row r="615" spans="1:14">
      <c r="A615" s="81">
        <v>614</v>
      </c>
      <c r="B615" s="81" t="s">
        <v>43</v>
      </c>
      <c r="C615" s="81" t="s">
        <v>50</v>
      </c>
      <c r="D615" s="81" t="s">
        <v>61</v>
      </c>
      <c r="E615" s="81" t="s">
        <v>71</v>
      </c>
      <c r="F615" s="81"/>
      <c r="G615" s="81" t="s">
        <v>134</v>
      </c>
      <c r="H615" s="81" t="s">
        <v>71</v>
      </c>
      <c r="I615" s="105">
        <v>138</v>
      </c>
      <c r="J615" s="81" t="s">
        <v>967</v>
      </c>
      <c r="K615" s="84">
        <v>45899</v>
      </c>
      <c r="L615" s="81">
        <v>2025402807</v>
      </c>
      <c r="M615" s="81" t="s">
        <v>226</v>
      </c>
      <c r="N615" s="81">
        <v>2025</v>
      </c>
    </row>
    <row r="616" spans="1:14">
      <c r="A616" s="81">
        <v>615</v>
      </c>
      <c r="B616" s="81" t="s">
        <v>43</v>
      </c>
      <c r="C616" s="81" t="s">
        <v>50</v>
      </c>
      <c r="D616" s="81" t="s">
        <v>61</v>
      </c>
      <c r="E616" s="112" t="s">
        <v>71</v>
      </c>
      <c r="F616" s="81"/>
      <c r="G616" s="81" t="s">
        <v>134</v>
      </c>
      <c r="H616" s="81" t="s">
        <v>71</v>
      </c>
      <c r="I616" s="105">
        <v>135</v>
      </c>
      <c r="J616" s="81" t="s">
        <v>688</v>
      </c>
      <c r="K616" s="84">
        <v>45855</v>
      </c>
      <c r="L616" s="81">
        <v>2025402158</v>
      </c>
      <c r="M616" s="112" t="s">
        <v>225</v>
      </c>
      <c r="N616" s="81">
        <v>2025</v>
      </c>
    </row>
    <row r="617" spans="1:14">
      <c r="A617" s="81">
        <v>616</v>
      </c>
      <c r="B617" s="81" t="s">
        <v>43</v>
      </c>
      <c r="C617" s="81" t="s">
        <v>50</v>
      </c>
      <c r="D617" s="81" t="s">
        <v>61</v>
      </c>
      <c r="E617" s="112" t="s">
        <v>71</v>
      </c>
      <c r="F617" s="81"/>
      <c r="G617" s="81" t="s">
        <v>131</v>
      </c>
      <c r="H617" s="112" t="s">
        <v>71</v>
      </c>
      <c r="I617" s="105">
        <v>117.69</v>
      </c>
      <c r="J617" s="81" t="s">
        <v>665</v>
      </c>
      <c r="K617" s="84">
        <v>45861</v>
      </c>
      <c r="L617" s="81">
        <v>2025402375</v>
      </c>
      <c r="M617" s="112" t="s">
        <v>225</v>
      </c>
      <c r="N617" s="81">
        <v>2025</v>
      </c>
    </row>
    <row r="618" spans="1:14">
      <c r="A618" s="81">
        <v>617</v>
      </c>
      <c r="B618" s="81" t="s">
        <v>43</v>
      </c>
      <c r="C618" s="81" t="s">
        <v>50</v>
      </c>
      <c r="D618" s="81" t="s">
        <v>61</v>
      </c>
      <c r="E618" s="81" t="s">
        <v>71</v>
      </c>
      <c r="F618" s="81"/>
      <c r="G618" s="81" t="s">
        <v>131</v>
      </c>
      <c r="H618" s="112" t="s">
        <v>71</v>
      </c>
      <c r="I618" s="105">
        <v>106.43</v>
      </c>
      <c r="J618" s="81" t="s">
        <v>1051</v>
      </c>
      <c r="K618" s="84">
        <v>45899</v>
      </c>
      <c r="L618" s="81">
        <v>2025402837</v>
      </c>
      <c r="M618" s="81" t="s">
        <v>226</v>
      </c>
      <c r="N618" s="81">
        <v>2025</v>
      </c>
    </row>
    <row r="619" spans="1:14">
      <c r="A619" s="81">
        <v>618</v>
      </c>
      <c r="B619" s="81" t="s">
        <v>43</v>
      </c>
      <c r="C619" s="81" t="s">
        <v>50</v>
      </c>
      <c r="D619" s="81" t="s">
        <v>61</v>
      </c>
      <c r="E619" s="81" t="s">
        <v>71</v>
      </c>
      <c r="F619" s="81"/>
      <c r="G619" s="81" t="s">
        <v>129</v>
      </c>
      <c r="H619" s="112" t="s">
        <v>71</v>
      </c>
      <c r="I619" s="83">
        <v>105.63380281690141</v>
      </c>
      <c r="J619" s="81" t="s">
        <v>1108</v>
      </c>
      <c r="K619" s="84">
        <v>45887</v>
      </c>
      <c r="L619" s="81">
        <v>2025402921</v>
      </c>
      <c r="M619" s="81" t="s">
        <v>226</v>
      </c>
      <c r="N619" s="81">
        <v>2025</v>
      </c>
    </row>
    <row r="620" spans="1:14">
      <c r="A620" s="81">
        <v>619</v>
      </c>
      <c r="B620" s="81" t="s">
        <v>43</v>
      </c>
      <c r="C620" s="81" t="s">
        <v>50</v>
      </c>
      <c r="D620" s="81" t="s">
        <v>61</v>
      </c>
      <c r="E620" s="112" t="s">
        <v>71</v>
      </c>
      <c r="F620" s="81"/>
      <c r="G620" s="81" t="s">
        <v>131</v>
      </c>
      <c r="H620" s="112" t="s">
        <v>71</v>
      </c>
      <c r="I620" s="105">
        <v>98.8</v>
      </c>
      <c r="J620" s="81" t="s">
        <v>799</v>
      </c>
      <c r="K620" s="84">
        <v>45874</v>
      </c>
      <c r="L620" s="81">
        <v>2025402517</v>
      </c>
      <c r="M620" s="112" t="s">
        <v>226</v>
      </c>
      <c r="N620" s="81">
        <v>2025</v>
      </c>
    </row>
    <row r="621" spans="1:14">
      <c r="A621" s="81">
        <v>620</v>
      </c>
      <c r="B621" s="81" t="s">
        <v>43</v>
      </c>
      <c r="C621" s="81" t="s">
        <v>50</v>
      </c>
      <c r="D621" s="81" t="s">
        <v>61</v>
      </c>
      <c r="E621" s="81" t="s">
        <v>71</v>
      </c>
      <c r="F621" s="81"/>
      <c r="G621" s="81" t="s">
        <v>134</v>
      </c>
      <c r="H621" s="81" t="s">
        <v>71</v>
      </c>
      <c r="I621" s="105">
        <v>97</v>
      </c>
      <c r="J621" s="81" t="s">
        <v>925</v>
      </c>
      <c r="K621" s="84">
        <v>45893</v>
      </c>
      <c r="L621" s="81">
        <v>2025402690</v>
      </c>
      <c r="M621" s="81" t="s">
        <v>226</v>
      </c>
      <c r="N621" s="81">
        <v>2025</v>
      </c>
    </row>
    <row r="622" spans="1:14">
      <c r="A622" s="81">
        <v>621</v>
      </c>
      <c r="B622" s="81" t="s">
        <v>43</v>
      </c>
      <c r="C622" s="81" t="s">
        <v>50</v>
      </c>
      <c r="D622" s="81" t="s">
        <v>61</v>
      </c>
      <c r="E622" s="81" t="s">
        <v>71</v>
      </c>
      <c r="F622" s="81"/>
      <c r="G622" s="81" t="s">
        <v>134</v>
      </c>
      <c r="H622" s="81" t="s">
        <v>71</v>
      </c>
      <c r="I622" s="105">
        <v>90</v>
      </c>
      <c r="J622" s="81" t="s">
        <v>571</v>
      </c>
      <c r="K622" s="84">
        <v>45848</v>
      </c>
      <c r="L622" s="81">
        <v>2025402150</v>
      </c>
      <c r="M622" s="112" t="s">
        <v>225</v>
      </c>
      <c r="N622" s="81">
        <v>2025</v>
      </c>
    </row>
    <row r="623" spans="1:14">
      <c r="A623" s="81">
        <v>622</v>
      </c>
      <c r="B623" s="81" t="s">
        <v>43</v>
      </c>
      <c r="C623" s="81" t="s">
        <v>50</v>
      </c>
      <c r="D623" s="81" t="s">
        <v>61</v>
      </c>
      <c r="E623" s="81" t="s">
        <v>71</v>
      </c>
      <c r="F623" s="81"/>
      <c r="G623" s="81" t="s">
        <v>134</v>
      </c>
      <c r="H623" s="81" t="s">
        <v>71</v>
      </c>
      <c r="I623" s="105">
        <v>70</v>
      </c>
      <c r="J623" s="81" t="s">
        <v>923</v>
      </c>
      <c r="K623" s="84">
        <v>45893</v>
      </c>
      <c r="L623" s="81">
        <v>2025402692</v>
      </c>
      <c r="M623" s="81" t="s">
        <v>226</v>
      </c>
      <c r="N623" s="81">
        <v>2025</v>
      </c>
    </row>
    <row r="624" spans="1:14">
      <c r="A624" s="81">
        <v>623</v>
      </c>
      <c r="B624" s="81" t="s">
        <v>43</v>
      </c>
      <c r="C624" s="81" t="s">
        <v>50</v>
      </c>
      <c r="D624" s="81" t="s">
        <v>61</v>
      </c>
      <c r="E624" s="81" t="s">
        <v>71</v>
      </c>
      <c r="F624" s="81"/>
      <c r="G624" s="81" t="s">
        <v>132</v>
      </c>
      <c r="H624" s="112" t="s">
        <v>71</v>
      </c>
      <c r="I624" s="105">
        <v>63.45</v>
      </c>
      <c r="J624" s="81" t="s">
        <v>858</v>
      </c>
      <c r="K624" s="84">
        <v>45887</v>
      </c>
      <c r="L624" s="81">
        <v>2025402621</v>
      </c>
      <c r="M624" s="81" t="s">
        <v>226</v>
      </c>
      <c r="N624" s="81">
        <v>2025</v>
      </c>
    </row>
    <row r="625" spans="1:14">
      <c r="A625" s="81">
        <v>624</v>
      </c>
      <c r="B625" s="81" t="s">
        <v>43</v>
      </c>
      <c r="C625" s="81" t="s">
        <v>50</v>
      </c>
      <c r="D625" s="81" t="s">
        <v>61</v>
      </c>
      <c r="E625" s="112" t="s">
        <v>71</v>
      </c>
      <c r="F625" s="81"/>
      <c r="G625" s="81" t="s">
        <v>132</v>
      </c>
      <c r="H625" s="112" t="s">
        <v>71</v>
      </c>
      <c r="I625" s="105">
        <v>53.03</v>
      </c>
      <c r="J625" s="81" t="s">
        <v>737</v>
      </c>
      <c r="K625" s="84">
        <v>45872</v>
      </c>
      <c r="L625" s="81">
        <v>2025402543</v>
      </c>
      <c r="M625" s="112" t="s">
        <v>226</v>
      </c>
      <c r="N625" s="81">
        <v>2025</v>
      </c>
    </row>
    <row r="626" spans="1:14">
      <c r="A626" s="81">
        <v>625</v>
      </c>
      <c r="B626" s="81" t="s">
        <v>43</v>
      </c>
      <c r="C626" s="81" t="s">
        <v>50</v>
      </c>
      <c r="D626" s="81" t="s">
        <v>61</v>
      </c>
      <c r="E626" s="81" t="s">
        <v>71</v>
      </c>
      <c r="F626" s="81"/>
      <c r="G626" s="81" t="s">
        <v>131</v>
      </c>
      <c r="H626" s="112" t="s">
        <v>71</v>
      </c>
      <c r="I626" s="105">
        <v>50.7</v>
      </c>
      <c r="J626" s="81" t="s">
        <v>1085</v>
      </c>
      <c r="K626" s="84">
        <v>45900</v>
      </c>
      <c r="L626" s="81">
        <v>2025402834</v>
      </c>
      <c r="M626" s="81" t="s">
        <v>226</v>
      </c>
      <c r="N626" s="81">
        <v>2025</v>
      </c>
    </row>
    <row r="627" spans="1:14">
      <c r="A627" s="81">
        <v>626</v>
      </c>
      <c r="B627" s="81" t="s">
        <v>43</v>
      </c>
      <c r="C627" s="81" t="s">
        <v>50</v>
      </c>
      <c r="D627" s="81" t="s">
        <v>61</v>
      </c>
      <c r="E627" s="112" t="s">
        <v>71</v>
      </c>
      <c r="F627" s="81"/>
      <c r="G627" s="81" t="s">
        <v>131</v>
      </c>
      <c r="H627" s="112" t="s">
        <v>71</v>
      </c>
      <c r="I627" s="105">
        <v>43.8</v>
      </c>
      <c r="J627" s="81" t="s">
        <v>834</v>
      </c>
      <c r="K627" s="84">
        <v>45876</v>
      </c>
      <c r="L627" s="81">
        <v>2025402522</v>
      </c>
      <c r="M627" s="112" t="s">
        <v>226</v>
      </c>
      <c r="N627" s="81">
        <v>2025</v>
      </c>
    </row>
    <row r="628" spans="1:14">
      <c r="A628" s="81">
        <v>627</v>
      </c>
      <c r="B628" s="81" t="s">
        <v>43</v>
      </c>
      <c r="C628" s="81" t="s">
        <v>49</v>
      </c>
      <c r="D628" s="81" t="s">
        <v>61</v>
      </c>
      <c r="E628" s="81" t="s">
        <v>71</v>
      </c>
      <c r="F628" s="81"/>
      <c r="G628" s="81" t="s">
        <v>64</v>
      </c>
      <c r="H628" s="81" t="s">
        <v>1286</v>
      </c>
      <c r="I628" s="83">
        <v>1426.056338028169</v>
      </c>
      <c r="J628" s="81" t="s">
        <v>68</v>
      </c>
      <c r="K628" s="84">
        <v>45887</v>
      </c>
      <c r="L628" s="109" t="s">
        <v>14</v>
      </c>
      <c r="M628" s="81" t="s">
        <v>226</v>
      </c>
      <c r="N628" s="81">
        <v>2025</v>
      </c>
    </row>
    <row r="629" spans="1:14">
      <c r="A629" s="81">
        <v>628</v>
      </c>
      <c r="B629" s="81" t="s">
        <v>43</v>
      </c>
      <c r="C629" s="81" t="s">
        <v>49</v>
      </c>
      <c r="D629" s="81" t="s">
        <v>61</v>
      </c>
      <c r="E629" s="81" t="s">
        <v>71</v>
      </c>
      <c r="F629" s="81"/>
      <c r="G629" s="81" t="s">
        <v>64</v>
      </c>
      <c r="H629" s="81" t="s">
        <v>1301</v>
      </c>
      <c r="I629" s="83">
        <v>1398.943661971831</v>
      </c>
      <c r="J629" s="81" t="s">
        <v>68</v>
      </c>
      <c r="K629" s="84">
        <v>45858</v>
      </c>
      <c r="L629" s="109" t="s">
        <v>14</v>
      </c>
      <c r="M629" s="81" t="s">
        <v>225</v>
      </c>
      <c r="N629" s="81">
        <v>2025</v>
      </c>
    </row>
    <row r="630" spans="1:14">
      <c r="A630" s="81">
        <v>629</v>
      </c>
      <c r="B630" s="81" t="s">
        <v>43</v>
      </c>
      <c r="C630" s="81" t="s">
        <v>49</v>
      </c>
      <c r="D630" s="81" t="s">
        <v>61</v>
      </c>
      <c r="E630" s="81" t="s">
        <v>71</v>
      </c>
      <c r="F630" s="81"/>
      <c r="G630" s="81" t="s">
        <v>134</v>
      </c>
      <c r="H630" s="81" t="s">
        <v>71</v>
      </c>
      <c r="I630" s="105">
        <v>1224.8</v>
      </c>
      <c r="J630" s="81" t="s">
        <v>598</v>
      </c>
      <c r="K630" s="84">
        <v>45855</v>
      </c>
      <c r="L630" s="81">
        <v>2025402245</v>
      </c>
      <c r="M630" s="112" t="s">
        <v>225</v>
      </c>
      <c r="N630" s="81">
        <v>2025</v>
      </c>
    </row>
    <row r="631" spans="1:14">
      <c r="A631" s="81">
        <v>630</v>
      </c>
      <c r="B631" s="81" t="s">
        <v>43</v>
      </c>
      <c r="C631" s="81" t="s">
        <v>49</v>
      </c>
      <c r="D631" s="81" t="s">
        <v>61</v>
      </c>
      <c r="E631" s="81" t="s">
        <v>71</v>
      </c>
      <c r="F631" s="81"/>
      <c r="G631" s="81" t="s">
        <v>64</v>
      </c>
      <c r="H631" s="81" t="s">
        <v>1286</v>
      </c>
      <c r="I631" s="83">
        <v>772.00704225352115</v>
      </c>
      <c r="J631" s="81" t="s">
        <v>68</v>
      </c>
      <c r="K631" s="84">
        <v>45907</v>
      </c>
      <c r="L631" s="109" t="s">
        <v>14</v>
      </c>
      <c r="M631" s="81" t="s">
        <v>225</v>
      </c>
      <c r="N631" s="81">
        <v>2025</v>
      </c>
    </row>
    <row r="632" spans="1:14">
      <c r="A632" s="81">
        <v>631</v>
      </c>
      <c r="B632" s="81" t="s">
        <v>43</v>
      </c>
      <c r="C632" s="81" t="s">
        <v>49</v>
      </c>
      <c r="D632" s="81" t="s">
        <v>61</v>
      </c>
      <c r="E632" s="81" t="s">
        <v>71</v>
      </c>
      <c r="F632" s="81"/>
      <c r="G632" s="81" t="s">
        <v>131</v>
      </c>
      <c r="H632" s="112" t="s">
        <v>71</v>
      </c>
      <c r="I632" s="105">
        <v>730</v>
      </c>
      <c r="J632" s="81" t="s">
        <v>1135</v>
      </c>
      <c r="K632" s="84">
        <v>45862</v>
      </c>
      <c r="L632" s="81">
        <v>2025402405</v>
      </c>
      <c r="M632" s="81" t="s">
        <v>225</v>
      </c>
      <c r="N632" s="81">
        <v>2025</v>
      </c>
    </row>
    <row r="633" spans="1:14">
      <c r="A633" s="81">
        <v>632</v>
      </c>
      <c r="B633" s="81" t="s">
        <v>43</v>
      </c>
      <c r="C633" s="81" t="s">
        <v>49</v>
      </c>
      <c r="D633" s="81" t="s">
        <v>61</v>
      </c>
      <c r="E633" s="81" t="s">
        <v>71</v>
      </c>
      <c r="F633" s="81"/>
      <c r="G633" s="81" t="s">
        <v>64</v>
      </c>
      <c r="H633" s="81" t="s">
        <v>1296</v>
      </c>
      <c r="I633" s="83">
        <v>641.02112676056333</v>
      </c>
      <c r="J633" s="81" t="s">
        <v>68</v>
      </c>
      <c r="K633" s="84">
        <v>45894</v>
      </c>
      <c r="L633" s="109" t="s">
        <v>14</v>
      </c>
      <c r="M633" s="81" t="s">
        <v>226</v>
      </c>
      <c r="N633" s="81">
        <v>2025</v>
      </c>
    </row>
    <row r="634" spans="1:14">
      <c r="A634" s="81">
        <v>633</v>
      </c>
      <c r="B634" s="81" t="s">
        <v>43</v>
      </c>
      <c r="C634" s="81" t="s">
        <v>49</v>
      </c>
      <c r="D634" s="81" t="s">
        <v>61</v>
      </c>
      <c r="E634" s="112" t="s">
        <v>71</v>
      </c>
      <c r="F634" s="81"/>
      <c r="G634" s="81" t="s">
        <v>131</v>
      </c>
      <c r="H634" s="112" t="s">
        <v>71</v>
      </c>
      <c r="I634" s="105">
        <v>166.5</v>
      </c>
      <c r="J634" s="81" t="s">
        <v>784</v>
      </c>
      <c r="K634" s="84">
        <v>45875</v>
      </c>
      <c r="L634" s="81">
        <v>2025402583</v>
      </c>
      <c r="M634" s="112" t="s">
        <v>226</v>
      </c>
      <c r="N634" s="81">
        <v>2025</v>
      </c>
    </row>
    <row r="635" spans="1:14">
      <c r="A635" s="81">
        <v>634</v>
      </c>
      <c r="B635" s="81" t="s">
        <v>273</v>
      </c>
      <c r="C635" s="81" t="s">
        <v>98</v>
      </c>
      <c r="D635" s="81" t="s">
        <v>61</v>
      </c>
      <c r="E635" s="81" t="s">
        <v>71</v>
      </c>
      <c r="F635" s="81"/>
      <c r="G635" s="81" t="s">
        <v>259</v>
      </c>
      <c r="H635" s="81" t="s">
        <v>71</v>
      </c>
      <c r="I635" s="103">
        <v>31105.381471389646</v>
      </c>
      <c r="J635" s="81" t="s">
        <v>1177</v>
      </c>
      <c r="K635" s="84">
        <v>45893</v>
      </c>
      <c r="L635" s="81" t="s">
        <v>1180</v>
      </c>
      <c r="M635" s="81" t="s">
        <v>226</v>
      </c>
      <c r="N635" s="81">
        <v>2025</v>
      </c>
    </row>
    <row r="636" spans="1:14">
      <c r="A636" s="81">
        <v>635</v>
      </c>
      <c r="B636" s="81" t="s">
        <v>55</v>
      </c>
      <c r="C636" s="81" t="s">
        <v>98</v>
      </c>
      <c r="D636" s="81" t="s">
        <v>61</v>
      </c>
      <c r="E636" s="81" t="s">
        <v>71</v>
      </c>
      <c r="F636" s="81"/>
      <c r="G636" s="81" t="s">
        <v>127</v>
      </c>
      <c r="H636" s="81" t="s">
        <v>128</v>
      </c>
      <c r="I636" s="105">
        <v>22203</v>
      </c>
      <c r="J636" s="81" t="s">
        <v>1078</v>
      </c>
      <c r="K636" s="84">
        <v>45899</v>
      </c>
      <c r="L636" s="81">
        <v>2025402876</v>
      </c>
      <c r="M636" s="81" t="s">
        <v>226</v>
      </c>
      <c r="N636" s="81">
        <v>2025</v>
      </c>
    </row>
    <row r="637" spans="1:14">
      <c r="A637" s="81">
        <v>636</v>
      </c>
      <c r="B637" s="81" t="s">
        <v>55</v>
      </c>
      <c r="C637" s="81" t="s">
        <v>98</v>
      </c>
      <c r="D637" s="81" t="s">
        <v>61</v>
      </c>
      <c r="E637" s="112" t="s">
        <v>71</v>
      </c>
      <c r="F637" s="81"/>
      <c r="G637" s="81" t="s">
        <v>244</v>
      </c>
      <c r="H637" s="81" t="s">
        <v>128</v>
      </c>
      <c r="I637" s="105">
        <v>17832</v>
      </c>
      <c r="J637" s="81" t="s">
        <v>747</v>
      </c>
      <c r="K637" s="84">
        <v>45853</v>
      </c>
      <c r="L637" s="81">
        <v>2025402575</v>
      </c>
      <c r="M637" s="112" t="s">
        <v>225</v>
      </c>
      <c r="N637" s="81">
        <v>2025</v>
      </c>
    </row>
    <row r="638" spans="1:14">
      <c r="A638" s="81">
        <v>637</v>
      </c>
      <c r="B638" s="112" t="s">
        <v>55</v>
      </c>
      <c r="C638" s="112" t="s">
        <v>98</v>
      </c>
      <c r="D638" s="81" t="s">
        <v>61</v>
      </c>
      <c r="E638" s="112" t="s">
        <v>71</v>
      </c>
      <c r="F638" s="81"/>
      <c r="G638" s="112" t="s">
        <v>244</v>
      </c>
      <c r="H638" s="81" t="s">
        <v>128</v>
      </c>
      <c r="I638" s="105">
        <v>14962</v>
      </c>
      <c r="J638" s="81" t="s">
        <v>700</v>
      </c>
      <c r="K638" s="84">
        <v>45848</v>
      </c>
      <c r="L638" s="81">
        <v>2025402485</v>
      </c>
      <c r="M638" s="112" t="s">
        <v>225</v>
      </c>
      <c r="N638" s="81">
        <v>2025</v>
      </c>
    </row>
    <row r="639" spans="1:14">
      <c r="A639" s="81">
        <v>638</v>
      </c>
      <c r="B639" s="81" t="s">
        <v>55</v>
      </c>
      <c r="C639" s="81" t="s">
        <v>98</v>
      </c>
      <c r="D639" s="81" t="s">
        <v>61</v>
      </c>
      <c r="E639" s="81" t="s">
        <v>71</v>
      </c>
      <c r="F639" s="81"/>
      <c r="G639" s="81" t="s">
        <v>244</v>
      </c>
      <c r="H639" s="81" t="s">
        <v>128</v>
      </c>
      <c r="I639" s="105">
        <v>13466</v>
      </c>
      <c r="J639" s="81" t="s">
        <v>1149</v>
      </c>
      <c r="K639" s="84">
        <v>45848</v>
      </c>
      <c r="L639" s="81">
        <v>2025403860</v>
      </c>
      <c r="M639" s="81" t="s">
        <v>225</v>
      </c>
      <c r="N639" s="81">
        <v>2025</v>
      </c>
    </row>
    <row r="640" spans="1:14">
      <c r="A640" s="81">
        <v>639</v>
      </c>
      <c r="B640" s="81" t="s">
        <v>55</v>
      </c>
      <c r="C640" s="81" t="s">
        <v>98</v>
      </c>
      <c r="D640" s="81" t="s">
        <v>61</v>
      </c>
      <c r="E640" s="112" t="s">
        <v>71</v>
      </c>
      <c r="F640" s="81"/>
      <c r="G640" s="81" t="s">
        <v>127</v>
      </c>
      <c r="H640" s="81" t="s">
        <v>128</v>
      </c>
      <c r="I640" s="105">
        <v>12848.1</v>
      </c>
      <c r="J640" s="81" t="s">
        <v>718</v>
      </c>
      <c r="K640" s="84">
        <v>45862</v>
      </c>
      <c r="L640" s="81">
        <v>2025402417</v>
      </c>
      <c r="M640" s="112" t="s">
        <v>225</v>
      </c>
      <c r="N640" s="81">
        <v>2025</v>
      </c>
    </row>
    <row r="641" spans="1:14">
      <c r="A641" s="81">
        <v>640</v>
      </c>
      <c r="B641" s="81" t="s">
        <v>55</v>
      </c>
      <c r="C641" s="81" t="s">
        <v>98</v>
      </c>
      <c r="D641" s="81" t="s">
        <v>61</v>
      </c>
      <c r="E641" s="81" t="s">
        <v>71</v>
      </c>
      <c r="F641" s="81"/>
      <c r="G641" s="81" t="s">
        <v>250</v>
      </c>
      <c r="H641" s="81" t="s">
        <v>283</v>
      </c>
      <c r="I641" s="83">
        <v>11267.605633802817</v>
      </c>
      <c r="J641" s="81" t="s">
        <v>1154</v>
      </c>
      <c r="K641" s="84">
        <v>45864</v>
      </c>
      <c r="L641" s="81">
        <v>2025402884</v>
      </c>
      <c r="M641" s="81" t="s">
        <v>226</v>
      </c>
      <c r="N641" s="81">
        <v>2025</v>
      </c>
    </row>
    <row r="642" spans="1:14">
      <c r="A642" s="81">
        <v>641</v>
      </c>
      <c r="B642" s="81" t="s">
        <v>55</v>
      </c>
      <c r="C642" s="81" t="s">
        <v>98</v>
      </c>
      <c r="D642" s="81" t="s">
        <v>61</v>
      </c>
      <c r="E642" s="81" t="s">
        <v>71</v>
      </c>
      <c r="F642" s="81"/>
      <c r="G642" s="81" t="s">
        <v>260</v>
      </c>
      <c r="H642" s="81" t="s">
        <v>261</v>
      </c>
      <c r="I642" s="105">
        <v>9142.5</v>
      </c>
      <c r="J642" s="81" t="s">
        <v>1104</v>
      </c>
      <c r="K642" s="84">
        <v>45870</v>
      </c>
      <c r="L642" s="81">
        <v>2025403223</v>
      </c>
      <c r="M642" s="81" t="s">
        <v>225</v>
      </c>
      <c r="N642" s="81">
        <v>2025</v>
      </c>
    </row>
    <row r="643" spans="1:14">
      <c r="A643" s="81">
        <v>642</v>
      </c>
      <c r="B643" s="81" t="s">
        <v>55</v>
      </c>
      <c r="C643" s="81" t="s">
        <v>98</v>
      </c>
      <c r="D643" s="81" t="s">
        <v>61</v>
      </c>
      <c r="E643" s="112" t="s">
        <v>71</v>
      </c>
      <c r="F643" s="81"/>
      <c r="G643" s="81" t="s">
        <v>486</v>
      </c>
      <c r="H643" s="81" t="s">
        <v>71</v>
      </c>
      <c r="I643" s="105">
        <v>9000</v>
      </c>
      <c r="J643" s="81" t="s">
        <v>253</v>
      </c>
      <c r="K643" s="84">
        <v>45869</v>
      </c>
      <c r="L643" s="81">
        <v>2025402452</v>
      </c>
      <c r="M643" s="112" t="s">
        <v>225</v>
      </c>
      <c r="N643" s="81">
        <v>2025</v>
      </c>
    </row>
    <row r="644" spans="1:14">
      <c r="A644" s="81">
        <v>643</v>
      </c>
      <c r="B644" s="112" t="s">
        <v>55</v>
      </c>
      <c r="C644" s="112" t="s">
        <v>98</v>
      </c>
      <c r="D644" s="81" t="s">
        <v>61</v>
      </c>
      <c r="E644" s="81" t="s">
        <v>71</v>
      </c>
      <c r="F644" s="81"/>
      <c r="G644" s="112" t="s">
        <v>132</v>
      </c>
      <c r="H644" s="112" t="s">
        <v>71</v>
      </c>
      <c r="I644" s="105">
        <v>5680</v>
      </c>
      <c r="J644" s="81" t="s">
        <v>741</v>
      </c>
      <c r="K644" s="84">
        <v>45872</v>
      </c>
      <c r="L644" s="81">
        <v>2025402459</v>
      </c>
      <c r="M644" s="112" t="s">
        <v>226</v>
      </c>
      <c r="N644" s="81">
        <v>2025</v>
      </c>
    </row>
    <row r="645" spans="1:14">
      <c r="A645" s="81">
        <v>644</v>
      </c>
      <c r="B645" s="81" t="s">
        <v>55</v>
      </c>
      <c r="C645" s="81" t="s">
        <v>98</v>
      </c>
      <c r="D645" s="81" t="s">
        <v>61</v>
      </c>
      <c r="E645" s="112" t="s">
        <v>71</v>
      </c>
      <c r="F645" s="81"/>
      <c r="G645" s="81" t="s">
        <v>481</v>
      </c>
      <c r="H645" s="112" t="s">
        <v>71</v>
      </c>
      <c r="I645" s="83">
        <v>5633.8028169014087</v>
      </c>
      <c r="J645" s="81" t="s">
        <v>696</v>
      </c>
      <c r="K645" s="84">
        <v>45850</v>
      </c>
      <c r="L645" s="81">
        <v>2025402406</v>
      </c>
      <c r="M645" s="112" t="s">
        <v>225</v>
      </c>
      <c r="N645" s="81">
        <v>2025</v>
      </c>
    </row>
    <row r="646" spans="1:14">
      <c r="A646" s="81">
        <v>645</v>
      </c>
      <c r="B646" s="81" t="s">
        <v>55</v>
      </c>
      <c r="C646" s="81" t="s">
        <v>98</v>
      </c>
      <c r="D646" s="81" t="s">
        <v>61</v>
      </c>
      <c r="E646" s="81" t="s">
        <v>71</v>
      </c>
      <c r="F646" s="81"/>
      <c r="G646" s="81" t="s">
        <v>304</v>
      </c>
      <c r="H646" s="81" t="s">
        <v>71</v>
      </c>
      <c r="I646" s="83">
        <v>4929.577464788732</v>
      </c>
      <c r="J646" s="81" t="s">
        <v>1111</v>
      </c>
      <c r="K646" s="84">
        <v>45879</v>
      </c>
      <c r="L646" s="81">
        <v>2025403154</v>
      </c>
      <c r="M646" s="81" t="s">
        <v>226</v>
      </c>
      <c r="N646" s="81">
        <v>2025</v>
      </c>
    </row>
    <row r="647" spans="1:14">
      <c r="A647" s="81">
        <v>646</v>
      </c>
      <c r="B647" s="81" t="s">
        <v>55</v>
      </c>
      <c r="C647" s="81" t="s">
        <v>98</v>
      </c>
      <c r="D647" s="81" t="s">
        <v>61</v>
      </c>
      <c r="E647" s="81" t="s">
        <v>71</v>
      </c>
      <c r="F647" s="81"/>
      <c r="G647" s="81" t="s">
        <v>260</v>
      </c>
      <c r="H647" s="81" t="s">
        <v>261</v>
      </c>
      <c r="I647" s="105">
        <v>4800</v>
      </c>
      <c r="J647" s="81" t="s">
        <v>1104</v>
      </c>
      <c r="K647" s="84">
        <v>45870</v>
      </c>
      <c r="L647" s="81">
        <v>2025403223</v>
      </c>
      <c r="M647" s="81" t="s">
        <v>225</v>
      </c>
      <c r="N647" s="81">
        <v>2025</v>
      </c>
    </row>
    <row r="648" spans="1:14">
      <c r="A648" s="81">
        <v>647</v>
      </c>
      <c r="B648" s="81" t="s">
        <v>273</v>
      </c>
      <c r="C648" s="81" t="s">
        <v>98</v>
      </c>
      <c r="D648" s="81" t="s">
        <v>61</v>
      </c>
      <c r="E648" s="81" t="s">
        <v>71</v>
      </c>
      <c r="F648" s="81"/>
      <c r="G648" s="81" t="s">
        <v>134</v>
      </c>
      <c r="H648" s="81" t="s">
        <v>71</v>
      </c>
      <c r="I648" s="105">
        <v>4074.8</v>
      </c>
      <c r="J648" s="81" t="s">
        <v>1163</v>
      </c>
      <c r="K648" s="84">
        <v>45913</v>
      </c>
      <c r="L648" s="81">
        <v>2025402413</v>
      </c>
      <c r="M648" s="81" t="s">
        <v>225</v>
      </c>
      <c r="N648" s="81">
        <v>2025</v>
      </c>
    </row>
    <row r="649" spans="1:14">
      <c r="A649" s="81">
        <v>648</v>
      </c>
      <c r="B649" s="81" t="s">
        <v>55</v>
      </c>
      <c r="C649" s="81" t="s">
        <v>98</v>
      </c>
      <c r="D649" s="81" t="s">
        <v>61</v>
      </c>
      <c r="E649" s="81" t="s">
        <v>71</v>
      </c>
      <c r="F649" s="81"/>
      <c r="G649" s="81" t="s">
        <v>132</v>
      </c>
      <c r="H649" s="112" t="s">
        <v>71</v>
      </c>
      <c r="I649" s="105">
        <v>3771.45</v>
      </c>
      <c r="J649" s="107" t="s">
        <v>883</v>
      </c>
      <c r="K649" s="113">
        <v>45889</v>
      </c>
      <c r="L649" s="81">
        <v>2025402720</v>
      </c>
      <c r="M649" s="81" t="s">
        <v>226</v>
      </c>
      <c r="N649" s="81">
        <v>2025</v>
      </c>
    </row>
    <row r="650" spans="1:14">
      <c r="A650" s="81">
        <v>649</v>
      </c>
      <c r="B650" s="81" t="s">
        <v>55</v>
      </c>
      <c r="C650" s="81" t="s">
        <v>98</v>
      </c>
      <c r="D650" s="81" t="s">
        <v>61</v>
      </c>
      <c r="E650" s="112" t="s">
        <v>71</v>
      </c>
      <c r="F650" s="81"/>
      <c r="G650" s="81" t="s">
        <v>131</v>
      </c>
      <c r="H650" s="112" t="s">
        <v>71</v>
      </c>
      <c r="I650" s="105">
        <v>3768.7</v>
      </c>
      <c r="J650" s="81" t="s">
        <v>599</v>
      </c>
      <c r="K650" s="84">
        <v>45858</v>
      </c>
      <c r="L650" s="81">
        <v>2025402185</v>
      </c>
      <c r="M650" s="112" t="s">
        <v>225</v>
      </c>
      <c r="N650" s="81">
        <v>2025</v>
      </c>
    </row>
    <row r="651" spans="1:14">
      <c r="A651" s="81">
        <v>650</v>
      </c>
      <c r="B651" s="112" t="s">
        <v>55</v>
      </c>
      <c r="C651" s="112" t="s">
        <v>98</v>
      </c>
      <c r="D651" s="81" t="s">
        <v>61</v>
      </c>
      <c r="E651" s="112" t="s">
        <v>71</v>
      </c>
      <c r="F651" s="81"/>
      <c r="G651" s="112" t="s">
        <v>133</v>
      </c>
      <c r="H651" s="81" t="s">
        <v>71</v>
      </c>
      <c r="I651" s="83">
        <v>3626.7605633802818</v>
      </c>
      <c r="J651" s="81" t="s">
        <v>727</v>
      </c>
      <c r="K651" s="84">
        <v>45851</v>
      </c>
      <c r="L651" s="81">
        <v>2025402513</v>
      </c>
      <c r="M651" s="112" t="s">
        <v>225</v>
      </c>
      <c r="N651" s="81">
        <v>2025</v>
      </c>
    </row>
    <row r="652" spans="1:14">
      <c r="A652" s="81">
        <v>651</v>
      </c>
      <c r="B652" s="81" t="s">
        <v>55</v>
      </c>
      <c r="C652" s="81" t="s">
        <v>98</v>
      </c>
      <c r="D652" s="81" t="s">
        <v>61</v>
      </c>
      <c r="E652" s="81" t="s">
        <v>71</v>
      </c>
      <c r="F652" s="81"/>
      <c r="G652" s="81" t="s">
        <v>134</v>
      </c>
      <c r="H652" s="81" t="s">
        <v>71</v>
      </c>
      <c r="I652" s="105">
        <v>3230</v>
      </c>
      <c r="J652" s="107" t="s">
        <v>904</v>
      </c>
      <c r="K652" s="113">
        <v>45895</v>
      </c>
      <c r="L652" s="81">
        <v>2025402764</v>
      </c>
      <c r="M652" s="81" t="s">
        <v>226</v>
      </c>
      <c r="N652" s="81">
        <v>2025</v>
      </c>
    </row>
    <row r="653" spans="1:14">
      <c r="A653" s="81">
        <v>652</v>
      </c>
      <c r="B653" s="81" t="s">
        <v>55</v>
      </c>
      <c r="C653" s="81" t="s">
        <v>98</v>
      </c>
      <c r="D653" s="81" t="s">
        <v>61</v>
      </c>
      <c r="E653" s="81" t="s">
        <v>71</v>
      </c>
      <c r="F653" s="81"/>
      <c r="G653" s="81" t="s">
        <v>304</v>
      </c>
      <c r="H653" s="81" t="s">
        <v>71</v>
      </c>
      <c r="I653" s="83">
        <v>2957.7464788732395</v>
      </c>
      <c r="J653" s="81" t="s">
        <v>1112</v>
      </c>
      <c r="K653" s="84">
        <v>45879</v>
      </c>
      <c r="L653" s="81">
        <v>2025403153</v>
      </c>
      <c r="M653" s="81" t="s">
        <v>226</v>
      </c>
      <c r="N653" s="81">
        <v>2025</v>
      </c>
    </row>
    <row r="654" spans="1:14">
      <c r="A654" s="81">
        <v>653</v>
      </c>
      <c r="B654" s="81" t="s">
        <v>55</v>
      </c>
      <c r="C654" s="81" t="s">
        <v>98</v>
      </c>
      <c r="D654" s="81" t="s">
        <v>61</v>
      </c>
      <c r="E654" s="112" t="s">
        <v>71</v>
      </c>
      <c r="F654" s="81"/>
      <c r="G654" s="81" t="s">
        <v>134</v>
      </c>
      <c r="H654" s="81" t="s">
        <v>71</v>
      </c>
      <c r="I654" s="105">
        <v>2835</v>
      </c>
      <c r="J654" s="81" t="s">
        <v>769</v>
      </c>
      <c r="K654" s="84">
        <v>45867</v>
      </c>
      <c r="L654" s="81">
        <v>2025402361</v>
      </c>
      <c r="M654" s="112" t="s">
        <v>225</v>
      </c>
      <c r="N654" s="81">
        <v>2025</v>
      </c>
    </row>
    <row r="655" spans="1:14">
      <c r="A655" s="81">
        <v>654</v>
      </c>
      <c r="B655" s="81" t="s">
        <v>273</v>
      </c>
      <c r="C655" s="81" t="s">
        <v>98</v>
      </c>
      <c r="D655" s="81" t="s">
        <v>61</v>
      </c>
      <c r="E655" s="81" t="s">
        <v>71</v>
      </c>
      <c r="F655" s="81"/>
      <c r="G655" s="81" t="s">
        <v>134</v>
      </c>
      <c r="H655" s="81" t="s">
        <v>71</v>
      </c>
      <c r="I655" s="105">
        <v>2819</v>
      </c>
      <c r="J655" s="81" t="s">
        <v>1166</v>
      </c>
      <c r="K655" s="84">
        <v>45976</v>
      </c>
      <c r="L655" s="81">
        <v>2025404167</v>
      </c>
      <c r="M655" s="81" t="s">
        <v>226</v>
      </c>
      <c r="N655" s="81">
        <v>2025</v>
      </c>
    </row>
    <row r="656" spans="1:14">
      <c r="A656" s="81">
        <v>655</v>
      </c>
      <c r="B656" s="81" t="s">
        <v>55</v>
      </c>
      <c r="C656" s="81" t="s">
        <v>98</v>
      </c>
      <c r="D656" s="81" t="s">
        <v>61</v>
      </c>
      <c r="E656" s="81" t="s">
        <v>71</v>
      </c>
      <c r="F656" s="81"/>
      <c r="G656" s="81" t="s">
        <v>133</v>
      </c>
      <c r="H656" s="81" t="s">
        <v>71</v>
      </c>
      <c r="I656" s="83">
        <v>2746.4788732394368</v>
      </c>
      <c r="J656" s="107" t="s">
        <v>876</v>
      </c>
      <c r="K656" s="113">
        <v>45873</v>
      </c>
      <c r="L656" s="81">
        <v>2025402731</v>
      </c>
      <c r="M656" s="81" t="s">
        <v>226</v>
      </c>
      <c r="N656" s="81">
        <v>2025</v>
      </c>
    </row>
    <row r="657" spans="1:14">
      <c r="A657" s="81">
        <v>656</v>
      </c>
      <c r="B657" s="81" t="s">
        <v>55</v>
      </c>
      <c r="C657" s="81" t="s">
        <v>98</v>
      </c>
      <c r="D657" s="81" t="s">
        <v>61</v>
      </c>
      <c r="E657" s="112" t="s">
        <v>71</v>
      </c>
      <c r="F657" s="81"/>
      <c r="G657" s="102" t="s">
        <v>131</v>
      </c>
      <c r="H657" s="112" t="s">
        <v>71</v>
      </c>
      <c r="I657" s="105">
        <v>2608.8000000000002</v>
      </c>
      <c r="J657" s="102" t="s">
        <v>502</v>
      </c>
      <c r="K657" s="114">
        <v>45839</v>
      </c>
      <c r="L657" s="102">
        <v>2025401999</v>
      </c>
      <c r="M657" s="112" t="s">
        <v>225</v>
      </c>
      <c r="N657" s="81">
        <v>2025</v>
      </c>
    </row>
    <row r="658" spans="1:14">
      <c r="A658" s="81">
        <v>657</v>
      </c>
      <c r="B658" s="81" t="s">
        <v>55</v>
      </c>
      <c r="C658" s="81" t="s">
        <v>98</v>
      </c>
      <c r="D658" s="81" t="s">
        <v>61</v>
      </c>
      <c r="E658" s="112" t="s">
        <v>71</v>
      </c>
      <c r="F658" s="81"/>
      <c r="G658" s="81" t="s">
        <v>131</v>
      </c>
      <c r="H658" s="112" t="s">
        <v>71</v>
      </c>
      <c r="I658" s="105">
        <v>2585.6</v>
      </c>
      <c r="J658" s="81" t="s">
        <v>538</v>
      </c>
      <c r="K658" s="84">
        <v>45846</v>
      </c>
      <c r="L658" s="81">
        <v>2025401996</v>
      </c>
      <c r="M658" s="112" t="s">
        <v>225</v>
      </c>
      <c r="N658" s="81">
        <v>2025</v>
      </c>
    </row>
    <row r="659" spans="1:14">
      <c r="A659" s="81">
        <v>658</v>
      </c>
      <c r="B659" s="81" t="s">
        <v>55</v>
      </c>
      <c r="C659" s="81" t="s">
        <v>98</v>
      </c>
      <c r="D659" s="81" t="s">
        <v>61</v>
      </c>
      <c r="E659" s="112" t="s">
        <v>71</v>
      </c>
      <c r="F659" s="81"/>
      <c r="G659" s="81" t="s">
        <v>244</v>
      </c>
      <c r="H659" s="81" t="s">
        <v>128</v>
      </c>
      <c r="I659" s="105">
        <v>2450</v>
      </c>
      <c r="J659" s="81" t="s">
        <v>695</v>
      </c>
      <c r="K659" s="84">
        <v>45850</v>
      </c>
      <c r="L659" s="81">
        <v>2025402455</v>
      </c>
      <c r="M659" s="112" t="s">
        <v>225</v>
      </c>
      <c r="N659" s="81">
        <v>2025</v>
      </c>
    </row>
    <row r="660" spans="1:14">
      <c r="A660" s="81">
        <v>659</v>
      </c>
      <c r="B660" s="81" t="s">
        <v>55</v>
      </c>
      <c r="C660" s="81" t="s">
        <v>98</v>
      </c>
      <c r="D660" s="81" t="s">
        <v>61</v>
      </c>
      <c r="E660" s="81" t="s">
        <v>71</v>
      </c>
      <c r="F660" s="81"/>
      <c r="G660" s="81" t="s">
        <v>134</v>
      </c>
      <c r="H660" s="81" t="s">
        <v>71</v>
      </c>
      <c r="I660" s="105">
        <v>2367.9</v>
      </c>
      <c r="J660" s="81" t="s">
        <v>1157</v>
      </c>
      <c r="K660" s="84">
        <v>45897</v>
      </c>
      <c r="L660" s="81">
        <v>2025402716</v>
      </c>
      <c r="M660" s="81" t="s">
        <v>226</v>
      </c>
      <c r="N660" s="81">
        <v>2025</v>
      </c>
    </row>
    <row r="661" spans="1:14">
      <c r="A661" s="81">
        <v>660</v>
      </c>
      <c r="B661" s="81" t="s">
        <v>55</v>
      </c>
      <c r="C661" s="81" t="s">
        <v>98</v>
      </c>
      <c r="D661" s="81" t="s">
        <v>61</v>
      </c>
      <c r="E661" s="112" t="s">
        <v>71</v>
      </c>
      <c r="F661" s="81"/>
      <c r="G661" s="81" t="s">
        <v>131</v>
      </c>
      <c r="H661" s="112" t="s">
        <v>71</v>
      </c>
      <c r="I661" s="105">
        <v>2320</v>
      </c>
      <c r="J661" s="81" t="s">
        <v>798</v>
      </c>
      <c r="K661" s="84">
        <v>45868</v>
      </c>
      <c r="L661" s="81">
        <v>2025402474</v>
      </c>
      <c r="M661" s="112" t="s">
        <v>225</v>
      </c>
      <c r="N661" s="81">
        <v>2025</v>
      </c>
    </row>
    <row r="662" spans="1:14">
      <c r="A662" s="81">
        <v>661</v>
      </c>
      <c r="B662" s="81" t="s">
        <v>55</v>
      </c>
      <c r="C662" s="81" t="s">
        <v>98</v>
      </c>
      <c r="D662" s="81" t="s">
        <v>61</v>
      </c>
      <c r="E662" s="112" t="s">
        <v>71</v>
      </c>
      <c r="F662" s="81"/>
      <c r="G662" s="81" t="s">
        <v>132</v>
      </c>
      <c r="H662" s="112" t="s">
        <v>71</v>
      </c>
      <c r="I662" s="105">
        <v>2313</v>
      </c>
      <c r="J662" s="81" t="s">
        <v>713</v>
      </c>
      <c r="K662" s="84">
        <v>45867</v>
      </c>
      <c r="L662" s="81">
        <v>2025402457</v>
      </c>
      <c r="M662" s="112" t="s">
        <v>225</v>
      </c>
      <c r="N662" s="81">
        <v>2025</v>
      </c>
    </row>
    <row r="663" spans="1:14">
      <c r="A663" s="81">
        <v>662</v>
      </c>
      <c r="B663" s="81" t="s">
        <v>55</v>
      </c>
      <c r="C663" s="81" t="s">
        <v>98</v>
      </c>
      <c r="D663" s="81" t="s">
        <v>61</v>
      </c>
      <c r="E663" s="81" t="s">
        <v>71</v>
      </c>
      <c r="F663" s="81"/>
      <c r="G663" s="81" t="s">
        <v>134</v>
      </c>
      <c r="H663" s="81" t="s">
        <v>71</v>
      </c>
      <c r="I663" s="105">
        <v>2282.4</v>
      </c>
      <c r="J663" s="107" t="s">
        <v>905</v>
      </c>
      <c r="K663" s="113">
        <v>45895</v>
      </c>
      <c r="L663" s="81">
        <v>2025402763</v>
      </c>
      <c r="M663" s="81" t="s">
        <v>226</v>
      </c>
      <c r="N663" s="81">
        <v>2025</v>
      </c>
    </row>
    <row r="664" spans="1:14">
      <c r="A664" s="81">
        <v>663</v>
      </c>
      <c r="B664" s="81" t="s">
        <v>55</v>
      </c>
      <c r="C664" s="81" t="s">
        <v>98</v>
      </c>
      <c r="D664" s="81" t="s">
        <v>61</v>
      </c>
      <c r="E664" s="81" t="s">
        <v>71</v>
      </c>
      <c r="F664" s="81"/>
      <c r="G664" s="81" t="s">
        <v>247</v>
      </c>
      <c r="H664" s="112" t="s">
        <v>71</v>
      </c>
      <c r="I664" s="83">
        <v>2274.6478873239435</v>
      </c>
      <c r="J664" s="81" t="s">
        <v>1147</v>
      </c>
      <c r="K664" s="84">
        <v>45862</v>
      </c>
      <c r="L664" s="81">
        <v>2025403745</v>
      </c>
      <c r="M664" s="81" t="s">
        <v>225</v>
      </c>
      <c r="N664" s="81">
        <v>2025</v>
      </c>
    </row>
    <row r="665" spans="1:14">
      <c r="A665" s="81">
        <v>664</v>
      </c>
      <c r="B665" s="81" t="s">
        <v>55</v>
      </c>
      <c r="C665" s="81" t="s">
        <v>98</v>
      </c>
      <c r="D665" s="81" t="s">
        <v>61</v>
      </c>
      <c r="E665" s="112" t="s">
        <v>71</v>
      </c>
      <c r="F665" s="81"/>
      <c r="G665" s="81" t="s">
        <v>131</v>
      </c>
      <c r="H665" s="112" t="s">
        <v>71</v>
      </c>
      <c r="I665" s="105">
        <v>2215.4</v>
      </c>
      <c r="J665" s="81" t="s">
        <v>536</v>
      </c>
      <c r="K665" s="84">
        <v>45845</v>
      </c>
      <c r="L665" s="81">
        <v>2025401994</v>
      </c>
      <c r="M665" s="112" t="s">
        <v>225</v>
      </c>
      <c r="N665" s="81">
        <v>2025</v>
      </c>
    </row>
    <row r="666" spans="1:14">
      <c r="A666" s="81">
        <v>665</v>
      </c>
      <c r="B666" s="81" t="s">
        <v>55</v>
      </c>
      <c r="C666" s="81" t="s">
        <v>98</v>
      </c>
      <c r="D666" s="81" t="s">
        <v>61</v>
      </c>
      <c r="E666" s="112" t="s">
        <v>71</v>
      </c>
      <c r="F666" s="81"/>
      <c r="G666" s="81" t="s">
        <v>131</v>
      </c>
      <c r="H666" s="112" t="s">
        <v>71</v>
      </c>
      <c r="I666" s="105">
        <v>2215.4</v>
      </c>
      <c r="J666" s="81" t="s">
        <v>535</v>
      </c>
      <c r="K666" s="84">
        <v>45846</v>
      </c>
      <c r="L666" s="81">
        <v>2025402026</v>
      </c>
      <c r="M666" s="112" t="s">
        <v>225</v>
      </c>
      <c r="N666" s="81">
        <v>2025</v>
      </c>
    </row>
    <row r="667" spans="1:14">
      <c r="A667" s="81">
        <v>666</v>
      </c>
      <c r="B667" s="81" t="s">
        <v>55</v>
      </c>
      <c r="C667" s="81" t="s">
        <v>98</v>
      </c>
      <c r="D667" s="81" t="s">
        <v>61</v>
      </c>
      <c r="E667" s="81" t="s">
        <v>71</v>
      </c>
      <c r="F667" s="81"/>
      <c r="G667" s="107" t="s">
        <v>488</v>
      </c>
      <c r="H667" s="112" t="s">
        <v>71</v>
      </c>
      <c r="I667" s="83">
        <v>2112.676056338028</v>
      </c>
      <c r="J667" s="107" t="s">
        <v>875</v>
      </c>
      <c r="K667" s="113">
        <v>45867</v>
      </c>
      <c r="L667" s="81">
        <v>2025402745</v>
      </c>
      <c r="M667" s="81" t="s">
        <v>225</v>
      </c>
      <c r="N667" s="81">
        <v>2025</v>
      </c>
    </row>
    <row r="668" spans="1:14">
      <c r="A668" s="81">
        <v>667</v>
      </c>
      <c r="B668" s="81" t="s">
        <v>55</v>
      </c>
      <c r="C668" s="81" t="s">
        <v>98</v>
      </c>
      <c r="D668" s="81" t="s">
        <v>61</v>
      </c>
      <c r="E668" s="81" t="s">
        <v>71</v>
      </c>
      <c r="F668" s="81"/>
      <c r="G668" s="81" t="s">
        <v>127</v>
      </c>
      <c r="H668" s="81" t="s">
        <v>128</v>
      </c>
      <c r="I668" s="105">
        <v>2088</v>
      </c>
      <c r="J668" s="81" t="s">
        <v>826</v>
      </c>
      <c r="K668" s="84">
        <v>45879</v>
      </c>
      <c r="L668" s="81">
        <v>2025402572</v>
      </c>
      <c r="M668" s="112" t="s">
        <v>226</v>
      </c>
      <c r="N668" s="81">
        <v>2025</v>
      </c>
    </row>
    <row r="669" spans="1:14">
      <c r="A669" s="81">
        <v>668</v>
      </c>
      <c r="B669" s="112" t="s">
        <v>55</v>
      </c>
      <c r="C669" s="112" t="s">
        <v>98</v>
      </c>
      <c r="D669" s="81" t="s">
        <v>61</v>
      </c>
      <c r="E669" s="81" t="s">
        <v>71</v>
      </c>
      <c r="F669" s="81"/>
      <c r="G669" s="81" t="s">
        <v>134</v>
      </c>
      <c r="H669" s="81" t="s">
        <v>71</v>
      </c>
      <c r="I669" s="105">
        <v>2004</v>
      </c>
      <c r="J669" s="81" t="s">
        <v>812</v>
      </c>
      <c r="K669" s="84">
        <v>45875</v>
      </c>
      <c r="L669" s="81">
        <v>2025402451</v>
      </c>
      <c r="M669" s="112" t="s">
        <v>226</v>
      </c>
      <c r="N669" s="81">
        <v>2025</v>
      </c>
    </row>
    <row r="670" spans="1:14">
      <c r="A670" s="81">
        <v>669</v>
      </c>
      <c r="B670" s="112" t="s">
        <v>55</v>
      </c>
      <c r="C670" s="112" t="s">
        <v>98</v>
      </c>
      <c r="D670" s="81" t="s">
        <v>61</v>
      </c>
      <c r="E670" s="112" t="s">
        <v>71</v>
      </c>
      <c r="F670" s="81"/>
      <c r="G670" s="112" t="s">
        <v>127</v>
      </c>
      <c r="H670" s="81" t="s">
        <v>128</v>
      </c>
      <c r="I670" s="105">
        <v>1928</v>
      </c>
      <c r="J670" s="81" t="s">
        <v>802</v>
      </c>
      <c r="K670" s="84">
        <v>45876</v>
      </c>
      <c r="L670" s="81">
        <v>2025402598</v>
      </c>
      <c r="M670" s="112" t="s">
        <v>226</v>
      </c>
      <c r="N670" s="81">
        <v>2025</v>
      </c>
    </row>
    <row r="671" spans="1:14">
      <c r="A671" s="81">
        <v>670</v>
      </c>
      <c r="B671" s="81" t="s">
        <v>273</v>
      </c>
      <c r="C671" s="81" t="s">
        <v>98</v>
      </c>
      <c r="D671" s="81" t="s">
        <v>61</v>
      </c>
      <c r="E671" s="81" t="s">
        <v>71</v>
      </c>
      <c r="F671" s="81"/>
      <c r="G671" s="81" t="s">
        <v>480</v>
      </c>
      <c r="H671" s="81" t="s">
        <v>71</v>
      </c>
      <c r="I671" s="105">
        <v>1800</v>
      </c>
      <c r="J671" s="81" t="s">
        <v>596</v>
      </c>
      <c r="K671" s="84">
        <v>45857</v>
      </c>
      <c r="L671" s="81">
        <v>2025402206</v>
      </c>
      <c r="M671" s="112" t="s">
        <v>225</v>
      </c>
      <c r="N671" s="81">
        <v>2025</v>
      </c>
    </row>
    <row r="672" spans="1:14">
      <c r="A672" s="81">
        <v>671</v>
      </c>
      <c r="B672" s="81" t="s">
        <v>55</v>
      </c>
      <c r="C672" s="81" t="s">
        <v>98</v>
      </c>
      <c r="D672" s="81" t="s">
        <v>61</v>
      </c>
      <c r="E672" s="81" t="s">
        <v>71</v>
      </c>
      <c r="F672" s="81"/>
      <c r="G672" s="81" t="s">
        <v>131</v>
      </c>
      <c r="H672" s="112" t="s">
        <v>71</v>
      </c>
      <c r="I672" s="105">
        <v>1701.8</v>
      </c>
      <c r="J672" s="81" t="s">
        <v>537</v>
      </c>
      <c r="K672" s="84">
        <v>45846</v>
      </c>
      <c r="L672" s="81">
        <v>2025402012</v>
      </c>
      <c r="M672" s="112" t="s">
        <v>225</v>
      </c>
      <c r="N672" s="81">
        <v>2025</v>
      </c>
    </row>
    <row r="673" spans="1:14">
      <c r="A673" s="81">
        <v>672</v>
      </c>
      <c r="B673" s="81" t="s">
        <v>55</v>
      </c>
      <c r="C673" s="81" t="s">
        <v>98</v>
      </c>
      <c r="D673" s="81" t="s">
        <v>61</v>
      </c>
      <c r="E673" s="81" t="s">
        <v>71</v>
      </c>
      <c r="F673" s="81"/>
      <c r="G673" s="81" t="s">
        <v>127</v>
      </c>
      <c r="H673" s="81" t="s">
        <v>128</v>
      </c>
      <c r="I673" s="105">
        <v>1670.4</v>
      </c>
      <c r="J673" s="81" t="s">
        <v>1063</v>
      </c>
      <c r="K673" s="84">
        <v>45892</v>
      </c>
      <c r="L673" s="81">
        <v>2025402778</v>
      </c>
      <c r="M673" s="81" t="s">
        <v>226</v>
      </c>
      <c r="N673" s="81">
        <v>2025</v>
      </c>
    </row>
    <row r="674" spans="1:14">
      <c r="A674" s="81">
        <v>673</v>
      </c>
      <c r="B674" s="81" t="s">
        <v>55</v>
      </c>
      <c r="C674" s="81" t="s">
        <v>98</v>
      </c>
      <c r="D674" s="81" t="s">
        <v>61</v>
      </c>
      <c r="E674" s="112" t="s">
        <v>71</v>
      </c>
      <c r="F674" s="81"/>
      <c r="G674" s="81" t="s">
        <v>244</v>
      </c>
      <c r="H674" s="81" t="s">
        <v>128</v>
      </c>
      <c r="I674" s="105">
        <v>1650</v>
      </c>
      <c r="J674" s="81" t="s">
        <v>699</v>
      </c>
      <c r="K674" s="84">
        <v>45853</v>
      </c>
      <c r="L674" s="81">
        <v>2025402456</v>
      </c>
      <c r="M674" s="112" t="s">
        <v>225</v>
      </c>
      <c r="N674" s="81">
        <v>2025</v>
      </c>
    </row>
    <row r="675" spans="1:14">
      <c r="A675" s="81">
        <v>674</v>
      </c>
      <c r="B675" s="112" t="s">
        <v>55</v>
      </c>
      <c r="C675" s="112" t="s">
        <v>98</v>
      </c>
      <c r="D675" s="81" t="s">
        <v>61</v>
      </c>
      <c r="E675" s="81" t="s">
        <v>71</v>
      </c>
      <c r="F675" s="81"/>
      <c r="G675" s="81" t="s">
        <v>131</v>
      </c>
      <c r="H675" s="112" t="s">
        <v>71</v>
      </c>
      <c r="I675" s="105">
        <v>1555.44</v>
      </c>
      <c r="J675" s="81" t="s">
        <v>795</v>
      </c>
      <c r="K675" s="84">
        <v>45875</v>
      </c>
      <c r="L675" s="81">
        <v>2025402506</v>
      </c>
      <c r="M675" s="112" t="s">
        <v>226</v>
      </c>
      <c r="N675" s="81">
        <v>2025</v>
      </c>
    </row>
    <row r="676" spans="1:14">
      <c r="A676" s="81">
        <v>675</v>
      </c>
      <c r="B676" s="81" t="s">
        <v>55</v>
      </c>
      <c r="C676" s="81" t="s">
        <v>98</v>
      </c>
      <c r="D676" s="81" t="s">
        <v>61</v>
      </c>
      <c r="E676" s="81" t="s">
        <v>71</v>
      </c>
      <c r="F676" s="81"/>
      <c r="G676" s="81" t="s">
        <v>248</v>
      </c>
      <c r="H676" s="81" t="s">
        <v>257</v>
      </c>
      <c r="I676" s="83">
        <v>1433.0985915492959</v>
      </c>
      <c r="J676" s="81" t="s">
        <v>584</v>
      </c>
      <c r="K676" s="84">
        <v>45848</v>
      </c>
      <c r="L676" s="81">
        <v>2025402330</v>
      </c>
      <c r="M676" s="112" t="s">
        <v>225</v>
      </c>
      <c r="N676" s="81">
        <v>2025</v>
      </c>
    </row>
    <row r="677" spans="1:14">
      <c r="A677" s="81">
        <v>676</v>
      </c>
      <c r="B677" s="81" t="s">
        <v>273</v>
      </c>
      <c r="C677" s="81" t="s">
        <v>98</v>
      </c>
      <c r="D677" s="81" t="s">
        <v>61</v>
      </c>
      <c r="E677" s="81" t="s">
        <v>71</v>
      </c>
      <c r="F677" s="81"/>
      <c r="G677" s="81" t="s">
        <v>248</v>
      </c>
      <c r="H677" s="81" t="s">
        <v>257</v>
      </c>
      <c r="I677" s="83">
        <v>1328.8732394366198</v>
      </c>
      <c r="J677" s="81" t="s">
        <v>585</v>
      </c>
      <c r="K677" s="84">
        <v>45848</v>
      </c>
      <c r="L677" s="81">
        <v>2025402331</v>
      </c>
      <c r="M677" s="112" t="s">
        <v>225</v>
      </c>
      <c r="N677" s="81">
        <v>2025</v>
      </c>
    </row>
    <row r="678" spans="1:14">
      <c r="A678" s="81">
        <v>677</v>
      </c>
      <c r="B678" s="81" t="s">
        <v>55</v>
      </c>
      <c r="C678" s="81" t="s">
        <v>98</v>
      </c>
      <c r="D678" s="81" t="s">
        <v>61</v>
      </c>
      <c r="E678" s="81" t="s">
        <v>71</v>
      </c>
      <c r="F678" s="81"/>
      <c r="G678" s="81" t="s">
        <v>131</v>
      </c>
      <c r="H678" s="112" t="s">
        <v>71</v>
      </c>
      <c r="I678" s="105">
        <v>1275.42</v>
      </c>
      <c r="J678" s="81" t="s">
        <v>1013</v>
      </c>
      <c r="K678" s="84">
        <v>45897</v>
      </c>
      <c r="L678" s="81">
        <v>2025402852</v>
      </c>
      <c r="M678" s="81" t="s">
        <v>226</v>
      </c>
      <c r="N678" s="81">
        <v>2025</v>
      </c>
    </row>
    <row r="679" spans="1:14">
      <c r="A679" s="81">
        <v>678</v>
      </c>
      <c r="B679" s="81" t="s">
        <v>55</v>
      </c>
      <c r="C679" s="81" t="s">
        <v>98</v>
      </c>
      <c r="D679" s="81" t="s">
        <v>61</v>
      </c>
      <c r="E679" s="81" t="s">
        <v>71</v>
      </c>
      <c r="F679" s="81"/>
      <c r="G679" s="81" t="s">
        <v>134</v>
      </c>
      <c r="H679" s="81" t="s">
        <v>71</v>
      </c>
      <c r="I679" s="105">
        <v>1160.7</v>
      </c>
      <c r="J679" s="81" t="s">
        <v>763</v>
      </c>
      <c r="K679" s="84">
        <v>45872</v>
      </c>
      <c r="L679" s="81">
        <v>2025402430</v>
      </c>
      <c r="M679" s="112" t="s">
        <v>226</v>
      </c>
      <c r="N679" s="81">
        <v>2025</v>
      </c>
    </row>
    <row r="680" spans="1:14">
      <c r="A680" s="81">
        <v>679</v>
      </c>
      <c r="B680" s="81" t="s">
        <v>55</v>
      </c>
      <c r="C680" s="81" t="s">
        <v>98</v>
      </c>
      <c r="D680" s="81" t="s">
        <v>61</v>
      </c>
      <c r="E680" s="81" t="s">
        <v>71</v>
      </c>
      <c r="F680" s="81"/>
      <c r="G680" s="81" t="s">
        <v>127</v>
      </c>
      <c r="H680" s="81" t="s">
        <v>128</v>
      </c>
      <c r="I680" s="105">
        <v>1156.8</v>
      </c>
      <c r="J680" s="107" t="s">
        <v>882</v>
      </c>
      <c r="K680" s="113">
        <v>45889</v>
      </c>
      <c r="L680" s="81">
        <v>2025402722</v>
      </c>
      <c r="M680" s="81" t="s">
        <v>226</v>
      </c>
      <c r="N680" s="81">
        <v>2025</v>
      </c>
    </row>
    <row r="681" spans="1:14">
      <c r="A681" s="81">
        <v>680</v>
      </c>
      <c r="B681" s="81" t="s">
        <v>55</v>
      </c>
      <c r="C681" s="81" t="s">
        <v>98</v>
      </c>
      <c r="D681" s="81" t="s">
        <v>61</v>
      </c>
      <c r="E681" s="81" t="s">
        <v>71</v>
      </c>
      <c r="F681" s="81"/>
      <c r="G681" s="81" t="s">
        <v>134</v>
      </c>
      <c r="H681" s="81" t="s">
        <v>71</v>
      </c>
      <c r="I681" s="105">
        <v>1152</v>
      </c>
      <c r="J681" s="81" t="s">
        <v>912</v>
      </c>
      <c r="K681" s="84">
        <v>45893</v>
      </c>
      <c r="L681" s="81">
        <v>2025402750</v>
      </c>
      <c r="M681" s="81" t="s">
        <v>226</v>
      </c>
      <c r="N681" s="81">
        <v>2025</v>
      </c>
    </row>
    <row r="682" spans="1:14">
      <c r="A682" s="81">
        <v>681</v>
      </c>
      <c r="B682" s="81" t="s">
        <v>55</v>
      </c>
      <c r="C682" s="81" t="s">
        <v>98</v>
      </c>
      <c r="D682" s="81" t="s">
        <v>61</v>
      </c>
      <c r="E682" s="112" t="s">
        <v>71</v>
      </c>
      <c r="F682" s="81"/>
      <c r="G682" s="81" t="s">
        <v>132</v>
      </c>
      <c r="H682" s="112" t="s">
        <v>71</v>
      </c>
      <c r="I682" s="105">
        <v>1040</v>
      </c>
      <c r="J682" s="81" t="s">
        <v>835</v>
      </c>
      <c r="K682" s="84">
        <v>45885</v>
      </c>
      <c r="L682" s="81">
        <v>2025402599</v>
      </c>
      <c r="M682" s="112" t="s">
        <v>226</v>
      </c>
      <c r="N682" s="81">
        <v>2025</v>
      </c>
    </row>
    <row r="683" spans="1:14">
      <c r="A683" s="81">
        <v>682</v>
      </c>
      <c r="B683" s="81" t="s">
        <v>55</v>
      </c>
      <c r="C683" s="81" t="s">
        <v>98</v>
      </c>
      <c r="D683" s="81" t="s">
        <v>61</v>
      </c>
      <c r="E683" s="81" t="s">
        <v>71</v>
      </c>
      <c r="F683" s="81"/>
      <c r="G683" s="81" t="s">
        <v>134</v>
      </c>
      <c r="H683" s="81" t="s">
        <v>71</v>
      </c>
      <c r="I683" s="105">
        <v>880</v>
      </c>
      <c r="J683" s="81" t="s">
        <v>974</v>
      </c>
      <c r="K683" s="84">
        <v>45897</v>
      </c>
      <c r="L683" s="81">
        <v>2025402714</v>
      </c>
      <c r="M683" s="81" t="s">
        <v>226</v>
      </c>
      <c r="N683" s="81">
        <v>2025</v>
      </c>
    </row>
    <row r="684" spans="1:14">
      <c r="A684" s="81">
        <v>683</v>
      </c>
      <c r="B684" s="81" t="s">
        <v>55</v>
      </c>
      <c r="C684" s="81" t="s">
        <v>98</v>
      </c>
      <c r="D684" s="81" t="s">
        <v>61</v>
      </c>
      <c r="E684" s="112" t="s">
        <v>71</v>
      </c>
      <c r="F684" s="81"/>
      <c r="G684" s="81" t="s">
        <v>131</v>
      </c>
      <c r="H684" s="112" t="s">
        <v>71</v>
      </c>
      <c r="I684" s="105">
        <v>851.22</v>
      </c>
      <c r="J684" s="81" t="s">
        <v>837</v>
      </c>
      <c r="K684" s="84">
        <v>45872</v>
      </c>
      <c r="L684" s="81">
        <v>2025402547</v>
      </c>
      <c r="M684" s="112" t="s">
        <v>226</v>
      </c>
      <c r="N684" s="81">
        <v>2025</v>
      </c>
    </row>
    <row r="685" spans="1:14">
      <c r="A685" s="81">
        <v>684</v>
      </c>
      <c r="B685" s="81" t="s">
        <v>55</v>
      </c>
      <c r="C685" s="81" t="s">
        <v>98</v>
      </c>
      <c r="D685" s="81" t="s">
        <v>61</v>
      </c>
      <c r="E685" s="81" t="s">
        <v>71</v>
      </c>
      <c r="F685" s="81"/>
      <c r="G685" s="81" t="s">
        <v>134</v>
      </c>
      <c r="H685" s="81" t="s">
        <v>71</v>
      </c>
      <c r="I685" s="105">
        <v>800</v>
      </c>
      <c r="J685" s="81" t="s">
        <v>916</v>
      </c>
      <c r="K685" s="84">
        <v>45893</v>
      </c>
      <c r="L685" s="81">
        <v>2025402734</v>
      </c>
      <c r="M685" s="81" t="s">
        <v>226</v>
      </c>
      <c r="N685" s="81">
        <v>2025</v>
      </c>
    </row>
    <row r="686" spans="1:14">
      <c r="A686" s="81">
        <v>685</v>
      </c>
      <c r="B686" s="81" t="s">
        <v>273</v>
      </c>
      <c r="C686" s="81" t="s">
        <v>98</v>
      </c>
      <c r="D686" s="81" t="s">
        <v>61</v>
      </c>
      <c r="E686" s="81" t="s">
        <v>71</v>
      </c>
      <c r="F686" s="81"/>
      <c r="G686" s="81" t="s">
        <v>134</v>
      </c>
      <c r="H686" s="81" t="s">
        <v>71</v>
      </c>
      <c r="I686" s="105">
        <v>780</v>
      </c>
      <c r="J686" s="81" t="s">
        <v>626</v>
      </c>
      <c r="K686" s="84">
        <v>45855</v>
      </c>
      <c r="L686" s="81">
        <v>2025402217</v>
      </c>
      <c r="M686" s="112" t="s">
        <v>225</v>
      </c>
      <c r="N686" s="81">
        <v>2025</v>
      </c>
    </row>
    <row r="687" spans="1:14">
      <c r="A687" s="81">
        <v>686</v>
      </c>
      <c r="B687" s="81" t="s">
        <v>55</v>
      </c>
      <c r="C687" s="81" t="s">
        <v>98</v>
      </c>
      <c r="D687" s="81" t="s">
        <v>61</v>
      </c>
      <c r="E687" s="81" t="s">
        <v>71</v>
      </c>
      <c r="F687" s="81"/>
      <c r="G687" s="81" t="s">
        <v>131</v>
      </c>
      <c r="H687" s="112" t="s">
        <v>71</v>
      </c>
      <c r="I687" s="105">
        <v>771</v>
      </c>
      <c r="J687" s="81" t="s">
        <v>1109</v>
      </c>
      <c r="K687" s="84">
        <v>45889</v>
      </c>
      <c r="L687" s="81">
        <v>2024403736</v>
      </c>
      <c r="M687" s="81" t="s">
        <v>226</v>
      </c>
      <c r="N687" s="81">
        <v>2025</v>
      </c>
    </row>
    <row r="688" spans="1:14">
      <c r="A688" s="81">
        <v>687</v>
      </c>
      <c r="B688" s="81" t="s">
        <v>55</v>
      </c>
      <c r="C688" s="81" t="s">
        <v>98</v>
      </c>
      <c r="D688" s="81" t="s">
        <v>61</v>
      </c>
      <c r="E688" s="112" t="s">
        <v>71</v>
      </c>
      <c r="F688" s="81"/>
      <c r="G688" s="81" t="s">
        <v>134</v>
      </c>
      <c r="H688" s="81" t="s">
        <v>71</v>
      </c>
      <c r="I688" s="105">
        <v>698.4</v>
      </c>
      <c r="J688" s="81" t="s">
        <v>760</v>
      </c>
      <c r="K688" s="84">
        <v>45872</v>
      </c>
      <c r="L688" s="81">
        <v>2025402337</v>
      </c>
      <c r="M688" s="112" t="s">
        <v>226</v>
      </c>
      <c r="N688" s="81">
        <v>2025</v>
      </c>
    </row>
    <row r="689" spans="1:14">
      <c r="A689" s="81">
        <v>688</v>
      </c>
      <c r="B689" s="81" t="s">
        <v>55</v>
      </c>
      <c r="C689" s="81" t="s">
        <v>98</v>
      </c>
      <c r="D689" s="81" t="s">
        <v>61</v>
      </c>
      <c r="E689" s="112" t="s">
        <v>71</v>
      </c>
      <c r="F689" s="81"/>
      <c r="G689" s="81" t="s">
        <v>131</v>
      </c>
      <c r="H689" s="112" t="s">
        <v>71</v>
      </c>
      <c r="I689" s="105">
        <v>693.3</v>
      </c>
      <c r="J689" s="81" t="s">
        <v>548</v>
      </c>
      <c r="K689" s="84">
        <v>45852</v>
      </c>
      <c r="L689" s="81">
        <v>2025402223</v>
      </c>
      <c r="M689" s="112" t="s">
        <v>225</v>
      </c>
      <c r="N689" s="81">
        <v>2025</v>
      </c>
    </row>
    <row r="690" spans="1:14">
      <c r="A690" s="81">
        <v>689</v>
      </c>
      <c r="B690" s="81" t="s">
        <v>55</v>
      </c>
      <c r="C690" s="81" t="s">
        <v>98</v>
      </c>
      <c r="D690" s="81" t="s">
        <v>61</v>
      </c>
      <c r="E690" s="112" t="s">
        <v>71</v>
      </c>
      <c r="F690" s="81"/>
      <c r="G690" s="81" t="s">
        <v>244</v>
      </c>
      <c r="H690" s="81" t="s">
        <v>128</v>
      </c>
      <c r="I690" s="105">
        <v>654</v>
      </c>
      <c r="J690" s="81" t="s">
        <v>724</v>
      </c>
      <c r="K690" s="84">
        <v>45861</v>
      </c>
      <c r="L690" s="81">
        <v>2025402510</v>
      </c>
      <c r="M690" s="112" t="s">
        <v>225</v>
      </c>
      <c r="N690" s="81">
        <v>2025</v>
      </c>
    </row>
    <row r="691" spans="1:14">
      <c r="A691" s="81">
        <v>690</v>
      </c>
      <c r="B691" s="81" t="s">
        <v>55</v>
      </c>
      <c r="C691" s="81" t="s">
        <v>98</v>
      </c>
      <c r="D691" s="81" t="s">
        <v>61</v>
      </c>
      <c r="E691" s="81" t="s">
        <v>71</v>
      </c>
      <c r="F691" s="81"/>
      <c r="G691" s="81" t="s">
        <v>134</v>
      </c>
      <c r="H691" s="81" t="s">
        <v>71</v>
      </c>
      <c r="I691" s="105">
        <v>582.6</v>
      </c>
      <c r="J691" s="81" t="s">
        <v>973</v>
      </c>
      <c r="K691" s="84">
        <v>45899</v>
      </c>
      <c r="L691" s="81">
        <v>2025402715</v>
      </c>
      <c r="M691" s="81" t="s">
        <v>226</v>
      </c>
      <c r="N691" s="81">
        <v>2025</v>
      </c>
    </row>
    <row r="692" spans="1:14">
      <c r="A692" s="81">
        <v>691</v>
      </c>
      <c r="B692" s="81" t="s">
        <v>273</v>
      </c>
      <c r="C692" s="81" t="s">
        <v>98</v>
      </c>
      <c r="D692" s="81" t="s">
        <v>61</v>
      </c>
      <c r="E692" s="81" t="s">
        <v>71</v>
      </c>
      <c r="F692" s="81"/>
      <c r="G692" s="81" t="s">
        <v>134</v>
      </c>
      <c r="H692" s="81" t="s">
        <v>71</v>
      </c>
      <c r="I692" s="105">
        <v>468</v>
      </c>
      <c r="J692" s="81" t="s">
        <v>1167</v>
      </c>
      <c r="K692" s="84">
        <v>45976</v>
      </c>
      <c r="L692" s="81">
        <v>2025404169</v>
      </c>
      <c r="M692" s="81" t="s">
        <v>226</v>
      </c>
      <c r="N692" s="81">
        <v>2025</v>
      </c>
    </row>
    <row r="693" spans="1:14">
      <c r="A693" s="81">
        <v>692</v>
      </c>
      <c r="B693" s="81" t="s">
        <v>55</v>
      </c>
      <c r="C693" s="81" t="s">
        <v>98</v>
      </c>
      <c r="D693" s="81" t="s">
        <v>61</v>
      </c>
      <c r="E693" s="81" t="s">
        <v>71</v>
      </c>
      <c r="F693" s="81"/>
      <c r="G693" s="81" t="s">
        <v>134</v>
      </c>
      <c r="H693" s="81" t="s">
        <v>71</v>
      </c>
      <c r="I693" s="105">
        <v>330</v>
      </c>
      <c r="J693" s="81" t="s">
        <v>1161</v>
      </c>
      <c r="K693" s="84">
        <v>45965</v>
      </c>
      <c r="L693" s="81">
        <v>2025403951</v>
      </c>
      <c r="M693" s="81" t="s">
        <v>226</v>
      </c>
      <c r="N693" s="81">
        <v>2025</v>
      </c>
    </row>
    <row r="694" spans="1:14">
      <c r="A694" s="81">
        <v>693</v>
      </c>
      <c r="B694" s="81" t="s">
        <v>55</v>
      </c>
      <c r="C694" s="81" t="s">
        <v>98</v>
      </c>
      <c r="D694" s="81" t="s">
        <v>61</v>
      </c>
      <c r="E694" s="81" t="s">
        <v>71</v>
      </c>
      <c r="F694" s="81"/>
      <c r="G694" s="81" t="s">
        <v>131</v>
      </c>
      <c r="H694" s="112" t="s">
        <v>71</v>
      </c>
      <c r="I694" s="105">
        <v>311.11</v>
      </c>
      <c r="J694" s="81" t="s">
        <v>1064</v>
      </c>
      <c r="K694" s="84">
        <v>45899</v>
      </c>
      <c r="L694" s="81">
        <v>2025402853</v>
      </c>
      <c r="M694" s="81" t="s">
        <v>226</v>
      </c>
      <c r="N694" s="81">
        <v>2025</v>
      </c>
    </row>
    <row r="695" spans="1:14">
      <c r="A695" s="81">
        <v>694</v>
      </c>
      <c r="B695" s="81" t="s">
        <v>55</v>
      </c>
      <c r="C695" s="81" t="s">
        <v>98</v>
      </c>
      <c r="D695" s="81" t="s">
        <v>61</v>
      </c>
      <c r="E695" s="81" t="s">
        <v>71</v>
      </c>
      <c r="F695" s="81"/>
      <c r="G695" s="81" t="s">
        <v>134</v>
      </c>
      <c r="H695" s="81" t="s">
        <v>71</v>
      </c>
      <c r="I695" s="105">
        <v>287.5</v>
      </c>
      <c r="J695" s="81" t="s">
        <v>1062</v>
      </c>
      <c r="K695" s="84">
        <v>45895</v>
      </c>
      <c r="L695" s="81">
        <v>2025402774</v>
      </c>
      <c r="M695" s="81" t="s">
        <v>226</v>
      </c>
      <c r="N695" s="81">
        <v>2025</v>
      </c>
    </row>
    <row r="696" spans="1:14">
      <c r="A696" s="81">
        <v>695</v>
      </c>
      <c r="B696" s="81" t="s">
        <v>55</v>
      </c>
      <c r="C696" s="81" t="s">
        <v>98</v>
      </c>
      <c r="D696" s="81" t="s">
        <v>61</v>
      </c>
      <c r="E696" s="112" t="s">
        <v>71</v>
      </c>
      <c r="F696" s="81"/>
      <c r="G696" s="81" t="s">
        <v>131</v>
      </c>
      <c r="H696" s="112" t="s">
        <v>71</v>
      </c>
      <c r="I696" s="105">
        <v>280</v>
      </c>
      <c r="J696" s="81" t="s">
        <v>532</v>
      </c>
      <c r="K696" s="84">
        <v>45846</v>
      </c>
      <c r="L696" s="81">
        <v>2025402064</v>
      </c>
      <c r="M696" s="112" t="s">
        <v>225</v>
      </c>
      <c r="N696" s="81">
        <v>2025</v>
      </c>
    </row>
    <row r="697" spans="1:14">
      <c r="A697" s="81">
        <v>696</v>
      </c>
      <c r="B697" s="112" t="s">
        <v>55</v>
      </c>
      <c r="C697" s="112" t="s">
        <v>98</v>
      </c>
      <c r="D697" s="81" t="s">
        <v>61</v>
      </c>
      <c r="E697" s="81" t="s">
        <v>71</v>
      </c>
      <c r="F697" s="81"/>
      <c r="G697" s="81" t="s">
        <v>134</v>
      </c>
      <c r="H697" s="81" t="s">
        <v>71</v>
      </c>
      <c r="I697" s="105">
        <v>259.5</v>
      </c>
      <c r="J697" s="81" t="s">
        <v>758</v>
      </c>
      <c r="K697" s="84">
        <v>45873</v>
      </c>
      <c r="L697" s="81">
        <v>2025402507</v>
      </c>
      <c r="M697" s="112" t="s">
        <v>226</v>
      </c>
      <c r="N697" s="81">
        <v>2025</v>
      </c>
    </row>
    <row r="698" spans="1:14">
      <c r="A698" s="81">
        <v>697</v>
      </c>
      <c r="B698" s="81" t="s">
        <v>273</v>
      </c>
      <c r="C698" s="81" t="s">
        <v>98</v>
      </c>
      <c r="D698" s="81" t="s">
        <v>61</v>
      </c>
      <c r="E698" s="112" t="s">
        <v>71</v>
      </c>
      <c r="F698" s="81"/>
      <c r="G698" s="81" t="s">
        <v>246</v>
      </c>
      <c r="H698" s="81" t="s">
        <v>71</v>
      </c>
      <c r="I698" s="83">
        <v>201.40845070422534</v>
      </c>
      <c r="J698" s="81" t="s">
        <v>638</v>
      </c>
      <c r="K698" s="84">
        <v>45850</v>
      </c>
      <c r="L698" s="81">
        <v>2025402205</v>
      </c>
      <c r="M698" s="112" t="s">
        <v>225</v>
      </c>
      <c r="N698" s="81">
        <v>2025</v>
      </c>
    </row>
    <row r="699" spans="1:14">
      <c r="A699" s="81">
        <v>698</v>
      </c>
      <c r="B699" s="81" t="s">
        <v>55</v>
      </c>
      <c r="C699" s="81" t="s">
        <v>98</v>
      </c>
      <c r="D699" s="81" t="s">
        <v>61</v>
      </c>
      <c r="E699" s="112" t="s">
        <v>71</v>
      </c>
      <c r="F699" s="81"/>
      <c r="G699" s="81" t="s">
        <v>132</v>
      </c>
      <c r="H699" s="112" t="s">
        <v>71</v>
      </c>
      <c r="I699" s="105">
        <v>197.25</v>
      </c>
      <c r="J699" s="81" t="s">
        <v>850</v>
      </c>
      <c r="K699" s="84">
        <v>45887</v>
      </c>
      <c r="L699" s="81">
        <v>2025402630</v>
      </c>
      <c r="M699" s="112" t="s">
        <v>226</v>
      </c>
      <c r="N699" s="81">
        <v>2025</v>
      </c>
    </row>
    <row r="700" spans="1:14">
      <c r="A700" s="81">
        <v>699</v>
      </c>
      <c r="B700" s="81" t="s">
        <v>55</v>
      </c>
      <c r="C700" s="81" t="s">
        <v>98</v>
      </c>
      <c r="D700" s="81" t="s">
        <v>61</v>
      </c>
      <c r="E700" s="81" t="s">
        <v>71</v>
      </c>
      <c r="F700" s="81"/>
      <c r="G700" s="81" t="s">
        <v>132</v>
      </c>
      <c r="H700" s="112" t="s">
        <v>71</v>
      </c>
      <c r="I700" s="105">
        <v>124.14</v>
      </c>
      <c r="J700" s="81" t="s">
        <v>712</v>
      </c>
      <c r="K700" s="84">
        <v>45867</v>
      </c>
      <c r="L700" s="81">
        <v>2025402394</v>
      </c>
      <c r="M700" s="112" t="s">
        <v>225</v>
      </c>
      <c r="N700" s="81">
        <v>2025</v>
      </c>
    </row>
    <row r="701" spans="1:14">
      <c r="A701" s="81">
        <v>700</v>
      </c>
      <c r="B701" s="81" t="s">
        <v>55</v>
      </c>
      <c r="C701" s="81" t="s">
        <v>98</v>
      </c>
      <c r="D701" s="81" t="s">
        <v>61</v>
      </c>
      <c r="E701" s="112" t="s">
        <v>71</v>
      </c>
      <c r="F701" s="81"/>
      <c r="G701" s="81" t="s">
        <v>131</v>
      </c>
      <c r="H701" s="112" t="s">
        <v>71</v>
      </c>
      <c r="I701" s="105">
        <v>116.5</v>
      </c>
      <c r="J701" s="81" t="s">
        <v>754</v>
      </c>
      <c r="K701" s="84">
        <v>45873</v>
      </c>
      <c r="L701" s="81">
        <v>2025402546</v>
      </c>
      <c r="M701" s="112" t="s">
        <v>226</v>
      </c>
      <c r="N701" s="81">
        <v>2025</v>
      </c>
    </row>
    <row r="702" spans="1:14">
      <c r="A702" s="81">
        <v>701</v>
      </c>
      <c r="B702" s="81" t="s">
        <v>43</v>
      </c>
      <c r="C702" s="81" t="s">
        <v>48</v>
      </c>
      <c r="D702" s="81" t="s">
        <v>61</v>
      </c>
      <c r="E702" s="81" t="s">
        <v>71</v>
      </c>
      <c r="F702" s="81"/>
      <c r="G702" s="81" t="s">
        <v>277</v>
      </c>
      <c r="H702" s="112" t="s">
        <v>71</v>
      </c>
      <c r="I702" s="83">
        <v>4746.4788732394363</v>
      </c>
      <c r="J702" s="81" t="s">
        <v>1068</v>
      </c>
      <c r="K702" s="84">
        <v>45894</v>
      </c>
      <c r="L702" s="81">
        <v>2025402916</v>
      </c>
      <c r="M702" s="81" t="s">
        <v>226</v>
      </c>
      <c r="N702" s="81">
        <v>2025</v>
      </c>
    </row>
    <row r="703" spans="1:14">
      <c r="A703" s="81">
        <v>702</v>
      </c>
      <c r="B703" s="81" t="s">
        <v>43</v>
      </c>
      <c r="C703" s="81" t="s">
        <v>48</v>
      </c>
      <c r="D703" s="81" t="s">
        <v>61</v>
      </c>
      <c r="E703" s="81" t="s">
        <v>71</v>
      </c>
      <c r="F703" s="81"/>
      <c r="G703" s="81" t="s">
        <v>129</v>
      </c>
      <c r="H703" s="112" t="s">
        <v>71</v>
      </c>
      <c r="I703" s="83">
        <v>1814.0845070422536</v>
      </c>
      <c r="J703" s="81" t="s">
        <v>1150</v>
      </c>
      <c r="K703" s="84">
        <v>45888</v>
      </c>
      <c r="L703" s="81">
        <v>2025403246</v>
      </c>
      <c r="M703" s="81" t="s">
        <v>226</v>
      </c>
      <c r="N703" s="81">
        <v>2025</v>
      </c>
    </row>
    <row r="704" spans="1:14">
      <c r="A704" s="81">
        <v>703</v>
      </c>
      <c r="B704" s="81" t="s">
        <v>43</v>
      </c>
      <c r="C704" s="81" t="s">
        <v>48</v>
      </c>
      <c r="D704" s="81" t="s">
        <v>61</v>
      </c>
      <c r="E704" s="81" t="s">
        <v>71</v>
      </c>
      <c r="F704" s="81"/>
      <c r="G704" s="81" t="s">
        <v>132</v>
      </c>
      <c r="H704" s="112" t="s">
        <v>71</v>
      </c>
      <c r="I704" s="105">
        <v>1428.44</v>
      </c>
      <c r="J704" s="107" t="s">
        <v>870</v>
      </c>
      <c r="K704" s="113">
        <v>45888</v>
      </c>
      <c r="L704" s="81">
        <v>2025402478</v>
      </c>
      <c r="M704" s="81" t="s">
        <v>226</v>
      </c>
      <c r="N704" s="81">
        <v>2025</v>
      </c>
    </row>
    <row r="705" spans="1:14">
      <c r="A705" s="81">
        <v>704</v>
      </c>
      <c r="B705" s="81" t="s">
        <v>43</v>
      </c>
      <c r="C705" s="81" t="s">
        <v>48</v>
      </c>
      <c r="D705" s="81" t="s">
        <v>61</v>
      </c>
      <c r="E705" s="81" t="s">
        <v>71</v>
      </c>
      <c r="F705" s="81"/>
      <c r="G705" s="81" t="s">
        <v>245</v>
      </c>
      <c r="H705" s="81" t="s">
        <v>71</v>
      </c>
      <c r="I705" s="105">
        <v>700</v>
      </c>
      <c r="J705" s="81" t="s">
        <v>1012</v>
      </c>
      <c r="K705" s="84">
        <v>45892</v>
      </c>
      <c r="L705" s="81">
        <v>2025402919</v>
      </c>
      <c r="M705" s="81" t="s">
        <v>226</v>
      </c>
      <c r="N705" s="81">
        <v>2025</v>
      </c>
    </row>
    <row r="706" spans="1:14">
      <c r="A706" s="81">
        <v>705</v>
      </c>
      <c r="B706" s="81" t="s">
        <v>43</v>
      </c>
      <c r="C706" s="81" t="s">
        <v>48</v>
      </c>
      <c r="D706" s="81" t="s">
        <v>61</v>
      </c>
      <c r="E706" s="112" t="s">
        <v>71</v>
      </c>
      <c r="F706" s="81"/>
      <c r="G706" s="81" t="s">
        <v>129</v>
      </c>
      <c r="H706" s="112" t="s">
        <v>71</v>
      </c>
      <c r="I706" s="105">
        <v>490</v>
      </c>
      <c r="J706" s="81" t="s">
        <v>778</v>
      </c>
      <c r="K706" s="84">
        <v>45861</v>
      </c>
      <c r="L706" s="81">
        <v>2025402560</v>
      </c>
      <c r="M706" s="112" t="s">
        <v>225</v>
      </c>
      <c r="N706" s="81">
        <v>2025</v>
      </c>
    </row>
    <row r="707" spans="1:14">
      <c r="A707" s="81">
        <v>706</v>
      </c>
      <c r="B707" s="81" t="s">
        <v>43</v>
      </c>
      <c r="C707" s="81" t="s">
        <v>48</v>
      </c>
      <c r="D707" s="81" t="s">
        <v>61</v>
      </c>
      <c r="E707" s="81" t="s">
        <v>71</v>
      </c>
      <c r="F707" s="81"/>
      <c r="G707" s="81" t="s">
        <v>132</v>
      </c>
      <c r="H707" s="112" t="s">
        <v>71</v>
      </c>
      <c r="I707" s="105">
        <v>58.9</v>
      </c>
      <c r="J707" s="107" t="s">
        <v>872</v>
      </c>
      <c r="K707" s="113">
        <v>45888</v>
      </c>
      <c r="L707" s="81">
        <v>2025402645</v>
      </c>
      <c r="M707" s="81" t="s">
        <v>226</v>
      </c>
      <c r="N707" s="81">
        <v>2025</v>
      </c>
    </row>
    <row r="708" spans="1:14">
      <c r="A708" s="81">
        <v>707</v>
      </c>
      <c r="B708" s="81" t="s">
        <v>43</v>
      </c>
      <c r="C708" s="81" t="s">
        <v>48</v>
      </c>
      <c r="D708" s="81" t="s">
        <v>61</v>
      </c>
      <c r="E708" s="81" t="s">
        <v>71</v>
      </c>
      <c r="F708" s="81"/>
      <c r="G708" s="81" t="s">
        <v>132</v>
      </c>
      <c r="H708" s="112" t="s">
        <v>71</v>
      </c>
      <c r="I708" s="105">
        <v>36.4</v>
      </c>
      <c r="J708" s="81" t="s">
        <v>1156</v>
      </c>
      <c r="K708" s="84">
        <v>45962</v>
      </c>
      <c r="L708" s="81">
        <v>2025402927</v>
      </c>
      <c r="M708" s="81" t="s">
        <v>226</v>
      </c>
      <c r="N708" s="81">
        <v>2025</v>
      </c>
    </row>
    <row r="709" spans="1:14">
      <c r="A709" s="81">
        <v>708</v>
      </c>
      <c r="B709" s="81" t="s">
        <v>35</v>
      </c>
      <c r="C709" s="81" t="s">
        <v>42</v>
      </c>
      <c r="D709" s="81" t="s">
        <v>61</v>
      </c>
      <c r="E709" s="81" t="s">
        <v>71</v>
      </c>
      <c r="F709" s="81"/>
      <c r="G709" s="81" t="s">
        <v>134</v>
      </c>
      <c r="H709" s="81" t="s">
        <v>71</v>
      </c>
      <c r="I709" s="105">
        <v>779.4</v>
      </c>
      <c r="J709" s="81" t="s">
        <v>929</v>
      </c>
      <c r="K709" s="84">
        <v>45889</v>
      </c>
      <c r="L709" s="81">
        <v>2025402679</v>
      </c>
      <c r="M709" s="81" t="s">
        <v>226</v>
      </c>
      <c r="N709" s="81">
        <v>2025</v>
      </c>
    </row>
    <row r="710" spans="1:14">
      <c r="A710" s="81">
        <v>709</v>
      </c>
      <c r="B710" s="81" t="s">
        <v>35</v>
      </c>
      <c r="C710" s="81" t="s">
        <v>42</v>
      </c>
      <c r="D710" s="81" t="s">
        <v>61</v>
      </c>
      <c r="E710" s="112" t="s">
        <v>71</v>
      </c>
      <c r="F710" s="81"/>
      <c r="G710" s="81" t="s">
        <v>134</v>
      </c>
      <c r="H710" s="81" t="s">
        <v>71</v>
      </c>
      <c r="I710" s="105">
        <v>280</v>
      </c>
      <c r="J710" s="81" t="s">
        <v>563</v>
      </c>
      <c r="K710" s="84">
        <v>45846</v>
      </c>
      <c r="L710" s="81">
        <v>2025402142</v>
      </c>
      <c r="M710" s="112" t="s">
        <v>225</v>
      </c>
      <c r="N710" s="81">
        <v>2025</v>
      </c>
    </row>
    <row r="711" spans="1:14">
      <c r="A711" s="81">
        <v>710</v>
      </c>
      <c r="B711" s="81" t="s">
        <v>35</v>
      </c>
      <c r="C711" s="81" t="s">
        <v>42</v>
      </c>
      <c r="D711" s="81" t="s">
        <v>61</v>
      </c>
      <c r="E711" s="112" t="s">
        <v>71</v>
      </c>
      <c r="F711" s="81"/>
      <c r="G711" s="81" t="s">
        <v>132</v>
      </c>
      <c r="H711" s="112" t="s">
        <v>71</v>
      </c>
      <c r="I711" s="105">
        <v>28.8</v>
      </c>
      <c r="J711" s="81" t="s">
        <v>515</v>
      </c>
      <c r="K711" s="84">
        <v>45845</v>
      </c>
      <c r="L711" s="81">
        <v>2025401872</v>
      </c>
      <c r="M711" s="112" t="s">
        <v>225</v>
      </c>
      <c r="N711" s="81">
        <v>2025</v>
      </c>
    </row>
    <row r="712" spans="1:14">
      <c r="A712" s="81">
        <v>711</v>
      </c>
      <c r="B712" s="81" t="s">
        <v>35</v>
      </c>
      <c r="C712" s="81" t="s">
        <v>41</v>
      </c>
      <c r="D712" s="81" t="s">
        <v>61</v>
      </c>
      <c r="E712" s="112" t="s">
        <v>71</v>
      </c>
      <c r="F712" s="81"/>
      <c r="G712" s="81" t="s">
        <v>247</v>
      </c>
      <c r="H712" s="112" t="s">
        <v>71</v>
      </c>
      <c r="I712" s="83">
        <v>3653.1690140845071</v>
      </c>
      <c r="J712" s="81" t="s">
        <v>673</v>
      </c>
      <c r="K712" s="84">
        <v>45862</v>
      </c>
      <c r="L712" s="81">
        <v>2025402220</v>
      </c>
      <c r="M712" s="112" t="s">
        <v>225</v>
      </c>
      <c r="N712" s="81">
        <v>2025</v>
      </c>
    </row>
    <row r="713" spans="1:14">
      <c r="A713" s="81">
        <v>712</v>
      </c>
      <c r="B713" s="81" t="s">
        <v>35</v>
      </c>
      <c r="C713" s="81" t="s">
        <v>41</v>
      </c>
      <c r="D713" s="81" t="s">
        <v>61</v>
      </c>
      <c r="E713" s="112" t="s">
        <v>71</v>
      </c>
      <c r="F713" s="81"/>
      <c r="G713" s="81" t="s">
        <v>131</v>
      </c>
      <c r="H713" s="112" t="s">
        <v>71</v>
      </c>
      <c r="I713" s="105">
        <v>3266</v>
      </c>
      <c r="J713" s="81" t="s">
        <v>828</v>
      </c>
      <c r="K713" s="84">
        <v>45873</v>
      </c>
      <c r="L713" s="81">
        <v>2025402502</v>
      </c>
      <c r="M713" s="112" t="s">
        <v>226</v>
      </c>
      <c r="N713" s="81">
        <v>2025</v>
      </c>
    </row>
    <row r="714" spans="1:14">
      <c r="A714" s="81">
        <v>713</v>
      </c>
      <c r="B714" s="81" t="s">
        <v>35</v>
      </c>
      <c r="C714" s="81" t="s">
        <v>41</v>
      </c>
      <c r="D714" s="81" t="s">
        <v>61</v>
      </c>
      <c r="E714" s="81" t="s">
        <v>71</v>
      </c>
      <c r="F714" s="81"/>
      <c r="G714" s="81" t="s">
        <v>131</v>
      </c>
      <c r="H714" s="112" t="s">
        <v>71</v>
      </c>
      <c r="I714" s="105">
        <v>69</v>
      </c>
      <c r="J714" s="81" t="s">
        <v>1057</v>
      </c>
      <c r="K714" s="84">
        <v>45899</v>
      </c>
      <c r="L714" s="81">
        <v>2025402839</v>
      </c>
      <c r="M714" s="81" t="s">
        <v>226</v>
      </c>
      <c r="N714" s="81">
        <v>2025</v>
      </c>
    </row>
    <row r="715" spans="1:14">
      <c r="A715" s="81">
        <v>714</v>
      </c>
      <c r="B715" s="81" t="s">
        <v>35</v>
      </c>
      <c r="C715" s="81" t="s">
        <v>40</v>
      </c>
      <c r="D715" s="81" t="s">
        <v>61</v>
      </c>
      <c r="E715" s="81" t="s">
        <v>71</v>
      </c>
      <c r="F715" s="81"/>
      <c r="G715" s="81" t="s">
        <v>132</v>
      </c>
      <c r="H715" s="112" t="s">
        <v>71</v>
      </c>
      <c r="I715" s="105">
        <v>17.12</v>
      </c>
      <c r="J715" s="107" t="s">
        <v>873</v>
      </c>
      <c r="K715" s="113">
        <v>45888</v>
      </c>
      <c r="L715" s="81">
        <v>2025402639</v>
      </c>
      <c r="M715" s="81" t="s">
        <v>226</v>
      </c>
      <c r="N715" s="81">
        <v>2025</v>
      </c>
    </row>
    <row r="716" spans="1:14">
      <c r="A716" s="81">
        <v>715</v>
      </c>
      <c r="B716" s="109" t="s">
        <v>29</v>
      </c>
      <c r="C716" s="109" t="s">
        <v>237</v>
      </c>
      <c r="D716" s="81" t="s">
        <v>61</v>
      </c>
      <c r="E716" s="81" t="s">
        <v>71</v>
      </c>
      <c r="F716" s="81"/>
      <c r="G716" s="81" t="s">
        <v>262</v>
      </c>
      <c r="H716" s="81" t="s">
        <v>261</v>
      </c>
      <c r="I716" s="83">
        <v>94190.74327973742</v>
      </c>
      <c r="J716" s="81" t="s">
        <v>279</v>
      </c>
      <c r="K716" s="84">
        <v>45901</v>
      </c>
      <c r="L716" s="81">
        <v>2025403220</v>
      </c>
      <c r="M716" s="81" t="s">
        <v>226</v>
      </c>
      <c r="N716" s="81">
        <v>2025</v>
      </c>
    </row>
    <row r="717" spans="1:14">
      <c r="A717" s="81">
        <v>716</v>
      </c>
      <c r="B717" s="109" t="s">
        <v>29</v>
      </c>
      <c r="C717" s="109" t="s">
        <v>237</v>
      </c>
      <c r="D717" s="81" t="s">
        <v>61</v>
      </c>
      <c r="E717" s="81" t="s">
        <v>71</v>
      </c>
      <c r="F717" s="81"/>
      <c r="G717" s="81" t="s">
        <v>127</v>
      </c>
      <c r="H717" s="81" t="s">
        <v>128</v>
      </c>
      <c r="I717" s="105">
        <v>73960</v>
      </c>
      <c r="J717" s="81" t="s">
        <v>1081</v>
      </c>
      <c r="K717" s="84">
        <v>45902</v>
      </c>
      <c r="L717" s="81">
        <v>2025402995</v>
      </c>
      <c r="M717" s="81" t="s">
        <v>226</v>
      </c>
      <c r="N717" s="81">
        <v>2025</v>
      </c>
    </row>
    <row r="718" spans="1:14">
      <c r="A718" s="81">
        <v>717</v>
      </c>
      <c r="B718" s="109" t="s">
        <v>29</v>
      </c>
      <c r="C718" s="109" t="s">
        <v>237</v>
      </c>
      <c r="D718" s="81" t="s">
        <v>61</v>
      </c>
      <c r="E718" s="112" t="s">
        <v>71</v>
      </c>
      <c r="F718" s="81"/>
      <c r="G718" s="81" t="s">
        <v>127</v>
      </c>
      <c r="H718" s="81" t="s">
        <v>128</v>
      </c>
      <c r="I718" s="105">
        <v>69660</v>
      </c>
      <c r="J718" s="81" t="s">
        <v>643</v>
      </c>
      <c r="K718" s="84">
        <v>45862</v>
      </c>
      <c r="L718" s="81">
        <v>2025402419</v>
      </c>
      <c r="M718" s="112" t="s">
        <v>225</v>
      </c>
      <c r="N718" s="81">
        <v>2025</v>
      </c>
    </row>
    <row r="719" spans="1:14">
      <c r="A719" s="81">
        <v>718</v>
      </c>
      <c r="B719" s="109" t="s">
        <v>29</v>
      </c>
      <c r="C719" s="109" t="s">
        <v>237</v>
      </c>
      <c r="D719" s="81" t="s">
        <v>61</v>
      </c>
      <c r="E719" s="112" t="s">
        <v>71</v>
      </c>
      <c r="F719" s="81"/>
      <c r="G719" s="81" t="s">
        <v>127</v>
      </c>
      <c r="H719" s="81" t="s">
        <v>128</v>
      </c>
      <c r="I719" s="105">
        <v>38776.300000000003</v>
      </c>
      <c r="J719" s="81" t="s">
        <v>785</v>
      </c>
      <c r="K719" s="84">
        <v>45874</v>
      </c>
      <c r="L719" s="81">
        <v>2025402573</v>
      </c>
      <c r="M719" s="112" t="s">
        <v>226</v>
      </c>
      <c r="N719" s="81">
        <v>2025</v>
      </c>
    </row>
    <row r="720" spans="1:14">
      <c r="A720" s="81">
        <v>719</v>
      </c>
      <c r="B720" s="109" t="s">
        <v>29</v>
      </c>
      <c r="C720" s="109" t="s">
        <v>237</v>
      </c>
      <c r="D720" s="81" t="s">
        <v>61</v>
      </c>
      <c r="E720" s="81" t="s">
        <v>71</v>
      </c>
      <c r="F720" s="81"/>
      <c r="G720" s="81" t="s">
        <v>127</v>
      </c>
      <c r="H720" s="81" t="s">
        <v>128</v>
      </c>
      <c r="I720" s="105">
        <v>16030.4</v>
      </c>
      <c r="J720" s="81" t="s">
        <v>1080</v>
      </c>
      <c r="K720" s="84">
        <v>45902</v>
      </c>
      <c r="L720" s="81">
        <v>2025402997</v>
      </c>
      <c r="M720" s="81" t="s">
        <v>226</v>
      </c>
      <c r="N720" s="81">
        <v>2025</v>
      </c>
    </row>
    <row r="721" spans="1:14">
      <c r="A721" s="81">
        <v>720</v>
      </c>
      <c r="B721" s="109" t="s">
        <v>29</v>
      </c>
      <c r="C721" s="109" t="s">
        <v>237</v>
      </c>
      <c r="D721" s="81" t="s">
        <v>61</v>
      </c>
      <c r="E721" s="112" t="s">
        <v>71</v>
      </c>
      <c r="F721" s="81"/>
      <c r="G721" s="81" t="s">
        <v>277</v>
      </c>
      <c r="H721" s="112" t="s">
        <v>71</v>
      </c>
      <c r="I721" s="83">
        <v>14788.732394366198</v>
      </c>
      <c r="J721" s="81" t="s">
        <v>645</v>
      </c>
      <c r="K721" s="84">
        <v>45850</v>
      </c>
      <c r="L721" s="81">
        <v>2025402421</v>
      </c>
      <c r="M721" s="112" t="s">
        <v>225</v>
      </c>
      <c r="N721" s="81">
        <v>2025</v>
      </c>
    </row>
    <row r="722" spans="1:14">
      <c r="A722" s="81">
        <v>721</v>
      </c>
      <c r="B722" s="109" t="s">
        <v>29</v>
      </c>
      <c r="C722" s="109" t="s">
        <v>237</v>
      </c>
      <c r="D722" s="81" t="s">
        <v>61</v>
      </c>
      <c r="E722" s="81" t="s">
        <v>71</v>
      </c>
      <c r="F722" s="81"/>
      <c r="G722" s="81" t="s">
        <v>127</v>
      </c>
      <c r="H722" s="81" t="s">
        <v>128</v>
      </c>
      <c r="I722" s="105">
        <v>10071.200000000001</v>
      </c>
      <c r="J722" s="81" t="s">
        <v>1046</v>
      </c>
      <c r="K722" s="84">
        <v>45895</v>
      </c>
      <c r="L722" s="81">
        <v>2025402897</v>
      </c>
      <c r="M722" s="81" t="s">
        <v>226</v>
      </c>
      <c r="N722" s="81">
        <v>2025</v>
      </c>
    </row>
    <row r="723" spans="1:14">
      <c r="A723" s="81">
        <v>722</v>
      </c>
      <c r="B723" s="109" t="s">
        <v>29</v>
      </c>
      <c r="C723" s="109" t="s">
        <v>237</v>
      </c>
      <c r="D723" s="81" t="s">
        <v>61</v>
      </c>
      <c r="E723" s="112" t="s">
        <v>71</v>
      </c>
      <c r="F723" s="81"/>
      <c r="G723" s="81" t="s">
        <v>248</v>
      </c>
      <c r="H723" s="81" t="s">
        <v>257</v>
      </c>
      <c r="I723" s="83">
        <v>6267.6056338028166</v>
      </c>
      <c r="J723" s="81" t="s">
        <v>708</v>
      </c>
      <c r="K723" s="84">
        <v>45866</v>
      </c>
      <c r="L723" s="81">
        <v>2025402480</v>
      </c>
      <c r="M723" s="112" t="s">
        <v>225</v>
      </c>
      <c r="N723" s="81">
        <v>2025</v>
      </c>
    </row>
    <row r="724" spans="1:14">
      <c r="A724" s="81">
        <v>723</v>
      </c>
      <c r="B724" s="109" t="s">
        <v>29</v>
      </c>
      <c r="C724" s="109" t="s">
        <v>237</v>
      </c>
      <c r="D724" s="81" t="s">
        <v>61</v>
      </c>
      <c r="E724" s="112" t="s">
        <v>71</v>
      </c>
      <c r="F724" s="81"/>
      <c r="G724" s="81" t="s">
        <v>134</v>
      </c>
      <c r="H724" s="81" t="s">
        <v>71</v>
      </c>
      <c r="I724" s="105">
        <v>5896.2</v>
      </c>
      <c r="J724" s="81" t="s">
        <v>593</v>
      </c>
      <c r="K724" s="84">
        <v>45855</v>
      </c>
      <c r="L724" s="81">
        <v>2025402240</v>
      </c>
      <c r="M724" s="112" t="s">
        <v>225</v>
      </c>
      <c r="N724" s="81">
        <v>2025</v>
      </c>
    </row>
    <row r="725" spans="1:14">
      <c r="A725" s="81">
        <v>724</v>
      </c>
      <c r="B725" s="109" t="s">
        <v>29</v>
      </c>
      <c r="C725" s="109" t="s">
        <v>237</v>
      </c>
      <c r="D725" s="81" t="s">
        <v>61</v>
      </c>
      <c r="E725" s="81" t="s">
        <v>71</v>
      </c>
      <c r="F725" s="81"/>
      <c r="G725" s="81" t="s">
        <v>275</v>
      </c>
      <c r="H725" s="81" t="s">
        <v>258</v>
      </c>
      <c r="I725" s="105">
        <v>5000</v>
      </c>
      <c r="J725" s="107" t="s">
        <v>898</v>
      </c>
      <c r="K725" s="113">
        <v>45892</v>
      </c>
      <c r="L725" s="81">
        <v>2025402915</v>
      </c>
      <c r="M725" s="81" t="s">
        <v>226</v>
      </c>
      <c r="N725" s="81">
        <v>2025</v>
      </c>
    </row>
    <row r="726" spans="1:14">
      <c r="A726" s="81">
        <v>725</v>
      </c>
      <c r="B726" s="109" t="s">
        <v>29</v>
      </c>
      <c r="C726" s="109" t="s">
        <v>237</v>
      </c>
      <c r="D726" s="81" t="s">
        <v>61</v>
      </c>
      <c r="E726" s="81" t="s">
        <v>71</v>
      </c>
      <c r="F726" s="81"/>
      <c r="G726" s="81" t="s">
        <v>277</v>
      </c>
      <c r="H726" s="112" t="s">
        <v>71</v>
      </c>
      <c r="I726" s="83">
        <v>4929.577464788732</v>
      </c>
      <c r="J726" s="81" t="s">
        <v>644</v>
      </c>
      <c r="K726" s="84">
        <v>45850</v>
      </c>
      <c r="L726" s="81">
        <v>2025402420</v>
      </c>
      <c r="M726" s="112" t="s">
        <v>225</v>
      </c>
      <c r="N726" s="81">
        <v>2025</v>
      </c>
    </row>
    <row r="727" spans="1:14">
      <c r="A727" s="81">
        <v>726</v>
      </c>
      <c r="B727" s="109" t="s">
        <v>29</v>
      </c>
      <c r="C727" s="109" t="s">
        <v>237</v>
      </c>
      <c r="D727" s="81" t="s">
        <v>61</v>
      </c>
      <c r="E727" s="112" t="s">
        <v>71</v>
      </c>
      <c r="F727" s="81"/>
      <c r="G727" s="81" t="s">
        <v>134</v>
      </c>
      <c r="H727" s="81" t="s">
        <v>71</v>
      </c>
      <c r="I727" s="105">
        <v>3388.5</v>
      </c>
      <c r="J727" s="81" t="s">
        <v>765</v>
      </c>
      <c r="K727" s="84">
        <v>45872</v>
      </c>
      <c r="L727" s="81">
        <v>2025402324</v>
      </c>
      <c r="M727" s="112" t="s">
        <v>226</v>
      </c>
      <c r="N727" s="81">
        <v>2025</v>
      </c>
    </row>
    <row r="728" spans="1:14">
      <c r="A728" s="81">
        <v>727</v>
      </c>
      <c r="B728" s="109" t="s">
        <v>29</v>
      </c>
      <c r="C728" s="109" t="s">
        <v>237</v>
      </c>
      <c r="D728" s="81" t="s">
        <v>61</v>
      </c>
      <c r="E728" s="112" t="s">
        <v>71</v>
      </c>
      <c r="F728" s="81"/>
      <c r="G728" s="81" t="s">
        <v>134</v>
      </c>
      <c r="H728" s="81" t="s">
        <v>71</v>
      </c>
      <c r="I728" s="105">
        <v>3295</v>
      </c>
      <c r="J728" s="81" t="s">
        <v>818</v>
      </c>
      <c r="K728" s="84">
        <v>45875</v>
      </c>
      <c r="L728" s="81">
        <v>2025402470</v>
      </c>
      <c r="M728" s="112" t="s">
        <v>226</v>
      </c>
      <c r="N728" s="81">
        <v>2025</v>
      </c>
    </row>
    <row r="729" spans="1:14">
      <c r="A729" s="81">
        <v>728</v>
      </c>
      <c r="B729" s="109" t="s">
        <v>29</v>
      </c>
      <c r="C729" s="109" t="s">
        <v>237</v>
      </c>
      <c r="D729" s="81" t="s">
        <v>61</v>
      </c>
      <c r="E729" s="112" t="s">
        <v>71</v>
      </c>
      <c r="F729" s="81"/>
      <c r="G729" s="81" t="s">
        <v>275</v>
      </c>
      <c r="H729" s="81" t="s">
        <v>258</v>
      </c>
      <c r="I729" s="105">
        <v>3200</v>
      </c>
      <c r="J729" s="81" t="s">
        <v>694</v>
      </c>
      <c r="K729" s="84">
        <v>45869</v>
      </c>
      <c r="L729" s="81">
        <v>2025402471</v>
      </c>
      <c r="M729" s="112" t="s">
        <v>225</v>
      </c>
      <c r="N729" s="81">
        <v>2025</v>
      </c>
    </row>
    <row r="730" spans="1:14">
      <c r="A730" s="81">
        <v>729</v>
      </c>
      <c r="B730" s="109" t="s">
        <v>29</v>
      </c>
      <c r="C730" s="109" t="s">
        <v>237</v>
      </c>
      <c r="D730" s="81" t="s">
        <v>61</v>
      </c>
      <c r="E730" s="112" t="s">
        <v>71</v>
      </c>
      <c r="F730" s="81"/>
      <c r="G730" s="81" t="s">
        <v>131</v>
      </c>
      <c r="H730" s="112" t="s">
        <v>71</v>
      </c>
      <c r="I730" s="105">
        <v>3063.74</v>
      </c>
      <c r="J730" s="81" t="s">
        <v>649</v>
      </c>
      <c r="K730" s="84">
        <v>45861</v>
      </c>
      <c r="L730" s="81">
        <v>2025402402</v>
      </c>
      <c r="M730" s="112" t="s">
        <v>225</v>
      </c>
      <c r="N730" s="81">
        <v>2025</v>
      </c>
    </row>
    <row r="731" spans="1:14">
      <c r="A731" s="81">
        <v>730</v>
      </c>
      <c r="B731" s="109" t="s">
        <v>29</v>
      </c>
      <c r="C731" s="109" t="s">
        <v>237</v>
      </c>
      <c r="D731" s="81" t="s">
        <v>61</v>
      </c>
      <c r="E731" s="112" t="s">
        <v>71</v>
      </c>
      <c r="F731" s="81"/>
      <c r="G731" s="81" t="s">
        <v>132</v>
      </c>
      <c r="H731" s="112" t="s">
        <v>71</v>
      </c>
      <c r="I731" s="105">
        <v>3055.16</v>
      </c>
      <c r="J731" s="81" t="s">
        <v>517</v>
      </c>
      <c r="K731" s="84">
        <v>45845</v>
      </c>
      <c r="L731" s="81">
        <v>2025402044</v>
      </c>
      <c r="M731" s="112" t="s">
        <v>225</v>
      </c>
      <c r="N731" s="81">
        <v>2025</v>
      </c>
    </row>
    <row r="732" spans="1:14">
      <c r="A732" s="81">
        <v>731</v>
      </c>
      <c r="B732" s="109" t="s">
        <v>29</v>
      </c>
      <c r="C732" s="109" t="s">
        <v>237</v>
      </c>
      <c r="D732" s="81" t="s">
        <v>61</v>
      </c>
      <c r="E732" s="112" t="s">
        <v>71</v>
      </c>
      <c r="F732" s="81"/>
      <c r="G732" s="81" t="s">
        <v>275</v>
      </c>
      <c r="H732" s="81" t="s">
        <v>258</v>
      </c>
      <c r="I732" s="83">
        <v>2957.7464788732395</v>
      </c>
      <c r="J732" s="81" t="s">
        <v>693</v>
      </c>
      <c r="K732" s="84">
        <v>45869</v>
      </c>
      <c r="L732" s="81">
        <v>2025402469</v>
      </c>
      <c r="M732" s="112" t="s">
        <v>225</v>
      </c>
      <c r="N732" s="81">
        <v>2025</v>
      </c>
    </row>
    <row r="733" spans="1:14">
      <c r="A733" s="81">
        <v>732</v>
      </c>
      <c r="B733" s="109" t="s">
        <v>29</v>
      </c>
      <c r="C733" s="109" t="s">
        <v>237</v>
      </c>
      <c r="D733" s="81" t="s">
        <v>61</v>
      </c>
      <c r="E733" s="81" t="s">
        <v>71</v>
      </c>
      <c r="F733" s="81"/>
      <c r="G733" s="81" t="s">
        <v>134</v>
      </c>
      <c r="H733" s="81" t="s">
        <v>71</v>
      </c>
      <c r="I733" s="105">
        <v>2910.6</v>
      </c>
      <c r="J733" s="81" t="s">
        <v>566</v>
      </c>
      <c r="K733" s="84">
        <v>45848</v>
      </c>
      <c r="L733" s="81">
        <v>2025402040</v>
      </c>
      <c r="M733" s="112" t="s">
        <v>225</v>
      </c>
      <c r="N733" s="81">
        <v>2025</v>
      </c>
    </row>
    <row r="734" spans="1:14">
      <c r="A734" s="81">
        <v>733</v>
      </c>
      <c r="B734" s="109" t="s">
        <v>29</v>
      </c>
      <c r="C734" s="109" t="s">
        <v>237</v>
      </c>
      <c r="D734" s="81" t="s">
        <v>61</v>
      </c>
      <c r="E734" s="112" t="s">
        <v>71</v>
      </c>
      <c r="F734" s="81"/>
      <c r="G734" s="81" t="s">
        <v>134</v>
      </c>
      <c r="H734" s="81" t="s">
        <v>71</v>
      </c>
      <c r="I734" s="105">
        <v>2885.3</v>
      </c>
      <c r="J734" s="81" t="s">
        <v>567</v>
      </c>
      <c r="K734" s="84">
        <v>45846</v>
      </c>
      <c r="L734" s="81">
        <v>2025402123</v>
      </c>
      <c r="M734" s="112" t="s">
        <v>225</v>
      </c>
      <c r="N734" s="81">
        <v>2025</v>
      </c>
    </row>
    <row r="735" spans="1:14">
      <c r="A735" s="81">
        <v>734</v>
      </c>
      <c r="B735" s="109" t="s">
        <v>29</v>
      </c>
      <c r="C735" s="109" t="s">
        <v>237</v>
      </c>
      <c r="D735" s="81" t="s">
        <v>61</v>
      </c>
      <c r="E735" s="81" t="s">
        <v>71</v>
      </c>
      <c r="F735" s="81"/>
      <c r="G735" s="81" t="s">
        <v>134</v>
      </c>
      <c r="H735" s="81" t="s">
        <v>71</v>
      </c>
      <c r="I735" s="105">
        <v>2853</v>
      </c>
      <c r="J735" s="81" t="s">
        <v>921</v>
      </c>
      <c r="K735" s="84">
        <v>45893</v>
      </c>
      <c r="L735" s="81">
        <v>2025402681</v>
      </c>
      <c r="M735" s="81" t="s">
        <v>226</v>
      </c>
      <c r="N735" s="81">
        <v>2025</v>
      </c>
    </row>
    <row r="736" spans="1:14">
      <c r="A736" s="81">
        <v>735</v>
      </c>
      <c r="B736" s="109" t="s">
        <v>29</v>
      </c>
      <c r="C736" s="109" t="s">
        <v>237</v>
      </c>
      <c r="D736" s="81" t="s">
        <v>61</v>
      </c>
      <c r="E736" s="112" t="s">
        <v>71</v>
      </c>
      <c r="F736" s="81"/>
      <c r="G736" s="81" t="s">
        <v>131</v>
      </c>
      <c r="H736" s="112" t="s">
        <v>71</v>
      </c>
      <c r="I736" s="105">
        <v>2762.07</v>
      </c>
      <c r="J736" s="81" t="s">
        <v>530</v>
      </c>
      <c r="K736" s="84">
        <v>45848</v>
      </c>
      <c r="L736" s="81">
        <v>2025402116</v>
      </c>
      <c r="M736" s="112" t="s">
        <v>225</v>
      </c>
      <c r="N736" s="81">
        <v>2025</v>
      </c>
    </row>
    <row r="737" spans="1:14">
      <c r="A737" s="81">
        <v>736</v>
      </c>
      <c r="B737" s="109" t="s">
        <v>29</v>
      </c>
      <c r="C737" s="109" t="s">
        <v>237</v>
      </c>
      <c r="D737" s="81" t="s">
        <v>61</v>
      </c>
      <c r="E737" s="81" t="s">
        <v>71</v>
      </c>
      <c r="F737" s="81"/>
      <c r="G737" s="81" t="s">
        <v>134</v>
      </c>
      <c r="H737" s="81" t="s">
        <v>71</v>
      </c>
      <c r="I737" s="105">
        <v>2690</v>
      </c>
      <c r="J737" s="81" t="s">
        <v>945</v>
      </c>
      <c r="K737" s="84">
        <v>45888</v>
      </c>
      <c r="L737" s="81">
        <v>2025402673</v>
      </c>
      <c r="M737" s="81" t="s">
        <v>226</v>
      </c>
      <c r="N737" s="81">
        <v>2025</v>
      </c>
    </row>
    <row r="738" spans="1:14">
      <c r="A738" s="81">
        <v>737</v>
      </c>
      <c r="B738" s="109" t="s">
        <v>29</v>
      </c>
      <c r="C738" s="109" t="s">
        <v>237</v>
      </c>
      <c r="D738" s="81" t="s">
        <v>61</v>
      </c>
      <c r="E738" s="112" t="s">
        <v>71</v>
      </c>
      <c r="F738" s="81"/>
      <c r="G738" s="81" t="s">
        <v>248</v>
      </c>
      <c r="H738" s="81" t="s">
        <v>257</v>
      </c>
      <c r="I738" s="83">
        <v>2435.211267605634</v>
      </c>
      <c r="J738" s="81" t="s">
        <v>587</v>
      </c>
      <c r="K738" s="84">
        <v>45845</v>
      </c>
      <c r="L738" s="81">
        <v>2025402329</v>
      </c>
      <c r="M738" s="112" t="s">
        <v>225</v>
      </c>
      <c r="N738" s="81">
        <v>2025</v>
      </c>
    </row>
    <row r="739" spans="1:14">
      <c r="A739" s="81">
        <v>738</v>
      </c>
      <c r="B739" s="109" t="s">
        <v>29</v>
      </c>
      <c r="C739" s="109" t="s">
        <v>237</v>
      </c>
      <c r="D739" s="81" t="s">
        <v>61</v>
      </c>
      <c r="E739" s="81" t="s">
        <v>71</v>
      </c>
      <c r="F739" s="81"/>
      <c r="G739" s="81" t="s">
        <v>275</v>
      </c>
      <c r="H739" s="81" t="s">
        <v>258</v>
      </c>
      <c r="I739" s="105">
        <v>2400</v>
      </c>
      <c r="J739" s="81" t="s">
        <v>642</v>
      </c>
      <c r="K739" s="84">
        <v>45857</v>
      </c>
      <c r="L739" s="81">
        <v>2025402416</v>
      </c>
      <c r="M739" s="112" t="s">
        <v>225</v>
      </c>
      <c r="N739" s="81">
        <v>2025</v>
      </c>
    </row>
    <row r="740" spans="1:14">
      <c r="A740" s="81">
        <v>739</v>
      </c>
      <c r="B740" s="109" t="s">
        <v>29</v>
      </c>
      <c r="C740" s="109" t="s">
        <v>237</v>
      </c>
      <c r="D740" s="81" t="s">
        <v>61</v>
      </c>
      <c r="E740" s="81" t="s">
        <v>71</v>
      </c>
      <c r="F740" s="81"/>
      <c r="G740" s="81" t="s">
        <v>134</v>
      </c>
      <c r="H740" s="81" t="s">
        <v>71</v>
      </c>
      <c r="I740" s="105">
        <v>1910</v>
      </c>
      <c r="J740" s="81" t="s">
        <v>1061</v>
      </c>
      <c r="K740" s="84">
        <v>45897</v>
      </c>
      <c r="L740" s="81">
        <v>2025402788</v>
      </c>
      <c r="M740" s="81" t="s">
        <v>226</v>
      </c>
      <c r="N740" s="81">
        <v>2025</v>
      </c>
    </row>
    <row r="741" spans="1:14">
      <c r="A741" s="81">
        <v>740</v>
      </c>
      <c r="B741" s="109" t="s">
        <v>29</v>
      </c>
      <c r="C741" s="109" t="s">
        <v>237</v>
      </c>
      <c r="D741" s="81" t="s">
        <v>61</v>
      </c>
      <c r="E741" s="81" t="s">
        <v>71</v>
      </c>
      <c r="F741" s="81"/>
      <c r="G741" s="81" t="s">
        <v>249</v>
      </c>
      <c r="H741" s="81" t="s">
        <v>71</v>
      </c>
      <c r="I741" s="83">
        <v>1901.4084507042253</v>
      </c>
      <c r="J741" s="81" t="s">
        <v>1004</v>
      </c>
      <c r="K741" s="84">
        <v>45859</v>
      </c>
      <c r="L741" s="81">
        <v>2025402496</v>
      </c>
      <c r="M741" s="81" t="s">
        <v>225</v>
      </c>
      <c r="N741" s="81">
        <v>2025</v>
      </c>
    </row>
    <row r="742" spans="1:14">
      <c r="A742" s="81">
        <v>741</v>
      </c>
      <c r="B742" s="109" t="s">
        <v>29</v>
      </c>
      <c r="C742" s="109" t="s">
        <v>237</v>
      </c>
      <c r="D742" s="81" t="s">
        <v>61</v>
      </c>
      <c r="E742" s="112" t="s">
        <v>71</v>
      </c>
      <c r="F742" s="81"/>
      <c r="G742" s="81" t="s">
        <v>134</v>
      </c>
      <c r="H742" s="81" t="s">
        <v>71</v>
      </c>
      <c r="I742" s="105">
        <v>1700</v>
      </c>
      <c r="J742" s="81" t="s">
        <v>689</v>
      </c>
      <c r="K742" s="84">
        <v>45865</v>
      </c>
      <c r="L742" s="81">
        <v>2025402351</v>
      </c>
      <c r="M742" s="112" t="s">
        <v>225</v>
      </c>
      <c r="N742" s="81">
        <v>2025</v>
      </c>
    </row>
    <row r="743" spans="1:14">
      <c r="A743" s="81">
        <v>742</v>
      </c>
      <c r="B743" s="109" t="s">
        <v>29</v>
      </c>
      <c r="C743" s="109" t="s">
        <v>237</v>
      </c>
      <c r="D743" s="81" t="s">
        <v>61</v>
      </c>
      <c r="E743" s="81" t="s">
        <v>71</v>
      </c>
      <c r="F743" s="81"/>
      <c r="G743" s="81" t="s">
        <v>64</v>
      </c>
      <c r="H743" s="81" t="s">
        <v>1278</v>
      </c>
      <c r="I743" s="83">
        <v>1422.1830985915492</v>
      </c>
      <c r="J743" s="81" t="s">
        <v>68</v>
      </c>
      <c r="K743" s="84">
        <v>45908</v>
      </c>
      <c r="L743" s="109" t="s">
        <v>14</v>
      </c>
      <c r="M743" s="81" t="s">
        <v>226</v>
      </c>
      <c r="N743" s="81">
        <v>2025</v>
      </c>
    </row>
    <row r="744" spans="1:14">
      <c r="A744" s="81">
        <v>743</v>
      </c>
      <c r="B744" s="109" t="s">
        <v>29</v>
      </c>
      <c r="C744" s="109" t="s">
        <v>237</v>
      </c>
      <c r="D744" s="81" t="s">
        <v>61</v>
      </c>
      <c r="E744" s="112" t="s">
        <v>71</v>
      </c>
      <c r="F744" s="81"/>
      <c r="G744" s="81" t="s">
        <v>132</v>
      </c>
      <c r="H744" s="112" t="s">
        <v>71</v>
      </c>
      <c r="I744" s="105">
        <v>1392.85</v>
      </c>
      <c r="J744" s="81" t="s">
        <v>630</v>
      </c>
      <c r="K744" s="84">
        <v>45859</v>
      </c>
      <c r="L744" s="81">
        <v>2025402333</v>
      </c>
      <c r="M744" s="112" t="s">
        <v>225</v>
      </c>
      <c r="N744" s="81">
        <v>2025</v>
      </c>
    </row>
    <row r="745" spans="1:14">
      <c r="A745" s="81">
        <v>744</v>
      </c>
      <c r="B745" s="109" t="s">
        <v>29</v>
      </c>
      <c r="C745" s="109" t="s">
        <v>237</v>
      </c>
      <c r="D745" s="81" t="s">
        <v>61</v>
      </c>
      <c r="E745" s="112" t="s">
        <v>71</v>
      </c>
      <c r="F745" s="81"/>
      <c r="G745" s="81" t="s">
        <v>132</v>
      </c>
      <c r="H745" s="112" t="s">
        <v>71</v>
      </c>
      <c r="I745" s="105">
        <v>1369.72</v>
      </c>
      <c r="J745" s="81" t="s">
        <v>738</v>
      </c>
      <c r="K745" s="84">
        <v>45872</v>
      </c>
      <c r="L745" s="81">
        <v>2025402505</v>
      </c>
      <c r="M745" s="112" t="s">
        <v>226</v>
      </c>
      <c r="N745" s="81">
        <v>2025</v>
      </c>
    </row>
    <row r="746" spans="1:14">
      <c r="A746" s="81">
        <v>745</v>
      </c>
      <c r="B746" s="109" t="s">
        <v>29</v>
      </c>
      <c r="C746" s="109" t="s">
        <v>237</v>
      </c>
      <c r="D746" s="81" t="s">
        <v>61</v>
      </c>
      <c r="E746" s="112" t="s">
        <v>71</v>
      </c>
      <c r="F746" s="81"/>
      <c r="G746" s="81" t="s">
        <v>131</v>
      </c>
      <c r="H746" s="112" t="s">
        <v>71</v>
      </c>
      <c r="I746" s="105">
        <v>1112.5</v>
      </c>
      <c r="J746" s="81" t="s">
        <v>686</v>
      </c>
      <c r="K746" s="84">
        <v>45861</v>
      </c>
      <c r="L746" s="81">
        <v>2025402378</v>
      </c>
      <c r="M746" s="112" t="s">
        <v>225</v>
      </c>
      <c r="N746" s="81">
        <v>2025</v>
      </c>
    </row>
    <row r="747" spans="1:14">
      <c r="A747" s="81">
        <v>746</v>
      </c>
      <c r="B747" s="109" t="s">
        <v>29</v>
      </c>
      <c r="C747" s="109" t="s">
        <v>237</v>
      </c>
      <c r="D747" s="81" t="s">
        <v>61</v>
      </c>
      <c r="E747" s="112" t="s">
        <v>71</v>
      </c>
      <c r="F747" s="81"/>
      <c r="G747" s="81" t="s">
        <v>134</v>
      </c>
      <c r="H747" s="81" t="s">
        <v>71</v>
      </c>
      <c r="I747" s="105">
        <v>1109</v>
      </c>
      <c r="J747" s="81" t="s">
        <v>621</v>
      </c>
      <c r="K747" s="84">
        <v>45855</v>
      </c>
      <c r="L747" s="81">
        <v>2025402234</v>
      </c>
      <c r="M747" s="112" t="s">
        <v>225</v>
      </c>
      <c r="N747" s="81">
        <v>2025</v>
      </c>
    </row>
    <row r="748" spans="1:14">
      <c r="A748" s="81">
        <v>747</v>
      </c>
      <c r="B748" s="109" t="s">
        <v>29</v>
      </c>
      <c r="C748" s="109" t="s">
        <v>237</v>
      </c>
      <c r="D748" s="81" t="s">
        <v>61</v>
      </c>
      <c r="E748" s="81" t="s">
        <v>71</v>
      </c>
      <c r="F748" s="81"/>
      <c r="G748" s="81" t="s">
        <v>64</v>
      </c>
      <c r="H748" s="81" t="s">
        <v>1278</v>
      </c>
      <c r="I748" s="83">
        <v>1056.338028169014</v>
      </c>
      <c r="J748" s="81" t="s">
        <v>68</v>
      </c>
      <c r="K748" s="84">
        <v>45898</v>
      </c>
      <c r="L748" s="109" t="s">
        <v>14</v>
      </c>
      <c r="M748" s="81" t="s">
        <v>226</v>
      </c>
      <c r="N748" s="81">
        <v>2025</v>
      </c>
    </row>
    <row r="749" spans="1:14">
      <c r="A749" s="81">
        <v>748</v>
      </c>
      <c r="B749" s="109" t="s">
        <v>29</v>
      </c>
      <c r="C749" s="109" t="s">
        <v>237</v>
      </c>
      <c r="D749" s="81" t="s">
        <v>61</v>
      </c>
      <c r="E749" s="81" t="s">
        <v>71</v>
      </c>
      <c r="F749" s="81"/>
      <c r="G749" s="81" t="s">
        <v>64</v>
      </c>
      <c r="H749" s="81" t="s">
        <v>1277</v>
      </c>
      <c r="I749" s="83">
        <v>1056.338028169014</v>
      </c>
      <c r="J749" s="81" t="s">
        <v>68</v>
      </c>
      <c r="K749" s="84">
        <v>45859</v>
      </c>
      <c r="L749" s="109" t="s">
        <v>14</v>
      </c>
      <c r="M749" s="81" t="s">
        <v>225</v>
      </c>
      <c r="N749" s="81">
        <v>2025</v>
      </c>
    </row>
    <row r="750" spans="1:14">
      <c r="A750" s="81">
        <v>749</v>
      </c>
      <c r="B750" s="109" t="s">
        <v>29</v>
      </c>
      <c r="C750" s="109" t="s">
        <v>237</v>
      </c>
      <c r="D750" s="81" t="s">
        <v>61</v>
      </c>
      <c r="E750" s="81" t="s">
        <v>71</v>
      </c>
      <c r="F750" s="81"/>
      <c r="G750" s="81" t="s">
        <v>134</v>
      </c>
      <c r="H750" s="81" t="s">
        <v>71</v>
      </c>
      <c r="I750" s="105">
        <v>1025</v>
      </c>
      <c r="J750" s="81" t="s">
        <v>565</v>
      </c>
      <c r="K750" s="84">
        <v>45846</v>
      </c>
      <c r="L750" s="81">
        <v>2025402102</v>
      </c>
      <c r="M750" s="112" t="s">
        <v>225</v>
      </c>
      <c r="N750" s="81">
        <v>2025</v>
      </c>
    </row>
    <row r="751" spans="1:14">
      <c r="A751" s="81">
        <v>750</v>
      </c>
      <c r="B751" s="109" t="s">
        <v>29</v>
      </c>
      <c r="C751" s="109" t="s">
        <v>237</v>
      </c>
      <c r="D751" s="81" t="s">
        <v>61</v>
      </c>
      <c r="E751" s="112" t="s">
        <v>71</v>
      </c>
      <c r="F751" s="81"/>
      <c r="G751" s="81" t="s">
        <v>131</v>
      </c>
      <c r="H751" s="112" t="s">
        <v>71</v>
      </c>
      <c r="I751" s="105">
        <v>980</v>
      </c>
      <c r="J751" s="81" t="s">
        <v>680</v>
      </c>
      <c r="K751" s="84">
        <v>45866</v>
      </c>
      <c r="L751" s="81">
        <v>2025402398</v>
      </c>
      <c r="M751" s="112" t="s">
        <v>225</v>
      </c>
      <c r="N751" s="81">
        <v>2025</v>
      </c>
    </row>
    <row r="752" spans="1:14">
      <c r="A752" s="81">
        <v>751</v>
      </c>
      <c r="B752" s="109" t="s">
        <v>29</v>
      </c>
      <c r="C752" s="109" t="s">
        <v>237</v>
      </c>
      <c r="D752" s="81" t="s">
        <v>61</v>
      </c>
      <c r="E752" s="81" t="s">
        <v>71</v>
      </c>
      <c r="F752" s="81"/>
      <c r="G752" s="81" t="s">
        <v>134</v>
      </c>
      <c r="H752" s="81" t="s">
        <v>71</v>
      </c>
      <c r="I752" s="105">
        <v>834.9</v>
      </c>
      <c r="J752" s="81" t="s">
        <v>969</v>
      </c>
      <c r="K752" s="84">
        <v>45897</v>
      </c>
      <c r="L752" s="81">
        <v>2025402789</v>
      </c>
      <c r="M752" s="81" t="s">
        <v>226</v>
      </c>
      <c r="N752" s="81">
        <v>2025</v>
      </c>
    </row>
    <row r="753" spans="1:14">
      <c r="A753" s="81">
        <v>752</v>
      </c>
      <c r="B753" s="109" t="s">
        <v>29</v>
      </c>
      <c r="C753" s="109" t="s">
        <v>237</v>
      </c>
      <c r="D753" s="81" t="s">
        <v>61</v>
      </c>
      <c r="E753" s="112" t="s">
        <v>71</v>
      </c>
      <c r="F753" s="81"/>
      <c r="G753" s="81" t="s">
        <v>132</v>
      </c>
      <c r="H753" s="112" t="s">
        <v>71</v>
      </c>
      <c r="I753" s="105">
        <v>773.56</v>
      </c>
      <c r="J753" s="81" t="s">
        <v>545</v>
      </c>
      <c r="K753" s="84">
        <v>45850</v>
      </c>
      <c r="L753" s="81">
        <v>2025402235</v>
      </c>
      <c r="M753" s="112" t="s">
        <v>225</v>
      </c>
      <c r="N753" s="81">
        <v>2025</v>
      </c>
    </row>
    <row r="754" spans="1:14">
      <c r="A754" s="81">
        <v>753</v>
      </c>
      <c r="B754" s="109" t="s">
        <v>29</v>
      </c>
      <c r="C754" s="109" t="s">
        <v>237</v>
      </c>
      <c r="D754" s="81" t="s">
        <v>61</v>
      </c>
      <c r="E754" s="112" t="s">
        <v>71</v>
      </c>
      <c r="F754" s="81"/>
      <c r="G754" s="81" t="s">
        <v>480</v>
      </c>
      <c r="H754" s="81" t="s">
        <v>71</v>
      </c>
      <c r="I754" s="105">
        <v>500</v>
      </c>
      <c r="J754" s="81" t="s">
        <v>597</v>
      </c>
      <c r="K754" s="84">
        <v>45857</v>
      </c>
      <c r="L754" s="81">
        <v>2025402138</v>
      </c>
      <c r="M754" s="112" t="s">
        <v>225</v>
      </c>
      <c r="N754" s="81">
        <v>2025</v>
      </c>
    </row>
    <row r="755" spans="1:14">
      <c r="A755" s="81">
        <v>754</v>
      </c>
      <c r="B755" s="109" t="s">
        <v>29</v>
      </c>
      <c r="C755" s="109" t="s">
        <v>237</v>
      </c>
      <c r="D755" s="81" t="s">
        <v>61</v>
      </c>
      <c r="E755" s="112" t="s">
        <v>71</v>
      </c>
      <c r="F755" s="81"/>
      <c r="G755" s="81" t="s">
        <v>131</v>
      </c>
      <c r="H755" s="112" t="s">
        <v>71</v>
      </c>
      <c r="I755" s="105">
        <v>497.44</v>
      </c>
      <c r="J755" s="81" t="s">
        <v>607</v>
      </c>
      <c r="K755" s="84">
        <v>45851</v>
      </c>
      <c r="L755" s="81">
        <v>2025402236</v>
      </c>
      <c r="M755" s="112" t="s">
        <v>225</v>
      </c>
      <c r="N755" s="81">
        <v>2025</v>
      </c>
    </row>
    <row r="756" spans="1:14">
      <c r="A756" s="81">
        <v>755</v>
      </c>
      <c r="B756" s="109" t="s">
        <v>29</v>
      </c>
      <c r="C756" s="109" t="s">
        <v>237</v>
      </c>
      <c r="D756" s="81" t="s">
        <v>61</v>
      </c>
      <c r="E756" s="81" t="s">
        <v>71</v>
      </c>
      <c r="F756" s="81"/>
      <c r="G756" s="81" t="s">
        <v>131</v>
      </c>
      <c r="H756" s="112" t="s">
        <v>71</v>
      </c>
      <c r="I756" s="105">
        <v>312</v>
      </c>
      <c r="J756" s="81" t="s">
        <v>1036</v>
      </c>
      <c r="K756" s="84">
        <v>45897</v>
      </c>
      <c r="L756" s="81">
        <v>2025402861</v>
      </c>
      <c r="M756" s="81" t="s">
        <v>226</v>
      </c>
      <c r="N756" s="81">
        <v>2025</v>
      </c>
    </row>
    <row r="757" spans="1:14">
      <c r="A757" s="81">
        <v>756</v>
      </c>
      <c r="B757" s="109" t="s">
        <v>29</v>
      </c>
      <c r="C757" s="109" t="s">
        <v>237</v>
      </c>
      <c r="D757" s="81" t="s">
        <v>61</v>
      </c>
      <c r="E757" s="112" t="s">
        <v>71</v>
      </c>
      <c r="F757" s="81"/>
      <c r="G757" s="81" t="s">
        <v>134</v>
      </c>
      <c r="H757" s="81" t="s">
        <v>71</v>
      </c>
      <c r="I757" s="105">
        <v>254.2</v>
      </c>
      <c r="J757" s="81" t="s">
        <v>549</v>
      </c>
      <c r="K757" s="84">
        <v>45846</v>
      </c>
      <c r="L757" s="81">
        <v>2025402136</v>
      </c>
      <c r="M757" s="112" t="s">
        <v>225</v>
      </c>
      <c r="N757" s="81">
        <v>2025</v>
      </c>
    </row>
    <row r="758" spans="1:14">
      <c r="A758" s="81">
        <v>757</v>
      </c>
      <c r="B758" s="109" t="s">
        <v>29</v>
      </c>
      <c r="C758" s="109" t="s">
        <v>237</v>
      </c>
      <c r="D758" s="81" t="s">
        <v>61</v>
      </c>
      <c r="E758" s="112" t="s">
        <v>71</v>
      </c>
      <c r="F758" s="81"/>
      <c r="G758" s="112" t="s">
        <v>132</v>
      </c>
      <c r="H758" s="112" t="s">
        <v>71</v>
      </c>
      <c r="I758" s="105">
        <v>178.3</v>
      </c>
      <c r="J758" s="81" t="s">
        <v>615</v>
      </c>
      <c r="K758" s="84">
        <v>45859</v>
      </c>
      <c r="L758" s="81">
        <v>2025402269</v>
      </c>
      <c r="M758" s="112" t="s">
        <v>225</v>
      </c>
      <c r="N758" s="81">
        <v>2025</v>
      </c>
    </row>
    <row r="759" spans="1:14">
      <c r="A759" s="81">
        <v>758</v>
      </c>
      <c r="B759" s="109" t="s">
        <v>29</v>
      </c>
      <c r="C759" s="109" t="s">
        <v>237</v>
      </c>
      <c r="D759" s="81" t="s">
        <v>61</v>
      </c>
      <c r="E759" s="81" t="s">
        <v>71</v>
      </c>
      <c r="F759" s="81"/>
      <c r="G759" s="81" t="s">
        <v>134</v>
      </c>
      <c r="H759" s="81" t="s">
        <v>71</v>
      </c>
      <c r="I759" s="105">
        <v>114.8</v>
      </c>
      <c r="J759" s="81" t="s">
        <v>1097</v>
      </c>
      <c r="K759" s="84">
        <v>45878</v>
      </c>
      <c r="L759" s="81">
        <v>2025402568</v>
      </c>
      <c r="M759" s="81" t="s">
        <v>226</v>
      </c>
      <c r="N759" s="81">
        <v>2025</v>
      </c>
    </row>
    <row r="760" spans="1:14">
      <c r="A760" s="81">
        <v>759</v>
      </c>
      <c r="B760" s="109" t="s">
        <v>29</v>
      </c>
      <c r="C760" s="109" t="s">
        <v>237</v>
      </c>
      <c r="D760" s="81" t="s">
        <v>61</v>
      </c>
      <c r="E760" s="81" t="s">
        <v>71</v>
      </c>
      <c r="F760" s="81"/>
      <c r="G760" s="81" t="s">
        <v>131</v>
      </c>
      <c r="H760" s="112" t="s">
        <v>71</v>
      </c>
      <c r="I760" s="105">
        <v>99.99</v>
      </c>
      <c r="J760" s="81" t="s">
        <v>992</v>
      </c>
      <c r="K760" s="84">
        <v>45871</v>
      </c>
      <c r="L760" s="81">
        <v>2025402769</v>
      </c>
      <c r="M760" s="81" t="s">
        <v>226</v>
      </c>
      <c r="N760" s="81">
        <v>2025</v>
      </c>
    </row>
    <row r="761" spans="1:14">
      <c r="A761" s="81">
        <v>760</v>
      </c>
      <c r="B761" s="109" t="s">
        <v>29</v>
      </c>
      <c r="C761" s="109" t="s">
        <v>237</v>
      </c>
      <c r="D761" s="81" t="s">
        <v>61</v>
      </c>
      <c r="E761" s="81" t="s">
        <v>71</v>
      </c>
      <c r="F761" s="81"/>
      <c r="G761" s="81" t="s">
        <v>134</v>
      </c>
      <c r="H761" s="81" t="s">
        <v>71</v>
      </c>
      <c r="I761" s="105">
        <v>90</v>
      </c>
      <c r="J761" s="81" t="s">
        <v>915</v>
      </c>
      <c r="K761" s="84">
        <v>45893</v>
      </c>
      <c r="L761" s="81">
        <v>2025402753</v>
      </c>
      <c r="M761" s="81" t="s">
        <v>226</v>
      </c>
      <c r="N761" s="81">
        <v>2025</v>
      </c>
    </row>
    <row r="762" spans="1:14">
      <c r="A762" s="81">
        <v>761</v>
      </c>
      <c r="B762" s="109" t="s">
        <v>29</v>
      </c>
      <c r="C762" s="109" t="s">
        <v>237</v>
      </c>
      <c r="D762" s="81" t="s">
        <v>61</v>
      </c>
      <c r="E762" s="112" t="s">
        <v>71</v>
      </c>
      <c r="F762" s="81"/>
      <c r="G762" s="81" t="s">
        <v>132</v>
      </c>
      <c r="H762" s="112" t="s">
        <v>71</v>
      </c>
      <c r="I762" s="105">
        <v>67.599999999999994</v>
      </c>
      <c r="J762" s="81" t="s">
        <v>739</v>
      </c>
      <c r="K762" s="84">
        <v>45872</v>
      </c>
      <c r="L762" s="81">
        <v>2025402460</v>
      </c>
      <c r="M762" s="112" t="s">
        <v>226</v>
      </c>
      <c r="N762" s="81">
        <v>2025</v>
      </c>
    </row>
    <row r="763" spans="1:14">
      <c r="A763" s="81">
        <v>762</v>
      </c>
      <c r="B763" s="109" t="s">
        <v>29</v>
      </c>
      <c r="C763" s="109" t="s">
        <v>237</v>
      </c>
      <c r="D763" s="81" t="s">
        <v>61</v>
      </c>
      <c r="E763" s="112" t="s">
        <v>71</v>
      </c>
      <c r="F763" s="81"/>
      <c r="G763" s="81" t="s">
        <v>131</v>
      </c>
      <c r="H763" s="112" t="s">
        <v>71</v>
      </c>
      <c r="I763" s="105">
        <v>42.64</v>
      </c>
      <c r="J763" s="81" t="s">
        <v>613</v>
      </c>
      <c r="K763" s="84">
        <v>45860</v>
      </c>
      <c r="L763" s="81">
        <v>2025402352</v>
      </c>
      <c r="M763" s="112" t="s">
        <v>225</v>
      </c>
      <c r="N763" s="81">
        <v>2025</v>
      </c>
    </row>
    <row r="764" spans="1:14">
      <c r="A764" s="81">
        <v>763</v>
      </c>
      <c r="B764" s="81" t="s">
        <v>43</v>
      </c>
      <c r="C764" s="81" t="s">
        <v>47</v>
      </c>
      <c r="D764" s="81" t="s">
        <v>61</v>
      </c>
      <c r="E764" s="112" t="s">
        <v>71</v>
      </c>
      <c r="F764" s="81"/>
      <c r="G764" s="81" t="s">
        <v>131</v>
      </c>
      <c r="H764" s="112" t="s">
        <v>71</v>
      </c>
      <c r="I764" s="105">
        <v>2554</v>
      </c>
      <c r="J764" s="81" t="s">
        <v>715</v>
      </c>
      <c r="K764" s="84">
        <v>45868</v>
      </c>
      <c r="L764" s="81">
        <v>2025402501</v>
      </c>
      <c r="M764" s="112" t="s">
        <v>225</v>
      </c>
      <c r="N764" s="81">
        <v>2025</v>
      </c>
    </row>
    <row r="765" spans="1:14">
      <c r="A765" s="81">
        <v>764</v>
      </c>
      <c r="B765" s="81" t="s">
        <v>43</v>
      </c>
      <c r="C765" s="81" t="s">
        <v>47</v>
      </c>
      <c r="D765" s="81" t="s">
        <v>61</v>
      </c>
      <c r="E765" s="81" t="s">
        <v>71</v>
      </c>
      <c r="F765" s="81"/>
      <c r="G765" s="81" t="s">
        <v>131</v>
      </c>
      <c r="H765" s="112" t="s">
        <v>71</v>
      </c>
      <c r="I765" s="105">
        <v>2490.0500000000002</v>
      </c>
      <c r="J765" s="107" t="s">
        <v>892</v>
      </c>
      <c r="K765" s="113">
        <v>45888</v>
      </c>
      <c r="L765" s="81">
        <v>2025402662</v>
      </c>
      <c r="M765" s="81" t="s">
        <v>226</v>
      </c>
      <c r="N765" s="81">
        <v>2025</v>
      </c>
    </row>
    <row r="766" spans="1:14">
      <c r="A766" s="81">
        <v>765</v>
      </c>
      <c r="B766" s="81" t="s">
        <v>43</v>
      </c>
      <c r="C766" s="81" t="s">
        <v>47</v>
      </c>
      <c r="D766" s="81" t="s">
        <v>61</v>
      </c>
      <c r="E766" s="112" t="s">
        <v>71</v>
      </c>
      <c r="F766" s="81"/>
      <c r="G766" s="81" t="s">
        <v>134</v>
      </c>
      <c r="H766" s="81" t="s">
        <v>71</v>
      </c>
      <c r="I766" s="105">
        <v>2400</v>
      </c>
      <c r="J766" s="81" t="s">
        <v>809</v>
      </c>
      <c r="K766" s="84">
        <v>45875</v>
      </c>
      <c r="L766" s="81">
        <v>2025402497</v>
      </c>
      <c r="M766" s="112" t="s">
        <v>226</v>
      </c>
      <c r="N766" s="81">
        <v>2025</v>
      </c>
    </row>
    <row r="767" spans="1:14">
      <c r="A767" s="81">
        <v>766</v>
      </c>
      <c r="B767" s="81" t="s">
        <v>43</v>
      </c>
      <c r="C767" s="81" t="s">
        <v>47</v>
      </c>
      <c r="D767" s="81" t="s">
        <v>61</v>
      </c>
      <c r="E767" s="81" t="s">
        <v>71</v>
      </c>
      <c r="F767" s="81"/>
      <c r="G767" s="81" t="s">
        <v>131</v>
      </c>
      <c r="H767" s="112" t="s">
        <v>71</v>
      </c>
      <c r="I767" s="105">
        <v>2268.21</v>
      </c>
      <c r="J767" s="81" t="s">
        <v>1155</v>
      </c>
      <c r="K767" s="84">
        <v>45962</v>
      </c>
      <c r="L767" s="81">
        <v>2025403957</v>
      </c>
      <c r="M767" s="81" t="s">
        <v>225</v>
      </c>
      <c r="N767" s="81">
        <v>2025</v>
      </c>
    </row>
    <row r="768" spans="1:14">
      <c r="A768" s="81">
        <v>767</v>
      </c>
      <c r="B768" s="81" t="s">
        <v>43</v>
      </c>
      <c r="C768" s="81" t="s">
        <v>47</v>
      </c>
      <c r="D768" s="81" t="s">
        <v>61</v>
      </c>
      <c r="E768" s="81" t="s">
        <v>71</v>
      </c>
      <c r="F768" s="81"/>
      <c r="G768" s="81" t="s">
        <v>134</v>
      </c>
      <c r="H768" s="81" t="s">
        <v>71</v>
      </c>
      <c r="I768" s="105">
        <v>1686.8</v>
      </c>
      <c r="J768" s="107" t="s">
        <v>902</v>
      </c>
      <c r="K768" s="113">
        <v>45895</v>
      </c>
      <c r="L768" s="81">
        <v>2025402765</v>
      </c>
      <c r="M768" s="81" t="s">
        <v>226</v>
      </c>
      <c r="N768" s="81">
        <v>2025</v>
      </c>
    </row>
    <row r="769" spans="1:14">
      <c r="A769" s="81">
        <v>768</v>
      </c>
      <c r="B769" s="81" t="s">
        <v>43</v>
      </c>
      <c r="C769" s="81" t="s">
        <v>47</v>
      </c>
      <c r="D769" s="81" t="s">
        <v>61</v>
      </c>
      <c r="E769" s="112" t="s">
        <v>71</v>
      </c>
      <c r="F769" s="81"/>
      <c r="G769" s="81" t="s">
        <v>131</v>
      </c>
      <c r="H769" s="112" t="s">
        <v>71</v>
      </c>
      <c r="I769" s="105">
        <v>1436.99</v>
      </c>
      <c r="J769" s="81" t="s">
        <v>790</v>
      </c>
      <c r="K769" s="84">
        <v>45875</v>
      </c>
      <c r="L769" s="81">
        <v>2025402532</v>
      </c>
      <c r="M769" s="112" t="s">
        <v>226</v>
      </c>
      <c r="N769" s="81">
        <v>2025</v>
      </c>
    </row>
    <row r="770" spans="1:14">
      <c r="A770" s="81">
        <v>769</v>
      </c>
      <c r="B770" s="81" t="s">
        <v>43</v>
      </c>
      <c r="C770" s="81" t="s">
        <v>47</v>
      </c>
      <c r="D770" s="81" t="s">
        <v>61</v>
      </c>
      <c r="E770" s="112" t="s">
        <v>71</v>
      </c>
      <c r="F770" s="81"/>
      <c r="G770" s="81" t="s">
        <v>244</v>
      </c>
      <c r="H770" s="81" t="s">
        <v>128</v>
      </c>
      <c r="I770" s="105">
        <v>1302</v>
      </c>
      <c r="J770" s="81" t="s">
        <v>777</v>
      </c>
      <c r="K770" s="84">
        <v>45853</v>
      </c>
      <c r="L770" s="81">
        <v>2025402541</v>
      </c>
      <c r="M770" s="112" t="s">
        <v>225</v>
      </c>
      <c r="N770" s="81">
        <v>2025</v>
      </c>
    </row>
    <row r="771" spans="1:14">
      <c r="A771" s="81">
        <v>770</v>
      </c>
      <c r="B771" s="81" t="s">
        <v>43</v>
      </c>
      <c r="C771" s="81" t="s">
        <v>47</v>
      </c>
      <c r="D771" s="81" t="s">
        <v>61</v>
      </c>
      <c r="E771" s="81" t="s">
        <v>71</v>
      </c>
      <c r="F771" s="81"/>
      <c r="G771" s="81" t="s">
        <v>247</v>
      </c>
      <c r="H771" s="112" t="s">
        <v>71</v>
      </c>
      <c r="I771" s="83">
        <v>1172.5352112676057</v>
      </c>
      <c r="J771" s="81" t="s">
        <v>991</v>
      </c>
      <c r="K771" s="84">
        <v>45873</v>
      </c>
      <c r="L771" s="81">
        <v>2025402824</v>
      </c>
      <c r="M771" s="81" t="s">
        <v>226</v>
      </c>
      <c r="N771" s="81">
        <v>2025</v>
      </c>
    </row>
    <row r="772" spans="1:14">
      <c r="A772" s="81">
        <v>771</v>
      </c>
      <c r="B772" s="81" t="s">
        <v>43</v>
      </c>
      <c r="C772" s="81" t="s">
        <v>47</v>
      </c>
      <c r="D772" s="81" t="s">
        <v>61</v>
      </c>
      <c r="E772" s="81" t="s">
        <v>71</v>
      </c>
      <c r="F772" s="81"/>
      <c r="G772" s="81" t="s">
        <v>244</v>
      </c>
      <c r="H772" s="81" t="s">
        <v>128</v>
      </c>
      <c r="I772" s="105">
        <v>1051</v>
      </c>
      <c r="J772" s="81" t="s">
        <v>1170</v>
      </c>
      <c r="K772" s="84">
        <v>45892</v>
      </c>
      <c r="L772" s="81">
        <v>2025404257</v>
      </c>
      <c r="M772" s="81" t="s">
        <v>226</v>
      </c>
      <c r="N772" s="81">
        <v>2025</v>
      </c>
    </row>
    <row r="773" spans="1:14">
      <c r="A773" s="81">
        <v>772</v>
      </c>
      <c r="B773" s="81" t="s">
        <v>43</v>
      </c>
      <c r="C773" s="81" t="s">
        <v>47</v>
      </c>
      <c r="D773" s="81" t="s">
        <v>61</v>
      </c>
      <c r="E773" s="112" t="s">
        <v>71</v>
      </c>
      <c r="F773" s="81"/>
      <c r="G773" s="81" t="s">
        <v>131</v>
      </c>
      <c r="H773" s="112" t="s">
        <v>71</v>
      </c>
      <c r="I773" s="105">
        <v>557.22</v>
      </c>
      <c r="J773" s="81" t="s">
        <v>677</v>
      </c>
      <c r="K773" s="84">
        <v>45866</v>
      </c>
      <c r="L773" s="81">
        <v>2025402392</v>
      </c>
      <c r="M773" s="112" t="s">
        <v>225</v>
      </c>
      <c r="N773" s="81">
        <v>2025</v>
      </c>
    </row>
    <row r="774" spans="1:14">
      <c r="A774" s="81">
        <v>773</v>
      </c>
      <c r="B774" s="81" t="s">
        <v>43</v>
      </c>
      <c r="C774" s="81" t="s">
        <v>47</v>
      </c>
      <c r="D774" s="81" t="s">
        <v>61</v>
      </c>
      <c r="E774" s="81" t="s">
        <v>71</v>
      </c>
      <c r="F774" s="81"/>
      <c r="G774" s="81" t="s">
        <v>64</v>
      </c>
      <c r="H774" s="81" t="s">
        <v>1295</v>
      </c>
      <c r="I774" s="83">
        <v>532.3943661971831</v>
      </c>
      <c r="J774" s="81" t="s">
        <v>68</v>
      </c>
      <c r="K774" s="84">
        <v>45888</v>
      </c>
      <c r="L774" s="109" t="s">
        <v>14</v>
      </c>
      <c r="M774" s="81" t="s">
        <v>226</v>
      </c>
      <c r="N774" s="81">
        <v>2025</v>
      </c>
    </row>
    <row r="775" spans="1:14">
      <c r="A775" s="81">
        <v>774</v>
      </c>
      <c r="B775" s="81" t="s">
        <v>43</v>
      </c>
      <c r="C775" s="81" t="s">
        <v>47</v>
      </c>
      <c r="D775" s="81" t="s">
        <v>61</v>
      </c>
      <c r="E775" s="81" t="s">
        <v>71</v>
      </c>
      <c r="F775" s="81"/>
      <c r="G775" s="81" t="s">
        <v>134</v>
      </c>
      <c r="H775" s="81" t="s">
        <v>71</v>
      </c>
      <c r="I775" s="105">
        <v>446.1</v>
      </c>
      <c r="J775" s="81" t="s">
        <v>983</v>
      </c>
      <c r="K775" s="84">
        <v>45897</v>
      </c>
      <c r="L775" s="81">
        <v>2025402802</v>
      </c>
      <c r="M775" s="81" t="s">
        <v>226</v>
      </c>
      <c r="N775" s="81">
        <v>2025</v>
      </c>
    </row>
    <row r="776" spans="1:14">
      <c r="A776" s="81">
        <v>775</v>
      </c>
      <c r="B776" s="81" t="s">
        <v>43</v>
      </c>
      <c r="C776" s="81" t="s">
        <v>47</v>
      </c>
      <c r="D776" s="81" t="s">
        <v>61</v>
      </c>
      <c r="E776" s="112" t="s">
        <v>71</v>
      </c>
      <c r="F776" s="81"/>
      <c r="G776" s="81" t="s">
        <v>132</v>
      </c>
      <c r="H776" s="112" t="s">
        <v>71</v>
      </c>
      <c r="I776" s="105">
        <v>445</v>
      </c>
      <c r="J776" s="81" t="s">
        <v>513</v>
      </c>
      <c r="K776" s="114">
        <v>45845</v>
      </c>
      <c r="L776" s="81">
        <v>2025402061</v>
      </c>
      <c r="M776" s="112" t="s">
        <v>225</v>
      </c>
      <c r="N776" s="81">
        <v>2025</v>
      </c>
    </row>
    <row r="777" spans="1:14">
      <c r="A777" s="81">
        <v>776</v>
      </c>
      <c r="B777" s="81" t="s">
        <v>43</v>
      </c>
      <c r="C777" s="81" t="s">
        <v>47</v>
      </c>
      <c r="D777" s="81" t="s">
        <v>61</v>
      </c>
      <c r="E777" s="81" t="s">
        <v>71</v>
      </c>
      <c r="F777" s="81"/>
      <c r="G777" s="81" t="s">
        <v>134</v>
      </c>
      <c r="H777" s="81" t="s">
        <v>71</v>
      </c>
      <c r="I777" s="105">
        <v>240</v>
      </c>
      <c r="J777" s="81" t="s">
        <v>943</v>
      </c>
      <c r="K777" s="84">
        <v>45889</v>
      </c>
      <c r="L777" s="81">
        <v>2025402608</v>
      </c>
      <c r="M777" s="81" t="s">
        <v>226</v>
      </c>
      <c r="N777" s="81">
        <v>2025</v>
      </c>
    </row>
    <row r="778" spans="1:14">
      <c r="A778" s="81">
        <v>777</v>
      </c>
      <c r="B778" s="81" t="s">
        <v>17</v>
      </c>
      <c r="C778" s="81" t="s">
        <v>22</v>
      </c>
      <c r="D778" s="81" t="s">
        <v>61</v>
      </c>
      <c r="E778" s="112" t="s">
        <v>71</v>
      </c>
      <c r="F778" s="81"/>
      <c r="G778" s="81" t="s">
        <v>131</v>
      </c>
      <c r="H778" s="112" t="s">
        <v>71</v>
      </c>
      <c r="I778" s="105">
        <v>2847.49</v>
      </c>
      <c r="J778" s="81" t="s">
        <v>611</v>
      </c>
      <c r="K778" s="84">
        <v>45840</v>
      </c>
      <c r="L778" s="81">
        <v>2025402121</v>
      </c>
      <c r="M778" s="112" t="s">
        <v>225</v>
      </c>
      <c r="N778" s="81">
        <v>2025</v>
      </c>
    </row>
    <row r="779" spans="1:14">
      <c r="A779" s="81">
        <v>778</v>
      </c>
      <c r="B779" s="81" t="s">
        <v>17</v>
      </c>
      <c r="C779" s="81" t="s">
        <v>22</v>
      </c>
      <c r="D779" s="81" t="s">
        <v>61</v>
      </c>
      <c r="E779" s="112" t="s">
        <v>71</v>
      </c>
      <c r="F779" s="81"/>
      <c r="G779" s="81" t="s">
        <v>134</v>
      </c>
      <c r="H779" s="81" t="s">
        <v>71</v>
      </c>
      <c r="I779" s="105">
        <v>2569</v>
      </c>
      <c r="J779" s="81" t="s">
        <v>767</v>
      </c>
      <c r="K779" s="84">
        <v>45867</v>
      </c>
      <c r="L779" s="81">
        <v>2025402295</v>
      </c>
      <c r="M779" s="112" t="s">
        <v>225</v>
      </c>
      <c r="N779" s="81">
        <v>2025</v>
      </c>
    </row>
    <row r="780" spans="1:14">
      <c r="A780" s="81">
        <v>779</v>
      </c>
      <c r="B780" s="81" t="s">
        <v>17</v>
      </c>
      <c r="C780" s="81" t="s">
        <v>22</v>
      </c>
      <c r="D780" s="81" t="s">
        <v>61</v>
      </c>
      <c r="E780" s="81" t="s">
        <v>71</v>
      </c>
      <c r="F780" s="81"/>
      <c r="G780" s="81" t="s">
        <v>134</v>
      </c>
      <c r="H780" s="81" t="s">
        <v>71</v>
      </c>
      <c r="I780" s="105">
        <v>2112.4499999999998</v>
      </c>
      <c r="J780" s="81" t="s">
        <v>987</v>
      </c>
      <c r="K780" s="84">
        <v>45897</v>
      </c>
      <c r="L780" s="81">
        <v>2025402760</v>
      </c>
      <c r="M780" s="81" t="s">
        <v>226</v>
      </c>
      <c r="N780" s="81">
        <v>2025</v>
      </c>
    </row>
    <row r="781" spans="1:14">
      <c r="A781" s="81">
        <v>780</v>
      </c>
      <c r="B781" s="81" t="s">
        <v>17</v>
      </c>
      <c r="C781" s="81" t="s">
        <v>22</v>
      </c>
      <c r="D781" s="81" t="s">
        <v>61</v>
      </c>
      <c r="E781" s="81" t="s">
        <v>71</v>
      </c>
      <c r="F781" s="81"/>
      <c r="G781" s="81" t="s">
        <v>130</v>
      </c>
      <c r="H781" s="81" t="s">
        <v>71</v>
      </c>
      <c r="I781" s="83">
        <v>2057.8873239436621</v>
      </c>
      <c r="J781" s="81" t="s">
        <v>1153</v>
      </c>
      <c r="K781" s="84">
        <v>45871</v>
      </c>
      <c r="L781" s="81">
        <v>2025403929</v>
      </c>
      <c r="M781" s="81" t="s">
        <v>226</v>
      </c>
      <c r="N781" s="81">
        <v>2025</v>
      </c>
    </row>
    <row r="782" spans="1:14">
      <c r="A782" s="81">
        <v>781</v>
      </c>
      <c r="B782" s="81" t="s">
        <v>17</v>
      </c>
      <c r="C782" s="81" t="s">
        <v>22</v>
      </c>
      <c r="D782" s="81" t="s">
        <v>61</v>
      </c>
      <c r="E782" s="81" t="s">
        <v>71</v>
      </c>
      <c r="F782" s="81"/>
      <c r="G782" s="81" t="s">
        <v>124</v>
      </c>
      <c r="H782" s="81" t="s">
        <v>125</v>
      </c>
      <c r="I782" s="83">
        <v>1661.9718309859154</v>
      </c>
      <c r="J782" s="81" t="s">
        <v>1148</v>
      </c>
      <c r="K782" s="84">
        <v>45882</v>
      </c>
      <c r="L782" s="81">
        <v>2025403709</v>
      </c>
      <c r="M782" s="81" t="s">
        <v>226</v>
      </c>
      <c r="N782" s="81">
        <v>2025</v>
      </c>
    </row>
    <row r="783" spans="1:14">
      <c r="A783" s="81">
        <v>782</v>
      </c>
      <c r="B783" s="81" t="s">
        <v>17</v>
      </c>
      <c r="C783" s="81" t="s">
        <v>22</v>
      </c>
      <c r="D783" s="81" t="s">
        <v>61</v>
      </c>
      <c r="E783" s="112" t="s">
        <v>71</v>
      </c>
      <c r="F783" s="81"/>
      <c r="G783" s="81" t="s">
        <v>134</v>
      </c>
      <c r="H783" s="81" t="s">
        <v>71</v>
      </c>
      <c r="I783" s="105">
        <v>1625</v>
      </c>
      <c r="J783" s="81" t="s">
        <v>594</v>
      </c>
      <c r="K783" s="84">
        <v>45855</v>
      </c>
      <c r="L783" s="81">
        <v>2025402277</v>
      </c>
      <c r="M783" s="112" t="s">
        <v>225</v>
      </c>
      <c r="N783" s="81">
        <v>2025</v>
      </c>
    </row>
    <row r="784" spans="1:14">
      <c r="A784" s="81">
        <v>783</v>
      </c>
      <c r="B784" s="81" t="s">
        <v>17</v>
      </c>
      <c r="C784" s="81" t="s">
        <v>22</v>
      </c>
      <c r="D784" s="81" t="s">
        <v>61</v>
      </c>
      <c r="E784" s="112" t="s">
        <v>71</v>
      </c>
      <c r="F784" s="81"/>
      <c r="G784" s="81" t="s">
        <v>134</v>
      </c>
      <c r="H784" s="81" t="s">
        <v>71</v>
      </c>
      <c r="I784" s="105">
        <v>1120</v>
      </c>
      <c r="J784" s="81" t="s">
        <v>579</v>
      </c>
      <c r="K784" s="84">
        <v>45848</v>
      </c>
      <c r="L784" s="81">
        <v>2025402118</v>
      </c>
      <c r="M784" s="112" t="s">
        <v>225</v>
      </c>
      <c r="N784" s="81">
        <v>2025</v>
      </c>
    </row>
    <row r="785" spans="1:14">
      <c r="A785" s="81">
        <v>784</v>
      </c>
      <c r="B785" s="81" t="s">
        <v>17</v>
      </c>
      <c r="C785" s="81" t="s">
        <v>22</v>
      </c>
      <c r="D785" s="81" t="s">
        <v>61</v>
      </c>
      <c r="E785" s="81" t="s">
        <v>71</v>
      </c>
      <c r="F785" s="81"/>
      <c r="G785" s="81" t="s">
        <v>134</v>
      </c>
      <c r="H785" s="81" t="s">
        <v>71</v>
      </c>
      <c r="I785" s="105">
        <v>1108</v>
      </c>
      <c r="J785" s="81" t="s">
        <v>1055</v>
      </c>
      <c r="K785" s="84">
        <v>45899</v>
      </c>
      <c r="L785" s="81">
        <v>2025402787</v>
      </c>
      <c r="M785" s="81" t="s">
        <v>226</v>
      </c>
      <c r="N785" s="81">
        <v>2025</v>
      </c>
    </row>
    <row r="786" spans="1:14">
      <c r="A786" s="81">
        <v>785</v>
      </c>
      <c r="B786" s="81" t="s">
        <v>17</v>
      </c>
      <c r="C786" s="81" t="s">
        <v>22</v>
      </c>
      <c r="D786" s="81" t="s">
        <v>61</v>
      </c>
      <c r="E786" s="81" t="s">
        <v>71</v>
      </c>
      <c r="F786" s="81"/>
      <c r="G786" s="81" t="s">
        <v>64</v>
      </c>
      <c r="H786" s="81" t="s">
        <v>72</v>
      </c>
      <c r="I786" s="105">
        <v>847.88732394366195</v>
      </c>
      <c r="J786" s="81" t="s">
        <v>68</v>
      </c>
      <c r="K786" s="84">
        <v>45838</v>
      </c>
      <c r="L786" s="106" t="s">
        <v>14</v>
      </c>
      <c r="M786" s="107" t="s">
        <v>225</v>
      </c>
      <c r="N786" s="81">
        <v>2025</v>
      </c>
    </row>
    <row r="787" spans="1:14">
      <c r="A787" s="81">
        <v>786</v>
      </c>
      <c r="B787" s="81" t="s">
        <v>17</v>
      </c>
      <c r="C787" s="84" t="s">
        <v>22</v>
      </c>
      <c r="D787" s="81" t="s">
        <v>61</v>
      </c>
      <c r="E787" s="81" t="s">
        <v>71</v>
      </c>
      <c r="F787" s="81"/>
      <c r="G787" s="81" t="s">
        <v>64</v>
      </c>
      <c r="H787" s="104" t="s">
        <v>1265</v>
      </c>
      <c r="I787" s="105">
        <v>710.56338028169012</v>
      </c>
      <c r="J787" s="81" t="s">
        <v>68</v>
      </c>
      <c r="K787" s="84">
        <v>45857</v>
      </c>
      <c r="L787" s="106" t="s">
        <v>14</v>
      </c>
      <c r="M787" s="107" t="s">
        <v>226</v>
      </c>
      <c r="N787" s="81">
        <v>2025</v>
      </c>
    </row>
    <row r="788" spans="1:14">
      <c r="A788" s="81">
        <v>787</v>
      </c>
      <c r="B788" s="81" t="s">
        <v>17</v>
      </c>
      <c r="C788" s="81" t="s">
        <v>22</v>
      </c>
      <c r="D788" s="81" t="s">
        <v>61</v>
      </c>
      <c r="E788" s="81" t="s">
        <v>71</v>
      </c>
      <c r="F788" s="81"/>
      <c r="G788" s="81" t="s">
        <v>64</v>
      </c>
      <c r="H788" s="104" t="s">
        <v>1261</v>
      </c>
      <c r="I788" s="105">
        <v>704.22535211267609</v>
      </c>
      <c r="J788" s="81">
        <v>7009</v>
      </c>
      <c r="K788" s="84">
        <v>45815</v>
      </c>
      <c r="L788" s="106" t="s">
        <v>14</v>
      </c>
      <c r="M788" s="107" t="s">
        <v>225</v>
      </c>
      <c r="N788" s="81">
        <v>2025</v>
      </c>
    </row>
    <row r="789" spans="1:14">
      <c r="A789" s="81">
        <v>788</v>
      </c>
      <c r="B789" s="81" t="s">
        <v>17</v>
      </c>
      <c r="C789" s="81" t="s">
        <v>22</v>
      </c>
      <c r="D789" s="81" t="s">
        <v>61</v>
      </c>
      <c r="E789" s="81" t="s">
        <v>71</v>
      </c>
      <c r="F789" s="81"/>
      <c r="G789" s="81" t="s">
        <v>134</v>
      </c>
      <c r="H789" s="81" t="s">
        <v>71</v>
      </c>
      <c r="I789" s="105">
        <v>700</v>
      </c>
      <c r="J789" s="81" t="s">
        <v>910</v>
      </c>
      <c r="K789" s="84">
        <v>45893</v>
      </c>
      <c r="L789" s="81">
        <v>2025402751</v>
      </c>
      <c r="M789" s="81" t="s">
        <v>226</v>
      </c>
      <c r="N789" s="81">
        <v>2025</v>
      </c>
    </row>
    <row r="790" spans="1:14">
      <c r="A790" s="81">
        <v>789</v>
      </c>
      <c r="B790" s="81" t="s">
        <v>17</v>
      </c>
      <c r="C790" s="81" t="s">
        <v>22</v>
      </c>
      <c r="D790" s="81" t="s">
        <v>61</v>
      </c>
      <c r="E790" s="112" t="s">
        <v>71</v>
      </c>
      <c r="F790" s="81"/>
      <c r="G790" s="81" t="s">
        <v>132</v>
      </c>
      <c r="H790" s="112" t="s">
        <v>71</v>
      </c>
      <c r="I790" s="105">
        <v>565.08000000000004</v>
      </c>
      <c r="J790" s="81" t="s">
        <v>555</v>
      </c>
      <c r="K790" s="84">
        <v>45852</v>
      </c>
      <c r="L790" s="81">
        <v>2024403233</v>
      </c>
      <c r="M790" s="112" t="s">
        <v>225</v>
      </c>
      <c r="N790" s="81">
        <v>2025</v>
      </c>
    </row>
    <row r="791" spans="1:14">
      <c r="A791" s="81">
        <v>790</v>
      </c>
      <c r="B791" s="81" t="s">
        <v>17</v>
      </c>
      <c r="C791" s="81" t="s">
        <v>22</v>
      </c>
      <c r="D791" s="81" t="s">
        <v>61</v>
      </c>
      <c r="E791" s="112" t="s">
        <v>71</v>
      </c>
      <c r="F791" s="81"/>
      <c r="G791" s="81" t="s">
        <v>127</v>
      </c>
      <c r="H791" s="81" t="s">
        <v>128</v>
      </c>
      <c r="I791" s="105">
        <v>529.79999999999995</v>
      </c>
      <c r="J791" s="81" t="s">
        <v>801</v>
      </c>
      <c r="K791" s="84">
        <v>45876</v>
      </c>
      <c r="L791" s="81">
        <v>2025402593</v>
      </c>
      <c r="M791" s="112" t="s">
        <v>226</v>
      </c>
      <c r="N791" s="81">
        <v>2025</v>
      </c>
    </row>
    <row r="792" spans="1:14">
      <c r="A792" s="81">
        <v>791</v>
      </c>
      <c r="B792" s="81" t="s">
        <v>17</v>
      </c>
      <c r="C792" s="81" t="s">
        <v>22</v>
      </c>
      <c r="D792" s="81" t="s">
        <v>61</v>
      </c>
      <c r="E792" s="81" t="s">
        <v>71</v>
      </c>
      <c r="F792" s="81"/>
      <c r="G792" s="81" t="s">
        <v>64</v>
      </c>
      <c r="H792" s="81" t="s">
        <v>1260</v>
      </c>
      <c r="I792" s="105">
        <v>440.14084507042253</v>
      </c>
      <c r="J792" s="81" t="s">
        <v>1200</v>
      </c>
      <c r="K792" s="84">
        <v>45722</v>
      </c>
      <c r="L792" s="106" t="s">
        <v>14</v>
      </c>
      <c r="M792" s="107" t="s">
        <v>225</v>
      </c>
      <c r="N792" s="81">
        <v>2025</v>
      </c>
    </row>
    <row r="793" spans="1:14">
      <c r="A793" s="81">
        <v>792</v>
      </c>
      <c r="B793" s="81" t="s">
        <v>17</v>
      </c>
      <c r="C793" s="81" t="s">
        <v>22</v>
      </c>
      <c r="D793" s="81" t="s">
        <v>61</v>
      </c>
      <c r="E793" s="81" t="s">
        <v>71</v>
      </c>
      <c r="F793" s="81"/>
      <c r="G793" s="81" t="s">
        <v>131</v>
      </c>
      <c r="H793" s="112" t="s">
        <v>71</v>
      </c>
      <c r="I793" s="105">
        <v>422.96</v>
      </c>
      <c r="J793" s="81" t="s">
        <v>1030</v>
      </c>
      <c r="K793" s="84">
        <v>45896</v>
      </c>
      <c r="L793" s="81">
        <v>2025402856</v>
      </c>
      <c r="M793" s="81" t="s">
        <v>226</v>
      </c>
      <c r="N793" s="81">
        <v>2025</v>
      </c>
    </row>
    <row r="794" spans="1:14">
      <c r="A794" s="81">
        <v>793</v>
      </c>
      <c r="B794" s="81" t="s">
        <v>17</v>
      </c>
      <c r="C794" s="81" t="s">
        <v>22</v>
      </c>
      <c r="D794" s="81" t="s">
        <v>61</v>
      </c>
      <c r="E794" s="81" t="s">
        <v>71</v>
      </c>
      <c r="F794" s="81"/>
      <c r="G794" s="81" t="s">
        <v>482</v>
      </c>
      <c r="H794" s="81" t="s">
        <v>71</v>
      </c>
      <c r="I794" s="105">
        <v>415</v>
      </c>
      <c r="J794" s="81" t="s">
        <v>716</v>
      </c>
      <c r="K794" s="84">
        <v>45864</v>
      </c>
      <c r="L794" s="81">
        <v>2025402489</v>
      </c>
      <c r="M794" s="112" t="s">
        <v>225</v>
      </c>
      <c r="N794" s="81">
        <v>2025</v>
      </c>
    </row>
    <row r="795" spans="1:14">
      <c r="A795" s="81">
        <v>794</v>
      </c>
      <c r="B795" s="81" t="s">
        <v>17</v>
      </c>
      <c r="C795" s="81" t="s">
        <v>22</v>
      </c>
      <c r="D795" s="81" t="s">
        <v>61</v>
      </c>
      <c r="E795" s="112" t="s">
        <v>71</v>
      </c>
      <c r="F795" s="81"/>
      <c r="G795" s="81" t="s">
        <v>132</v>
      </c>
      <c r="H795" s="112" t="s">
        <v>71</v>
      </c>
      <c r="I795" s="105">
        <v>402.38</v>
      </c>
      <c r="J795" s="81" t="s">
        <v>542</v>
      </c>
      <c r="K795" s="84">
        <v>45850</v>
      </c>
      <c r="L795" s="81">
        <v>2025402184</v>
      </c>
      <c r="M795" s="112" t="s">
        <v>225</v>
      </c>
      <c r="N795" s="81">
        <v>2025</v>
      </c>
    </row>
    <row r="796" spans="1:14">
      <c r="A796" s="81">
        <v>795</v>
      </c>
      <c r="B796" s="81" t="s">
        <v>17</v>
      </c>
      <c r="C796" s="81" t="s">
        <v>22</v>
      </c>
      <c r="D796" s="81" t="s">
        <v>61</v>
      </c>
      <c r="E796" s="81" t="s">
        <v>71</v>
      </c>
      <c r="F796" s="81"/>
      <c r="G796" s="81" t="s">
        <v>134</v>
      </c>
      <c r="H796" s="81" t="s">
        <v>71</v>
      </c>
      <c r="I796" s="105">
        <v>400</v>
      </c>
      <c r="J796" s="81" t="s">
        <v>962</v>
      </c>
      <c r="K796" s="84">
        <v>45897</v>
      </c>
      <c r="L796" s="81">
        <v>2025402713</v>
      </c>
      <c r="M796" s="81" t="s">
        <v>226</v>
      </c>
      <c r="N796" s="81">
        <v>2025</v>
      </c>
    </row>
    <row r="797" spans="1:14">
      <c r="A797" s="81">
        <v>796</v>
      </c>
      <c r="B797" s="81" t="s">
        <v>17</v>
      </c>
      <c r="C797" s="81" t="s">
        <v>22</v>
      </c>
      <c r="D797" s="81" t="s">
        <v>61</v>
      </c>
      <c r="E797" s="81" t="s">
        <v>71</v>
      </c>
      <c r="F797" s="81"/>
      <c r="G797" s="81" t="s">
        <v>131</v>
      </c>
      <c r="H797" s="112" t="s">
        <v>71</v>
      </c>
      <c r="I797" s="105">
        <v>315.24</v>
      </c>
      <c r="J797" s="81" t="s">
        <v>1056</v>
      </c>
      <c r="K797" s="84">
        <v>45900</v>
      </c>
      <c r="L797" s="81">
        <v>2025402857</v>
      </c>
      <c r="M797" s="81" t="s">
        <v>226</v>
      </c>
      <c r="N797" s="81">
        <v>2025</v>
      </c>
    </row>
    <row r="798" spans="1:14">
      <c r="A798" s="81">
        <v>797</v>
      </c>
      <c r="B798" s="81" t="s">
        <v>17</v>
      </c>
      <c r="C798" s="81" t="s">
        <v>22</v>
      </c>
      <c r="D798" s="81" t="s">
        <v>61</v>
      </c>
      <c r="E798" s="81" t="s">
        <v>71</v>
      </c>
      <c r="F798" s="81"/>
      <c r="G798" s="81" t="s">
        <v>134</v>
      </c>
      <c r="H798" s="81" t="s">
        <v>71</v>
      </c>
      <c r="I798" s="105">
        <v>280</v>
      </c>
      <c r="J798" s="81" t="s">
        <v>979</v>
      </c>
      <c r="K798" s="84">
        <v>45899</v>
      </c>
      <c r="L798" s="81">
        <v>2025402709</v>
      </c>
      <c r="M798" s="81" t="s">
        <v>226</v>
      </c>
      <c r="N798" s="81">
        <v>2025</v>
      </c>
    </row>
    <row r="799" spans="1:14">
      <c r="A799" s="81">
        <v>798</v>
      </c>
      <c r="B799" s="81" t="s">
        <v>17</v>
      </c>
      <c r="C799" s="81" t="s">
        <v>22</v>
      </c>
      <c r="D799" s="81" t="s">
        <v>61</v>
      </c>
      <c r="E799" s="81" t="s">
        <v>71</v>
      </c>
      <c r="F799" s="81"/>
      <c r="G799" s="81" t="s">
        <v>134</v>
      </c>
      <c r="H799" s="81" t="s">
        <v>71</v>
      </c>
      <c r="I799" s="105">
        <v>260</v>
      </c>
      <c r="J799" s="81" t="s">
        <v>961</v>
      </c>
      <c r="K799" s="84">
        <v>45897</v>
      </c>
      <c r="L799" s="81">
        <v>2025402712</v>
      </c>
      <c r="M799" s="81" t="s">
        <v>226</v>
      </c>
      <c r="N799" s="81">
        <v>2025</v>
      </c>
    </row>
    <row r="800" spans="1:14">
      <c r="A800" s="81">
        <v>799</v>
      </c>
      <c r="B800" s="81" t="s">
        <v>17</v>
      </c>
      <c r="C800" s="81" t="s">
        <v>22</v>
      </c>
      <c r="D800" s="81" t="s">
        <v>61</v>
      </c>
      <c r="E800" s="81" t="s">
        <v>71</v>
      </c>
      <c r="F800" s="81"/>
      <c r="G800" s="81" t="s">
        <v>134</v>
      </c>
      <c r="H800" s="81" t="s">
        <v>71</v>
      </c>
      <c r="I800" s="105">
        <v>219</v>
      </c>
      <c r="J800" s="81" t="s">
        <v>911</v>
      </c>
      <c r="K800" s="84">
        <v>45893</v>
      </c>
      <c r="L800" s="81">
        <v>2025402686</v>
      </c>
      <c r="M800" s="81" t="s">
        <v>226</v>
      </c>
      <c r="N800" s="81">
        <v>2025</v>
      </c>
    </row>
    <row r="801" spans="1:14">
      <c r="A801" s="81">
        <v>800</v>
      </c>
      <c r="B801" s="81" t="s">
        <v>17</v>
      </c>
      <c r="C801" s="81" t="s">
        <v>22</v>
      </c>
      <c r="D801" s="81" t="s">
        <v>61</v>
      </c>
      <c r="E801" s="81" t="s">
        <v>71</v>
      </c>
      <c r="F801" s="81"/>
      <c r="G801" s="81" t="s">
        <v>132</v>
      </c>
      <c r="H801" s="112" t="s">
        <v>71</v>
      </c>
      <c r="I801" s="105">
        <v>172.7</v>
      </c>
      <c r="J801" s="107" t="s">
        <v>889</v>
      </c>
      <c r="K801" s="113">
        <v>45889</v>
      </c>
      <c r="L801" s="81">
        <v>2025402717</v>
      </c>
      <c r="M801" s="81" t="s">
        <v>226</v>
      </c>
      <c r="N801" s="81">
        <v>2025</v>
      </c>
    </row>
    <row r="802" spans="1:14">
      <c r="A802" s="81">
        <v>801</v>
      </c>
      <c r="B802" s="81" t="s">
        <v>17</v>
      </c>
      <c r="C802" s="81" t="s">
        <v>22</v>
      </c>
      <c r="D802" s="81" t="s">
        <v>61</v>
      </c>
      <c r="E802" s="81" t="s">
        <v>71</v>
      </c>
      <c r="F802" s="81"/>
      <c r="G802" s="81" t="s">
        <v>132</v>
      </c>
      <c r="H802" s="112" t="s">
        <v>71</v>
      </c>
      <c r="I802" s="105">
        <v>131.19999999999999</v>
      </c>
      <c r="J802" s="81" t="s">
        <v>1017</v>
      </c>
      <c r="K802" s="84">
        <v>45894</v>
      </c>
      <c r="L802" s="81">
        <v>2025402740</v>
      </c>
      <c r="M802" s="81" t="s">
        <v>226</v>
      </c>
      <c r="N802" s="81">
        <v>2025</v>
      </c>
    </row>
    <row r="803" spans="1:14">
      <c r="A803" s="81">
        <v>802</v>
      </c>
      <c r="B803" s="81" t="s">
        <v>17</v>
      </c>
      <c r="C803" s="81" t="s">
        <v>22</v>
      </c>
      <c r="D803" s="81" t="s">
        <v>61</v>
      </c>
      <c r="E803" s="112" t="s">
        <v>71</v>
      </c>
      <c r="F803" s="81"/>
      <c r="G803" s="81" t="s">
        <v>134</v>
      </c>
      <c r="H803" s="81" t="s">
        <v>71</v>
      </c>
      <c r="I803" s="105">
        <v>96</v>
      </c>
      <c r="J803" s="81" t="s">
        <v>773</v>
      </c>
      <c r="K803" s="84">
        <v>45872</v>
      </c>
      <c r="L803" s="81">
        <v>2025402239</v>
      </c>
      <c r="M803" s="112" t="s">
        <v>226</v>
      </c>
      <c r="N803" s="81">
        <v>2025</v>
      </c>
    </row>
    <row r="804" spans="1:14">
      <c r="A804" s="81">
        <v>803</v>
      </c>
      <c r="B804" s="81" t="s">
        <v>17</v>
      </c>
      <c r="C804" s="81" t="s">
        <v>22</v>
      </c>
      <c r="D804" s="81" t="s">
        <v>61</v>
      </c>
      <c r="E804" s="81" t="s">
        <v>71</v>
      </c>
      <c r="F804" s="81"/>
      <c r="G804" s="81" t="s">
        <v>134</v>
      </c>
      <c r="H804" s="81" t="s">
        <v>71</v>
      </c>
      <c r="I804" s="105">
        <v>90</v>
      </c>
      <c r="J804" s="81" t="s">
        <v>909</v>
      </c>
      <c r="K804" s="84">
        <v>45889</v>
      </c>
      <c r="L804" s="81">
        <v>2025402627</v>
      </c>
      <c r="M804" s="81" t="s">
        <v>226</v>
      </c>
      <c r="N804" s="81">
        <v>2025</v>
      </c>
    </row>
    <row r="805" spans="1:14">
      <c r="A805" s="81">
        <v>804</v>
      </c>
      <c r="B805" s="112" t="s">
        <v>17</v>
      </c>
      <c r="C805" s="112" t="s">
        <v>22</v>
      </c>
      <c r="D805" s="81" t="s">
        <v>61</v>
      </c>
      <c r="E805" s="81" t="s">
        <v>71</v>
      </c>
      <c r="F805" s="81"/>
      <c r="G805" s="81" t="s">
        <v>132</v>
      </c>
      <c r="H805" s="112" t="s">
        <v>71</v>
      </c>
      <c r="I805" s="105">
        <v>53.04</v>
      </c>
      <c r="J805" s="81" t="s">
        <v>783</v>
      </c>
      <c r="K805" s="84">
        <v>45874</v>
      </c>
      <c r="L805" s="81">
        <v>2025402542</v>
      </c>
      <c r="M805" s="112" t="s">
        <v>226</v>
      </c>
      <c r="N805" s="81">
        <v>2025</v>
      </c>
    </row>
    <row r="806" spans="1:14">
      <c r="A806" s="81">
        <v>805</v>
      </c>
      <c r="B806" s="81" t="s">
        <v>17</v>
      </c>
      <c r="C806" s="81" t="s">
        <v>22</v>
      </c>
      <c r="D806" s="81" t="s">
        <v>61</v>
      </c>
      <c r="E806" s="81" t="s">
        <v>71</v>
      </c>
      <c r="F806" s="81"/>
      <c r="G806" s="81" t="s">
        <v>131</v>
      </c>
      <c r="H806" s="112" t="s">
        <v>71</v>
      </c>
      <c r="I806" s="105">
        <v>33</v>
      </c>
      <c r="J806" s="107" t="s">
        <v>894</v>
      </c>
      <c r="K806" s="113">
        <v>45888</v>
      </c>
      <c r="L806" s="81">
        <v>2025402699</v>
      </c>
      <c r="M806" s="81" t="s">
        <v>226</v>
      </c>
      <c r="N806" s="81">
        <v>2025</v>
      </c>
    </row>
    <row r="807" spans="1:14">
      <c r="A807" s="81">
        <v>806</v>
      </c>
      <c r="B807" s="81" t="s">
        <v>59</v>
      </c>
      <c r="C807" s="81" t="s">
        <v>60</v>
      </c>
      <c r="D807" s="81" t="s">
        <v>61</v>
      </c>
      <c r="E807" s="81" t="s">
        <v>71</v>
      </c>
      <c r="F807" s="81"/>
      <c r="G807" s="81" t="s">
        <v>92</v>
      </c>
      <c r="H807" s="81" t="s">
        <v>71</v>
      </c>
      <c r="I807" s="83">
        <v>27645.774647887323</v>
      </c>
      <c r="J807" s="81" t="s">
        <v>1084</v>
      </c>
      <c r="K807" s="84">
        <v>45901</v>
      </c>
      <c r="L807" s="81">
        <v>2025402980</v>
      </c>
      <c r="M807" s="81" t="s">
        <v>225</v>
      </c>
      <c r="N807" s="81">
        <v>2025</v>
      </c>
    </row>
    <row r="808" spans="1:14">
      <c r="A808" s="81">
        <v>807</v>
      </c>
      <c r="B808" s="81" t="s">
        <v>59</v>
      </c>
      <c r="C808" s="81" t="s">
        <v>60</v>
      </c>
      <c r="D808" s="81" t="s">
        <v>61</v>
      </c>
      <c r="E808" s="81" t="s">
        <v>71</v>
      </c>
      <c r="F808" s="81"/>
      <c r="G808" s="81" t="s">
        <v>134</v>
      </c>
      <c r="H808" s="81" t="s">
        <v>71</v>
      </c>
      <c r="I808" s="105">
        <v>5788.4</v>
      </c>
      <c r="J808" s="81" t="s">
        <v>280</v>
      </c>
      <c r="K808" s="84">
        <v>45850</v>
      </c>
      <c r="L808" s="81">
        <v>2025401539</v>
      </c>
      <c r="M808" s="112" t="s">
        <v>225</v>
      </c>
      <c r="N808" s="81">
        <v>2025</v>
      </c>
    </row>
    <row r="809" spans="1:14">
      <c r="A809" s="81">
        <v>808</v>
      </c>
      <c r="B809" s="81" t="s">
        <v>59</v>
      </c>
      <c r="C809" s="81" t="s">
        <v>60</v>
      </c>
      <c r="D809" s="81" t="s">
        <v>61</v>
      </c>
      <c r="E809" s="112" t="s">
        <v>71</v>
      </c>
      <c r="F809" s="81"/>
      <c r="G809" s="81" t="s">
        <v>131</v>
      </c>
      <c r="H809" s="112" t="s">
        <v>71</v>
      </c>
      <c r="I809" s="105">
        <v>3671.1</v>
      </c>
      <c r="J809" s="81" t="s">
        <v>533</v>
      </c>
      <c r="K809" s="84">
        <v>45847</v>
      </c>
      <c r="L809" s="81">
        <v>2025401936</v>
      </c>
      <c r="M809" s="112" t="s">
        <v>225</v>
      </c>
      <c r="N809" s="81">
        <v>2025</v>
      </c>
    </row>
    <row r="810" spans="1:14">
      <c r="A810" s="81">
        <v>809</v>
      </c>
      <c r="B810" s="81" t="s">
        <v>59</v>
      </c>
      <c r="C810" s="81" t="s">
        <v>60</v>
      </c>
      <c r="D810" s="81" t="s">
        <v>61</v>
      </c>
      <c r="E810" s="112" t="s">
        <v>71</v>
      </c>
      <c r="F810" s="81"/>
      <c r="G810" s="81" t="s">
        <v>134</v>
      </c>
      <c r="H810" s="81" t="s">
        <v>71</v>
      </c>
      <c r="I810" s="105">
        <v>3470.4</v>
      </c>
      <c r="J810" s="81" t="s">
        <v>771</v>
      </c>
      <c r="K810" s="84">
        <v>45867</v>
      </c>
      <c r="L810" s="81">
        <v>2025402283</v>
      </c>
      <c r="M810" s="112" t="s">
        <v>225</v>
      </c>
      <c r="N810" s="81">
        <v>2025</v>
      </c>
    </row>
    <row r="811" spans="1:14">
      <c r="A811" s="81">
        <v>810</v>
      </c>
      <c r="B811" s="81" t="s">
        <v>59</v>
      </c>
      <c r="C811" s="81" t="s">
        <v>60</v>
      </c>
      <c r="D811" s="81" t="s">
        <v>61</v>
      </c>
      <c r="E811" s="112" t="s">
        <v>71</v>
      </c>
      <c r="F811" s="81"/>
      <c r="G811" s="81" t="s">
        <v>131</v>
      </c>
      <c r="H811" s="112" t="s">
        <v>71</v>
      </c>
      <c r="I811" s="105">
        <v>3410.2</v>
      </c>
      <c r="J811" s="81" t="s">
        <v>534</v>
      </c>
      <c r="K811" s="84">
        <v>45847</v>
      </c>
      <c r="L811" s="81">
        <v>2025401988</v>
      </c>
      <c r="M811" s="112" t="s">
        <v>225</v>
      </c>
      <c r="N811" s="81">
        <v>2025</v>
      </c>
    </row>
    <row r="812" spans="1:14">
      <c r="A812" s="81">
        <v>811</v>
      </c>
      <c r="B812" s="81" t="s">
        <v>59</v>
      </c>
      <c r="C812" s="81" t="s">
        <v>60</v>
      </c>
      <c r="D812" s="81" t="s">
        <v>61</v>
      </c>
      <c r="E812" s="112" t="s">
        <v>71</v>
      </c>
      <c r="F812" s="81"/>
      <c r="G812" s="81" t="s">
        <v>134</v>
      </c>
      <c r="H812" s="81" t="s">
        <v>71</v>
      </c>
      <c r="I812" s="105">
        <v>3082.1</v>
      </c>
      <c r="J812" s="81" t="s">
        <v>770</v>
      </c>
      <c r="K812" s="84">
        <v>45867</v>
      </c>
      <c r="L812" s="81">
        <v>2025402311</v>
      </c>
      <c r="M812" s="112" t="s">
        <v>225</v>
      </c>
      <c r="N812" s="81">
        <v>2025</v>
      </c>
    </row>
    <row r="813" spans="1:14">
      <c r="A813" s="81">
        <v>812</v>
      </c>
      <c r="B813" s="81" t="s">
        <v>59</v>
      </c>
      <c r="C813" s="81" t="s">
        <v>60</v>
      </c>
      <c r="D813" s="81" t="s">
        <v>61</v>
      </c>
      <c r="E813" s="112" t="s">
        <v>71</v>
      </c>
      <c r="F813" s="81"/>
      <c r="G813" s="102" t="s">
        <v>134</v>
      </c>
      <c r="H813" s="81" t="s">
        <v>71</v>
      </c>
      <c r="I813" s="105">
        <v>2875</v>
      </c>
      <c r="J813" s="102" t="s">
        <v>510</v>
      </c>
      <c r="K813" s="84">
        <v>45840</v>
      </c>
      <c r="L813" s="102">
        <v>2025401864</v>
      </c>
      <c r="M813" s="112" t="s">
        <v>225</v>
      </c>
      <c r="N813" s="81">
        <v>2025</v>
      </c>
    </row>
    <row r="814" spans="1:14">
      <c r="A814" s="81">
        <v>813</v>
      </c>
      <c r="B814" s="81" t="s">
        <v>59</v>
      </c>
      <c r="C814" s="81" t="s">
        <v>60</v>
      </c>
      <c r="D814" s="81" t="s">
        <v>61</v>
      </c>
      <c r="E814" s="112" t="s">
        <v>71</v>
      </c>
      <c r="F814" s="81"/>
      <c r="G814" s="81" t="s">
        <v>134</v>
      </c>
      <c r="H814" s="81" t="s">
        <v>71</v>
      </c>
      <c r="I814" s="105">
        <v>2875</v>
      </c>
      <c r="J814" s="81" t="s">
        <v>558</v>
      </c>
      <c r="K814" s="84">
        <v>45850</v>
      </c>
      <c r="L814" s="81">
        <v>2025401884</v>
      </c>
      <c r="M814" s="112" t="s">
        <v>225</v>
      </c>
      <c r="N814" s="81">
        <v>2025</v>
      </c>
    </row>
    <row r="815" spans="1:14">
      <c r="A815" s="81">
        <v>814</v>
      </c>
      <c r="B815" s="81" t="s">
        <v>59</v>
      </c>
      <c r="C815" s="81" t="s">
        <v>60</v>
      </c>
      <c r="D815" s="81" t="s">
        <v>61</v>
      </c>
      <c r="E815" s="112" t="s">
        <v>71</v>
      </c>
      <c r="F815" s="81"/>
      <c r="G815" s="81" t="s">
        <v>134</v>
      </c>
      <c r="H815" s="81" t="s">
        <v>71</v>
      </c>
      <c r="I815" s="105">
        <v>2166.1</v>
      </c>
      <c r="J815" s="81" t="s">
        <v>509</v>
      </c>
      <c r="K815" s="114">
        <v>45840</v>
      </c>
      <c r="L815" s="81">
        <v>2025401885</v>
      </c>
      <c r="M815" s="112" t="s">
        <v>225</v>
      </c>
      <c r="N815" s="81">
        <v>2025</v>
      </c>
    </row>
    <row r="816" spans="1:14">
      <c r="A816" s="81">
        <v>815</v>
      </c>
      <c r="B816" s="81" t="s">
        <v>59</v>
      </c>
      <c r="C816" s="81" t="s">
        <v>60</v>
      </c>
      <c r="D816" s="81" t="s">
        <v>61</v>
      </c>
      <c r="E816" s="112" t="s">
        <v>71</v>
      </c>
      <c r="F816" s="81"/>
      <c r="G816" s="81" t="s">
        <v>134</v>
      </c>
      <c r="H816" s="81" t="s">
        <v>71</v>
      </c>
      <c r="I816" s="105">
        <v>1889.1</v>
      </c>
      <c r="J816" s="81" t="s">
        <v>556</v>
      </c>
      <c r="K816" s="84">
        <v>45851</v>
      </c>
      <c r="L816" s="81">
        <v>2025401646</v>
      </c>
      <c r="M816" s="112" t="s">
        <v>225</v>
      </c>
      <c r="N816" s="81">
        <v>2025</v>
      </c>
    </row>
    <row r="817" spans="1:14">
      <c r="A817" s="81">
        <v>816</v>
      </c>
      <c r="B817" s="81" t="s">
        <v>59</v>
      </c>
      <c r="C817" s="81" t="s">
        <v>60</v>
      </c>
      <c r="D817" s="81" t="s">
        <v>61</v>
      </c>
      <c r="E817" s="112" t="s">
        <v>71</v>
      </c>
      <c r="F817" s="81"/>
      <c r="G817" s="81" t="s">
        <v>134</v>
      </c>
      <c r="H817" s="81" t="s">
        <v>71</v>
      </c>
      <c r="I817" s="105">
        <v>1500</v>
      </c>
      <c r="J817" s="81" t="s">
        <v>817</v>
      </c>
      <c r="K817" s="84">
        <v>45875</v>
      </c>
      <c r="L817" s="81">
        <v>2025402554</v>
      </c>
      <c r="M817" s="112" t="s">
        <v>226</v>
      </c>
      <c r="N817" s="81">
        <v>2025</v>
      </c>
    </row>
    <row r="818" spans="1:14">
      <c r="A818" s="81">
        <v>817</v>
      </c>
      <c r="B818" s="81" t="s">
        <v>59</v>
      </c>
      <c r="C818" s="81" t="s">
        <v>60</v>
      </c>
      <c r="D818" s="81" t="s">
        <v>61</v>
      </c>
      <c r="E818" s="81" t="s">
        <v>71</v>
      </c>
      <c r="F818" s="81"/>
      <c r="G818" s="81" t="s">
        <v>64</v>
      </c>
      <c r="H818" s="104" t="s">
        <v>1276</v>
      </c>
      <c r="I818" s="105">
        <v>1059.8591549295775</v>
      </c>
      <c r="J818" s="104" t="s">
        <v>68</v>
      </c>
      <c r="K818" s="84">
        <v>45755</v>
      </c>
      <c r="L818" s="106" t="s">
        <v>14</v>
      </c>
      <c r="M818" s="81" t="s">
        <v>226</v>
      </c>
      <c r="N818" s="81">
        <v>2025</v>
      </c>
    </row>
    <row r="819" spans="1:14">
      <c r="A819" s="81">
        <v>818</v>
      </c>
      <c r="B819" s="81" t="s">
        <v>59</v>
      </c>
      <c r="C819" s="81" t="s">
        <v>60</v>
      </c>
      <c r="D819" s="81" t="s">
        <v>61</v>
      </c>
      <c r="E819" s="81" t="s">
        <v>71</v>
      </c>
      <c r="F819" s="81"/>
      <c r="G819" s="81" t="s">
        <v>132</v>
      </c>
      <c r="H819" s="112" t="s">
        <v>71</v>
      </c>
      <c r="I819" s="105">
        <v>836.84</v>
      </c>
      <c r="J819" s="81" t="s">
        <v>782</v>
      </c>
      <c r="K819" s="84">
        <v>45874</v>
      </c>
      <c r="L819" s="81">
        <v>2025402555</v>
      </c>
      <c r="M819" s="112" t="s">
        <v>226</v>
      </c>
      <c r="N819" s="81">
        <v>2025</v>
      </c>
    </row>
    <row r="820" spans="1:14">
      <c r="A820" s="81">
        <v>819</v>
      </c>
      <c r="B820" s="81" t="s">
        <v>59</v>
      </c>
      <c r="C820" s="81" t="s">
        <v>60</v>
      </c>
      <c r="D820" s="81" t="s">
        <v>61</v>
      </c>
      <c r="E820" s="81" t="s">
        <v>71</v>
      </c>
      <c r="F820" s="81"/>
      <c r="G820" s="81" t="s">
        <v>64</v>
      </c>
      <c r="H820" s="81" t="s">
        <v>1274</v>
      </c>
      <c r="I820" s="105">
        <v>528.16901408450701</v>
      </c>
      <c r="J820" s="81" t="s">
        <v>68</v>
      </c>
      <c r="K820" s="84">
        <v>45897</v>
      </c>
      <c r="L820" s="106" t="s">
        <v>14</v>
      </c>
      <c r="M820" s="81" t="s">
        <v>226</v>
      </c>
      <c r="N820" s="81">
        <v>2025</v>
      </c>
    </row>
    <row r="821" spans="1:14">
      <c r="A821" s="81">
        <v>820</v>
      </c>
      <c r="B821" s="81" t="s">
        <v>59</v>
      </c>
      <c r="C821" s="81" t="s">
        <v>60</v>
      </c>
      <c r="D821" s="81" t="s">
        <v>61</v>
      </c>
      <c r="E821" s="81" t="s">
        <v>71</v>
      </c>
      <c r="F821" s="81"/>
      <c r="G821" s="81" t="s">
        <v>64</v>
      </c>
      <c r="H821" s="81" t="s">
        <v>1270</v>
      </c>
      <c r="I821" s="105">
        <v>528.16901408450701</v>
      </c>
      <c r="J821" s="81" t="s">
        <v>68</v>
      </c>
      <c r="K821" s="84">
        <v>45866</v>
      </c>
      <c r="L821" s="106" t="s">
        <v>14</v>
      </c>
      <c r="M821" s="81" t="s">
        <v>225</v>
      </c>
      <c r="N821" s="81">
        <v>2025</v>
      </c>
    </row>
    <row r="822" spans="1:14">
      <c r="A822" s="81">
        <v>821</v>
      </c>
      <c r="B822" s="81" t="s">
        <v>59</v>
      </c>
      <c r="C822" s="81" t="s">
        <v>60</v>
      </c>
      <c r="D822" s="81" t="s">
        <v>61</v>
      </c>
      <c r="E822" s="81" t="s">
        <v>71</v>
      </c>
      <c r="F822" s="81"/>
      <c r="G822" s="81" t="s">
        <v>64</v>
      </c>
      <c r="H822" s="81" t="s">
        <v>1271</v>
      </c>
      <c r="I822" s="105">
        <v>528.16901408450701</v>
      </c>
      <c r="J822" s="81" t="s">
        <v>68</v>
      </c>
      <c r="K822" s="84">
        <v>45858</v>
      </c>
      <c r="L822" s="106" t="s">
        <v>14</v>
      </c>
      <c r="M822" s="81" t="s">
        <v>225</v>
      </c>
      <c r="N822" s="81">
        <v>2025</v>
      </c>
    </row>
    <row r="823" spans="1:14">
      <c r="A823" s="81">
        <v>822</v>
      </c>
      <c r="B823" s="81" t="s">
        <v>59</v>
      </c>
      <c r="C823" s="81" t="s">
        <v>60</v>
      </c>
      <c r="D823" s="81" t="s">
        <v>61</v>
      </c>
      <c r="E823" s="81" t="s">
        <v>71</v>
      </c>
      <c r="F823" s="81"/>
      <c r="G823" s="81" t="s">
        <v>64</v>
      </c>
      <c r="H823" s="104" t="s">
        <v>1275</v>
      </c>
      <c r="I823" s="105">
        <v>395.77464788732397</v>
      </c>
      <c r="J823" s="104" t="s">
        <v>68</v>
      </c>
      <c r="K823" s="84">
        <v>45887</v>
      </c>
      <c r="L823" s="106" t="s">
        <v>14</v>
      </c>
      <c r="M823" s="81" t="s">
        <v>226</v>
      </c>
      <c r="N823" s="81">
        <v>2025</v>
      </c>
    </row>
    <row r="824" spans="1:14">
      <c r="A824" s="81">
        <v>823</v>
      </c>
      <c r="B824" s="81" t="s">
        <v>59</v>
      </c>
      <c r="C824" s="81" t="s">
        <v>60</v>
      </c>
      <c r="D824" s="81" t="s">
        <v>61</v>
      </c>
      <c r="E824" s="81" t="s">
        <v>71</v>
      </c>
      <c r="F824" s="81"/>
      <c r="G824" s="81" t="s">
        <v>64</v>
      </c>
      <c r="H824" s="81" t="s">
        <v>1272</v>
      </c>
      <c r="I824" s="105">
        <v>246.47887323943661</v>
      </c>
      <c r="J824" s="81" t="s">
        <v>68</v>
      </c>
      <c r="K824" s="84">
        <v>45890</v>
      </c>
      <c r="L824" s="106" t="s">
        <v>14</v>
      </c>
      <c r="M824" s="81" t="s">
        <v>226</v>
      </c>
      <c r="N824" s="81">
        <v>2025</v>
      </c>
    </row>
    <row r="825" spans="1:14">
      <c r="A825" s="81">
        <v>824</v>
      </c>
      <c r="B825" s="81" t="s">
        <v>59</v>
      </c>
      <c r="C825" s="81" t="s">
        <v>60</v>
      </c>
      <c r="D825" s="81" t="s">
        <v>61</v>
      </c>
      <c r="E825" s="81" t="s">
        <v>71</v>
      </c>
      <c r="F825" s="81"/>
      <c r="G825" s="81" t="s">
        <v>64</v>
      </c>
      <c r="H825" s="81" t="s">
        <v>1273</v>
      </c>
      <c r="I825" s="105">
        <v>183.09859154929578</v>
      </c>
      <c r="J825" s="81">
        <v>1983</v>
      </c>
      <c r="K825" s="84">
        <v>45886</v>
      </c>
      <c r="L825" s="106" t="s">
        <v>14</v>
      </c>
      <c r="M825" s="81" t="s">
        <v>226</v>
      </c>
      <c r="N825" s="81">
        <v>2025</v>
      </c>
    </row>
    <row r="826" spans="1:14">
      <c r="A826" s="81">
        <v>825</v>
      </c>
      <c r="B826" s="81" t="s">
        <v>53</v>
      </c>
      <c r="C826" s="129" t="s">
        <v>62</v>
      </c>
      <c r="D826" s="81" t="s">
        <v>61</v>
      </c>
      <c r="E826" s="81" t="s">
        <v>71</v>
      </c>
      <c r="F826" s="81"/>
      <c r="G826" s="81" t="s">
        <v>64</v>
      </c>
      <c r="H826" s="81" t="s">
        <v>1306</v>
      </c>
      <c r="I826" s="83">
        <v>2285.211267605634</v>
      </c>
      <c r="J826" s="81">
        <v>2212</v>
      </c>
      <c r="K826" s="84">
        <v>45853</v>
      </c>
      <c r="L826" s="109" t="s">
        <v>14</v>
      </c>
      <c r="M826" s="81" t="s">
        <v>225</v>
      </c>
      <c r="N826" s="81">
        <v>2025</v>
      </c>
    </row>
    <row r="827" spans="1:14">
      <c r="A827" s="81">
        <v>826</v>
      </c>
      <c r="B827" s="81" t="s">
        <v>53</v>
      </c>
      <c r="C827" s="129" t="s">
        <v>62</v>
      </c>
      <c r="D827" s="81" t="s">
        <v>61</v>
      </c>
      <c r="E827" s="81" t="s">
        <v>71</v>
      </c>
      <c r="F827" s="81"/>
      <c r="G827" s="81" t="s">
        <v>64</v>
      </c>
      <c r="H827" s="81" t="s">
        <v>1304</v>
      </c>
      <c r="I827" s="83">
        <v>1762.6760563380283</v>
      </c>
      <c r="J827" s="81" t="s">
        <v>68</v>
      </c>
      <c r="K827" s="84">
        <v>45896</v>
      </c>
      <c r="L827" s="109" t="s">
        <v>14</v>
      </c>
      <c r="M827" s="81" t="s">
        <v>226</v>
      </c>
      <c r="N827" s="81">
        <v>2025</v>
      </c>
    </row>
    <row r="828" spans="1:14">
      <c r="A828" s="81">
        <v>827</v>
      </c>
      <c r="B828" s="81" t="s">
        <v>53</v>
      </c>
      <c r="C828" s="129" t="s">
        <v>62</v>
      </c>
      <c r="D828" s="81" t="s">
        <v>61</v>
      </c>
      <c r="E828" s="81" t="s">
        <v>71</v>
      </c>
      <c r="F828" s="81"/>
      <c r="G828" s="81" t="s">
        <v>64</v>
      </c>
      <c r="H828" s="81" t="s">
        <v>1304</v>
      </c>
      <c r="I828" s="83">
        <v>1685.2112676056338</v>
      </c>
      <c r="J828" s="81" t="s">
        <v>68</v>
      </c>
      <c r="K828" s="84">
        <v>45889</v>
      </c>
      <c r="L828" s="109" t="s">
        <v>14</v>
      </c>
      <c r="M828" s="81" t="s">
        <v>226</v>
      </c>
      <c r="N828" s="81">
        <v>2025</v>
      </c>
    </row>
    <row r="829" spans="1:14">
      <c r="A829" s="81">
        <v>828</v>
      </c>
      <c r="B829" s="81" t="s">
        <v>53</v>
      </c>
      <c r="C829" s="129" t="s">
        <v>62</v>
      </c>
      <c r="D829" s="81" t="s">
        <v>61</v>
      </c>
      <c r="E829" s="81" t="s">
        <v>71</v>
      </c>
      <c r="F829" s="81"/>
      <c r="G829" s="81" t="s">
        <v>64</v>
      </c>
      <c r="H829" s="81" t="s">
        <v>1304</v>
      </c>
      <c r="I829" s="83">
        <v>1411.2676056338028</v>
      </c>
      <c r="J829" s="81" t="s">
        <v>68</v>
      </c>
      <c r="K829" s="84">
        <v>45907</v>
      </c>
      <c r="L829" s="109" t="s">
        <v>14</v>
      </c>
      <c r="M829" s="81" t="s">
        <v>225</v>
      </c>
      <c r="N829" s="81">
        <v>2025</v>
      </c>
    </row>
    <row r="830" spans="1:14">
      <c r="A830" s="81">
        <v>829</v>
      </c>
      <c r="B830" s="81" t="s">
        <v>53</v>
      </c>
      <c r="C830" s="129" t="s">
        <v>62</v>
      </c>
      <c r="D830" s="81" t="s">
        <v>61</v>
      </c>
      <c r="E830" s="81" t="s">
        <v>71</v>
      </c>
      <c r="F830" s="81"/>
      <c r="G830" s="81" t="s">
        <v>64</v>
      </c>
      <c r="H830" s="81" t="s">
        <v>1304</v>
      </c>
      <c r="I830" s="83">
        <v>1352.8169014084508</v>
      </c>
      <c r="J830" s="81" t="s">
        <v>68</v>
      </c>
      <c r="K830" s="84">
        <v>45696</v>
      </c>
      <c r="L830" s="109" t="s">
        <v>14</v>
      </c>
      <c r="M830" s="81" t="s">
        <v>226</v>
      </c>
      <c r="N830" s="81">
        <v>2025</v>
      </c>
    </row>
    <row r="831" spans="1:14">
      <c r="A831" s="81">
        <v>830</v>
      </c>
      <c r="B831" s="81" t="s">
        <v>53</v>
      </c>
      <c r="C831" s="129" t="s">
        <v>62</v>
      </c>
      <c r="D831" s="81" t="s">
        <v>61</v>
      </c>
      <c r="E831" s="81" t="s">
        <v>71</v>
      </c>
      <c r="F831" s="81"/>
      <c r="G831" s="81" t="s">
        <v>64</v>
      </c>
      <c r="H831" s="81" t="s">
        <v>1266</v>
      </c>
      <c r="I831" s="83">
        <v>1253.5211267605634</v>
      </c>
      <c r="J831" s="81" t="s">
        <v>68</v>
      </c>
      <c r="K831" s="84">
        <v>45969</v>
      </c>
      <c r="L831" s="109" t="s">
        <v>14</v>
      </c>
      <c r="M831" s="81" t="s">
        <v>226</v>
      </c>
      <c r="N831" s="81">
        <v>2025</v>
      </c>
    </row>
    <row r="832" spans="1:14">
      <c r="A832" s="81">
        <v>831</v>
      </c>
      <c r="B832" s="81" t="s">
        <v>53</v>
      </c>
      <c r="C832" s="129" t="s">
        <v>62</v>
      </c>
      <c r="D832" s="81" t="s">
        <v>61</v>
      </c>
      <c r="E832" s="81" t="s">
        <v>71</v>
      </c>
      <c r="F832" s="81"/>
      <c r="G832" s="81" t="s">
        <v>64</v>
      </c>
      <c r="H832" s="81" t="s">
        <v>1302</v>
      </c>
      <c r="I832" s="83">
        <v>1201.4084507042253</v>
      </c>
      <c r="J832" s="81" t="s">
        <v>68</v>
      </c>
      <c r="K832" s="84">
        <v>45858</v>
      </c>
      <c r="L832" s="109" t="s">
        <v>14</v>
      </c>
      <c r="M832" s="81" t="s">
        <v>225</v>
      </c>
      <c r="N832" s="81">
        <v>2025</v>
      </c>
    </row>
    <row r="833" spans="1:14">
      <c r="A833" s="81">
        <v>832</v>
      </c>
      <c r="B833" s="81" t="s">
        <v>53</v>
      </c>
      <c r="C833" s="129" t="s">
        <v>62</v>
      </c>
      <c r="D833" s="81" t="s">
        <v>61</v>
      </c>
      <c r="E833" s="81" t="s">
        <v>71</v>
      </c>
      <c r="F833" s="81"/>
      <c r="G833" s="81" t="s">
        <v>64</v>
      </c>
      <c r="H833" s="81" t="s">
        <v>1303</v>
      </c>
      <c r="I833" s="83">
        <v>1070.4225352112676</v>
      </c>
      <c r="J833" s="81" t="s">
        <v>68</v>
      </c>
      <c r="K833" s="84">
        <v>45998</v>
      </c>
      <c r="L833" s="109" t="s">
        <v>14</v>
      </c>
      <c r="M833" s="81" t="s">
        <v>225</v>
      </c>
      <c r="N833" s="81">
        <v>2025</v>
      </c>
    </row>
    <row r="834" spans="1:14">
      <c r="A834" s="81">
        <v>833</v>
      </c>
      <c r="B834" s="81" t="s">
        <v>53</v>
      </c>
      <c r="C834" s="129" t="s">
        <v>62</v>
      </c>
      <c r="D834" s="81" t="s">
        <v>61</v>
      </c>
      <c r="E834" s="81" t="s">
        <v>71</v>
      </c>
      <c r="F834" s="81"/>
      <c r="G834" s="81" t="s">
        <v>64</v>
      </c>
      <c r="H834" s="81" t="s">
        <v>1311</v>
      </c>
      <c r="I834" s="83">
        <v>1056.338028169014</v>
      </c>
      <c r="J834" s="81" t="s">
        <v>68</v>
      </c>
      <c r="K834" s="84">
        <v>45876</v>
      </c>
      <c r="L834" s="109" t="s">
        <v>14</v>
      </c>
      <c r="M834" s="81" t="s">
        <v>225</v>
      </c>
      <c r="N834" s="81">
        <v>2025</v>
      </c>
    </row>
    <row r="835" spans="1:14">
      <c r="A835" s="81">
        <v>834</v>
      </c>
      <c r="B835" s="81" t="s">
        <v>53</v>
      </c>
      <c r="C835" s="129" t="s">
        <v>62</v>
      </c>
      <c r="D835" s="81" t="s">
        <v>61</v>
      </c>
      <c r="E835" s="81" t="s">
        <v>71</v>
      </c>
      <c r="F835" s="81"/>
      <c r="G835" s="81" t="s">
        <v>64</v>
      </c>
      <c r="H835" s="81" t="s">
        <v>1310</v>
      </c>
      <c r="I835" s="83">
        <v>866.19718309859149</v>
      </c>
      <c r="J835" s="81">
        <v>2219</v>
      </c>
      <c r="K835" s="84">
        <v>45755</v>
      </c>
      <c r="L835" s="109" t="s">
        <v>14</v>
      </c>
      <c r="M835" s="81" t="s">
        <v>226</v>
      </c>
      <c r="N835" s="81">
        <v>2025</v>
      </c>
    </row>
    <row r="836" spans="1:14">
      <c r="A836" s="81">
        <v>835</v>
      </c>
      <c r="B836" s="81" t="s">
        <v>53</v>
      </c>
      <c r="C836" s="129" t="s">
        <v>62</v>
      </c>
      <c r="D836" s="81" t="s">
        <v>61</v>
      </c>
      <c r="E836" s="81" t="s">
        <v>71</v>
      </c>
      <c r="F836" s="81"/>
      <c r="G836" s="81" t="s">
        <v>64</v>
      </c>
      <c r="H836" s="81" t="s">
        <v>1309</v>
      </c>
      <c r="I836" s="83">
        <v>704.22535211267609</v>
      </c>
      <c r="J836" s="81" t="s">
        <v>68</v>
      </c>
      <c r="K836" s="84">
        <v>45892</v>
      </c>
      <c r="L836" s="109" t="s">
        <v>14</v>
      </c>
      <c r="M836" s="81" t="s">
        <v>226</v>
      </c>
      <c r="N836" s="81">
        <v>2025</v>
      </c>
    </row>
    <row r="837" spans="1:14">
      <c r="A837" s="81">
        <v>836</v>
      </c>
      <c r="B837" s="81" t="s">
        <v>53</v>
      </c>
      <c r="C837" s="129" t="s">
        <v>62</v>
      </c>
      <c r="D837" s="81" t="s">
        <v>61</v>
      </c>
      <c r="E837" s="81" t="s">
        <v>71</v>
      </c>
      <c r="F837" s="81"/>
      <c r="G837" s="81" t="s">
        <v>64</v>
      </c>
      <c r="H837" s="81" t="s">
        <v>1312</v>
      </c>
      <c r="I837" s="83">
        <v>640.84507042253517</v>
      </c>
      <c r="J837" s="81" t="s">
        <v>68</v>
      </c>
      <c r="K837" s="84">
        <v>45890</v>
      </c>
      <c r="L837" s="109" t="s">
        <v>14</v>
      </c>
      <c r="M837" s="81" t="s">
        <v>226</v>
      </c>
      <c r="N837" s="81">
        <v>2025</v>
      </c>
    </row>
    <row r="838" spans="1:14">
      <c r="A838" s="81">
        <v>837</v>
      </c>
      <c r="B838" s="81" t="s">
        <v>53</v>
      </c>
      <c r="C838" s="129" t="s">
        <v>62</v>
      </c>
      <c r="D838" s="81" t="s">
        <v>61</v>
      </c>
      <c r="E838" s="81" t="s">
        <v>71</v>
      </c>
      <c r="F838" s="81"/>
      <c r="G838" s="81" t="s">
        <v>64</v>
      </c>
      <c r="H838" s="81" t="s">
        <v>1305</v>
      </c>
      <c r="I838" s="83">
        <v>605.63380281690138</v>
      </c>
      <c r="J838" s="81" t="s">
        <v>68</v>
      </c>
      <c r="K838" s="84">
        <v>45998</v>
      </c>
      <c r="L838" s="109" t="s">
        <v>14</v>
      </c>
      <c r="M838" s="81" t="s">
        <v>225</v>
      </c>
      <c r="N838" s="81">
        <v>2025</v>
      </c>
    </row>
    <row r="839" spans="1:14">
      <c r="A839" s="81">
        <v>838</v>
      </c>
      <c r="B839" s="81" t="s">
        <v>53</v>
      </c>
      <c r="C839" s="129" t="s">
        <v>62</v>
      </c>
      <c r="D839" s="81" t="s">
        <v>61</v>
      </c>
      <c r="E839" s="81" t="s">
        <v>71</v>
      </c>
      <c r="F839" s="81"/>
      <c r="G839" s="81" t="s">
        <v>64</v>
      </c>
      <c r="H839" s="81" t="s">
        <v>1307</v>
      </c>
      <c r="I839" s="83">
        <v>584.50704225352115</v>
      </c>
      <c r="J839" s="81" t="s">
        <v>68</v>
      </c>
      <c r="K839" s="84">
        <v>45899</v>
      </c>
      <c r="L839" s="109" t="s">
        <v>14</v>
      </c>
      <c r="M839" s="81" t="s">
        <v>226</v>
      </c>
      <c r="N839" s="81">
        <v>2025</v>
      </c>
    </row>
    <row r="840" spans="1:14">
      <c r="A840" s="81">
        <v>839</v>
      </c>
      <c r="B840" s="81" t="s">
        <v>53</v>
      </c>
      <c r="C840" s="129" t="s">
        <v>62</v>
      </c>
      <c r="D840" s="81" t="s">
        <v>61</v>
      </c>
      <c r="E840" s="81" t="s">
        <v>71</v>
      </c>
      <c r="F840" s="81"/>
      <c r="G840" s="81" t="s">
        <v>64</v>
      </c>
      <c r="H840" s="81" t="s">
        <v>1302</v>
      </c>
      <c r="I840" s="83">
        <v>388.90845070422534</v>
      </c>
      <c r="J840" s="81" t="s">
        <v>68</v>
      </c>
      <c r="K840" s="84">
        <v>45866</v>
      </c>
      <c r="L840" s="109" t="s">
        <v>14</v>
      </c>
      <c r="M840" s="81" t="s">
        <v>226</v>
      </c>
      <c r="N840" s="81">
        <v>2025</v>
      </c>
    </row>
    <row r="841" spans="1:14">
      <c r="A841" s="81">
        <v>840</v>
      </c>
      <c r="B841" s="81" t="s">
        <v>53</v>
      </c>
      <c r="C841" s="129" t="s">
        <v>62</v>
      </c>
      <c r="D841" s="81" t="s">
        <v>61</v>
      </c>
      <c r="E841" s="81" t="s">
        <v>71</v>
      </c>
      <c r="F841" s="81"/>
      <c r="G841" s="81" t="s">
        <v>64</v>
      </c>
      <c r="H841" s="81" t="s">
        <v>1308</v>
      </c>
      <c r="I841" s="83">
        <v>77.464788732394368</v>
      </c>
      <c r="J841" s="81" t="s">
        <v>68</v>
      </c>
      <c r="K841" s="84">
        <v>45816</v>
      </c>
      <c r="L841" s="109" t="s">
        <v>14</v>
      </c>
      <c r="M841" s="81" t="s">
        <v>226</v>
      </c>
      <c r="N841" s="81">
        <v>2025</v>
      </c>
    </row>
    <row r="842" spans="1:14">
      <c r="A842" s="81">
        <v>841</v>
      </c>
      <c r="B842" s="81" t="s">
        <v>53</v>
      </c>
      <c r="C842" s="129" t="s">
        <v>62</v>
      </c>
      <c r="D842" s="81" t="s">
        <v>61</v>
      </c>
      <c r="E842" s="81" t="s">
        <v>71</v>
      </c>
      <c r="F842" s="81"/>
      <c r="G842" s="81" t="s">
        <v>64</v>
      </c>
      <c r="H842" s="81" t="s">
        <v>1266</v>
      </c>
      <c r="I842" s="83">
        <v>38.732394366197184</v>
      </c>
      <c r="J842" s="81" t="s">
        <v>68</v>
      </c>
      <c r="K842" s="84">
        <v>45696</v>
      </c>
      <c r="L842" s="109" t="s">
        <v>14</v>
      </c>
      <c r="M842" s="81" t="s">
        <v>226</v>
      </c>
      <c r="N842" s="81">
        <v>2025</v>
      </c>
    </row>
    <row r="843" spans="1:14">
      <c r="A843" s="81">
        <v>842</v>
      </c>
      <c r="B843" s="112" t="s">
        <v>53</v>
      </c>
      <c r="C843" s="129" t="s">
        <v>62</v>
      </c>
      <c r="D843" s="81" t="s">
        <v>61</v>
      </c>
      <c r="E843" s="81" t="s">
        <v>71</v>
      </c>
      <c r="F843" s="81"/>
      <c r="G843" s="81" t="s">
        <v>127</v>
      </c>
      <c r="H843" s="81" t="s">
        <v>128</v>
      </c>
      <c r="I843" s="105">
        <v>71200</v>
      </c>
      <c r="J843" s="81" t="s">
        <v>722</v>
      </c>
      <c r="K843" s="84">
        <v>45860</v>
      </c>
      <c r="L843" s="81">
        <v>2025402385</v>
      </c>
      <c r="M843" s="112" t="s">
        <v>225</v>
      </c>
      <c r="N843" s="81">
        <v>2025</v>
      </c>
    </row>
    <row r="844" spans="1:14">
      <c r="A844" s="81">
        <v>843</v>
      </c>
      <c r="B844" s="81" t="s">
        <v>53</v>
      </c>
      <c r="C844" s="129" t="s">
        <v>62</v>
      </c>
      <c r="D844" s="81" t="s">
        <v>61</v>
      </c>
      <c r="E844" s="81" t="s">
        <v>71</v>
      </c>
      <c r="F844" s="81"/>
      <c r="G844" s="81" t="s">
        <v>92</v>
      </c>
      <c r="H844" s="81" t="s">
        <v>71</v>
      </c>
      <c r="I844" s="83">
        <v>66611.971830985916</v>
      </c>
      <c r="J844" s="81" t="s">
        <v>1072</v>
      </c>
      <c r="K844" s="84">
        <v>45901</v>
      </c>
      <c r="L844" s="81">
        <v>2025402977</v>
      </c>
      <c r="M844" s="81" t="s">
        <v>225</v>
      </c>
      <c r="N844" s="81">
        <v>2025</v>
      </c>
    </row>
    <row r="845" spans="1:14">
      <c r="A845" s="81">
        <v>844</v>
      </c>
      <c r="B845" s="81" t="s">
        <v>53</v>
      </c>
      <c r="C845" s="129" t="s">
        <v>62</v>
      </c>
      <c r="D845" s="81" t="s">
        <v>61</v>
      </c>
      <c r="E845" s="112" t="s">
        <v>71</v>
      </c>
      <c r="F845" s="81"/>
      <c r="G845" s="81" t="s">
        <v>127</v>
      </c>
      <c r="H845" s="81" t="s">
        <v>128</v>
      </c>
      <c r="I845" s="105">
        <v>46280</v>
      </c>
      <c r="J845" s="81" t="s">
        <v>723</v>
      </c>
      <c r="K845" s="84">
        <v>45860</v>
      </c>
      <c r="L845" s="81">
        <v>2025402384</v>
      </c>
      <c r="M845" s="112" t="s">
        <v>225</v>
      </c>
      <c r="N845" s="81">
        <v>2025</v>
      </c>
    </row>
    <row r="846" spans="1:14">
      <c r="A846" s="81">
        <v>845</v>
      </c>
      <c r="B846" s="81" t="s">
        <v>53</v>
      </c>
      <c r="C846" s="129" t="s">
        <v>62</v>
      </c>
      <c r="D846" s="81" t="s">
        <v>61</v>
      </c>
      <c r="E846" s="112" t="s">
        <v>71</v>
      </c>
      <c r="F846" s="81"/>
      <c r="G846" s="81" t="s">
        <v>127</v>
      </c>
      <c r="H846" s="81" t="s">
        <v>128</v>
      </c>
      <c r="I846" s="105">
        <v>40940</v>
      </c>
      <c r="J846" s="81" t="s">
        <v>721</v>
      </c>
      <c r="K846" s="84">
        <v>45865</v>
      </c>
      <c r="L846" s="81">
        <v>2025402422</v>
      </c>
      <c r="M846" s="112" t="s">
        <v>225</v>
      </c>
      <c r="N846" s="81">
        <v>2025</v>
      </c>
    </row>
    <row r="847" spans="1:14">
      <c r="A847" s="81">
        <v>846</v>
      </c>
      <c r="B847" s="81" t="s">
        <v>53</v>
      </c>
      <c r="C847" s="129" t="s">
        <v>62</v>
      </c>
      <c r="D847" s="81" t="s">
        <v>61</v>
      </c>
      <c r="E847" s="81" t="s">
        <v>71</v>
      </c>
      <c r="F847" s="81"/>
      <c r="G847" s="81" t="s">
        <v>127</v>
      </c>
      <c r="H847" s="81" t="s">
        <v>128</v>
      </c>
      <c r="I847" s="105">
        <v>32040</v>
      </c>
      <c r="J847" s="81" t="s">
        <v>1047</v>
      </c>
      <c r="K847" s="84">
        <v>45892</v>
      </c>
      <c r="L847" s="81">
        <v>2025402756</v>
      </c>
      <c r="M847" s="81" t="s">
        <v>226</v>
      </c>
      <c r="N847" s="81">
        <v>2025</v>
      </c>
    </row>
    <row r="848" spans="1:14">
      <c r="A848" s="81">
        <v>847</v>
      </c>
      <c r="B848" s="81" t="s">
        <v>53</v>
      </c>
      <c r="C848" s="129" t="s">
        <v>62</v>
      </c>
      <c r="D848" s="81" t="s">
        <v>61</v>
      </c>
      <c r="E848" s="81" t="s">
        <v>71</v>
      </c>
      <c r="F848" s="81"/>
      <c r="G848" s="81" t="s">
        <v>262</v>
      </c>
      <c r="H848" s="81" t="s">
        <v>261</v>
      </c>
      <c r="I848" s="83">
        <v>19980.281690140844</v>
      </c>
      <c r="J848" s="81" t="s">
        <v>1105</v>
      </c>
      <c r="K848" s="84">
        <v>45871</v>
      </c>
      <c r="L848" s="81">
        <v>2025403137</v>
      </c>
      <c r="M848" s="81" t="s">
        <v>225</v>
      </c>
      <c r="N848" s="81">
        <v>2025</v>
      </c>
    </row>
    <row r="849" spans="1:14">
      <c r="A849" s="81">
        <v>848</v>
      </c>
      <c r="B849" s="81" t="s">
        <v>53</v>
      </c>
      <c r="C849" s="129" t="s">
        <v>62</v>
      </c>
      <c r="D849" s="81" t="s">
        <v>61</v>
      </c>
      <c r="E849" s="81" t="s">
        <v>71</v>
      </c>
      <c r="F849" s="81"/>
      <c r="G849" s="81" t="s">
        <v>489</v>
      </c>
      <c r="H849" s="81" t="s">
        <v>71</v>
      </c>
      <c r="I849" s="83">
        <v>18309.859154929578</v>
      </c>
      <c r="J849" s="81" t="s">
        <v>1071</v>
      </c>
      <c r="K849" s="84">
        <v>45878</v>
      </c>
      <c r="L849" s="81">
        <v>2025402961</v>
      </c>
      <c r="M849" s="81" t="s">
        <v>226</v>
      </c>
      <c r="N849" s="81">
        <v>2025</v>
      </c>
    </row>
    <row r="850" spans="1:14">
      <c r="A850" s="81">
        <v>849</v>
      </c>
      <c r="B850" s="81" t="s">
        <v>53</v>
      </c>
      <c r="C850" s="129" t="s">
        <v>62</v>
      </c>
      <c r="D850" s="81" t="s">
        <v>61</v>
      </c>
      <c r="E850" s="112" t="s">
        <v>71</v>
      </c>
      <c r="F850" s="81"/>
      <c r="G850" s="81" t="s">
        <v>243</v>
      </c>
      <c r="H850" s="109" t="s">
        <v>254</v>
      </c>
      <c r="I850" s="105">
        <v>15200</v>
      </c>
      <c r="J850" s="81" t="s">
        <v>704</v>
      </c>
      <c r="K850" s="84">
        <v>45867</v>
      </c>
      <c r="L850" s="81">
        <v>2025402304</v>
      </c>
      <c r="M850" s="112" t="s">
        <v>225</v>
      </c>
      <c r="N850" s="81">
        <v>2025</v>
      </c>
    </row>
    <row r="851" spans="1:14">
      <c r="A851" s="81">
        <v>850</v>
      </c>
      <c r="B851" s="81" t="s">
        <v>53</v>
      </c>
      <c r="C851" s="129" t="s">
        <v>62</v>
      </c>
      <c r="D851" s="81" t="s">
        <v>61</v>
      </c>
      <c r="E851" s="81" t="s">
        <v>71</v>
      </c>
      <c r="F851" s="81"/>
      <c r="G851" s="81" t="s">
        <v>262</v>
      </c>
      <c r="H851" s="81" t="s">
        <v>261</v>
      </c>
      <c r="I851" s="83">
        <v>15013.482072375256</v>
      </c>
      <c r="J851" s="81" t="s">
        <v>279</v>
      </c>
      <c r="K851" s="84">
        <v>45901</v>
      </c>
      <c r="L851" s="81">
        <v>2025403220</v>
      </c>
      <c r="M851" s="81" t="s">
        <v>226</v>
      </c>
      <c r="N851" s="81">
        <v>2025</v>
      </c>
    </row>
    <row r="852" spans="1:14">
      <c r="A852" s="81">
        <v>851</v>
      </c>
      <c r="B852" s="81" t="s">
        <v>53</v>
      </c>
      <c r="C852" s="129" t="s">
        <v>62</v>
      </c>
      <c r="D852" s="81" t="s">
        <v>61</v>
      </c>
      <c r="E852" s="81" t="s">
        <v>71</v>
      </c>
      <c r="F852" s="81"/>
      <c r="G852" s="81" t="s">
        <v>274</v>
      </c>
      <c r="H852" s="81" t="s">
        <v>71</v>
      </c>
      <c r="I852" s="105">
        <v>11690</v>
      </c>
      <c r="J852" s="81" t="s">
        <v>990</v>
      </c>
      <c r="K852" s="84">
        <v>45874</v>
      </c>
      <c r="L852" s="81">
        <v>2025402719</v>
      </c>
      <c r="M852" s="81" t="s">
        <v>226</v>
      </c>
      <c r="N852" s="81">
        <v>2025</v>
      </c>
    </row>
    <row r="853" spans="1:14">
      <c r="A853" s="81">
        <v>852</v>
      </c>
      <c r="B853" s="81" t="s">
        <v>53</v>
      </c>
      <c r="C853" s="129" t="s">
        <v>62</v>
      </c>
      <c r="D853" s="81" t="s">
        <v>61</v>
      </c>
      <c r="E853" s="81" t="s">
        <v>71</v>
      </c>
      <c r="F853" s="81"/>
      <c r="G853" s="81" t="s">
        <v>127</v>
      </c>
      <c r="H853" s="81" t="s">
        <v>128</v>
      </c>
      <c r="I853" s="105">
        <v>11180</v>
      </c>
      <c r="J853" s="107" t="s">
        <v>891</v>
      </c>
      <c r="K853" s="113">
        <v>45889</v>
      </c>
      <c r="L853" s="81">
        <v>2025402576</v>
      </c>
      <c r="M853" s="81" t="s">
        <v>226</v>
      </c>
      <c r="N853" s="81">
        <v>2025</v>
      </c>
    </row>
    <row r="854" spans="1:14">
      <c r="A854" s="81">
        <v>853</v>
      </c>
      <c r="B854" s="81" t="s">
        <v>53</v>
      </c>
      <c r="C854" s="129" t="s">
        <v>62</v>
      </c>
      <c r="D854" s="81" t="s">
        <v>61</v>
      </c>
      <c r="E854" s="81" t="s">
        <v>71</v>
      </c>
      <c r="F854" s="81"/>
      <c r="G854" s="81" t="s">
        <v>127</v>
      </c>
      <c r="H854" s="81" t="s">
        <v>128</v>
      </c>
      <c r="I854" s="105">
        <v>9825</v>
      </c>
      <c r="J854" s="107" t="s">
        <v>879</v>
      </c>
      <c r="K854" s="113">
        <v>45889</v>
      </c>
      <c r="L854" s="81">
        <v>2025402726</v>
      </c>
      <c r="M854" s="81" t="s">
        <v>226</v>
      </c>
      <c r="N854" s="81">
        <v>2025</v>
      </c>
    </row>
    <row r="855" spans="1:14">
      <c r="A855" s="81">
        <v>854</v>
      </c>
      <c r="B855" s="81" t="s">
        <v>53</v>
      </c>
      <c r="C855" s="129" t="s">
        <v>62</v>
      </c>
      <c r="D855" s="81" t="s">
        <v>61</v>
      </c>
      <c r="E855" s="81" t="s">
        <v>71</v>
      </c>
      <c r="F855" s="81"/>
      <c r="G855" s="81" t="s">
        <v>274</v>
      </c>
      <c r="H855" s="81" t="s">
        <v>71</v>
      </c>
      <c r="I855" s="105">
        <v>7555</v>
      </c>
      <c r="J855" s="107" t="s">
        <v>899</v>
      </c>
      <c r="K855" s="113">
        <v>45874</v>
      </c>
      <c r="L855" s="81">
        <v>2025402701</v>
      </c>
      <c r="M855" s="81" t="s">
        <v>226</v>
      </c>
      <c r="N855" s="81">
        <v>2025</v>
      </c>
    </row>
    <row r="856" spans="1:14">
      <c r="A856" s="81">
        <v>855</v>
      </c>
      <c r="B856" s="81" t="s">
        <v>53</v>
      </c>
      <c r="C856" s="129" t="s">
        <v>62</v>
      </c>
      <c r="D856" s="81" t="s">
        <v>61</v>
      </c>
      <c r="E856" s="112" t="s">
        <v>71</v>
      </c>
      <c r="F856" s="81"/>
      <c r="G856" s="81" t="s">
        <v>251</v>
      </c>
      <c r="H856" s="109" t="s">
        <v>256</v>
      </c>
      <c r="I856" s="83">
        <v>5712.6760563380285</v>
      </c>
      <c r="J856" s="81" t="s">
        <v>583</v>
      </c>
      <c r="K856" s="84">
        <v>45852</v>
      </c>
      <c r="L856" s="81">
        <v>2025401503</v>
      </c>
      <c r="M856" s="112" t="s">
        <v>225</v>
      </c>
      <c r="N856" s="81">
        <v>2025</v>
      </c>
    </row>
    <row r="857" spans="1:14">
      <c r="A857" s="81">
        <v>856</v>
      </c>
      <c r="B857" s="81" t="s">
        <v>53</v>
      </c>
      <c r="C857" s="129" t="s">
        <v>62</v>
      </c>
      <c r="D857" s="81" t="s">
        <v>61</v>
      </c>
      <c r="E857" s="81" t="s">
        <v>71</v>
      </c>
      <c r="F857" s="81"/>
      <c r="G857" s="81" t="s">
        <v>251</v>
      </c>
      <c r="H857" s="109" t="s">
        <v>256</v>
      </c>
      <c r="I857" s="83">
        <v>5712.6760563380285</v>
      </c>
      <c r="J857" s="81" t="s">
        <v>1066</v>
      </c>
      <c r="K857" s="84">
        <v>45892</v>
      </c>
      <c r="L857" s="81">
        <v>2025402563</v>
      </c>
      <c r="M857" s="81" t="s">
        <v>226</v>
      </c>
      <c r="N857" s="81">
        <v>2025</v>
      </c>
    </row>
    <row r="858" spans="1:14">
      <c r="A858" s="81">
        <v>857</v>
      </c>
      <c r="B858" s="81" t="s">
        <v>53</v>
      </c>
      <c r="C858" s="129" t="s">
        <v>62</v>
      </c>
      <c r="D858" s="81" t="s">
        <v>61</v>
      </c>
      <c r="E858" s="81" t="s">
        <v>71</v>
      </c>
      <c r="F858" s="81"/>
      <c r="G858" s="81" t="s">
        <v>251</v>
      </c>
      <c r="H858" s="109" t="s">
        <v>256</v>
      </c>
      <c r="I858" s="83">
        <v>5712.6760563380285</v>
      </c>
      <c r="J858" s="81" t="s">
        <v>1066</v>
      </c>
      <c r="K858" s="84">
        <v>45892</v>
      </c>
      <c r="L858" s="81">
        <v>2025402969</v>
      </c>
      <c r="M858" s="81" t="s">
        <v>226</v>
      </c>
      <c r="N858" s="81">
        <v>2025</v>
      </c>
    </row>
    <row r="859" spans="1:14">
      <c r="A859" s="81">
        <v>858</v>
      </c>
      <c r="B859" s="81" t="s">
        <v>53</v>
      </c>
      <c r="C859" s="129" t="s">
        <v>62</v>
      </c>
      <c r="D859" s="81" t="s">
        <v>61</v>
      </c>
      <c r="E859" s="81" t="s">
        <v>71</v>
      </c>
      <c r="F859" s="81"/>
      <c r="G859" s="81" t="s">
        <v>134</v>
      </c>
      <c r="H859" s="81" t="s">
        <v>71</v>
      </c>
      <c r="I859" s="105">
        <v>5658.2</v>
      </c>
      <c r="J859" s="81" t="s">
        <v>620</v>
      </c>
      <c r="K859" s="84">
        <v>45850</v>
      </c>
      <c r="L859" s="81">
        <v>2025402139</v>
      </c>
      <c r="M859" s="112" t="s">
        <v>225</v>
      </c>
      <c r="N859" s="81">
        <v>2025</v>
      </c>
    </row>
    <row r="860" spans="1:14">
      <c r="A860" s="81">
        <v>859</v>
      </c>
      <c r="B860" s="81" t="s">
        <v>53</v>
      </c>
      <c r="C860" s="129" t="s">
        <v>62</v>
      </c>
      <c r="D860" s="81" t="s">
        <v>61</v>
      </c>
      <c r="E860" s="81" t="s">
        <v>71</v>
      </c>
      <c r="F860" s="81"/>
      <c r="G860" s="81" t="s">
        <v>260</v>
      </c>
      <c r="H860" s="81" t="s">
        <v>261</v>
      </c>
      <c r="I860" s="105">
        <v>5635</v>
      </c>
      <c r="J860" s="81" t="s">
        <v>1116</v>
      </c>
      <c r="K860" s="84">
        <v>45901</v>
      </c>
      <c r="L860" s="81">
        <v>2025403292</v>
      </c>
      <c r="M860" s="81" t="s">
        <v>226</v>
      </c>
      <c r="N860" s="81">
        <v>2025</v>
      </c>
    </row>
    <row r="861" spans="1:14">
      <c r="A861" s="81">
        <v>860</v>
      </c>
      <c r="B861" s="81" t="s">
        <v>53</v>
      </c>
      <c r="C861" s="129" t="s">
        <v>62</v>
      </c>
      <c r="D861" s="81" t="s">
        <v>61</v>
      </c>
      <c r="E861" s="112" t="s">
        <v>71</v>
      </c>
      <c r="F861" s="81"/>
      <c r="G861" s="81" t="s">
        <v>303</v>
      </c>
      <c r="H861" s="112" t="s">
        <v>71</v>
      </c>
      <c r="I861" s="83">
        <v>5281.6901408450703</v>
      </c>
      <c r="J861" s="81" t="s">
        <v>844</v>
      </c>
      <c r="K861" s="84">
        <v>45847</v>
      </c>
      <c r="L861" s="81">
        <v>2025402589</v>
      </c>
      <c r="M861" s="112" t="s">
        <v>225</v>
      </c>
      <c r="N861" s="81">
        <v>2025</v>
      </c>
    </row>
    <row r="862" spans="1:14">
      <c r="A862" s="81">
        <v>861</v>
      </c>
      <c r="B862" s="81" t="s">
        <v>53</v>
      </c>
      <c r="C862" s="129" t="s">
        <v>62</v>
      </c>
      <c r="D862" s="81" t="s">
        <v>61</v>
      </c>
      <c r="E862" s="81" t="s">
        <v>71</v>
      </c>
      <c r="F862" s="81"/>
      <c r="G862" s="81" t="s">
        <v>249</v>
      </c>
      <c r="H862" s="81" t="s">
        <v>71</v>
      </c>
      <c r="I862" s="83">
        <v>5140.8450704225352</v>
      </c>
      <c r="J862" s="81" t="s">
        <v>1001</v>
      </c>
      <c r="K862" s="84">
        <v>45876</v>
      </c>
      <c r="L862" s="81">
        <v>2025402822</v>
      </c>
      <c r="M862" s="81" t="s">
        <v>226</v>
      </c>
      <c r="N862" s="81">
        <v>2025</v>
      </c>
    </row>
    <row r="863" spans="1:14">
      <c r="A863" s="81">
        <v>862</v>
      </c>
      <c r="B863" s="81" t="s">
        <v>53</v>
      </c>
      <c r="C863" s="129" t="s">
        <v>62</v>
      </c>
      <c r="D863" s="81" t="s">
        <v>61</v>
      </c>
      <c r="E863" s="112" t="s">
        <v>71</v>
      </c>
      <c r="F863" s="81"/>
      <c r="G863" s="81" t="s">
        <v>244</v>
      </c>
      <c r="H863" s="81" t="s">
        <v>128</v>
      </c>
      <c r="I863" s="105">
        <v>4016</v>
      </c>
      <c r="J863" s="81" t="s">
        <v>698</v>
      </c>
      <c r="K863" s="84">
        <v>45851</v>
      </c>
      <c r="L863" s="81">
        <v>2025402423</v>
      </c>
      <c r="M863" s="112" t="s">
        <v>225</v>
      </c>
      <c r="N863" s="81">
        <v>2025</v>
      </c>
    </row>
    <row r="864" spans="1:14">
      <c r="A864" s="81">
        <v>863</v>
      </c>
      <c r="B864" s="81" t="s">
        <v>53</v>
      </c>
      <c r="C864" s="129" t="s">
        <v>62</v>
      </c>
      <c r="D864" s="81" t="s">
        <v>61</v>
      </c>
      <c r="E864" s="81" t="s">
        <v>71</v>
      </c>
      <c r="F864" s="81"/>
      <c r="G864" s="81" t="s">
        <v>132</v>
      </c>
      <c r="H864" s="112" t="s">
        <v>71</v>
      </c>
      <c r="I864" s="105">
        <v>3758.46</v>
      </c>
      <c r="J864" s="81" t="s">
        <v>1019</v>
      </c>
      <c r="K864" s="84">
        <v>45894</v>
      </c>
      <c r="L864" s="81">
        <v>2025402680</v>
      </c>
      <c r="M864" s="81" t="s">
        <v>226</v>
      </c>
      <c r="N864" s="81">
        <v>2025</v>
      </c>
    </row>
    <row r="865" spans="1:14">
      <c r="A865" s="81">
        <v>864</v>
      </c>
      <c r="B865" s="81" t="s">
        <v>53</v>
      </c>
      <c r="C865" s="129" t="s">
        <v>62</v>
      </c>
      <c r="D865" s="81" t="s">
        <v>61</v>
      </c>
      <c r="E865" s="112" t="s">
        <v>71</v>
      </c>
      <c r="F865" s="81"/>
      <c r="G865" s="81" t="s">
        <v>134</v>
      </c>
      <c r="H865" s="81" t="s">
        <v>71</v>
      </c>
      <c r="I865" s="105">
        <v>3700</v>
      </c>
      <c r="J865" s="81" t="s">
        <v>816</v>
      </c>
      <c r="K865" s="84">
        <v>45875</v>
      </c>
      <c r="L865" s="81">
        <v>2025402580</v>
      </c>
      <c r="M865" s="112" t="s">
        <v>226</v>
      </c>
      <c r="N865" s="81">
        <v>2025</v>
      </c>
    </row>
    <row r="866" spans="1:14">
      <c r="A866" s="81">
        <v>865</v>
      </c>
      <c r="B866" s="81" t="s">
        <v>53</v>
      </c>
      <c r="C866" s="129" t="s">
        <v>62</v>
      </c>
      <c r="D866" s="81" t="s">
        <v>61</v>
      </c>
      <c r="E866" s="81" t="s">
        <v>71</v>
      </c>
      <c r="F866" s="81"/>
      <c r="G866" s="81" t="s">
        <v>494</v>
      </c>
      <c r="H866" s="81" t="s">
        <v>71</v>
      </c>
      <c r="I866" s="105">
        <v>3668.61</v>
      </c>
      <c r="J866" s="81" t="s">
        <v>1099</v>
      </c>
      <c r="K866" s="84">
        <v>45873</v>
      </c>
      <c r="L866" s="127" t="s">
        <v>14</v>
      </c>
      <c r="M866" s="81" t="s">
        <v>226</v>
      </c>
      <c r="N866" s="81">
        <v>2025</v>
      </c>
    </row>
    <row r="867" spans="1:14">
      <c r="A867" s="81">
        <v>866</v>
      </c>
      <c r="B867" s="81" t="s">
        <v>53</v>
      </c>
      <c r="C867" s="129" t="s">
        <v>62</v>
      </c>
      <c r="D867" s="81" t="s">
        <v>61</v>
      </c>
      <c r="E867" s="81" t="s">
        <v>71</v>
      </c>
      <c r="F867" s="81"/>
      <c r="G867" s="81" t="s">
        <v>238</v>
      </c>
      <c r="H867" s="81" t="s">
        <v>71</v>
      </c>
      <c r="I867" s="105">
        <v>3560</v>
      </c>
      <c r="J867" s="81" t="s">
        <v>1083</v>
      </c>
      <c r="K867" s="84">
        <v>45900</v>
      </c>
      <c r="L867" s="81">
        <v>2025402685</v>
      </c>
      <c r="M867" s="81" t="s">
        <v>226</v>
      </c>
      <c r="N867" s="81">
        <v>2025</v>
      </c>
    </row>
    <row r="868" spans="1:14">
      <c r="A868" s="81">
        <v>867</v>
      </c>
      <c r="B868" s="81" t="s">
        <v>53</v>
      </c>
      <c r="C868" s="129" t="s">
        <v>62</v>
      </c>
      <c r="D868" s="81" t="s">
        <v>61</v>
      </c>
      <c r="E868" s="112" t="s">
        <v>71</v>
      </c>
      <c r="F868" s="81"/>
      <c r="G868" s="81" t="s">
        <v>127</v>
      </c>
      <c r="H868" s="81" t="s">
        <v>128</v>
      </c>
      <c r="I868" s="105">
        <v>3446.5</v>
      </c>
      <c r="J868" s="81" t="s">
        <v>846</v>
      </c>
      <c r="K868" s="84">
        <v>45886</v>
      </c>
      <c r="L868" s="81">
        <v>2025402595</v>
      </c>
      <c r="M868" s="112" t="s">
        <v>226</v>
      </c>
      <c r="N868" s="81">
        <v>2025</v>
      </c>
    </row>
    <row r="869" spans="1:14">
      <c r="A869" s="81">
        <v>868</v>
      </c>
      <c r="B869" s="81" t="s">
        <v>53</v>
      </c>
      <c r="C869" s="129" t="s">
        <v>62</v>
      </c>
      <c r="D869" s="81" t="s">
        <v>61</v>
      </c>
      <c r="E869" s="81" t="s">
        <v>71</v>
      </c>
      <c r="F869" s="81"/>
      <c r="G869" s="81" t="s">
        <v>127</v>
      </c>
      <c r="H869" s="81" t="s">
        <v>128</v>
      </c>
      <c r="I869" s="105">
        <v>3408.9</v>
      </c>
      <c r="J869" s="81" t="s">
        <v>1032</v>
      </c>
      <c r="K869" s="84">
        <v>45892</v>
      </c>
      <c r="L869" s="81">
        <v>2025402725</v>
      </c>
      <c r="M869" s="81" t="s">
        <v>226</v>
      </c>
      <c r="N869" s="81">
        <v>2025</v>
      </c>
    </row>
    <row r="870" spans="1:14">
      <c r="A870" s="81">
        <v>869</v>
      </c>
      <c r="B870" s="81" t="s">
        <v>53</v>
      </c>
      <c r="C870" s="129" t="s">
        <v>62</v>
      </c>
      <c r="D870" s="81" t="s">
        <v>61</v>
      </c>
      <c r="E870" s="81" t="s">
        <v>71</v>
      </c>
      <c r="F870" s="81"/>
      <c r="G870" s="81" t="s">
        <v>134</v>
      </c>
      <c r="H870" s="81" t="s">
        <v>71</v>
      </c>
      <c r="I870" s="105">
        <v>3000</v>
      </c>
      <c r="J870" s="81" t="s">
        <v>985</v>
      </c>
      <c r="K870" s="84">
        <v>45893</v>
      </c>
      <c r="L870" s="81">
        <v>2025402670</v>
      </c>
      <c r="M870" s="81" t="s">
        <v>226</v>
      </c>
      <c r="N870" s="81">
        <v>2025</v>
      </c>
    </row>
    <row r="871" spans="1:14">
      <c r="A871" s="81">
        <v>870</v>
      </c>
      <c r="B871" s="81" t="s">
        <v>53</v>
      </c>
      <c r="C871" s="129" t="s">
        <v>62</v>
      </c>
      <c r="D871" s="81" t="s">
        <v>61</v>
      </c>
      <c r="E871" s="81" t="s">
        <v>71</v>
      </c>
      <c r="F871" s="81"/>
      <c r="G871" s="81" t="s">
        <v>134</v>
      </c>
      <c r="H871" s="81" t="s">
        <v>71</v>
      </c>
      <c r="I871" s="105">
        <v>2949.4</v>
      </c>
      <c r="J871" s="81" t="s">
        <v>978</v>
      </c>
      <c r="K871" s="84">
        <v>45897</v>
      </c>
      <c r="L871" s="81">
        <v>2025402795</v>
      </c>
      <c r="M871" s="81" t="s">
        <v>226</v>
      </c>
      <c r="N871" s="81">
        <v>2025</v>
      </c>
    </row>
    <row r="872" spans="1:14">
      <c r="A872" s="81">
        <v>871</v>
      </c>
      <c r="B872" s="81" t="s">
        <v>53</v>
      </c>
      <c r="C872" s="129" t="s">
        <v>62</v>
      </c>
      <c r="D872" s="81" t="s">
        <v>61</v>
      </c>
      <c r="E872" s="112" t="s">
        <v>71</v>
      </c>
      <c r="F872" s="81"/>
      <c r="G872" s="81" t="s">
        <v>131</v>
      </c>
      <c r="H872" s="112" t="s">
        <v>71</v>
      </c>
      <c r="I872" s="105">
        <v>2894.15</v>
      </c>
      <c r="J872" s="81" t="s">
        <v>612</v>
      </c>
      <c r="K872" s="84">
        <v>45854</v>
      </c>
      <c r="L872" s="81">
        <v>2025402296</v>
      </c>
      <c r="M872" s="112" t="s">
        <v>225</v>
      </c>
      <c r="N872" s="81">
        <v>2025</v>
      </c>
    </row>
    <row r="873" spans="1:14">
      <c r="A873" s="81">
        <v>872</v>
      </c>
      <c r="B873" s="81" t="s">
        <v>53</v>
      </c>
      <c r="C873" s="129" t="s">
        <v>62</v>
      </c>
      <c r="D873" s="81" t="s">
        <v>61</v>
      </c>
      <c r="E873" s="81" t="s">
        <v>71</v>
      </c>
      <c r="F873" s="81"/>
      <c r="G873" s="81" t="s">
        <v>124</v>
      </c>
      <c r="H873" s="81" t="s">
        <v>125</v>
      </c>
      <c r="I873" s="83">
        <v>2852.1126760563379</v>
      </c>
      <c r="J873" s="81" t="s">
        <v>1070</v>
      </c>
      <c r="K873" s="84">
        <v>45885</v>
      </c>
      <c r="L873" s="81">
        <v>2025402962</v>
      </c>
      <c r="M873" s="81" t="s">
        <v>226</v>
      </c>
      <c r="N873" s="81">
        <v>2025</v>
      </c>
    </row>
    <row r="874" spans="1:14">
      <c r="A874" s="81">
        <v>873</v>
      </c>
      <c r="B874" s="81" t="s">
        <v>53</v>
      </c>
      <c r="C874" s="129" t="s">
        <v>62</v>
      </c>
      <c r="D874" s="81" t="s">
        <v>61</v>
      </c>
      <c r="E874" s="112" t="s">
        <v>71</v>
      </c>
      <c r="F874" s="81"/>
      <c r="G874" s="81" t="s">
        <v>134</v>
      </c>
      <c r="H874" s="81" t="s">
        <v>71</v>
      </c>
      <c r="I874" s="105">
        <v>2850</v>
      </c>
      <c r="J874" s="81" t="s">
        <v>768</v>
      </c>
      <c r="K874" s="84">
        <v>45865</v>
      </c>
      <c r="L874" s="81">
        <v>2025402358</v>
      </c>
      <c r="M874" s="112" t="s">
        <v>225</v>
      </c>
      <c r="N874" s="81">
        <v>2025</v>
      </c>
    </row>
    <row r="875" spans="1:14">
      <c r="A875" s="81">
        <v>874</v>
      </c>
      <c r="B875" s="81" t="s">
        <v>53</v>
      </c>
      <c r="C875" s="129" t="s">
        <v>62</v>
      </c>
      <c r="D875" s="81" t="s">
        <v>61</v>
      </c>
      <c r="E875" s="112" t="s">
        <v>71</v>
      </c>
      <c r="F875" s="81"/>
      <c r="G875" s="81" t="s">
        <v>249</v>
      </c>
      <c r="H875" s="81" t="s">
        <v>71</v>
      </c>
      <c r="I875" s="83">
        <v>2816.9014084507044</v>
      </c>
      <c r="J875" s="81" t="s">
        <v>825</v>
      </c>
      <c r="K875" s="84">
        <v>45868</v>
      </c>
      <c r="L875" s="81">
        <v>2025402618</v>
      </c>
      <c r="M875" s="112" t="s">
        <v>225</v>
      </c>
      <c r="N875" s="81">
        <v>2025</v>
      </c>
    </row>
    <row r="876" spans="1:14">
      <c r="A876" s="81">
        <v>875</v>
      </c>
      <c r="B876" s="81" t="s">
        <v>53</v>
      </c>
      <c r="C876" s="129" t="s">
        <v>62</v>
      </c>
      <c r="D876" s="81" t="s">
        <v>61</v>
      </c>
      <c r="E876" s="81" t="s">
        <v>71</v>
      </c>
      <c r="F876" s="81"/>
      <c r="G876" s="81" t="s">
        <v>134</v>
      </c>
      <c r="H876" s="81" t="s">
        <v>71</v>
      </c>
      <c r="I876" s="105">
        <v>2800</v>
      </c>
      <c r="J876" s="81" t="s">
        <v>984</v>
      </c>
      <c r="K876" s="84">
        <v>45893</v>
      </c>
      <c r="L876" s="81">
        <v>2025402669</v>
      </c>
      <c r="M876" s="81" t="s">
        <v>226</v>
      </c>
      <c r="N876" s="81">
        <v>2025</v>
      </c>
    </row>
    <row r="877" spans="1:14">
      <c r="A877" s="81">
        <v>876</v>
      </c>
      <c r="B877" s="81" t="s">
        <v>53</v>
      </c>
      <c r="C877" s="129" t="s">
        <v>62</v>
      </c>
      <c r="D877" s="81" t="s">
        <v>61</v>
      </c>
      <c r="E877" s="112" t="s">
        <v>71</v>
      </c>
      <c r="F877" s="81"/>
      <c r="G877" s="81" t="s">
        <v>134</v>
      </c>
      <c r="H877" s="81" t="s">
        <v>71</v>
      </c>
      <c r="I877" s="105">
        <v>2775</v>
      </c>
      <c r="J877" s="81" t="s">
        <v>822</v>
      </c>
      <c r="K877" s="84">
        <v>45875</v>
      </c>
      <c r="L877" s="81">
        <v>2025402581</v>
      </c>
      <c r="M877" s="112" t="s">
        <v>226</v>
      </c>
      <c r="N877" s="81">
        <v>2025</v>
      </c>
    </row>
    <row r="878" spans="1:14">
      <c r="A878" s="81">
        <v>877</v>
      </c>
      <c r="B878" s="81" t="s">
        <v>53</v>
      </c>
      <c r="C878" s="129" t="s">
        <v>62</v>
      </c>
      <c r="D878" s="81" t="s">
        <v>61</v>
      </c>
      <c r="E878" s="81" t="s">
        <v>71</v>
      </c>
      <c r="F878" s="81"/>
      <c r="G878" s="81" t="s">
        <v>134</v>
      </c>
      <c r="H878" s="81" t="s">
        <v>71</v>
      </c>
      <c r="I878" s="105">
        <v>2760</v>
      </c>
      <c r="J878" s="81" t="s">
        <v>949</v>
      </c>
      <c r="K878" s="84">
        <v>45897</v>
      </c>
      <c r="L878" s="81">
        <v>2025402791</v>
      </c>
      <c r="M878" s="81" t="s">
        <v>226</v>
      </c>
      <c r="N878" s="81">
        <v>2025</v>
      </c>
    </row>
    <row r="879" spans="1:14">
      <c r="A879" s="81">
        <v>878</v>
      </c>
      <c r="B879" s="81" t="s">
        <v>53</v>
      </c>
      <c r="C879" s="129" t="s">
        <v>62</v>
      </c>
      <c r="D879" s="81" t="s">
        <v>61</v>
      </c>
      <c r="E879" s="81" t="s">
        <v>71</v>
      </c>
      <c r="F879" s="81"/>
      <c r="G879" s="81" t="s">
        <v>134</v>
      </c>
      <c r="H879" s="81" t="s">
        <v>71</v>
      </c>
      <c r="I879" s="105">
        <v>2747.5</v>
      </c>
      <c r="J879" s="81" t="s">
        <v>981</v>
      </c>
      <c r="K879" s="84">
        <v>45893</v>
      </c>
      <c r="L879" s="81">
        <v>2025402652</v>
      </c>
      <c r="M879" s="81" t="s">
        <v>226</v>
      </c>
      <c r="N879" s="81">
        <v>2025</v>
      </c>
    </row>
    <row r="880" spans="1:14">
      <c r="A880" s="81">
        <v>879</v>
      </c>
      <c r="B880" s="81" t="s">
        <v>53</v>
      </c>
      <c r="C880" s="129" t="s">
        <v>62</v>
      </c>
      <c r="D880" s="81" t="s">
        <v>61</v>
      </c>
      <c r="E880" s="81" t="s">
        <v>71</v>
      </c>
      <c r="F880" s="81"/>
      <c r="G880" s="81" t="s">
        <v>134</v>
      </c>
      <c r="H880" s="81" t="s">
        <v>71</v>
      </c>
      <c r="I880" s="105">
        <v>2741.3</v>
      </c>
      <c r="J880" s="81" t="s">
        <v>977</v>
      </c>
      <c r="K880" s="84">
        <v>45897</v>
      </c>
      <c r="L880" s="81">
        <v>2025402794</v>
      </c>
      <c r="M880" s="81" t="s">
        <v>226</v>
      </c>
      <c r="N880" s="81">
        <v>2025</v>
      </c>
    </row>
    <row r="881" spans="1:14">
      <c r="A881" s="81">
        <v>880</v>
      </c>
      <c r="B881" s="81" t="s">
        <v>53</v>
      </c>
      <c r="C881" s="129" t="s">
        <v>62</v>
      </c>
      <c r="D881" s="81" t="s">
        <v>61</v>
      </c>
      <c r="E881" s="112" t="s">
        <v>71</v>
      </c>
      <c r="F881" s="81"/>
      <c r="G881" s="81" t="s">
        <v>127</v>
      </c>
      <c r="H881" s="81" t="s">
        <v>128</v>
      </c>
      <c r="I881" s="105">
        <v>2732.4</v>
      </c>
      <c r="J881" s="81" t="s">
        <v>821</v>
      </c>
      <c r="K881" s="84">
        <v>45866</v>
      </c>
      <c r="L881" s="81">
        <v>2025402454</v>
      </c>
      <c r="M881" s="112" t="s">
        <v>225</v>
      </c>
      <c r="N881" s="81">
        <v>2025</v>
      </c>
    </row>
    <row r="882" spans="1:14">
      <c r="A882" s="81">
        <v>881</v>
      </c>
      <c r="B882" s="81" t="s">
        <v>53</v>
      </c>
      <c r="C882" s="129" t="s">
        <v>62</v>
      </c>
      <c r="D882" s="81" t="s">
        <v>61</v>
      </c>
      <c r="E882" s="112" t="s">
        <v>71</v>
      </c>
      <c r="F882" s="81"/>
      <c r="G882" s="81" t="s">
        <v>134</v>
      </c>
      <c r="H882" s="81" t="s">
        <v>71</v>
      </c>
      <c r="I882" s="105">
        <v>2608.6</v>
      </c>
      <c r="J882" s="81" t="s">
        <v>518</v>
      </c>
      <c r="K882" s="84">
        <v>45846</v>
      </c>
      <c r="L882" s="81">
        <v>2025402146</v>
      </c>
      <c r="M882" s="112" t="s">
        <v>225</v>
      </c>
      <c r="N882" s="81">
        <v>2025</v>
      </c>
    </row>
    <row r="883" spans="1:14">
      <c r="A883" s="81">
        <v>882</v>
      </c>
      <c r="B883" s="81" t="s">
        <v>53</v>
      </c>
      <c r="C883" s="129" t="s">
        <v>62</v>
      </c>
      <c r="D883" s="81" t="s">
        <v>61</v>
      </c>
      <c r="E883" s="81" t="s">
        <v>71</v>
      </c>
      <c r="F883" s="81"/>
      <c r="G883" s="81" t="s">
        <v>134</v>
      </c>
      <c r="H883" s="81" t="s">
        <v>71</v>
      </c>
      <c r="I883" s="105">
        <v>2596.9</v>
      </c>
      <c r="J883" s="81" t="s">
        <v>1159</v>
      </c>
      <c r="K883" s="84">
        <v>45969</v>
      </c>
      <c r="L883" s="81">
        <v>2025404015</v>
      </c>
      <c r="M883" s="81" t="s">
        <v>225</v>
      </c>
      <c r="N883" s="81">
        <v>2025</v>
      </c>
    </row>
    <row r="884" spans="1:14">
      <c r="A884" s="81">
        <v>883</v>
      </c>
      <c r="B884" s="81" t="s">
        <v>53</v>
      </c>
      <c r="C884" s="129" t="s">
        <v>62</v>
      </c>
      <c r="D884" s="81" t="s">
        <v>61</v>
      </c>
      <c r="E884" s="81" t="s">
        <v>71</v>
      </c>
      <c r="F884" s="81"/>
      <c r="G884" s="81" t="s">
        <v>131</v>
      </c>
      <c r="H884" s="112" t="s">
        <v>71</v>
      </c>
      <c r="I884" s="105">
        <v>2376</v>
      </c>
      <c r="J884" s="81" t="s">
        <v>678</v>
      </c>
      <c r="K884" s="84">
        <v>45865</v>
      </c>
      <c r="L884" s="81">
        <v>2025402429</v>
      </c>
      <c r="M884" s="112" t="s">
        <v>225</v>
      </c>
      <c r="N884" s="81">
        <v>2025</v>
      </c>
    </row>
    <row r="885" spans="1:14">
      <c r="A885" s="81">
        <v>884</v>
      </c>
      <c r="B885" s="81" t="s">
        <v>53</v>
      </c>
      <c r="C885" s="129" t="s">
        <v>62</v>
      </c>
      <c r="D885" s="81" t="s">
        <v>61</v>
      </c>
      <c r="E885" s="112" t="s">
        <v>71</v>
      </c>
      <c r="F885" s="81"/>
      <c r="G885" s="81" t="s">
        <v>238</v>
      </c>
      <c r="H885" s="81" t="s">
        <v>71</v>
      </c>
      <c r="I885" s="105">
        <v>2370</v>
      </c>
      <c r="J885" s="81" t="s">
        <v>282</v>
      </c>
      <c r="K885" s="84">
        <v>45866</v>
      </c>
      <c r="L885" s="81">
        <v>2025402465</v>
      </c>
      <c r="M885" s="112" t="s">
        <v>225</v>
      </c>
      <c r="N885" s="81">
        <v>2025</v>
      </c>
    </row>
    <row r="886" spans="1:14">
      <c r="A886" s="81">
        <v>885</v>
      </c>
      <c r="B886" s="81" t="s">
        <v>53</v>
      </c>
      <c r="C886" s="129" t="s">
        <v>62</v>
      </c>
      <c r="D886" s="81" t="s">
        <v>61</v>
      </c>
      <c r="E886" s="112" t="s">
        <v>71</v>
      </c>
      <c r="F886" s="81"/>
      <c r="G886" s="81" t="s">
        <v>132</v>
      </c>
      <c r="H886" s="112" t="s">
        <v>71</v>
      </c>
      <c r="I886" s="105">
        <v>2321.2800000000002</v>
      </c>
      <c r="J886" s="81" t="s">
        <v>842</v>
      </c>
      <c r="K886" s="84">
        <v>45886</v>
      </c>
      <c r="L886" s="81">
        <v>2025402477</v>
      </c>
      <c r="M886" s="112" t="s">
        <v>226</v>
      </c>
      <c r="N886" s="81">
        <v>2025</v>
      </c>
    </row>
    <row r="887" spans="1:14">
      <c r="A887" s="81">
        <v>886</v>
      </c>
      <c r="B887" s="81" t="s">
        <v>53</v>
      </c>
      <c r="C887" s="129" t="s">
        <v>62</v>
      </c>
      <c r="D887" s="81" t="s">
        <v>61</v>
      </c>
      <c r="E887" s="112" t="s">
        <v>71</v>
      </c>
      <c r="F887" s="81"/>
      <c r="G887" s="81" t="s">
        <v>134</v>
      </c>
      <c r="H887" s="81" t="s">
        <v>71</v>
      </c>
      <c r="I887" s="105">
        <v>2293</v>
      </c>
      <c r="J887" s="81" t="s">
        <v>690</v>
      </c>
      <c r="K887" s="84">
        <v>45865</v>
      </c>
      <c r="L887" s="81">
        <v>2025402353</v>
      </c>
      <c r="M887" s="112" t="s">
        <v>225</v>
      </c>
      <c r="N887" s="81">
        <v>2025</v>
      </c>
    </row>
    <row r="888" spans="1:14">
      <c r="A888" s="81">
        <v>887</v>
      </c>
      <c r="B888" s="81" t="s">
        <v>53</v>
      </c>
      <c r="C888" s="129" t="s">
        <v>62</v>
      </c>
      <c r="D888" s="81" t="s">
        <v>61</v>
      </c>
      <c r="E888" s="112" t="s">
        <v>71</v>
      </c>
      <c r="F888" s="81"/>
      <c r="G888" s="81" t="s">
        <v>131</v>
      </c>
      <c r="H888" s="112" t="s">
        <v>71</v>
      </c>
      <c r="I888" s="105">
        <v>2258.1</v>
      </c>
      <c r="J888" s="81" t="s">
        <v>508</v>
      </c>
      <c r="K888" s="84">
        <v>45840</v>
      </c>
      <c r="L888" s="81">
        <v>2025401837</v>
      </c>
      <c r="M888" s="112" t="s">
        <v>225</v>
      </c>
      <c r="N888" s="81">
        <v>2025</v>
      </c>
    </row>
    <row r="889" spans="1:14">
      <c r="A889" s="81">
        <v>888</v>
      </c>
      <c r="B889" s="81" t="s">
        <v>53</v>
      </c>
      <c r="C889" s="129" t="s">
        <v>62</v>
      </c>
      <c r="D889" s="81" t="s">
        <v>61</v>
      </c>
      <c r="E889" s="81" t="s">
        <v>71</v>
      </c>
      <c r="F889" s="81"/>
      <c r="G889" s="81" t="s">
        <v>134</v>
      </c>
      <c r="H889" s="81" t="s">
        <v>71</v>
      </c>
      <c r="I889" s="105">
        <v>2162</v>
      </c>
      <c r="J889" s="107" t="s">
        <v>901</v>
      </c>
      <c r="K889" s="113">
        <v>45899</v>
      </c>
      <c r="L889" s="81">
        <v>2025402757</v>
      </c>
      <c r="M889" s="81" t="s">
        <v>226</v>
      </c>
      <c r="N889" s="81">
        <v>2025</v>
      </c>
    </row>
    <row r="890" spans="1:14">
      <c r="A890" s="81">
        <v>889</v>
      </c>
      <c r="B890" s="81" t="s">
        <v>53</v>
      </c>
      <c r="C890" s="129" t="s">
        <v>62</v>
      </c>
      <c r="D890" s="81" t="s">
        <v>61</v>
      </c>
      <c r="E890" s="81" t="s">
        <v>71</v>
      </c>
      <c r="F890" s="81"/>
      <c r="G890" s="81" t="s">
        <v>134</v>
      </c>
      <c r="H890" s="81" t="s">
        <v>71</v>
      </c>
      <c r="I890" s="105">
        <v>2151.9</v>
      </c>
      <c r="J890" s="81" t="s">
        <v>1126</v>
      </c>
      <c r="K890" s="84">
        <v>45897</v>
      </c>
      <c r="L890" s="81">
        <v>2025402797</v>
      </c>
      <c r="M890" s="81" t="s">
        <v>226</v>
      </c>
      <c r="N890" s="81">
        <v>2025</v>
      </c>
    </row>
    <row r="891" spans="1:14">
      <c r="A891" s="81">
        <v>890</v>
      </c>
      <c r="B891" s="81" t="s">
        <v>53</v>
      </c>
      <c r="C891" s="129" t="s">
        <v>62</v>
      </c>
      <c r="D891" s="81" t="s">
        <v>61</v>
      </c>
      <c r="E891" s="81" t="s">
        <v>71</v>
      </c>
      <c r="F891" s="81"/>
      <c r="G891" s="81" t="s">
        <v>134</v>
      </c>
      <c r="H891" s="81" t="s">
        <v>71</v>
      </c>
      <c r="I891" s="105">
        <v>2084.1</v>
      </c>
      <c r="J891" s="81" t="s">
        <v>971</v>
      </c>
      <c r="K891" s="84">
        <v>45897</v>
      </c>
      <c r="L891" s="81">
        <v>2025402814</v>
      </c>
      <c r="M891" s="81" t="s">
        <v>226</v>
      </c>
      <c r="N891" s="81">
        <v>2025</v>
      </c>
    </row>
    <row r="892" spans="1:14">
      <c r="A892" s="81">
        <v>891</v>
      </c>
      <c r="B892" s="81" t="s">
        <v>53</v>
      </c>
      <c r="C892" s="129" t="s">
        <v>62</v>
      </c>
      <c r="D892" s="81" t="s">
        <v>61</v>
      </c>
      <c r="E892" s="81" t="s">
        <v>71</v>
      </c>
      <c r="F892" s="81"/>
      <c r="G892" s="81" t="s">
        <v>134</v>
      </c>
      <c r="H892" s="81" t="s">
        <v>71</v>
      </c>
      <c r="I892" s="105">
        <v>2015.4</v>
      </c>
      <c r="J892" s="81" t="s">
        <v>1152</v>
      </c>
      <c r="K892" s="84">
        <v>45957</v>
      </c>
      <c r="L892" s="81">
        <v>2025403067</v>
      </c>
      <c r="M892" s="81" t="s">
        <v>226</v>
      </c>
      <c r="N892" s="81">
        <v>2025</v>
      </c>
    </row>
    <row r="893" spans="1:14">
      <c r="A893" s="81">
        <v>892</v>
      </c>
      <c r="B893" s="81" t="s">
        <v>53</v>
      </c>
      <c r="C893" s="129" t="s">
        <v>62</v>
      </c>
      <c r="D893" s="81" t="s">
        <v>61</v>
      </c>
      <c r="E893" s="81" t="s">
        <v>71</v>
      </c>
      <c r="F893" s="81"/>
      <c r="G893" s="81" t="s">
        <v>131</v>
      </c>
      <c r="H893" s="112" t="s">
        <v>71</v>
      </c>
      <c r="I893" s="105">
        <v>2006.45</v>
      </c>
      <c r="J893" s="81" t="s">
        <v>1173</v>
      </c>
      <c r="K893" s="84">
        <v>45984</v>
      </c>
      <c r="L893" s="81">
        <v>2025403976</v>
      </c>
      <c r="M893" s="81" t="s">
        <v>226</v>
      </c>
      <c r="N893" s="81">
        <v>2025</v>
      </c>
    </row>
    <row r="894" spans="1:14">
      <c r="A894" s="81">
        <v>893</v>
      </c>
      <c r="B894" s="81" t="s">
        <v>53</v>
      </c>
      <c r="C894" s="129" t="s">
        <v>62</v>
      </c>
      <c r="D894" s="81" t="s">
        <v>61</v>
      </c>
      <c r="E894" s="112" t="s">
        <v>71</v>
      </c>
      <c r="F894" s="81"/>
      <c r="G894" s="81" t="s">
        <v>134</v>
      </c>
      <c r="H894" s="81" t="s">
        <v>71</v>
      </c>
      <c r="I894" s="105">
        <v>2000</v>
      </c>
      <c r="J894" s="81" t="s">
        <v>521</v>
      </c>
      <c r="K894" s="84">
        <v>45850</v>
      </c>
      <c r="L894" s="81">
        <v>2025402137</v>
      </c>
      <c r="M894" s="112" t="s">
        <v>225</v>
      </c>
      <c r="N894" s="81">
        <v>2025</v>
      </c>
    </row>
    <row r="895" spans="1:14">
      <c r="A895" s="81">
        <v>894</v>
      </c>
      <c r="B895" s="81" t="s">
        <v>53</v>
      </c>
      <c r="C895" s="129" t="s">
        <v>62</v>
      </c>
      <c r="D895" s="81" t="s">
        <v>61</v>
      </c>
      <c r="E895" s="81" t="s">
        <v>71</v>
      </c>
      <c r="F895" s="81"/>
      <c r="G895" s="81" t="s">
        <v>131</v>
      </c>
      <c r="H895" s="112" t="s">
        <v>71</v>
      </c>
      <c r="I895" s="105">
        <v>1975.93</v>
      </c>
      <c r="J895" s="81" t="s">
        <v>1172</v>
      </c>
      <c r="K895" s="84">
        <v>45984</v>
      </c>
      <c r="L895" s="81">
        <v>2025404262</v>
      </c>
      <c r="M895" s="81" t="s">
        <v>226</v>
      </c>
      <c r="N895" s="81">
        <v>2025</v>
      </c>
    </row>
    <row r="896" spans="1:14">
      <c r="A896" s="81">
        <v>895</v>
      </c>
      <c r="B896" s="81" t="s">
        <v>53</v>
      </c>
      <c r="C896" s="129" t="s">
        <v>62</v>
      </c>
      <c r="D896" s="81" t="s">
        <v>61</v>
      </c>
      <c r="E896" s="81" t="s">
        <v>71</v>
      </c>
      <c r="F896" s="81"/>
      <c r="G896" s="81" t="s">
        <v>129</v>
      </c>
      <c r="H896" s="112" t="s">
        <v>71</v>
      </c>
      <c r="I896" s="83">
        <v>1969.0140845070423</v>
      </c>
      <c r="J896" s="81" t="s">
        <v>1087</v>
      </c>
      <c r="K896" s="84">
        <v>45879</v>
      </c>
      <c r="L896" s="81">
        <v>2025402700</v>
      </c>
      <c r="M896" s="81" t="s">
        <v>226</v>
      </c>
      <c r="N896" s="81">
        <v>2025</v>
      </c>
    </row>
    <row r="897" spans="1:14">
      <c r="A897" s="81">
        <v>896</v>
      </c>
      <c r="B897" s="112" t="s">
        <v>53</v>
      </c>
      <c r="C897" s="129" t="s">
        <v>62</v>
      </c>
      <c r="D897" s="81" t="s">
        <v>61</v>
      </c>
      <c r="E897" s="81" t="s">
        <v>71</v>
      </c>
      <c r="F897" s="81"/>
      <c r="G897" s="81" t="s">
        <v>131</v>
      </c>
      <c r="H897" s="112" t="s">
        <v>71</v>
      </c>
      <c r="I897" s="105">
        <v>1943.37</v>
      </c>
      <c r="J897" s="81" t="s">
        <v>796</v>
      </c>
      <c r="K897" s="84">
        <v>45875</v>
      </c>
      <c r="L897" s="81">
        <v>2025402514</v>
      </c>
      <c r="M897" s="112" t="s">
        <v>226</v>
      </c>
      <c r="N897" s="81">
        <v>2025</v>
      </c>
    </row>
    <row r="898" spans="1:14">
      <c r="A898" s="81">
        <v>897</v>
      </c>
      <c r="B898" s="81" t="s">
        <v>53</v>
      </c>
      <c r="C898" s="129" t="s">
        <v>62</v>
      </c>
      <c r="D898" s="81" t="s">
        <v>61</v>
      </c>
      <c r="E898" s="112" t="s">
        <v>71</v>
      </c>
      <c r="F898" s="81"/>
      <c r="G898" s="81" t="s">
        <v>134</v>
      </c>
      <c r="H898" s="81" t="s">
        <v>71</v>
      </c>
      <c r="I898" s="105">
        <v>1925.9</v>
      </c>
      <c r="J898" s="81" t="s">
        <v>511</v>
      </c>
      <c r="K898" s="84">
        <v>45838</v>
      </c>
      <c r="L898" s="81">
        <v>2025402013</v>
      </c>
      <c r="M898" s="112" t="s">
        <v>225</v>
      </c>
      <c r="N898" s="81">
        <v>2025</v>
      </c>
    </row>
    <row r="899" spans="1:14">
      <c r="A899" s="81">
        <v>898</v>
      </c>
      <c r="B899" s="81" t="s">
        <v>53</v>
      </c>
      <c r="C899" s="129" t="s">
        <v>62</v>
      </c>
      <c r="D899" s="81" t="s">
        <v>61</v>
      </c>
      <c r="E899" s="112" t="s">
        <v>71</v>
      </c>
      <c r="F899" s="81"/>
      <c r="G899" s="81" t="s">
        <v>247</v>
      </c>
      <c r="H899" s="112" t="s">
        <v>71</v>
      </c>
      <c r="I899" s="83">
        <v>1901.4084507042253</v>
      </c>
      <c r="J899" s="81" t="s">
        <v>845</v>
      </c>
      <c r="K899" s="84">
        <v>45866</v>
      </c>
      <c r="L899" s="81">
        <v>2025402559</v>
      </c>
      <c r="M899" s="112" t="s">
        <v>225</v>
      </c>
      <c r="N899" s="81">
        <v>2025</v>
      </c>
    </row>
    <row r="900" spans="1:14">
      <c r="A900" s="81">
        <v>899</v>
      </c>
      <c r="B900" s="81" t="s">
        <v>53</v>
      </c>
      <c r="C900" s="129" t="s">
        <v>62</v>
      </c>
      <c r="D900" s="81" t="s">
        <v>61</v>
      </c>
      <c r="E900" s="112" t="s">
        <v>71</v>
      </c>
      <c r="F900" s="81"/>
      <c r="G900" s="81" t="s">
        <v>131</v>
      </c>
      <c r="H900" s="112" t="s">
        <v>71</v>
      </c>
      <c r="I900" s="105">
        <v>1825.47</v>
      </c>
      <c r="J900" s="81" t="s">
        <v>792</v>
      </c>
      <c r="K900" s="84">
        <v>45875</v>
      </c>
      <c r="L900" s="81">
        <v>2025402524</v>
      </c>
      <c r="M900" s="112" t="s">
        <v>226</v>
      </c>
      <c r="N900" s="81">
        <v>2025</v>
      </c>
    </row>
    <row r="901" spans="1:14">
      <c r="A901" s="81">
        <v>900</v>
      </c>
      <c r="B901" s="81" t="s">
        <v>53</v>
      </c>
      <c r="C901" s="129" t="s">
        <v>62</v>
      </c>
      <c r="D901" s="81" t="s">
        <v>61</v>
      </c>
      <c r="E901" s="112" t="s">
        <v>71</v>
      </c>
      <c r="F901" s="81"/>
      <c r="G901" s="81" t="s">
        <v>131</v>
      </c>
      <c r="H901" s="112" t="s">
        <v>71</v>
      </c>
      <c r="I901" s="105">
        <v>1774.25</v>
      </c>
      <c r="J901" s="81" t="s">
        <v>841</v>
      </c>
      <c r="K901" s="84">
        <v>45868</v>
      </c>
      <c r="L901" s="81">
        <v>2025402499</v>
      </c>
      <c r="M901" s="112" t="s">
        <v>226</v>
      </c>
      <c r="N901" s="81">
        <v>2025</v>
      </c>
    </row>
    <row r="902" spans="1:14">
      <c r="A902" s="81">
        <v>901</v>
      </c>
      <c r="B902" s="81" t="s">
        <v>53</v>
      </c>
      <c r="C902" s="129" t="s">
        <v>62</v>
      </c>
      <c r="D902" s="81" t="s">
        <v>61</v>
      </c>
      <c r="E902" s="112" t="s">
        <v>71</v>
      </c>
      <c r="F902" s="81"/>
      <c r="G902" s="81" t="s">
        <v>131</v>
      </c>
      <c r="H902" s="112" t="s">
        <v>71</v>
      </c>
      <c r="I902" s="105">
        <v>1733.29</v>
      </c>
      <c r="J902" s="81" t="s">
        <v>667</v>
      </c>
      <c r="K902" s="84">
        <v>45861</v>
      </c>
      <c r="L902" s="81">
        <v>2025402370</v>
      </c>
      <c r="M902" s="112" t="s">
        <v>225</v>
      </c>
      <c r="N902" s="81">
        <v>2025</v>
      </c>
    </row>
    <row r="903" spans="1:14">
      <c r="A903" s="81">
        <v>902</v>
      </c>
      <c r="B903" s="81" t="s">
        <v>53</v>
      </c>
      <c r="C903" s="129" t="s">
        <v>62</v>
      </c>
      <c r="D903" s="81" t="s">
        <v>61</v>
      </c>
      <c r="E903" s="112" t="s">
        <v>71</v>
      </c>
      <c r="F903" s="81"/>
      <c r="G903" s="81" t="s">
        <v>131</v>
      </c>
      <c r="H903" s="112" t="s">
        <v>71</v>
      </c>
      <c r="I903" s="105">
        <v>1708.47</v>
      </c>
      <c r="J903" s="81" t="s">
        <v>755</v>
      </c>
      <c r="K903" s="84">
        <v>45873</v>
      </c>
      <c r="L903" s="81">
        <v>2025402527</v>
      </c>
      <c r="M903" s="112" t="s">
        <v>226</v>
      </c>
      <c r="N903" s="81">
        <v>2025</v>
      </c>
    </row>
    <row r="904" spans="1:14">
      <c r="A904" s="81">
        <v>903</v>
      </c>
      <c r="B904" s="81" t="s">
        <v>53</v>
      </c>
      <c r="C904" s="129" t="s">
        <v>62</v>
      </c>
      <c r="D904" s="81" t="s">
        <v>61</v>
      </c>
      <c r="E904" s="81" t="s">
        <v>71</v>
      </c>
      <c r="F904" s="81"/>
      <c r="G904" s="81" t="s">
        <v>489</v>
      </c>
      <c r="H904" s="81" t="s">
        <v>71</v>
      </c>
      <c r="I904" s="83">
        <v>1690.1408450704225</v>
      </c>
      <c r="J904" s="81" t="s">
        <v>998</v>
      </c>
      <c r="K904" s="84">
        <v>45857</v>
      </c>
      <c r="L904" s="81">
        <v>2025402742</v>
      </c>
      <c r="M904" s="81" t="s">
        <v>225</v>
      </c>
      <c r="N904" s="81">
        <v>2025</v>
      </c>
    </row>
    <row r="905" spans="1:14">
      <c r="A905" s="81">
        <v>904</v>
      </c>
      <c r="B905" s="112" t="s">
        <v>53</v>
      </c>
      <c r="C905" s="129" t="s">
        <v>62</v>
      </c>
      <c r="D905" s="81" t="s">
        <v>61</v>
      </c>
      <c r="E905" s="81" t="s">
        <v>71</v>
      </c>
      <c r="F905" s="81"/>
      <c r="G905" s="81" t="s">
        <v>132</v>
      </c>
      <c r="H905" s="112" t="s">
        <v>71</v>
      </c>
      <c r="I905" s="105">
        <v>1671.42</v>
      </c>
      <c r="J905" s="81" t="s">
        <v>709</v>
      </c>
      <c r="K905" s="84">
        <v>45868</v>
      </c>
      <c r="L905" s="81">
        <v>2025402438</v>
      </c>
      <c r="M905" s="112" t="s">
        <v>225</v>
      </c>
      <c r="N905" s="81">
        <v>2025</v>
      </c>
    </row>
    <row r="906" spans="1:14">
      <c r="A906" s="81">
        <v>905</v>
      </c>
      <c r="B906" s="81" t="s">
        <v>53</v>
      </c>
      <c r="C906" s="129" t="s">
        <v>62</v>
      </c>
      <c r="D906" s="81" t="s">
        <v>61</v>
      </c>
      <c r="E906" s="81" t="s">
        <v>71</v>
      </c>
      <c r="F906" s="81"/>
      <c r="G906" s="81" t="s">
        <v>134</v>
      </c>
      <c r="H906" s="81" t="s">
        <v>71</v>
      </c>
      <c r="I906" s="105">
        <v>1640.6</v>
      </c>
      <c r="J906" s="107" t="s">
        <v>900</v>
      </c>
      <c r="K906" s="113">
        <v>45889</v>
      </c>
      <c r="L906" s="81">
        <v>2025402674</v>
      </c>
      <c r="M906" s="81" t="s">
        <v>226</v>
      </c>
      <c r="N906" s="81">
        <v>2025</v>
      </c>
    </row>
    <row r="907" spans="1:14">
      <c r="A907" s="81">
        <v>906</v>
      </c>
      <c r="B907" s="81" t="s">
        <v>53</v>
      </c>
      <c r="C907" s="129" t="s">
        <v>62</v>
      </c>
      <c r="D907" s="81" t="s">
        <v>61</v>
      </c>
      <c r="E907" s="112" t="s">
        <v>71</v>
      </c>
      <c r="F907" s="81"/>
      <c r="G907" s="81" t="s">
        <v>134</v>
      </c>
      <c r="H907" s="81" t="s">
        <v>71</v>
      </c>
      <c r="I907" s="105">
        <v>1608.9</v>
      </c>
      <c r="J907" s="81" t="s">
        <v>616</v>
      </c>
      <c r="K907" s="84">
        <v>45855</v>
      </c>
      <c r="L907" s="81">
        <v>2025402156</v>
      </c>
      <c r="M907" s="112" t="s">
        <v>225</v>
      </c>
      <c r="N907" s="81">
        <v>2025</v>
      </c>
    </row>
    <row r="908" spans="1:14">
      <c r="A908" s="81">
        <v>907</v>
      </c>
      <c r="B908" s="81" t="s">
        <v>53</v>
      </c>
      <c r="C908" s="129" t="s">
        <v>62</v>
      </c>
      <c r="D908" s="81" t="s">
        <v>61</v>
      </c>
      <c r="E908" s="112" t="s">
        <v>71</v>
      </c>
      <c r="F908" s="81"/>
      <c r="G908" s="81" t="s">
        <v>134</v>
      </c>
      <c r="H908" s="81" t="s">
        <v>71</v>
      </c>
      <c r="I908" s="105">
        <v>1600.75</v>
      </c>
      <c r="J908" s="81" t="s">
        <v>523</v>
      </c>
      <c r="K908" s="84">
        <v>45846</v>
      </c>
      <c r="L908" s="81">
        <v>2025402145</v>
      </c>
      <c r="M908" s="112" t="s">
        <v>225</v>
      </c>
      <c r="N908" s="81">
        <v>2025</v>
      </c>
    </row>
    <row r="909" spans="1:14">
      <c r="A909" s="81">
        <v>908</v>
      </c>
      <c r="B909" s="81" t="s">
        <v>53</v>
      </c>
      <c r="C909" s="129" t="s">
        <v>62</v>
      </c>
      <c r="D909" s="81" t="s">
        <v>61</v>
      </c>
      <c r="E909" s="112" t="s">
        <v>71</v>
      </c>
      <c r="F909" s="81"/>
      <c r="G909" s="81" t="s">
        <v>134</v>
      </c>
      <c r="H909" s="81" t="s">
        <v>71</v>
      </c>
      <c r="I909" s="105">
        <v>1579.2</v>
      </c>
      <c r="J909" s="81" t="s">
        <v>574</v>
      </c>
      <c r="K909" s="84">
        <v>45846</v>
      </c>
      <c r="L909" s="81">
        <v>2025402148</v>
      </c>
      <c r="M909" s="112" t="s">
        <v>225</v>
      </c>
      <c r="N909" s="81">
        <v>2025</v>
      </c>
    </row>
    <row r="910" spans="1:14">
      <c r="A910" s="81">
        <v>909</v>
      </c>
      <c r="B910" s="81" t="s">
        <v>53</v>
      </c>
      <c r="C910" s="129" t="s">
        <v>62</v>
      </c>
      <c r="D910" s="81" t="s">
        <v>61</v>
      </c>
      <c r="E910" s="81" t="s">
        <v>71</v>
      </c>
      <c r="F910" s="81"/>
      <c r="G910" s="81" t="s">
        <v>134</v>
      </c>
      <c r="H910" s="81" t="s">
        <v>71</v>
      </c>
      <c r="I910" s="105">
        <v>1565</v>
      </c>
      <c r="J910" s="81" t="s">
        <v>931</v>
      </c>
      <c r="K910" s="84">
        <v>45889</v>
      </c>
      <c r="L910" s="81">
        <v>2025402615</v>
      </c>
      <c r="M910" s="81" t="s">
        <v>226</v>
      </c>
      <c r="N910" s="81">
        <v>2025</v>
      </c>
    </row>
    <row r="911" spans="1:14">
      <c r="A911" s="81">
        <v>910</v>
      </c>
      <c r="B911" s="81" t="s">
        <v>53</v>
      </c>
      <c r="C911" s="129" t="s">
        <v>62</v>
      </c>
      <c r="D911" s="81" t="s">
        <v>61</v>
      </c>
      <c r="E911" s="81" t="s">
        <v>71</v>
      </c>
      <c r="F911" s="81"/>
      <c r="G911" s="81" t="s">
        <v>131</v>
      </c>
      <c r="H911" s="112" t="s">
        <v>71</v>
      </c>
      <c r="I911" s="105">
        <v>1507.28</v>
      </c>
      <c r="J911" s="81" t="s">
        <v>1115</v>
      </c>
      <c r="K911" s="84">
        <v>45900</v>
      </c>
      <c r="L911" s="81">
        <v>2025402844</v>
      </c>
      <c r="M911" s="81" t="s">
        <v>226</v>
      </c>
      <c r="N911" s="81">
        <v>2025</v>
      </c>
    </row>
    <row r="912" spans="1:14">
      <c r="A912" s="81">
        <v>911</v>
      </c>
      <c r="B912" s="112" t="s">
        <v>53</v>
      </c>
      <c r="C912" s="129" t="s">
        <v>62</v>
      </c>
      <c r="D912" s="81" t="s">
        <v>61</v>
      </c>
      <c r="E912" s="81" t="s">
        <v>71</v>
      </c>
      <c r="F912" s="81"/>
      <c r="G912" s="81" t="s">
        <v>134</v>
      </c>
      <c r="H912" s="81" t="s">
        <v>71</v>
      </c>
      <c r="I912" s="105">
        <v>1441.5</v>
      </c>
      <c r="J912" s="81" t="s">
        <v>572</v>
      </c>
      <c r="K912" s="84">
        <v>45848</v>
      </c>
      <c r="L912" s="81">
        <v>2025402167</v>
      </c>
      <c r="M912" s="112" t="s">
        <v>225</v>
      </c>
      <c r="N912" s="81">
        <v>2025</v>
      </c>
    </row>
    <row r="913" spans="1:14">
      <c r="A913" s="81">
        <v>912</v>
      </c>
      <c r="B913" s="81" t="s">
        <v>53</v>
      </c>
      <c r="C913" s="129" t="s">
        <v>62</v>
      </c>
      <c r="D913" s="81" t="s">
        <v>61</v>
      </c>
      <c r="E913" s="81" t="s">
        <v>71</v>
      </c>
      <c r="F913" s="81"/>
      <c r="G913" s="81" t="s">
        <v>134</v>
      </c>
      <c r="H913" s="81" t="s">
        <v>71</v>
      </c>
      <c r="I913" s="105">
        <v>1395</v>
      </c>
      <c r="J913" s="81" t="s">
        <v>965</v>
      </c>
      <c r="K913" s="84">
        <v>45889</v>
      </c>
      <c r="L913" s="81">
        <v>2025402612</v>
      </c>
      <c r="M913" s="81" t="s">
        <v>226</v>
      </c>
      <c r="N913" s="81">
        <v>2025</v>
      </c>
    </row>
    <row r="914" spans="1:14">
      <c r="A914" s="81">
        <v>913</v>
      </c>
      <c r="B914" s="81" t="s">
        <v>53</v>
      </c>
      <c r="C914" s="129" t="s">
        <v>62</v>
      </c>
      <c r="D914" s="81" t="s">
        <v>61</v>
      </c>
      <c r="E914" s="112" t="s">
        <v>71</v>
      </c>
      <c r="F914" s="81"/>
      <c r="G914" s="81" t="s">
        <v>131</v>
      </c>
      <c r="H914" s="112" t="s">
        <v>71</v>
      </c>
      <c r="I914" s="105">
        <v>1378.83</v>
      </c>
      <c r="J914" s="81" t="s">
        <v>668</v>
      </c>
      <c r="K914" s="84">
        <v>45861</v>
      </c>
      <c r="L914" s="81">
        <v>2025402369</v>
      </c>
      <c r="M914" s="112" t="s">
        <v>225</v>
      </c>
      <c r="N914" s="81">
        <v>2025</v>
      </c>
    </row>
    <row r="915" spans="1:14">
      <c r="A915" s="81">
        <v>914</v>
      </c>
      <c r="B915" s="81" t="s">
        <v>53</v>
      </c>
      <c r="C915" s="129" t="s">
        <v>62</v>
      </c>
      <c r="D915" s="81" t="s">
        <v>61</v>
      </c>
      <c r="E915" s="81" t="s">
        <v>71</v>
      </c>
      <c r="F915" s="81"/>
      <c r="G915" s="81" t="s">
        <v>131</v>
      </c>
      <c r="H915" s="112" t="s">
        <v>71</v>
      </c>
      <c r="I915" s="105">
        <v>1337.65</v>
      </c>
      <c r="J915" s="81" t="s">
        <v>1144</v>
      </c>
      <c r="K915" s="84">
        <v>45839</v>
      </c>
      <c r="L915" s="81">
        <v>2025401911</v>
      </c>
      <c r="M915" s="81" t="s">
        <v>225</v>
      </c>
      <c r="N915" s="81">
        <v>2025</v>
      </c>
    </row>
    <row r="916" spans="1:14">
      <c r="A916" s="81">
        <v>915</v>
      </c>
      <c r="B916" s="81" t="s">
        <v>53</v>
      </c>
      <c r="C916" s="129" t="s">
        <v>62</v>
      </c>
      <c r="D916" s="81" t="s">
        <v>61</v>
      </c>
      <c r="E916" s="81" t="s">
        <v>71</v>
      </c>
      <c r="F916" s="81"/>
      <c r="G916" s="81" t="s">
        <v>134</v>
      </c>
      <c r="H916" s="81" t="s">
        <v>71</v>
      </c>
      <c r="I916" s="105">
        <v>1296</v>
      </c>
      <c r="J916" s="81" t="s">
        <v>953</v>
      </c>
      <c r="K916" s="84">
        <v>45893</v>
      </c>
      <c r="L916" s="81">
        <v>2025402749</v>
      </c>
      <c r="M916" s="81" t="s">
        <v>226</v>
      </c>
      <c r="N916" s="81">
        <v>2025</v>
      </c>
    </row>
    <row r="917" spans="1:14">
      <c r="A917" s="81">
        <v>916</v>
      </c>
      <c r="B917" s="81" t="s">
        <v>53</v>
      </c>
      <c r="C917" s="129" t="s">
        <v>62</v>
      </c>
      <c r="D917" s="81" t="s">
        <v>61</v>
      </c>
      <c r="E917" s="112" t="s">
        <v>71</v>
      </c>
      <c r="F917" s="81"/>
      <c r="G917" s="81" t="s">
        <v>134</v>
      </c>
      <c r="H917" s="81" t="s">
        <v>71</v>
      </c>
      <c r="I917" s="105">
        <v>1146.4000000000001</v>
      </c>
      <c r="J917" s="81" t="s">
        <v>805</v>
      </c>
      <c r="K917" s="84">
        <v>45875</v>
      </c>
      <c r="L917" s="81">
        <v>2025402164</v>
      </c>
      <c r="M917" s="112" t="s">
        <v>226</v>
      </c>
      <c r="N917" s="81">
        <v>2025</v>
      </c>
    </row>
    <row r="918" spans="1:14">
      <c r="A918" s="81">
        <v>917</v>
      </c>
      <c r="B918" s="81" t="s">
        <v>53</v>
      </c>
      <c r="C918" s="129" t="s">
        <v>62</v>
      </c>
      <c r="D918" s="81" t="s">
        <v>61</v>
      </c>
      <c r="E918" s="81" t="s">
        <v>71</v>
      </c>
      <c r="F918" s="81"/>
      <c r="G918" s="81" t="s">
        <v>131</v>
      </c>
      <c r="H918" s="112" t="s">
        <v>71</v>
      </c>
      <c r="I918" s="105">
        <v>1106.03</v>
      </c>
      <c r="J918" s="81" t="s">
        <v>1044</v>
      </c>
      <c r="K918" s="84">
        <v>45897</v>
      </c>
      <c r="L918" s="81">
        <v>2025402849</v>
      </c>
      <c r="M918" s="81" t="s">
        <v>226</v>
      </c>
      <c r="N918" s="81">
        <v>2025</v>
      </c>
    </row>
    <row r="919" spans="1:14">
      <c r="A919" s="81">
        <v>918</v>
      </c>
      <c r="B919" s="81" t="s">
        <v>53</v>
      </c>
      <c r="C919" s="129" t="s">
        <v>62</v>
      </c>
      <c r="D919" s="81" t="s">
        <v>61</v>
      </c>
      <c r="E919" s="81" t="s">
        <v>71</v>
      </c>
      <c r="F919" s="81"/>
      <c r="G919" s="81" t="s">
        <v>132</v>
      </c>
      <c r="H919" s="112" t="s">
        <v>71</v>
      </c>
      <c r="I919" s="105">
        <v>1061.0999999999999</v>
      </c>
      <c r="J919" s="81" t="s">
        <v>994</v>
      </c>
      <c r="K919" s="84">
        <v>45892</v>
      </c>
      <c r="L919" s="81">
        <v>2025402584</v>
      </c>
      <c r="M919" s="81" t="s">
        <v>226</v>
      </c>
      <c r="N919" s="81">
        <v>2025</v>
      </c>
    </row>
    <row r="920" spans="1:14">
      <c r="A920" s="81">
        <v>919</v>
      </c>
      <c r="B920" s="81" t="s">
        <v>53</v>
      </c>
      <c r="C920" s="129" t="s">
        <v>62</v>
      </c>
      <c r="D920" s="81" t="s">
        <v>61</v>
      </c>
      <c r="E920" s="81" t="s">
        <v>71</v>
      </c>
      <c r="F920" s="81"/>
      <c r="G920" s="81" t="s">
        <v>132</v>
      </c>
      <c r="H920" s="112" t="s">
        <v>71</v>
      </c>
      <c r="I920" s="105">
        <v>1054.3</v>
      </c>
      <c r="J920" s="81" t="s">
        <v>653</v>
      </c>
      <c r="K920" s="84">
        <v>45862</v>
      </c>
      <c r="L920" s="81">
        <v>2025402327</v>
      </c>
      <c r="M920" s="112" t="s">
        <v>225</v>
      </c>
      <c r="N920" s="81">
        <v>2025</v>
      </c>
    </row>
    <row r="921" spans="1:14">
      <c r="A921" s="81">
        <v>920</v>
      </c>
      <c r="B921" s="81" t="s">
        <v>53</v>
      </c>
      <c r="C921" s="129" t="s">
        <v>62</v>
      </c>
      <c r="D921" s="81" t="s">
        <v>61</v>
      </c>
      <c r="E921" s="81" t="s">
        <v>71</v>
      </c>
      <c r="F921" s="81"/>
      <c r="G921" s="81" t="s">
        <v>131</v>
      </c>
      <c r="H921" s="112" t="s">
        <v>71</v>
      </c>
      <c r="I921" s="105">
        <v>1051.17</v>
      </c>
      <c r="J921" s="81" t="s">
        <v>531</v>
      </c>
      <c r="K921" s="84">
        <v>45846</v>
      </c>
      <c r="L921" s="81">
        <v>2025402059</v>
      </c>
      <c r="M921" s="112" t="s">
        <v>225</v>
      </c>
      <c r="N921" s="81">
        <v>2025</v>
      </c>
    </row>
    <row r="922" spans="1:14">
      <c r="A922" s="81">
        <v>921</v>
      </c>
      <c r="B922" s="81" t="s">
        <v>53</v>
      </c>
      <c r="C922" s="129" t="s">
        <v>62</v>
      </c>
      <c r="D922" s="81" t="s">
        <v>61</v>
      </c>
      <c r="E922" s="112" t="s">
        <v>71</v>
      </c>
      <c r="F922" s="81"/>
      <c r="G922" s="81" t="s">
        <v>244</v>
      </c>
      <c r="H922" s="81" t="s">
        <v>128</v>
      </c>
      <c r="I922" s="105">
        <v>1040</v>
      </c>
      <c r="J922" s="81" t="s">
        <v>697</v>
      </c>
      <c r="K922" s="84">
        <v>45852</v>
      </c>
      <c r="L922" s="81">
        <v>2025402435</v>
      </c>
      <c r="M922" s="112" t="s">
        <v>225</v>
      </c>
      <c r="N922" s="81">
        <v>2025</v>
      </c>
    </row>
    <row r="923" spans="1:14">
      <c r="A923" s="81">
        <v>922</v>
      </c>
      <c r="B923" s="81" t="s">
        <v>53</v>
      </c>
      <c r="C923" s="129" t="s">
        <v>62</v>
      </c>
      <c r="D923" s="81" t="s">
        <v>61</v>
      </c>
      <c r="E923" s="81" t="s">
        <v>71</v>
      </c>
      <c r="F923" s="81"/>
      <c r="G923" s="81" t="s">
        <v>132</v>
      </c>
      <c r="H923" s="112" t="s">
        <v>71</v>
      </c>
      <c r="I923" s="105">
        <v>1030.8</v>
      </c>
      <c r="J923" s="81" t="s">
        <v>1018</v>
      </c>
      <c r="K923" s="84">
        <v>45894</v>
      </c>
      <c r="L923" s="81">
        <v>2025402647</v>
      </c>
      <c r="M923" s="81" t="s">
        <v>226</v>
      </c>
      <c r="N923" s="81">
        <v>2025</v>
      </c>
    </row>
    <row r="924" spans="1:14">
      <c r="A924" s="81">
        <v>923</v>
      </c>
      <c r="B924" s="81" t="s">
        <v>53</v>
      </c>
      <c r="C924" s="129" t="s">
        <v>62</v>
      </c>
      <c r="D924" s="81" t="s">
        <v>61</v>
      </c>
      <c r="E924" s="112" t="s">
        <v>71</v>
      </c>
      <c r="F924" s="81"/>
      <c r="G924" s="81" t="s">
        <v>482</v>
      </c>
      <c r="H924" s="81" t="s">
        <v>71</v>
      </c>
      <c r="I924" s="105">
        <v>976</v>
      </c>
      <c r="J924" s="81" t="s">
        <v>639</v>
      </c>
      <c r="K924" s="84">
        <v>45853</v>
      </c>
      <c r="L924" s="81">
        <v>2025402262</v>
      </c>
      <c r="M924" s="112" t="s">
        <v>225</v>
      </c>
      <c r="N924" s="81">
        <v>2025</v>
      </c>
    </row>
    <row r="925" spans="1:14">
      <c r="A925" s="81">
        <v>924</v>
      </c>
      <c r="B925" s="81" t="s">
        <v>53</v>
      </c>
      <c r="C925" s="129" t="s">
        <v>62</v>
      </c>
      <c r="D925" s="81" t="s">
        <v>61</v>
      </c>
      <c r="E925" s="112" t="s">
        <v>71</v>
      </c>
      <c r="F925" s="81"/>
      <c r="G925" s="81" t="s">
        <v>134</v>
      </c>
      <c r="H925" s="81" t="s">
        <v>71</v>
      </c>
      <c r="I925" s="105">
        <v>931.6</v>
      </c>
      <c r="J925" s="81" t="s">
        <v>815</v>
      </c>
      <c r="K925" s="84">
        <v>45875</v>
      </c>
      <c r="L925" s="81">
        <v>2025402479</v>
      </c>
      <c r="M925" s="112" t="s">
        <v>226</v>
      </c>
      <c r="N925" s="81">
        <v>2025</v>
      </c>
    </row>
    <row r="926" spans="1:14">
      <c r="A926" s="81">
        <v>925</v>
      </c>
      <c r="B926" s="81" t="s">
        <v>53</v>
      </c>
      <c r="C926" s="129" t="s">
        <v>62</v>
      </c>
      <c r="D926" s="81" t="s">
        <v>61</v>
      </c>
      <c r="E926" s="81" t="s">
        <v>71</v>
      </c>
      <c r="F926" s="81"/>
      <c r="G926" s="81" t="s">
        <v>134</v>
      </c>
      <c r="H926" s="81" t="s">
        <v>71</v>
      </c>
      <c r="I926" s="105">
        <v>864</v>
      </c>
      <c r="J926" s="81" t="s">
        <v>963</v>
      </c>
      <c r="K926" s="84">
        <v>45895</v>
      </c>
      <c r="L926" s="81">
        <v>2025402761</v>
      </c>
      <c r="M926" s="81" t="s">
        <v>226</v>
      </c>
      <c r="N926" s="81">
        <v>2025</v>
      </c>
    </row>
    <row r="927" spans="1:14">
      <c r="A927" s="81">
        <v>926</v>
      </c>
      <c r="B927" s="81" t="s">
        <v>53</v>
      </c>
      <c r="C927" s="129" t="s">
        <v>62</v>
      </c>
      <c r="D927" s="81" t="s">
        <v>61</v>
      </c>
      <c r="E927" s="81" t="s">
        <v>71</v>
      </c>
      <c r="F927" s="81"/>
      <c r="G927" s="81" t="s">
        <v>134</v>
      </c>
      <c r="H927" s="81" t="s">
        <v>71</v>
      </c>
      <c r="I927" s="105">
        <v>825</v>
      </c>
      <c r="J927" s="81" t="s">
        <v>772</v>
      </c>
      <c r="K927" s="84">
        <v>45872</v>
      </c>
      <c r="L927" s="81">
        <v>2025402310</v>
      </c>
      <c r="M927" s="112" t="s">
        <v>226</v>
      </c>
      <c r="N927" s="81">
        <v>2025</v>
      </c>
    </row>
    <row r="928" spans="1:14">
      <c r="A928" s="81">
        <v>927</v>
      </c>
      <c r="B928" s="81" t="s">
        <v>53</v>
      </c>
      <c r="C928" s="129" t="s">
        <v>62</v>
      </c>
      <c r="D928" s="81" t="s">
        <v>61</v>
      </c>
      <c r="E928" s="81" t="s">
        <v>71</v>
      </c>
      <c r="F928" s="81"/>
      <c r="G928" s="81" t="s">
        <v>134</v>
      </c>
      <c r="H928" s="81" t="s">
        <v>71</v>
      </c>
      <c r="I928" s="105">
        <v>800</v>
      </c>
      <c r="J928" s="81" t="s">
        <v>942</v>
      </c>
      <c r="K928" s="84">
        <v>45889</v>
      </c>
      <c r="L928" s="81">
        <v>2025402616</v>
      </c>
      <c r="M928" s="81" t="s">
        <v>226</v>
      </c>
      <c r="N928" s="81">
        <v>2025</v>
      </c>
    </row>
    <row r="929" spans="1:14">
      <c r="A929" s="81">
        <v>928</v>
      </c>
      <c r="B929" s="81" t="s">
        <v>53</v>
      </c>
      <c r="C929" s="129" t="s">
        <v>62</v>
      </c>
      <c r="D929" s="81" t="s">
        <v>61</v>
      </c>
      <c r="E929" s="81" t="s">
        <v>71</v>
      </c>
      <c r="F929" s="81"/>
      <c r="G929" s="81" t="s">
        <v>134</v>
      </c>
      <c r="H929" s="81" t="s">
        <v>71</v>
      </c>
      <c r="I929" s="105">
        <v>777</v>
      </c>
      <c r="J929" s="81" t="s">
        <v>1027</v>
      </c>
      <c r="K929" s="84">
        <v>45897</v>
      </c>
      <c r="L929" s="81">
        <v>2025402796</v>
      </c>
      <c r="M929" s="81" t="s">
        <v>226</v>
      </c>
      <c r="N929" s="81">
        <v>2025</v>
      </c>
    </row>
    <row r="930" spans="1:14">
      <c r="A930" s="81">
        <v>929</v>
      </c>
      <c r="B930" s="81" t="s">
        <v>53</v>
      </c>
      <c r="C930" s="129" t="s">
        <v>62</v>
      </c>
      <c r="D930" s="81" t="s">
        <v>61</v>
      </c>
      <c r="E930" s="81" t="s">
        <v>71</v>
      </c>
      <c r="F930" s="81"/>
      <c r="G930" s="81" t="s">
        <v>489</v>
      </c>
      <c r="H930" s="81" t="s">
        <v>71</v>
      </c>
      <c r="I930" s="83">
        <v>739.43661971830988</v>
      </c>
      <c r="J930" s="81" t="s">
        <v>1110</v>
      </c>
      <c r="K930" s="84">
        <v>45881</v>
      </c>
      <c r="L930" s="81">
        <v>2025403193</v>
      </c>
      <c r="M930" s="81" t="s">
        <v>226</v>
      </c>
      <c r="N930" s="81">
        <v>2025</v>
      </c>
    </row>
    <row r="931" spans="1:14">
      <c r="A931" s="81">
        <v>930</v>
      </c>
      <c r="B931" s="81" t="s">
        <v>53</v>
      </c>
      <c r="C931" s="129" t="s">
        <v>62</v>
      </c>
      <c r="D931" s="81" t="s">
        <v>61</v>
      </c>
      <c r="E931" s="81" t="s">
        <v>71</v>
      </c>
      <c r="F931" s="81"/>
      <c r="G931" s="81" t="s">
        <v>134</v>
      </c>
      <c r="H931" s="81" t="s">
        <v>71</v>
      </c>
      <c r="I931" s="105">
        <v>715</v>
      </c>
      <c r="J931" s="81" t="s">
        <v>954</v>
      </c>
      <c r="K931" s="84">
        <v>45893</v>
      </c>
      <c r="L931" s="81">
        <v>2025402735</v>
      </c>
      <c r="M931" s="81" t="s">
        <v>226</v>
      </c>
      <c r="N931" s="81">
        <v>2025</v>
      </c>
    </row>
    <row r="932" spans="1:14">
      <c r="A932" s="81">
        <v>931</v>
      </c>
      <c r="B932" s="81" t="s">
        <v>53</v>
      </c>
      <c r="C932" s="129" t="s">
        <v>62</v>
      </c>
      <c r="D932" s="81" t="s">
        <v>61</v>
      </c>
      <c r="E932" s="81" t="s">
        <v>71</v>
      </c>
      <c r="F932" s="81"/>
      <c r="G932" s="81" t="s">
        <v>134</v>
      </c>
      <c r="H932" s="81" t="s">
        <v>71</v>
      </c>
      <c r="I932" s="105">
        <v>703</v>
      </c>
      <c r="J932" s="81" t="s">
        <v>1074</v>
      </c>
      <c r="K932" s="84">
        <v>45880</v>
      </c>
      <c r="L932" s="81">
        <v>2025402587</v>
      </c>
      <c r="M932" s="81" t="s">
        <v>226</v>
      </c>
      <c r="N932" s="81">
        <v>2025</v>
      </c>
    </row>
    <row r="933" spans="1:14">
      <c r="A933" s="81">
        <v>932</v>
      </c>
      <c r="B933" s="81" t="s">
        <v>53</v>
      </c>
      <c r="C933" s="129" t="s">
        <v>62</v>
      </c>
      <c r="D933" s="81" t="s">
        <v>61</v>
      </c>
      <c r="E933" s="81" t="s">
        <v>71</v>
      </c>
      <c r="F933" s="81"/>
      <c r="G933" s="81" t="s">
        <v>134</v>
      </c>
      <c r="H933" s="81" t="s">
        <v>71</v>
      </c>
      <c r="I933" s="105">
        <v>640</v>
      </c>
      <c r="J933" s="81" t="s">
        <v>988</v>
      </c>
      <c r="K933" s="84">
        <v>45895</v>
      </c>
      <c r="L933" s="81">
        <v>2025402762</v>
      </c>
      <c r="M933" s="81" t="s">
        <v>226</v>
      </c>
      <c r="N933" s="81">
        <v>2025</v>
      </c>
    </row>
    <row r="934" spans="1:14">
      <c r="A934" s="81">
        <v>933</v>
      </c>
      <c r="B934" s="112" t="s">
        <v>53</v>
      </c>
      <c r="C934" s="129" t="s">
        <v>62</v>
      </c>
      <c r="D934" s="81" t="s">
        <v>61</v>
      </c>
      <c r="E934" s="81" t="s">
        <v>71</v>
      </c>
      <c r="F934" s="81"/>
      <c r="G934" s="81" t="s">
        <v>131</v>
      </c>
      <c r="H934" s="112" t="s">
        <v>71</v>
      </c>
      <c r="I934" s="105">
        <v>618.29999999999995</v>
      </c>
      <c r="J934" s="81" t="s">
        <v>749</v>
      </c>
      <c r="K934" s="84">
        <v>45873</v>
      </c>
      <c r="L934" s="81">
        <v>2025402376</v>
      </c>
      <c r="M934" s="112" t="s">
        <v>226</v>
      </c>
      <c r="N934" s="81">
        <v>2025</v>
      </c>
    </row>
    <row r="935" spans="1:14">
      <c r="A935" s="81">
        <v>934</v>
      </c>
      <c r="B935" s="81" t="s">
        <v>53</v>
      </c>
      <c r="C935" s="129" t="s">
        <v>62</v>
      </c>
      <c r="D935" s="81" t="s">
        <v>61</v>
      </c>
      <c r="E935" s="112" t="s">
        <v>71</v>
      </c>
      <c r="F935" s="81"/>
      <c r="G935" s="81" t="s">
        <v>134</v>
      </c>
      <c r="H935" s="81" t="s">
        <v>71</v>
      </c>
      <c r="I935" s="105">
        <v>615</v>
      </c>
      <c r="J935" s="81" t="s">
        <v>810</v>
      </c>
      <c r="K935" s="84">
        <v>45875</v>
      </c>
      <c r="L935" s="81">
        <v>2025402444</v>
      </c>
      <c r="M935" s="112" t="s">
        <v>226</v>
      </c>
      <c r="N935" s="81">
        <v>2025</v>
      </c>
    </row>
    <row r="936" spans="1:14">
      <c r="A936" s="81">
        <v>935</v>
      </c>
      <c r="B936" s="81" t="s">
        <v>53</v>
      </c>
      <c r="C936" s="129" t="s">
        <v>62</v>
      </c>
      <c r="D936" s="81" t="s">
        <v>61</v>
      </c>
      <c r="E936" s="81" t="s">
        <v>71</v>
      </c>
      <c r="F936" s="81"/>
      <c r="G936" s="81" t="s">
        <v>134</v>
      </c>
      <c r="H936" s="81" t="s">
        <v>71</v>
      </c>
      <c r="I936" s="105">
        <v>609</v>
      </c>
      <c r="J936" s="81" t="s">
        <v>1065</v>
      </c>
      <c r="K936" s="84">
        <v>45897</v>
      </c>
      <c r="L936" s="81">
        <v>2025402710</v>
      </c>
      <c r="M936" s="81" t="s">
        <v>226</v>
      </c>
      <c r="N936" s="81">
        <v>2025</v>
      </c>
    </row>
    <row r="937" spans="1:14">
      <c r="A937" s="81">
        <v>936</v>
      </c>
      <c r="B937" s="81" t="s">
        <v>53</v>
      </c>
      <c r="C937" s="129" t="s">
        <v>62</v>
      </c>
      <c r="D937" s="81" t="s">
        <v>61</v>
      </c>
      <c r="E937" s="81" t="s">
        <v>71</v>
      </c>
      <c r="F937" s="81"/>
      <c r="G937" s="81" t="s">
        <v>134</v>
      </c>
      <c r="H937" s="81" t="s">
        <v>71</v>
      </c>
      <c r="I937" s="105">
        <v>600</v>
      </c>
      <c r="J937" s="81" t="s">
        <v>928</v>
      </c>
      <c r="K937" s="84">
        <v>45893</v>
      </c>
      <c r="L937" s="81">
        <v>2025402684</v>
      </c>
      <c r="M937" s="81" t="s">
        <v>226</v>
      </c>
      <c r="N937" s="81">
        <v>2025</v>
      </c>
    </row>
    <row r="938" spans="1:14">
      <c r="A938" s="81">
        <v>937</v>
      </c>
      <c r="B938" s="81" t="s">
        <v>53</v>
      </c>
      <c r="C938" s="129" t="s">
        <v>62</v>
      </c>
      <c r="D938" s="81" t="s">
        <v>61</v>
      </c>
      <c r="E938" s="81" t="s">
        <v>71</v>
      </c>
      <c r="F938" s="81"/>
      <c r="G938" s="81" t="s">
        <v>134</v>
      </c>
      <c r="H938" s="81" t="s">
        <v>71</v>
      </c>
      <c r="I938" s="105">
        <v>560</v>
      </c>
      <c r="J938" s="81" t="s">
        <v>941</v>
      </c>
      <c r="K938" s="84">
        <v>45889</v>
      </c>
      <c r="L938" s="81">
        <v>2025402609</v>
      </c>
      <c r="M938" s="81" t="s">
        <v>226</v>
      </c>
      <c r="N938" s="81">
        <v>2025</v>
      </c>
    </row>
    <row r="939" spans="1:14">
      <c r="A939" s="81">
        <v>938</v>
      </c>
      <c r="B939" s="81" t="s">
        <v>53</v>
      </c>
      <c r="C939" s="129" t="s">
        <v>62</v>
      </c>
      <c r="D939" s="81" t="s">
        <v>61</v>
      </c>
      <c r="E939" s="81" t="s">
        <v>71</v>
      </c>
      <c r="F939" s="81"/>
      <c r="G939" s="81" t="s">
        <v>132</v>
      </c>
      <c r="H939" s="112" t="s">
        <v>71</v>
      </c>
      <c r="I939" s="105">
        <v>548.55999999999995</v>
      </c>
      <c r="J939" s="81" t="s">
        <v>852</v>
      </c>
      <c r="K939" s="84">
        <v>45887</v>
      </c>
      <c r="L939" s="81">
        <v>2025402651</v>
      </c>
      <c r="M939" s="112" t="s">
        <v>226</v>
      </c>
      <c r="N939" s="81">
        <v>2025</v>
      </c>
    </row>
    <row r="940" spans="1:14">
      <c r="A940" s="81">
        <v>939</v>
      </c>
      <c r="B940" s="81" t="s">
        <v>53</v>
      </c>
      <c r="C940" s="129" t="s">
        <v>62</v>
      </c>
      <c r="D940" s="81" t="s">
        <v>61</v>
      </c>
      <c r="E940" s="81" t="s">
        <v>71</v>
      </c>
      <c r="F940" s="81"/>
      <c r="G940" s="81" t="s">
        <v>134</v>
      </c>
      <c r="H940" s="81" t="s">
        <v>71</v>
      </c>
      <c r="I940" s="105">
        <v>515.5</v>
      </c>
      <c r="J940" s="81" t="s">
        <v>1048</v>
      </c>
      <c r="K940" s="84">
        <v>45897</v>
      </c>
      <c r="L940" s="81">
        <v>2025402819</v>
      </c>
      <c r="M940" s="81" t="s">
        <v>226</v>
      </c>
      <c r="N940" s="81">
        <v>2025</v>
      </c>
    </row>
    <row r="941" spans="1:14">
      <c r="A941" s="81">
        <v>940</v>
      </c>
      <c r="B941" s="81" t="s">
        <v>53</v>
      </c>
      <c r="C941" s="129" t="s">
        <v>62</v>
      </c>
      <c r="D941" s="81" t="s">
        <v>61</v>
      </c>
      <c r="E941" s="112" t="s">
        <v>71</v>
      </c>
      <c r="F941" s="81"/>
      <c r="G941" s="81" t="s">
        <v>132</v>
      </c>
      <c r="H941" s="112" t="s">
        <v>71</v>
      </c>
      <c r="I941" s="105">
        <v>515.28</v>
      </c>
      <c r="J941" s="81" t="s">
        <v>543</v>
      </c>
      <c r="K941" s="84">
        <v>45850</v>
      </c>
      <c r="L941" s="81">
        <v>2025402190</v>
      </c>
      <c r="M941" s="112" t="s">
        <v>225</v>
      </c>
      <c r="N941" s="81">
        <v>2025</v>
      </c>
    </row>
    <row r="942" spans="1:14">
      <c r="A942" s="81">
        <v>941</v>
      </c>
      <c r="B942" s="81" t="s">
        <v>53</v>
      </c>
      <c r="C942" s="129" t="s">
        <v>62</v>
      </c>
      <c r="D942" s="81" t="s">
        <v>61</v>
      </c>
      <c r="E942" s="81" t="s">
        <v>71</v>
      </c>
      <c r="F942" s="81"/>
      <c r="G942" s="81" t="s">
        <v>134</v>
      </c>
      <c r="H942" s="81" t="s">
        <v>71</v>
      </c>
      <c r="I942" s="105">
        <v>502.4</v>
      </c>
      <c r="J942" s="81" t="s">
        <v>976</v>
      </c>
      <c r="K942" s="84">
        <v>45899</v>
      </c>
      <c r="L942" s="81">
        <v>2025402808</v>
      </c>
      <c r="M942" s="81" t="s">
        <v>226</v>
      </c>
      <c r="N942" s="81">
        <v>2025</v>
      </c>
    </row>
    <row r="943" spans="1:14">
      <c r="A943" s="81">
        <v>942</v>
      </c>
      <c r="B943" s="81" t="s">
        <v>53</v>
      </c>
      <c r="C943" s="129" t="s">
        <v>62</v>
      </c>
      <c r="D943" s="81" t="s">
        <v>61</v>
      </c>
      <c r="E943" s="81" t="s">
        <v>71</v>
      </c>
      <c r="F943" s="81"/>
      <c r="G943" s="81" t="s">
        <v>134</v>
      </c>
      <c r="H943" s="81" t="s">
        <v>71</v>
      </c>
      <c r="I943" s="105">
        <v>500</v>
      </c>
      <c r="J943" s="81" t="s">
        <v>950</v>
      </c>
      <c r="K943" s="84">
        <v>45899</v>
      </c>
      <c r="L943" s="81">
        <v>2025402792</v>
      </c>
      <c r="M943" s="81" t="s">
        <v>226</v>
      </c>
      <c r="N943" s="81">
        <v>2025</v>
      </c>
    </row>
    <row r="944" spans="1:14">
      <c r="A944" s="81">
        <v>943</v>
      </c>
      <c r="B944" s="81" t="s">
        <v>53</v>
      </c>
      <c r="C944" s="129" t="s">
        <v>62</v>
      </c>
      <c r="D944" s="81" t="s">
        <v>61</v>
      </c>
      <c r="E944" s="112" t="s">
        <v>71</v>
      </c>
      <c r="F944" s="81"/>
      <c r="G944" s="81" t="s">
        <v>131</v>
      </c>
      <c r="H944" s="112" t="s">
        <v>71</v>
      </c>
      <c r="I944" s="105">
        <v>490.8</v>
      </c>
      <c r="J944" s="81" t="s">
        <v>507</v>
      </c>
      <c r="K944" s="84">
        <v>45840</v>
      </c>
      <c r="L944" s="81">
        <v>2025401836</v>
      </c>
      <c r="M944" s="112" t="s">
        <v>225</v>
      </c>
      <c r="N944" s="81">
        <v>2025</v>
      </c>
    </row>
    <row r="945" spans="1:14">
      <c r="A945" s="81">
        <v>944</v>
      </c>
      <c r="B945" s="81" t="s">
        <v>53</v>
      </c>
      <c r="C945" s="129" t="s">
        <v>62</v>
      </c>
      <c r="D945" s="81" t="s">
        <v>61</v>
      </c>
      <c r="E945" s="112" t="s">
        <v>71</v>
      </c>
      <c r="F945" s="81"/>
      <c r="G945" s="81" t="s">
        <v>134</v>
      </c>
      <c r="H945" s="81" t="s">
        <v>71</v>
      </c>
      <c r="I945" s="105">
        <v>456</v>
      </c>
      <c r="J945" s="81" t="s">
        <v>619</v>
      </c>
      <c r="K945" s="84">
        <v>45855</v>
      </c>
      <c r="L945" s="81">
        <v>2025402154</v>
      </c>
      <c r="M945" s="112" t="s">
        <v>225</v>
      </c>
      <c r="N945" s="81">
        <v>2025</v>
      </c>
    </row>
    <row r="946" spans="1:14">
      <c r="A946" s="81">
        <v>945</v>
      </c>
      <c r="B946" s="81" t="s">
        <v>53</v>
      </c>
      <c r="C946" s="129" t="s">
        <v>62</v>
      </c>
      <c r="D946" s="81" t="s">
        <v>61</v>
      </c>
      <c r="E946" s="81" t="s">
        <v>71</v>
      </c>
      <c r="F946" s="81"/>
      <c r="G946" s="81" t="s">
        <v>131</v>
      </c>
      <c r="H946" s="112" t="s">
        <v>71</v>
      </c>
      <c r="I946" s="105">
        <v>421.88</v>
      </c>
      <c r="J946" s="81" t="s">
        <v>1026</v>
      </c>
      <c r="K946" s="84">
        <v>45893</v>
      </c>
      <c r="L946" s="81">
        <v>2025402520</v>
      </c>
      <c r="M946" s="81" t="s">
        <v>226</v>
      </c>
      <c r="N946" s="81">
        <v>2025</v>
      </c>
    </row>
    <row r="947" spans="1:14">
      <c r="A947" s="81">
        <v>946</v>
      </c>
      <c r="B947" s="81" t="s">
        <v>53</v>
      </c>
      <c r="C947" s="129" t="s">
        <v>62</v>
      </c>
      <c r="D947" s="81" t="s">
        <v>61</v>
      </c>
      <c r="E947" s="112" t="s">
        <v>71</v>
      </c>
      <c r="F947" s="81"/>
      <c r="G947" s="81" t="s">
        <v>134</v>
      </c>
      <c r="H947" s="81" t="s">
        <v>71</v>
      </c>
      <c r="I947" s="105">
        <v>412</v>
      </c>
      <c r="J947" s="81" t="s">
        <v>759</v>
      </c>
      <c r="K947" s="84">
        <v>45873</v>
      </c>
      <c r="L947" s="81">
        <v>2025402484</v>
      </c>
      <c r="M947" s="112" t="s">
        <v>226</v>
      </c>
      <c r="N947" s="81">
        <v>2025</v>
      </c>
    </row>
    <row r="948" spans="1:14">
      <c r="A948" s="81">
        <v>947</v>
      </c>
      <c r="B948" s="81" t="s">
        <v>53</v>
      </c>
      <c r="C948" s="129" t="s">
        <v>62</v>
      </c>
      <c r="D948" s="81" t="s">
        <v>61</v>
      </c>
      <c r="E948" s="81" t="s">
        <v>71</v>
      </c>
      <c r="F948" s="81"/>
      <c r="G948" s="81" t="s">
        <v>131</v>
      </c>
      <c r="H948" s="112" t="s">
        <v>71</v>
      </c>
      <c r="I948" s="105">
        <v>406.08</v>
      </c>
      <c r="J948" s="81" t="s">
        <v>748</v>
      </c>
      <c r="K948" s="84">
        <v>45872</v>
      </c>
      <c r="L948" s="81">
        <v>2025402519</v>
      </c>
      <c r="M948" s="112" t="s">
        <v>226</v>
      </c>
      <c r="N948" s="81">
        <v>2025</v>
      </c>
    </row>
    <row r="949" spans="1:14">
      <c r="A949" s="81">
        <v>948</v>
      </c>
      <c r="B949" s="81" t="s">
        <v>53</v>
      </c>
      <c r="C949" s="129" t="s">
        <v>62</v>
      </c>
      <c r="D949" s="81" t="s">
        <v>61</v>
      </c>
      <c r="E949" s="112" t="s">
        <v>71</v>
      </c>
      <c r="F949" s="81"/>
      <c r="G949" s="81" t="s">
        <v>134</v>
      </c>
      <c r="H949" s="81" t="s">
        <v>71</v>
      </c>
      <c r="I949" s="105">
        <v>398.9</v>
      </c>
      <c r="J949" s="81" t="s">
        <v>600</v>
      </c>
      <c r="K949" s="84">
        <v>45848</v>
      </c>
      <c r="L949" s="81">
        <v>2025402170</v>
      </c>
      <c r="M949" s="112" t="s">
        <v>225</v>
      </c>
      <c r="N949" s="81">
        <v>2025</v>
      </c>
    </row>
    <row r="950" spans="1:14">
      <c r="A950" s="81">
        <v>949</v>
      </c>
      <c r="B950" s="81" t="s">
        <v>53</v>
      </c>
      <c r="C950" s="129" t="s">
        <v>62</v>
      </c>
      <c r="D950" s="81" t="s">
        <v>61</v>
      </c>
      <c r="E950" s="81" t="s">
        <v>71</v>
      </c>
      <c r="F950" s="81"/>
      <c r="G950" s="81" t="s">
        <v>132</v>
      </c>
      <c r="H950" s="112" t="s">
        <v>71</v>
      </c>
      <c r="I950" s="105">
        <v>391.02</v>
      </c>
      <c r="J950" s="81" t="s">
        <v>855</v>
      </c>
      <c r="K950" s="84">
        <v>45887</v>
      </c>
      <c r="L950" s="81">
        <v>2025402635</v>
      </c>
      <c r="M950" s="112" t="s">
        <v>226</v>
      </c>
      <c r="N950" s="81">
        <v>2025</v>
      </c>
    </row>
    <row r="951" spans="1:14">
      <c r="A951" s="81">
        <v>950</v>
      </c>
      <c r="B951" s="81" t="s">
        <v>53</v>
      </c>
      <c r="C951" s="129" t="s">
        <v>62</v>
      </c>
      <c r="D951" s="81" t="s">
        <v>61</v>
      </c>
      <c r="E951" s="81" t="s">
        <v>71</v>
      </c>
      <c r="F951" s="81"/>
      <c r="G951" s="81" t="s">
        <v>131</v>
      </c>
      <c r="H951" s="112" t="s">
        <v>71</v>
      </c>
      <c r="I951" s="105">
        <v>373.9</v>
      </c>
      <c r="J951" s="81" t="s">
        <v>750</v>
      </c>
      <c r="K951" s="84">
        <v>45873</v>
      </c>
      <c r="L951" s="81">
        <v>2025402523</v>
      </c>
      <c r="M951" s="112" t="s">
        <v>226</v>
      </c>
      <c r="N951" s="81">
        <v>2025</v>
      </c>
    </row>
    <row r="952" spans="1:14">
      <c r="A952" s="81">
        <v>951</v>
      </c>
      <c r="B952" s="81" t="s">
        <v>53</v>
      </c>
      <c r="C952" s="129" t="s">
        <v>62</v>
      </c>
      <c r="D952" s="81" t="s">
        <v>61</v>
      </c>
      <c r="E952" s="81" t="s">
        <v>71</v>
      </c>
      <c r="F952" s="81"/>
      <c r="G952" s="81" t="s">
        <v>131</v>
      </c>
      <c r="H952" s="112" t="s">
        <v>71</v>
      </c>
      <c r="I952" s="105">
        <v>353.42</v>
      </c>
      <c r="J952" s="81" t="s">
        <v>1037</v>
      </c>
      <c r="K952" s="84">
        <v>45897</v>
      </c>
      <c r="L952" s="81">
        <v>2025402829</v>
      </c>
      <c r="M952" s="81" t="s">
        <v>226</v>
      </c>
      <c r="N952" s="81">
        <v>2025</v>
      </c>
    </row>
    <row r="953" spans="1:14">
      <c r="A953" s="81">
        <v>952</v>
      </c>
      <c r="B953" s="81" t="s">
        <v>53</v>
      </c>
      <c r="C953" s="129" t="s">
        <v>62</v>
      </c>
      <c r="D953" s="81" t="s">
        <v>61</v>
      </c>
      <c r="E953" s="112" t="s">
        <v>71</v>
      </c>
      <c r="F953" s="81"/>
      <c r="G953" s="81" t="s">
        <v>134</v>
      </c>
      <c r="H953" s="81" t="s">
        <v>71</v>
      </c>
      <c r="I953" s="105">
        <v>350</v>
      </c>
      <c r="J953" s="81" t="s">
        <v>601</v>
      </c>
      <c r="K953" s="84">
        <v>45848</v>
      </c>
      <c r="L953" s="81">
        <v>2025402171</v>
      </c>
      <c r="M953" s="112" t="s">
        <v>225</v>
      </c>
      <c r="N953" s="81">
        <v>2025</v>
      </c>
    </row>
    <row r="954" spans="1:14">
      <c r="A954" s="81">
        <v>953</v>
      </c>
      <c r="B954" s="112" t="s">
        <v>53</v>
      </c>
      <c r="C954" s="129" t="s">
        <v>62</v>
      </c>
      <c r="D954" s="81" t="s">
        <v>61</v>
      </c>
      <c r="E954" s="112" t="s">
        <v>71</v>
      </c>
      <c r="F954" s="81"/>
      <c r="G954" s="112" t="s">
        <v>134</v>
      </c>
      <c r="H954" s="81" t="s">
        <v>71</v>
      </c>
      <c r="I954" s="105">
        <v>348</v>
      </c>
      <c r="J954" s="81" t="s">
        <v>575</v>
      </c>
      <c r="K954" s="84">
        <v>45846</v>
      </c>
      <c r="L954" s="81">
        <v>2025402147</v>
      </c>
      <c r="M954" s="112" t="s">
        <v>225</v>
      </c>
      <c r="N954" s="81">
        <v>2025</v>
      </c>
    </row>
    <row r="955" spans="1:14">
      <c r="A955" s="81">
        <v>954</v>
      </c>
      <c r="B955" s="81" t="s">
        <v>53</v>
      </c>
      <c r="C955" s="129" t="s">
        <v>62</v>
      </c>
      <c r="D955" s="81" t="s">
        <v>61</v>
      </c>
      <c r="E955" s="81" t="s">
        <v>71</v>
      </c>
      <c r="F955" s="81"/>
      <c r="G955" s="81" t="s">
        <v>134</v>
      </c>
      <c r="H955" s="81" t="s">
        <v>71</v>
      </c>
      <c r="I955" s="105">
        <v>309.89999999999998</v>
      </c>
      <c r="J955" s="81" t="s">
        <v>947</v>
      </c>
      <c r="K955" s="84">
        <v>45899</v>
      </c>
      <c r="L955" s="81">
        <v>2025402434</v>
      </c>
      <c r="M955" s="81" t="s">
        <v>226</v>
      </c>
      <c r="N955" s="81">
        <v>2025</v>
      </c>
    </row>
    <row r="956" spans="1:14">
      <c r="A956" s="81">
        <v>955</v>
      </c>
      <c r="B956" s="81" t="s">
        <v>53</v>
      </c>
      <c r="C956" s="129" t="s">
        <v>62</v>
      </c>
      <c r="D956" s="81" t="s">
        <v>61</v>
      </c>
      <c r="E956" s="112" t="s">
        <v>71</v>
      </c>
      <c r="F956" s="81"/>
      <c r="G956" s="81" t="s">
        <v>134</v>
      </c>
      <c r="H956" s="81" t="s">
        <v>71</v>
      </c>
      <c r="I956" s="105">
        <v>304</v>
      </c>
      <c r="J956" s="81" t="s">
        <v>732</v>
      </c>
      <c r="K956" s="84">
        <v>45872</v>
      </c>
      <c r="L956" s="81">
        <v>2025402415</v>
      </c>
      <c r="M956" s="112" t="s">
        <v>226</v>
      </c>
      <c r="N956" s="81">
        <v>2025</v>
      </c>
    </row>
    <row r="957" spans="1:14">
      <c r="A957" s="81">
        <v>956</v>
      </c>
      <c r="B957" s="81" t="s">
        <v>53</v>
      </c>
      <c r="C957" s="129" t="s">
        <v>62</v>
      </c>
      <c r="D957" s="81" t="s">
        <v>61</v>
      </c>
      <c r="E957" s="81" t="s">
        <v>71</v>
      </c>
      <c r="F957" s="81"/>
      <c r="G957" s="81" t="s">
        <v>132</v>
      </c>
      <c r="H957" s="112" t="s">
        <v>71</v>
      </c>
      <c r="I957" s="105">
        <v>286.88</v>
      </c>
      <c r="J957" s="81" t="s">
        <v>1016</v>
      </c>
      <c r="K957" s="84">
        <v>45894</v>
      </c>
      <c r="L957" s="81">
        <v>2025402558</v>
      </c>
      <c r="M957" s="81" t="s">
        <v>226</v>
      </c>
      <c r="N957" s="81">
        <v>2025</v>
      </c>
    </row>
    <row r="958" spans="1:14">
      <c r="A958" s="81">
        <v>957</v>
      </c>
      <c r="B958" s="81" t="s">
        <v>53</v>
      </c>
      <c r="C958" s="129" t="s">
        <v>62</v>
      </c>
      <c r="D958" s="81" t="s">
        <v>61</v>
      </c>
      <c r="E958" s="81" t="s">
        <v>71</v>
      </c>
      <c r="F958" s="81"/>
      <c r="G958" s="81" t="s">
        <v>134</v>
      </c>
      <c r="H958" s="81" t="s">
        <v>71</v>
      </c>
      <c r="I958" s="105">
        <v>274.3</v>
      </c>
      <c r="J958" s="81" t="s">
        <v>972</v>
      </c>
      <c r="K958" s="84">
        <v>45897</v>
      </c>
      <c r="L958" s="81">
        <v>2025402817</v>
      </c>
      <c r="M958" s="81" t="s">
        <v>226</v>
      </c>
      <c r="N958" s="81">
        <v>2025</v>
      </c>
    </row>
    <row r="959" spans="1:14">
      <c r="A959" s="81">
        <v>958</v>
      </c>
      <c r="B959" s="81" t="s">
        <v>53</v>
      </c>
      <c r="C959" s="129" t="s">
        <v>62</v>
      </c>
      <c r="D959" s="81" t="s">
        <v>61</v>
      </c>
      <c r="E959" s="112" t="s">
        <v>71</v>
      </c>
      <c r="F959" s="81"/>
      <c r="G959" s="81" t="s">
        <v>132</v>
      </c>
      <c r="H959" s="112" t="s">
        <v>71</v>
      </c>
      <c r="I959" s="105">
        <v>265.74</v>
      </c>
      <c r="J959" s="81" t="s">
        <v>614</v>
      </c>
      <c r="K959" s="84">
        <v>45859</v>
      </c>
      <c r="L959" s="81">
        <v>2025402271</v>
      </c>
      <c r="M959" s="112" t="s">
        <v>225</v>
      </c>
      <c r="N959" s="81">
        <v>2025</v>
      </c>
    </row>
    <row r="960" spans="1:14">
      <c r="A960" s="81">
        <v>959</v>
      </c>
      <c r="B960" s="81" t="s">
        <v>53</v>
      </c>
      <c r="C960" s="129" t="s">
        <v>62</v>
      </c>
      <c r="D960" s="81" t="s">
        <v>61</v>
      </c>
      <c r="E960" s="81" t="s">
        <v>71</v>
      </c>
      <c r="F960" s="81"/>
      <c r="G960" s="81" t="s">
        <v>131</v>
      </c>
      <c r="H960" s="112" t="s">
        <v>71</v>
      </c>
      <c r="I960" s="105">
        <v>261.20999999999998</v>
      </c>
      <c r="J960" s="81" t="s">
        <v>1038</v>
      </c>
      <c r="K960" s="84">
        <v>45897</v>
      </c>
      <c r="L960" s="81">
        <v>2025402845</v>
      </c>
      <c r="M960" s="81" t="s">
        <v>226</v>
      </c>
      <c r="N960" s="81">
        <v>2025</v>
      </c>
    </row>
    <row r="961" spans="1:14">
      <c r="A961" s="81">
        <v>960</v>
      </c>
      <c r="B961" s="81" t="s">
        <v>53</v>
      </c>
      <c r="C961" s="129" t="s">
        <v>62</v>
      </c>
      <c r="D961" s="81" t="s">
        <v>61</v>
      </c>
      <c r="E961" s="112" t="s">
        <v>71</v>
      </c>
      <c r="F961" s="81"/>
      <c r="G961" s="81" t="s">
        <v>129</v>
      </c>
      <c r="H961" s="112" t="s">
        <v>71</v>
      </c>
      <c r="I961" s="83">
        <v>246.47887323943661</v>
      </c>
      <c r="J961" s="81" t="s">
        <v>800</v>
      </c>
      <c r="K961" s="84">
        <v>45864</v>
      </c>
      <c r="L961" s="81">
        <v>2025402594</v>
      </c>
      <c r="M961" s="112" t="s">
        <v>225</v>
      </c>
      <c r="N961" s="81">
        <v>2025</v>
      </c>
    </row>
    <row r="962" spans="1:14">
      <c r="A962" s="81">
        <v>961</v>
      </c>
      <c r="B962" s="81" t="s">
        <v>53</v>
      </c>
      <c r="C962" s="129" t="s">
        <v>62</v>
      </c>
      <c r="D962" s="81" t="s">
        <v>61</v>
      </c>
      <c r="E962" s="112" t="s">
        <v>71</v>
      </c>
      <c r="F962" s="81"/>
      <c r="G962" s="81" t="s">
        <v>131</v>
      </c>
      <c r="H962" s="112" t="s">
        <v>71</v>
      </c>
      <c r="I962" s="105">
        <v>228.49</v>
      </c>
      <c r="J962" s="81" t="s">
        <v>791</v>
      </c>
      <c r="K962" s="84">
        <v>45875</v>
      </c>
      <c r="L962" s="81">
        <v>2025402526</v>
      </c>
      <c r="M962" s="112" t="s">
        <v>226</v>
      </c>
      <c r="N962" s="81">
        <v>2025</v>
      </c>
    </row>
    <row r="963" spans="1:14">
      <c r="A963" s="81">
        <v>962</v>
      </c>
      <c r="B963" s="81" t="s">
        <v>53</v>
      </c>
      <c r="C963" s="129" t="s">
        <v>62</v>
      </c>
      <c r="D963" s="81" t="s">
        <v>61</v>
      </c>
      <c r="E963" s="81" t="s">
        <v>71</v>
      </c>
      <c r="F963" s="81"/>
      <c r="G963" s="81" t="s">
        <v>134</v>
      </c>
      <c r="H963" s="81" t="s">
        <v>71</v>
      </c>
      <c r="I963" s="105">
        <v>221.8</v>
      </c>
      <c r="J963" s="81" t="s">
        <v>989</v>
      </c>
      <c r="K963" s="84">
        <v>45895</v>
      </c>
      <c r="L963" s="81">
        <v>2025402775</v>
      </c>
      <c r="M963" s="81" t="s">
        <v>226</v>
      </c>
      <c r="N963" s="81">
        <v>2025</v>
      </c>
    </row>
    <row r="964" spans="1:14">
      <c r="A964" s="81">
        <v>963</v>
      </c>
      <c r="B964" s="81" t="s">
        <v>53</v>
      </c>
      <c r="C964" s="129" t="s">
        <v>62</v>
      </c>
      <c r="D964" s="81" t="s">
        <v>61</v>
      </c>
      <c r="E964" s="112" t="s">
        <v>71</v>
      </c>
      <c r="F964" s="81"/>
      <c r="G964" s="81" t="s">
        <v>132</v>
      </c>
      <c r="H964" s="112" t="s">
        <v>71</v>
      </c>
      <c r="I964" s="105">
        <v>220.93</v>
      </c>
      <c r="J964" s="81" t="s">
        <v>836</v>
      </c>
      <c r="K964" s="84">
        <v>45885</v>
      </c>
      <c r="L964" s="81">
        <v>2025401989</v>
      </c>
      <c r="M964" s="112" t="s">
        <v>226</v>
      </c>
      <c r="N964" s="81">
        <v>2025</v>
      </c>
    </row>
    <row r="965" spans="1:14">
      <c r="A965" s="81">
        <v>964</v>
      </c>
      <c r="B965" s="81" t="s">
        <v>53</v>
      </c>
      <c r="C965" s="129" t="s">
        <v>62</v>
      </c>
      <c r="D965" s="81" t="s">
        <v>61</v>
      </c>
      <c r="E965" s="81" t="s">
        <v>71</v>
      </c>
      <c r="F965" s="81"/>
      <c r="G965" s="81" t="s">
        <v>134</v>
      </c>
      <c r="H965" s="81" t="s">
        <v>71</v>
      </c>
      <c r="I965" s="105">
        <v>214</v>
      </c>
      <c r="J965" s="81" t="s">
        <v>674</v>
      </c>
      <c r="K965" s="84">
        <v>45865</v>
      </c>
      <c r="L965" s="81">
        <v>2025402359</v>
      </c>
      <c r="M965" s="112" t="s">
        <v>225</v>
      </c>
      <c r="N965" s="81">
        <v>2025</v>
      </c>
    </row>
    <row r="966" spans="1:14">
      <c r="A966" s="81">
        <v>965</v>
      </c>
      <c r="B966" s="81" t="s">
        <v>53</v>
      </c>
      <c r="C966" s="129" t="s">
        <v>62</v>
      </c>
      <c r="D966" s="81" t="s">
        <v>61</v>
      </c>
      <c r="E966" s="81" t="s">
        <v>71</v>
      </c>
      <c r="F966" s="81"/>
      <c r="G966" s="81" t="s">
        <v>132</v>
      </c>
      <c r="H966" s="112" t="s">
        <v>71</v>
      </c>
      <c r="I966" s="105">
        <v>207.3</v>
      </c>
      <c r="J966" s="81" t="s">
        <v>853</v>
      </c>
      <c r="K966" s="84">
        <v>45887</v>
      </c>
      <c r="L966" s="81">
        <v>2025402638</v>
      </c>
      <c r="M966" s="112" t="s">
        <v>226</v>
      </c>
      <c r="N966" s="81">
        <v>2025</v>
      </c>
    </row>
    <row r="967" spans="1:14">
      <c r="A967" s="81">
        <v>966</v>
      </c>
      <c r="B967" s="81" t="s">
        <v>53</v>
      </c>
      <c r="C967" s="129" t="s">
        <v>62</v>
      </c>
      <c r="D967" s="81" t="s">
        <v>61</v>
      </c>
      <c r="E967" s="112" t="s">
        <v>71</v>
      </c>
      <c r="F967" s="81"/>
      <c r="G967" s="81" t="s">
        <v>134</v>
      </c>
      <c r="H967" s="81" t="s">
        <v>71</v>
      </c>
      <c r="I967" s="105">
        <v>195.4</v>
      </c>
      <c r="J967" s="81" t="s">
        <v>840</v>
      </c>
      <c r="K967" s="84">
        <v>45875</v>
      </c>
      <c r="L967" s="81">
        <v>2025402468</v>
      </c>
      <c r="M967" s="112" t="s">
        <v>226</v>
      </c>
      <c r="N967" s="81">
        <v>2025</v>
      </c>
    </row>
    <row r="968" spans="1:14">
      <c r="A968" s="81">
        <v>967</v>
      </c>
      <c r="B968" s="81" t="s">
        <v>53</v>
      </c>
      <c r="C968" s="129" t="s">
        <v>62</v>
      </c>
      <c r="D968" s="81" t="s">
        <v>61</v>
      </c>
      <c r="E968" s="81" t="s">
        <v>71</v>
      </c>
      <c r="F968" s="81"/>
      <c r="G968" s="81" t="s">
        <v>132</v>
      </c>
      <c r="H968" s="112" t="s">
        <v>71</v>
      </c>
      <c r="I968" s="105">
        <v>182.14</v>
      </c>
      <c r="J968" s="81" t="s">
        <v>856</v>
      </c>
      <c r="K968" s="84">
        <v>45887</v>
      </c>
      <c r="L968" s="81">
        <v>2025402634</v>
      </c>
      <c r="M968" s="112" t="s">
        <v>226</v>
      </c>
      <c r="N968" s="81">
        <v>2025</v>
      </c>
    </row>
    <row r="969" spans="1:14">
      <c r="A969" s="81">
        <v>968</v>
      </c>
      <c r="B969" s="81" t="s">
        <v>53</v>
      </c>
      <c r="C969" s="129" t="s">
        <v>62</v>
      </c>
      <c r="D969" s="81" t="s">
        <v>61</v>
      </c>
      <c r="E969" s="81" t="s">
        <v>71</v>
      </c>
      <c r="F969" s="81"/>
      <c r="G969" s="81" t="s">
        <v>134</v>
      </c>
      <c r="H969" s="81" t="s">
        <v>71</v>
      </c>
      <c r="I969" s="105">
        <v>182</v>
      </c>
      <c r="J969" s="81" t="s">
        <v>975</v>
      </c>
      <c r="K969" s="84">
        <v>45897</v>
      </c>
      <c r="L969" s="81">
        <v>2025402707</v>
      </c>
      <c r="M969" s="81" t="s">
        <v>226</v>
      </c>
      <c r="N969" s="81">
        <v>2025</v>
      </c>
    </row>
    <row r="970" spans="1:14">
      <c r="A970" s="81">
        <v>969</v>
      </c>
      <c r="B970" s="81" t="s">
        <v>53</v>
      </c>
      <c r="C970" s="129" t="s">
        <v>62</v>
      </c>
      <c r="D970" s="81" t="s">
        <v>61</v>
      </c>
      <c r="E970" s="112" t="s">
        <v>71</v>
      </c>
      <c r="F970" s="81"/>
      <c r="G970" s="81" t="s">
        <v>134</v>
      </c>
      <c r="H970" s="81" t="s">
        <v>71</v>
      </c>
      <c r="I970" s="105">
        <v>175</v>
      </c>
      <c r="J970" s="81" t="s">
        <v>831</v>
      </c>
      <c r="K970" s="84">
        <v>45880</v>
      </c>
      <c r="L970" s="81">
        <v>2025402588</v>
      </c>
      <c r="M970" s="112" t="s">
        <v>226</v>
      </c>
      <c r="N970" s="81">
        <v>2025</v>
      </c>
    </row>
    <row r="971" spans="1:14">
      <c r="A971" s="81">
        <v>970</v>
      </c>
      <c r="B971" s="81" t="s">
        <v>53</v>
      </c>
      <c r="C971" s="129" t="s">
        <v>62</v>
      </c>
      <c r="D971" s="81" t="s">
        <v>61</v>
      </c>
      <c r="E971" s="112" t="s">
        <v>71</v>
      </c>
      <c r="F971" s="81"/>
      <c r="G971" s="81" t="s">
        <v>134</v>
      </c>
      <c r="H971" s="81" t="s">
        <v>71</v>
      </c>
      <c r="I971" s="105">
        <v>165</v>
      </c>
      <c r="J971" s="81" t="s">
        <v>590</v>
      </c>
      <c r="K971" s="84">
        <v>45855</v>
      </c>
      <c r="L971" s="81">
        <v>2025402261</v>
      </c>
      <c r="M971" s="112" t="s">
        <v>225</v>
      </c>
      <c r="N971" s="81">
        <v>2025</v>
      </c>
    </row>
    <row r="972" spans="1:14">
      <c r="A972" s="81">
        <v>971</v>
      </c>
      <c r="B972" s="81" t="s">
        <v>53</v>
      </c>
      <c r="C972" s="129" t="s">
        <v>62</v>
      </c>
      <c r="D972" s="81" t="s">
        <v>61</v>
      </c>
      <c r="E972" s="81" t="s">
        <v>71</v>
      </c>
      <c r="F972" s="81"/>
      <c r="G972" s="81" t="s">
        <v>132</v>
      </c>
      <c r="H972" s="112" t="s">
        <v>71</v>
      </c>
      <c r="I972" s="105">
        <v>164.58</v>
      </c>
      <c r="J972" s="81" t="s">
        <v>631</v>
      </c>
      <c r="K972" s="84">
        <v>45858</v>
      </c>
      <c r="L972" s="81">
        <v>2025402161</v>
      </c>
      <c r="M972" s="112" t="s">
        <v>225</v>
      </c>
      <c r="N972" s="81">
        <v>2025</v>
      </c>
    </row>
    <row r="973" spans="1:14">
      <c r="A973" s="81">
        <v>972</v>
      </c>
      <c r="B973" s="81" t="s">
        <v>53</v>
      </c>
      <c r="C973" s="129" t="s">
        <v>62</v>
      </c>
      <c r="D973" s="81" t="s">
        <v>61</v>
      </c>
      <c r="E973" s="81" t="s">
        <v>71</v>
      </c>
      <c r="F973" s="81"/>
      <c r="G973" s="81" t="s">
        <v>132</v>
      </c>
      <c r="H973" s="112" t="s">
        <v>71</v>
      </c>
      <c r="I973" s="105">
        <v>154.29</v>
      </c>
      <c r="J973" s="81" t="s">
        <v>854</v>
      </c>
      <c r="K973" s="84">
        <v>45887</v>
      </c>
      <c r="L973" s="81">
        <v>2025402642</v>
      </c>
      <c r="M973" s="112" t="s">
        <v>226</v>
      </c>
      <c r="N973" s="81">
        <v>2025</v>
      </c>
    </row>
    <row r="974" spans="1:14">
      <c r="A974" s="81">
        <v>973</v>
      </c>
      <c r="B974" s="107" t="s">
        <v>53</v>
      </c>
      <c r="C974" s="129" t="s">
        <v>62</v>
      </c>
      <c r="D974" s="81" t="s">
        <v>61</v>
      </c>
      <c r="E974" s="81" t="s">
        <v>71</v>
      </c>
      <c r="F974" s="81"/>
      <c r="G974" s="107" t="s">
        <v>132</v>
      </c>
      <c r="H974" s="112" t="s">
        <v>71</v>
      </c>
      <c r="I974" s="105">
        <v>100.38</v>
      </c>
      <c r="J974" s="107" t="s">
        <v>857</v>
      </c>
      <c r="K974" s="113">
        <v>45887</v>
      </c>
      <c r="L974" s="81">
        <v>2025402633</v>
      </c>
      <c r="M974" s="112" t="s">
        <v>226</v>
      </c>
      <c r="N974" s="81">
        <v>2025</v>
      </c>
    </row>
    <row r="975" spans="1:14">
      <c r="A975" s="81">
        <v>974</v>
      </c>
      <c r="B975" s="112" t="s">
        <v>53</v>
      </c>
      <c r="C975" s="129" t="s">
        <v>62</v>
      </c>
      <c r="D975" s="81" t="s">
        <v>61</v>
      </c>
      <c r="E975" s="112" t="s">
        <v>71</v>
      </c>
      <c r="F975" s="81"/>
      <c r="G975" s="112" t="s">
        <v>134</v>
      </c>
      <c r="H975" s="81" t="s">
        <v>71</v>
      </c>
      <c r="I975" s="105">
        <v>97.5</v>
      </c>
      <c r="J975" s="81" t="s">
        <v>602</v>
      </c>
      <c r="K975" s="84">
        <v>45848</v>
      </c>
      <c r="L975" s="81">
        <v>2025402173</v>
      </c>
      <c r="M975" s="112" t="s">
        <v>225</v>
      </c>
      <c r="N975" s="81">
        <v>2025</v>
      </c>
    </row>
    <row r="976" spans="1:14">
      <c r="A976" s="81">
        <v>975</v>
      </c>
      <c r="B976" s="81" t="s">
        <v>53</v>
      </c>
      <c r="C976" s="129" t="s">
        <v>62</v>
      </c>
      <c r="D976" s="81" t="s">
        <v>61</v>
      </c>
      <c r="E976" s="81" t="s">
        <v>71</v>
      </c>
      <c r="F976" s="81"/>
      <c r="G976" s="81" t="s">
        <v>131</v>
      </c>
      <c r="H976" s="112" t="s">
        <v>71</v>
      </c>
      <c r="I976" s="105">
        <v>82.17</v>
      </c>
      <c r="J976" s="81" t="s">
        <v>751</v>
      </c>
      <c r="K976" s="84">
        <v>45873</v>
      </c>
      <c r="L976" s="81">
        <v>2025402518</v>
      </c>
      <c r="M976" s="112" t="s">
        <v>226</v>
      </c>
      <c r="N976" s="81">
        <v>2025</v>
      </c>
    </row>
    <row r="977" spans="1:14">
      <c r="A977" s="81">
        <v>976</v>
      </c>
      <c r="B977" s="81" t="s">
        <v>53</v>
      </c>
      <c r="C977" s="129" t="s">
        <v>62</v>
      </c>
      <c r="D977" s="81" t="s">
        <v>61</v>
      </c>
      <c r="E977" s="112" t="s">
        <v>71</v>
      </c>
      <c r="F977" s="81"/>
      <c r="G977" s="81" t="s">
        <v>134</v>
      </c>
      <c r="H977" s="81" t="s">
        <v>71</v>
      </c>
      <c r="I977" s="105">
        <v>80</v>
      </c>
      <c r="J977" s="81" t="s">
        <v>764</v>
      </c>
      <c r="K977" s="84">
        <v>45872</v>
      </c>
      <c r="L977" s="81">
        <v>2025402428</v>
      </c>
      <c r="M977" s="112" t="s">
        <v>226</v>
      </c>
      <c r="N977" s="81">
        <v>2025</v>
      </c>
    </row>
    <row r="978" spans="1:14">
      <c r="A978" s="81">
        <v>977</v>
      </c>
      <c r="B978" s="81" t="s">
        <v>53</v>
      </c>
      <c r="C978" s="129" t="s">
        <v>62</v>
      </c>
      <c r="D978" s="81" t="s">
        <v>61</v>
      </c>
      <c r="E978" s="81" t="s">
        <v>71</v>
      </c>
      <c r="F978" s="81"/>
      <c r="G978" s="81" t="s">
        <v>131</v>
      </c>
      <c r="H978" s="112" t="s">
        <v>71</v>
      </c>
      <c r="I978" s="105">
        <v>63.22</v>
      </c>
      <c r="J978" s="81" t="s">
        <v>753</v>
      </c>
      <c r="K978" s="84">
        <v>45873</v>
      </c>
      <c r="L978" s="81">
        <v>2025402533</v>
      </c>
      <c r="M978" s="112" t="s">
        <v>226</v>
      </c>
      <c r="N978" s="81">
        <v>2025</v>
      </c>
    </row>
    <row r="979" spans="1:14">
      <c r="A979" s="81">
        <v>978</v>
      </c>
      <c r="B979" s="81" t="s">
        <v>53</v>
      </c>
      <c r="C979" s="129" t="s">
        <v>62</v>
      </c>
      <c r="D979" s="81" t="s">
        <v>61</v>
      </c>
      <c r="E979" s="81" t="s">
        <v>71</v>
      </c>
      <c r="F979" s="81"/>
      <c r="G979" s="81" t="s">
        <v>131</v>
      </c>
      <c r="H979" s="112" t="s">
        <v>71</v>
      </c>
      <c r="I979" s="105">
        <v>57.7</v>
      </c>
      <c r="J979" s="81" t="s">
        <v>1035</v>
      </c>
      <c r="K979" s="84">
        <v>45897</v>
      </c>
      <c r="L979" s="81">
        <v>2025402841</v>
      </c>
      <c r="M979" s="81" t="s">
        <v>226</v>
      </c>
      <c r="N979" s="81">
        <v>2025</v>
      </c>
    </row>
    <row r="980" spans="1:14">
      <c r="A980" s="81">
        <v>979</v>
      </c>
      <c r="B980" s="81" t="s">
        <v>53</v>
      </c>
      <c r="C980" s="129" t="s">
        <v>62</v>
      </c>
      <c r="D980" s="81" t="s">
        <v>61</v>
      </c>
      <c r="E980" s="112" t="s">
        <v>71</v>
      </c>
      <c r="F980" s="81"/>
      <c r="G980" s="81" t="s">
        <v>131</v>
      </c>
      <c r="H980" s="112" t="s">
        <v>71</v>
      </c>
      <c r="I980" s="105">
        <v>22.21</v>
      </c>
      <c r="J980" s="81" t="s">
        <v>650</v>
      </c>
      <c r="K980" s="84">
        <v>45861</v>
      </c>
      <c r="L980" s="81">
        <v>2025402404</v>
      </c>
      <c r="M980" s="112" t="s">
        <v>225</v>
      </c>
      <c r="N980" s="81">
        <v>2025</v>
      </c>
    </row>
    <row r="981" spans="1:14">
      <c r="A981" s="81">
        <v>980</v>
      </c>
      <c r="B981" s="81" t="s">
        <v>53</v>
      </c>
      <c r="C981" s="129" t="s">
        <v>62</v>
      </c>
      <c r="D981" s="81" t="s">
        <v>61</v>
      </c>
      <c r="E981" s="81" t="s">
        <v>71</v>
      </c>
      <c r="F981" s="81"/>
      <c r="G981" s="81" t="s">
        <v>129</v>
      </c>
      <c r="H981" s="112" t="s">
        <v>71</v>
      </c>
      <c r="I981" s="83">
        <v>21.12676056338028</v>
      </c>
      <c r="J981" s="81" t="s">
        <v>1088</v>
      </c>
      <c r="K981" s="84">
        <v>45894</v>
      </c>
      <c r="L981" s="81">
        <v>2025403033</v>
      </c>
      <c r="M981" s="81" t="s">
        <v>226</v>
      </c>
      <c r="N981" s="81">
        <v>2025</v>
      </c>
    </row>
    <row r="982" spans="1:14">
      <c r="A982" s="81">
        <v>981</v>
      </c>
      <c r="B982" s="81" t="s">
        <v>33</v>
      </c>
      <c r="C982" s="81" t="s">
        <v>34</v>
      </c>
      <c r="D982" s="81" t="s">
        <v>61</v>
      </c>
      <c r="E982" s="81" t="s">
        <v>71</v>
      </c>
      <c r="F982" s="81"/>
      <c r="G982" s="81" t="s">
        <v>122</v>
      </c>
      <c r="H982" s="81" t="s">
        <v>71</v>
      </c>
      <c r="I982" s="83">
        <v>22453.362676056338</v>
      </c>
      <c r="J982" s="81" t="s">
        <v>1011</v>
      </c>
      <c r="K982" s="84">
        <v>45899</v>
      </c>
      <c r="L982" s="127" t="s">
        <v>14</v>
      </c>
      <c r="M982" s="81" t="s">
        <v>226</v>
      </c>
      <c r="N982" s="81">
        <v>2025</v>
      </c>
    </row>
    <row r="983" spans="1:14">
      <c r="A983" s="81">
        <v>982</v>
      </c>
      <c r="B983" s="81" t="s">
        <v>33</v>
      </c>
      <c r="C983" s="81" t="s">
        <v>34</v>
      </c>
      <c r="D983" s="81" t="s">
        <v>61</v>
      </c>
      <c r="E983" s="81" t="s">
        <v>71</v>
      </c>
      <c r="F983" s="81"/>
      <c r="G983" s="81" t="s">
        <v>248</v>
      </c>
      <c r="H983" s="81" t="s">
        <v>257</v>
      </c>
      <c r="I983" s="83">
        <v>7478.8732394366198</v>
      </c>
      <c r="J983" s="81" t="s">
        <v>1118</v>
      </c>
      <c r="K983" s="84">
        <v>45896</v>
      </c>
      <c r="L983" s="81">
        <v>2025403034</v>
      </c>
      <c r="M983" s="81" t="s">
        <v>226</v>
      </c>
      <c r="N983" s="81">
        <v>2025</v>
      </c>
    </row>
    <row r="984" spans="1:14">
      <c r="A984" s="81">
        <v>983</v>
      </c>
      <c r="B984" s="81" t="s">
        <v>33</v>
      </c>
      <c r="C984" s="81" t="s">
        <v>34</v>
      </c>
      <c r="D984" s="81" t="s">
        <v>61</v>
      </c>
      <c r="E984" s="112" t="s">
        <v>71</v>
      </c>
      <c r="F984" s="81"/>
      <c r="G984" s="81" t="s">
        <v>482</v>
      </c>
      <c r="H984" s="81" t="s">
        <v>71</v>
      </c>
      <c r="I984" s="105">
        <v>2145</v>
      </c>
      <c r="J984" s="81" t="s">
        <v>641</v>
      </c>
      <c r="K984" s="84">
        <v>45848</v>
      </c>
      <c r="L984" s="81">
        <v>2025402226</v>
      </c>
      <c r="M984" s="112" t="s">
        <v>225</v>
      </c>
      <c r="N984" s="81">
        <v>2025</v>
      </c>
    </row>
    <row r="985" spans="1:14">
      <c r="A985" s="81">
        <v>984</v>
      </c>
      <c r="B985" s="81" t="s">
        <v>33</v>
      </c>
      <c r="C985" s="81" t="s">
        <v>34</v>
      </c>
      <c r="D985" s="81" t="s">
        <v>61</v>
      </c>
      <c r="E985" s="81" t="s">
        <v>71</v>
      </c>
      <c r="F985" s="81"/>
      <c r="G985" s="81" t="s">
        <v>131</v>
      </c>
      <c r="H985" s="112" t="s">
        <v>71</v>
      </c>
      <c r="I985" s="105">
        <v>1925.84</v>
      </c>
      <c r="J985" s="81" t="s">
        <v>1142</v>
      </c>
      <c r="K985" s="84">
        <v>45837</v>
      </c>
      <c r="L985" s="81">
        <v>2025401916</v>
      </c>
      <c r="M985" s="81" t="s">
        <v>225</v>
      </c>
      <c r="N985" s="81">
        <v>2025</v>
      </c>
    </row>
    <row r="986" spans="1:14">
      <c r="A986" s="81">
        <v>985</v>
      </c>
      <c r="B986" s="81" t="s">
        <v>33</v>
      </c>
      <c r="C986" s="81" t="s">
        <v>34</v>
      </c>
      <c r="D986" s="81" t="s">
        <v>61</v>
      </c>
      <c r="E986" s="81" t="s">
        <v>71</v>
      </c>
      <c r="F986" s="81"/>
      <c r="G986" s="81" t="s">
        <v>131</v>
      </c>
      <c r="H986" s="112" t="s">
        <v>71</v>
      </c>
      <c r="I986" s="105">
        <v>1700</v>
      </c>
      <c r="J986" s="81" t="s">
        <v>1141</v>
      </c>
      <c r="K986" s="84">
        <v>45837</v>
      </c>
      <c r="L986" s="81">
        <v>2025401917</v>
      </c>
      <c r="M986" s="81" t="s">
        <v>225</v>
      </c>
      <c r="N986" s="81">
        <v>2025</v>
      </c>
    </row>
    <row r="987" spans="1:14">
      <c r="A987" s="81">
        <v>986</v>
      </c>
      <c r="B987" s="81" t="s">
        <v>33</v>
      </c>
      <c r="C987" s="81" t="s">
        <v>34</v>
      </c>
      <c r="D987" s="81" t="s">
        <v>61</v>
      </c>
      <c r="E987" s="81" t="s">
        <v>71</v>
      </c>
      <c r="F987" s="81"/>
      <c r="G987" s="81" t="s">
        <v>131</v>
      </c>
      <c r="H987" s="112" t="s">
        <v>71</v>
      </c>
      <c r="I987" s="105">
        <v>1439.7</v>
      </c>
      <c r="J987" s="81" t="s">
        <v>1143</v>
      </c>
      <c r="K987" s="84">
        <v>45837</v>
      </c>
      <c r="L987" s="81">
        <v>2025401915</v>
      </c>
      <c r="M987" s="81" t="s">
        <v>225</v>
      </c>
      <c r="N987" s="81">
        <v>2025</v>
      </c>
    </row>
    <row r="988" spans="1:14">
      <c r="A988" s="81">
        <v>987</v>
      </c>
      <c r="B988" s="81" t="s">
        <v>33</v>
      </c>
      <c r="C988" s="81" t="s">
        <v>34</v>
      </c>
      <c r="D988" s="81" t="s">
        <v>61</v>
      </c>
      <c r="E988" s="81" t="s">
        <v>71</v>
      </c>
      <c r="F988" s="81"/>
      <c r="G988" s="81" t="s">
        <v>131</v>
      </c>
      <c r="H988" s="112" t="s">
        <v>71</v>
      </c>
      <c r="I988" s="105">
        <v>1117.48</v>
      </c>
      <c r="J988" s="81" t="s">
        <v>1042</v>
      </c>
      <c r="K988" s="84">
        <v>45896</v>
      </c>
      <c r="L988" s="81">
        <v>2025402831</v>
      </c>
      <c r="M988" s="81" t="s">
        <v>226</v>
      </c>
      <c r="N988" s="81">
        <v>2025</v>
      </c>
    </row>
    <row r="989" spans="1:14">
      <c r="A989" s="81">
        <v>988</v>
      </c>
      <c r="B989" s="81" t="s">
        <v>33</v>
      </c>
      <c r="C989" s="81" t="s">
        <v>34</v>
      </c>
      <c r="D989" s="81" t="s">
        <v>61</v>
      </c>
      <c r="E989" s="112" t="s">
        <v>71</v>
      </c>
      <c r="F989" s="81"/>
      <c r="G989" s="81" t="s">
        <v>480</v>
      </c>
      <c r="H989" s="81" t="s">
        <v>71</v>
      </c>
      <c r="I989" s="105">
        <v>1000</v>
      </c>
      <c r="J989" s="81" t="s">
        <v>717</v>
      </c>
      <c r="K989" s="84">
        <v>45868</v>
      </c>
      <c r="L989" s="81">
        <v>2025402383</v>
      </c>
      <c r="M989" s="112" t="s">
        <v>225</v>
      </c>
      <c r="N989" s="81">
        <v>2025</v>
      </c>
    </row>
    <row r="990" spans="1:14">
      <c r="A990" s="81">
        <v>989</v>
      </c>
      <c r="B990" s="81" t="s">
        <v>33</v>
      </c>
      <c r="C990" s="81" t="s">
        <v>34</v>
      </c>
      <c r="D990" s="81" t="s">
        <v>61</v>
      </c>
      <c r="E990" s="81" t="s">
        <v>71</v>
      </c>
      <c r="F990" s="81"/>
      <c r="G990" s="81" t="s">
        <v>64</v>
      </c>
      <c r="H990" s="81" t="s">
        <v>1266</v>
      </c>
      <c r="I990" s="83">
        <v>791.54929577464793</v>
      </c>
      <c r="J990" s="81" t="s">
        <v>68</v>
      </c>
      <c r="K990" s="84">
        <v>45908</v>
      </c>
      <c r="L990" s="109" t="s">
        <v>14</v>
      </c>
      <c r="M990" s="81" t="s">
        <v>226</v>
      </c>
      <c r="N990" s="81">
        <v>2025</v>
      </c>
    </row>
    <row r="991" spans="1:14">
      <c r="A991" s="81">
        <v>990</v>
      </c>
      <c r="B991" s="81" t="s">
        <v>33</v>
      </c>
      <c r="C991" s="81" t="s">
        <v>34</v>
      </c>
      <c r="D991" s="81" t="s">
        <v>61</v>
      </c>
      <c r="E991" s="112" t="s">
        <v>71</v>
      </c>
      <c r="F991" s="81"/>
      <c r="G991" s="81" t="s">
        <v>134</v>
      </c>
      <c r="H991" s="81" t="s">
        <v>71</v>
      </c>
      <c r="I991" s="105">
        <v>709.4</v>
      </c>
      <c r="J991" s="81" t="s">
        <v>525</v>
      </c>
      <c r="K991" s="84">
        <v>45850</v>
      </c>
      <c r="L991" s="81">
        <v>2025402176</v>
      </c>
      <c r="M991" s="112" t="s">
        <v>225</v>
      </c>
      <c r="N991" s="81">
        <v>2025</v>
      </c>
    </row>
    <row r="992" spans="1:14">
      <c r="A992" s="81">
        <v>991</v>
      </c>
      <c r="B992" s="81" t="s">
        <v>33</v>
      </c>
      <c r="C992" s="81" t="s">
        <v>34</v>
      </c>
      <c r="D992" s="81" t="s">
        <v>61</v>
      </c>
      <c r="E992" s="112" t="s">
        <v>71</v>
      </c>
      <c r="F992" s="81"/>
      <c r="G992" s="81" t="s">
        <v>131</v>
      </c>
      <c r="H992" s="112" t="s">
        <v>71</v>
      </c>
      <c r="I992" s="105">
        <v>706.5</v>
      </c>
      <c r="J992" s="81" t="s">
        <v>671</v>
      </c>
      <c r="K992" s="84">
        <v>45862</v>
      </c>
      <c r="L992" s="81">
        <v>2025402366</v>
      </c>
      <c r="M992" s="112" t="s">
        <v>225</v>
      </c>
      <c r="N992" s="81">
        <v>2025</v>
      </c>
    </row>
    <row r="993" spans="1:14">
      <c r="A993" s="81">
        <v>992</v>
      </c>
      <c r="B993" s="81" t="s">
        <v>33</v>
      </c>
      <c r="C993" s="81" t="s">
        <v>34</v>
      </c>
      <c r="D993" s="81" t="s">
        <v>61</v>
      </c>
      <c r="E993" s="81" t="s">
        <v>71</v>
      </c>
      <c r="F993" s="81"/>
      <c r="G993" s="81" t="s">
        <v>64</v>
      </c>
      <c r="H993" s="81" t="s">
        <v>1280</v>
      </c>
      <c r="I993" s="83">
        <v>704.22535211267609</v>
      </c>
      <c r="J993" s="81" t="s">
        <v>68</v>
      </c>
      <c r="K993" s="84">
        <v>45863</v>
      </c>
      <c r="L993" s="109" t="s">
        <v>14</v>
      </c>
      <c r="M993" s="81" t="s">
        <v>225</v>
      </c>
      <c r="N993" s="81">
        <v>2025</v>
      </c>
    </row>
    <row r="994" spans="1:14">
      <c r="A994" s="81">
        <v>993</v>
      </c>
      <c r="B994" s="81" t="s">
        <v>33</v>
      </c>
      <c r="C994" s="81" t="s">
        <v>34</v>
      </c>
      <c r="D994" s="81" t="s">
        <v>61</v>
      </c>
      <c r="E994" s="81" t="s">
        <v>71</v>
      </c>
      <c r="F994" s="81"/>
      <c r="G994" s="81" t="s">
        <v>64</v>
      </c>
      <c r="H994" s="81" t="s">
        <v>1280</v>
      </c>
      <c r="I994" s="83">
        <v>704.22535211267609</v>
      </c>
      <c r="J994" s="81" t="s">
        <v>68</v>
      </c>
      <c r="K994" s="84">
        <v>45833</v>
      </c>
      <c r="L994" s="109" t="s">
        <v>14</v>
      </c>
      <c r="M994" s="81" t="s">
        <v>225</v>
      </c>
      <c r="N994" s="81">
        <v>2025</v>
      </c>
    </row>
    <row r="995" spans="1:14">
      <c r="A995" s="81">
        <v>994</v>
      </c>
      <c r="B995" s="81" t="s">
        <v>33</v>
      </c>
      <c r="C995" s="81" t="s">
        <v>34</v>
      </c>
      <c r="D995" s="81" t="s">
        <v>61</v>
      </c>
      <c r="E995" s="81" t="s">
        <v>71</v>
      </c>
      <c r="F995" s="81"/>
      <c r="G995" s="81" t="s">
        <v>134</v>
      </c>
      <c r="H995" s="81" t="s">
        <v>71</v>
      </c>
      <c r="I995" s="105">
        <v>690</v>
      </c>
      <c r="J995" s="81" t="s">
        <v>1039</v>
      </c>
      <c r="K995" s="84">
        <v>45899</v>
      </c>
      <c r="L995" s="81">
        <v>2025402809</v>
      </c>
      <c r="M995" s="81" t="s">
        <v>226</v>
      </c>
      <c r="N995" s="81">
        <v>2025</v>
      </c>
    </row>
    <row r="996" spans="1:14">
      <c r="A996" s="81">
        <v>995</v>
      </c>
      <c r="B996" s="81" t="s">
        <v>33</v>
      </c>
      <c r="C996" s="81" t="s">
        <v>34</v>
      </c>
      <c r="D996" s="81" t="s">
        <v>61</v>
      </c>
      <c r="E996" s="112" t="s">
        <v>71</v>
      </c>
      <c r="F996" s="81"/>
      <c r="G996" s="81" t="s">
        <v>131</v>
      </c>
      <c r="H996" s="112" t="s">
        <v>71</v>
      </c>
      <c r="I996" s="105">
        <v>608.57000000000005</v>
      </c>
      <c r="J996" s="81" t="s">
        <v>528</v>
      </c>
      <c r="K996" s="84">
        <v>45846</v>
      </c>
      <c r="L996" s="81">
        <v>2025402058</v>
      </c>
      <c r="M996" s="112" t="s">
        <v>225</v>
      </c>
      <c r="N996" s="81">
        <v>2025</v>
      </c>
    </row>
    <row r="997" spans="1:14">
      <c r="A997" s="81">
        <v>996</v>
      </c>
      <c r="B997" s="107" t="s">
        <v>33</v>
      </c>
      <c r="C997" s="107" t="s">
        <v>34</v>
      </c>
      <c r="D997" s="81" t="s">
        <v>61</v>
      </c>
      <c r="E997" s="81" t="s">
        <v>71</v>
      </c>
      <c r="F997" s="81"/>
      <c r="G997" s="81" t="s">
        <v>132</v>
      </c>
      <c r="H997" s="112" t="s">
        <v>71</v>
      </c>
      <c r="I997" s="105">
        <v>530.36</v>
      </c>
      <c r="J997" s="107" t="s">
        <v>859</v>
      </c>
      <c r="K997" s="113">
        <v>45887</v>
      </c>
      <c r="L997" s="81">
        <v>2025402637</v>
      </c>
      <c r="M997" s="81" t="s">
        <v>226</v>
      </c>
      <c r="N997" s="81">
        <v>2025</v>
      </c>
    </row>
    <row r="998" spans="1:14">
      <c r="A998" s="81">
        <v>997</v>
      </c>
      <c r="B998" s="81" t="s">
        <v>33</v>
      </c>
      <c r="C998" s="81" t="s">
        <v>34</v>
      </c>
      <c r="D998" s="81" t="s">
        <v>61</v>
      </c>
      <c r="E998" s="112" t="s">
        <v>71</v>
      </c>
      <c r="F998" s="81"/>
      <c r="G998" s="81" t="s">
        <v>131</v>
      </c>
      <c r="H998" s="112" t="s">
        <v>71</v>
      </c>
      <c r="I998" s="105">
        <v>471</v>
      </c>
      <c r="J998" s="81" t="s">
        <v>663</v>
      </c>
      <c r="K998" s="84">
        <v>45861</v>
      </c>
      <c r="L998" s="81">
        <v>2025402373</v>
      </c>
      <c r="M998" s="112" t="s">
        <v>225</v>
      </c>
      <c r="N998" s="81">
        <v>2025</v>
      </c>
    </row>
    <row r="999" spans="1:14">
      <c r="A999" s="81">
        <v>998</v>
      </c>
      <c r="B999" s="112" t="s">
        <v>33</v>
      </c>
      <c r="C999" s="112" t="s">
        <v>34</v>
      </c>
      <c r="D999" s="81" t="s">
        <v>61</v>
      </c>
      <c r="E999" s="81" t="s">
        <v>71</v>
      </c>
      <c r="F999" s="81"/>
      <c r="G999" s="81" t="s">
        <v>132</v>
      </c>
      <c r="H999" s="112" t="s">
        <v>71</v>
      </c>
      <c r="I999" s="105">
        <v>457.68</v>
      </c>
      <c r="J999" s="81" t="s">
        <v>703</v>
      </c>
      <c r="K999" s="84">
        <v>45867</v>
      </c>
      <c r="L999" s="81">
        <v>2025402397</v>
      </c>
      <c r="M999" s="112" t="s">
        <v>225</v>
      </c>
      <c r="N999" s="81">
        <v>2025</v>
      </c>
    </row>
    <row r="1000" spans="1:14">
      <c r="A1000" s="81">
        <v>999</v>
      </c>
      <c r="B1000" s="81" t="s">
        <v>33</v>
      </c>
      <c r="C1000" s="81" t="s">
        <v>34</v>
      </c>
      <c r="D1000" s="81" t="s">
        <v>61</v>
      </c>
      <c r="E1000" s="81" t="s">
        <v>71</v>
      </c>
      <c r="F1000" s="81"/>
      <c r="G1000" s="81" t="s">
        <v>64</v>
      </c>
      <c r="H1000" s="81" t="s">
        <v>1281</v>
      </c>
      <c r="I1000" s="83">
        <v>451.40845070422534</v>
      </c>
      <c r="J1000" s="81" t="s">
        <v>68</v>
      </c>
      <c r="K1000" s="84">
        <v>45858</v>
      </c>
      <c r="L1000" s="109" t="s">
        <v>14</v>
      </c>
      <c r="M1000" s="81" t="s">
        <v>226</v>
      </c>
      <c r="N1000" s="81">
        <v>2025</v>
      </c>
    </row>
    <row r="1001" spans="1:14">
      <c r="A1001" s="81">
        <v>1000</v>
      </c>
      <c r="B1001" s="81" t="s">
        <v>33</v>
      </c>
      <c r="C1001" s="81" t="s">
        <v>34</v>
      </c>
      <c r="D1001" s="81" t="s">
        <v>61</v>
      </c>
      <c r="E1001" s="81" t="s">
        <v>71</v>
      </c>
      <c r="F1001" s="81"/>
      <c r="G1001" s="81" t="s">
        <v>131</v>
      </c>
      <c r="H1001" s="112" t="s">
        <v>71</v>
      </c>
      <c r="I1001" s="105">
        <v>350</v>
      </c>
      <c r="J1001" s="81" t="s">
        <v>1043</v>
      </c>
      <c r="K1001" s="84">
        <v>45899</v>
      </c>
      <c r="L1001" s="81">
        <v>2025402836</v>
      </c>
      <c r="M1001" s="81" t="s">
        <v>226</v>
      </c>
      <c r="N1001" s="81">
        <v>2025</v>
      </c>
    </row>
    <row r="1002" spans="1:14">
      <c r="A1002" s="81">
        <v>1001</v>
      </c>
      <c r="B1002" s="81" t="s">
        <v>33</v>
      </c>
      <c r="C1002" s="81" t="s">
        <v>34</v>
      </c>
      <c r="D1002" s="81" t="s">
        <v>61</v>
      </c>
      <c r="E1002" s="81" t="s">
        <v>71</v>
      </c>
      <c r="F1002" s="81"/>
      <c r="G1002" s="81" t="s">
        <v>131</v>
      </c>
      <c r="H1002" s="112" t="s">
        <v>71</v>
      </c>
      <c r="I1002" s="105">
        <v>315.55</v>
      </c>
      <c r="J1002" s="81" t="s">
        <v>1139</v>
      </c>
      <c r="K1002" s="84">
        <v>45876</v>
      </c>
      <c r="L1002" s="81">
        <v>2025402521</v>
      </c>
      <c r="M1002" s="81" t="s">
        <v>226</v>
      </c>
      <c r="N1002" s="81">
        <v>2025</v>
      </c>
    </row>
    <row r="1003" spans="1:14">
      <c r="A1003" s="81">
        <v>1002</v>
      </c>
      <c r="B1003" s="81" t="s">
        <v>33</v>
      </c>
      <c r="C1003" s="81" t="s">
        <v>34</v>
      </c>
      <c r="D1003" s="81" t="s">
        <v>61</v>
      </c>
      <c r="E1003" s="81" t="s">
        <v>71</v>
      </c>
      <c r="F1003" s="81"/>
      <c r="G1003" s="81" t="s">
        <v>131</v>
      </c>
      <c r="H1003" s="112" t="s">
        <v>71</v>
      </c>
      <c r="I1003" s="105">
        <v>184.62</v>
      </c>
      <c r="J1003" s="81" t="s">
        <v>1138</v>
      </c>
      <c r="K1003" s="84">
        <v>45873</v>
      </c>
      <c r="L1003" s="81">
        <v>2025402494</v>
      </c>
      <c r="M1003" s="81" t="s">
        <v>226</v>
      </c>
      <c r="N1003" s="81">
        <v>2025</v>
      </c>
    </row>
    <row r="1004" spans="1:14">
      <c r="A1004" s="81">
        <v>1003</v>
      </c>
      <c r="B1004" s="81" t="s">
        <v>33</v>
      </c>
      <c r="C1004" s="81" t="s">
        <v>34</v>
      </c>
      <c r="D1004" s="81" t="s">
        <v>61</v>
      </c>
      <c r="E1004" s="81" t="s">
        <v>71</v>
      </c>
      <c r="F1004" s="81"/>
      <c r="G1004" s="81" t="s">
        <v>64</v>
      </c>
      <c r="H1004" s="81" t="s">
        <v>289</v>
      </c>
      <c r="I1004" s="83">
        <v>176.05633802816902</v>
      </c>
      <c r="J1004" s="81" t="s">
        <v>68</v>
      </c>
      <c r="K1004" s="84">
        <v>45824</v>
      </c>
      <c r="L1004" s="109" t="s">
        <v>14</v>
      </c>
      <c r="M1004" s="81" t="s">
        <v>225</v>
      </c>
      <c r="N1004" s="81">
        <v>2025</v>
      </c>
    </row>
    <row r="1005" spans="1:14">
      <c r="A1005" s="81">
        <v>1004</v>
      </c>
      <c r="B1005" s="81" t="s">
        <v>33</v>
      </c>
      <c r="C1005" s="81" t="s">
        <v>34</v>
      </c>
      <c r="D1005" s="81" t="s">
        <v>61</v>
      </c>
      <c r="E1005" s="81" t="s">
        <v>71</v>
      </c>
      <c r="F1005" s="81"/>
      <c r="G1005" s="81" t="s">
        <v>129</v>
      </c>
      <c r="H1005" s="112" t="s">
        <v>71</v>
      </c>
      <c r="I1005" s="83">
        <v>169.01408450704224</v>
      </c>
      <c r="J1005" s="81" t="s">
        <v>1151</v>
      </c>
      <c r="K1005" s="84">
        <v>45855</v>
      </c>
      <c r="L1005" s="81">
        <v>2025402486</v>
      </c>
      <c r="M1005" s="81" t="s">
        <v>225</v>
      </c>
      <c r="N1005" s="81">
        <v>2025</v>
      </c>
    </row>
    <row r="1006" spans="1:14">
      <c r="A1006" s="81">
        <v>1005</v>
      </c>
      <c r="B1006" s="81" t="s">
        <v>33</v>
      </c>
      <c r="C1006" s="81" t="s">
        <v>34</v>
      </c>
      <c r="D1006" s="81" t="s">
        <v>61</v>
      </c>
      <c r="E1006" s="112" t="s">
        <v>71</v>
      </c>
      <c r="F1006" s="81"/>
      <c r="G1006" s="81" t="s">
        <v>131</v>
      </c>
      <c r="H1006" s="112" t="s">
        <v>71</v>
      </c>
      <c r="I1006" s="105">
        <v>161.69999999999999</v>
      </c>
      <c r="J1006" s="81" t="s">
        <v>526</v>
      </c>
      <c r="K1006" s="114">
        <v>45847</v>
      </c>
      <c r="L1006" s="81">
        <v>2025402119</v>
      </c>
      <c r="M1006" s="112" t="s">
        <v>225</v>
      </c>
      <c r="N1006" s="81">
        <v>2025</v>
      </c>
    </row>
    <row r="1007" spans="1:14">
      <c r="A1007" s="81">
        <v>1006</v>
      </c>
      <c r="B1007" s="112" t="s">
        <v>33</v>
      </c>
      <c r="C1007" s="112" t="s">
        <v>34</v>
      </c>
      <c r="D1007" s="81" t="s">
        <v>61</v>
      </c>
      <c r="E1007" s="112" t="s">
        <v>71</v>
      </c>
      <c r="F1007" s="81"/>
      <c r="G1007" s="112" t="s">
        <v>131</v>
      </c>
      <c r="H1007" s="112" t="s">
        <v>71</v>
      </c>
      <c r="I1007" s="105">
        <v>154.77000000000001</v>
      </c>
      <c r="J1007" s="81" t="s">
        <v>669</v>
      </c>
      <c r="K1007" s="84">
        <v>45861</v>
      </c>
      <c r="L1007" s="81">
        <v>2025402347</v>
      </c>
      <c r="M1007" s="112" t="s">
        <v>225</v>
      </c>
      <c r="N1007" s="81">
        <v>2025</v>
      </c>
    </row>
    <row r="1008" spans="1:14">
      <c r="A1008" s="81">
        <v>1007</v>
      </c>
      <c r="B1008" s="81" t="s">
        <v>33</v>
      </c>
      <c r="C1008" s="81" t="s">
        <v>34</v>
      </c>
      <c r="D1008" s="81" t="s">
        <v>61</v>
      </c>
      <c r="E1008" s="81" t="s">
        <v>71</v>
      </c>
      <c r="F1008" s="81"/>
      <c r="G1008" s="81" t="s">
        <v>131</v>
      </c>
      <c r="H1008" s="112" t="s">
        <v>71</v>
      </c>
      <c r="I1008" s="105">
        <v>152.68</v>
      </c>
      <c r="J1008" s="81" t="s">
        <v>1041</v>
      </c>
      <c r="K1008" s="84">
        <v>45899</v>
      </c>
      <c r="L1008" s="81">
        <v>2025402832</v>
      </c>
      <c r="M1008" s="81" t="s">
        <v>226</v>
      </c>
      <c r="N1008" s="81">
        <v>2025</v>
      </c>
    </row>
    <row r="1009" spans="1:14">
      <c r="A1009" s="81">
        <v>1008</v>
      </c>
      <c r="B1009" s="81" t="s">
        <v>33</v>
      </c>
      <c r="C1009" s="81" t="s">
        <v>34</v>
      </c>
      <c r="D1009" s="81" t="s">
        <v>61</v>
      </c>
      <c r="E1009" s="112" t="s">
        <v>71</v>
      </c>
      <c r="F1009" s="81"/>
      <c r="G1009" s="81" t="s">
        <v>131</v>
      </c>
      <c r="H1009" s="112" t="s">
        <v>71</v>
      </c>
      <c r="I1009" s="105">
        <v>101.82</v>
      </c>
      <c r="J1009" s="81" t="s">
        <v>666</v>
      </c>
      <c r="K1009" s="84">
        <v>45861</v>
      </c>
      <c r="L1009" s="81">
        <v>2025402367</v>
      </c>
      <c r="M1009" s="112" t="s">
        <v>225</v>
      </c>
      <c r="N1009" s="81">
        <v>2025</v>
      </c>
    </row>
    <row r="1010" spans="1:14">
      <c r="A1010" s="81">
        <v>1009</v>
      </c>
      <c r="B1010" s="81" t="s">
        <v>27</v>
      </c>
      <c r="C1010" s="84" t="s">
        <v>28</v>
      </c>
      <c r="D1010" s="81" t="s">
        <v>61</v>
      </c>
      <c r="E1010" s="81" t="s">
        <v>71</v>
      </c>
      <c r="F1010" s="81"/>
      <c r="G1010" s="81" t="s">
        <v>64</v>
      </c>
      <c r="H1010" s="104" t="s">
        <v>1266</v>
      </c>
      <c r="I1010" s="105">
        <v>411.26760563380282</v>
      </c>
      <c r="J1010" s="81" t="s">
        <v>68</v>
      </c>
      <c r="K1010" s="84">
        <v>45846</v>
      </c>
      <c r="L1010" s="106" t="s">
        <v>14</v>
      </c>
      <c r="M1010" s="107" t="s">
        <v>226</v>
      </c>
      <c r="N1010" s="81">
        <v>2025</v>
      </c>
    </row>
    <row r="1011" spans="1:14">
      <c r="A1011" s="81">
        <v>1010</v>
      </c>
      <c r="B1011" s="81" t="s">
        <v>43</v>
      </c>
      <c r="C1011" s="109" t="s">
        <v>46</v>
      </c>
      <c r="D1011" s="81" t="s">
        <v>61</v>
      </c>
      <c r="E1011" s="81" t="s">
        <v>71</v>
      </c>
      <c r="F1011" s="81"/>
      <c r="G1011" s="81" t="s">
        <v>259</v>
      </c>
      <c r="H1011" s="81" t="s">
        <v>71</v>
      </c>
      <c r="I1011" s="103">
        <v>43504</v>
      </c>
      <c r="J1011" s="81" t="s">
        <v>1176</v>
      </c>
      <c r="K1011" s="84">
        <v>45893</v>
      </c>
      <c r="L1011" s="81" t="s">
        <v>1179</v>
      </c>
      <c r="M1011" s="81" t="s">
        <v>226</v>
      </c>
      <c r="N1011" s="81">
        <v>2025</v>
      </c>
    </row>
    <row r="1012" spans="1:14">
      <c r="A1012" s="81">
        <v>1011</v>
      </c>
      <c r="B1012" s="81" t="s">
        <v>43</v>
      </c>
      <c r="C1012" s="81" t="s">
        <v>46</v>
      </c>
      <c r="D1012" s="81" t="s">
        <v>61</v>
      </c>
      <c r="E1012" s="81" t="s">
        <v>71</v>
      </c>
      <c r="F1012" s="81"/>
      <c r="G1012" s="81" t="s">
        <v>496</v>
      </c>
      <c r="H1012" s="81" t="s">
        <v>71</v>
      </c>
      <c r="I1012" s="83">
        <v>10299.295774647888</v>
      </c>
      <c r="J1012" s="81" t="s">
        <v>253</v>
      </c>
      <c r="K1012" s="84">
        <v>45874</v>
      </c>
      <c r="L1012" s="81">
        <v>2025402920</v>
      </c>
      <c r="M1012" s="81" t="s">
        <v>226</v>
      </c>
      <c r="N1012" s="81">
        <v>2025</v>
      </c>
    </row>
    <row r="1013" spans="1:14">
      <c r="A1013" s="81">
        <v>1012</v>
      </c>
      <c r="B1013" s="81" t="s">
        <v>43</v>
      </c>
      <c r="C1013" s="81" t="s">
        <v>46</v>
      </c>
      <c r="D1013" s="81" t="s">
        <v>61</v>
      </c>
      <c r="E1013" s="81" t="s">
        <v>71</v>
      </c>
      <c r="F1013" s="81"/>
      <c r="G1013" s="81" t="s">
        <v>134</v>
      </c>
      <c r="H1013" s="81" t="s">
        <v>71</v>
      </c>
      <c r="I1013" s="105">
        <v>2463.9</v>
      </c>
      <c r="J1013" s="81" t="s">
        <v>1160</v>
      </c>
      <c r="K1013" s="84">
        <v>45966</v>
      </c>
      <c r="L1013" s="81">
        <v>2025404017</v>
      </c>
      <c r="M1013" s="81" t="s">
        <v>225</v>
      </c>
      <c r="N1013" s="81">
        <v>2025</v>
      </c>
    </row>
    <row r="1014" spans="1:14">
      <c r="A1014" s="81">
        <v>1013</v>
      </c>
      <c r="B1014" s="81" t="s">
        <v>43</v>
      </c>
      <c r="C1014" s="81" t="s">
        <v>46</v>
      </c>
      <c r="D1014" s="81" t="s">
        <v>61</v>
      </c>
      <c r="E1014" s="81" t="s">
        <v>71</v>
      </c>
      <c r="F1014" s="81"/>
      <c r="G1014" s="81" t="s">
        <v>64</v>
      </c>
      <c r="H1014" s="81" t="s">
        <v>1285</v>
      </c>
      <c r="I1014" s="83">
        <v>1408.4507042253522</v>
      </c>
      <c r="J1014" s="81" t="s">
        <v>68</v>
      </c>
      <c r="K1014" s="84">
        <v>45815</v>
      </c>
      <c r="L1014" s="109" t="s">
        <v>14</v>
      </c>
      <c r="M1014" s="81" t="s">
        <v>225</v>
      </c>
      <c r="N1014" s="81">
        <v>2025</v>
      </c>
    </row>
    <row r="1015" spans="1:14">
      <c r="A1015" s="81">
        <v>1014</v>
      </c>
      <c r="B1015" s="81" t="s">
        <v>43</v>
      </c>
      <c r="C1015" s="81" t="s">
        <v>46</v>
      </c>
      <c r="D1015" s="81" t="s">
        <v>61</v>
      </c>
      <c r="E1015" s="81" t="s">
        <v>71</v>
      </c>
      <c r="F1015" s="81"/>
      <c r="G1015" s="81" t="s">
        <v>132</v>
      </c>
      <c r="H1015" s="112" t="s">
        <v>71</v>
      </c>
      <c r="I1015" s="105">
        <v>1344.6</v>
      </c>
      <c r="J1015" s="107" t="s">
        <v>893</v>
      </c>
      <c r="K1015" s="113">
        <v>45889</v>
      </c>
      <c r="L1015" s="81">
        <v>2025402585</v>
      </c>
      <c r="M1015" s="81" t="s">
        <v>226</v>
      </c>
      <c r="N1015" s="81">
        <v>2025</v>
      </c>
    </row>
    <row r="1016" spans="1:14">
      <c r="A1016" s="81">
        <v>1015</v>
      </c>
      <c r="B1016" s="81" t="s">
        <v>43</v>
      </c>
      <c r="C1016" s="81" t="s">
        <v>46</v>
      </c>
      <c r="D1016" s="81" t="s">
        <v>61</v>
      </c>
      <c r="E1016" s="81" t="s">
        <v>71</v>
      </c>
      <c r="F1016" s="81"/>
      <c r="G1016" s="81" t="s">
        <v>131</v>
      </c>
      <c r="H1016" s="112" t="s">
        <v>71</v>
      </c>
      <c r="I1016" s="105">
        <v>1110.72</v>
      </c>
      <c r="J1016" s="81" t="s">
        <v>1171</v>
      </c>
      <c r="K1016" s="84">
        <v>45840</v>
      </c>
      <c r="L1016" s="81">
        <v>2025402130</v>
      </c>
      <c r="M1016" s="81" t="s">
        <v>225</v>
      </c>
      <c r="N1016" s="81">
        <v>2025</v>
      </c>
    </row>
    <row r="1017" spans="1:14">
      <c r="A1017" s="81">
        <v>1016</v>
      </c>
      <c r="B1017" s="81" t="s">
        <v>43</v>
      </c>
      <c r="C1017" s="81" t="s">
        <v>46</v>
      </c>
      <c r="D1017" s="81" t="s">
        <v>61</v>
      </c>
      <c r="E1017" s="112" t="s">
        <v>71</v>
      </c>
      <c r="F1017" s="81"/>
      <c r="G1017" s="81" t="s">
        <v>132</v>
      </c>
      <c r="H1017" s="112" t="s">
        <v>71</v>
      </c>
      <c r="I1017" s="105">
        <v>657.12</v>
      </c>
      <c r="J1017" s="81" t="s">
        <v>554</v>
      </c>
      <c r="K1017" s="84">
        <v>45852</v>
      </c>
      <c r="L1017" s="81">
        <v>2025402191</v>
      </c>
      <c r="M1017" s="112" t="s">
        <v>225</v>
      </c>
      <c r="N1017" s="81">
        <v>2025</v>
      </c>
    </row>
    <row r="1018" spans="1:14">
      <c r="A1018" s="81">
        <v>1017</v>
      </c>
      <c r="B1018" s="81" t="s">
        <v>43</v>
      </c>
      <c r="C1018" s="81" t="s">
        <v>46</v>
      </c>
      <c r="D1018" s="81" t="s">
        <v>61</v>
      </c>
      <c r="E1018" s="81" t="s">
        <v>71</v>
      </c>
      <c r="F1018" s="81"/>
      <c r="G1018" s="81" t="s">
        <v>64</v>
      </c>
      <c r="H1018" s="81" t="s">
        <v>1294</v>
      </c>
      <c r="I1018" s="83">
        <v>633.80281690140851</v>
      </c>
      <c r="J1018" s="81">
        <v>8</v>
      </c>
      <c r="K1018" s="84">
        <v>45785</v>
      </c>
      <c r="L1018" s="109" t="s">
        <v>14</v>
      </c>
      <c r="M1018" s="81" t="s">
        <v>226</v>
      </c>
      <c r="N1018" s="81">
        <v>2025</v>
      </c>
    </row>
    <row r="1019" spans="1:14">
      <c r="A1019" s="81">
        <v>1018</v>
      </c>
      <c r="B1019" s="81" t="s">
        <v>43</v>
      </c>
      <c r="C1019" s="81" t="s">
        <v>46</v>
      </c>
      <c r="D1019" s="81" t="s">
        <v>61</v>
      </c>
      <c r="E1019" s="112" t="s">
        <v>71</v>
      </c>
      <c r="F1019" s="81"/>
      <c r="G1019" s="81" t="s">
        <v>246</v>
      </c>
      <c r="H1019" s="81" t="s">
        <v>71</v>
      </c>
      <c r="I1019" s="83">
        <v>577.46478873239437</v>
      </c>
      <c r="J1019" s="81" t="s">
        <v>547</v>
      </c>
      <c r="K1019" s="84">
        <v>45846</v>
      </c>
      <c r="L1019" s="81">
        <v>2025402260</v>
      </c>
      <c r="M1019" s="112" t="s">
        <v>225</v>
      </c>
      <c r="N1019" s="81">
        <v>2025</v>
      </c>
    </row>
    <row r="1020" spans="1:14">
      <c r="A1020" s="81">
        <v>1019</v>
      </c>
      <c r="B1020" s="81" t="s">
        <v>43</v>
      </c>
      <c r="C1020" s="81" t="s">
        <v>46</v>
      </c>
      <c r="D1020" s="81" t="s">
        <v>61</v>
      </c>
      <c r="E1020" s="81" t="s">
        <v>71</v>
      </c>
      <c r="F1020" s="81"/>
      <c r="G1020" s="81" t="s">
        <v>129</v>
      </c>
      <c r="H1020" s="112" t="s">
        <v>71</v>
      </c>
      <c r="I1020" s="105">
        <v>48</v>
      </c>
      <c r="J1020" s="107" t="s">
        <v>874</v>
      </c>
      <c r="K1020" s="113">
        <v>45873</v>
      </c>
      <c r="L1020" s="81">
        <v>2025402723</v>
      </c>
      <c r="M1020" s="81" t="s">
        <v>226</v>
      </c>
      <c r="N1020" s="81">
        <v>2025</v>
      </c>
    </row>
    <row r="1021" spans="1:14">
      <c r="A1021" s="81">
        <v>1020</v>
      </c>
      <c r="B1021" s="81" t="s">
        <v>43</v>
      </c>
      <c r="C1021" s="81" t="s">
        <v>46</v>
      </c>
      <c r="D1021" s="81" t="s">
        <v>61</v>
      </c>
      <c r="E1021" s="81" t="s">
        <v>71</v>
      </c>
      <c r="F1021" s="81"/>
      <c r="G1021" s="81" t="s">
        <v>129</v>
      </c>
      <c r="H1021" s="112" t="s">
        <v>71</v>
      </c>
      <c r="I1021" s="105">
        <v>39</v>
      </c>
      <c r="J1021" s="107" t="s">
        <v>895</v>
      </c>
      <c r="K1021" s="113">
        <v>45887</v>
      </c>
      <c r="L1021" s="81">
        <v>2025402772</v>
      </c>
      <c r="M1021" s="81" t="s">
        <v>226</v>
      </c>
      <c r="N1021" s="81">
        <v>2025</v>
      </c>
    </row>
    <row r="1022" spans="1:14">
      <c r="A1022" s="81">
        <v>1021</v>
      </c>
      <c r="B1022" s="81" t="s">
        <v>43</v>
      </c>
      <c r="C1022" s="81" t="s">
        <v>45</v>
      </c>
      <c r="D1022" s="81" t="s">
        <v>61</v>
      </c>
      <c r="E1022" s="112" t="s">
        <v>71</v>
      </c>
      <c r="F1022" s="81"/>
      <c r="G1022" s="81" t="s">
        <v>132</v>
      </c>
      <c r="H1022" s="112" t="s">
        <v>71</v>
      </c>
      <c r="I1022" s="105">
        <v>1301.79</v>
      </c>
      <c r="J1022" s="81" t="s">
        <v>847</v>
      </c>
      <c r="K1022" s="84">
        <v>45886</v>
      </c>
      <c r="L1022" s="81">
        <v>2025402636</v>
      </c>
      <c r="M1022" s="112" t="s">
        <v>226</v>
      </c>
      <c r="N1022" s="81">
        <v>2025</v>
      </c>
    </row>
    <row r="1023" spans="1:14">
      <c r="A1023" s="81">
        <v>1022</v>
      </c>
      <c r="B1023" s="81" t="s">
        <v>43</v>
      </c>
      <c r="C1023" s="81" t="s">
        <v>45</v>
      </c>
      <c r="D1023" s="81" t="s">
        <v>61</v>
      </c>
      <c r="E1023" s="112" t="s">
        <v>71</v>
      </c>
      <c r="F1023" s="81"/>
      <c r="G1023" s="81" t="s">
        <v>134</v>
      </c>
      <c r="H1023" s="81" t="s">
        <v>71</v>
      </c>
      <c r="I1023" s="105">
        <v>1012</v>
      </c>
      <c r="J1023" s="81" t="s">
        <v>761</v>
      </c>
      <c r="K1023" s="84">
        <v>45872</v>
      </c>
      <c r="L1023" s="81">
        <v>2025402320</v>
      </c>
      <c r="M1023" s="112" t="s">
        <v>226</v>
      </c>
      <c r="N1023" s="81">
        <v>2025</v>
      </c>
    </row>
    <row r="1024" spans="1:14">
      <c r="A1024" s="81">
        <v>1023</v>
      </c>
      <c r="B1024" s="81" t="s">
        <v>43</v>
      </c>
      <c r="C1024" s="81" t="s">
        <v>45</v>
      </c>
      <c r="D1024" s="81" t="s">
        <v>61</v>
      </c>
      <c r="E1024" s="81" t="s">
        <v>71</v>
      </c>
      <c r="F1024" s="81"/>
      <c r="G1024" s="81" t="s">
        <v>260</v>
      </c>
      <c r="H1024" s="81" t="s">
        <v>261</v>
      </c>
      <c r="I1024" s="105">
        <v>720</v>
      </c>
      <c r="J1024" s="81" t="s">
        <v>1104</v>
      </c>
      <c r="K1024" s="84">
        <v>45870</v>
      </c>
      <c r="L1024" s="81">
        <v>2025403223</v>
      </c>
      <c r="M1024" s="81" t="s">
        <v>225</v>
      </c>
      <c r="N1024" s="81">
        <v>2025</v>
      </c>
    </row>
    <row r="1025" spans="1:14">
      <c r="A1025" s="81">
        <v>1024</v>
      </c>
      <c r="B1025" s="81" t="s">
        <v>43</v>
      </c>
      <c r="C1025" s="81" t="s">
        <v>45</v>
      </c>
      <c r="D1025" s="81" t="s">
        <v>61</v>
      </c>
      <c r="E1025" s="112" t="s">
        <v>71</v>
      </c>
      <c r="F1025" s="81"/>
      <c r="G1025" s="81" t="s">
        <v>244</v>
      </c>
      <c r="H1025" s="81" t="s">
        <v>128</v>
      </c>
      <c r="I1025" s="105">
        <v>546</v>
      </c>
      <c r="J1025" s="81" t="s">
        <v>586</v>
      </c>
      <c r="K1025" s="84">
        <v>45840</v>
      </c>
      <c r="L1025" s="81">
        <v>2025402332</v>
      </c>
      <c r="M1025" s="112" t="s">
        <v>225</v>
      </c>
      <c r="N1025" s="81">
        <v>2025</v>
      </c>
    </row>
    <row r="1026" spans="1:14">
      <c r="A1026" s="81">
        <v>1025</v>
      </c>
      <c r="B1026" s="81" t="s">
        <v>43</v>
      </c>
      <c r="C1026" s="81" t="s">
        <v>45</v>
      </c>
      <c r="D1026" s="81" t="s">
        <v>61</v>
      </c>
      <c r="E1026" s="81" t="s">
        <v>71</v>
      </c>
      <c r="F1026" s="81"/>
      <c r="G1026" s="81" t="s">
        <v>64</v>
      </c>
      <c r="H1026" s="81" t="s">
        <v>1284</v>
      </c>
      <c r="I1026" s="83">
        <v>384.15492957746477</v>
      </c>
      <c r="J1026" s="81" t="s">
        <v>68</v>
      </c>
      <c r="K1026" s="84">
        <v>45894</v>
      </c>
      <c r="L1026" s="109" t="s">
        <v>14</v>
      </c>
      <c r="M1026" s="81" t="s">
        <v>226</v>
      </c>
      <c r="N1026" s="81">
        <v>2025</v>
      </c>
    </row>
    <row r="1027" spans="1:14">
      <c r="A1027" s="81">
        <v>1026</v>
      </c>
      <c r="B1027" s="81" t="s">
        <v>43</v>
      </c>
      <c r="C1027" s="81" t="s">
        <v>45</v>
      </c>
      <c r="D1027" s="81" t="s">
        <v>61</v>
      </c>
      <c r="E1027" s="81" t="s">
        <v>71</v>
      </c>
      <c r="F1027" s="81"/>
      <c r="G1027" s="81" t="s">
        <v>64</v>
      </c>
      <c r="H1027" s="81" t="s">
        <v>1284</v>
      </c>
      <c r="I1027" s="83">
        <v>345.42253521126759</v>
      </c>
      <c r="J1027" s="81" t="s">
        <v>68</v>
      </c>
      <c r="K1027" s="84">
        <v>45907</v>
      </c>
      <c r="L1027" s="109" t="s">
        <v>14</v>
      </c>
      <c r="M1027" s="81" t="s">
        <v>225</v>
      </c>
      <c r="N1027" s="81">
        <v>2025</v>
      </c>
    </row>
    <row r="1028" spans="1:14">
      <c r="A1028" s="81">
        <v>1027</v>
      </c>
      <c r="B1028" s="81" t="s">
        <v>43</v>
      </c>
      <c r="C1028" s="81" t="s">
        <v>45</v>
      </c>
      <c r="D1028" s="81" t="s">
        <v>61</v>
      </c>
      <c r="E1028" s="112" t="s">
        <v>71</v>
      </c>
      <c r="F1028" s="81"/>
      <c r="G1028" s="81" t="s">
        <v>131</v>
      </c>
      <c r="H1028" s="112" t="s">
        <v>71</v>
      </c>
      <c r="I1028" s="105">
        <v>236</v>
      </c>
      <c r="J1028" s="81" t="s">
        <v>683</v>
      </c>
      <c r="K1028" s="84">
        <v>45861</v>
      </c>
      <c r="L1028" s="81">
        <v>2025402368</v>
      </c>
      <c r="M1028" s="112" t="s">
        <v>225</v>
      </c>
      <c r="N1028" s="81">
        <v>2025</v>
      </c>
    </row>
    <row r="1029" spans="1:14">
      <c r="A1029" s="81">
        <v>1028</v>
      </c>
      <c r="B1029" s="81" t="s">
        <v>43</v>
      </c>
      <c r="C1029" s="81" t="s">
        <v>45</v>
      </c>
      <c r="D1029" s="81" t="s">
        <v>61</v>
      </c>
      <c r="E1029" s="81" t="s">
        <v>71</v>
      </c>
      <c r="F1029" s="81"/>
      <c r="G1029" s="81" t="s">
        <v>134</v>
      </c>
      <c r="H1029" s="81" t="s">
        <v>71</v>
      </c>
      <c r="I1029" s="105">
        <v>200</v>
      </c>
      <c r="J1029" s="81" t="s">
        <v>970</v>
      </c>
      <c r="K1029" s="84">
        <v>45897</v>
      </c>
      <c r="L1029" s="81">
        <v>2025402816</v>
      </c>
      <c r="M1029" s="81" t="s">
        <v>226</v>
      </c>
      <c r="N1029" s="81">
        <v>2025</v>
      </c>
    </row>
    <row r="1030" spans="1:14">
      <c r="A1030" s="81">
        <v>1029</v>
      </c>
      <c r="B1030" s="81" t="s">
        <v>43</v>
      </c>
      <c r="C1030" s="81" t="s">
        <v>45</v>
      </c>
      <c r="D1030" s="81" t="s">
        <v>61</v>
      </c>
      <c r="E1030" s="81" t="s">
        <v>71</v>
      </c>
      <c r="F1030" s="81"/>
      <c r="G1030" s="81" t="s">
        <v>131</v>
      </c>
      <c r="H1030" s="112" t="s">
        <v>71</v>
      </c>
      <c r="I1030" s="105">
        <v>198</v>
      </c>
      <c r="J1030" s="81" t="s">
        <v>1058</v>
      </c>
      <c r="K1030" s="84">
        <v>45899</v>
      </c>
      <c r="L1030" s="81">
        <v>2025402840</v>
      </c>
      <c r="M1030" s="81" t="s">
        <v>226</v>
      </c>
      <c r="N1030" s="81">
        <v>2025</v>
      </c>
    </row>
    <row r="1031" spans="1:14">
      <c r="A1031" s="81">
        <v>1030</v>
      </c>
      <c r="B1031" s="81" t="s">
        <v>43</v>
      </c>
      <c r="C1031" s="81" t="s">
        <v>45</v>
      </c>
      <c r="D1031" s="81" t="s">
        <v>61</v>
      </c>
      <c r="E1031" s="81" t="s">
        <v>71</v>
      </c>
      <c r="F1031" s="81"/>
      <c r="G1031" s="81" t="s">
        <v>132</v>
      </c>
      <c r="H1031" s="112" t="s">
        <v>71</v>
      </c>
      <c r="I1031" s="105">
        <v>140</v>
      </c>
      <c r="J1031" s="107" t="s">
        <v>864</v>
      </c>
      <c r="K1031" s="113">
        <v>45887</v>
      </c>
      <c r="L1031" s="81">
        <v>2025402648</v>
      </c>
      <c r="M1031" s="81" t="s">
        <v>226</v>
      </c>
      <c r="N1031" s="81">
        <v>2025</v>
      </c>
    </row>
    <row r="1032" spans="1:14">
      <c r="A1032" s="81">
        <v>1031</v>
      </c>
      <c r="B1032" s="81" t="s">
        <v>43</v>
      </c>
      <c r="C1032" s="81" t="s">
        <v>45</v>
      </c>
      <c r="D1032" s="81" t="s">
        <v>61</v>
      </c>
      <c r="E1032" s="81" t="s">
        <v>71</v>
      </c>
      <c r="F1032" s="81"/>
      <c r="G1032" s="81" t="s">
        <v>131</v>
      </c>
      <c r="H1032" s="112" t="s">
        <v>71</v>
      </c>
      <c r="I1032" s="105">
        <v>11.08</v>
      </c>
      <c r="J1032" s="81" t="s">
        <v>1059</v>
      </c>
      <c r="K1032" s="84">
        <v>45900</v>
      </c>
      <c r="L1032" s="81">
        <v>2025402827</v>
      </c>
      <c r="M1032" s="81" t="s">
        <v>226</v>
      </c>
      <c r="N1032" s="81">
        <v>2025</v>
      </c>
    </row>
    <row r="1033" spans="1:14">
      <c r="A1033" s="81">
        <v>1032</v>
      </c>
      <c r="B1033" s="81" t="s">
        <v>35</v>
      </c>
      <c r="C1033" s="81" t="s">
        <v>39</v>
      </c>
      <c r="D1033" s="81" t="s">
        <v>61</v>
      </c>
      <c r="E1033" s="81" t="s">
        <v>71</v>
      </c>
      <c r="F1033" s="81"/>
      <c r="G1033" s="81" t="s">
        <v>134</v>
      </c>
      <c r="H1033" s="81" t="s">
        <v>71</v>
      </c>
      <c r="I1033" s="105">
        <v>2813</v>
      </c>
      <c r="J1033" s="81" t="s">
        <v>980</v>
      </c>
      <c r="K1033" s="84">
        <v>45899</v>
      </c>
      <c r="L1033" s="81">
        <v>2025402801</v>
      </c>
      <c r="M1033" s="81" t="s">
        <v>226</v>
      </c>
      <c r="N1033" s="81">
        <v>2025</v>
      </c>
    </row>
    <row r="1034" spans="1:14">
      <c r="A1034" s="81">
        <v>1033</v>
      </c>
      <c r="B1034" s="81" t="s">
        <v>35</v>
      </c>
      <c r="C1034" s="81" t="s">
        <v>39</v>
      </c>
      <c r="D1034" s="81" t="s">
        <v>61</v>
      </c>
      <c r="E1034" s="81" t="s">
        <v>71</v>
      </c>
      <c r="F1034" s="81"/>
      <c r="G1034" s="81" t="s">
        <v>131</v>
      </c>
      <c r="H1034" s="112" t="s">
        <v>71</v>
      </c>
      <c r="I1034" s="105">
        <v>923.2</v>
      </c>
      <c r="J1034" s="107" t="s">
        <v>865</v>
      </c>
      <c r="K1034" s="113">
        <v>45886</v>
      </c>
      <c r="L1034" s="81">
        <v>2025402548</v>
      </c>
      <c r="M1034" s="81" t="s">
        <v>226</v>
      </c>
      <c r="N1034" s="81">
        <v>2025</v>
      </c>
    </row>
    <row r="1035" spans="1:14">
      <c r="A1035" s="81">
        <v>1034</v>
      </c>
      <c r="B1035" s="81" t="s">
        <v>35</v>
      </c>
      <c r="C1035" s="81" t="s">
        <v>39</v>
      </c>
      <c r="D1035" s="81" t="s">
        <v>61</v>
      </c>
      <c r="E1035" s="112" t="s">
        <v>71</v>
      </c>
      <c r="F1035" s="81"/>
      <c r="G1035" s="81" t="s">
        <v>134</v>
      </c>
      <c r="H1035" s="81" t="s">
        <v>71</v>
      </c>
      <c r="I1035" s="105">
        <v>438</v>
      </c>
      <c r="J1035" s="81" t="s">
        <v>692</v>
      </c>
      <c r="K1035" s="84">
        <v>45865</v>
      </c>
      <c r="L1035" s="81">
        <v>2025402357</v>
      </c>
      <c r="M1035" s="112" t="s">
        <v>225</v>
      </c>
      <c r="N1035" s="81">
        <v>2025</v>
      </c>
    </row>
    <row r="1036" spans="1:14">
      <c r="A1036" s="81">
        <v>1035</v>
      </c>
      <c r="B1036" s="81" t="s">
        <v>35</v>
      </c>
      <c r="C1036" s="81" t="s">
        <v>39</v>
      </c>
      <c r="D1036" s="81" t="s">
        <v>61</v>
      </c>
      <c r="E1036" s="81" t="s">
        <v>71</v>
      </c>
      <c r="F1036" s="81"/>
      <c r="G1036" s="81" t="s">
        <v>131</v>
      </c>
      <c r="H1036" s="112" t="s">
        <v>71</v>
      </c>
      <c r="I1036" s="105">
        <v>178.8</v>
      </c>
      <c r="J1036" s="81" t="s">
        <v>681</v>
      </c>
      <c r="K1036" s="84">
        <v>45861</v>
      </c>
      <c r="L1036" s="81">
        <v>2025402356</v>
      </c>
      <c r="M1036" s="112" t="s">
        <v>225</v>
      </c>
      <c r="N1036" s="81">
        <v>2025</v>
      </c>
    </row>
    <row r="1037" spans="1:14">
      <c r="A1037" s="81">
        <v>1036</v>
      </c>
      <c r="B1037" s="81" t="s">
        <v>35</v>
      </c>
      <c r="C1037" s="81" t="s">
        <v>39</v>
      </c>
      <c r="D1037" s="81" t="s">
        <v>61</v>
      </c>
      <c r="E1037" s="112" t="s">
        <v>71</v>
      </c>
      <c r="F1037" s="81"/>
      <c r="G1037" s="81" t="s">
        <v>134</v>
      </c>
      <c r="H1037" s="81" t="s">
        <v>71</v>
      </c>
      <c r="I1037" s="105">
        <v>130</v>
      </c>
      <c r="J1037" s="81" t="s">
        <v>577</v>
      </c>
      <c r="K1037" s="84">
        <v>45848</v>
      </c>
      <c r="L1037" s="81">
        <v>2025402172</v>
      </c>
      <c r="M1037" s="112" t="s">
        <v>225</v>
      </c>
      <c r="N1037" s="81">
        <v>2025</v>
      </c>
    </row>
    <row r="1038" spans="1:14">
      <c r="A1038" s="81">
        <v>1037</v>
      </c>
      <c r="B1038" s="81" t="s">
        <v>35</v>
      </c>
      <c r="C1038" s="81" t="s">
        <v>39</v>
      </c>
      <c r="D1038" s="81" t="s">
        <v>61</v>
      </c>
      <c r="E1038" s="112" t="s">
        <v>71</v>
      </c>
      <c r="F1038" s="81"/>
      <c r="G1038" s="81" t="s">
        <v>132</v>
      </c>
      <c r="H1038" s="112" t="s">
        <v>71</v>
      </c>
      <c r="I1038" s="105">
        <v>128.58000000000001</v>
      </c>
      <c r="J1038" s="81" t="s">
        <v>629</v>
      </c>
      <c r="K1038" s="84">
        <v>45859</v>
      </c>
      <c r="L1038" s="81">
        <v>2025402282</v>
      </c>
      <c r="M1038" s="112" t="s">
        <v>225</v>
      </c>
      <c r="N1038" s="81">
        <v>2025</v>
      </c>
    </row>
    <row r="1039" spans="1:14">
      <c r="A1039" s="81">
        <v>1038</v>
      </c>
      <c r="B1039" s="81" t="s">
        <v>35</v>
      </c>
      <c r="C1039" s="81" t="s">
        <v>38</v>
      </c>
      <c r="D1039" s="81" t="s">
        <v>61</v>
      </c>
      <c r="E1039" s="81" t="s">
        <v>71</v>
      </c>
      <c r="F1039" s="81"/>
      <c r="G1039" s="81" t="s">
        <v>134</v>
      </c>
      <c r="H1039" s="81" t="s">
        <v>71</v>
      </c>
      <c r="I1039" s="105">
        <v>3750</v>
      </c>
      <c r="J1039" s="107" t="s">
        <v>907</v>
      </c>
      <c r="K1039" s="113">
        <v>45893</v>
      </c>
      <c r="L1039" s="81">
        <v>2025402755</v>
      </c>
      <c r="M1039" s="81" t="s">
        <v>226</v>
      </c>
      <c r="N1039" s="81">
        <v>2025</v>
      </c>
    </row>
    <row r="1040" spans="1:14">
      <c r="A1040" s="81">
        <v>1039</v>
      </c>
      <c r="B1040" s="81" t="s">
        <v>35</v>
      </c>
      <c r="C1040" s="81" t="s">
        <v>38</v>
      </c>
      <c r="D1040" s="81" t="s">
        <v>61</v>
      </c>
      <c r="E1040" s="81" t="s">
        <v>71</v>
      </c>
      <c r="F1040" s="81"/>
      <c r="G1040" s="81" t="s">
        <v>134</v>
      </c>
      <c r="H1040" s="81" t="s">
        <v>71</v>
      </c>
      <c r="I1040" s="105">
        <v>3106.1</v>
      </c>
      <c r="J1040" s="81" t="s">
        <v>564</v>
      </c>
      <c r="K1040" s="84">
        <v>45848</v>
      </c>
      <c r="L1040" s="81">
        <v>2025402140</v>
      </c>
      <c r="M1040" s="112" t="s">
        <v>225</v>
      </c>
      <c r="N1040" s="81">
        <v>2025</v>
      </c>
    </row>
    <row r="1041" spans="1:14">
      <c r="A1041" s="81">
        <v>1040</v>
      </c>
      <c r="B1041" s="81" t="s">
        <v>35</v>
      </c>
      <c r="C1041" s="81" t="s">
        <v>38</v>
      </c>
      <c r="D1041" s="81" t="s">
        <v>61</v>
      </c>
      <c r="E1041" s="81" t="s">
        <v>71</v>
      </c>
      <c r="F1041" s="81"/>
      <c r="G1041" s="81" t="s">
        <v>129</v>
      </c>
      <c r="H1041" s="112" t="s">
        <v>71</v>
      </c>
      <c r="I1041" s="83">
        <v>2535.211267605634</v>
      </c>
      <c r="J1041" s="81" t="s">
        <v>1107</v>
      </c>
      <c r="K1041" s="84">
        <v>45874</v>
      </c>
      <c r="L1041" s="81">
        <v>2025402874</v>
      </c>
      <c r="M1041" s="81" t="s">
        <v>226</v>
      </c>
      <c r="N1041" s="81">
        <v>2025</v>
      </c>
    </row>
    <row r="1042" spans="1:14">
      <c r="A1042" s="81">
        <v>1041</v>
      </c>
      <c r="B1042" s="81" t="s">
        <v>35</v>
      </c>
      <c r="C1042" s="81" t="s">
        <v>38</v>
      </c>
      <c r="D1042" s="81" t="s">
        <v>61</v>
      </c>
      <c r="E1042" s="81" t="s">
        <v>71</v>
      </c>
      <c r="F1042" s="81"/>
      <c r="G1042" s="81" t="s">
        <v>238</v>
      </c>
      <c r="H1042" s="81" t="s">
        <v>71</v>
      </c>
      <c r="I1042" s="105">
        <v>2420</v>
      </c>
      <c r="J1042" s="81" t="s">
        <v>785</v>
      </c>
      <c r="K1042" s="84">
        <v>45900</v>
      </c>
      <c r="L1042" s="81">
        <v>2025402965</v>
      </c>
      <c r="M1042" s="81" t="s">
        <v>226</v>
      </c>
      <c r="N1042" s="81">
        <v>2025</v>
      </c>
    </row>
    <row r="1043" spans="1:14">
      <c r="A1043" s="81">
        <v>1042</v>
      </c>
      <c r="B1043" s="81" t="s">
        <v>35</v>
      </c>
      <c r="C1043" s="81" t="s">
        <v>38</v>
      </c>
      <c r="D1043" s="81" t="s">
        <v>61</v>
      </c>
      <c r="E1043" s="81" t="s">
        <v>71</v>
      </c>
      <c r="F1043" s="81"/>
      <c r="G1043" s="81" t="s">
        <v>132</v>
      </c>
      <c r="H1043" s="112" t="s">
        <v>71</v>
      </c>
      <c r="I1043" s="105">
        <v>1871.64</v>
      </c>
      <c r="J1043" s="81" t="s">
        <v>996</v>
      </c>
      <c r="K1043" s="84">
        <v>45892</v>
      </c>
      <c r="L1043" s="81">
        <v>2025402667</v>
      </c>
      <c r="M1043" s="81" t="s">
        <v>226</v>
      </c>
      <c r="N1043" s="81">
        <v>2025</v>
      </c>
    </row>
    <row r="1044" spans="1:14">
      <c r="A1044" s="81">
        <v>1043</v>
      </c>
      <c r="B1044" s="81" t="s">
        <v>35</v>
      </c>
      <c r="C1044" s="81" t="s">
        <v>38</v>
      </c>
      <c r="D1044" s="81" t="s">
        <v>61</v>
      </c>
      <c r="E1044" s="109" t="s">
        <v>71</v>
      </c>
      <c r="F1044" s="81"/>
      <c r="G1044" s="81" t="s">
        <v>64</v>
      </c>
      <c r="H1044" s="81" t="s">
        <v>1293</v>
      </c>
      <c r="I1044" s="83">
        <v>1408.4507042253522</v>
      </c>
      <c r="J1044" s="81" t="s">
        <v>68</v>
      </c>
      <c r="K1044" s="84">
        <v>45938</v>
      </c>
      <c r="L1044" s="109" t="s">
        <v>14</v>
      </c>
      <c r="M1044" s="81" t="s">
        <v>226</v>
      </c>
      <c r="N1044" s="81">
        <v>2025</v>
      </c>
    </row>
    <row r="1045" spans="1:14">
      <c r="A1045" s="81">
        <v>1044</v>
      </c>
      <c r="B1045" s="81" t="s">
        <v>35</v>
      </c>
      <c r="C1045" s="81" t="s">
        <v>38</v>
      </c>
      <c r="D1045" s="81" t="s">
        <v>61</v>
      </c>
      <c r="E1045" s="81" t="s">
        <v>71</v>
      </c>
      <c r="F1045" s="81"/>
      <c r="G1045" s="81" t="s">
        <v>131</v>
      </c>
      <c r="H1045" s="112" t="s">
        <v>71</v>
      </c>
      <c r="I1045" s="105">
        <v>1135.56</v>
      </c>
      <c r="J1045" s="107" t="s">
        <v>897</v>
      </c>
      <c r="K1045" s="113">
        <v>45888</v>
      </c>
      <c r="L1045" s="81">
        <v>2025402689</v>
      </c>
      <c r="M1045" s="81" t="s">
        <v>226</v>
      </c>
      <c r="N1045" s="81">
        <v>2025</v>
      </c>
    </row>
    <row r="1046" spans="1:14">
      <c r="A1046" s="81">
        <v>1045</v>
      </c>
      <c r="B1046" s="81" t="s">
        <v>35</v>
      </c>
      <c r="C1046" s="81" t="s">
        <v>38</v>
      </c>
      <c r="D1046" s="81" t="s">
        <v>61</v>
      </c>
      <c r="E1046" s="112" t="s">
        <v>71</v>
      </c>
      <c r="F1046" s="81"/>
      <c r="G1046" s="81" t="s">
        <v>134</v>
      </c>
      <c r="H1046" s="81" t="s">
        <v>71</v>
      </c>
      <c r="I1046" s="105">
        <v>1020</v>
      </c>
      <c r="J1046" s="81" t="s">
        <v>524</v>
      </c>
      <c r="K1046" s="84">
        <v>45848</v>
      </c>
      <c r="L1046" s="81">
        <v>2025402169</v>
      </c>
      <c r="M1046" s="112" t="s">
        <v>225</v>
      </c>
      <c r="N1046" s="81">
        <v>2025</v>
      </c>
    </row>
    <row r="1047" spans="1:14">
      <c r="A1047" s="81">
        <v>1046</v>
      </c>
      <c r="B1047" s="81" t="s">
        <v>35</v>
      </c>
      <c r="C1047" s="81" t="s">
        <v>38</v>
      </c>
      <c r="D1047" s="81" t="s">
        <v>61</v>
      </c>
      <c r="E1047" s="81" t="s">
        <v>71</v>
      </c>
      <c r="F1047" s="81"/>
      <c r="G1047" s="81" t="s">
        <v>131</v>
      </c>
      <c r="H1047" s="112" t="s">
        <v>71</v>
      </c>
      <c r="I1047" s="105">
        <v>957</v>
      </c>
      <c r="J1047" s="81" t="s">
        <v>1094</v>
      </c>
      <c r="K1047" s="84">
        <v>45889</v>
      </c>
      <c r="L1047" s="81">
        <v>2024403734</v>
      </c>
      <c r="M1047" s="81" t="s">
        <v>226</v>
      </c>
      <c r="N1047" s="81">
        <v>2025</v>
      </c>
    </row>
    <row r="1048" spans="1:14">
      <c r="A1048" s="81">
        <v>1047</v>
      </c>
      <c r="B1048" s="81" t="s">
        <v>35</v>
      </c>
      <c r="C1048" s="81" t="s">
        <v>38</v>
      </c>
      <c r="D1048" s="81" t="s">
        <v>61</v>
      </c>
      <c r="E1048" s="81" t="s">
        <v>71</v>
      </c>
      <c r="F1048" s="81"/>
      <c r="G1048" s="81" t="s">
        <v>134</v>
      </c>
      <c r="H1048" s="81" t="s">
        <v>71</v>
      </c>
      <c r="I1048" s="105">
        <v>685.5</v>
      </c>
      <c r="J1048" s="81" t="s">
        <v>927</v>
      </c>
      <c r="K1048" s="84">
        <v>45889</v>
      </c>
      <c r="L1048" s="81">
        <v>2025402614</v>
      </c>
      <c r="M1048" s="81" t="s">
        <v>226</v>
      </c>
      <c r="N1048" s="81">
        <v>2025</v>
      </c>
    </row>
    <row r="1049" spans="1:14">
      <c r="A1049" s="81">
        <v>1048</v>
      </c>
      <c r="B1049" s="81" t="s">
        <v>35</v>
      </c>
      <c r="C1049" s="81" t="s">
        <v>38</v>
      </c>
      <c r="D1049" s="81" t="s">
        <v>61</v>
      </c>
      <c r="E1049" s="81" t="s">
        <v>71</v>
      </c>
      <c r="F1049" s="81"/>
      <c r="G1049" s="81" t="s">
        <v>64</v>
      </c>
      <c r="H1049" s="81" t="s">
        <v>1283</v>
      </c>
      <c r="I1049" s="83">
        <v>553.52112676056333</v>
      </c>
      <c r="J1049" s="81">
        <v>6499</v>
      </c>
      <c r="K1049" s="84">
        <v>45852</v>
      </c>
      <c r="L1049" s="109" t="s">
        <v>14</v>
      </c>
      <c r="M1049" s="81" t="s">
        <v>225</v>
      </c>
      <c r="N1049" s="81">
        <v>2025</v>
      </c>
    </row>
    <row r="1050" spans="1:14">
      <c r="A1050" s="81">
        <v>1049</v>
      </c>
      <c r="B1050" s="81" t="s">
        <v>35</v>
      </c>
      <c r="C1050" s="81" t="s">
        <v>38</v>
      </c>
      <c r="D1050" s="81" t="s">
        <v>61</v>
      </c>
      <c r="E1050" s="81" t="s">
        <v>71</v>
      </c>
      <c r="F1050" s="81"/>
      <c r="G1050" s="81" t="s">
        <v>131</v>
      </c>
      <c r="H1050" s="112" t="s">
        <v>71</v>
      </c>
      <c r="I1050" s="105">
        <v>450</v>
      </c>
      <c r="J1050" s="81" t="s">
        <v>1133</v>
      </c>
      <c r="K1050" s="84">
        <v>45876</v>
      </c>
      <c r="L1050" s="81">
        <v>2025402219</v>
      </c>
      <c r="M1050" s="81" t="s">
        <v>226</v>
      </c>
      <c r="N1050" s="81">
        <v>2025</v>
      </c>
    </row>
    <row r="1051" spans="1:14">
      <c r="A1051" s="81">
        <v>1050</v>
      </c>
      <c r="B1051" s="81" t="s">
        <v>35</v>
      </c>
      <c r="C1051" s="81" t="s">
        <v>38</v>
      </c>
      <c r="D1051" s="81" t="s">
        <v>61</v>
      </c>
      <c r="E1051" s="112" t="s">
        <v>71</v>
      </c>
      <c r="F1051" s="81"/>
      <c r="G1051" s="81" t="s">
        <v>134</v>
      </c>
      <c r="H1051" s="81" t="s">
        <v>71</v>
      </c>
      <c r="I1051" s="105">
        <v>443.6</v>
      </c>
      <c r="J1051" s="81" t="s">
        <v>603</v>
      </c>
      <c r="K1051" s="84">
        <v>45846</v>
      </c>
      <c r="L1051" s="81">
        <v>2025402135</v>
      </c>
      <c r="M1051" s="112" t="s">
        <v>225</v>
      </c>
      <c r="N1051" s="81">
        <v>2025</v>
      </c>
    </row>
    <row r="1052" spans="1:14">
      <c r="A1052" s="81">
        <v>1051</v>
      </c>
      <c r="B1052" s="81" t="s">
        <v>35</v>
      </c>
      <c r="C1052" s="81" t="s">
        <v>38</v>
      </c>
      <c r="D1052" s="81" t="s">
        <v>61</v>
      </c>
      <c r="E1052" s="81" t="s">
        <v>71</v>
      </c>
      <c r="F1052" s="81"/>
      <c r="G1052" s="81" t="s">
        <v>134</v>
      </c>
      <c r="H1052" s="81" t="s">
        <v>71</v>
      </c>
      <c r="I1052" s="105">
        <v>436</v>
      </c>
      <c r="J1052" s="81" t="s">
        <v>1169</v>
      </c>
      <c r="K1052" s="84">
        <v>45979</v>
      </c>
      <c r="L1052" s="81">
        <v>2025402767</v>
      </c>
      <c r="M1052" s="81" t="s">
        <v>226</v>
      </c>
      <c r="N1052" s="81">
        <v>2025</v>
      </c>
    </row>
    <row r="1053" spans="1:14">
      <c r="A1053" s="81">
        <v>1052</v>
      </c>
      <c r="B1053" s="81" t="s">
        <v>35</v>
      </c>
      <c r="C1053" s="81" t="s">
        <v>38</v>
      </c>
      <c r="D1053" s="81" t="s">
        <v>61</v>
      </c>
      <c r="E1053" s="81" t="s">
        <v>71</v>
      </c>
      <c r="F1053" s="81"/>
      <c r="G1053" s="81" t="s">
        <v>245</v>
      </c>
      <c r="H1053" s="81" t="s">
        <v>71</v>
      </c>
      <c r="I1053" s="105">
        <v>330</v>
      </c>
      <c r="J1053" s="81" t="s">
        <v>1127</v>
      </c>
      <c r="K1053" s="84">
        <v>45889</v>
      </c>
      <c r="L1053" s="81">
        <v>2025402914</v>
      </c>
      <c r="M1053" s="81" t="s">
        <v>226</v>
      </c>
      <c r="N1053" s="81">
        <v>2025</v>
      </c>
    </row>
    <row r="1054" spans="1:14">
      <c r="A1054" s="81">
        <v>1053</v>
      </c>
      <c r="B1054" s="81" t="s">
        <v>35</v>
      </c>
      <c r="C1054" s="81" t="s">
        <v>38</v>
      </c>
      <c r="D1054" s="81" t="s">
        <v>61</v>
      </c>
      <c r="E1054" s="81" t="s">
        <v>71</v>
      </c>
      <c r="F1054" s="81"/>
      <c r="G1054" s="81" t="s">
        <v>134</v>
      </c>
      <c r="H1054" s="81" t="s">
        <v>71</v>
      </c>
      <c r="I1054" s="105">
        <v>225.1</v>
      </c>
      <c r="J1054" s="107" t="s">
        <v>890</v>
      </c>
      <c r="K1054" s="113">
        <v>45880</v>
      </c>
      <c r="L1054" s="81">
        <v>2025402596</v>
      </c>
      <c r="M1054" s="81" t="s">
        <v>226</v>
      </c>
      <c r="N1054" s="81">
        <v>2025</v>
      </c>
    </row>
    <row r="1055" spans="1:14">
      <c r="A1055" s="81">
        <v>1054</v>
      </c>
      <c r="B1055" s="81" t="s">
        <v>35</v>
      </c>
      <c r="C1055" s="81" t="s">
        <v>38</v>
      </c>
      <c r="D1055" s="81" t="s">
        <v>61</v>
      </c>
      <c r="E1055" s="81" t="s">
        <v>71</v>
      </c>
      <c r="F1055" s="81"/>
      <c r="G1055" s="81" t="s">
        <v>131</v>
      </c>
      <c r="H1055" s="112" t="s">
        <v>71</v>
      </c>
      <c r="I1055" s="105">
        <v>155</v>
      </c>
      <c r="J1055" s="81" t="s">
        <v>1025</v>
      </c>
      <c r="K1055" s="84">
        <v>45875</v>
      </c>
      <c r="L1055" s="81">
        <v>2025402549</v>
      </c>
      <c r="M1055" s="81" t="s">
        <v>226</v>
      </c>
      <c r="N1055" s="81">
        <v>2025</v>
      </c>
    </row>
    <row r="1056" spans="1:14">
      <c r="A1056" s="81">
        <v>1055</v>
      </c>
      <c r="B1056" s="81" t="s">
        <v>35</v>
      </c>
      <c r="C1056" s="81" t="s">
        <v>38</v>
      </c>
      <c r="D1056" s="81" t="s">
        <v>61</v>
      </c>
      <c r="E1056" s="81" t="s">
        <v>71</v>
      </c>
      <c r="F1056" s="81"/>
      <c r="G1056" s="81" t="s">
        <v>134</v>
      </c>
      <c r="H1056" s="81" t="s">
        <v>71</v>
      </c>
      <c r="I1056" s="105">
        <v>104</v>
      </c>
      <c r="J1056" s="81" t="s">
        <v>914</v>
      </c>
      <c r="K1056" s="84">
        <v>45893</v>
      </c>
      <c r="L1056" s="81">
        <v>2025402659</v>
      </c>
      <c r="M1056" s="81" t="s">
        <v>226</v>
      </c>
      <c r="N1056" s="81">
        <v>2025</v>
      </c>
    </row>
    <row r="1057" spans="1:14">
      <c r="A1057" s="81">
        <v>1056</v>
      </c>
      <c r="B1057" s="81" t="s">
        <v>35</v>
      </c>
      <c r="C1057" s="112" t="s">
        <v>38</v>
      </c>
      <c r="D1057" s="81" t="s">
        <v>61</v>
      </c>
      <c r="E1057" s="81" t="s">
        <v>71</v>
      </c>
      <c r="F1057" s="81"/>
      <c r="G1057" s="81" t="s">
        <v>131</v>
      </c>
      <c r="H1057" s="112" t="s">
        <v>71</v>
      </c>
      <c r="I1057" s="105">
        <v>62</v>
      </c>
      <c r="J1057" s="81" t="s">
        <v>787</v>
      </c>
      <c r="K1057" s="84">
        <v>45875</v>
      </c>
      <c r="L1057" s="81">
        <v>2025402538</v>
      </c>
      <c r="M1057" s="112" t="s">
        <v>226</v>
      </c>
      <c r="N1057" s="81">
        <v>2025</v>
      </c>
    </row>
    <row r="1058" spans="1:14">
      <c r="A1058" s="81">
        <v>1057</v>
      </c>
      <c r="B1058" s="81" t="s">
        <v>35</v>
      </c>
      <c r="C1058" s="81" t="s">
        <v>38</v>
      </c>
      <c r="D1058" s="81" t="s">
        <v>61</v>
      </c>
      <c r="E1058" s="112" t="s">
        <v>71</v>
      </c>
      <c r="F1058" s="81"/>
      <c r="G1058" s="81" t="s">
        <v>132</v>
      </c>
      <c r="H1058" s="112" t="s">
        <v>71</v>
      </c>
      <c r="I1058" s="105">
        <v>54.8</v>
      </c>
      <c r="J1058" s="81" t="s">
        <v>546</v>
      </c>
      <c r="K1058" s="84">
        <v>45850</v>
      </c>
      <c r="L1058" s="81">
        <v>2025402188</v>
      </c>
      <c r="M1058" s="112" t="s">
        <v>225</v>
      </c>
      <c r="N1058" s="81">
        <v>2025</v>
      </c>
    </row>
    <row r="1059" spans="1:14">
      <c r="A1059" s="81">
        <v>1058</v>
      </c>
      <c r="B1059" s="81" t="s">
        <v>35</v>
      </c>
      <c r="C1059" s="112" t="s">
        <v>38</v>
      </c>
      <c r="D1059" s="81" t="s">
        <v>61</v>
      </c>
      <c r="E1059" s="81" t="s">
        <v>71</v>
      </c>
      <c r="F1059" s="81"/>
      <c r="G1059" s="81" t="s">
        <v>131</v>
      </c>
      <c r="H1059" s="112" t="s">
        <v>71</v>
      </c>
      <c r="I1059" s="105">
        <v>44.4</v>
      </c>
      <c r="J1059" s="81" t="s">
        <v>829</v>
      </c>
      <c r="K1059" s="84">
        <v>45873</v>
      </c>
      <c r="L1059" s="81">
        <v>2025402495</v>
      </c>
      <c r="M1059" s="112" t="s">
        <v>226</v>
      </c>
      <c r="N1059" s="81">
        <v>2025</v>
      </c>
    </row>
    <row r="1060" spans="1:14">
      <c r="A1060" s="81">
        <v>1059</v>
      </c>
      <c r="B1060" s="81" t="s">
        <v>35</v>
      </c>
      <c r="C1060" s="81" t="s">
        <v>37</v>
      </c>
      <c r="D1060" s="81" t="s">
        <v>61</v>
      </c>
      <c r="E1060" s="112" t="s">
        <v>71</v>
      </c>
      <c r="F1060" s="81"/>
      <c r="G1060" s="81" t="s">
        <v>277</v>
      </c>
      <c r="H1060" s="112" t="s">
        <v>71</v>
      </c>
      <c r="I1060" s="83">
        <v>12323.943661971831</v>
      </c>
      <c r="J1060" s="81" t="s">
        <v>719</v>
      </c>
      <c r="K1060" s="84">
        <v>45850</v>
      </c>
      <c r="L1060" s="81">
        <v>2025402418</v>
      </c>
      <c r="M1060" s="112" t="s">
        <v>225</v>
      </c>
      <c r="N1060" s="81">
        <v>2025</v>
      </c>
    </row>
    <row r="1061" spans="1:14">
      <c r="A1061" s="81">
        <v>1060</v>
      </c>
      <c r="B1061" s="81" t="s">
        <v>35</v>
      </c>
      <c r="C1061" s="81" t="s">
        <v>37</v>
      </c>
      <c r="D1061" s="81" t="s">
        <v>61</v>
      </c>
      <c r="E1061" s="112" t="s">
        <v>71</v>
      </c>
      <c r="F1061" s="81"/>
      <c r="G1061" s="81" t="s">
        <v>131</v>
      </c>
      <c r="H1061" s="112" t="s">
        <v>71</v>
      </c>
      <c r="I1061" s="105">
        <v>2458.15</v>
      </c>
      <c r="J1061" s="81" t="s">
        <v>788</v>
      </c>
      <c r="K1061" s="84">
        <v>45875</v>
      </c>
      <c r="L1061" s="81">
        <v>2025402535</v>
      </c>
      <c r="M1061" s="112" t="s">
        <v>226</v>
      </c>
      <c r="N1061" s="81">
        <v>2025</v>
      </c>
    </row>
    <row r="1062" spans="1:14">
      <c r="A1062" s="81">
        <v>1061</v>
      </c>
      <c r="B1062" s="81" t="s">
        <v>35</v>
      </c>
      <c r="C1062" s="81" t="s">
        <v>37</v>
      </c>
      <c r="D1062" s="81" t="s">
        <v>61</v>
      </c>
      <c r="E1062" s="81" t="s">
        <v>71</v>
      </c>
      <c r="F1062" s="81"/>
      <c r="G1062" s="81" t="s">
        <v>134</v>
      </c>
      <c r="H1062" s="81" t="s">
        <v>71</v>
      </c>
      <c r="I1062" s="105">
        <v>1988</v>
      </c>
      <c r="J1062" s="81" t="s">
        <v>917</v>
      </c>
      <c r="K1062" s="84">
        <v>45893</v>
      </c>
      <c r="L1062" s="81">
        <v>2025402678</v>
      </c>
      <c r="M1062" s="81" t="s">
        <v>226</v>
      </c>
      <c r="N1062" s="81">
        <v>2025</v>
      </c>
    </row>
    <row r="1063" spans="1:14">
      <c r="A1063" s="81">
        <v>1062</v>
      </c>
      <c r="B1063" s="81" t="s">
        <v>35</v>
      </c>
      <c r="C1063" s="81" t="s">
        <v>37</v>
      </c>
      <c r="D1063" s="81" t="s">
        <v>61</v>
      </c>
      <c r="E1063" s="81" t="s">
        <v>71</v>
      </c>
      <c r="F1063" s="81"/>
      <c r="G1063" s="81" t="s">
        <v>134</v>
      </c>
      <c r="H1063" s="81" t="s">
        <v>71</v>
      </c>
      <c r="I1063" s="105">
        <v>1871.2</v>
      </c>
      <c r="J1063" s="81" t="s">
        <v>582</v>
      </c>
      <c r="K1063" s="84">
        <v>45846</v>
      </c>
      <c r="L1063" s="81">
        <v>2025402134</v>
      </c>
      <c r="M1063" s="112" t="s">
        <v>225</v>
      </c>
      <c r="N1063" s="81">
        <v>2025</v>
      </c>
    </row>
    <row r="1064" spans="1:14">
      <c r="A1064" s="81">
        <v>1063</v>
      </c>
      <c r="B1064" s="81" t="s">
        <v>35</v>
      </c>
      <c r="C1064" s="81" t="s">
        <v>37</v>
      </c>
      <c r="D1064" s="81" t="s">
        <v>61</v>
      </c>
      <c r="E1064" s="112" t="s">
        <v>71</v>
      </c>
      <c r="F1064" s="81"/>
      <c r="G1064" s="81" t="s">
        <v>132</v>
      </c>
      <c r="H1064" s="112" t="s">
        <v>71</v>
      </c>
      <c r="I1064" s="105">
        <v>1822</v>
      </c>
      <c r="J1064" s="81" t="s">
        <v>652</v>
      </c>
      <c r="K1064" s="84">
        <v>45862</v>
      </c>
      <c r="L1064" s="81">
        <v>2025402396</v>
      </c>
      <c r="M1064" s="112" t="s">
        <v>225</v>
      </c>
      <c r="N1064" s="81">
        <v>2025</v>
      </c>
    </row>
    <row r="1065" spans="1:14">
      <c r="A1065" s="81">
        <v>1064</v>
      </c>
      <c r="B1065" s="81" t="s">
        <v>35</v>
      </c>
      <c r="C1065" s="81" t="s">
        <v>37</v>
      </c>
      <c r="D1065" s="81" t="s">
        <v>61</v>
      </c>
      <c r="E1065" s="112" t="s">
        <v>71</v>
      </c>
      <c r="F1065" s="81"/>
      <c r="G1065" s="81" t="s">
        <v>127</v>
      </c>
      <c r="H1065" s="81" t="s">
        <v>128</v>
      </c>
      <c r="I1065" s="105">
        <v>1634.8</v>
      </c>
      <c r="J1065" s="81" t="s">
        <v>720</v>
      </c>
      <c r="K1065" s="84">
        <v>45860</v>
      </c>
      <c r="L1065" s="81">
        <v>2025402399</v>
      </c>
      <c r="M1065" s="112" t="s">
        <v>225</v>
      </c>
      <c r="N1065" s="81">
        <v>2025</v>
      </c>
    </row>
    <row r="1066" spans="1:14">
      <c r="A1066" s="81">
        <v>1065</v>
      </c>
      <c r="B1066" s="81" t="s">
        <v>35</v>
      </c>
      <c r="C1066" s="112" t="s">
        <v>37</v>
      </c>
      <c r="D1066" s="81" t="s">
        <v>61</v>
      </c>
      <c r="E1066" s="112" t="s">
        <v>71</v>
      </c>
      <c r="F1066" s="81"/>
      <c r="G1066" s="112" t="s">
        <v>249</v>
      </c>
      <c r="H1066" s="81" t="s">
        <v>71</v>
      </c>
      <c r="I1066" s="83">
        <v>1426.056338028169</v>
      </c>
      <c r="J1066" s="81" t="s">
        <v>843</v>
      </c>
      <c r="K1066" s="84">
        <v>45871</v>
      </c>
      <c r="L1066" s="81">
        <v>2025402631</v>
      </c>
      <c r="M1066" s="112" t="s">
        <v>226</v>
      </c>
      <c r="N1066" s="81">
        <v>2025</v>
      </c>
    </row>
    <row r="1067" spans="1:14">
      <c r="A1067" s="81">
        <v>1066</v>
      </c>
      <c r="B1067" s="81" t="s">
        <v>35</v>
      </c>
      <c r="C1067" s="81" t="s">
        <v>37</v>
      </c>
      <c r="D1067" s="81" t="s">
        <v>61</v>
      </c>
      <c r="E1067" s="81" t="s">
        <v>71</v>
      </c>
      <c r="F1067" s="81"/>
      <c r="G1067" s="81" t="s">
        <v>131</v>
      </c>
      <c r="H1067" s="112" t="s">
        <v>71</v>
      </c>
      <c r="I1067" s="105">
        <v>1222.2</v>
      </c>
      <c r="J1067" s="81" t="s">
        <v>1022</v>
      </c>
      <c r="K1067" s="84">
        <v>45900</v>
      </c>
      <c r="L1067" s="81">
        <v>2025402821</v>
      </c>
      <c r="M1067" s="81" t="s">
        <v>226</v>
      </c>
      <c r="N1067" s="81">
        <v>2025</v>
      </c>
    </row>
    <row r="1068" spans="1:14">
      <c r="A1068" s="81">
        <v>1067</v>
      </c>
      <c r="B1068" s="81" t="s">
        <v>35</v>
      </c>
      <c r="C1068" s="81" t="s">
        <v>37</v>
      </c>
      <c r="D1068" s="81" t="s">
        <v>61</v>
      </c>
      <c r="E1068" s="112" t="s">
        <v>71</v>
      </c>
      <c r="F1068" s="81"/>
      <c r="G1068" s="81" t="s">
        <v>134</v>
      </c>
      <c r="H1068" s="81" t="s">
        <v>71</v>
      </c>
      <c r="I1068" s="105">
        <v>1200</v>
      </c>
      <c r="J1068" s="81" t="s">
        <v>691</v>
      </c>
      <c r="K1068" s="84">
        <v>45865</v>
      </c>
      <c r="L1068" s="81">
        <v>2025402355</v>
      </c>
      <c r="M1068" s="112" t="s">
        <v>225</v>
      </c>
      <c r="N1068" s="81">
        <v>2025</v>
      </c>
    </row>
    <row r="1069" spans="1:14">
      <c r="A1069" s="81">
        <v>1068</v>
      </c>
      <c r="B1069" s="81" t="s">
        <v>35</v>
      </c>
      <c r="C1069" s="81" t="s">
        <v>37</v>
      </c>
      <c r="D1069" s="81" t="s">
        <v>61</v>
      </c>
      <c r="E1069" s="112" t="s">
        <v>71</v>
      </c>
      <c r="F1069" s="81"/>
      <c r="G1069" s="81" t="s">
        <v>131</v>
      </c>
      <c r="H1069" s="112" t="s">
        <v>71</v>
      </c>
      <c r="I1069" s="105">
        <v>1154.3</v>
      </c>
      <c r="J1069" s="81" t="s">
        <v>670</v>
      </c>
      <c r="K1069" s="84">
        <v>45862</v>
      </c>
      <c r="L1069" s="81">
        <v>2025402360</v>
      </c>
      <c r="M1069" s="112" t="s">
        <v>225</v>
      </c>
      <c r="N1069" s="81">
        <v>2025</v>
      </c>
    </row>
    <row r="1070" spans="1:14">
      <c r="A1070" s="81">
        <v>1069</v>
      </c>
      <c r="B1070" s="81" t="s">
        <v>35</v>
      </c>
      <c r="C1070" s="81" t="s">
        <v>37</v>
      </c>
      <c r="D1070" s="81" t="s">
        <v>61</v>
      </c>
      <c r="E1070" s="81" t="s">
        <v>71</v>
      </c>
      <c r="F1070" s="81"/>
      <c r="G1070" s="81" t="s">
        <v>131</v>
      </c>
      <c r="H1070" s="112" t="s">
        <v>71</v>
      </c>
      <c r="I1070" s="105">
        <v>1061.2</v>
      </c>
      <c r="J1070" s="81" t="s">
        <v>1054</v>
      </c>
      <c r="K1070" s="84">
        <v>45899</v>
      </c>
      <c r="L1070" s="81">
        <v>2025402830</v>
      </c>
      <c r="M1070" s="81" t="s">
        <v>226</v>
      </c>
      <c r="N1070" s="81">
        <v>2025</v>
      </c>
    </row>
    <row r="1071" spans="1:14">
      <c r="A1071" s="81">
        <v>1070</v>
      </c>
      <c r="B1071" s="81" t="s">
        <v>35</v>
      </c>
      <c r="C1071" s="81" t="s">
        <v>37</v>
      </c>
      <c r="D1071" s="81" t="s">
        <v>61</v>
      </c>
      <c r="E1071" s="112" t="s">
        <v>71</v>
      </c>
      <c r="F1071" s="81"/>
      <c r="G1071" s="81" t="s">
        <v>134</v>
      </c>
      <c r="H1071" s="81" t="s">
        <v>71</v>
      </c>
      <c r="I1071" s="105">
        <v>990</v>
      </c>
      <c r="J1071" s="81" t="s">
        <v>569</v>
      </c>
      <c r="K1071" s="84">
        <v>45848</v>
      </c>
      <c r="L1071" s="81">
        <v>2025402093</v>
      </c>
      <c r="M1071" s="112" t="s">
        <v>225</v>
      </c>
      <c r="N1071" s="81">
        <v>2025</v>
      </c>
    </row>
    <row r="1072" spans="1:14">
      <c r="A1072" s="81">
        <v>1071</v>
      </c>
      <c r="B1072" s="81" t="s">
        <v>35</v>
      </c>
      <c r="C1072" s="81" t="s">
        <v>37</v>
      </c>
      <c r="D1072" s="81" t="s">
        <v>61</v>
      </c>
      <c r="E1072" s="112" t="s">
        <v>71</v>
      </c>
      <c r="F1072" s="81"/>
      <c r="G1072" s="81" t="s">
        <v>132</v>
      </c>
      <c r="H1072" s="112" t="s">
        <v>71</v>
      </c>
      <c r="I1072" s="105">
        <v>942.8</v>
      </c>
      <c r="J1072" s="81" t="s">
        <v>540</v>
      </c>
      <c r="K1072" s="84">
        <v>45850</v>
      </c>
      <c r="L1072" s="81">
        <v>2025402189</v>
      </c>
      <c r="M1072" s="112" t="s">
        <v>225</v>
      </c>
      <c r="N1072" s="81">
        <v>2025</v>
      </c>
    </row>
    <row r="1073" spans="1:14">
      <c r="A1073" s="81">
        <v>1072</v>
      </c>
      <c r="B1073" s="81" t="s">
        <v>35</v>
      </c>
      <c r="C1073" s="81" t="s">
        <v>37</v>
      </c>
      <c r="D1073" s="81" t="s">
        <v>61</v>
      </c>
      <c r="E1073" s="81" t="s">
        <v>71</v>
      </c>
      <c r="F1073" s="81"/>
      <c r="G1073" s="81" t="s">
        <v>134</v>
      </c>
      <c r="H1073" s="81" t="s">
        <v>71</v>
      </c>
      <c r="I1073" s="105">
        <v>860</v>
      </c>
      <c r="J1073" s="81" t="s">
        <v>964</v>
      </c>
      <c r="K1073" s="84">
        <v>45897</v>
      </c>
      <c r="L1073" s="81">
        <v>2025402815</v>
      </c>
      <c r="M1073" s="81" t="s">
        <v>226</v>
      </c>
      <c r="N1073" s="81">
        <v>2025</v>
      </c>
    </row>
    <row r="1074" spans="1:14">
      <c r="A1074" s="81">
        <v>1073</v>
      </c>
      <c r="B1074" s="81" t="s">
        <v>35</v>
      </c>
      <c r="C1074" s="81" t="s">
        <v>37</v>
      </c>
      <c r="D1074" s="81" t="s">
        <v>61</v>
      </c>
      <c r="E1074" s="112" t="s">
        <v>71</v>
      </c>
      <c r="F1074" s="81"/>
      <c r="G1074" s="81" t="s">
        <v>132</v>
      </c>
      <c r="H1074" s="112" t="s">
        <v>71</v>
      </c>
      <c r="I1074" s="105">
        <v>702.96</v>
      </c>
      <c r="J1074" s="81" t="s">
        <v>635</v>
      </c>
      <c r="K1074" s="84">
        <v>45860</v>
      </c>
      <c r="L1074" s="81">
        <v>2025402345</v>
      </c>
      <c r="M1074" s="112" t="s">
        <v>225</v>
      </c>
      <c r="N1074" s="81">
        <v>2025</v>
      </c>
    </row>
    <row r="1075" spans="1:14">
      <c r="A1075" s="81">
        <v>1074</v>
      </c>
      <c r="B1075" s="81" t="s">
        <v>35</v>
      </c>
      <c r="C1075" s="81" t="s">
        <v>37</v>
      </c>
      <c r="D1075" s="81" t="s">
        <v>61</v>
      </c>
      <c r="E1075" s="81" t="s">
        <v>71</v>
      </c>
      <c r="F1075" s="81"/>
      <c r="G1075" s="81" t="s">
        <v>134</v>
      </c>
      <c r="H1075" s="81" t="s">
        <v>71</v>
      </c>
      <c r="I1075" s="105">
        <v>565</v>
      </c>
      <c r="J1075" s="81" t="s">
        <v>966</v>
      </c>
      <c r="K1075" s="84">
        <v>45897</v>
      </c>
      <c r="L1075" s="81">
        <v>2025402800</v>
      </c>
      <c r="M1075" s="81" t="s">
        <v>226</v>
      </c>
      <c r="N1075" s="81">
        <v>2025</v>
      </c>
    </row>
    <row r="1076" spans="1:14">
      <c r="A1076" s="81">
        <v>1075</v>
      </c>
      <c r="B1076" s="81" t="s">
        <v>35</v>
      </c>
      <c r="C1076" s="81" t="s">
        <v>37</v>
      </c>
      <c r="D1076" s="81" t="s">
        <v>61</v>
      </c>
      <c r="E1076" s="81" t="s">
        <v>71</v>
      </c>
      <c r="F1076" s="81"/>
      <c r="G1076" s="81" t="s">
        <v>134</v>
      </c>
      <c r="H1076" s="81" t="s">
        <v>71</v>
      </c>
      <c r="I1076" s="105">
        <v>500</v>
      </c>
      <c r="J1076" s="81" t="s">
        <v>1075</v>
      </c>
      <c r="K1076" s="84">
        <v>45902</v>
      </c>
      <c r="L1076" s="81">
        <v>2025402905</v>
      </c>
      <c r="M1076" s="81" t="s">
        <v>226</v>
      </c>
      <c r="N1076" s="81">
        <v>2025</v>
      </c>
    </row>
    <row r="1077" spans="1:14">
      <c r="A1077" s="81">
        <v>1076</v>
      </c>
      <c r="B1077" s="81" t="s">
        <v>35</v>
      </c>
      <c r="C1077" s="81" t="s">
        <v>37</v>
      </c>
      <c r="D1077" s="81" t="s">
        <v>61</v>
      </c>
      <c r="E1077" s="112" t="s">
        <v>71</v>
      </c>
      <c r="F1077" s="81"/>
      <c r="G1077" s="81" t="s">
        <v>134</v>
      </c>
      <c r="H1077" s="81" t="s">
        <v>71</v>
      </c>
      <c r="I1077" s="105">
        <v>435.5</v>
      </c>
      <c r="J1077" s="81" t="s">
        <v>838</v>
      </c>
      <c r="K1077" s="84">
        <v>45879</v>
      </c>
      <c r="L1077" s="81">
        <v>2025402567</v>
      </c>
      <c r="M1077" s="112" t="s">
        <v>226</v>
      </c>
      <c r="N1077" s="81">
        <v>2025</v>
      </c>
    </row>
    <row r="1078" spans="1:14">
      <c r="A1078" s="81">
        <v>1077</v>
      </c>
      <c r="B1078" s="81" t="s">
        <v>35</v>
      </c>
      <c r="C1078" s="81" t="s">
        <v>37</v>
      </c>
      <c r="D1078" s="81" t="s">
        <v>61</v>
      </c>
      <c r="E1078" s="81" t="s">
        <v>71</v>
      </c>
      <c r="F1078" s="81"/>
      <c r="G1078" s="81" t="s">
        <v>134</v>
      </c>
      <c r="H1078" s="81" t="s">
        <v>71</v>
      </c>
      <c r="I1078" s="105">
        <v>430</v>
      </c>
      <c r="J1078" s="81" t="s">
        <v>926</v>
      </c>
      <c r="K1078" s="84">
        <v>45893</v>
      </c>
      <c r="L1078" s="81">
        <v>2025402664</v>
      </c>
      <c r="M1078" s="81" t="s">
        <v>226</v>
      </c>
      <c r="N1078" s="81">
        <v>2025</v>
      </c>
    </row>
    <row r="1079" spans="1:14">
      <c r="A1079" s="81">
        <v>1078</v>
      </c>
      <c r="B1079" s="81" t="s">
        <v>35</v>
      </c>
      <c r="C1079" s="81" t="s">
        <v>37</v>
      </c>
      <c r="D1079" s="81" t="s">
        <v>61</v>
      </c>
      <c r="E1079" s="112" t="s">
        <v>71</v>
      </c>
      <c r="F1079" s="81"/>
      <c r="G1079" s="81" t="s">
        <v>134</v>
      </c>
      <c r="H1079" s="81" t="s">
        <v>71</v>
      </c>
      <c r="I1079" s="105">
        <v>410</v>
      </c>
      <c r="J1079" s="81" t="s">
        <v>617</v>
      </c>
      <c r="K1079" s="84">
        <v>45855</v>
      </c>
      <c r="L1079" s="81">
        <v>2025402159</v>
      </c>
      <c r="M1079" s="112" t="s">
        <v>225</v>
      </c>
      <c r="N1079" s="81">
        <v>2025</v>
      </c>
    </row>
    <row r="1080" spans="1:14">
      <c r="A1080" s="81">
        <v>1079</v>
      </c>
      <c r="B1080" s="81" t="s">
        <v>35</v>
      </c>
      <c r="C1080" s="81" t="s">
        <v>37</v>
      </c>
      <c r="D1080" s="81" t="s">
        <v>61</v>
      </c>
      <c r="E1080" s="81" t="s">
        <v>71</v>
      </c>
      <c r="F1080" s="81"/>
      <c r="G1080" s="81" t="s">
        <v>260</v>
      </c>
      <c r="H1080" s="81" t="s">
        <v>261</v>
      </c>
      <c r="I1080" s="105">
        <v>345</v>
      </c>
      <c r="J1080" s="81" t="s">
        <v>1104</v>
      </c>
      <c r="K1080" s="84">
        <v>45870</v>
      </c>
      <c r="L1080" s="81">
        <v>2025403223</v>
      </c>
      <c r="M1080" s="81" t="s">
        <v>225</v>
      </c>
      <c r="N1080" s="81">
        <v>2025</v>
      </c>
    </row>
    <row r="1081" spans="1:14">
      <c r="A1081" s="81">
        <v>1080</v>
      </c>
      <c r="B1081" s="81" t="s">
        <v>35</v>
      </c>
      <c r="C1081" s="81" t="s">
        <v>37</v>
      </c>
      <c r="D1081" s="81" t="s">
        <v>61</v>
      </c>
      <c r="E1081" s="112" t="s">
        <v>71</v>
      </c>
      <c r="F1081" s="81"/>
      <c r="G1081" s="102" t="s">
        <v>132</v>
      </c>
      <c r="H1081" s="112" t="s">
        <v>71</v>
      </c>
      <c r="I1081" s="105">
        <v>254.13</v>
      </c>
      <c r="J1081" s="102" t="s">
        <v>514</v>
      </c>
      <c r="K1081" s="84">
        <v>45845</v>
      </c>
      <c r="L1081" s="102">
        <v>2025402052</v>
      </c>
      <c r="M1081" s="112" t="s">
        <v>225</v>
      </c>
      <c r="N1081" s="81">
        <v>2025</v>
      </c>
    </row>
    <row r="1082" spans="1:14">
      <c r="A1082" s="81">
        <v>1081</v>
      </c>
      <c r="B1082" s="81" t="s">
        <v>35</v>
      </c>
      <c r="C1082" s="81" t="s">
        <v>37</v>
      </c>
      <c r="D1082" s="81" t="s">
        <v>61</v>
      </c>
      <c r="E1082" s="81" t="s">
        <v>71</v>
      </c>
      <c r="F1082" s="81"/>
      <c r="G1082" s="81" t="s">
        <v>134</v>
      </c>
      <c r="H1082" s="81" t="s">
        <v>71</v>
      </c>
      <c r="I1082" s="105">
        <v>221.8</v>
      </c>
      <c r="J1082" s="81" t="s">
        <v>618</v>
      </c>
      <c r="K1082" s="84">
        <v>45855</v>
      </c>
      <c r="L1082" s="81">
        <v>2025402157</v>
      </c>
      <c r="M1082" s="112" t="s">
        <v>225</v>
      </c>
      <c r="N1082" s="81">
        <v>2025</v>
      </c>
    </row>
    <row r="1083" spans="1:14">
      <c r="A1083" s="81">
        <v>1082</v>
      </c>
      <c r="B1083" s="81" t="s">
        <v>35</v>
      </c>
      <c r="C1083" s="81" t="s">
        <v>37</v>
      </c>
      <c r="D1083" s="81" t="s">
        <v>61</v>
      </c>
      <c r="E1083" s="112" t="s">
        <v>71</v>
      </c>
      <c r="F1083" s="81"/>
      <c r="G1083" s="81" t="s">
        <v>131</v>
      </c>
      <c r="H1083" s="112" t="s">
        <v>71</v>
      </c>
      <c r="I1083" s="105">
        <v>213.6</v>
      </c>
      <c r="J1083" s="81" t="s">
        <v>839</v>
      </c>
      <c r="K1083" s="84">
        <v>45885</v>
      </c>
      <c r="L1083" s="81">
        <v>2025402658</v>
      </c>
      <c r="M1083" s="112" t="s">
        <v>226</v>
      </c>
      <c r="N1083" s="81">
        <v>2025</v>
      </c>
    </row>
    <row r="1084" spans="1:14">
      <c r="A1084" s="81">
        <v>1083</v>
      </c>
      <c r="B1084" s="81" t="s">
        <v>35</v>
      </c>
      <c r="C1084" s="81" t="s">
        <v>37</v>
      </c>
      <c r="D1084" s="81" t="s">
        <v>61</v>
      </c>
      <c r="E1084" s="112" t="s">
        <v>71</v>
      </c>
      <c r="F1084" s="81"/>
      <c r="G1084" s="81" t="s">
        <v>131</v>
      </c>
      <c r="H1084" s="112" t="s">
        <v>71</v>
      </c>
      <c r="I1084" s="105">
        <v>168.35</v>
      </c>
      <c r="J1084" s="81" t="s">
        <v>682</v>
      </c>
      <c r="K1084" s="84">
        <v>45866</v>
      </c>
      <c r="L1084" s="81">
        <v>2025402346</v>
      </c>
      <c r="M1084" s="112" t="s">
        <v>225</v>
      </c>
      <c r="N1084" s="81">
        <v>2025</v>
      </c>
    </row>
    <row r="1085" spans="1:14">
      <c r="A1085" s="81">
        <v>1084</v>
      </c>
      <c r="B1085" s="81" t="s">
        <v>35</v>
      </c>
      <c r="C1085" s="81" t="s">
        <v>37</v>
      </c>
      <c r="D1085" s="81" t="s">
        <v>61</v>
      </c>
      <c r="E1085" s="112" t="s">
        <v>71</v>
      </c>
      <c r="F1085" s="81"/>
      <c r="G1085" s="81" t="s">
        <v>131</v>
      </c>
      <c r="H1085" s="112" t="s">
        <v>71</v>
      </c>
      <c r="I1085" s="105">
        <v>127.98</v>
      </c>
      <c r="J1085" s="81" t="s">
        <v>610</v>
      </c>
      <c r="K1085" s="84">
        <v>45860</v>
      </c>
      <c r="L1085" s="81">
        <v>2025402374</v>
      </c>
      <c r="M1085" s="112" t="s">
        <v>225</v>
      </c>
      <c r="N1085" s="81">
        <v>2025</v>
      </c>
    </row>
    <row r="1086" spans="1:14">
      <c r="A1086" s="81">
        <v>1085</v>
      </c>
      <c r="B1086" s="81" t="s">
        <v>35</v>
      </c>
      <c r="C1086" s="81" t="s">
        <v>37</v>
      </c>
      <c r="D1086" s="81" t="s">
        <v>61</v>
      </c>
      <c r="E1086" s="112" t="s">
        <v>71</v>
      </c>
      <c r="F1086" s="81"/>
      <c r="G1086" s="81" t="s">
        <v>132</v>
      </c>
      <c r="H1086" s="112" t="s">
        <v>71</v>
      </c>
      <c r="I1086" s="105">
        <v>115.71</v>
      </c>
      <c r="J1086" s="81" t="s">
        <v>541</v>
      </c>
      <c r="K1086" s="84">
        <v>45850</v>
      </c>
      <c r="L1086" s="81">
        <v>2025402187</v>
      </c>
      <c r="M1086" s="112" t="s">
        <v>225</v>
      </c>
      <c r="N1086" s="81">
        <v>2025</v>
      </c>
    </row>
    <row r="1087" spans="1:14">
      <c r="A1087" s="81">
        <v>1086</v>
      </c>
      <c r="B1087" s="81" t="s">
        <v>35</v>
      </c>
      <c r="C1087" s="81" t="s">
        <v>37</v>
      </c>
      <c r="D1087" s="81" t="s">
        <v>61</v>
      </c>
      <c r="E1087" s="81" t="s">
        <v>71</v>
      </c>
      <c r="F1087" s="81"/>
      <c r="G1087" s="81" t="s">
        <v>131</v>
      </c>
      <c r="H1087" s="112" t="s">
        <v>71</v>
      </c>
      <c r="I1087" s="105">
        <v>115.4</v>
      </c>
      <c r="J1087" s="81" t="s">
        <v>1053</v>
      </c>
      <c r="K1087" s="84">
        <v>45899</v>
      </c>
      <c r="L1087" s="81">
        <v>2025402838</v>
      </c>
      <c r="M1087" s="81" t="s">
        <v>226</v>
      </c>
      <c r="N1087" s="81">
        <v>2025</v>
      </c>
    </row>
    <row r="1088" spans="1:14">
      <c r="A1088" s="81">
        <v>1087</v>
      </c>
      <c r="B1088" s="81" t="s">
        <v>35</v>
      </c>
      <c r="C1088" s="81" t="s">
        <v>37</v>
      </c>
      <c r="D1088" s="81" t="s">
        <v>61</v>
      </c>
      <c r="E1088" s="81" t="s">
        <v>71</v>
      </c>
      <c r="F1088" s="81"/>
      <c r="G1088" s="81" t="s">
        <v>132</v>
      </c>
      <c r="H1088" s="112" t="s">
        <v>71</v>
      </c>
      <c r="I1088" s="105">
        <v>92.56</v>
      </c>
      <c r="J1088" s="81" t="s">
        <v>701</v>
      </c>
      <c r="K1088" s="84">
        <v>45867</v>
      </c>
      <c r="L1088" s="81">
        <v>2025402448</v>
      </c>
      <c r="M1088" s="112" t="s">
        <v>225</v>
      </c>
      <c r="N1088" s="81">
        <v>2025</v>
      </c>
    </row>
    <row r="1089" spans="1:14">
      <c r="A1089" s="81">
        <v>1088</v>
      </c>
      <c r="B1089" s="81" t="s">
        <v>35</v>
      </c>
      <c r="C1089" s="81" t="s">
        <v>37</v>
      </c>
      <c r="D1089" s="81" t="s">
        <v>61</v>
      </c>
      <c r="E1089" s="112" t="s">
        <v>71</v>
      </c>
      <c r="F1089" s="81"/>
      <c r="G1089" s="81" t="s">
        <v>134</v>
      </c>
      <c r="H1089" s="81" t="s">
        <v>71</v>
      </c>
      <c r="I1089" s="105">
        <v>80</v>
      </c>
      <c r="J1089" s="81" t="s">
        <v>622</v>
      </c>
      <c r="K1089" s="84">
        <v>45855</v>
      </c>
      <c r="L1089" s="81">
        <v>2025402192</v>
      </c>
      <c r="M1089" s="112" t="s">
        <v>225</v>
      </c>
      <c r="N1089" s="81">
        <v>2025</v>
      </c>
    </row>
    <row r="1090" spans="1:14">
      <c r="A1090" s="81">
        <v>1089</v>
      </c>
      <c r="B1090" s="81" t="s">
        <v>35</v>
      </c>
      <c r="C1090" s="81" t="s">
        <v>37</v>
      </c>
      <c r="D1090" s="81" t="s">
        <v>61</v>
      </c>
      <c r="E1090" s="112" t="s">
        <v>71</v>
      </c>
      <c r="F1090" s="81"/>
      <c r="G1090" s="81" t="s">
        <v>132</v>
      </c>
      <c r="H1090" s="112" t="s">
        <v>71</v>
      </c>
      <c r="I1090" s="105">
        <v>60.6</v>
      </c>
      <c r="J1090" s="81" t="s">
        <v>849</v>
      </c>
      <c r="K1090" s="84">
        <v>45887</v>
      </c>
      <c r="L1090" s="81">
        <v>2025402646</v>
      </c>
      <c r="M1090" s="112" t="s">
        <v>226</v>
      </c>
      <c r="N1090" s="81">
        <v>2025</v>
      </c>
    </row>
    <row r="1091" spans="1:14">
      <c r="A1091" s="81">
        <v>1090</v>
      </c>
      <c r="B1091" s="81" t="s">
        <v>35</v>
      </c>
      <c r="C1091" s="81" t="s">
        <v>37</v>
      </c>
      <c r="D1091" s="81" t="s">
        <v>61</v>
      </c>
      <c r="E1091" s="81" t="s">
        <v>71</v>
      </c>
      <c r="F1091" s="81"/>
      <c r="G1091" s="81" t="s">
        <v>134</v>
      </c>
      <c r="H1091" s="81" t="s">
        <v>71</v>
      </c>
      <c r="I1091" s="105">
        <v>52</v>
      </c>
      <c r="J1091" s="107" t="s">
        <v>903</v>
      </c>
      <c r="K1091" s="113">
        <v>45895</v>
      </c>
      <c r="L1091" s="81">
        <v>2025402777</v>
      </c>
      <c r="M1091" s="81" t="s">
        <v>226</v>
      </c>
      <c r="N1091" s="81">
        <v>2025</v>
      </c>
    </row>
    <row r="1092" spans="1:14">
      <c r="A1092" s="81">
        <v>1091</v>
      </c>
      <c r="B1092" s="81" t="s">
        <v>35</v>
      </c>
      <c r="C1092" s="81" t="s">
        <v>37</v>
      </c>
      <c r="D1092" s="81" t="s">
        <v>61</v>
      </c>
      <c r="E1092" s="112" t="s">
        <v>71</v>
      </c>
      <c r="F1092" s="81"/>
      <c r="G1092" s="81" t="s">
        <v>131</v>
      </c>
      <c r="H1092" s="112" t="s">
        <v>71</v>
      </c>
      <c r="I1092" s="105">
        <v>44</v>
      </c>
      <c r="J1092" s="81" t="s">
        <v>797</v>
      </c>
      <c r="K1092" s="84">
        <v>45875</v>
      </c>
      <c r="L1092" s="81">
        <v>2025402534</v>
      </c>
      <c r="M1092" s="112" t="s">
        <v>226</v>
      </c>
      <c r="N1092" s="81">
        <v>2025</v>
      </c>
    </row>
    <row r="1093" spans="1:14">
      <c r="A1093" s="81">
        <v>1092</v>
      </c>
      <c r="B1093" s="81" t="s">
        <v>35</v>
      </c>
      <c r="C1093" s="81" t="s">
        <v>37</v>
      </c>
      <c r="D1093" s="81" t="s">
        <v>61</v>
      </c>
      <c r="E1093" s="112" t="s">
        <v>71</v>
      </c>
      <c r="F1093" s="81"/>
      <c r="G1093" s="81" t="s">
        <v>129</v>
      </c>
      <c r="H1093" s="112" t="s">
        <v>71</v>
      </c>
      <c r="I1093" s="83">
        <v>38.732394366197184</v>
      </c>
      <c r="J1093" s="81" t="s">
        <v>520</v>
      </c>
      <c r="K1093" s="84">
        <v>45840</v>
      </c>
      <c r="L1093" s="81">
        <v>2025402244</v>
      </c>
      <c r="M1093" s="112" t="s">
        <v>225</v>
      </c>
      <c r="N1093" s="81">
        <v>2025</v>
      </c>
    </row>
    <row r="1094" spans="1:14">
      <c r="A1094" s="81">
        <v>1093</v>
      </c>
      <c r="B1094" s="81" t="s">
        <v>35</v>
      </c>
      <c r="C1094" s="81" t="s">
        <v>37</v>
      </c>
      <c r="D1094" s="81" t="s">
        <v>61</v>
      </c>
      <c r="E1094" s="81" t="s">
        <v>71</v>
      </c>
      <c r="F1094" s="81"/>
      <c r="G1094" s="81" t="s">
        <v>132</v>
      </c>
      <c r="H1094" s="112" t="s">
        <v>71</v>
      </c>
      <c r="I1094" s="105">
        <v>16.07</v>
      </c>
      <c r="J1094" s="107" t="s">
        <v>869</v>
      </c>
      <c r="K1094" s="113">
        <v>45888</v>
      </c>
      <c r="L1094" s="81">
        <v>2025402703</v>
      </c>
      <c r="M1094" s="81" t="s">
        <v>226</v>
      </c>
      <c r="N1094" s="81">
        <v>2025</v>
      </c>
    </row>
    <row r="1095" spans="1:14">
      <c r="A1095" s="81">
        <v>1094</v>
      </c>
      <c r="B1095" s="81" t="s">
        <v>35</v>
      </c>
      <c r="C1095" s="81" t="s">
        <v>37</v>
      </c>
      <c r="D1095" s="81" t="s">
        <v>61</v>
      </c>
      <c r="E1095" s="81" t="s">
        <v>71</v>
      </c>
      <c r="F1095" s="81"/>
      <c r="G1095" s="81" t="s">
        <v>131</v>
      </c>
      <c r="H1095" s="112" t="s">
        <v>71</v>
      </c>
      <c r="I1095" s="105">
        <v>14.21</v>
      </c>
      <c r="J1095" s="81" t="s">
        <v>1000</v>
      </c>
      <c r="K1095" s="84">
        <v>45893</v>
      </c>
      <c r="L1095" s="81">
        <v>2025402825</v>
      </c>
      <c r="M1095" s="81" t="s">
        <v>226</v>
      </c>
      <c r="N1095" s="81">
        <v>2025</v>
      </c>
    </row>
    <row r="1096" spans="1:14">
      <c r="A1096" s="81">
        <v>1095</v>
      </c>
      <c r="B1096" s="81" t="s">
        <v>35</v>
      </c>
      <c r="C1096" s="112" t="s">
        <v>37</v>
      </c>
      <c r="D1096" s="81" t="s">
        <v>61</v>
      </c>
      <c r="E1096" s="81" t="s">
        <v>71</v>
      </c>
      <c r="F1096" s="81"/>
      <c r="G1096" s="81" t="s">
        <v>129</v>
      </c>
      <c r="H1096" s="112" t="s">
        <v>71</v>
      </c>
      <c r="I1096" s="83">
        <v>13.380281690140846</v>
      </c>
      <c r="J1096" s="81" t="s">
        <v>745</v>
      </c>
      <c r="K1096" s="84">
        <v>45861</v>
      </c>
      <c r="L1096" s="81">
        <v>2025402577</v>
      </c>
      <c r="M1096" s="112" t="s">
        <v>225</v>
      </c>
      <c r="N1096" s="81">
        <v>2025</v>
      </c>
    </row>
    <row r="1097" spans="1:14">
      <c r="A1097" s="81">
        <v>1096</v>
      </c>
      <c r="B1097" s="81" t="s">
        <v>35</v>
      </c>
      <c r="C1097" s="81" t="s">
        <v>37</v>
      </c>
      <c r="D1097" s="81" t="s">
        <v>61</v>
      </c>
      <c r="E1097" s="81" t="s">
        <v>71</v>
      </c>
      <c r="F1097" s="81"/>
      <c r="G1097" s="81" t="s">
        <v>129</v>
      </c>
      <c r="H1097" s="112" t="s">
        <v>71</v>
      </c>
      <c r="I1097" s="83">
        <v>7.746478873239437</v>
      </c>
      <c r="J1097" s="81" t="s">
        <v>1114</v>
      </c>
      <c r="K1097" s="84">
        <v>45888</v>
      </c>
      <c r="L1097" s="81">
        <v>2025403247</v>
      </c>
      <c r="M1097" s="81" t="s">
        <v>226</v>
      </c>
      <c r="N1097" s="81">
        <v>2025</v>
      </c>
    </row>
    <row r="1098" spans="1:14">
      <c r="A1098" s="81">
        <v>1097</v>
      </c>
      <c r="B1098" s="109" t="s">
        <v>272</v>
      </c>
      <c r="C1098" s="81" t="s">
        <v>32</v>
      </c>
      <c r="D1098" s="81" t="s">
        <v>61</v>
      </c>
      <c r="E1098" s="81" t="s">
        <v>71</v>
      </c>
      <c r="F1098" s="81"/>
      <c r="G1098" s="81" t="s">
        <v>64</v>
      </c>
      <c r="H1098" s="81" t="s">
        <v>1279</v>
      </c>
      <c r="I1098" s="83">
        <v>392.25352112676057</v>
      </c>
      <c r="J1098" s="81" t="s">
        <v>68</v>
      </c>
      <c r="K1098" s="84">
        <v>45858</v>
      </c>
      <c r="L1098" s="109" t="s">
        <v>14</v>
      </c>
      <c r="M1098" s="81" t="s">
        <v>225</v>
      </c>
      <c r="N1098" s="81">
        <v>2025</v>
      </c>
    </row>
    <row r="1099" spans="1:14">
      <c r="A1099" s="81">
        <v>1098</v>
      </c>
      <c r="B1099" s="81" t="s">
        <v>272</v>
      </c>
      <c r="C1099" s="81" t="s">
        <v>32</v>
      </c>
      <c r="D1099" s="81" t="s">
        <v>61</v>
      </c>
      <c r="E1099" s="81" t="s">
        <v>71</v>
      </c>
      <c r="F1099" s="81"/>
      <c r="G1099" s="81" t="s">
        <v>131</v>
      </c>
      <c r="H1099" s="112" t="s">
        <v>71</v>
      </c>
      <c r="I1099" s="105">
        <v>267.76</v>
      </c>
      <c r="J1099" s="81" t="s">
        <v>1137</v>
      </c>
      <c r="K1099" s="84">
        <v>45860</v>
      </c>
      <c r="L1099" s="81">
        <v>2025402372</v>
      </c>
      <c r="M1099" s="81" t="s">
        <v>225</v>
      </c>
      <c r="N1099" s="81">
        <v>2025</v>
      </c>
    </row>
    <row r="1100" spans="1:14">
      <c r="A1100" s="81">
        <v>1099</v>
      </c>
      <c r="B1100" s="81" t="s">
        <v>43</v>
      </c>
      <c r="C1100" s="81" t="s">
        <v>44</v>
      </c>
      <c r="D1100" s="81" t="s">
        <v>61</v>
      </c>
      <c r="E1100" s="81" t="s">
        <v>71</v>
      </c>
      <c r="F1100" s="81"/>
      <c r="G1100" s="81" t="s">
        <v>131</v>
      </c>
      <c r="H1100" s="112" t="s">
        <v>71</v>
      </c>
      <c r="I1100" s="105">
        <v>3015.7</v>
      </c>
      <c r="J1100" s="81" t="s">
        <v>1024</v>
      </c>
      <c r="K1100" s="84">
        <v>45900</v>
      </c>
      <c r="L1100" s="81">
        <v>2025402625</v>
      </c>
      <c r="M1100" s="81" t="s">
        <v>226</v>
      </c>
      <c r="N1100" s="81">
        <v>2025</v>
      </c>
    </row>
    <row r="1101" spans="1:14">
      <c r="A1101" s="81">
        <v>1100</v>
      </c>
      <c r="B1101" s="81" t="s">
        <v>43</v>
      </c>
      <c r="C1101" s="81" t="s">
        <v>44</v>
      </c>
      <c r="D1101" s="81" t="s">
        <v>61</v>
      </c>
      <c r="E1101" s="81" t="s">
        <v>71</v>
      </c>
      <c r="F1101" s="81"/>
      <c r="G1101" s="81" t="s">
        <v>131</v>
      </c>
      <c r="H1101" s="112" t="s">
        <v>71</v>
      </c>
      <c r="I1101" s="105">
        <v>1365.54</v>
      </c>
      <c r="J1101" s="81" t="s">
        <v>1060</v>
      </c>
      <c r="K1101" s="84">
        <v>45899</v>
      </c>
      <c r="L1101" s="81">
        <v>2025402835</v>
      </c>
      <c r="M1101" s="81" t="s">
        <v>226</v>
      </c>
      <c r="N1101" s="81">
        <v>2025</v>
      </c>
    </row>
    <row r="1102" spans="1:14">
      <c r="A1102" s="81">
        <v>1101</v>
      </c>
      <c r="B1102" s="81" t="s">
        <v>43</v>
      </c>
      <c r="C1102" s="81" t="s">
        <v>44</v>
      </c>
      <c r="D1102" s="81" t="s">
        <v>61</v>
      </c>
      <c r="E1102" s="81" t="s">
        <v>71</v>
      </c>
      <c r="F1102" s="81"/>
      <c r="G1102" s="81" t="s">
        <v>134</v>
      </c>
      <c r="H1102" s="81" t="s">
        <v>71</v>
      </c>
      <c r="I1102" s="105">
        <v>1364</v>
      </c>
      <c r="J1102" s="81" t="s">
        <v>679</v>
      </c>
      <c r="K1102" s="84">
        <v>45865</v>
      </c>
      <c r="L1102" s="81">
        <v>2025402348</v>
      </c>
      <c r="M1102" s="112" t="s">
        <v>225</v>
      </c>
      <c r="N1102" s="81">
        <v>2025</v>
      </c>
    </row>
    <row r="1103" spans="1:14">
      <c r="A1103" s="81">
        <v>1102</v>
      </c>
      <c r="B1103" s="81" t="s">
        <v>43</v>
      </c>
      <c r="C1103" s="81" t="s">
        <v>44</v>
      </c>
      <c r="D1103" s="81" t="s">
        <v>61</v>
      </c>
      <c r="E1103" s="112" t="s">
        <v>71</v>
      </c>
      <c r="F1103" s="81"/>
      <c r="G1103" s="81" t="s">
        <v>132</v>
      </c>
      <c r="H1103" s="112" t="s">
        <v>71</v>
      </c>
      <c r="I1103" s="105">
        <v>1321.8</v>
      </c>
      <c r="J1103" s="81" t="s">
        <v>740</v>
      </c>
      <c r="K1103" s="84">
        <v>45872</v>
      </c>
      <c r="L1103" s="81">
        <v>2025402449</v>
      </c>
      <c r="M1103" s="112" t="s">
        <v>226</v>
      </c>
      <c r="N1103" s="81">
        <v>2025</v>
      </c>
    </row>
    <row r="1104" spans="1:14">
      <c r="A1104" s="81">
        <v>1103</v>
      </c>
      <c r="B1104" s="81" t="s">
        <v>43</v>
      </c>
      <c r="C1104" s="81" t="s">
        <v>44</v>
      </c>
      <c r="D1104" s="81" t="s">
        <v>61</v>
      </c>
      <c r="E1104" s="81" t="s">
        <v>71</v>
      </c>
      <c r="F1104" s="81"/>
      <c r="G1104" s="81" t="s">
        <v>131</v>
      </c>
      <c r="H1104" s="112" t="s">
        <v>71</v>
      </c>
      <c r="I1104" s="105">
        <v>574.15</v>
      </c>
      <c r="J1104" s="81" t="s">
        <v>1136</v>
      </c>
      <c r="K1104" s="84">
        <v>45872</v>
      </c>
      <c r="L1104" s="81">
        <v>2025402525</v>
      </c>
      <c r="M1104" s="81" t="s">
        <v>226</v>
      </c>
      <c r="N1104" s="81">
        <v>2025</v>
      </c>
    </row>
    <row r="1105" spans="1:14">
      <c r="A1105" s="81">
        <v>1104</v>
      </c>
      <c r="B1105" s="81" t="s">
        <v>43</v>
      </c>
      <c r="C1105" s="81" t="s">
        <v>44</v>
      </c>
      <c r="D1105" s="81" t="s">
        <v>61</v>
      </c>
      <c r="E1105" s="112" t="s">
        <v>71</v>
      </c>
      <c r="F1105" s="81"/>
      <c r="G1105" s="81" t="s">
        <v>134</v>
      </c>
      <c r="H1105" s="81" t="s">
        <v>71</v>
      </c>
      <c r="I1105" s="105">
        <v>328</v>
      </c>
      <c r="J1105" s="81" t="s">
        <v>573</v>
      </c>
      <c r="K1105" s="84">
        <v>45848</v>
      </c>
      <c r="L1105" s="81">
        <v>2025401967</v>
      </c>
      <c r="M1105" s="112" t="s">
        <v>225</v>
      </c>
      <c r="N1105" s="81">
        <v>2025</v>
      </c>
    </row>
    <row r="1106" spans="1:14">
      <c r="A1106" s="81">
        <v>1105</v>
      </c>
      <c r="B1106" s="81" t="s">
        <v>43</v>
      </c>
      <c r="C1106" s="81" t="s">
        <v>44</v>
      </c>
      <c r="D1106" s="81" t="s">
        <v>61</v>
      </c>
      <c r="E1106" s="81" t="s">
        <v>71</v>
      </c>
      <c r="F1106" s="81"/>
      <c r="G1106" s="81" t="s">
        <v>132</v>
      </c>
      <c r="H1106" s="112" t="s">
        <v>71</v>
      </c>
      <c r="I1106" s="105">
        <v>97.68</v>
      </c>
      <c r="J1106" s="81" t="s">
        <v>606</v>
      </c>
      <c r="K1106" s="84">
        <v>45855</v>
      </c>
      <c r="L1106" s="81">
        <v>2025402211</v>
      </c>
      <c r="M1106" s="112" t="s">
        <v>225</v>
      </c>
      <c r="N1106" s="81">
        <v>2025</v>
      </c>
    </row>
    <row r="1107" spans="1:14">
      <c r="A1107" s="81">
        <v>1106</v>
      </c>
      <c r="B1107" s="81" t="s">
        <v>43</v>
      </c>
      <c r="C1107" s="81" t="s">
        <v>70</v>
      </c>
      <c r="D1107" s="81" t="s">
        <v>61</v>
      </c>
      <c r="E1107" s="81" t="s">
        <v>71</v>
      </c>
      <c r="F1107" s="81"/>
      <c r="G1107" s="81" t="s">
        <v>134</v>
      </c>
      <c r="H1107" s="81" t="s">
        <v>71</v>
      </c>
      <c r="I1107" s="105">
        <v>1971.6</v>
      </c>
      <c r="J1107" s="81" t="s">
        <v>819</v>
      </c>
      <c r="K1107" s="84">
        <v>45833</v>
      </c>
      <c r="L1107" s="81">
        <v>2025401491</v>
      </c>
      <c r="M1107" s="112" t="s">
        <v>226</v>
      </c>
      <c r="N1107" s="81">
        <v>2025</v>
      </c>
    </row>
    <row r="1108" spans="1:14">
      <c r="A1108" s="81">
        <v>1107</v>
      </c>
      <c r="B1108" s="81" t="s">
        <v>43</v>
      </c>
      <c r="C1108" s="81" t="s">
        <v>70</v>
      </c>
      <c r="D1108" s="81" t="s">
        <v>61</v>
      </c>
      <c r="E1108" s="81" t="s">
        <v>71</v>
      </c>
      <c r="F1108" s="81"/>
      <c r="G1108" s="81" t="s">
        <v>64</v>
      </c>
      <c r="H1108" s="81" t="s">
        <v>1282</v>
      </c>
      <c r="I1108" s="83">
        <v>1436.6197183098591</v>
      </c>
      <c r="J1108" s="81" t="s">
        <v>68</v>
      </c>
      <c r="K1108" s="84">
        <v>45907</v>
      </c>
      <c r="L1108" s="109" t="s">
        <v>14</v>
      </c>
      <c r="M1108" s="81" t="s">
        <v>225</v>
      </c>
      <c r="N1108" s="81">
        <v>2025</v>
      </c>
    </row>
    <row r="1109" spans="1:14">
      <c r="A1109" s="81">
        <v>1108</v>
      </c>
      <c r="B1109" s="81" t="s">
        <v>43</v>
      </c>
      <c r="C1109" s="81" t="s">
        <v>70</v>
      </c>
      <c r="D1109" s="81" t="s">
        <v>61</v>
      </c>
      <c r="E1109" s="81" t="s">
        <v>71</v>
      </c>
      <c r="F1109" s="81"/>
      <c r="G1109" s="81" t="s">
        <v>64</v>
      </c>
      <c r="H1109" s="81" t="s">
        <v>1282</v>
      </c>
      <c r="I1109" s="83">
        <v>616.19718309859149</v>
      </c>
      <c r="J1109" s="81" t="s">
        <v>68</v>
      </c>
      <c r="K1109" s="84">
        <v>45833</v>
      </c>
      <c r="L1109" s="109" t="s">
        <v>14</v>
      </c>
      <c r="M1109" s="81" t="s">
        <v>225</v>
      </c>
      <c r="N1109" s="81">
        <v>2025</v>
      </c>
    </row>
    <row r="1110" spans="1:14">
      <c r="A1110" s="81">
        <v>1109</v>
      </c>
      <c r="B1110" s="81" t="s">
        <v>55</v>
      </c>
      <c r="C1110" s="81" t="s">
        <v>56</v>
      </c>
      <c r="D1110" s="81" t="s">
        <v>61</v>
      </c>
      <c r="E1110" s="112" t="s">
        <v>71</v>
      </c>
      <c r="F1110" s="81"/>
      <c r="G1110" s="81" t="s">
        <v>487</v>
      </c>
      <c r="H1110" s="81" t="s">
        <v>71</v>
      </c>
      <c r="I1110" s="105">
        <v>102850</v>
      </c>
      <c r="J1110" s="81" t="s">
        <v>820</v>
      </c>
      <c r="K1110" s="84">
        <v>45763</v>
      </c>
      <c r="L1110" s="81">
        <v>2025401411</v>
      </c>
      <c r="M1110" s="112" t="s">
        <v>226</v>
      </c>
      <c r="N1110" s="81">
        <v>2025</v>
      </c>
    </row>
    <row r="1111" spans="1:14">
      <c r="A1111" s="81">
        <v>1110</v>
      </c>
      <c r="B1111" s="81" t="s">
        <v>55</v>
      </c>
      <c r="C1111" s="81" t="s">
        <v>56</v>
      </c>
      <c r="D1111" s="81" t="s">
        <v>61</v>
      </c>
      <c r="E1111" s="81" t="s">
        <v>71</v>
      </c>
      <c r="F1111" s="81"/>
      <c r="G1111" s="81" t="s">
        <v>497</v>
      </c>
      <c r="H1111" s="81" t="s">
        <v>71</v>
      </c>
      <c r="I1111" s="105">
        <v>55000</v>
      </c>
      <c r="J1111" s="81" t="s">
        <v>1131</v>
      </c>
      <c r="K1111" s="84">
        <v>45866</v>
      </c>
      <c r="L1111" s="81">
        <v>2025401691</v>
      </c>
      <c r="M1111" s="81" t="s">
        <v>226</v>
      </c>
      <c r="N1111" s="81">
        <v>2025</v>
      </c>
    </row>
    <row r="1112" spans="1:14">
      <c r="A1112" s="81">
        <v>1111</v>
      </c>
      <c r="B1112" s="81" t="s">
        <v>55</v>
      </c>
      <c r="C1112" s="81" t="s">
        <v>56</v>
      </c>
      <c r="D1112" s="81" t="s">
        <v>61</v>
      </c>
      <c r="E1112" s="81" t="s">
        <v>71</v>
      </c>
      <c r="F1112" s="81"/>
      <c r="G1112" s="81" t="s">
        <v>252</v>
      </c>
      <c r="H1112" s="81" t="s">
        <v>255</v>
      </c>
      <c r="I1112" s="83">
        <v>40492.957746478874</v>
      </c>
      <c r="J1112" s="81" t="s">
        <v>281</v>
      </c>
      <c r="K1112" s="84">
        <v>45854</v>
      </c>
      <c r="L1112" s="81">
        <v>2025402388</v>
      </c>
      <c r="M1112" s="81" t="s">
        <v>225</v>
      </c>
      <c r="N1112" s="81">
        <v>2025</v>
      </c>
    </row>
    <row r="1113" spans="1:14">
      <c r="A1113" s="81">
        <v>1112</v>
      </c>
      <c r="B1113" s="81" t="s">
        <v>55</v>
      </c>
      <c r="C1113" s="81" t="s">
        <v>56</v>
      </c>
      <c r="D1113" s="81" t="s">
        <v>61</v>
      </c>
      <c r="E1113" s="81" t="s">
        <v>71</v>
      </c>
      <c r="F1113" s="81"/>
      <c r="G1113" s="81" t="s">
        <v>243</v>
      </c>
      <c r="H1113" s="109" t="s">
        <v>254</v>
      </c>
      <c r="I1113" s="105">
        <v>36492</v>
      </c>
      <c r="J1113" s="81" t="s">
        <v>1079</v>
      </c>
      <c r="K1113" s="84">
        <v>45900</v>
      </c>
      <c r="L1113" s="81">
        <v>2025402979</v>
      </c>
      <c r="M1113" s="81" t="s">
        <v>226</v>
      </c>
      <c r="N1113" s="81">
        <v>2025</v>
      </c>
    </row>
    <row r="1114" spans="1:14">
      <c r="A1114" s="81">
        <v>1113</v>
      </c>
      <c r="B1114" s="81" t="s">
        <v>55</v>
      </c>
      <c r="C1114" s="81" t="s">
        <v>56</v>
      </c>
      <c r="D1114" s="81" t="s">
        <v>61</v>
      </c>
      <c r="E1114" s="81" t="s">
        <v>71</v>
      </c>
      <c r="F1114" s="81"/>
      <c r="G1114" s="81" t="s">
        <v>302</v>
      </c>
      <c r="H1114" s="81" t="s">
        <v>71</v>
      </c>
      <c r="I1114" s="105">
        <v>21000</v>
      </c>
      <c r="J1114" s="81" t="s">
        <v>1096</v>
      </c>
      <c r="K1114" s="84">
        <v>45865</v>
      </c>
      <c r="L1114" s="81">
        <v>2025402562</v>
      </c>
      <c r="M1114" s="81" t="s">
        <v>225</v>
      </c>
      <c r="N1114" s="81">
        <v>2025</v>
      </c>
    </row>
    <row r="1115" spans="1:14">
      <c r="A1115" s="81">
        <v>1114</v>
      </c>
      <c r="B1115" s="112" t="s">
        <v>55</v>
      </c>
      <c r="C1115" s="112" t="s">
        <v>56</v>
      </c>
      <c r="D1115" s="81" t="s">
        <v>61</v>
      </c>
      <c r="E1115" s="112" t="s">
        <v>71</v>
      </c>
      <c r="F1115" s="81"/>
      <c r="G1115" s="112" t="s">
        <v>252</v>
      </c>
      <c r="H1115" s="81" t="s">
        <v>255</v>
      </c>
      <c r="I1115" s="83">
        <v>16197.183098591549</v>
      </c>
      <c r="J1115" s="81" t="s">
        <v>775</v>
      </c>
      <c r="K1115" s="84">
        <v>45874</v>
      </c>
      <c r="L1115" s="81">
        <v>2025402305</v>
      </c>
      <c r="M1115" s="112" t="s">
        <v>226</v>
      </c>
      <c r="N1115" s="81">
        <v>2025</v>
      </c>
    </row>
    <row r="1116" spans="1:14">
      <c r="A1116" s="81">
        <v>1115</v>
      </c>
      <c r="B1116" s="81" t="s">
        <v>55</v>
      </c>
      <c r="C1116" s="81" t="s">
        <v>56</v>
      </c>
      <c r="D1116" s="81" t="s">
        <v>61</v>
      </c>
      <c r="E1116" s="81" t="s">
        <v>71</v>
      </c>
      <c r="F1116" s="81"/>
      <c r="G1116" s="81" t="s">
        <v>277</v>
      </c>
      <c r="H1116" s="112" t="s">
        <v>71</v>
      </c>
      <c r="I1116" s="83">
        <v>13855.633802816901</v>
      </c>
      <c r="J1116" s="81" t="s">
        <v>1002</v>
      </c>
      <c r="K1116" s="84">
        <v>45869</v>
      </c>
      <c r="L1116" s="81">
        <v>2025402570</v>
      </c>
      <c r="M1116" s="81" t="s">
        <v>226</v>
      </c>
      <c r="N1116" s="81">
        <v>2025</v>
      </c>
    </row>
    <row r="1117" spans="1:14">
      <c r="A1117" s="81">
        <v>1116</v>
      </c>
      <c r="B1117" s="81" t="s">
        <v>55</v>
      </c>
      <c r="C1117" s="81" t="s">
        <v>56</v>
      </c>
      <c r="D1117" s="81" t="s">
        <v>61</v>
      </c>
      <c r="E1117" s="81" t="s">
        <v>71</v>
      </c>
      <c r="F1117" s="81"/>
      <c r="G1117" s="81" t="s">
        <v>277</v>
      </c>
      <c r="H1117" s="112" t="s">
        <v>71</v>
      </c>
      <c r="I1117" s="83">
        <v>10845.070422535211</v>
      </c>
      <c r="J1117" s="81" t="s">
        <v>1006</v>
      </c>
      <c r="K1117" s="84">
        <v>45867</v>
      </c>
      <c r="L1117" s="81">
        <v>2025402569</v>
      </c>
      <c r="M1117" s="81" t="s">
        <v>226</v>
      </c>
      <c r="N1117" s="81">
        <v>2025</v>
      </c>
    </row>
    <row r="1118" spans="1:14">
      <c r="A1118" s="81">
        <v>1117</v>
      </c>
      <c r="B1118" s="81" t="s">
        <v>55</v>
      </c>
      <c r="C1118" s="81" t="s">
        <v>56</v>
      </c>
      <c r="D1118" s="81" t="s">
        <v>61</v>
      </c>
      <c r="E1118" s="81" t="s">
        <v>71</v>
      </c>
      <c r="F1118" s="81"/>
      <c r="G1118" s="81" t="s">
        <v>252</v>
      </c>
      <c r="H1118" s="81" t="s">
        <v>255</v>
      </c>
      <c r="I1118" s="83">
        <v>10211.267605633802</v>
      </c>
      <c r="J1118" s="81" t="s">
        <v>1073</v>
      </c>
      <c r="K1118" s="84">
        <v>45872</v>
      </c>
      <c r="L1118" s="81">
        <v>2025402531</v>
      </c>
      <c r="M1118" s="81" t="s">
        <v>226</v>
      </c>
      <c r="N1118" s="81">
        <v>2025</v>
      </c>
    </row>
    <row r="1119" spans="1:14">
      <c r="A1119" s="81">
        <v>1118</v>
      </c>
      <c r="B1119" s="81" t="s">
        <v>273</v>
      </c>
      <c r="C1119" s="81" t="s">
        <v>56</v>
      </c>
      <c r="D1119" s="81" t="s">
        <v>61</v>
      </c>
      <c r="E1119" s="81" t="s">
        <v>71</v>
      </c>
      <c r="F1119" s="81"/>
      <c r="G1119" s="81" t="s">
        <v>479</v>
      </c>
      <c r="H1119" s="81" t="s">
        <v>71</v>
      </c>
      <c r="I1119" s="105">
        <v>10150</v>
      </c>
      <c r="J1119" s="81" t="s">
        <v>580</v>
      </c>
      <c r="K1119" s="84">
        <v>45845</v>
      </c>
      <c r="L1119" s="81">
        <v>2025402300</v>
      </c>
      <c r="M1119" s="112" t="s">
        <v>225</v>
      </c>
      <c r="N1119" s="81">
        <v>2025</v>
      </c>
    </row>
    <row r="1120" spans="1:14">
      <c r="A1120" s="81">
        <v>1119</v>
      </c>
      <c r="B1120" s="81" t="s">
        <v>55</v>
      </c>
      <c r="C1120" s="81" t="s">
        <v>56</v>
      </c>
      <c r="D1120" s="81" t="s">
        <v>61</v>
      </c>
      <c r="E1120" s="81" t="s">
        <v>71</v>
      </c>
      <c r="F1120" s="81"/>
      <c r="G1120" s="81" t="s">
        <v>259</v>
      </c>
      <c r="H1120" s="81" t="s">
        <v>71</v>
      </c>
      <c r="I1120" s="105">
        <v>9386.92</v>
      </c>
      <c r="J1120" s="81" t="s">
        <v>1128</v>
      </c>
      <c r="K1120" s="84">
        <v>45874</v>
      </c>
      <c r="L1120" s="81">
        <v>2025402643</v>
      </c>
      <c r="M1120" s="81" t="s">
        <v>226</v>
      </c>
      <c r="N1120" s="81">
        <v>2025</v>
      </c>
    </row>
    <row r="1121" spans="1:14">
      <c r="A1121" s="81">
        <v>1120</v>
      </c>
      <c r="B1121" s="81" t="s">
        <v>55</v>
      </c>
      <c r="C1121" s="81" t="s">
        <v>56</v>
      </c>
      <c r="D1121" s="81" t="s">
        <v>61</v>
      </c>
      <c r="E1121" s="81" t="s">
        <v>71</v>
      </c>
      <c r="F1121" s="81"/>
      <c r="G1121" s="81" t="s">
        <v>251</v>
      </c>
      <c r="H1121" s="109" t="s">
        <v>256</v>
      </c>
      <c r="I1121" s="83">
        <v>8596.4788732394372</v>
      </c>
      <c r="J1121" s="81" t="s">
        <v>1090</v>
      </c>
      <c r="K1121" s="84">
        <v>45890</v>
      </c>
      <c r="L1121" s="81">
        <v>2025403016</v>
      </c>
      <c r="M1121" s="81" t="s">
        <v>226</v>
      </c>
      <c r="N1121" s="81">
        <v>2025</v>
      </c>
    </row>
    <row r="1122" spans="1:14">
      <c r="A1122" s="81">
        <v>1121</v>
      </c>
      <c r="B1122" s="81" t="s">
        <v>55</v>
      </c>
      <c r="C1122" s="81" t="s">
        <v>56</v>
      </c>
      <c r="D1122" s="81" t="s">
        <v>61</v>
      </c>
      <c r="E1122" s="112" t="s">
        <v>71</v>
      </c>
      <c r="F1122" s="81"/>
      <c r="G1122" s="81" t="s">
        <v>479</v>
      </c>
      <c r="H1122" s="81" t="s">
        <v>71</v>
      </c>
      <c r="I1122" s="105">
        <v>8350</v>
      </c>
      <c r="J1122" s="81" t="s">
        <v>746</v>
      </c>
      <c r="K1122" s="84">
        <v>45875</v>
      </c>
      <c r="L1122" s="81">
        <v>2025402464</v>
      </c>
      <c r="M1122" s="112" t="s">
        <v>226</v>
      </c>
      <c r="N1122" s="81">
        <v>2025</v>
      </c>
    </row>
    <row r="1123" spans="1:14">
      <c r="A1123" s="81">
        <v>1122</v>
      </c>
      <c r="B1123" s="81" t="s">
        <v>273</v>
      </c>
      <c r="C1123" s="81" t="s">
        <v>56</v>
      </c>
      <c r="D1123" s="81" t="s">
        <v>61</v>
      </c>
      <c r="E1123" s="81" t="s">
        <v>71</v>
      </c>
      <c r="F1123" s="81"/>
      <c r="G1123" s="81" t="s">
        <v>243</v>
      </c>
      <c r="H1123" s="109" t="s">
        <v>254</v>
      </c>
      <c r="I1123" s="105">
        <v>7800</v>
      </c>
      <c r="J1123" s="81" t="s">
        <v>581</v>
      </c>
      <c r="K1123" s="84">
        <v>45853</v>
      </c>
      <c r="L1123" s="81">
        <v>2025402273</v>
      </c>
      <c r="M1123" s="112" t="s">
        <v>225</v>
      </c>
      <c r="N1123" s="81">
        <v>2025</v>
      </c>
    </row>
    <row r="1124" spans="1:14">
      <c r="A1124" s="81">
        <v>1123</v>
      </c>
      <c r="B1124" s="81" t="s">
        <v>55</v>
      </c>
      <c r="C1124" s="81" t="s">
        <v>56</v>
      </c>
      <c r="D1124" s="81" t="s">
        <v>61</v>
      </c>
      <c r="E1124" s="112" t="s">
        <v>71</v>
      </c>
      <c r="F1124" s="81"/>
      <c r="G1124" s="81" t="s">
        <v>252</v>
      </c>
      <c r="H1124" s="81" t="s">
        <v>255</v>
      </c>
      <c r="I1124" s="83">
        <v>7605.6338028169012</v>
      </c>
      <c r="J1124" s="81" t="s">
        <v>729</v>
      </c>
      <c r="K1124" s="84">
        <v>45866</v>
      </c>
      <c r="L1124" s="81">
        <v>2025402461</v>
      </c>
      <c r="M1124" s="112" t="s">
        <v>225</v>
      </c>
      <c r="N1124" s="81">
        <v>2025</v>
      </c>
    </row>
    <row r="1125" spans="1:14">
      <c r="A1125" s="81">
        <v>1124</v>
      </c>
      <c r="B1125" s="81" t="s">
        <v>55</v>
      </c>
      <c r="C1125" s="81" t="s">
        <v>56</v>
      </c>
      <c r="D1125" s="81" t="s">
        <v>61</v>
      </c>
      <c r="E1125" s="81" t="s">
        <v>71</v>
      </c>
      <c r="F1125" s="81"/>
      <c r="G1125" s="81" t="s">
        <v>275</v>
      </c>
      <c r="H1125" s="81" t="s">
        <v>258</v>
      </c>
      <c r="I1125" s="83">
        <v>7535.211267605634</v>
      </c>
      <c r="J1125" s="81" t="s">
        <v>1034</v>
      </c>
      <c r="K1125" s="84">
        <v>45889</v>
      </c>
      <c r="L1125" s="81">
        <v>2025402565</v>
      </c>
      <c r="M1125" s="81" t="s">
        <v>226</v>
      </c>
      <c r="N1125" s="81">
        <v>2025</v>
      </c>
    </row>
    <row r="1126" spans="1:14">
      <c r="A1126" s="81">
        <v>1125</v>
      </c>
      <c r="B1126" s="81" t="s">
        <v>55</v>
      </c>
      <c r="C1126" s="81" t="s">
        <v>56</v>
      </c>
      <c r="D1126" s="81" t="s">
        <v>61</v>
      </c>
      <c r="E1126" s="112" t="s">
        <v>71</v>
      </c>
      <c r="F1126" s="81"/>
      <c r="G1126" s="81" t="s">
        <v>276</v>
      </c>
      <c r="H1126" s="81" t="s">
        <v>285</v>
      </c>
      <c r="I1126" s="105">
        <v>7250</v>
      </c>
      <c r="J1126" s="81" t="s">
        <v>728</v>
      </c>
      <c r="K1126" s="84">
        <v>45862</v>
      </c>
      <c r="L1126" s="81">
        <v>2025402443</v>
      </c>
      <c r="M1126" s="112" t="s">
        <v>225</v>
      </c>
      <c r="N1126" s="81">
        <v>2025</v>
      </c>
    </row>
    <row r="1127" spans="1:14">
      <c r="A1127" s="81">
        <v>1126</v>
      </c>
      <c r="B1127" s="81" t="s">
        <v>273</v>
      </c>
      <c r="C1127" s="81" t="s">
        <v>56</v>
      </c>
      <c r="D1127" s="81" t="s">
        <v>61</v>
      </c>
      <c r="E1127" s="112" t="s">
        <v>71</v>
      </c>
      <c r="F1127" s="81"/>
      <c r="G1127" s="81" t="s">
        <v>278</v>
      </c>
      <c r="H1127" s="81" t="s">
        <v>71</v>
      </c>
      <c r="I1127" s="83">
        <v>7000</v>
      </c>
      <c r="J1127" s="81" t="s">
        <v>253</v>
      </c>
      <c r="K1127" s="84">
        <v>45851</v>
      </c>
      <c r="L1127" s="81">
        <v>2025402414</v>
      </c>
      <c r="M1127" s="112" t="s">
        <v>225</v>
      </c>
      <c r="N1127" s="81">
        <v>2025</v>
      </c>
    </row>
    <row r="1128" spans="1:14">
      <c r="A1128" s="81">
        <v>1127</v>
      </c>
      <c r="B1128" s="112" t="s">
        <v>55</v>
      </c>
      <c r="C1128" s="112" t="s">
        <v>56</v>
      </c>
      <c r="D1128" s="81" t="s">
        <v>61</v>
      </c>
      <c r="E1128" s="112" t="s">
        <v>71</v>
      </c>
      <c r="F1128" s="81"/>
      <c r="G1128" s="112" t="s">
        <v>275</v>
      </c>
      <c r="H1128" s="81" t="s">
        <v>258</v>
      </c>
      <c r="I1128" s="83">
        <v>6901.4084507042253</v>
      </c>
      <c r="J1128" s="81" t="s">
        <v>609</v>
      </c>
      <c r="K1128" s="84">
        <v>45851</v>
      </c>
      <c r="L1128" s="81">
        <v>2025402232</v>
      </c>
      <c r="M1128" s="112" t="s">
        <v>225</v>
      </c>
      <c r="N1128" s="81">
        <v>2025</v>
      </c>
    </row>
    <row r="1129" spans="1:14">
      <c r="A1129" s="81">
        <v>1128</v>
      </c>
      <c r="B1129" s="81" t="s">
        <v>55</v>
      </c>
      <c r="C1129" s="81" t="s">
        <v>56</v>
      </c>
      <c r="D1129" s="81" t="s">
        <v>61</v>
      </c>
      <c r="E1129" s="81" t="s">
        <v>71</v>
      </c>
      <c r="F1129" s="81"/>
      <c r="G1129" s="81" t="s">
        <v>493</v>
      </c>
      <c r="H1129" s="81" t="s">
        <v>71</v>
      </c>
      <c r="I1129" s="105">
        <v>6800</v>
      </c>
      <c r="J1129" s="81" t="s">
        <v>1091</v>
      </c>
      <c r="K1129" s="84">
        <v>45866</v>
      </c>
      <c r="L1129" s="81">
        <v>2025402564</v>
      </c>
      <c r="M1129" s="81" t="s">
        <v>225</v>
      </c>
      <c r="N1129" s="81">
        <v>2025</v>
      </c>
    </row>
    <row r="1130" spans="1:14">
      <c r="A1130" s="81">
        <v>1129</v>
      </c>
      <c r="B1130" s="112" t="s">
        <v>273</v>
      </c>
      <c r="C1130" s="112" t="s">
        <v>56</v>
      </c>
      <c r="D1130" s="81" t="s">
        <v>61</v>
      </c>
      <c r="E1130" s="112" t="s">
        <v>71</v>
      </c>
      <c r="F1130" s="81"/>
      <c r="G1130" s="112" t="s">
        <v>246</v>
      </c>
      <c r="H1130" s="81" t="s">
        <v>71</v>
      </c>
      <c r="I1130" s="83">
        <v>6596.4788732394363</v>
      </c>
      <c r="J1130" s="81" t="s">
        <v>633</v>
      </c>
      <c r="K1130" s="84">
        <v>45863</v>
      </c>
      <c r="L1130" s="81">
        <v>2025402289</v>
      </c>
      <c r="M1130" s="112" t="s">
        <v>225</v>
      </c>
      <c r="N1130" s="81">
        <v>2025</v>
      </c>
    </row>
    <row r="1131" spans="1:14">
      <c r="A1131" s="81">
        <v>1130</v>
      </c>
      <c r="B1131" s="81" t="s">
        <v>55</v>
      </c>
      <c r="C1131" s="81" t="s">
        <v>56</v>
      </c>
      <c r="D1131" s="81" t="s">
        <v>61</v>
      </c>
      <c r="E1131" s="112" t="s">
        <v>71</v>
      </c>
      <c r="F1131" s="81"/>
      <c r="G1131" s="102" t="s">
        <v>134</v>
      </c>
      <c r="H1131" s="81" t="s">
        <v>71</v>
      </c>
      <c r="I1131" s="105">
        <v>5740</v>
      </c>
      <c r="J1131" s="102" t="s">
        <v>561</v>
      </c>
      <c r="K1131" s="84">
        <v>45846</v>
      </c>
      <c r="L1131" s="102">
        <v>2025402106</v>
      </c>
      <c r="M1131" s="112" t="s">
        <v>225</v>
      </c>
      <c r="N1131" s="81">
        <v>2025</v>
      </c>
    </row>
    <row r="1132" spans="1:14">
      <c r="A1132" s="81">
        <v>1131</v>
      </c>
      <c r="B1132" s="81" t="s">
        <v>55</v>
      </c>
      <c r="C1132" s="81" t="s">
        <v>56</v>
      </c>
      <c r="D1132" s="81" t="s">
        <v>61</v>
      </c>
      <c r="E1132" s="112" t="s">
        <v>71</v>
      </c>
      <c r="F1132" s="81"/>
      <c r="G1132" s="81" t="s">
        <v>251</v>
      </c>
      <c r="H1132" s="109" t="s">
        <v>256</v>
      </c>
      <c r="I1132" s="83">
        <v>5712.6760563380285</v>
      </c>
      <c r="J1132" s="81" t="s">
        <v>539</v>
      </c>
      <c r="K1132" s="84">
        <v>45845</v>
      </c>
      <c r="L1132" s="81">
        <v>2025402231</v>
      </c>
      <c r="M1132" s="112" t="s">
        <v>225</v>
      </c>
      <c r="N1132" s="81">
        <v>2025</v>
      </c>
    </row>
    <row r="1133" spans="1:14">
      <c r="A1133" s="81">
        <v>1132</v>
      </c>
      <c r="B1133" s="81" t="s">
        <v>273</v>
      </c>
      <c r="C1133" s="81" t="s">
        <v>56</v>
      </c>
      <c r="D1133" s="81" t="s">
        <v>61</v>
      </c>
      <c r="E1133" s="112" t="s">
        <v>71</v>
      </c>
      <c r="F1133" s="81"/>
      <c r="G1133" s="81" t="s">
        <v>251</v>
      </c>
      <c r="H1133" s="109" t="s">
        <v>256</v>
      </c>
      <c r="I1133" s="83">
        <v>5712.6760563380285</v>
      </c>
      <c r="J1133" s="81" t="s">
        <v>637</v>
      </c>
      <c r="K1133" s="84">
        <v>45851</v>
      </c>
      <c r="L1133" s="81">
        <v>2025402317</v>
      </c>
      <c r="M1133" s="112" t="s">
        <v>225</v>
      </c>
      <c r="N1133" s="81">
        <v>2025</v>
      </c>
    </row>
    <row r="1134" spans="1:14">
      <c r="A1134" s="81">
        <v>1133</v>
      </c>
      <c r="B1134" s="81" t="s">
        <v>55</v>
      </c>
      <c r="C1134" s="81" t="s">
        <v>56</v>
      </c>
      <c r="D1134" s="81" t="s">
        <v>61</v>
      </c>
      <c r="E1134" s="112" t="s">
        <v>71</v>
      </c>
      <c r="F1134" s="81"/>
      <c r="G1134" s="81" t="s">
        <v>251</v>
      </c>
      <c r="H1134" s="109" t="s">
        <v>256</v>
      </c>
      <c r="I1134" s="83">
        <v>5712.6760563380285</v>
      </c>
      <c r="J1134" s="81" t="s">
        <v>657</v>
      </c>
      <c r="K1134" s="84">
        <v>45859</v>
      </c>
      <c r="L1134" s="81">
        <v>2025402389</v>
      </c>
      <c r="M1134" s="112" t="s">
        <v>225</v>
      </c>
      <c r="N1134" s="81">
        <v>2025</v>
      </c>
    </row>
    <row r="1135" spans="1:14">
      <c r="A1135" s="81">
        <v>1134</v>
      </c>
      <c r="B1135" s="81" t="s">
        <v>55</v>
      </c>
      <c r="C1135" s="81" t="s">
        <v>56</v>
      </c>
      <c r="D1135" s="81" t="s">
        <v>61</v>
      </c>
      <c r="E1135" s="112" t="s">
        <v>71</v>
      </c>
      <c r="F1135" s="81"/>
      <c r="G1135" s="81" t="s">
        <v>251</v>
      </c>
      <c r="H1135" s="109" t="s">
        <v>256</v>
      </c>
      <c r="I1135" s="83">
        <v>5712.6760563380285</v>
      </c>
      <c r="J1135" s="81" t="s">
        <v>658</v>
      </c>
      <c r="K1135" s="84">
        <v>45855</v>
      </c>
      <c r="L1135" s="81">
        <v>2025402390</v>
      </c>
      <c r="M1135" s="112" t="s">
        <v>225</v>
      </c>
      <c r="N1135" s="81">
        <v>2025</v>
      </c>
    </row>
    <row r="1136" spans="1:14">
      <c r="A1136" s="81">
        <v>1135</v>
      </c>
      <c r="B1136" s="81" t="s">
        <v>55</v>
      </c>
      <c r="C1136" s="81" t="s">
        <v>56</v>
      </c>
      <c r="D1136" s="81" t="s">
        <v>61</v>
      </c>
      <c r="E1136" s="112" t="s">
        <v>71</v>
      </c>
      <c r="F1136" s="81"/>
      <c r="G1136" s="81" t="s">
        <v>251</v>
      </c>
      <c r="H1136" s="109" t="s">
        <v>256</v>
      </c>
      <c r="I1136" s="83">
        <v>5712.6760563380285</v>
      </c>
      <c r="J1136" s="81" t="s">
        <v>707</v>
      </c>
      <c r="K1136" s="84">
        <v>45865</v>
      </c>
      <c r="L1136" s="81">
        <v>2025402462</v>
      </c>
      <c r="M1136" s="112" t="s">
        <v>225</v>
      </c>
      <c r="N1136" s="81">
        <v>2025</v>
      </c>
    </row>
    <row r="1137" spans="1:14">
      <c r="A1137" s="81">
        <v>1136</v>
      </c>
      <c r="B1137" s="81" t="s">
        <v>55</v>
      </c>
      <c r="C1137" s="81" t="s">
        <v>56</v>
      </c>
      <c r="D1137" s="81" t="s">
        <v>61</v>
      </c>
      <c r="E1137" s="112" t="s">
        <v>71</v>
      </c>
      <c r="F1137" s="81"/>
      <c r="G1137" s="81" t="s">
        <v>251</v>
      </c>
      <c r="H1137" s="109" t="s">
        <v>256</v>
      </c>
      <c r="I1137" s="83">
        <v>5712.6760563380285</v>
      </c>
      <c r="J1137" s="81" t="s">
        <v>735</v>
      </c>
      <c r="K1137" s="84">
        <v>45869</v>
      </c>
      <c r="L1137" s="81">
        <v>2025402530</v>
      </c>
      <c r="M1137" s="112" t="s">
        <v>225</v>
      </c>
      <c r="N1137" s="81">
        <v>2025</v>
      </c>
    </row>
    <row r="1138" spans="1:14">
      <c r="A1138" s="81">
        <v>1137</v>
      </c>
      <c r="B1138" s="112" t="s">
        <v>55</v>
      </c>
      <c r="C1138" s="112" t="s">
        <v>56</v>
      </c>
      <c r="D1138" s="81" t="s">
        <v>61</v>
      </c>
      <c r="E1138" s="81" t="s">
        <v>71</v>
      </c>
      <c r="F1138" s="81"/>
      <c r="G1138" s="81" t="s">
        <v>251</v>
      </c>
      <c r="H1138" s="109" t="s">
        <v>256</v>
      </c>
      <c r="I1138" s="83">
        <v>5712.6760563380285</v>
      </c>
      <c r="J1138" s="81" t="s">
        <v>824</v>
      </c>
      <c r="K1138" s="84">
        <v>45875</v>
      </c>
      <c r="L1138" s="81">
        <v>2025402644</v>
      </c>
      <c r="M1138" s="112" t="s">
        <v>226</v>
      </c>
      <c r="N1138" s="81">
        <v>2025</v>
      </c>
    </row>
    <row r="1139" spans="1:14">
      <c r="A1139" s="81">
        <v>1138</v>
      </c>
      <c r="B1139" s="81" t="s">
        <v>55</v>
      </c>
      <c r="C1139" s="81" t="s">
        <v>56</v>
      </c>
      <c r="D1139" s="81" t="s">
        <v>61</v>
      </c>
      <c r="E1139" s="81" t="s">
        <v>71</v>
      </c>
      <c r="F1139" s="81"/>
      <c r="G1139" s="81" t="s">
        <v>251</v>
      </c>
      <c r="H1139" s="109" t="s">
        <v>256</v>
      </c>
      <c r="I1139" s="83">
        <v>5712.6760563380285</v>
      </c>
      <c r="J1139" s="107" t="s">
        <v>867</v>
      </c>
      <c r="K1139" s="113">
        <v>45886</v>
      </c>
      <c r="L1139" s="81">
        <v>2025402704</v>
      </c>
      <c r="M1139" s="81" t="s">
        <v>226</v>
      </c>
      <c r="N1139" s="81">
        <v>2025</v>
      </c>
    </row>
    <row r="1140" spans="1:14">
      <c r="A1140" s="81">
        <v>1139</v>
      </c>
      <c r="B1140" s="81" t="s">
        <v>273</v>
      </c>
      <c r="C1140" s="81" t="s">
        <v>56</v>
      </c>
      <c r="D1140" s="81" t="s">
        <v>61</v>
      </c>
      <c r="E1140" s="81" t="s">
        <v>71</v>
      </c>
      <c r="F1140" s="81"/>
      <c r="G1140" s="81" t="s">
        <v>92</v>
      </c>
      <c r="H1140" s="81" t="s">
        <v>71</v>
      </c>
      <c r="I1140" s="83">
        <v>5676.7605633802814</v>
      </c>
      <c r="J1140" s="81">
        <v>512</v>
      </c>
      <c r="K1140" s="84">
        <v>45873</v>
      </c>
      <c r="L1140" s="81">
        <v>2025402566</v>
      </c>
      <c r="M1140" s="81" t="s">
        <v>225</v>
      </c>
      <c r="N1140" s="81">
        <v>2025</v>
      </c>
    </row>
    <row r="1141" spans="1:14">
      <c r="A1141" s="81">
        <v>1140</v>
      </c>
      <c r="B1141" s="81" t="s">
        <v>273</v>
      </c>
      <c r="C1141" s="84" t="s">
        <v>56</v>
      </c>
      <c r="D1141" s="81" t="s">
        <v>61</v>
      </c>
      <c r="E1141" s="81" t="s">
        <v>71</v>
      </c>
      <c r="F1141" s="81"/>
      <c r="G1141" s="81" t="s">
        <v>64</v>
      </c>
      <c r="H1141" s="104" t="s">
        <v>1267</v>
      </c>
      <c r="I1141" s="105">
        <v>5009.1549295774648</v>
      </c>
      <c r="J1141" s="104" t="s">
        <v>68</v>
      </c>
      <c r="K1141" s="84">
        <v>45814</v>
      </c>
      <c r="L1141" s="106" t="s">
        <v>14</v>
      </c>
      <c r="M1141" s="107" t="s">
        <v>225</v>
      </c>
      <c r="N1141" s="81">
        <v>2025</v>
      </c>
    </row>
    <row r="1142" spans="1:14">
      <c r="A1142" s="81">
        <v>1141</v>
      </c>
      <c r="B1142" s="81" t="s">
        <v>55</v>
      </c>
      <c r="C1142" s="81" t="s">
        <v>56</v>
      </c>
      <c r="D1142" s="81" t="s">
        <v>61</v>
      </c>
      <c r="E1142" s="81" t="s">
        <v>71</v>
      </c>
      <c r="F1142" s="81"/>
      <c r="G1142" s="81" t="s">
        <v>260</v>
      </c>
      <c r="H1142" s="81" t="s">
        <v>261</v>
      </c>
      <c r="I1142" s="105">
        <v>4945</v>
      </c>
      <c r="J1142" s="81" t="s">
        <v>1116</v>
      </c>
      <c r="K1142" s="84">
        <v>45901</v>
      </c>
      <c r="L1142" s="81">
        <v>2025403292</v>
      </c>
      <c r="M1142" s="81" t="s">
        <v>226</v>
      </c>
      <c r="N1142" s="81">
        <v>2025</v>
      </c>
    </row>
    <row r="1143" spans="1:14">
      <c r="A1143" s="81">
        <v>1142</v>
      </c>
      <c r="B1143" s="81" t="s">
        <v>55</v>
      </c>
      <c r="C1143" s="81" t="s">
        <v>56</v>
      </c>
      <c r="D1143" s="81" t="s">
        <v>61</v>
      </c>
      <c r="E1143" s="112" t="s">
        <v>71</v>
      </c>
      <c r="F1143" s="81"/>
      <c r="G1143" s="81" t="s">
        <v>484</v>
      </c>
      <c r="H1143" s="112" t="s">
        <v>71</v>
      </c>
      <c r="I1143" s="105">
        <v>4200</v>
      </c>
      <c r="J1143" s="81" t="s">
        <v>253</v>
      </c>
      <c r="K1143" s="84">
        <v>45852</v>
      </c>
      <c r="L1143" s="81">
        <v>2025402322</v>
      </c>
      <c r="M1143" s="112" t="s">
        <v>225</v>
      </c>
      <c r="N1143" s="81">
        <v>2025</v>
      </c>
    </row>
    <row r="1144" spans="1:14">
      <c r="A1144" s="81">
        <v>1143</v>
      </c>
      <c r="B1144" s="81" t="s">
        <v>55</v>
      </c>
      <c r="C1144" s="81" t="s">
        <v>56</v>
      </c>
      <c r="D1144" s="81" t="s">
        <v>61</v>
      </c>
      <c r="E1144" s="112" t="s">
        <v>71</v>
      </c>
      <c r="F1144" s="81"/>
      <c r="G1144" s="81" t="s">
        <v>243</v>
      </c>
      <c r="H1144" s="109" t="s">
        <v>254</v>
      </c>
      <c r="I1144" s="105">
        <v>3770</v>
      </c>
      <c r="J1144" s="81" t="s">
        <v>550</v>
      </c>
      <c r="K1144" s="84">
        <v>45848</v>
      </c>
      <c r="L1144" s="81">
        <v>2025402233</v>
      </c>
      <c r="M1144" s="112" t="s">
        <v>225</v>
      </c>
      <c r="N1144" s="81">
        <v>2025</v>
      </c>
    </row>
    <row r="1145" spans="1:14">
      <c r="A1145" s="81">
        <v>1144</v>
      </c>
      <c r="B1145" s="81" t="s">
        <v>273</v>
      </c>
      <c r="C1145" s="81" t="s">
        <v>56</v>
      </c>
      <c r="D1145" s="81" t="s">
        <v>61</v>
      </c>
      <c r="E1145" s="112" t="s">
        <v>71</v>
      </c>
      <c r="F1145" s="81"/>
      <c r="G1145" s="81" t="s">
        <v>276</v>
      </c>
      <c r="H1145" s="81" t="s">
        <v>285</v>
      </c>
      <c r="I1145" s="105">
        <v>3625</v>
      </c>
      <c r="J1145" s="81" t="s">
        <v>646</v>
      </c>
      <c r="K1145" s="84">
        <v>45852</v>
      </c>
      <c r="L1145" s="81">
        <v>2025402323</v>
      </c>
      <c r="M1145" s="112" t="s">
        <v>225</v>
      </c>
      <c r="N1145" s="81">
        <v>2025</v>
      </c>
    </row>
    <row r="1146" spans="1:14">
      <c r="A1146" s="81">
        <v>1145</v>
      </c>
      <c r="B1146" s="81" t="s">
        <v>273</v>
      </c>
      <c r="C1146" s="84" t="s">
        <v>56</v>
      </c>
      <c r="D1146" s="81" t="s">
        <v>61</v>
      </c>
      <c r="E1146" s="81" t="s">
        <v>71</v>
      </c>
      <c r="F1146" s="81"/>
      <c r="G1146" s="81" t="s">
        <v>64</v>
      </c>
      <c r="H1146" s="104" t="s">
        <v>1267</v>
      </c>
      <c r="I1146" s="105">
        <v>3395.0704225352115</v>
      </c>
      <c r="J1146" s="81" t="s">
        <v>68</v>
      </c>
      <c r="K1146" s="84">
        <v>45859</v>
      </c>
      <c r="L1146" s="106" t="s">
        <v>14</v>
      </c>
      <c r="M1146" s="107" t="s">
        <v>225</v>
      </c>
      <c r="N1146" s="81">
        <v>2025</v>
      </c>
    </row>
    <row r="1147" spans="1:14">
      <c r="A1147" s="81">
        <v>1146</v>
      </c>
      <c r="B1147" s="81" t="s">
        <v>55</v>
      </c>
      <c r="C1147" s="81" t="s">
        <v>56</v>
      </c>
      <c r="D1147" s="81" t="s">
        <v>61</v>
      </c>
      <c r="E1147" s="81" t="s">
        <v>71</v>
      </c>
      <c r="F1147" s="81"/>
      <c r="G1147" s="81" t="s">
        <v>495</v>
      </c>
      <c r="H1147" s="112" t="s">
        <v>71</v>
      </c>
      <c r="I1147" s="83">
        <v>3380.2816901408451</v>
      </c>
      <c r="J1147" s="81" t="s">
        <v>1106</v>
      </c>
      <c r="K1147" s="84">
        <v>45894</v>
      </c>
      <c r="L1147" s="81">
        <v>2025403141</v>
      </c>
      <c r="M1147" s="81" t="s">
        <v>226</v>
      </c>
      <c r="N1147" s="81">
        <v>2025</v>
      </c>
    </row>
    <row r="1148" spans="1:14">
      <c r="A1148" s="81">
        <v>1147</v>
      </c>
      <c r="B1148" s="81" t="s">
        <v>55</v>
      </c>
      <c r="C1148" s="81" t="s">
        <v>56</v>
      </c>
      <c r="D1148" s="81" t="s">
        <v>61</v>
      </c>
      <c r="E1148" s="81" t="s">
        <v>71</v>
      </c>
      <c r="F1148" s="81"/>
      <c r="G1148" s="81" t="s">
        <v>131</v>
      </c>
      <c r="H1148" s="112" t="s">
        <v>71</v>
      </c>
      <c r="I1148" s="105">
        <v>2763.35</v>
      </c>
      <c r="J1148" s="81" t="s">
        <v>1098</v>
      </c>
      <c r="K1148" s="84">
        <v>45888</v>
      </c>
      <c r="L1148" s="81">
        <v>2024403731</v>
      </c>
      <c r="M1148" s="81" t="s">
        <v>226</v>
      </c>
      <c r="N1148" s="81">
        <v>2025</v>
      </c>
    </row>
    <row r="1149" spans="1:14">
      <c r="A1149" s="81">
        <v>1148</v>
      </c>
      <c r="B1149" s="81" t="s">
        <v>55</v>
      </c>
      <c r="C1149" s="81" t="s">
        <v>56</v>
      </c>
      <c r="D1149" s="81" t="s">
        <v>61</v>
      </c>
      <c r="E1149" s="81" t="s">
        <v>71</v>
      </c>
      <c r="F1149" s="81"/>
      <c r="G1149" s="81" t="s">
        <v>488</v>
      </c>
      <c r="H1149" s="112" t="s">
        <v>71</v>
      </c>
      <c r="I1149" s="83">
        <v>2464.788732394366</v>
      </c>
      <c r="J1149" s="81" t="s">
        <v>1130</v>
      </c>
      <c r="K1149" s="84">
        <v>45847</v>
      </c>
      <c r="L1149" s="81">
        <v>2025402698</v>
      </c>
      <c r="M1149" s="81" t="s">
        <v>225</v>
      </c>
      <c r="N1149" s="81">
        <v>2025</v>
      </c>
    </row>
    <row r="1150" spans="1:14">
      <c r="A1150" s="81">
        <v>1149</v>
      </c>
      <c r="B1150" s="112" t="s">
        <v>55</v>
      </c>
      <c r="C1150" s="112" t="s">
        <v>56</v>
      </c>
      <c r="D1150" s="81" t="s">
        <v>61</v>
      </c>
      <c r="E1150" s="81" t="s">
        <v>71</v>
      </c>
      <c r="F1150" s="81"/>
      <c r="G1150" s="81" t="s">
        <v>134</v>
      </c>
      <c r="H1150" s="81" t="s">
        <v>71</v>
      </c>
      <c r="I1150" s="105">
        <v>2437.1999999999998</v>
      </c>
      <c r="J1150" s="81" t="s">
        <v>742</v>
      </c>
      <c r="K1150" s="84">
        <v>45873</v>
      </c>
      <c r="L1150" s="81">
        <v>2025402267</v>
      </c>
      <c r="M1150" s="112" t="s">
        <v>226</v>
      </c>
      <c r="N1150" s="81">
        <v>2025</v>
      </c>
    </row>
    <row r="1151" spans="1:14">
      <c r="A1151" s="81">
        <v>1150</v>
      </c>
      <c r="B1151" s="81" t="s">
        <v>273</v>
      </c>
      <c r="C1151" s="81" t="s">
        <v>56</v>
      </c>
      <c r="D1151" s="81" t="s">
        <v>61</v>
      </c>
      <c r="E1151" s="81" t="s">
        <v>71</v>
      </c>
      <c r="F1151" s="81"/>
      <c r="G1151" s="81" t="s">
        <v>249</v>
      </c>
      <c r="H1151" s="81" t="s">
        <v>71</v>
      </c>
      <c r="I1151" s="83">
        <v>2376.7605633802818</v>
      </c>
      <c r="J1151" s="81" t="s">
        <v>588</v>
      </c>
      <c r="K1151" s="84">
        <v>45848</v>
      </c>
      <c r="L1151" s="81">
        <v>2025402298</v>
      </c>
      <c r="M1151" s="112" t="s">
        <v>225</v>
      </c>
      <c r="N1151" s="81">
        <v>2025</v>
      </c>
    </row>
    <row r="1152" spans="1:14">
      <c r="A1152" s="81">
        <v>1151</v>
      </c>
      <c r="B1152" s="112" t="s">
        <v>55</v>
      </c>
      <c r="C1152" s="112" t="s">
        <v>56</v>
      </c>
      <c r="D1152" s="81" t="s">
        <v>61</v>
      </c>
      <c r="E1152" s="81" t="s">
        <v>71</v>
      </c>
      <c r="F1152" s="81"/>
      <c r="G1152" s="81" t="s">
        <v>134</v>
      </c>
      <c r="H1152" s="81" t="s">
        <v>71</v>
      </c>
      <c r="I1152" s="105">
        <v>2350</v>
      </c>
      <c r="J1152" s="81" t="s">
        <v>743</v>
      </c>
      <c r="K1152" s="84">
        <v>45855</v>
      </c>
      <c r="L1152" s="81">
        <v>2025402227</v>
      </c>
      <c r="M1152" s="112" t="s">
        <v>225</v>
      </c>
      <c r="N1152" s="81">
        <v>2025</v>
      </c>
    </row>
    <row r="1153" spans="1:14">
      <c r="A1153" s="81">
        <v>1152</v>
      </c>
      <c r="B1153" s="81" t="s">
        <v>273</v>
      </c>
      <c r="C1153" s="84" t="s">
        <v>56</v>
      </c>
      <c r="D1153" s="81" t="s">
        <v>61</v>
      </c>
      <c r="E1153" s="81" t="s">
        <v>71</v>
      </c>
      <c r="F1153" s="81"/>
      <c r="G1153" s="81" t="s">
        <v>64</v>
      </c>
      <c r="H1153" s="104" t="s">
        <v>1267</v>
      </c>
      <c r="I1153" s="105">
        <v>2328.6971830985917</v>
      </c>
      <c r="J1153" s="81" t="s">
        <v>1204</v>
      </c>
      <c r="K1153" s="84">
        <v>45869</v>
      </c>
      <c r="L1153" s="106" t="s">
        <v>14</v>
      </c>
      <c r="M1153" s="107" t="s">
        <v>226</v>
      </c>
      <c r="N1153" s="81">
        <v>2025</v>
      </c>
    </row>
    <row r="1154" spans="1:14">
      <c r="A1154" s="81">
        <v>1153</v>
      </c>
      <c r="B1154" s="81" t="s">
        <v>273</v>
      </c>
      <c r="C1154" s="84" t="s">
        <v>56</v>
      </c>
      <c r="D1154" s="81" t="s">
        <v>61</v>
      </c>
      <c r="E1154" s="81" t="s">
        <v>71</v>
      </c>
      <c r="F1154" s="81"/>
      <c r="G1154" s="81" t="s">
        <v>64</v>
      </c>
      <c r="H1154" s="104" t="s">
        <v>75</v>
      </c>
      <c r="I1154" s="105">
        <v>2238.0281690140846</v>
      </c>
      <c r="J1154" s="81" t="s">
        <v>68</v>
      </c>
      <c r="K1154" s="84">
        <v>45695</v>
      </c>
      <c r="L1154" s="106" t="s">
        <v>14</v>
      </c>
      <c r="M1154" s="107" t="s">
        <v>225</v>
      </c>
      <c r="N1154" s="81">
        <v>2025</v>
      </c>
    </row>
    <row r="1155" spans="1:14">
      <c r="A1155" s="81">
        <v>1154</v>
      </c>
      <c r="B1155" s="81" t="s">
        <v>273</v>
      </c>
      <c r="C1155" s="84" t="s">
        <v>56</v>
      </c>
      <c r="D1155" s="81" t="s">
        <v>61</v>
      </c>
      <c r="E1155" s="81" t="s">
        <v>71</v>
      </c>
      <c r="F1155" s="81"/>
      <c r="G1155" s="81" t="s">
        <v>64</v>
      </c>
      <c r="H1155" s="104" t="s">
        <v>1267</v>
      </c>
      <c r="I1155" s="105">
        <v>2179.4014084507044</v>
      </c>
      <c r="J1155" s="81" t="s">
        <v>1203</v>
      </c>
      <c r="K1155" s="84">
        <v>45887</v>
      </c>
      <c r="L1155" s="106" t="s">
        <v>14</v>
      </c>
      <c r="M1155" s="107" t="s">
        <v>226</v>
      </c>
      <c r="N1155" s="81">
        <v>2025</v>
      </c>
    </row>
    <row r="1156" spans="1:14">
      <c r="A1156" s="81">
        <v>1155</v>
      </c>
      <c r="B1156" s="81" t="s">
        <v>273</v>
      </c>
      <c r="C1156" s="81" t="s">
        <v>56</v>
      </c>
      <c r="D1156" s="81" t="s">
        <v>61</v>
      </c>
      <c r="E1156" s="112" t="s">
        <v>71</v>
      </c>
      <c r="F1156" s="81"/>
      <c r="G1156" s="81" t="s">
        <v>483</v>
      </c>
      <c r="H1156" s="112" t="s">
        <v>71</v>
      </c>
      <c r="I1156" s="83">
        <v>2112.676056338028</v>
      </c>
      <c r="J1156" s="81" t="s">
        <v>651</v>
      </c>
      <c r="K1156" s="84">
        <v>45858</v>
      </c>
      <c r="L1156" s="81">
        <v>2025402424</v>
      </c>
      <c r="M1156" s="112" t="s">
        <v>225</v>
      </c>
      <c r="N1156" s="81">
        <v>2025</v>
      </c>
    </row>
    <row r="1157" spans="1:14">
      <c r="A1157" s="81">
        <v>1156</v>
      </c>
      <c r="B1157" s="81" t="s">
        <v>55</v>
      </c>
      <c r="C1157" s="81" t="s">
        <v>56</v>
      </c>
      <c r="D1157" s="81" t="s">
        <v>61</v>
      </c>
      <c r="E1157" s="81" t="s">
        <v>71</v>
      </c>
      <c r="F1157" s="81"/>
      <c r="G1157" s="81" t="s">
        <v>134</v>
      </c>
      <c r="H1157" s="81" t="s">
        <v>71</v>
      </c>
      <c r="I1157" s="105">
        <v>1950</v>
      </c>
      <c r="J1157" s="81" t="s">
        <v>935</v>
      </c>
      <c r="K1157" s="84">
        <v>45890</v>
      </c>
      <c r="L1157" s="81">
        <v>2025402602</v>
      </c>
      <c r="M1157" s="81" t="s">
        <v>226</v>
      </c>
      <c r="N1157" s="81">
        <v>2025</v>
      </c>
    </row>
    <row r="1158" spans="1:14">
      <c r="A1158" s="81">
        <v>1157</v>
      </c>
      <c r="B1158" s="81" t="s">
        <v>273</v>
      </c>
      <c r="C1158" s="84" t="s">
        <v>56</v>
      </c>
      <c r="D1158" s="81" t="s">
        <v>61</v>
      </c>
      <c r="E1158" s="81" t="s">
        <v>71</v>
      </c>
      <c r="F1158" s="81"/>
      <c r="G1158" s="81" t="s">
        <v>64</v>
      </c>
      <c r="H1158" s="104" t="s">
        <v>1267</v>
      </c>
      <c r="I1158" s="105">
        <v>1923.4154929577464</v>
      </c>
      <c r="J1158" s="81" t="s">
        <v>1202</v>
      </c>
      <c r="K1158" s="84">
        <v>45894</v>
      </c>
      <c r="L1158" s="106" t="s">
        <v>14</v>
      </c>
      <c r="M1158" s="107" t="s">
        <v>226</v>
      </c>
      <c r="N1158" s="81">
        <v>2025</v>
      </c>
    </row>
    <row r="1159" spans="1:14">
      <c r="A1159" s="81">
        <v>1158</v>
      </c>
      <c r="B1159" s="112" t="s">
        <v>273</v>
      </c>
      <c r="C1159" s="112" t="s">
        <v>56</v>
      </c>
      <c r="D1159" s="81" t="s">
        <v>61</v>
      </c>
      <c r="E1159" s="81" t="s">
        <v>71</v>
      </c>
      <c r="F1159" s="81"/>
      <c r="G1159" s="81" t="s">
        <v>302</v>
      </c>
      <c r="H1159" s="81" t="s">
        <v>71</v>
      </c>
      <c r="I1159" s="105">
        <v>1900</v>
      </c>
      <c r="J1159" s="81" t="s">
        <v>253</v>
      </c>
      <c r="K1159" s="84">
        <v>45846</v>
      </c>
      <c r="L1159" s="81">
        <v>2025402287</v>
      </c>
      <c r="M1159" s="112" t="s">
        <v>225</v>
      </c>
      <c r="N1159" s="81">
        <v>2025</v>
      </c>
    </row>
    <row r="1160" spans="1:14">
      <c r="A1160" s="81">
        <v>1159</v>
      </c>
      <c r="B1160" s="81" t="s">
        <v>273</v>
      </c>
      <c r="C1160" s="84" t="s">
        <v>56</v>
      </c>
      <c r="D1160" s="81" t="s">
        <v>61</v>
      </c>
      <c r="E1160" s="81" t="s">
        <v>71</v>
      </c>
      <c r="F1160" s="81"/>
      <c r="G1160" s="81" t="s">
        <v>64</v>
      </c>
      <c r="H1160" s="104" t="s">
        <v>75</v>
      </c>
      <c r="I1160" s="105">
        <v>1779.0492957746478</v>
      </c>
      <c r="J1160" s="81" t="s">
        <v>1201</v>
      </c>
      <c r="K1160" s="84">
        <v>45899</v>
      </c>
      <c r="L1160" s="106" t="s">
        <v>14</v>
      </c>
      <c r="M1160" s="107" t="s">
        <v>226</v>
      </c>
      <c r="N1160" s="81">
        <v>2025</v>
      </c>
    </row>
    <row r="1161" spans="1:14">
      <c r="A1161" s="81">
        <v>1160</v>
      </c>
      <c r="B1161" s="81" t="s">
        <v>55</v>
      </c>
      <c r="C1161" s="81" t="s">
        <v>56</v>
      </c>
      <c r="D1161" s="81" t="s">
        <v>61</v>
      </c>
      <c r="E1161" s="112" t="s">
        <v>71</v>
      </c>
      <c r="F1161" s="81"/>
      <c r="G1161" s="81" t="s">
        <v>243</v>
      </c>
      <c r="H1161" s="109" t="s">
        <v>254</v>
      </c>
      <c r="I1161" s="105">
        <v>1572</v>
      </c>
      <c r="J1161" s="81" t="s">
        <v>731</v>
      </c>
      <c r="K1161" s="84">
        <v>45861</v>
      </c>
      <c r="L1161" s="81">
        <v>2025402319</v>
      </c>
      <c r="M1161" s="112" t="s">
        <v>225</v>
      </c>
      <c r="N1161" s="81">
        <v>2025</v>
      </c>
    </row>
    <row r="1162" spans="1:14">
      <c r="A1162" s="81">
        <v>1161</v>
      </c>
      <c r="B1162" s="81" t="s">
        <v>55</v>
      </c>
      <c r="C1162" s="81" t="s">
        <v>56</v>
      </c>
      <c r="D1162" s="81" t="s">
        <v>61</v>
      </c>
      <c r="E1162" s="81" t="s">
        <v>71</v>
      </c>
      <c r="F1162" s="81"/>
      <c r="G1162" s="81" t="s">
        <v>134</v>
      </c>
      <c r="H1162" s="81" t="s">
        <v>71</v>
      </c>
      <c r="I1162" s="105">
        <v>1560</v>
      </c>
      <c r="J1162" s="81" t="s">
        <v>806</v>
      </c>
      <c r="K1162" s="84">
        <v>45875</v>
      </c>
      <c r="L1162" s="81">
        <v>2025402177</v>
      </c>
      <c r="M1162" s="112" t="s">
        <v>226</v>
      </c>
      <c r="N1162" s="81">
        <v>2025</v>
      </c>
    </row>
    <row r="1163" spans="1:14">
      <c r="A1163" s="81">
        <v>1162</v>
      </c>
      <c r="B1163" s="81" t="s">
        <v>55</v>
      </c>
      <c r="C1163" s="81" t="s">
        <v>56</v>
      </c>
      <c r="D1163" s="81" t="s">
        <v>61</v>
      </c>
      <c r="E1163" s="112" t="s">
        <v>71</v>
      </c>
      <c r="F1163" s="81"/>
      <c r="G1163" s="81" t="s">
        <v>134</v>
      </c>
      <c r="H1163" s="81" t="s">
        <v>71</v>
      </c>
      <c r="I1163" s="105">
        <v>1255</v>
      </c>
      <c r="J1163" s="81" t="s">
        <v>814</v>
      </c>
      <c r="K1163" s="84">
        <v>45875</v>
      </c>
      <c r="L1163" s="81">
        <v>2025402441</v>
      </c>
      <c r="M1163" s="112" t="s">
        <v>226</v>
      </c>
      <c r="N1163" s="81">
        <v>2025</v>
      </c>
    </row>
    <row r="1164" spans="1:14">
      <c r="A1164" s="81">
        <v>1163</v>
      </c>
      <c r="B1164" s="81" t="s">
        <v>273</v>
      </c>
      <c r="C1164" s="84" t="s">
        <v>56</v>
      </c>
      <c r="D1164" s="81" t="s">
        <v>61</v>
      </c>
      <c r="E1164" s="81" t="s">
        <v>71</v>
      </c>
      <c r="F1164" s="81"/>
      <c r="G1164" s="81" t="s">
        <v>64</v>
      </c>
      <c r="H1164" s="104" t="s">
        <v>75</v>
      </c>
      <c r="I1164" s="105">
        <v>1150</v>
      </c>
      <c r="J1164" s="81" t="s">
        <v>68</v>
      </c>
      <c r="K1164" s="84">
        <v>45937</v>
      </c>
      <c r="L1164" s="106" t="s">
        <v>14</v>
      </c>
      <c r="M1164" s="107" t="s">
        <v>225</v>
      </c>
      <c r="N1164" s="81">
        <v>2025</v>
      </c>
    </row>
    <row r="1165" spans="1:14">
      <c r="A1165" s="81">
        <v>1164</v>
      </c>
      <c r="B1165" s="81" t="s">
        <v>273</v>
      </c>
      <c r="C1165" s="81" t="s">
        <v>56</v>
      </c>
      <c r="D1165" s="81" t="s">
        <v>61</v>
      </c>
      <c r="E1165" s="81" t="s">
        <v>71</v>
      </c>
      <c r="F1165" s="81"/>
      <c r="G1165" s="81" t="s">
        <v>134</v>
      </c>
      <c r="H1165" s="81" t="s">
        <v>71</v>
      </c>
      <c r="I1165" s="105">
        <v>1148</v>
      </c>
      <c r="J1165" s="81" t="s">
        <v>1168</v>
      </c>
      <c r="K1165" s="84">
        <v>45976</v>
      </c>
      <c r="L1165" s="81">
        <v>2025404176</v>
      </c>
      <c r="M1165" s="81" t="s">
        <v>226</v>
      </c>
      <c r="N1165" s="81">
        <v>2025</v>
      </c>
    </row>
    <row r="1166" spans="1:14">
      <c r="A1166" s="81">
        <v>1165</v>
      </c>
      <c r="B1166" s="81" t="s">
        <v>55</v>
      </c>
      <c r="C1166" s="81" t="s">
        <v>56</v>
      </c>
      <c r="D1166" s="81" t="s">
        <v>61</v>
      </c>
      <c r="E1166" s="112" t="s">
        <v>71</v>
      </c>
      <c r="F1166" s="81"/>
      <c r="G1166" s="81" t="s">
        <v>134</v>
      </c>
      <c r="H1166" s="81" t="s">
        <v>71</v>
      </c>
      <c r="I1166" s="105">
        <v>1002.2</v>
      </c>
      <c r="J1166" s="81" t="s">
        <v>730</v>
      </c>
      <c r="K1166" s="84">
        <v>45867</v>
      </c>
      <c r="L1166" s="81">
        <v>2025402391</v>
      </c>
      <c r="M1166" s="112" t="s">
        <v>225</v>
      </c>
      <c r="N1166" s="81">
        <v>2025</v>
      </c>
    </row>
    <row r="1167" spans="1:14">
      <c r="A1167" s="81">
        <v>1166</v>
      </c>
      <c r="B1167" s="81" t="s">
        <v>55</v>
      </c>
      <c r="C1167" s="81" t="s">
        <v>56</v>
      </c>
      <c r="D1167" s="81" t="s">
        <v>61</v>
      </c>
      <c r="E1167" s="112" t="s">
        <v>71</v>
      </c>
      <c r="F1167" s="81"/>
      <c r="G1167" s="81" t="s">
        <v>132</v>
      </c>
      <c r="H1167" s="112" t="s">
        <v>71</v>
      </c>
      <c r="I1167" s="105">
        <v>900.71</v>
      </c>
      <c r="J1167" s="81" t="s">
        <v>851</v>
      </c>
      <c r="K1167" s="84">
        <v>45887</v>
      </c>
      <c r="L1167" s="81">
        <v>2025402629</v>
      </c>
      <c r="M1167" s="112" t="s">
        <v>226</v>
      </c>
      <c r="N1167" s="81">
        <v>2025</v>
      </c>
    </row>
    <row r="1168" spans="1:14">
      <c r="A1168" s="81">
        <v>1167</v>
      </c>
      <c r="B1168" s="81" t="s">
        <v>55</v>
      </c>
      <c r="C1168" s="81" t="s">
        <v>56</v>
      </c>
      <c r="D1168" s="81" t="s">
        <v>61</v>
      </c>
      <c r="E1168" s="81" t="s">
        <v>71</v>
      </c>
      <c r="F1168" s="81"/>
      <c r="G1168" s="81" t="s">
        <v>481</v>
      </c>
      <c r="H1168" s="112" t="s">
        <v>71</v>
      </c>
      <c r="I1168" s="105">
        <v>900</v>
      </c>
      <c r="J1168" s="81" t="s">
        <v>604</v>
      </c>
      <c r="K1168" s="84">
        <v>45855</v>
      </c>
      <c r="L1168" s="81">
        <v>2025402268</v>
      </c>
      <c r="M1168" s="112" t="s">
        <v>225</v>
      </c>
      <c r="N1168" s="81">
        <v>2025</v>
      </c>
    </row>
    <row r="1169" spans="1:14">
      <c r="A1169" s="81">
        <v>1168</v>
      </c>
      <c r="B1169" s="81" t="s">
        <v>273</v>
      </c>
      <c r="C1169" s="81" t="s">
        <v>56</v>
      </c>
      <c r="D1169" s="81" t="s">
        <v>61</v>
      </c>
      <c r="E1169" s="112" t="s">
        <v>71</v>
      </c>
      <c r="F1169" s="81"/>
      <c r="G1169" s="81" t="s">
        <v>134</v>
      </c>
      <c r="H1169" s="81" t="s">
        <v>71</v>
      </c>
      <c r="I1169" s="105">
        <v>795</v>
      </c>
      <c r="J1169" s="81" t="s">
        <v>627</v>
      </c>
      <c r="K1169" s="84">
        <v>45855</v>
      </c>
      <c r="L1169" s="81">
        <v>2025402228</v>
      </c>
      <c r="M1169" s="112" t="s">
        <v>225</v>
      </c>
      <c r="N1169" s="81">
        <v>2025</v>
      </c>
    </row>
    <row r="1170" spans="1:14">
      <c r="A1170" s="81">
        <v>1169</v>
      </c>
      <c r="B1170" s="81" t="s">
        <v>55</v>
      </c>
      <c r="C1170" s="81" t="s">
        <v>56</v>
      </c>
      <c r="D1170" s="81" t="s">
        <v>61</v>
      </c>
      <c r="E1170" s="112" t="s">
        <v>71</v>
      </c>
      <c r="F1170" s="81"/>
      <c r="G1170" s="81" t="s">
        <v>134</v>
      </c>
      <c r="H1170" s="81" t="s">
        <v>71</v>
      </c>
      <c r="I1170" s="105">
        <v>780</v>
      </c>
      <c r="J1170" s="81" t="s">
        <v>808</v>
      </c>
      <c r="K1170" s="84">
        <v>45875</v>
      </c>
      <c r="L1170" s="81">
        <v>2025402440</v>
      </c>
      <c r="M1170" s="112" t="s">
        <v>226</v>
      </c>
      <c r="N1170" s="81">
        <v>2025</v>
      </c>
    </row>
    <row r="1171" spans="1:14">
      <c r="A1171" s="81">
        <v>1170</v>
      </c>
      <c r="B1171" s="81" t="s">
        <v>55</v>
      </c>
      <c r="C1171" s="81" t="s">
        <v>56</v>
      </c>
      <c r="D1171" s="81" t="s">
        <v>61</v>
      </c>
      <c r="E1171" s="112" t="s">
        <v>71</v>
      </c>
      <c r="F1171" s="81"/>
      <c r="G1171" s="81" t="s">
        <v>126</v>
      </c>
      <c r="H1171" s="81" t="s">
        <v>284</v>
      </c>
      <c r="I1171" s="83">
        <v>774.64788732394368</v>
      </c>
      <c r="J1171" s="81" t="s">
        <v>780</v>
      </c>
      <c r="K1171" s="84">
        <v>45845</v>
      </c>
      <c r="L1171" s="81">
        <v>2025402529</v>
      </c>
      <c r="M1171" s="112" t="s">
        <v>225</v>
      </c>
      <c r="N1171" s="81">
        <v>2025</v>
      </c>
    </row>
    <row r="1172" spans="1:14">
      <c r="A1172" s="81">
        <v>1171</v>
      </c>
      <c r="B1172" s="81" t="s">
        <v>55</v>
      </c>
      <c r="C1172" s="81" t="s">
        <v>56</v>
      </c>
      <c r="D1172" s="81" t="s">
        <v>61</v>
      </c>
      <c r="E1172" s="81" t="s">
        <v>71</v>
      </c>
      <c r="F1172" s="81"/>
      <c r="G1172" s="81" t="s">
        <v>243</v>
      </c>
      <c r="H1172" s="109" t="s">
        <v>254</v>
      </c>
      <c r="I1172" s="105">
        <v>756</v>
      </c>
      <c r="J1172" s="107" t="s">
        <v>880</v>
      </c>
      <c r="K1172" s="113">
        <v>45889</v>
      </c>
      <c r="L1172" s="81">
        <v>2025402695</v>
      </c>
      <c r="M1172" s="81" t="s">
        <v>226</v>
      </c>
      <c r="N1172" s="81">
        <v>2025</v>
      </c>
    </row>
    <row r="1173" spans="1:14">
      <c r="A1173" s="81">
        <v>1172</v>
      </c>
      <c r="B1173" s="81" t="s">
        <v>55</v>
      </c>
      <c r="C1173" s="81" t="s">
        <v>56</v>
      </c>
      <c r="D1173" s="81" t="s">
        <v>61</v>
      </c>
      <c r="E1173" s="81" t="s">
        <v>71</v>
      </c>
      <c r="F1173" s="81"/>
      <c r="G1173" s="81" t="s">
        <v>488</v>
      </c>
      <c r="H1173" s="112" t="s">
        <v>71</v>
      </c>
      <c r="I1173" s="83">
        <v>704.22535211267609</v>
      </c>
      <c r="J1173" s="107" t="s">
        <v>877</v>
      </c>
      <c r="K1173" s="113">
        <v>45854</v>
      </c>
      <c r="L1173" s="81">
        <v>2025402736</v>
      </c>
      <c r="M1173" s="81" t="s">
        <v>225</v>
      </c>
      <c r="N1173" s="81">
        <v>2025</v>
      </c>
    </row>
    <row r="1174" spans="1:14">
      <c r="A1174" s="81">
        <v>1173</v>
      </c>
      <c r="B1174" s="112" t="s">
        <v>55</v>
      </c>
      <c r="C1174" s="112" t="s">
        <v>56</v>
      </c>
      <c r="D1174" s="81" t="s">
        <v>61</v>
      </c>
      <c r="E1174" s="81" t="s">
        <v>71</v>
      </c>
      <c r="F1174" s="81"/>
      <c r="G1174" s="81" t="s">
        <v>134</v>
      </c>
      <c r="H1174" s="81" t="s">
        <v>71</v>
      </c>
      <c r="I1174" s="105">
        <v>680</v>
      </c>
      <c r="J1174" s="81" t="s">
        <v>848</v>
      </c>
      <c r="K1174" s="84">
        <v>45880</v>
      </c>
      <c r="L1174" s="81">
        <v>2025402591</v>
      </c>
      <c r="M1174" s="112" t="s">
        <v>226</v>
      </c>
      <c r="N1174" s="81">
        <v>2025</v>
      </c>
    </row>
    <row r="1175" spans="1:14">
      <c r="A1175" s="81">
        <v>1174</v>
      </c>
      <c r="B1175" s="81" t="s">
        <v>55</v>
      </c>
      <c r="C1175" s="81" t="s">
        <v>56</v>
      </c>
      <c r="D1175" s="81" t="s">
        <v>61</v>
      </c>
      <c r="E1175" s="112" t="s">
        <v>71</v>
      </c>
      <c r="F1175" s="81"/>
      <c r="G1175" s="81" t="s">
        <v>134</v>
      </c>
      <c r="H1175" s="81" t="s">
        <v>71</v>
      </c>
      <c r="I1175" s="105">
        <v>468.3</v>
      </c>
      <c r="J1175" s="81" t="s">
        <v>807</v>
      </c>
      <c r="K1175" s="84">
        <v>45875</v>
      </c>
      <c r="L1175" s="81">
        <v>2025402439</v>
      </c>
      <c r="M1175" s="112" t="s">
        <v>226</v>
      </c>
      <c r="N1175" s="81">
        <v>2025</v>
      </c>
    </row>
    <row r="1176" spans="1:14">
      <c r="A1176" s="81">
        <v>1175</v>
      </c>
      <c r="B1176" s="81" t="s">
        <v>55</v>
      </c>
      <c r="C1176" s="81" t="s">
        <v>56</v>
      </c>
      <c r="D1176" s="81" t="s">
        <v>61</v>
      </c>
      <c r="E1176" s="112" t="s">
        <v>71</v>
      </c>
      <c r="F1176" s="81"/>
      <c r="G1176" s="81" t="s">
        <v>126</v>
      </c>
      <c r="H1176" s="81" t="s">
        <v>284</v>
      </c>
      <c r="I1176" s="83">
        <v>404.92957746478874</v>
      </c>
      <c r="J1176" s="81" t="s">
        <v>779</v>
      </c>
      <c r="K1176" s="84">
        <v>45854</v>
      </c>
      <c r="L1176" s="81">
        <v>2025402529</v>
      </c>
      <c r="M1176" s="112" t="s">
        <v>225</v>
      </c>
      <c r="N1176" s="81">
        <v>2025</v>
      </c>
    </row>
    <row r="1177" spans="1:14">
      <c r="A1177" s="81">
        <v>1176</v>
      </c>
      <c r="B1177" s="81" t="s">
        <v>55</v>
      </c>
      <c r="C1177" s="81" t="s">
        <v>56</v>
      </c>
      <c r="D1177" s="81" t="s">
        <v>61</v>
      </c>
      <c r="E1177" s="81" t="s">
        <v>71</v>
      </c>
      <c r="F1177" s="81"/>
      <c r="G1177" s="81" t="s">
        <v>126</v>
      </c>
      <c r="H1177" s="81" t="s">
        <v>284</v>
      </c>
      <c r="I1177" s="83">
        <v>404.92957746478874</v>
      </c>
      <c r="J1177" s="81" t="s">
        <v>1092</v>
      </c>
      <c r="K1177" s="84">
        <v>45887</v>
      </c>
      <c r="L1177" s="81">
        <v>2025402641</v>
      </c>
      <c r="M1177" s="81" t="s">
        <v>226</v>
      </c>
      <c r="N1177" s="81">
        <v>2025</v>
      </c>
    </row>
    <row r="1178" spans="1:14">
      <c r="A1178" s="81">
        <v>1177</v>
      </c>
      <c r="B1178" s="81" t="s">
        <v>55</v>
      </c>
      <c r="C1178" s="81" t="s">
        <v>56</v>
      </c>
      <c r="D1178" s="81" t="s">
        <v>61</v>
      </c>
      <c r="E1178" s="81" t="s">
        <v>71</v>
      </c>
      <c r="F1178" s="81"/>
      <c r="G1178" s="81" t="s">
        <v>134</v>
      </c>
      <c r="H1178" s="81" t="s">
        <v>71</v>
      </c>
      <c r="I1178" s="105">
        <v>390</v>
      </c>
      <c r="J1178" s="81" t="s">
        <v>930</v>
      </c>
      <c r="K1178" s="84">
        <v>45889</v>
      </c>
      <c r="L1178" s="81">
        <v>2025402601</v>
      </c>
      <c r="M1178" s="81" t="s">
        <v>226</v>
      </c>
      <c r="N1178" s="81">
        <v>2025</v>
      </c>
    </row>
    <row r="1179" spans="1:14">
      <c r="A1179" s="81">
        <v>1178</v>
      </c>
      <c r="B1179" s="81" t="s">
        <v>273</v>
      </c>
      <c r="C1179" s="81" t="s">
        <v>56</v>
      </c>
      <c r="D1179" s="81" t="s">
        <v>61</v>
      </c>
      <c r="E1179" s="81" t="s">
        <v>71</v>
      </c>
      <c r="F1179" s="81"/>
      <c r="G1179" s="81" t="s">
        <v>64</v>
      </c>
      <c r="H1179" s="104" t="s">
        <v>1269</v>
      </c>
      <c r="I1179" s="105">
        <v>359.15492957746477</v>
      </c>
      <c r="J1179" s="81" t="s">
        <v>68</v>
      </c>
      <c r="K1179" s="84">
        <v>45876</v>
      </c>
      <c r="L1179" s="106" t="s">
        <v>14</v>
      </c>
      <c r="M1179" s="81" t="s">
        <v>225</v>
      </c>
      <c r="N1179" s="81">
        <v>2025</v>
      </c>
    </row>
    <row r="1180" spans="1:14">
      <c r="A1180" s="81">
        <v>1179</v>
      </c>
      <c r="B1180" s="81" t="s">
        <v>273</v>
      </c>
      <c r="C1180" s="84" t="s">
        <v>56</v>
      </c>
      <c r="D1180" s="81" t="s">
        <v>61</v>
      </c>
      <c r="E1180" s="81" t="s">
        <v>71</v>
      </c>
      <c r="F1180" s="81"/>
      <c r="G1180" s="81" t="s">
        <v>64</v>
      </c>
      <c r="H1180" s="81" t="s">
        <v>1268</v>
      </c>
      <c r="I1180" s="105">
        <v>352.11267605633805</v>
      </c>
      <c r="J1180" s="81" t="s">
        <v>68</v>
      </c>
      <c r="K1180" s="84">
        <v>45855</v>
      </c>
      <c r="L1180" s="106" t="s">
        <v>14</v>
      </c>
      <c r="M1180" s="107" t="s">
        <v>225</v>
      </c>
      <c r="N1180" s="81">
        <v>2025</v>
      </c>
    </row>
    <row r="1181" spans="1:14">
      <c r="A1181" s="81">
        <v>1180</v>
      </c>
      <c r="B1181" s="81" t="s">
        <v>55</v>
      </c>
      <c r="C1181" s="81" t="s">
        <v>56</v>
      </c>
      <c r="D1181" s="81" t="s">
        <v>61</v>
      </c>
      <c r="E1181" s="81" t="s">
        <v>71</v>
      </c>
      <c r="F1181" s="81"/>
      <c r="G1181" s="81" t="s">
        <v>131</v>
      </c>
      <c r="H1181" s="112" t="s">
        <v>71</v>
      </c>
      <c r="I1181" s="105">
        <v>332.6</v>
      </c>
      <c r="J1181" s="81" t="s">
        <v>1077</v>
      </c>
      <c r="K1181" s="84">
        <v>45899</v>
      </c>
      <c r="L1181" s="81">
        <v>2025402850</v>
      </c>
      <c r="M1181" s="81" t="s">
        <v>226</v>
      </c>
      <c r="N1181" s="81">
        <v>2025</v>
      </c>
    </row>
    <row r="1182" spans="1:14">
      <c r="A1182" s="81">
        <v>1181</v>
      </c>
      <c r="B1182" s="81" t="s">
        <v>273</v>
      </c>
      <c r="C1182" s="81" t="s">
        <v>56</v>
      </c>
      <c r="D1182" s="81" t="s">
        <v>61</v>
      </c>
      <c r="E1182" s="81" t="s">
        <v>71</v>
      </c>
      <c r="F1182" s="81"/>
      <c r="G1182" s="81" t="s">
        <v>64</v>
      </c>
      <c r="H1182" s="81" t="s">
        <v>1266</v>
      </c>
      <c r="I1182" s="105">
        <v>320.42253521126759</v>
      </c>
      <c r="J1182" s="81" t="s">
        <v>68</v>
      </c>
      <c r="K1182" s="84">
        <v>45816</v>
      </c>
      <c r="L1182" s="106" t="s">
        <v>14</v>
      </c>
      <c r="M1182" s="81" t="s">
        <v>226</v>
      </c>
      <c r="N1182" s="81">
        <v>2025</v>
      </c>
    </row>
    <row r="1183" spans="1:14">
      <c r="A1183" s="81">
        <v>1182</v>
      </c>
      <c r="B1183" s="81" t="s">
        <v>55</v>
      </c>
      <c r="C1183" s="81" t="s">
        <v>56</v>
      </c>
      <c r="D1183" s="81" t="s">
        <v>61</v>
      </c>
      <c r="E1183" s="81" t="s">
        <v>71</v>
      </c>
      <c r="F1183" s="81"/>
      <c r="G1183" s="81" t="s">
        <v>134</v>
      </c>
      <c r="H1183" s="81" t="s">
        <v>71</v>
      </c>
      <c r="I1183" s="105">
        <v>310</v>
      </c>
      <c r="J1183" s="81" t="s">
        <v>1158</v>
      </c>
      <c r="K1183" s="84">
        <v>45969</v>
      </c>
      <c r="L1183" s="81">
        <v>2025403992</v>
      </c>
      <c r="M1183" s="81" t="s">
        <v>226</v>
      </c>
      <c r="N1183" s="81">
        <v>2025</v>
      </c>
    </row>
    <row r="1184" spans="1:14">
      <c r="A1184" s="81">
        <v>1183</v>
      </c>
      <c r="B1184" s="81" t="s">
        <v>55</v>
      </c>
      <c r="C1184" s="81" t="s">
        <v>56</v>
      </c>
      <c r="D1184" s="81" t="s">
        <v>61</v>
      </c>
      <c r="E1184" s="112" t="s">
        <v>71</v>
      </c>
      <c r="F1184" s="81"/>
      <c r="G1184" s="81" t="s">
        <v>129</v>
      </c>
      <c r="H1184" s="112" t="s">
        <v>71</v>
      </c>
      <c r="I1184" s="105">
        <v>300</v>
      </c>
      <c r="J1184" s="81" t="s">
        <v>776</v>
      </c>
      <c r="K1184" s="84">
        <v>45861</v>
      </c>
      <c r="L1184" s="81">
        <v>2025402574</v>
      </c>
      <c r="M1184" s="112" t="s">
        <v>225</v>
      </c>
      <c r="N1184" s="81">
        <v>2025</v>
      </c>
    </row>
    <row r="1185" spans="1:14">
      <c r="A1185" s="81">
        <v>1184</v>
      </c>
      <c r="B1185" s="81" t="s">
        <v>55</v>
      </c>
      <c r="C1185" s="81" t="s">
        <v>56</v>
      </c>
      <c r="D1185" s="81" t="s">
        <v>61</v>
      </c>
      <c r="E1185" s="112" t="s">
        <v>71</v>
      </c>
      <c r="F1185" s="81"/>
      <c r="G1185" s="81" t="s">
        <v>131</v>
      </c>
      <c r="H1185" s="112" t="s">
        <v>71</v>
      </c>
      <c r="I1185" s="105">
        <v>257.8</v>
      </c>
      <c r="J1185" s="81" t="s">
        <v>756</v>
      </c>
      <c r="K1185" s="84">
        <v>45873</v>
      </c>
      <c r="L1185" s="81">
        <v>2025402515</v>
      </c>
      <c r="M1185" s="112" t="s">
        <v>226</v>
      </c>
      <c r="N1185" s="81">
        <v>2025</v>
      </c>
    </row>
    <row r="1186" spans="1:14">
      <c r="A1186" s="81">
        <v>1185</v>
      </c>
      <c r="B1186" s="81" t="s">
        <v>55</v>
      </c>
      <c r="C1186" s="81" t="s">
        <v>56</v>
      </c>
      <c r="D1186" s="81" t="s">
        <v>61</v>
      </c>
      <c r="E1186" s="81" t="s">
        <v>71</v>
      </c>
      <c r="F1186" s="81"/>
      <c r="G1186" s="81" t="s">
        <v>131</v>
      </c>
      <c r="H1186" s="112" t="s">
        <v>71</v>
      </c>
      <c r="I1186" s="105">
        <v>235.55</v>
      </c>
      <c r="J1186" s="81" t="s">
        <v>1134</v>
      </c>
      <c r="K1186" s="84">
        <v>45861</v>
      </c>
      <c r="L1186" s="81">
        <v>2025402380</v>
      </c>
      <c r="M1186" s="81" t="s">
        <v>225</v>
      </c>
      <c r="N1186" s="81">
        <v>2025</v>
      </c>
    </row>
    <row r="1187" spans="1:14">
      <c r="A1187" s="81">
        <v>1186</v>
      </c>
      <c r="B1187" s="112" t="s">
        <v>273</v>
      </c>
      <c r="C1187" s="112" t="s">
        <v>56</v>
      </c>
      <c r="D1187" s="81" t="s">
        <v>61</v>
      </c>
      <c r="E1187" s="81" t="s">
        <v>71</v>
      </c>
      <c r="F1187" s="81"/>
      <c r="G1187" s="81" t="s">
        <v>302</v>
      </c>
      <c r="H1187" s="81" t="s">
        <v>71</v>
      </c>
      <c r="I1187" s="83">
        <v>228.87323943661971</v>
      </c>
      <c r="J1187" s="81" t="s">
        <v>253</v>
      </c>
      <c r="K1187" s="84">
        <v>45846</v>
      </c>
      <c r="L1187" s="81">
        <v>2025402437</v>
      </c>
      <c r="M1187" s="112" t="s">
        <v>225</v>
      </c>
      <c r="N1187" s="81">
        <v>2025</v>
      </c>
    </row>
    <row r="1188" spans="1:14">
      <c r="A1188" s="81">
        <v>1187</v>
      </c>
      <c r="B1188" s="81" t="s">
        <v>55</v>
      </c>
      <c r="C1188" s="81" t="s">
        <v>56</v>
      </c>
      <c r="D1188" s="81" t="s">
        <v>61</v>
      </c>
      <c r="E1188" s="112" t="s">
        <v>71</v>
      </c>
      <c r="F1188" s="81"/>
      <c r="G1188" s="81" t="s">
        <v>131</v>
      </c>
      <c r="H1188" s="112" t="s">
        <v>71</v>
      </c>
      <c r="I1188" s="105">
        <v>200</v>
      </c>
      <c r="J1188" s="81" t="s">
        <v>687</v>
      </c>
      <c r="K1188" s="84">
        <v>45861</v>
      </c>
      <c r="L1188" s="81">
        <v>2025402379</v>
      </c>
      <c r="M1188" s="112" t="s">
        <v>225</v>
      </c>
      <c r="N1188" s="81">
        <v>2025</v>
      </c>
    </row>
    <row r="1189" spans="1:14">
      <c r="A1189" s="81">
        <v>1188</v>
      </c>
      <c r="B1189" s="81" t="s">
        <v>55</v>
      </c>
      <c r="C1189" s="81" t="s">
        <v>56</v>
      </c>
      <c r="D1189" s="81" t="s">
        <v>61</v>
      </c>
      <c r="E1189" s="112" t="s">
        <v>71</v>
      </c>
      <c r="F1189" s="81"/>
      <c r="G1189" s="81" t="s">
        <v>131</v>
      </c>
      <c r="H1189" s="112" t="s">
        <v>71</v>
      </c>
      <c r="I1189" s="105">
        <v>170.4</v>
      </c>
      <c r="J1189" s="81" t="s">
        <v>506</v>
      </c>
      <c r="K1189" s="84">
        <v>45840</v>
      </c>
      <c r="L1189" s="81">
        <v>2025402062</v>
      </c>
      <c r="M1189" s="112" t="s">
        <v>225</v>
      </c>
      <c r="N1189" s="81">
        <v>2025</v>
      </c>
    </row>
    <row r="1190" spans="1:14">
      <c r="A1190" s="81">
        <v>1189</v>
      </c>
      <c r="B1190" s="81" t="s">
        <v>55</v>
      </c>
      <c r="C1190" s="81" t="s">
        <v>56</v>
      </c>
      <c r="D1190" s="81" t="s">
        <v>61</v>
      </c>
      <c r="E1190" s="81" t="s">
        <v>71</v>
      </c>
      <c r="F1190" s="81"/>
      <c r="G1190" s="81" t="s">
        <v>134</v>
      </c>
      <c r="H1190" s="81" t="s">
        <v>71</v>
      </c>
      <c r="I1190" s="105">
        <v>145</v>
      </c>
      <c r="J1190" s="81" t="s">
        <v>936</v>
      </c>
      <c r="K1190" s="84">
        <v>45889</v>
      </c>
      <c r="L1190" s="81">
        <v>2025402624</v>
      </c>
      <c r="M1190" s="81" t="s">
        <v>226</v>
      </c>
      <c r="N1190" s="81">
        <v>2025</v>
      </c>
    </row>
    <row r="1191" spans="1:14">
      <c r="A1191" s="81">
        <v>1190</v>
      </c>
      <c r="B1191" s="81" t="s">
        <v>273</v>
      </c>
      <c r="C1191" s="81" t="s">
        <v>56</v>
      </c>
      <c r="D1191" s="81" t="s">
        <v>61</v>
      </c>
      <c r="E1191" s="81" t="s">
        <v>71</v>
      </c>
      <c r="F1191" s="81"/>
      <c r="G1191" s="81" t="s">
        <v>64</v>
      </c>
      <c r="H1191" s="81" t="s">
        <v>295</v>
      </c>
      <c r="I1191" s="105">
        <v>98.591549295774641</v>
      </c>
      <c r="J1191" s="81" t="s">
        <v>68</v>
      </c>
      <c r="K1191" s="84">
        <v>45867</v>
      </c>
      <c r="L1191" s="106" t="s">
        <v>14</v>
      </c>
      <c r="M1191" s="107" t="s">
        <v>225</v>
      </c>
      <c r="N1191" s="81">
        <v>2025</v>
      </c>
    </row>
    <row r="1192" spans="1:14">
      <c r="A1192" s="81">
        <v>1191</v>
      </c>
      <c r="B1192" s="81" t="s">
        <v>55</v>
      </c>
      <c r="C1192" s="81" t="s">
        <v>56</v>
      </c>
      <c r="D1192" s="81" t="s">
        <v>61</v>
      </c>
      <c r="E1192" s="81" t="s">
        <v>71</v>
      </c>
      <c r="F1192" s="81"/>
      <c r="G1192" s="81" t="s">
        <v>131</v>
      </c>
      <c r="H1192" s="112" t="s">
        <v>71</v>
      </c>
      <c r="I1192" s="105">
        <v>88</v>
      </c>
      <c r="J1192" s="81" t="s">
        <v>1140</v>
      </c>
      <c r="K1192" s="84">
        <v>45873</v>
      </c>
      <c r="L1192" s="81">
        <v>2025402540</v>
      </c>
      <c r="M1192" s="81" t="s">
        <v>226</v>
      </c>
      <c r="N1192" s="81">
        <v>2025</v>
      </c>
    </row>
    <row r="1193" spans="1:14">
      <c r="A1193" s="81">
        <v>1192</v>
      </c>
      <c r="B1193" s="81" t="s">
        <v>43</v>
      </c>
      <c r="C1193" s="81" t="s">
        <v>498</v>
      </c>
      <c r="D1193" s="81" t="s">
        <v>61</v>
      </c>
      <c r="E1193" s="81" t="s">
        <v>71</v>
      </c>
      <c r="F1193" s="81"/>
      <c r="G1193" s="81" t="s">
        <v>132</v>
      </c>
      <c r="H1193" s="112" t="s">
        <v>71</v>
      </c>
      <c r="I1193" s="105">
        <v>426.48</v>
      </c>
      <c r="J1193" s="81" t="s">
        <v>993</v>
      </c>
      <c r="K1193" s="84">
        <v>45892</v>
      </c>
      <c r="L1193" s="81">
        <v>2025402766</v>
      </c>
      <c r="M1193" s="81" t="s">
        <v>226</v>
      </c>
      <c r="N1193" s="81">
        <v>2025</v>
      </c>
    </row>
    <row r="1194" spans="1:14">
      <c r="A1194" s="81">
        <v>1193</v>
      </c>
      <c r="B1194" s="81" t="s">
        <v>17</v>
      </c>
      <c r="C1194" s="81" t="s">
        <v>500</v>
      </c>
      <c r="D1194" s="81" t="s">
        <v>61</v>
      </c>
      <c r="E1194" s="81" t="s">
        <v>71</v>
      </c>
      <c r="F1194" s="81"/>
      <c r="G1194" s="81" t="s">
        <v>132</v>
      </c>
      <c r="H1194" s="112" t="s">
        <v>71</v>
      </c>
      <c r="I1194" s="105">
        <v>2805.52</v>
      </c>
      <c r="J1194" s="81" t="s">
        <v>997</v>
      </c>
      <c r="K1194" s="84">
        <v>45892</v>
      </c>
      <c r="L1194" s="81">
        <v>2025402758</v>
      </c>
      <c r="M1194" s="81" t="s">
        <v>226</v>
      </c>
      <c r="N1194" s="81">
        <v>2025</v>
      </c>
    </row>
    <row r="1195" spans="1:14">
      <c r="A1195" s="81">
        <v>1194</v>
      </c>
      <c r="B1195" s="81" t="s">
        <v>17</v>
      </c>
      <c r="C1195" s="81" t="s">
        <v>23</v>
      </c>
      <c r="D1195" s="81" t="s">
        <v>61</v>
      </c>
      <c r="E1195" s="81" t="s">
        <v>99</v>
      </c>
      <c r="F1195" s="81"/>
      <c r="G1195" s="81" t="s">
        <v>102</v>
      </c>
      <c r="H1195" s="81" t="s">
        <v>101</v>
      </c>
      <c r="I1195" s="83">
        <v>4500</v>
      </c>
      <c r="J1195" s="81" t="s">
        <v>340</v>
      </c>
      <c r="K1195" s="84">
        <v>45868</v>
      </c>
      <c r="L1195" s="81" t="s">
        <v>14</v>
      </c>
      <c r="M1195" s="81" t="s">
        <v>225</v>
      </c>
      <c r="N1195" s="81">
        <v>2025</v>
      </c>
    </row>
    <row r="1196" spans="1:14">
      <c r="A1196" s="81">
        <v>1195</v>
      </c>
      <c r="B1196" s="81" t="s">
        <v>17</v>
      </c>
      <c r="C1196" s="81" t="s">
        <v>23</v>
      </c>
      <c r="D1196" s="81" t="s">
        <v>61</v>
      </c>
      <c r="E1196" s="81" t="s">
        <v>99</v>
      </c>
      <c r="F1196" s="81"/>
      <c r="G1196" s="81" t="s">
        <v>102</v>
      </c>
      <c r="H1196" s="81" t="s">
        <v>101</v>
      </c>
      <c r="I1196" s="83">
        <v>4500</v>
      </c>
      <c r="J1196" s="81" t="s">
        <v>341</v>
      </c>
      <c r="K1196" s="84">
        <v>45899</v>
      </c>
      <c r="L1196" s="81" t="s">
        <v>14</v>
      </c>
      <c r="M1196" s="81" t="s">
        <v>226</v>
      </c>
      <c r="N1196" s="81">
        <v>2025</v>
      </c>
    </row>
    <row r="1197" spans="1:14">
      <c r="A1197" s="81">
        <v>1196</v>
      </c>
      <c r="B1197" s="81" t="s">
        <v>17</v>
      </c>
      <c r="C1197" s="81" t="s">
        <v>23</v>
      </c>
      <c r="D1197" s="81" t="s">
        <v>61</v>
      </c>
      <c r="E1197" s="81" t="s">
        <v>99</v>
      </c>
      <c r="F1197" s="81"/>
      <c r="G1197" s="81" t="s">
        <v>102</v>
      </c>
      <c r="H1197" s="81" t="s">
        <v>286</v>
      </c>
      <c r="I1197" s="83">
        <v>1000</v>
      </c>
      <c r="J1197" s="81" t="s">
        <v>340</v>
      </c>
      <c r="K1197" s="84">
        <v>45868</v>
      </c>
      <c r="L1197" s="81" t="s">
        <v>14</v>
      </c>
      <c r="M1197" s="81" t="s">
        <v>225</v>
      </c>
      <c r="N1197" s="81">
        <v>2025</v>
      </c>
    </row>
    <row r="1198" spans="1:14">
      <c r="A1198" s="81">
        <v>1197</v>
      </c>
      <c r="B1198" s="81" t="s">
        <v>17</v>
      </c>
      <c r="C1198" s="81" t="s">
        <v>23</v>
      </c>
      <c r="D1198" s="81" t="s">
        <v>61</v>
      </c>
      <c r="E1198" s="81" t="s">
        <v>99</v>
      </c>
      <c r="F1198" s="81"/>
      <c r="G1198" s="81" t="s">
        <v>102</v>
      </c>
      <c r="H1198" s="81" t="s">
        <v>286</v>
      </c>
      <c r="I1198" s="83">
        <v>1000</v>
      </c>
      <c r="J1198" s="81" t="s">
        <v>341</v>
      </c>
      <c r="K1198" s="84">
        <v>45899</v>
      </c>
      <c r="L1198" s="81" t="s">
        <v>14</v>
      </c>
      <c r="M1198" s="81" t="s">
        <v>226</v>
      </c>
      <c r="N1198" s="81">
        <v>2025</v>
      </c>
    </row>
    <row r="1199" spans="1:14">
      <c r="A1199" s="81">
        <v>1198</v>
      </c>
      <c r="B1199" s="81" t="s">
        <v>43</v>
      </c>
      <c r="C1199" s="81" t="s">
        <v>52</v>
      </c>
      <c r="D1199" s="81" t="s">
        <v>61</v>
      </c>
      <c r="E1199" s="81" t="s">
        <v>99</v>
      </c>
      <c r="F1199" s="81"/>
      <c r="G1199" s="81" t="s">
        <v>96</v>
      </c>
      <c r="H1199" s="81" t="s">
        <v>101</v>
      </c>
      <c r="I1199" s="83">
        <f>2000000/1420</f>
        <v>1408.4507042253522</v>
      </c>
      <c r="J1199" s="81" t="s">
        <v>335</v>
      </c>
      <c r="K1199" s="84">
        <v>45869</v>
      </c>
      <c r="L1199" s="81" t="s">
        <v>14</v>
      </c>
      <c r="M1199" s="81" t="s">
        <v>225</v>
      </c>
      <c r="N1199" s="81">
        <v>2025</v>
      </c>
    </row>
    <row r="1200" spans="1:14">
      <c r="A1200" s="81">
        <v>1199</v>
      </c>
      <c r="B1200" s="81" t="s">
        <v>43</v>
      </c>
      <c r="C1200" s="81" t="s">
        <v>52</v>
      </c>
      <c r="D1200" s="81" t="s">
        <v>61</v>
      </c>
      <c r="E1200" s="81" t="s">
        <v>99</v>
      </c>
      <c r="F1200" s="81"/>
      <c r="G1200" s="81" t="s">
        <v>96</v>
      </c>
      <c r="H1200" s="81" t="s">
        <v>101</v>
      </c>
      <c r="I1200" s="83">
        <f>2000000/1420</f>
        <v>1408.4507042253522</v>
      </c>
      <c r="J1200" s="81" t="s">
        <v>336</v>
      </c>
      <c r="K1200" s="84">
        <v>45900</v>
      </c>
      <c r="L1200" s="81" t="s">
        <v>14</v>
      </c>
      <c r="M1200" s="81" t="s">
        <v>226</v>
      </c>
      <c r="N1200" s="81">
        <v>2025</v>
      </c>
    </row>
    <row r="1201" spans="1:14">
      <c r="A1201" s="81">
        <v>1200</v>
      </c>
      <c r="B1201" s="81" t="s">
        <v>53</v>
      </c>
      <c r="C1201" s="129" t="s">
        <v>62</v>
      </c>
      <c r="D1201" s="81" t="s">
        <v>61</v>
      </c>
      <c r="E1201" s="81" t="s">
        <v>99</v>
      </c>
      <c r="F1201" s="81"/>
      <c r="G1201" s="81" t="s">
        <v>100</v>
      </c>
      <c r="H1201" s="81" t="s">
        <v>286</v>
      </c>
      <c r="I1201" s="105">
        <v>27098</v>
      </c>
      <c r="J1201" s="81" t="s">
        <v>338</v>
      </c>
      <c r="K1201" s="84">
        <v>45901</v>
      </c>
      <c r="L1201" s="81" t="s">
        <v>14</v>
      </c>
      <c r="M1201" s="81" t="s">
        <v>226</v>
      </c>
      <c r="N1201" s="81">
        <v>2025</v>
      </c>
    </row>
    <row r="1202" spans="1:14">
      <c r="A1202" s="81">
        <v>1201</v>
      </c>
      <c r="B1202" s="81" t="s">
        <v>53</v>
      </c>
      <c r="C1202" s="129" t="s">
        <v>62</v>
      </c>
      <c r="D1202" s="81" t="s">
        <v>61</v>
      </c>
      <c r="E1202" s="81" t="s">
        <v>99</v>
      </c>
      <c r="F1202" s="81"/>
      <c r="G1202" s="81" t="s">
        <v>100</v>
      </c>
      <c r="H1202" s="99" t="s">
        <v>101</v>
      </c>
      <c r="I1202" s="83">
        <v>22836</v>
      </c>
      <c r="J1202" s="81" t="s">
        <v>343</v>
      </c>
      <c r="K1202" s="84">
        <v>45873</v>
      </c>
      <c r="L1202" s="81" t="s">
        <v>14</v>
      </c>
      <c r="M1202" s="81" t="s">
        <v>225</v>
      </c>
      <c r="N1202" s="81">
        <v>2025</v>
      </c>
    </row>
    <row r="1203" spans="1:14">
      <c r="A1203" s="81">
        <v>1202</v>
      </c>
      <c r="B1203" s="81" t="s">
        <v>33</v>
      </c>
      <c r="C1203" s="81" t="s">
        <v>34</v>
      </c>
      <c r="D1203" s="81" t="s">
        <v>61</v>
      </c>
      <c r="E1203" s="81" t="s">
        <v>99</v>
      </c>
      <c r="F1203" s="81"/>
      <c r="G1203" s="81" t="s">
        <v>100</v>
      </c>
      <c r="H1203" s="81" t="s">
        <v>286</v>
      </c>
      <c r="I1203" s="83">
        <v>7750</v>
      </c>
      <c r="J1203" s="81" t="s">
        <v>337</v>
      </c>
      <c r="K1203" s="84">
        <v>45901</v>
      </c>
      <c r="L1203" s="81" t="s">
        <v>14</v>
      </c>
      <c r="M1203" s="81" t="s">
        <v>226</v>
      </c>
      <c r="N1203" s="81">
        <v>2025</v>
      </c>
    </row>
    <row r="1204" spans="1:14">
      <c r="A1204" s="81">
        <v>1203</v>
      </c>
      <c r="B1204" s="81" t="s">
        <v>33</v>
      </c>
      <c r="C1204" s="81" t="s">
        <v>34</v>
      </c>
      <c r="D1204" s="81" t="s">
        <v>61</v>
      </c>
      <c r="E1204" s="81" t="s">
        <v>99</v>
      </c>
      <c r="F1204" s="81"/>
      <c r="G1204" s="81" t="s">
        <v>100</v>
      </c>
      <c r="H1204" s="99" t="s">
        <v>286</v>
      </c>
      <c r="I1204" s="83">
        <v>6000</v>
      </c>
      <c r="J1204" s="81" t="s">
        <v>342</v>
      </c>
      <c r="K1204" s="84">
        <v>45873</v>
      </c>
      <c r="L1204" s="81" t="s">
        <v>14</v>
      </c>
      <c r="M1204" s="81" t="s">
        <v>225</v>
      </c>
      <c r="N1204" s="81">
        <v>2025</v>
      </c>
    </row>
    <row r="1205" spans="1:14">
      <c r="A1205" s="81">
        <v>1204</v>
      </c>
      <c r="B1205" s="81" t="s">
        <v>33</v>
      </c>
      <c r="C1205" s="81" t="s">
        <v>34</v>
      </c>
      <c r="D1205" s="81" t="s">
        <v>61</v>
      </c>
      <c r="E1205" s="81" t="s">
        <v>99</v>
      </c>
      <c r="F1205" s="81"/>
      <c r="G1205" s="81" t="s">
        <v>100</v>
      </c>
      <c r="H1205" s="81" t="s">
        <v>101</v>
      </c>
      <c r="I1205" s="83">
        <v>1080</v>
      </c>
      <c r="J1205" s="81" t="s">
        <v>339</v>
      </c>
      <c r="K1205" s="84">
        <v>45901</v>
      </c>
      <c r="L1205" s="81" t="s">
        <v>14</v>
      </c>
      <c r="M1205" s="81" t="s">
        <v>226</v>
      </c>
      <c r="N1205" s="81">
        <v>2025</v>
      </c>
    </row>
    <row r="1206" spans="1:14">
      <c r="A1206" s="81">
        <v>1205</v>
      </c>
      <c r="B1206" s="81" t="s">
        <v>55</v>
      </c>
      <c r="C1206" s="81" t="s">
        <v>56</v>
      </c>
      <c r="D1206" s="81" t="s">
        <v>61</v>
      </c>
      <c r="E1206" s="81" t="s">
        <v>99</v>
      </c>
      <c r="F1206" s="81"/>
      <c r="G1206" s="81" t="s">
        <v>102</v>
      </c>
      <c r="H1206" s="81" t="s">
        <v>101</v>
      </c>
      <c r="I1206" s="83">
        <v>11520</v>
      </c>
      <c r="J1206" s="81" t="s">
        <v>340</v>
      </c>
      <c r="K1206" s="84">
        <v>45868</v>
      </c>
      <c r="L1206" s="81" t="s">
        <v>14</v>
      </c>
      <c r="M1206" s="81" t="s">
        <v>225</v>
      </c>
      <c r="N1206" s="81">
        <v>2025</v>
      </c>
    </row>
    <row r="1207" spans="1:14">
      <c r="A1207" s="81">
        <v>1206</v>
      </c>
      <c r="B1207" s="81" t="s">
        <v>55</v>
      </c>
      <c r="C1207" s="81" t="s">
        <v>56</v>
      </c>
      <c r="D1207" s="81" t="s">
        <v>61</v>
      </c>
      <c r="E1207" s="81" t="s">
        <v>99</v>
      </c>
      <c r="F1207" s="81"/>
      <c r="G1207" s="81" t="s">
        <v>102</v>
      </c>
      <c r="H1207" s="81" t="s">
        <v>101</v>
      </c>
      <c r="I1207" s="83">
        <v>11520</v>
      </c>
      <c r="J1207" s="81" t="s">
        <v>341</v>
      </c>
      <c r="K1207" s="84">
        <v>45899</v>
      </c>
      <c r="L1207" s="81" t="s">
        <v>14</v>
      </c>
      <c r="M1207" s="81" t="s">
        <v>226</v>
      </c>
      <c r="N1207" s="81">
        <v>2025</v>
      </c>
    </row>
    <row r="1208" spans="1:14">
      <c r="A1208" s="81">
        <v>1207</v>
      </c>
      <c r="B1208" s="81" t="s">
        <v>59</v>
      </c>
      <c r="C1208" s="109" t="s">
        <v>60</v>
      </c>
      <c r="D1208" s="81" t="s">
        <v>61</v>
      </c>
      <c r="E1208" s="81" t="s">
        <v>112</v>
      </c>
      <c r="F1208" s="81"/>
      <c r="G1208" s="81" t="s">
        <v>21</v>
      </c>
      <c r="H1208" s="81" t="s">
        <v>112</v>
      </c>
      <c r="I1208" s="83">
        <f>39121071/1430+693.5</f>
        <v>28050.892307692309</v>
      </c>
      <c r="J1208" s="81" t="s">
        <v>14</v>
      </c>
      <c r="K1208" s="84" t="s">
        <v>14</v>
      </c>
      <c r="L1208" s="81" t="s">
        <v>14</v>
      </c>
      <c r="M1208" s="81" t="s">
        <v>225</v>
      </c>
      <c r="N1208" s="81">
        <v>2025</v>
      </c>
    </row>
    <row r="1209" spans="1:14">
      <c r="A1209" s="81">
        <v>1208</v>
      </c>
      <c r="B1209" s="81" t="s">
        <v>59</v>
      </c>
      <c r="C1209" s="109" t="s">
        <v>60</v>
      </c>
      <c r="D1209" s="81" t="s">
        <v>19</v>
      </c>
      <c r="E1209" s="81" t="s">
        <v>112</v>
      </c>
      <c r="F1209" s="81"/>
      <c r="G1209" s="81" t="s">
        <v>21</v>
      </c>
      <c r="H1209" s="81" t="s">
        <v>112</v>
      </c>
      <c r="I1209" s="83">
        <v>25000</v>
      </c>
      <c r="J1209" s="81" t="s">
        <v>14</v>
      </c>
      <c r="K1209" s="84" t="s">
        <v>14</v>
      </c>
      <c r="L1209" s="81" t="s">
        <v>14</v>
      </c>
      <c r="M1209" s="81" t="s">
        <v>226</v>
      </c>
      <c r="N1209" s="81">
        <v>2025</v>
      </c>
    </row>
    <row r="1210" spans="1:14">
      <c r="A1210" s="81">
        <v>1209</v>
      </c>
      <c r="B1210" s="81" t="s">
        <v>17</v>
      </c>
      <c r="C1210" s="81" t="s">
        <v>26</v>
      </c>
      <c r="D1210" s="81" t="s">
        <v>61</v>
      </c>
      <c r="E1210" s="81" t="s">
        <v>20</v>
      </c>
      <c r="F1210" s="81"/>
      <c r="G1210" s="81" t="s">
        <v>21</v>
      </c>
      <c r="H1210" s="99" t="s">
        <v>330</v>
      </c>
      <c r="I1210" s="105">
        <v>14225</v>
      </c>
      <c r="J1210" s="99" t="s">
        <v>14</v>
      </c>
      <c r="K1210" s="118" t="s">
        <v>14</v>
      </c>
      <c r="L1210" s="99" t="s">
        <v>14</v>
      </c>
      <c r="M1210" s="81" t="s">
        <v>226</v>
      </c>
      <c r="N1210" s="81">
        <v>2025</v>
      </c>
    </row>
    <row r="1211" spans="1:14">
      <c r="A1211" s="81">
        <v>1210</v>
      </c>
      <c r="B1211" s="81" t="s">
        <v>17</v>
      </c>
      <c r="C1211" s="81" t="s">
        <v>26</v>
      </c>
      <c r="D1211" s="81" t="s">
        <v>61</v>
      </c>
      <c r="E1211" s="81" t="s">
        <v>20</v>
      </c>
      <c r="F1211" s="81"/>
      <c r="G1211" s="81" t="s">
        <v>21</v>
      </c>
      <c r="H1211" s="81" t="s">
        <v>328</v>
      </c>
      <c r="I1211" s="105">
        <v>7181</v>
      </c>
      <c r="J1211" s="81" t="s">
        <v>14</v>
      </c>
      <c r="K1211" s="84" t="s">
        <v>14</v>
      </c>
      <c r="L1211" s="81" t="s">
        <v>14</v>
      </c>
      <c r="M1211" s="81" t="s">
        <v>225</v>
      </c>
      <c r="N1211" s="81">
        <v>2025</v>
      </c>
    </row>
    <row r="1212" spans="1:14">
      <c r="A1212" s="81">
        <v>1211</v>
      </c>
      <c r="B1212" s="81" t="s">
        <v>17</v>
      </c>
      <c r="C1212" s="81" t="s">
        <v>25</v>
      </c>
      <c r="D1212" s="81" t="s">
        <v>61</v>
      </c>
      <c r="E1212" s="81" t="s">
        <v>20</v>
      </c>
      <c r="F1212" s="81"/>
      <c r="G1212" s="81" t="s">
        <v>21</v>
      </c>
      <c r="H1212" s="99" t="s">
        <v>330</v>
      </c>
      <c r="I1212" s="105">
        <v>74893</v>
      </c>
      <c r="J1212" s="99" t="s">
        <v>14</v>
      </c>
      <c r="K1212" s="118" t="s">
        <v>14</v>
      </c>
      <c r="L1212" s="99" t="s">
        <v>14</v>
      </c>
      <c r="M1212" s="81" t="s">
        <v>226</v>
      </c>
      <c r="N1212" s="81">
        <v>2025</v>
      </c>
    </row>
    <row r="1213" spans="1:14">
      <c r="A1213" s="81">
        <v>1212</v>
      </c>
      <c r="B1213" s="81" t="s">
        <v>17</v>
      </c>
      <c r="C1213" s="81" t="s">
        <v>25</v>
      </c>
      <c r="D1213" s="81" t="s">
        <v>61</v>
      </c>
      <c r="E1213" s="81" t="s">
        <v>20</v>
      </c>
      <c r="F1213" s="81"/>
      <c r="G1213" s="81" t="s">
        <v>21</v>
      </c>
      <c r="H1213" s="81" t="s">
        <v>328</v>
      </c>
      <c r="I1213" s="105">
        <v>61318</v>
      </c>
      <c r="J1213" s="81" t="s">
        <v>14</v>
      </c>
      <c r="K1213" s="84" t="s">
        <v>14</v>
      </c>
      <c r="L1213" s="81" t="s">
        <v>14</v>
      </c>
      <c r="M1213" s="81" t="s">
        <v>225</v>
      </c>
      <c r="N1213" s="81">
        <v>2025</v>
      </c>
    </row>
    <row r="1214" spans="1:14">
      <c r="A1214" s="81">
        <v>1213</v>
      </c>
      <c r="B1214" s="81" t="s">
        <v>17</v>
      </c>
      <c r="C1214" s="81" t="s">
        <v>25</v>
      </c>
      <c r="D1214" s="81" t="s">
        <v>61</v>
      </c>
      <c r="E1214" s="81" t="s">
        <v>20</v>
      </c>
      <c r="F1214" s="81"/>
      <c r="G1214" s="99" t="s">
        <v>21</v>
      </c>
      <c r="H1214" s="99" t="s">
        <v>334</v>
      </c>
      <c r="I1214" s="105">
        <v>4900</v>
      </c>
      <c r="J1214" s="99" t="s">
        <v>14</v>
      </c>
      <c r="K1214" s="118" t="s">
        <v>14</v>
      </c>
      <c r="L1214" s="99" t="s">
        <v>14</v>
      </c>
      <c r="M1214" s="81" t="s">
        <v>226</v>
      </c>
      <c r="N1214" s="81">
        <v>2025</v>
      </c>
    </row>
    <row r="1215" spans="1:14">
      <c r="A1215" s="81">
        <v>1214</v>
      </c>
      <c r="B1215" s="81" t="s">
        <v>17</v>
      </c>
      <c r="C1215" s="81" t="s">
        <v>24</v>
      </c>
      <c r="D1215" s="81" t="s">
        <v>61</v>
      </c>
      <c r="E1215" s="81" t="s">
        <v>20</v>
      </c>
      <c r="F1215" s="81"/>
      <c r="G1215" s="81" t="s">
        <v>21</v>
      </c>
      <c r="H1215" s="81" t="s">
        <v>328</v>
      </c>
      <c r="I1215" s="105">
        <v>49296</v>
      </c>
      <c r="J1215" s="81" t="s">
        <v>14</v>
      </c>
      <c r="K1215" s="84" t="s">
        <v>14</v>
      </c>
      <c r="L1215" s="81" t="s">
        <v>14</v>
      </c>
      <c r="M1215" s="81" t="s">
        <v>225</v>
      </c>
      <c r="N1215" s="81">
        <v>2025</v>
      </c>
    </row>
    <row r="1216" spans="1:14">
      <c r="A1216" s="81">
        <v>1215</v>
      </c>
      <c r="B1216" s="81" t="s">
        <v>17</v>
      </c>
      <c r="C1216" s="81" t="s">
        <v>24</v>
      </c>
      <c r="D1216" s="81" t="s">
        <v>61</v>
      </c>
      <c r="E1216" s="81" t="s">
        <v>20</v>
      </c>
      <c r="F1216" s="81"/>
      <c r="G1216" s="81" t="s">
        <v>21</v>
      </c>
      <c r="H1216" s="99" t="s">
        <v>330</v>
      </c>
      <c r="I1216" s="105">
        <v>41727</v>
      </c>
      <c r="J1216" s="99" t="s">
        <v>14</v>
      </c>
      <c r="K1216" s="118" t="s">
        <v>14</v>
      </c>
      <c r="L1216" s="99" t="s">
        <v>14</v>
      </c>
      <c r="M1216" s="81" t="s">
        <v>226</v>
      </c>
      <c r="N1216" s="81">
        <v>2025</v>
      </c>
    </row>
    <row r="1217" spans="1:14">
      <c r="A1217" s="81">
        <v>1216</v>
      </c>
      <c r="B1217" s="81" t="s">
        <v>43</v>
      </c>
      <c r="C1217" s="81" t="s">
        <v>77</v>
      </c>
      <c r="D1217" s="81" t="s">
        <v>61</v>
      </c>
      <c r="E1217" s="81" t="s">
        <v>20</v>
      </c>
      <c r="F1217" s="81"/>
      <c r="G1217" s="81" t="s">
        <v>21</v>
      </c>
      <c r="H1217" s="81" t="s">
        <v>328</v>
      </c>
      <c r="I1217" s="105">
        <v>5092</v>
      </c>
      <c r="J1217" s="81" t="s">
        <v>14</v>
      </c>
      <c r="K1217" s="84" t="s">
        <v>14</v>
      </c>
      <c r="L1217" s="81" t="s">
        <v>14</v>
      </c>
      <c r="M1217" s="81" t="s">
        <v>225</v>
      </c>
      <c r="N1217" s="81">
        <v>2025</v>
      </c>
    </row>
    <row r="1218" spans="1:14">
      <c r="A1218" s="81">
        <v>1217</v>
      </c>
      <c r="B1218" s="81" t="s">
        <v>43</v>
      </c>
      <c r="C1218" s="81" t="s">
        <v>77</v>
      </c>
      <c r="D1218" s="81" t="s">
        <v>61</v>
      </c>
      <c r="E1218" s="81" t="s">
        <v>20</v>
      </c>
      <c r="F1218" s="81"/>
      <c r="G1218" s="81" t="s">
        <v>21</v>
      </c>
      <c r="H1218" s="99" t="s">
        <v>330</v>
      </c>
      <c r="I1218" s="105">
        <v>1669</v>
      </c>
      <c r="J1218" s="99" t="s">
        <v>14</v>
      </c>
      <c r="K1218" s="118" t="s">
        <v>14</v>
      </c>
      <c r="L1218" s="99" t="s">
        <v>14</v>
      </c>
      <c r="M1218" s="81" t="s">
        <v>226</v>
      </c>
      <c r="N1218" s="81">
        <v>2025</v>
      </c>
    </row>
    <row r="1219" spans="1:14">
      <c r="A1219" s="81">
        <v>1218</v>
      </c>
      <c r="B1219" s="81" t="s">
        <v>17</v>
      </c>
      <c r="C1219" s="81" t="s">
        <v>23</v>
      </c>
      <c r="D1219" s="81" t="s">
        <v>61</v>
      </c>
      <c r="E1219" s="81" t="s">
        <v>20</v>
      </c>
      <c r="F1219" s="81"/>
      <c r="G1219" s="81" t="s">
        <v>21</v>
      </c>
      <c r="H1219" s="81" t="s">
        <v>328</v>
      </c>
      <c r="I1219" s="105">
        <v>13694</v>
      </c>
      <c r="J1219" s="81" t="s">
        <v>14</v>
      </c>
      <c r="K1219" s="84" t="s">
        <v>14</v>
      </c>
      <c r="L1219" s="81" t="s">
        <v>14</v>
      </c>
      <c r="M1219" s="81" t="s">
        <v>225</v>
      </c>
      <c r="N1219" s="81">
        <v>2025</v>
      </c>
    </row>
    <row r="1220" spans="1:14">
      <c r="A1220" s="81">
        <v>1219</v>
      </c>
      <c r="B1220" s="81" t="s">
        <v>17</v>
      </c>
      <c r="C1220" s="81" t="s">
        <v>23</v>
      </c>
      <c r="D1220" s="81" t="s">
        <v>61</v>
      </c>
      <c r="E1220" s="81" t="s">
        <v>20</v>
      </c>
      <c r="F1220" s="81"/>
      <c r="G1220" s="81" t="s">
        <v>21</v>
      </c>
      <c r="H1220" s="99" t="s">
        <v>330</v>
      </c>
      <c r="I1220" s="105">
        <v>9166</v>
      </c>
      <c r="J1220" s="99" t="s">
        <v>14</v>
      </c>
      <c r="K1220" s="118" t="s">
        <v>14</v>
      </c>
      <c r="L1220" s="99" t="s">
        <v>14</v>
      </c>
      <c r="M1220" s="81" t="s">
        <v>226</v>
      </c>
      <c r="N1220" s="81">
        <v>2025</v>
      </c>
    </row>
    <row r="1221" spans="1:14">
      <c r="A1221" s="81">
        <v>1220</v>
      </c>
      <c r="B1221" s="81" t="s">
        <v>43</v>
      </c>
      <c r="C1221" s="81" t="s">
        <v>52</v>
      </c>
      <c r="D1221" s="81" t="s">
        <v>61</v>
      </c>
      <c r="E1221" s="81" t="s">
        <v>20</v>
      </c>
      <c r="F1221" s="81"/>
      <c r="G1221" s="81" t="s">
        <v>21</v>
      </c>
      <c r="H1221" s="81" t="s">
        <v>328</v>
      </c>
      <c r="I1221" s="105">
        <v>29427</v>
      </c>
      <c r="J1221" s="81" t="s">
        <v>14</v>
      </c>
      <c r="K1221" s="84" t="s">
        <v>14</v>
      </c>
      <c r="L1221" s="81" t="s">
        <v>14</v>
      </c>
      <c r="M1221" s="81" t="s">
        <v>225</v>
      </c>
      <c r="N1221" s="81">
        <v>2025</v>
      </c>
    </row>
    <row r="1222" spans="1:14">
      <c r="A1222" s="81">
        <v>1221</v>
      </c>
      <c r="B1222" s="81" t="s">
        <v>43</v>
      </c>
      <c r="C1222" s="81" t="s">
        <v>52</v>
      </c>
      <c r="D1222" s="81" t="s">
        <v>61</v>
      </c>
      <c r="E1222" s="81" t="s">
        <v>20</v>
      </c>
      <c r="F1222" s="81"/>
      <c r="G1222" s="81" t="s">
        <v>21</v>
      </c>
      <c r="H1222" s="99" t="s">
        <v>330</v>
      </c>
      <c r="I1222" s="105">
        <v>28391</v>
      </c>
      <c r="J1222" s="99" t="s">
        <v>14</v>
      </c>
      <c r="K1222" s="118" t="s">
        <v>14</v>
      </c>
      <c r="L1222" s="99" t="s">
        <v>14</v>
      </c>
      <c r="M1222" s="81" t="s">
        <v>226</v>
      </c>
      <c r="N1222" s="81">
        <v>2025</v>
      </c>
    </row>
    <row r="1223" spans="1:14">
      <c r="A1223" s="81">
        <v>1222</v>
      </c>
      <c r="B1223" s="81" t="s">
        <v>43</v>
      </c>
      <c r="C1223" s="81" t="s">
        <v>51</v>
      </c>
      <c r="D1223" s="81" t="s">
        <v>61</v>
      </c>
      <c r="E1223" s="81" t="s">
        <v>20</v>
      </c>
      <c r="F1223" s="81"/>
      <c r="G1223" s="81" t="s">
        <v>21</v>
      </c>
      <c r="H1223" s="81" t="s">
        <v>328</v>
      </c>
      <c r="I1223" s="105">
        <v>242348</v>
      </c>
      <c r="J1223" s="81" t="s">
        <v>14</v>
      </c>
      <c r="K1223" s="84" t="s">
        <v>14</v>
      </c>
      <c r="L1223" s="81" t="s">
        <v>14</v>
      </c>
      <c r="M1223" s="81" t="s">
        <v>225</v>
      </c>
      <c r="N1223" s="81">
        <v>2025</v>
      </c>
    </row>
    <row r="1224" spans="1:14">
      <c r="A1224" s="81">
        <v>1223</v>
      </c>
      <c r="B1224" s="81" t="s">
        <v>43</v>
      </c>
      <c r="C1224" s="81" t="s">
        <v>51</v>
      </c>
      <c r="D1224" s="81" t="s">
        <v>61</v>
      </c>
      <c r="E1224" s="81" t="s">
        <v>20</v>
      </c>
      <c r="F1224" s="81"/>
      <c r="G1224" s="81" t="s">
        <v>21</v>
      </c>
      <c r="H1224" s="99" t="s">
        <v>330</v>
      </c>
      <c r="I1224" s="105">
        <v>201182</v>
      </c>
      <c r="J1224" s="99" t="s">
        <v>14</v>
      </c>
      <c r="K1224" s="118" t="s">
        <v>14</v>
      </c>
      <c r="L1224" s="99" t="s">
        <v>14</v>
      </c>
      <c r="M1224" s="81" t="s">
        <v>226</v>
      </c>
      <c r="N1224" s="81">
        <v>2025</v>
      </c>
    </row>
    <row r="1225" spans="1:14">
      <c r="A1225" s="81">
        <v>1224</v>
      </c>
      <c r="B1225" s="81" t="s">
        <v>43</v>
      </c>
      <c r="C1225" s="81" t="s">
        <v>50</v>
      </c>
      <c r="D1225" s="81" t="s">
        <v>61</v>
      </c>
      <c r="E1225" s="81" t="s">
        <v>20</v>
      </c>
      <c r="F1225" s="81"/>
      <c r="G1225" s="81" t="s">
        <v>21</v>
      </c>
      <c r="H1225" s="81" t="s">
        <v>328</v>
      </c>
      <c r="I1225" s="105">
        <v>124927</v>
      </c>
      <c r="J1225" s="81" t="s">
        <v>14</v>
      </c>
      <c r="K1225" s="84" t="s">
        <v>14</v>
      </c>
      <c r="L1225" s="81" t="s">
        <v>14</v>
      </c>
      <c r="M1225" s="81" t="s">
        <v>225</v>
      </c>
      <c r="N1225" s="81">
        <v>2025</v>
      </c>
    </row>
    <row r="1226" spans="1:14">
      <c r="A1226" s="81">
        <v>1225</v>
      </c>
      <c r="B1226" s="81" t="s">
        <v>43</v>
      </c>
      <c r="C1226" s="81" t="s">
        <v>50</v>
      </c>
      <c r="D1226" s="81" t="s">
        <v>61</v>
      </c>
      <c r="E1226" s="81" t="s">
        <v>20</v>
      </c>
      <c r="F1226" s="81"/>
      <c r="G1226" s="81" t="s">
        <v>21</v>
      </c>
      <c r="H1226" s="99" t="s">
        <v>330</v>
      </c>
      <c r="I1226" s="105">
        <v>93451</v>
      </c>
      <c r="J1226" s="99" t="s">
        <v>14</v>
      </c>
      <c r="K1226" s="118" t="s">
        <v>14</v>
      </c>
      <c r="L1226" s="99" t="s">
        <v>14</v>
      </c>
      <c r="M1226" s="81" t="s">
        <v>226</v>
      </c>
      <c r="N1226" s="81">
        <v>2025</v>
      </c>
    </row>
    <row r="1227" spans="1:14">
      <c r="A1227" s="81">
        <v>1226</v>
      </c>
      <c r="B1227" s="81" t="s">
        <v>43</v>
      </c>
      <c r="C1227" s="81" t="s">
        <v>49</v>
      </c>
      <c r="D1227" s="81" t="s">
        <v>61</v>
      </c>
      <c r="E1227" s="81" t="s">
        <v>20</v>
      </c>
      <c r="F1227" s="81"/>
      <c r="G1227" s="81" t="s">
        <v>21</v>
      </c>
      <c r="H1227" s="99" t="s">
        <v>330</v>
      </c>
      <c r="I1227" s="105">
        <v>27712</v>
      </c>
      <c r="J1227" s="99" t="s">
        <v>14</v>
      </c>
      <c r="K1227" s="118" t="s">
        <v>14</v>
      </c>
      <c r="L1227" s="99" t="s">
        <v>14</v>
      </c>
      <c r="M1227" s="81" t="s">
        <v>226</v>
      </c>
      <c r="N1227" s="81">
        <v>2025</v>
      </c>
    </row>
    <row r="1228" spans="1:14">
      <c r="A1228" s="81">
        <v>1227</v>
      </c>
      <c r="B1228" s="81" t="s">
        <v>43</v>
      </c>
      <c r="C1228" s="81" t="s">
        <v>49</v>
      </c>
      <c r="D1228" s="81" t="s">
        <v>61</v>
      </c>
      <c r="E1228" s="81" t="s">
        <v>20</v>
      </c>
      <c r="F1228" s="81"/>
      <c r="G1228" s="81" t="s">
        <v>21</v>
      </c>
      <c r="H1228" s="81" t="s">
        <v>328</v>
      </c>
      <c r="I1228" s="105">
        <v>25398</v>
      </c>
      <c r="J1228" s="81" t="s">
        <v>14</v>
      </c>
      <c r="K1228" s="84" t="s">
        <v>14</v>
      </c>
      <c r="L1228" s="81" t="s">
        <v>14</v>
      </c>
      <c r="M1228" s="81" t="s">
        <v>225</v>
      </c>
      <c r="N1228" s="81">
        <v>2025</v>
      </c>
    </row>
    <row r="1229" spans="1:14">
      <c r="A1229" s="81">
        <v>1228</v>
      </c>
      <c r="B1229" s="81" t="s">
        <v>98</v>
      </c>
      <c r="C1229" s="81" t="s">
        <v>98</v>
      </c>
      <c r="D1229" s="81" t="s">
        <v>61</v>
      </c>
      <c r="E1229" s="81" t="s">
        <v>20</v>
      </c>
      <c r="F1229" s="81"/>
      <c r="G1229" s="81" t="s">
        <v>21</v>
      </c>
      <c r="H1229" s="81" t="s">
        <v>328</v>
      </c>
      <c r="I1229" s="105">
        <v>68390</v>
      </c>
      <c r="J1229" s="81" t="s">
        <v>14</v>
      </c>
      <c r="K1229" s="84" t="s">
        <v>14</v>
      </c>
      <c r="L1229" s="81" t="s">
        <v>14</v>
      </c>
      <c r="M1229" s="81" t="s">
        <v>225</v>
      </c>
      <c r="N1229" s="81">
        <v>2025</v>
      </c>
    </row>
    <row r="1230" spans="1:14">
      <c r="A1230" s="81">
        <v>1229</v>
      </c>
      <c r="B1230" s="81" t="s">
        <v>98</v>
      </c>
      <c r="C1230" s="81" t="s">
        <v>98</v>
      </c>
      <c r="D1230" s="81" t="s">
        <v>61</v>
      </c>
      <c r="E1230" s="81" t="s">
        <v>20</v>
      </c>
      <c r="F1230" s="81"/>
      <c r="G1230" s="81" t="s">
        <v>21</v>
      </c>
      <c r="H1230" s="99" t="s">
        <v>330</v>
      </c>
      <c r="I1230" s="105">
        <v>65180</v>
      </c>
      <c r="J1230" s="99" t="s">
        <v>14</v>
      </c>
      <c r="K1230" s="118" t="s">
        <v>14</v>
      </c>
      <c r="L1230" s="99" t="s">
        <v>14</v>
      </c>
      <c r="M1230" s="81" t="s">
        <v>226</v>
      </c>
      <c r="N1230" s="81">
        <v>2025</v>
      </c>
    </row>
    <row r="1231" spans="1:14">
      <c r="A1231" s="81">
        <v>1230</v>
      </c>
      <c r="B1231" s="81" t="s">
        <v>43</v>
      </c>
      <c r="C1231" s="81" t="s">
        <v>48</v>
      </c>
      <c r="D1231" s="81" t="s">
        <v>61</v>
      </c>
      <c r="E1231" s="81" t="s">
        <v>20</v>
      </c>
      <c r="F1231" s="81"/>
      <c r="G1231" s="81" t="s">
        <v>21</v>
      </c>
      <c r="H1231" s="81" t="s">
        <v>328</v>
      </c>
      <c r="I1231" s="105">
        <v>15065</v>
      </c>
      <c r="J1231" s="81" t="s">
        <v>14</v>
      </c>
      <c r="K1231" s="84" t="s">
        <v>14</v>
      </c>
      <c r="L1231" s="81" t="s">
        <v>14</v>
      </c>
      <c r="M1231" s="81" t="s">
        <v>225</v>
      </c>
      <c r="N1231" s="81">
        <v>2025</v>
      </c>
    </row>
    <row r="1232" spans="1:14">
      <c r="A1232" s="81">
        <v>1231</v>
      </c>
      <c r="B1232" s="81" t="s">
        <v>43</v>
      </c>
      <c r="C1232" s="81" t="s">
        <v>48</v>
      </c>
      <c r="D1232" s="81" t="s">
        <v>61</v>
      </c>
      <c r="E1232" s="81" t="s">
        <v>20</v>
      </c>
      <c r="F1232" s="81"/>
      <c r="G1232" s="81" t="s">
        <v>21</v>
      </c>
      <c r="H1232" s="99" t="s">
        <v>330</v>
      </c>
      <c r="I1232" s="105">
        <v>7167</v>
      </c>
      <c r="J1232" s="99" t="s">
        <v>14</v>
      </c>
      <c r="K1232" s="118" t="s">
        <v>14</v>
      </c>
      <c r="L1232" s="99" t="s">
        <v>14</v>
      </c>
      <c r="M1232" s="81" t="s">
        <v>226</v>
      </c>
      <c r="N1232" s="81">
        <v>2025</v>
      </c>
    </row>
    <row r="1233" spans="1:14">
      <c r="A1233" s="81">
        <v>1232</v>
      </c>
      <c r="B1233" s="81" t="s">
        <v>35</v>
      </c>
      <c r="C1233" s="102" t="s">
        <v>42</v>
      </c>
      <c r="D1233" s="81" t="s">
        <v>61</v>
      </c>
      <c r="E1233" s="81" t="s">
        <v>20</v>
      </c>
      <c r="F1233" s="81"/>
      <c r="G1233" s="81" t="s">
        <v>21</v>
      </c>
      <c r="H1233" s="81" t="s">
        <v>328</v>
      </c>
      <c r="I1233" s="105">
        <v>4129</v>
      </c>
      <c r="J1233" s="81" t="s">
        <v>14</v>
      </c>
      <c r="K1233" s="84" t="s">
        <v>14</v>
      </c>
      <c r="L1233" s="81" t="s">
        <v>14</v>
      </c>
      <c r="M1233" s="81" t="s">
        <v>225</v>
      </c>
      <c r="N1233" s="81">
        <v>2025</v>
      </c>
    </row>
    <row r="1234" spans="1:14">
      <c r="A1234" s="81">
        <v>1233</v>
      </c>
      <c r="B1234" s="81" t="s">
        <v>35</v>
      </c>
      <c r="C1234" s="81" t="s">
        <v>42</v>
      </c>
      <c r="D1234" s="81" t="s">
        <v>61</v>
      </c>
      <c r="E1234" s="81" t="s">
        <v>20</v>
      </c>
      <c r="F1234" s="81"/>
      <c r="G1234" s="81" t="s">
        <v>21</v>
      </c>
      <c r="H1234" s="99" t="s">
        <v>330</v>
      </c>
      <c r="I1234" s="105">
        <v>1878</v>
      </c>
      <c r="J1234" s="99" t="s">
        <v>14</v>
      </c>
      <c r="K1234" s="118" t="s">
        <v>14</v>
      </c>
      <c r="L1234" s="99" t="s">
        <v>14</v>
      </c>
      <c r="M1234" s="81" t="s">
        <v>226</v>
      </c>
      <c r="N1234" s="81">
        <v>2025</v>
      </c>
    </row>
    <row r="1235" spans="1:14">
      <c r="A1235" s="81">
        <v>1234</v>
      </c>
      <c r="B1235" s="81" t="s">
        <v>35</v>
      </c>
      <c r="C1235" s="81" t="s">
        <v>41</v>
      </c>
      <c r="D1235" s="81" t="s">
        <v>61</v>
      </c>
      <c r="E1235" s="81" t="s">
        <v>20</v>
      </c>
      <c r="F1235" s="81"/>
      <c r="G1235" s="81" t="s">
        <v>21</v>
      </c>
      <c r="H1235" s="99" t="s">
        <v>330</v>
      </c>
      <c r="I1235" s="105">
        <v>3585</v>
      </c>
      <c r="J1235" s="99" t="s">
        <v>14</v>
      </c>
      <c r="K1235" s="118" t="s">
        <v>14</v>
      </c>
      <c r="L1235" s="99" t="s">
        <v>14</v>
      </c>
      <c r="M1235" s="81" t="s">
        <v>226</v>
      </c>
      <c r="N1235" s="81">
        <v>2025</v>
      </c>
    </row>
    <row r="1236" spans="1:14">
      <c r="A1236" s="81">
        <v>1235</v>
      </c>
      <c r="B1236" s="81" t="s">
        <v>35</v>
      </c>
      <c r="C1236" s="102" t="s">
        <v>40</v>
      </c>
      <c r="D1236" s="81" t="s">
        <v>61</v>
      </c>
      <c r="E1236" s="81" t="s">
        <v>20</v>
      </c>
      <c r="F1236" s="81"/>
      <c r="G1236" s="81" t="s">
        <v>21</v>
      </c>
      <c r="H1236" s="81" t="s">
        <v>328</v>
      </c>
      <c r="I1236" s="105">
        <v>11371</v>
      </c>
      <c r="J1236" s="81" t="s">
        <v>14</v>
      </c>
      <c r="K1236" s="84" t="s">
        <v>14</v>
      </c>
      <c r="L1236" s="81" t="s">
        <v>14</v>
      </c>
      <c r="M1236" s="81" t="s">
        <v>225</v>
      </c>
      <c r="N1236" s="81">
        <v>2025</v>
      </c>
    </row>
    <row r="1237" spans="1:14">
      <c r="A1237" s="81">
        <v>1236</v>
      </c>
      <c r="B1237" s="81" t="s">
        <v>35</v>
      </c>
      <c r="C1237" s="81" t="s">
        <v>40</v>
      </c>
      <c r="D1237" s="81" t="s">
        <v>61</v>
      </c>
      <c r="E1237" s="81" t="s">
        <v>20</v>
      </c>
      <c r="F1237" s="81"/>
      <c r="G1237" s="81" t="s">
        <v>21</v>
      </c>
      <c r="H1237" s="99" t="s">
        <v>330</v>
      </c>
      <c r="I1237" s="105">
        <v>7211</v>
      </c>
      <c r="J1237" s="99" t="s">
        <v>14</v>
      </c>
      <c r="K1237" s="118" t="s">
        <v>14</v>
      </c>
      <c r="L1237" s="99" t="s">
        <v>14</v>
      </c>
      <c r="M1237" s="81" t="s">
        <v>226</v>
      </c>
      <c r="N1237" s="81">
        <v>2025</v>
      </c>
    </row>
    <row r="1238" spans="1:14">
      <c r="A1238" s="81">
        <v>1237</v>
      </c>
      <c r="B1238" s="109" t="s">
        <v>29</v>
      </c>
      <c r="C1238" s="109" t="s">
        <v>237</v>
      </c>
      <c r="D1238" s="81" t="s">
        <v>61</v>
      </c>
      <c r="E1238" s="81" t="s">
        <v>20</v>
      </c>
      <c r="F1238" s="81"/>
      <c r="G1238" s="81" t="s">
        <v>21</v>
      </c>
      <c r="H1238" s="99" t="s">
        <v>330</v>
      </c>
      <c r="I1238" s="105">
        <v>61445</v>
      </c>
      <c r="J1238" s="99" t="s">
        <v>14</v>
      </c>
      <c r="K1238" s="118" t="s">
        <v>14</v>
      </c>
      <c r="L1238" s="99" t="s">
        <v>14</v>
      </c>
      <c r="M1238" s="81" t="s">
        <v>226</v>
      </c>
      <c r="N1238" s="81">
        <v>2025</v>
      </c>
    </row>
    <row r="1239" spans="1:14">
      <c r="A1239" s="81">
        <v>1238</v>
      </c>
      <c r="B1239" s="109" t="s">
        <v>29</v>
      </c>
      <c r="C1239" s="109" t="s">
        <v>237</v>
      </c>
      <c r="D1239" s="81" t="s">
        <v>61</v>
      </c>
      <c r="E1239" s="81" t="s">
        <v>20</v>
      </c>
      <c r="F1239" s="81"/>
      <c r="G1239" s="81" t="s">
        <v>21</v>
      </c>
      <c r="H1239" s="81" t="s">
        <v>328</v>
      </c>
      <c r="I1239" s="105">
        <v>49207</v>
      </c>
      <c r="J1239" s="81" t="s">
        <v>14</v>
      </c>
      <c r="K1239" s="84" t="s">
        <v>14</v>
      </c>
      <c r="L1239" s="81" t="s">
        <v>14</v>
      </c>
      <c r="M1239" s="81" t="s">
        <v>225</v>
      </c>
      <c r="N1239" s="81">
        <v>2025</v>
      </c>
    </row>
    <row r="1240" spans="1:14">
      <c r="A1240" s="81">
        <v>1239</v>
      </c>
      <c r="B1240" s="81" t="s">
        <v>17</v>
      </c>
      <c r="C1240" s="81" t="s">
        <v>95</v>
      </c>
      <c r="D1240" s="81" t="s">
        <v>61</v>
      </c>
      <c r="E1240" s="81" t="s">
        <v>20</v>
      </c>
      <c r="F1240" s="81"/>
      <c r="G1240" s="81" t="s">
        <v>21</v>
      </c>
      <c r="H1240" s="81" t="s">
        <v>328</v>
      </c>
      <c r="I1240" s="105">
        <v>44607</v>
      </c>
      <c r="J1240" s="81" t="s">
        <v>14</v>
      </c>
      <c r="K1240" s="84" t="s">
        <v>14</v>
      </c>
      <c r="L1240" s="81" t="s">
        <v>14</v>
      </c>
      <c r="M1240" s="81" t="s">
        <v>225</v>
      </c>
      <c r="N1240" s="81">
        <v>2025</v>
      </c>
    </row>
    <row r="1241" spans="1:14">
      <c r="A1241" s="81">
        <v>1240</v>
      </c>
      <c r="B1241" s="81" t="s">
        <v>17</v>
      </c>
      <c r="C1241" s="81" t="s">
        <v>95</v>
      </c>
      <c r="D1241" s="81" t="s">
        <v>61</v>
      </c>
      <c r="E1241" s="81" t="s">
        <v>20</v>
      </c>
      <c r="F1241" s="81"/>
      <c r="G1241" s="81" t="s">
        <v>21</v>
      </c>
      <c r="H1241" s="99" t="s">
        <v>330</v>
      </c>
      <c r="I1241" s="105">
        <v>32477</v>
      </c>
      <c r="J1241" s="99" t="s">
        <v>14</v>
      </c>
      <c r="K1241" s="118" t="s">
        <v>14</v>
      </c>
      <c r="L1241" s="99" t="s">
        <v>14</v>
      </c>
      <c r="M1241" s="81" t="s">
        <v>226</v>
      </c>
      <c r="N1241" s="81">
        <v>2025</v>
      </c>
    </row>
    <row r="1242" spans="1:14">
      <c r="A1242" s="81">
        <v>1241</v>
      </c>
      <c r="B1242" s="81" t="s">
        <v>43</v>
      </c>
      <c r="C1242" s="81" t="s">
        <v>47</v>
      </c>
      <c r="D1242" s="81" t="s">
        <v>61</v>
      </c>
      <c r="E1242" s="81" t="s">
        <v>20</v>
      </c>
      <c r="F1242" s="81"/>
      <c r="G1242" s="81" t="s">
        <v>21</v>
      </c>
      <c r="H1242" s="81" t="s">
        <v>328</v>
      </c>
      <c r="I1242" s="105">
        <v>31695</v>
      </c>
      <c r="J1242" s="81" t="s">
        <v>14</v>
      </c>
      <c r="K1242" s="84" t="s">
        <v>14</v>
      </c>
      <c r="L1242" s="81" t="s">
        <v>14</v>
      </c>
      <c r="M1242" s="81" t="s">
        <v>225</v>
      </c>
      <c r="N1242" s="81">
        <v>2025</v>
      </c>
    </row>
    <row r="1243" spans="1:14">
      <c r="A1243" s="81">
        <v>1242</v>
      </c>
      <c r="B1243" s="81" t="s">
        <v>43</v>
      </c>
      <c r="C1243" s="81" t="s">
        <v>47</v>
      </c>
      <c r="D1243" s="81" t="s">
        <v>61</v>
      </c>
      <c r="E1243" s="81" t="s">
        <v>20</v>
      </c>
      <c r="F1243" s="81"/>
      <c r="G1243" s="81" t="s">
        <v>21</v>
      </c>
      <c r="H1243" s="99" t="s">
        <v>330</v>
      </c>
      <c r="I1243" s="105">
        <v>26038</v>
      </c>
      <c r="J1243" s="99" t="s">
        <v>14</v>
      </c>
      <c r="K1243" s="118" t="s">
        <v>14</v>
      </c>
      <c r="L1243" s="99" t="s">
        <v>14</v>
      </c>
      <c r="M1243" s="81" t="s">
        <v>226</v>
      </c>
      <c r="N1243" s="81">
        <v>2025</v>
      </c>
    </row>
    <row r="1244" spans="1:14">
      <c r="A1244" s="81">
        <v>1243</v>
      </c>
      <c r="B1244" s="81" t="s">
        <v>17</v>
      </c>
      <c r="C1244" s="81" t="s">
        <v>22</v>
      </c>
      <c r="D1244" s="81" t="s">
        <v>61</v>
      </c>
      <c r="E1244" s="81" t="s">
        <v>20</v>
      </c>
      <c r="F1244" s="81"/>
      <c r="G1244" s="81" t="s">
        <v>21</v>
      </c>
      <c r="H1244" s="81" t="s">
        <v>328</v>
      </c>
      <c r="I1244" s="105">
        <v>80237</v>
      </c>
      <c r="J1244" s="81" t="s">
        <v>14</v>
      </c>
      <c r="K1244" s="84" t="s">
        <v>14</v>
      </c>
      <c r="L1244" s="81" t="s">
        <v>14</v>
      </c>
      <c r="M1244" s="81" t="s">
        <v>225</v>
      </c>
      <c r="N1244" s="81">
        <v>2025</v>
      </c>
    </row>
    <row r="1245" spans="1:14">
      <c r="A1245" s="81">
        <v>1244</v>
      </c>
      <c r="B1245" s="81" t="s">
        <v>17</v>
      </c>
      <c r="C1245" s="81" t="s">
        <v>22</v>
      </c>
      <c r="D1245" s="81" t="s">
        <v>61</v>
      </c>
      <c r="E1245" s="81" t="s">
        <v>20</v>
      </c>
      <c r="F1245" s="81"/>
      <c r="G1245" s="81" t="s">
        <v>21</v>
      </c>
      <c r="H1245" s="99" t="s">
        <v>330</v>
      </c>
      <c r="I1245" s="105">
        <v>51340</v>
      </c>
      <c r="J1245" s="99" t="s">
        <v>14</v>
      </c>
      <c r="K1245" s="118" t="s">
        <v>14</v>
      </c>
      <c r="L1245" s="99" t="s">
        <v>14</v>
      </c>
      <c r="M1245" s="81" t="s">
        <v>226</v>
      </c>
      <c r="N1245" s="81">
        <v>2025</v>
      </c>
    </row>
    <row r="1246" spans="1:14">
      <c r="A1246" s="81">
        <v>1245</v>
      </c>
      <c r="B1246" s="100" t="s">
        <v>59</v>
      </c>
      <c r="C1246" s="81" t="s">
        <v>60</v>
      </c>
      <c r="D1246" s="81" t="s">
        <v>61</v>
      </c>
      <c r="E1246" s="81" t="s">
        <v>20</v>
      </c>
      <c r="F1246" s="81"/>
      <c r="G1246" s="81" t="s">
        <v>21</v>
      </c>
      <c r="H1246" s="81" t="s">
        <v>328</v>
      </c>
      <c r="I1246" s="105">
        <v>152861</v>
      </c>
      <c r="J1246" s="81" t="s">
        <v>14</v>
      </c>
      <c r="K1246" s="84" t="s">
        <v>14</v>
      </c>
      <c r="L1246" s="81" t="s">
        <v>14</v>
      </c>
      <c r="M1246" s="81" t="s">
        <v>225</v>
      </c>
      <c r="N1246" s="81">
        <v>2025</v>
      </c>
    </row>
    <row r="1247" spans="1:14">
      <c r="A1247" s="81">
        <v>1246</v>
      </c>
      <c r="B1247" s="100" t="s">
        <v>59</v>
      </c>
      <c r="C1247" s="81" t="s">
        <v>60</v>
      </c>
      <c r="D1247" s="81" t="s">
        <v>61</v>
      </c>
      <c r="E1247" s="81" t="s">
        <v>20</v>
      </c>
      <c r="F1247" s="81"/>
      <c r="G1247" s="81" t="s">
        <v>21</v>
      </c>
      <c r="H1247" s="99" t="s">
        <v>330</v>
      </c>
      <c r="I1247" s="105">
        <v>137649</v>
      </c>
      <c r="J1247" s="99" t="s">
        <v>14</v>
      </c>
      <c r="K1247" s="118" t="s">
        <v>14</v>
      </c>
      <c r="L1247" s="99" t="s">
        <v>14</v>
      </c>
      <c r="M1247" s="81" t="s">
        <v>226</v>
      </c>
      <c r="N1247" s="81">
        <v>2025</v>
      </c>
    </row>
    <row r="1248" spans="1:14">
      <c r="A1248" s="81">
        <v>1247</v>
      </c>
      <c r="B1248" s="100" t="s">
        <v>59</v>
      </c>
      <c r="C1248" s="81" t="s">
        <v>60</v>
      </c>
      <c r="D1248" s="81" t="s">
        <v>61</v>
      </c>
      <c r="E1248" s="81" t="s">
        <v>20</v>
      </c>
      <c r="F1248" s="81"/>
      <c r="G1248" s="99" t="s">
        <v>21</v>
      </c>
      <c r="H1248" s="99" t="s">
        <v>331</v>
      </c>
      <c r="I1248" s="105">
        <v>9500</v>
      </c>
      <c r="J1248" s="99" t="s">
        <v>14</v>
      </c>
      <c r="K1248" s="118" t="s">
        <v>14</v>
      </c>
      <c r="L1248" s="99" t="s">
        <v>14</v>
      </c>
      <c r="M1248" s="81" t="s">
        <v>226</v>
      </c>
      <c r="N1248" s="81">
        <v>2025</v>
      </c>
    </row>
    <row r="1249" spans="1:14">
      <c r="A1249" s="81">
        <v>1248</v>
      </c>
      <c r="B1249" s="100" t="s">
        <v>59</v>
      </c>
      <c r="C1249" s="81" t="s">
        <v>60</v>
      </c>
      <c r="D1249" s="81" t="s">
        <v>61</v>
      </c>
      <c r="E1249" s="81" t="s">
        <v>20</v>
      </c>
      <c r="F1249" s="81"/>
      <c r="G1249" s="81" t="s">
        <v>21</v>
      </c>
      <c r="H1249" s="100" t="s">
        <v>329</v>
      </c>
      <c r="I1249" s="105">
        <v>9500</v>
      </c>
      <c r="J1249" s="81" t="s">
        <v>14</v>
      </c>
      <c r="K1249" s="84" t="s">
        <v>14</v>
      </c>
      <c r="L1249" s="81" t="s">
        <v>14</v>
      </c>
      <c r="M1249" s="81" t="s">
        <v>225</v>
      </c>
      <c r="N1249" s="81">
        <v>2025</v>
      </c>
    </row>
    <row r="1250" spans="1:14">
      <c r="A1250" s="81">
        <v>1249</v>
      </c>
      <c r="B1250" s="101" t="s">
        <v>53</v>
      </c>
      <c r="C1250" s="129" t="s">
        <v>62</v>
      </c>
      <c r="D1250" s="81" t="s">
        <v>61</v>
      </c>
      <c r="E1250" s="81" t="s">
        <v>20</v>
      </c>
      <c r="F1250" s="81"/>
      <c r="G1250" s="81" t="s">
        <v>21</v>
      </c>
      <c r="H1250" s="99" t="s">
        <v>330</v>
      </c>
      <c r="I1250" s="105">
        <v>249029</v>
      </c>
      <c r="J1250" s="99" t="s">
        <v>14</v>
      </c>
      <c r="K1250" s="118" t="s">
        <v>14</v>
      </c>
      <c r="L1250" s="99" t="s">
        <v>14</v>
      </c>
      <c r="M1250" s="81" t="s">
        <v>226</v>
      </c>
      <c r="N1250" s="81">
        <v>2025</v>
      </c>
    </row>
    <row r="1251" spans="1:14">
      <c r="A1251" s="81">
        <v>1250</v>
      </c>
      <c r="B1251" s="101" t="s">
        <v>53</v>
      </c>
      <c r="C1251" s="129" t="s">
        <v>62</v>
      </c>
      <c r="D1251" s="81" t="s">
        <v>61</v>
      </c>
      <c r="E1251" s="81" t="s">
        <v>20</v>
      </c>
      <c r="F1251" s="81"/>
      <c r="G1251" s="81" t="s">
        <v>21</v>
      </c>
      <c r="H1251" s="81" t="s">
        <v>328</v>
      </c>
      <c r="I1251" s="105">
        <v>217607</v>
      </c>
      <c r="J1251" s="81" t="s">
        <v>14</v>
      </c>
      <c r="K1251" s="84" t="s">
        <v>14</v>
      </c>
      <c r="L1251" s="81" t="s">
        <v>14</v>
      </c>
      <c r="M1251" s="81" t="s">
        <v>225</v>
      </c>
      <c r="N1251" s="81">
        <v>2025</v>
      </c>
    </row>
    <row r="1252" spans="1:14">
      <c r="A1252" s="81">
        <v>1251</v>
      </c>
      <c r="B1252" s="99" t="s">
        <v>33</v>
      </c>
      <c r="C1252" s="81" t="s">
        <v>34</v>
      </c>
      <c r="D1252" s="81" t="s">
        <v>61</v>
      </c>
      <c r="E1252" s="81" t="s">
        <v>20</v>
      </c>
      <c r="F1252" s="81"/>
      <c r="G1252" s="81" t="s">
        <v>21</v>
      </c>
      <c r="H1252" s="81" t="s">
        <v>328</v>
      </c>
      <c r="I1252" s="105">
        <v>63226</v>
      </c>
      <c r="J1252" s="81" t="s">
        <v>14</v>
      </c>
      <c r="K1252" s="84" t="s">
        <v>14</v>
      </c>
      <c r="L1252" s="81" t="s">
        <v>14</v>
      </c>
      <c r="M1252" s="81" t="s">
        <v>225</v>
      </c>
      <c r="N1252" s="81">
        <v>2025</v>
      </c>
    </row>
    <row r="1253" spans="1:14">
      <c r="A1253" s="81">
        <v>1252</v>
      </c>
      <c r="B1253" s="99" t="s">
        <v>33</v>
      </c>
      <c r="C1253" s="81" t="s">
        <v>34</v>
      </c>
      <c r="D1253" s="81" t="s">
        <v>61</v>
      </c>
      <c r="E1253" s="81" t="s">
        <v>20</v>
      </c>
      <c r="F1253" s="81"/>
      <c r="G1253" s="81" t="s">
        <v>21</v>
      </c>
      <c r="H1253" s="99" t="s">
        <v>330</v>
      </c>
      <c r="I1253" s="105">
        <v>63053</v>
      </c>
      <c r="J1253" s="99" t="s">
        <v>14</v>
      </c>
      <c r="K1253" s="118" t="s">
        <v>14</v>
      </c>
      <c r="L1253" s="99" t="s">
        <v>14</v>
      </c>
      <c r="M1253" s="81" t="s">
        <v>226</v>
      </c>
      <c r="N1253" s="81">
        <v>2025</v>
      </c>
    </row>
    <row r="1254" spans="1:14">
      <c r="A1254" s="81">
        <v>1253</v>
      </c>
      <c r="B1254" s="99" t="s">
        <v>27</v>
      </c>
      <c r="C1254" s="81" t="s">
        <v>28</v>
      </c>
      <c r="D1254" s="81" t="s">
        <v>61</v>
      </c>
      <c r="E1254" s="81" t="s">
        <v>20</v>
      </c>
      <c r="F1254" s="81"/>
      <c r="G1254" s="81" t="s">
        <v>21</v>
      </c>
      <c r="H1254" s="81" t="s">
        <v>328</v>
      </c>
      <c r="I1254" s="105">
        <v>30120</v>
      </c>
      <c r="J1254" s="81" t="s">
        <v>14</v>
      </c>
      <c r="K1254" s="84" t="s">
        <v>14</v>
      </c>
      <c r="L1254" s="81" t="s">
        <v>14</v>
      </c>
      <c r="M1254" s="81" t="s">
        <v>225</v>
      </c>
      <c r="N1254" s="81">
        <v>2025</v>
      </c>
    </row>
    <row r="1255" spans="1:14">
      <c r="A1255" s="81">
        <v>1254</v>
      </c>
      <c r="B1255" s="99" t="s">
        <v>27</v>
      </c>
      <c r="C1255" s="81" t="s">
        <v>28</v>
      </c>
      <c r="D1255" s="81" t="s">
        <v>61</v>
      </c>
      <c r="E1255" s="81" t="s">
        <v>20</v>
      </c>
      <c r="F1255" s="81"/>
      <c r="G1255" s="81" t="s">
        <v>21</v>
      </c>
      <c r="H1255" s="99" t="s">
        <v>330</v>
      </c>
      <c r="I1255" s="105">
        <v>29105</v>
      </c>
      <c r="J1255" s="99" t="s">
        <v>14</v>
      </c>
      <c r="K1255" s="118" t="s">
        <v>14</v>
      </c>
      <c r="L1255" s="99" t="s">
        <v>14</v>
      </c>
      <c r="M1255" s="81" t="s">
        <v>226</v>
      </c>
      <c r="N1255" s="81">
        <v>2025</v>
      </c>
    </row>
    <row r="1256" spans="1:14">
      <c r="A1256" s="81">
        <v>1255</v>
      </c>
      <c r="B1256" s="81" t="s">
        <v>43</v>
      </c>
      <c r="C1256" s="81" t="s">
        <v>46</v>
      </c>
      <c r="D1256" s="81" t="s">
        <v>61</v>
      </c>
      <c r="E1256" s="81" t="s">
        <v>20</v>
      </c>
      <c r="F1256" s="81"/>
      <c r="G1256" s="81" t="s">
        <v>21</v>
      </c>
      <c r="H1256" s="81" t="s">
        <v>328</v>
      </c>
      <c r="I1256" s="105">
        <v>82856</v>
      </c>
      <c r="J1256" s="81" t="s">
        <v>14</v>
      </c>
      <c r="K1256" s="84" t="s">
        <v>14</v>
      </c>
      <c r="L1256" s="81" t="s">
        <v>14</v>
      </c>
      <c r="M1256" s="81" t="s">
        <v>225</v>
      </c>
      <c r="N1256" s="81">
        <v>2025</v>
      </c>
    </row>
    <row r="1257" spans="1:14">
      <c r="A1257" s="81">
        <v>1256</v>
      </c>
      <c r="B1257" s="81" t="s">
        <v>43</v>
      </c>
      <c r="C1257" s="81" t="s">
        <v>46</v>
      </c>
      <c r="D1257" s="81" t="s">
        <v>61</v>
      </c>
      <c r="E1257" s="81" t="s">
        <v>20</v>
      </c>
      <c r="F1257" s="81"/>
      <c r="G1257" s="81" t="s">
        <v>21</v>
      </c>
      <c r="H1257" s="99" t="s">
        <v>330</v>
      </c>
      <c r="I1257" s="105">
        <v>66114</v>
      </c>
      <c r="J1257" s="99" t="s">
        <v>14</v>
      </c>
      <c r="K1257" s="118" t="s">
        <v>14</v>
      </c>
      <c r="L1257" s="99" t="s">
        <v>14</v>
      </c>
      <c r="M1257" s="81" t="s">
        <v>226</v>
      </c>
      <c r="N1257" s="81">
        <v>2025</v>
      </c>
    </row>
    <row r="1258" spans="1:14">
      <c r="A1258" s="81">
        <v>1257</v>
      </c>
      <c r="B1258" s="81" t="s">
        <v>43</v>
      </c>
      <c r="C1258" s="81" t="s">
        <v>45</v>
      </c>
      <c r="D1258" s="81" t="s">
        <v>61</v>
      </c>
      <c r="E1258" s="81" t="s">
        <v>20</v>
      </c>
      <c r="F1258" s="81"/>
      <c r="G1258" s="81" t="s">
        <v>21</v>
      </c>
      <c r="H1258" s="81" t="s">
        <v>328</v>
      </c>
      <c r="I1258" s="105">
        <v>38081</v>
      </c>
      <c r="J1258" s="81" t="s">
        <v>14</v>
      </c>
      <c r="K1258" s="84" t="s">
        <v>14</v>
      </c>
      <c r="L1258" s="81" t="s">
        <v>14</v>
      </c>
      <c r="M1258" s="81" t="s">
        <v>225</v>
      </c>
      <c r="N1258" s="81">
        <v>2025</v>
      </c>
    </row>
    <row r="1259" spans="1:14">
      <c r="A1259" s="81">
        <v>1258</v>
      </c>
      <c r="B1259" s="81" t="s">
        <v>43</v>
      </c>
      <c r="C1259" s="81" t="s">
        <v>45</v>
      </c>
      <c r="D1259" s="81" t="s">
        <v>61</v>
      </c>
      <c r="E1259" s="81" t="s">
        <v>20</v>
      </c>
      <c r="F1259" s="81"/>
      <c r="G1259" s="81" t="s">
        <v>21</v>
      </c>
      <c r="H1259" s="99" t="s">
        <v>330</v>
      </c>
      <c r="I1259" s="105">
        <v>32434</v>
      </c>
      <c r="J1259" s="99" t="s">
        <v>14</v>
      </c>
      <c r="K1259" s="118" t="s">
        <v>14</v>
      </c>
      <c r="L1259" s="99" t="s">
        <v>14</v>
      </c>
      <c r="M1259" s="81" t="s">
        <v>226</v>
      </c>
      <c r="N1259" s="81">
        <v>2025</v>
      </c>
    </row>
    <row r="1260" spans="1:14">
      <c r="A1260" s="81">
        <v>1259</v>
      </c>
      <c r="B1260" s="81" t="s">
        <v>17</v>
      </c>
      <c r="C1260" s="81" t="s">
        <v>74</v>
      </c>
      <c r="D1260" s="81" t="s">
        <v>61</v>
      </c>
      <c r="E1260" s="81" t="s">
        <v>20</v>
      </c>
      <c r="F1260" s="81"/>
      <c r="G1260" s="81" t="s">
        <v>21</v>
      </c>
      <c r="H1260" s="81" t="s">
        <v>328</v>
      </c>
      <c r="I1260" s="105">
        <v>31714</v>
      </c>
      <c r="J1260" s="81" t="s">
        <v>14</v>
      </c>
      <c r="K1260" s="84" t="s">
        <v>14</v>
      </c>
      <c r="L1260" s="81" t="s">
        <v>14</v>
      </c>
      <c r="M1260" s="81" t="s">
        <v>225</v>
      </c>
      <c r="N1260" s="81">
        <v>2025</v>
      </c>
    </row>
    <row r="1261" spans="1:14">
      <c r="A1261" s="81">
        <v>1260</v>
      </c>
      <c r="B1261" s="81" t="s">
        <v>17</v>
      </c>
      <c r="C1261" s="81" t="s">
        <v>74</v>
      </c>
      <c r="D1261" s="81" t="s">
        <v>61</v>
      </c>
      <c r="E1261" s="81" t="s">
        <v>20</v>
      </c>
      <c r="F1261" s="81"/>
      <c r="G1261" s="81" t="s">
        <v>21</v>
      </c>
      <c r="H1261" s="99" t="s">
        <v>330</v>
      </c>
      <c r="I1261" s="105">
        <v>23640</v>
      </c>
      <c r="J1261" s="99" t="s">
        <v>14</v>
      </c>
      <c r="K1261" s="118" t="s">
        <v>14</v>
      </c>
      <c r="L1261" s="99" t="s">
        <v>14</v>
      </c>
      <c r="M1261" s="81" t="s">
        <v>226</v>
      </c>
      <c r="N1261" s="81">
        <v>2025</v>
      </c>
    </row>
    <row r="1262" spans="1:14">
      <c r="A1262" s="81">
        <v>1261</v>
      </c>
      <c r="B1262" s="81" t="s">
        <v>35</v>
      </c>
      <c r="C1262" s="81" t="s">
        <v>39</v>
      </c>
      <c r="D1262" s="81" t="s">
        <v>61</v>
      </c>
      <c r="E1262" s="81" t="s">
        <v>20</v>
      </c>
      <c r="F1262" s="81"/>
      <c r="G1262" s="81" t="s">
        <v>21</v>
      </c>
      <c r="H1262" s="81" t="s">
        <v>328</v>
      </c>
      <c r="I1262" s="105">
        <v>6581</v>
      </c>
      <c r="J1262" s="81" t="s">
        <v>14</v>
      </c>
      <c r="K1262" s="84" t="s">
        <v>14</v>
      </c>
      <c r="L1262" s="81" t="s">
        <v>14</v>
      </c>
      <c r="M1262" s="81" t="s">
        <v>225</v>
      </c>
      <c r="N1262" s="81">
        <v>2025</v>
      </c>
    </row>
    <row r="1263" spans="1:14">
      <c r="A1263" s="81">
        <v>1262</v>
      </c>
      <c r="B1263" s="81" t="s">
        <v>35</v>
      </c>
      <c r="C1263" s="81" t="s">
        <v>39</v>
      </c>
      <c r="D1263" s="81" t="s">
        <v>61</v>
      </c>
      <c r="E1263" s="81" t="s">
        <v>20</v>
      </c>
      <c r="F1263" s="81"/>
      <c r="G1263" s="81" t="s">
        <v>21</v>
      </c>
      <c r="H1263" s="99" t="s">
        <v>330</v>
      </c>
      <c r="I1263" s="105">
        <v>386</v>
      </c>
      <c r="J1263" s="99" t="s">
        <v>14</v>
      </c>
      <c r="K1263" s="118" t="s">
        <v>14</v>
      </c>
      <c r="L1263" s="99" t="s">
        <v>14</v>
      </c>
      <c r="M1263" s="81" t="s">
        <v>226</v>
      </c>
      <c r="N1263" s="81">
        <v>2025</v>
      </c>
    </row>
    <row r="1264" spans="1:14">
      <c r="A1264" s="81">
        <v>1263</v>
      </c>
      <c r="B1264" s="81" t="s">
        <v>35</v>
      </c>
      <c r="C1264" s="81" t="s">
        <v>38</v>
      </c>
      <c r="D1264" s="81" t="s">
        <v>61</v>
      </c>
      <c r="E1264" s="81" t="s">
        <v>20</v>
      </c>
      <c r="F1264" s="81"/>
      <c r="G1264" s="81" t="s">
        <v>21</v>
      </c>
      <c r="H1264" s="99" t="s">
        <v>330</v>
      </c>
      <c r="I1264" s="105">
        <v>48809</v>
      </c>
      <c r="J1264" s="99" t="s">
        <v>14</v>
      </c>
      <c r="K1264" s="118" t="s">
        <v>14</v>
      </c>
      <c r="L1264" s="99" t="s">
        <v>14</v>
      </c>
      <c r="M1264" s="81" t="s">
        <v>226</v>
      </c>
      <c r="N1264" s="81">
        <v>2025</v>
      </c>
    </row>
    <row r="1265" spans="1:14">
      <c r="A1265" s="81">
        <v>1264</v>
      </c>
      <c r="B1265" s="81" t="s">
        <v>35</v>
      </c>
      <c r="C1265" s="81" t="s">
        <v>38</v>
      </c>
      <c r="D1265" s="81" t="s">
        <v>61</v>
      </c>
      <c r="E1265" s="81" t="s">
        <v>20</v>
      </c>
      <c r="F1265" s="81"/>
      <c r="G1265" s="81" t="s">
        <v>21</v>
      </c>
      <c r="H1265" s="81" t="s">
        <v>328</v>
      </c>
      <c r="I1265" s="105">
        <v>48350</v>
      </c>
      <c r="J1265" s="81" t="s">
        <v>14</v>
      </c>
      <c r="K1265" s="84" t="s">
        <v>14</v>
      </c>
      <c r="L1265" s="81" t="s">
        <v>14</v>
      </c>
      <c r="M1265" s="81" t="s">
        <v>225</v>
      </c>
      <c r="N1265" s="81">
        <v>2025</v>
      </c>
    </row>
    <row r="1266" spans="1:14">
      <c r="A1266" s="81">
        <v>1265</v>
      </c>
      <c r="B1266" s="81" t="s">
        <v>35</v>
      </c>
      <c r="C1266" s="81" t="s">
        <v>37</v>
      </c>
      <c r="D1266" s="81" t="s">
        <v>61</v>
      </c>
      <c r="E1266" s="81" t="s">
        <v>20</v>
      </c>
      <c r="F1266" s="81"/>
      <c r="G1266" s="81" t="s">
        <v>21</v>
      </c>
      <c r="H1266" s="81" t="s">
        <v>328</v>
      </c>
      <c r="I1266" s="105">
        <v>42995</v>
      </c>
      <c r="J1266" s="81" t="s">
        <v>14</v>
      </c>
      <c r="K1266" s="84" t="s">
        <v>14</v>
      </c>
      <c r="L1266" s="81" t="s">
        <v>14</v>
      </c>
      <c r="M1266" s="81" t="s">
        <v>225</v>
      </c>
      <c r="N1266" s="81">
        <v>2025</v>
      </c>
    </row>
    <row r="1267" spans="1:14">
      <c r="A1267" s="81">
        <v>1266</v>
      </c>
      <c r="B1267" s="81" t="s">
        <v>35</v>
      </c>
      <c r="C1267" s="81" t="s">
        <v>37</v>
      </c>
      <c r="D1267" s="81" t="s">
        <v>61</v>
      </c>
      <c r="E1267" s="81" t="s">
        <v>20</v>
      </c>
      <c r="F1267" s="81"/>
      <c r="G1267" s="81" t="s">
        <v>21</v>
      </c>
      <c r="H1267" s="99" t="s">
        <v>330</v>
      </c>
      <c r="I1267" s="105">
        <v>42413</v>
      </c>
      <c r="J1267" s="99" t="s">
        <v>14</v>
      </c>
      <c r="K1267" s="118" t="s">
        <v>14</v>
      </c>
      <c r="L1267" s="99" t="s">
        <v>14</v>
      </c>
      <c r="M1267" s="81" t="s">
        <v>226</v>
      </c>
      <c r="N1267" s="81">
        <v>2025</v>
      </c>
    </row>
    <row r="1268" spans="1:14">
      <c r="A1268" s="81">
        <v>1267</v>
      </c>
      <c r="B1268" s="100" t="s">
        <v>272</v>
      </c>
      <c r="C1268" s="81" t="s">
        <v>32</v>
      </c>
      <c r="D1268" s="81" t="s">
        <v>61</v>
      </c>
      <c r="E1268" s="81" t="s">
        <v>20</v>
      </c>
      <c r="F1268" s="81"/>
      <c r="G1268" s="81" t="s">
        <v>21</v>
      </c>
      <c r="H1268" s="81" t="s">
        <v>328</v>
      </c>
      <c r="I1268" s="105">
        <v>14423</v>
      </c>
      <c r="J1268" s="81" t="s">
        <v>14</v>
      </c>
      <c r="K1268" s="84" t="s">
        <v>14</v>
      </c>
      <c r="L1268" s="81" t="s">
        <v>14</v>
      </c>
      <c r="M1268" s="81" t="s">
        <v>225</v>
      </c>
      <c r="N1268" s="81">
        <v>2025</v>
      </c>
    </row>
    <row r="1269" spans="1:14">
      <c r="A1269" s="81">
        <v>1268</v>
      </c>
      <c r="B1269" s="100" t="s">
        <v>272</v>
      </c>
      <c r="C1269" s="81" t="s">
        <v>32</v>
      </c>
      <c r="D1269" s="81" t="s">
        <v>61</v>
      </c>
      <c r="E1269" s="81" t="s">
        <v>20</v>
      </c>
      <c r="F1269" s="81"/>
      <c r="G1269" s="81" t="s">
        <v>21</v>
      </c>
      <c r="H1269" s="99" t="s">
        <v>330</v>
      </c>
      <c r="I1269" s="105">
        <v>7325</v>
      </c>
      <c r="J1269" s="99" t="s">
        <v>14</v>
      </c>
      <c r="K1269" s="118" t="s">
        <v>14</v>
      </c>
      <c r="L1269" s="99" t="s">
        <v>14</v>
      </c>
      <c r="M1269" s="81" t="s">
        <v>226</v>
      </c>
      <c r="N1269" s="81">
        <v>2025</v>
      </c>
    </row>
    <row r="1270" spans="1:14">
      <c r="A1270" s="81">
        <v>1269</v>
      </c>
      <c r="B1270" s="81" t="s">
        <v>43</v>
      </c>
      <c r="C1270" s="81" t="s">
        <v>44</v>
      </c>
      <c r="D1270" s="81" t="s">
        <v>61</v>
      </c>
      <c r="E1270" s="81" t="s">
        <v>20</v>
      </c>
      <c r="F1270" s="81"/>
      <c r="G1270" s="81" t="s">
        <v>21</v>
      </c>
      <c r="H1270" s="81" t="s">
        <v>328</v>
      </c>
      <c r="I1270" s="105">
        <v>79872</v>
      </c>
      <c r="J1270" s="81" t="s">
        <v>14</v>
      </c>
      <c r="K1270" s="84" t="s">
        <v>14</v>
      </c>
      <c r="L1270" s="81" t="s">
        <v>14</v>
      </c>
      <c r="M1270" s="81" t="s">
        <v>225</v>
      </c>
      <c r="N1270" s="81">
        <v>2025</v>
      </c>
    </row>
    <row r="1271" spans="1:14">
      <c r="A1271" s="81">
        <v>1270</v>
      </c>
      <c r="B1271" s="81" t="s">
        <v>43</v>
      </c>
      <c r="C1271" s="81" t="s">
        <v>44</v>
      </c>
      <c r="D1271" s="81" t="s">
        <v>61</v>
      </c>
      <c r="E1271" s="81" t="s">
        <v>20</v>
      </c>
      <c r="F1271" s="81"/>
      <c r="G1271" s="81" t="s">
        <v>21</v>
      </c>
      <c r="H1271" s="99" t="s">
        <v>330</v>
      </c>
      <c r="I1271" s="105">
        <v>68895</v>
      </c>
      <c r="J1271" s="99" t="s">
        <v>14</v>
      </c>
      <c r="K1271" s="118" t="s">
        <v>14</v>
      </c>
      <c r="L1271" s="99" t="s">
        <v>14</v>
      </c>
      <c r="M1271" s="81" t="s">
        <v>226</v>
      </c>
      <c r="N1271" s="81">
        <v>2025</v>
      </c>
    </row>
    <row r="1272" spans="1:14">
      <c r="A1272" s="81">
        <v>1271</v>
      </c>
      <c r="B1272" s="81" t="s">
        <v>35</v>
      </c>
      <c r="C1272" s="81" t="s">
        <v>475</v>
      </c>
      <c r="D1272" s="81" t="s">
        <v>61</v>
      </c>
      <c r="E1272" s="81" t="s">
        <v>20</v>
      </c>
      <c r="F1272" s="81"/>
      <c r="G1272" s="81" t="s">
        <v>21</v>
      </c>
      <c r="H1272" s="81" t="s">
        <v>328</v>
      </c>
      <c r="I1272" s="105">
        <v>9858</v>
      </c>
      <c r="J1272" s="81" t="s">
        <v>14</v>
      </c>
      <c r="K1272" s="84" t="s">
        <v>14</v>
      </c>
      <c r="L1272" s="81" t="s">
        <v>14</v>
      </c>
      <c r="M1272" s="81" t="s">
        <v>225</v>
      </c>
      <c r="N1272" s="81">
        <v>2025</v>
      </c>
    </row>
    <row r="1273" spans="1:14">
      <c r="A1273" s="81">
        <v>1272</v>
      </c>
      <c r="B1273" s="81" t="s">
        <v>35</v>
      </c>
      <c r="C1273" s="81" t="s">
        <v>475</v>
      </c>
      <c r="D1273" s="81" t="s">
        <v>61</v>
      </c>
      <c r="E1273" s="81" t="s">
        <v>20</v>
      </c>
      <c r="F1273" s="81"/>
      <c r="G1273" s="81" t="s">
        <v>21</v>
      </c>
      <c r="H1273" s="99" t="s">
        <v>330</v>
      </c>
      <c r="I1273" s="105">
        <v>8515</v>
      </c>
      <c r="J1273" s="99" t="s">
        <v>14</v>
      </c>
      <c r="K1273" s="118" t="s">
        <v>14</v>
      </c>
      <c r="L1273" s="99" t="s">
        <v>14</v>
      </c>
      <c r="M1273" s="81" t="s">
        <v>226</v>
      </c>
      <c r="N1273" s="81">
        <v>2025</v>
      </c>
    </row>
    <row r="1274" spans="1:14">
      <c r="A1274" s="81">
        <v>1273</v>
      </c>
      <c r="B1274" s="81" t="s">
        <v>55</v>
      </c>
      <c r="C1274" s="81" t="s">
        <v>56</v>
      </c>
      <c r="D1274" s="81" t="s">
        <v>61</v>
      </c>
      <c r="E1274" s="81" t="s">
        <v>20</v>
      </c>
      <c r="F1274" s="81"/>
      <c r="G1274" s="81" t="s">
        <v>21</v>
      </c>
      <c r="H1274" s="99" t="s">
        <v>330</v>
      </c>
      <c r="I1274" s="105">
        <v>90350</v>
      </c>
      <c r="J1274" s="99" t="s">
        <v>14</v>
      </c>
      <c r="K1274" s="118" t="s">
        <v>14</v>
      </c>
      <c r="L1274" s="99" t="s">
        <v>14</v>
      </c>
      <c r="M1274" s="81" t="s">
        <v>226</v>
      </c>
      <c r="N1274" s="81">
        <v>2025</v>
      </c>
    </row>
    <row r="1275" spans="1:14">
      <c r="A1275" s="81">
        <v>1274</v>
      </c>
      <c r="B1275" s="81" t="s">
        <v>55</v>
      </c>
      <c r="C1275" s="81" t="s">
        <v>56</v>
      </c>
      <c r="D1275" s="81" t="s">
        <v>61</v>
      </c>
      <c r="E1275" s="81" t="s">
        <v>20</v>
      </c>
      <c r="F1275" s="81"/>
      <c r="G1275" s="81" t="s">
        <v>21</v>
      </c>
      <c r="H1275" s="81" t="s">
        <v>328</v>
      </c>
      <c r="I1275" s="105">
        <v>88204</v>
      </c>
      <c r="J1275" s="81" t="s">
        <v>14</v>
      </c>
      <c r="K1275" s="84" t="s">
        <v>14</v>
      </c>
      <c r="L1275" s="81" t="s">
        <v>14</v>
      </c>
      <c r="M1275" s="81" t="s">
        <v>225</v>
      </c>
      <c r="N1275" s="81">
        <v>2025</v>
      </c>
    </row>
    <row r="1276" spans="1:14">
      <c r="A1276" s="81">
        <v>1275</v>
      </c>
      <c r="B1276" s="81" t="s">
        <v>55</v>
      </c>
      <c r="C1276" s="81" t="s">
        <v>56</v>
      </c>
      <c r="D1276" s="81" t="s">
        <v>19</v>
      </c>
      <c r="E1276" s="81" t="s">
        <v>20</v>
      </c>
      <c r="F1276" s="81"/>
      <c r="G1276" s="99" t="s">
        <v>21</v>
      </c>
      <c r="H1276" s="99" t="s">
        <v>333</v>
      </c>
      <c r="I1276" s="105">
        <v>20550</v>
      </c>
      <c r="J1276" s="99" t="s">
        <v>14</v>
      </c>
      <c r="K1276" s="118" t="s">
        <v>14</v>
      </c>
      <c r="L1276" s="99" t="s">
        <v>14</v>
      </c>
      <c r="M1276" s="81" t="s">
        <v>226</v>
      </c>
      <c r="N1276" s="81">
        <v>2025</v>
      </c>
    </row>
    <row r="1277" spans="1:14">
      <c r="A1277" s="81">
        <v>1276</v>
      </c>
      <c r="B1277" s="81" t="s">
        <v>55</v>
      </c>
      <c r="C1277" s="81" t="s">
        <v>56</v>
      </c>
      <c r="D1277" s="81" t="s">
        <v>61</v>
      </c>
      <c r="E1277" s="81" t="s">
        <v>20</v>
      </c>
      <c r="F1277" s="81"/>
      <c r="G1277" s="99" t="s">
        <v>21</v>
      </c>
      <c r="H1277" s="99" t="s">
        <v>332</v>
      </c>
      <c r="I1277" s="105">
        <v>20550</v>
      </c>
      <c r="J1277" s="99" t="s">
        <v>14</v>
      </c>
      <c r="K1277" s="118" t="s">
        <v>14</v>
      </c>
      <c r="L1277" s="99" t="s">
        <v>14</v>
      </c>
      <c r="M1277" s="81" t="s">
        <v>225</v>
      </c>
      <c r="N1277" s="81">
        <v>2025</v>
      </c>
    </row>
    <row r="1278" spans="1:14">
      <c r="A1278" s="81">
        <v>1277</v>
      </c>
      <c r="B1278" s="81" t="s">
        <v>17</v>
      </c>
      <c r="C1278" s="81" t="s">
        <v>25</v>
      </c>
      <c r="D1278" s="125" t="s">
        <v>61</v>
      </c>
      <c r="E1278" s="81" t="s">
        <v>120</v>
      </c>
      <c r="F1278" s="81"/>
      <c r="G1278" s="81" t="s">
        <v>1325</v>
      </c>
      <c r="H1278" s="125" t="s">
        <v>1334</v>
      </c>
      <c r="I1278" s="83">
        <v>9850</v>
      </c>
      <c r="J1278" s="81" t="s">
        <v>1332</v>
      </c>
      <c r="K1278" s="84">
        <v>45886</v>
      </c>
      <c r="L1278" s="81">
        <v>2025403866</v>
      </c>
      <c r="M1278" s="81" t="s">
        <v>226</v>
      </c>
      <c r="N1278" s="81">
        <v>2025</v>
      </c>
    </row>
    <row r="1279" spans="1:14">
      <c r="A1279" s="81">
        <v>1278</v>
      </c>
      <c r="B1279" s="81" t="s">
        <v>17</v>
      </c>
      <c r="C1279" s="81" t="s">
        <v>25</v>
      </c>
      <c r="D1279" s="125" t="s">
        <v>61</v>
      </c>
      <c r="E1279" s="81" t="s">
        <v>120</v>
      </c>
      <c r="F1279" s="81"/>
      <c r="G1279" s="81" t="s">
        <v>1325</v>
      </c>
      <c r="H1279" s="125" t="s">
        <v>1334</v>
      </c>
      <c r="I1279" s="83">
        <v>6010</v>
      </c>
      <c r="J1279" s="81" t="s">
        <v>1333</v>
      </c>
      <c r="K1279" s="84">
        <v>45889</v>
      </c>
      <c r="L1279" s="81">
        <v>2025403911</v>
      </c>
      <c r="M1279" s="81" t="s">
        <v>226</v>
      </c>
      <c r="N1279" s="81">
        <v>2025</v>
      </c>
    </row>
    <row r="1280" spans="1:14">
      <c r="A1280" s="81">
        <v>1279</v>
      </c>
      <c r="B1280" s="81" t="s">
        <v>17</v>
      </c>
      <c r="C1280" s="81" t="s">
        <v>23</v>
      </c>
      <c r="D1280" s="125" t="s">
        <v>61</v>
      </c>
      <c r="E1280" s="81" t="s">
        <v>120</v>
      </c>
      <c r="F1280" s="81"/>
      <c r="G1280" s="81" t="s">
        <v>1325</v>
      </c>
      <c r="H1280" s="125" t="s">
        <v>1334</v>
      </c>
      <c r="I1280" s="83">
        <v>10399</v>
      </c>
      <c r="J1280" s="81" t="s">
        <v>1330</v>
      </c>
      <c r="K1280" s="84">
        <v>45880</v>
      </c>
      <c r="L1280" s="81">
        <v>2025403451</v>
      </c>
      <c r="M1280" s="81" t="s">
        <v>226</v>
      </c>
      <c r="N1280" s="81">
        <v>2025</v>
      </c>
    </row>
    <row r="1281" spans="1:14">
      <c r="A1281" s="81">
        <v>1280</v>
      </c>
      <c r="B1281" s="81" t="s">
        <v>43</v>
      </c>
      <c r="C1281" s="81" t="s">
        <v>51</v>
      </c>
      <c r="D1281" s="125" t="s">
        <v>61</v>
      </c>
      <c r="E1281" s="81" t="s">
        <v>120</v>
      </c>
      <c r="F1281" s="81"/>
      <c r="G1281" s="81" t="s">
        <v>264</v>
      </c>
      <c r="H1281" s="125" t="s">
        <v>266</v>
      </c>
      <c r="I1281" s="83">
        <v>8899.4507042253517</v>
      </c>
      <c r="J1281" s="81" t="s">
        <v>253</v>
      </c>
      <c r="K1281" s="84">
        <v>45892</v>
      </c>
      <c r="L1281" s="81">
        <v>2025402677</v>
      </c>
      <c r="M1281" s="81" t="s">
        <v>225</v>
      </c>
      <c r="N1281" s="81">
        <v>2025</v>
      </c>
    </row>
    <row r="1282" spans="1:14">
      <c r="A1282" s="81">
        <v>1281</v>
      </c>
      <c r="B1282" s="81" t="s">
        <v>43</v>
      </c>
      <c r="C1282" s="81" t="s">
        <v>50</v>
      </c>
      <c r="D1282" s="125" t="s">
        <v>61</v>
      </c>
      <c r="E1282" s="81" t="s">
        <v>120</v>
      </c>
      <c r="F1282" s="81"/>
      <c r="G1282" s="81" t="s">
        <v>1324</v>
      </c>
      <c r="H1282" s="81" t="s">
        <v>120</v>
      </c>
      <c r="I1282" s="83">
        <v>39467.21</v>
      </c>
      <c r="J1282" s="81" t="s">
        <v>1328</v>
      </c>
      <c r="K1282" s="84">
        <v>45868</v>
      </c>
      <c r="L1282" s="125" t="s">
        <v>14</v>
      </c>
      <c r="M1282" s="81" t="s">
        <v>225</v>
      </c>
      <c r="N1282" s="81">
        <v>2025</v>
      </c>
    </row>
    <row r="1283" spans="1:14">
      <c r="A1283" s="81">
        <v>1282</v>
      </c>
      <c r="B1283" s="81" t="s">
        <v>43</v>
      </c>
      <c r="C1283" s="81" t="s">
        <v>50</v>
      </c>
      <c r="D1283" s="125" t="s">
        <v>61</v>
      </c>
      <c r="E1283" s="81" t="s">
        <v>120</v>
      </c>
      <c r="F1283" s="81"/>
      <c r="G1283" s="81" t="s">
        <v>1323</v>
      </c>
      <c r="H1283" s="81" t="s">
        <v>123</v>
      </c>
      <c r="I1283" s="83">
        <v>14060.773330985914</v>
      </c>
      <c r="J1283" s="81" t="s">
        <v>1327</v>
      </c>
      <c r="K1283" s="84">
        <v>45900</v>
      </c>
      <c r="L1283" s="81">
        <v>2025402899</v>
      </c>
      <c r="M1283" s="81" t="s">
        <v>226</v>
      </c>
      <c r="N1283" s="81">
        <v>2025</v>
      </c>
    </row>
    <row r="1284" spans="1:14">
      <c r="A1284" s="81">
        <v>1283</v>
      </c>
      <c r="B1284" s="81" t="s">
        <v>43</v>
      </c>
      <c r="C1284" s="81" t="s">
        <v>50</v>
      </c>
      <c r="D1284" s="125" t="s">
        <v>61</v>
      </c>
      <c r="E1284" s="81" t="s">
        <v>120</v>
      </c>
      <c r="F1284" s="81"/>
      <c r="G1284" s="81" t="s">
        <v>264</v>
      </c>
      <c r="H1284" s="125" t="s">
        <v>266</v>
      </c>
      <c r="I1284" s="83">
        <v>6305.7957746478869</v>
      </c>
      <c r="J1284" s="81" t="s">
        <v>253</v>
      </c>
      <c r="K1284" s="84">
        <v>45866</v>
      </c>
      <c r="L1284" s="81">
        <v>2025402453</v>
      </c>
      <c r="M1284" s="81" t="s">
        <v>225</v>
      </c>
      <c r="N1284" s="81">
        <v>2025</v>
      </c>
    </row>
    <row r="1285" spans="1:14">
      <c r="A1285" s="81">
        <v>1284</v>
      </c>
      <c r="B1285" s="81" t="s">
        <v>43</v>
      </c>
      <c r="C1285" s="81" t="s">
        <v>50</v>
      </c>
      <c r="D1285" s="125" t="s">
        <v>61</v>
      </c>
      <c r="E1285" s="81" t="s">
        <v>120</v>
      </c>
      <c r="F1285" s="81"/>
      <c r="G1285" s="81" t="s">
        <v>1325</v>
      </c>
      <c r="H1285" s="125" t="s">
        <v>1334</v>
      </c>
      <c r="I1285" s="83">
        <v>2000</v>
      </c>
      <c r="J1285" s="81" t="s">
        <v>1329</v>
      </c>
      <c r="K1285" s="84">
        <v>45890</v>
      </c>
      <c r="L1285" s="81">
        <v>2025403323</v>
      </c>
      <c r="M1285" s="81" t="s">
        <v>226</v>
      </c>
      <c r="N1285" s="81">
        <v>2025</v>
      </c>
    </row>
    <row r="1286" spans="1:14">
      <c r="A1286" s="81">
        <v>1285</v>
      </c>
      <c r="B1286" s="81" t="s">
        <v>29</v>
      </c>
      <c r="C1286" s="81" t="s">
        <v>237</v>
      </c>
      <c r="D1286" s="125" t="s">
        <v>61</v>
      </c>
      <c r="E1286" s="81" t="s">
        <v>120</v>
      </c>
      <c r="F1286" s="81"/>
      <c r="G1286" s="81" t="s">
        <v>122</v>
      </c>
      <c r="H1286" s="81" t="s">
        <v>123</v>
      </c>
      <c r="I1286" s="83">
        <v>19902.749295774647</v>
      </c>
      <c r="J1286" s="81" t="s">
        <v>301</v>
      </c>
      <c r="K1286" s="84">
        <v>45938</v>
      </c>
      <c r="L1286" s="81">
        <v>2025404070</v>
      </c>
      <c r="M1286" s="81" t="s">
        <v>226</v>
      </c>
      <c r="N1286" s="81">
        <v>2025</v>
      </c>
    </row>
    <row r="1287" spans="1:14">
      <c r="A1287" s="81">
        <v>1286</v>
      </c>
      <c r="B1287" s="81" t="s">
        <v>17</v>
      </c>
      <c r="C1287" s="81" t="s">
        <v>22</v>
      </c>
      <c r="D1287" s="125" t="s">
        <v>61</v>
      </c>
      <c r="E1287" s="81" t="s">
        <v>120</v>
      </c>
      <c r="F1287" s="81"/>
      <c r="G1287" s="81" t="s">
        <v>1323</v>
      </c>
      <c r="H1287" s="81" t="s">
        <v>123</v>
      </c>
      <c r="I1287" s="83">
        <v>872.32605633802814</v>
      </c>
      <c r="J1287" s="81" t="s">
        <v>1326</v>
      </c>
      <c r="K1287" s="84">
        <v>45873</v>
      </c>
      <c r="L1287" s="81">
        <v>2025402557</v>
      </c>
      <c r="M1287" s="81" t="s">
        <v>225</v>
      </c>
      <c r="N1287" s="81">
        <v>2025</v>
      </c>
    </row>
    <row r="1288" spans="1:14">
      <c r="A1288" s="81">
        <v>1287</v>
      </c>
      <c r="B1288" s="123" t="s">
        <v>53</v>
      </c>
      <c r="C1288" s="129" t="s">
        <v>62</v>
      </c>
      <c r="D1288" s="81" t="s">
        <v>19</v>
      </c>
      <c r="E1288" s="81" t="s">
        <v>120</v>
      </c>
      <c r="F1288" s="81"/>
      <c r="G1288" s="81" t="s">
        <v>265</v>
      </c>
      <c r="H1288" s="125" t="s">
        <v>121</v>
      </c>
      <c r="I1288" s="83">
        <v>299500</v>
      </c>
      <c r="J1288" s="81" t="s">
        <v>14</v>
      </c>
      <c r="K1288" s="84" t="s">
        <v>14</v>
      </c>
      <c r="L1288" s="81" t="s">
        <v>14</v>
      </c>
      <c r="M1288" s="81" t="s">
        <v>226</v>
      </c>
      <c r="N1288" s="81">
        <v>2025</v>
      </c>
    </row>
    <row r="1289" spans="1:14">
      <c r="A1289" s="81">
        <v>1288</v>
      </c>
      <c r="B1289" s="123" t="s">
        <v>53</v>
      </c>
      <c r="C1289" s="129" t="s">
        <v>62</v>
      </c>
      <c r="D1289" s="81" t="s">
        <v>19</v>
      </c>
      <c r="E1289" s="81" t="s">
        <v>120</v>
      </c>
      <c r="F1289" s="81"/>
      <c r="G1289" s="81" t="s">
        <v>265</v>
      </c>
      <c r="H1289" s="125" t="s">
        <v>121</v>
      </c>
      <c r="I1289" s="83">
        <v>108731</v>
      </c>
      <c r="J1289" s="81" t="s">
        <v>14</v>
      </c>
      <c r="K1289" s="84" t="s">
        <v>14</v>
      </c>
      <c r="L1289" s="81" t="s">
        <v>14</v>
      </c>
      <c r="M1289" s="81" t="s">
        <v>225</v>
      </c>
      <c r="N1289" s="81">
        <v>2025</v>
      </c>
    </row>
    <row r="1290" spans="1:14">
      <c r="A1290" s="81">
        <v>1289</v>
      </c>
      <c r="B1290" s="123" t="s">
        <v>53</v>
      </c>
      <c r="C1290" s="129" t="s">
        <v>62</v>
      </c>
      <c r="D1290" s="81" t="s">
        <v>19</v>
      </c>
      <c r="E1290" s="81" t="s">
        <v>120</v>
      </c>
      <c r="F1290" s="81"/>
      <c r="G1290" s="81" t="s">
        <v>93</v>
      </c>
      <c r="H1290" s="81" t="s">
        <v>267</v>
      </c>
      <c r="I1290" s="124">
        <v>73035.710000000006</v>
      </c>
      <c r="J1290" s="81" t="s">
        <v>14</v>
      </c>
      <c r="K1290" s="84" t="s">
        <v>14</v>
      </c>
      <c r="L1290" s="81" t="s">
        <v>14</v>
      </c>
      <c r="M1290" s="81" t="s">
        <v>226</v>
      </c>
      <c r="N1290" s="81">
        <v>2025</v>
      </c>
    </row>
    <row r="1291" spans="1:14">
      <c r="A1291" s="81">
        <v>1290</v>
      </c>
      <c r="B1291" s="123" t="s">
        <v>53</v>
      </c>
      <c r="C1291" s="129" t="s">
        <v>62</v>
      </c>
      <c r="D1291" s="81" t="s">
        <v>19</v>
      </c>
      <c r="E1291" s="81" t="s">
        <v>120</v>
      </c>
      <c r="F1291" s="81"/>
      <c r="G1291" s="81" t="s">
        <v>92</v>
      </c>
      <c r="H1291" s="81" t="s">
        <v>267</v>
      </c>
      <c r="I1291" s="124">
        <v>65285.71</v>
      </c>
      <c r="J1291" s="81" t="s">
        <v>14</v>
      </c>
      <c r="K1291" s="84" t="s">
        <v>14</v>
      </c>
      <c r="L1291" s="81" t="s">
        <v>14</v>
      </c>
      <c r="M1291" s="81" t="s">
        <v>226</v>
      </c>
      <c r="N1291" s="81">
        <v>2025</v>
      </c>
    </row>
    <row r="1292" spans="1:14">
      <c r="A1292" s="81">
        <v>1291</v>
      </c>
      <c r="B1292" s="123" t="s">
        <v>53</v>
      </c>
      <c r="C1292" s="129" t="s">
        <v>62</v>
      </c>
      <c r="D1292" s="81" t="s">
        <v>19</v>
      </c>
      <c r="E1292" s="81" t="s">
        <v>120</v>
      </c>
      <c r="F1292" s="81"/>
      <c r="G1292" s="81" t="s">
        <v>93</v>
      </c>
      <c r="H1292" s="81" t="s">
        <v>267</v>
      </c>
      <c r="I1292" s="124">
        <v>24994.29</v>
      </c>
      <c r="J1292" s="81" t="s">
        <v>14</v>
      </c>
      <c r="K1292" s="84" t="s">
        <v>14</v>
      </c>
      <c r="L1292" s="81" t="s">
        <v>14</v>
      </c>
      <c r="M1292" s="81" t="s">
        <v>225</v>
      </c>
      <c r="N1292" s="81">
        <v>2025</v>
      </c>
    </row>
    <row r="1293" spans="1:14">
      <c r="A1293" s="81">
        <v>1292</v>
      </c>
      <c r="B1293" s="123" t="s">
        <v>53</v>
      </c>
      <c r="C1293" s="129" t="s">
        <v>62</v>
      </c>
      <c r="D1293" s="81" t="s">
        <v>19</v>
      </c>
      <c r="E1293" s="81" t="s">
        <v>120</v>
      </c>
      <c r="F1293" s="81"/>
      <c r="G1293" s="81" t="s">
        <v>92</v>
      </c>
      <c r="H1293" s="81" t="s">
        <v>267</v>
      </c>
      <c r="I1293" s="124">
        <v>12836.57</v>
      </c>
      <c r="J1293" s="81" t="s">
        <v>14</v>
      </c>
      <c r="K1293" s="84" t="s">
        <v>14</v>
      </c>
      <c r="L1293" s="81" t="s">
        <v>14</v>
      </c>
      <c r="M1293" s="81" t="s">
        <v>225</v>
      </c>
      <c r="N1293" s="81">
        <v>2025</v>
      </c>
    </row>
    <row r="1294" spans="1:14">
      <c r="A1294" s="81">
        <v>1293</v>
      </c>
      <c r="B1294" s="81" t="s">
        <v>43</v>
      </c>
      <c r="C1294" s="81" t="s">
        <v>46</v>
      </c>
      <c r="D1294" s="125" t="s">
        <v>61</v>
      </c>
      <c r="E1294" s="81" t="s">
        <v>120</v>
      </c>
      <c r="F1294" s="81"/>
      <c r="G1294" s="81" t="s">
        <v>265</v>
      </c>
      <c r="H1294" s="125" t="s">
        <v>121</v>
      </c>
      <c r="I1294" s="83">
        <v>224000</v>
      </c>
      <c r="J1294" s="81" t="s">
        <v>1335</v>
      </c>
      <c r="K1294" s="84">
        <v>45913</v>
      </c>
      <c r="L1294" s="81">
        <v>2025403713</v>
      </c>
      <c r="M1294" s="81" t="s">
        <v>225</v>
      </c>
      <c r="N1294" s="81">
        <v>2025</v>
      </c>
    </row>
    <row r="1295" spans="1:14">
      <c r="A1295" s="81">
        <v>1294</v>
      </c>
      <c r="B1295" s="81" t="s">
        <v>43</v>
      </c>
      <c r="C1295" s="81" t="s">
        <v>46</v>
      </c>
      <c r="D1295" s="125" t="s">
        <v>61</v>
      </c>
      <c r="E1295" s="81" t="s">
        <v>120</v>
      </c>
      <c r="F1295" s="81"/>
      <c r="G1295" s="81" t="s">
        <v>265</v>
      </c>
      <c r="H1295" s="125" t="s">
        <v>121</v>
      </c>
      <c r="I1295" s="83">
        <v>96000</v>
      </c>
      <c r="J1295" s="81" t="s">
        <v>1331</v>
      </c>
      <c r="K1295" s="84">
        <v>45873</v>
      </c>
      <c r="L1295" s="81">
        <v>2025403736</v>
      </c>
      <c r="M1295" s="81" t="s">
        <v>226</v>
      </c>
      <c r="N1295" s="81">
        <v>2025</v>
      </c>
    </row>
    <row r="1296" spans="1:14">
      <c r="A1296" s="81">
        <v>1295</v>
      </c>
      <c r="B1296" s="81" t="s">
        <v>17</v>
      </c>
      <c r="C1296" s="81" t="s">
        <v>26</v>
      </c>
      <c r="D1296" s="82" t="s">
        <v>61</v>
      </c>
      <c r="E1296" s="81" t="s">
        <v>113</v>
      </c>
      <c r="F1296" s="81"/>
      <c r="G1296" s="81" t="s">
        <v>92</v>
      </c>
      <c r="H1296" s="81" t="s">
        <v>114</v>
      </c>
      <c r="I1296" s="83">
        <v>1195.7746478873239</v>
      </c>
      <c r="J1296" s="81" t="s">
        <v>363</v>
      </c>
      <c r="K1296" s="84">
        <v>45897</v>
      </c>
      <c r="L1296" s="81" t="s">
        <v>14</v>
      </c>
      <c r="M1296" s="81" t="s">
        <v>225</v>
      </c>
      <c r="N1296" s="81">
        <v>2025</v>
      </c>
    </row>
    <row r="1297" spans="1:14">
      <c r="A1297" s="81">
        <v>1296</v>
      </c>
      <c r="B1297" s="81" t="s">
        <v>17</v>
      </c>
      <c r="C1297" s="81" t="s">
        <v>26</v>
      </c>
      <c r="D1297" s="82" t="s">
        <v>61</v>
      </c>
      <c r="E1297" s="81" t="s">
        <v>113</v>
      </c>
      <c r="F1297" s="81"/>
      <c r="G1297" s="81" t="s">
        <v>92</v>
      </c>
      <c r="H1297" s="81" t="s">
        <v>114</v>
      </c>
      <c r="I1297" s="83">
        <v>735.21126760563379</v>
      </c>
      <c r="J1297" s="81" t="s">
        <v>366</v>
      </c>
      <c r="K1297" s="84">
        <v>45920</v>
      </c>
      <c r="L1297" s="81" t="s">
        <v>14</v>
      </c>
      <c r="M1297" s="81" t="s">
        <v>226</v>
      </c>
      <c r="N1297" s="81">
        <v>2025</v>
      </c>
    </row>
    <row r="1298" spans="1:14">
      <c r="A1298" s="81">
        <v>1297</v>
      </c>
      <c r="B1298" s="81" t="s">
        <v>17</v>
      </c>
      <c r="C1298" s="81" t="s">
        <v>25</v>
      </c>
      <c r="D1298" s="82" t="s">
        <v>61</v>
      </c>
      <c r="E1298" s="81" t="s">
        <v>113</v>
      </c>
      <c r="F1298" s="81"/>
      <c r="G1298" s="81" t="s">
        <v>92</v>
      </c>
      <c r="H1298" s="81" t="s">
        <v>114</v>
      </c>
      <c r="I1298" s="83">
        <v>19539.436619718308</v>
      </c>
      <c r="J1298" s="81" t="s">
        <v>366</v>
      </c>
      <c r="K1298" s="84">
        <v>45920</v>
      </c>
      <c r="L1298" s="81" t="s">
        <v>14</v>
      </c>
      <c r="M1298" s="81" t="s">
        <v>226</v>
      </c>
      <c r="N1298" s="81">
        <v>2025</v>
      </c>
    </row>
    <row r="1299" spans="1:14">
      <c r="A1299" s="81">
        <v>1298</v>
      </c>
      <c r="B1299" s="81" t="s">
        <v>17</v>
      </c>
      <c r="C1299" s="81" t="s">
        <v>25</v>
      </c>
      <c r="D1299" s="82" t="s">
        <v>61</v>
      </c>
      <c r="E1299" s="81" t="s">
        <v>113</v>
      </c>
      <c r="F1299" s="81"/>
      <c r="G1299" s="81" t="s">
        <v>92</v>
      </c>
      <c r="H1299" s="81" t="s">
        <v>114</v>
      </c>
      <c r="I1299" s="83">
        <v>8456.0563380281692</v>
      </c>
      <c r="J1299" s="81" t="s">
        <v>363</v>
      </c>
      <c r="K1299" s="84">
        <v>45897</v>
      </c>
      <c r="L1299" s="81" t="s">
        <v>14</v>
      </c>
      <c r="M1299" s="81" t="s">
        <v>225</v>
      </c>
      <c r="N1299" s="81">
        <v>2025</v>
      </c>
    </row>
    <row r="1300" spans="1:14">
      <c r="A1300" s="81">
        <v>1299</v>
      </c>
      <c r="B1300" s="81" t="s">
        <v>17</v>
      </c>
      <c r="C1300" s="81" t="s">
        <v>25</v>
      </c>
      <c r="D1300" s="82" t="s">
        <v>61</v>
      </c>
      <c r="E1300" s="81" t="s">
        <v>113</v>
      </c>
      <c r="F1300" s="81"/>
      <c r="G1300" s="81" t="s">
        <v>122</v>
      </c>
      <c r="H1300" s="81" t="s">
        <v>113</v>
      </c>
      <c r="I1300" s="83">
        <v>2847.3934210526318</v>
      </c>
      <c r="J1300" s="82" t="s">
        <v>370</v>
      </c>
      <c r="K1300" s="84">
        <v>45969</v>
      </c>
      <c r="L1300" s="81" t="s">
        <v>14</v>
      </c>
      <c r="M1300" s="81" t="s">
        <v>226</v>
      </c>
      <c r="N1300" s="81">
        <v>2025</v>
      </c>
    </row>
    <row r="1301" spans="1:14">
      <c r="A1301" s="81">
        <v>1300</v>
      </c>
      <c r="B1301" s="81" t="s">
        <v>17</v>
      </c>
      <c r="C1301" s="81" t="s">
        <v>24</v>
      </c>
      <c r="D1301" s="82" t="s">
        <v>61</v>
      </c>
      <c r="E1301" s="81" t="s">
        <v>113</v>
      </c>
      <c r="F1301" s="81"/>
      <c r="G1301" s="81" t="s">
        <v>92</v>
      </c>
      <c r="H1301" s="81" t="s">
        <v>114</v>
      </c>
      <c r="I1301" s="83">
        <v>1036.6197183098591</v>
      </c>
      <c r="J1301" s="81" t="s">
        <v>363</v>
      </c>
      <c r="K1301" s="84">
        <v>45897</v>
      </c>
      <c r="L1301" s="81" t="s">
        <v>14</v>
      </c>
      <c r="M1301" s="81" t="s">
        <v>225</v>
      </c>
      <c r="N1301" s="81">
        <v>2025</v>
      </c>
    </row>
    <row r="1302" spans="1:14">
      <c r="A1302" s="81">
        <v>1301</v>
      </c>
      <c r="B1302" s="81" t="s">
        <v>17</v>
      </c>
      <c r="C1302" s="81" t="s">
        <v>24</v>
      </c>
      <c r="D1302" s="82" t="s">
        <v>61</v>
      </c>
      <c r="E1302" s="81" t="s">
        <v>113</v>
      </c>
      <c r="F1302" s="81"/>
      <c r="G1302" s="81" t="s">
        <v>92</v>
      </c>
      <c r="H1302" s="81" t="s">
        <v>114</v>
      </c>
      <c r="I1302" s="83">
        <v>950.70422535211264</v>
      </c>
      <c r="J1302" s="81" t="s">
        <v>366</v>
      </c>
      <c r="K1302" s="84">
        <v>45920</v>
      </c>
      <c r="L1302" s="81" t="s">
        <v>14</v>
      </c>
      <c r="M1302" s="81" t="s">
        <v>226</v>
      </c>
      <c r="N1302" s="81">
        <v>2025</v>
      </c>
    </row>
    <row r="1303" spans="1:14">
      <c r="A1303" s="81">
        <v>1302</v>
      </c>
      <c r="B1303" s="81" t="s">
        <v>17</v>
      </c>
      <c r="C1303" s="81" t="s">
        <v>23</v>
      </c>
      <c r="D1303" s="82" t="s">
        <v>61</v>
      </c>
      <c r="E1303" s="81" t="s">
        <v>113</v>
      </c>
      <c r="F1303" s="81"/>
      <c r="G1303" s="81" t="s">
        <v>122</v>
      </c>
      <c r="H1303" s="81" t="s">
        <v>113</v>
      </c>
      <c r="I1303" s="83">
        <v>340.04000709219861</v>
      </c>
      <c r="J1303" s="85" t="s">
        <v>476</v>
      </c>
      <c r="K1303" s="84">
        <v>45942</v>
      </c>
      <c r="L1303" s="81" t="s">
        <v>14</v>
      </c>
      <c r="M1303" s="81" t="s">
        <v>225</v>
      </c>
      <c r="N1303" s="81">
        <v>2025</v>
      </c>
    </row>
    <row r="1304" spans="1:14">
      <c r="A1304" s="81">
        <v>1303</v>
      </c>
      <c r="B1304" s="81" t="s">
        <v>43</v>
      </c>
      <c r="C1304" s="81" t="s">
        <v>52</v>
      </c>
      <c r="D1304" s="82" t="s">
        <v>61</v>
      </c>
      <c r="E1304" s="81" t="s">
        <v>113</v>
      </c>
      <c r="F1304" s="81"/>
      <c r="G1304" s="81" t="s">
        <v>96</v>
      </c>
      <c r="H1304" s="81" t="s">
        <v>114</v>
      </c>
      <c r="I1304" s="83">
        <v>4330.9859154929582</v>
      </c>
      <c r="J1304" s="81" t="s">
        <v>364</v>
      </c>
      <c r="K1304" s="84">
        <v>45869</v>
      </c>
      <c r="L1304" s="81" t="s">
        <v>14</v>
      </c>
      <c r="M1304" s="81" t="s">
        <v>225</v>
      </c>
      <c r="N1304" s="81">
        <v>2025</v>
      </c>
    </row>
    <row r="1305" spans="1:14">
      <c r="A1305" s="81">
        <v>1304</v>
      </c>
      <c r="B1305" s="81" t="s">
        <v>43</v>
      </c>
      <c r="C1305" s="81" t="s">
        <v>52</v>
      </c>
      <c r="D1305" s="82" t="s">
        <v>61</v>
      </c>
      <c r="E1305" s="81" t="s">
        <v>113</v>
      </c>
      <c r="F1305" s="81"/>
      <c r="G1305" s="81" t="s">
        <v>122</v>
      </c>
      <c r="H1305" s="81" t="s">
        <v>113</v>
      </c>
      <c r="I1305" s="83">
        <v>2329.6855263157895</v>
      </c>
      <c r="J1305" s="81" t="s">
        <v>369</v>
      </c>
      <c r="K1305" s="84">
        <v>45969</v>
      </c>
      <c r="L1305" s="81" t="s">
        <v>14</v>
      </c>
      <c r="M1305" s="81" t="s">
        <v>226</v>
      </c>
      <c r="N1305" s="81">
        <v>2025</v>
      </c>
    </row>
    <row r="1306" spans="1:14">
      <c r="A1306" s="81">
        <v>1305</v>
      </c>
      <c r="B1306" s="81" t="s">
        <v>43</v>
      </c>
      <c r="C1306" s="81" t="s">
        <v>51</v>
      </c>
      <c r="D1306" s="82" t="s">
        <v>61</v>
      </c>
      <c r="E1306" s="81" t="s">
        <v>113</v>
      </c>
      <c r="F1306" s="81"/>
      <c r="G1306" s="81" t="s">
        <v>122</v>
      </c>
      <c r="H1306" s="81" t="s">
        <v>113</v>
      </c>
      <c r="I1306" s="83">
        <v>109492.88228368794</v>
      </c>
      <c r="J1306" s="85" t="s">
        <v>478</v>
      </c>
      <c r="K1306" s="84">
        <v>45942</v>
      </c>
      <c r="L1306" s="81" t="s">
        <v>14</v>
      </c>
      <c r="M1306" s="81" t="s">
        <v>225</v>
      </c>
      <c r="N1306" s="81">
        <v>2025</v>
      </c>
    </row>
    <row r="1307" spans="1:14">
      <c r="A1307" s="81">
        <v>1306</v>
      </c>
      <c r="B1307" s="81" t="s">
        <v>43</v>
      </c>
      <c r="C1307" s="81" t="s">
        <v>51</v>
      </c>
      <c r="D1307" s="82" t="s">
        <v>61</v>
      </c>
      <c r="E1307" s="81" t="s">
        <v>113</v>
      </c>
      <c r="F1307" s="81"/>
      <c r="G1307" s="81" t="s">
        <v>122</v>
      </c>
      <c r="H1307" s="81" t="s">
        <v>113</v>
      </c>
      <c r="I1307" s="83">
        <v>108200.95000000001</v>
      </c>
      <c r="J1307" s="81" t="s">
        <v>368</v>
      </c>
      <c r="K1307" s="84">
        <v>45969</v>
      </c>
      <c r="L1307" s="81" t="s">
        <v>14</v>
      </c>
      <c r="M1307" s="81" t="s">
        <v>226</v>
      </c>
      <c r="N1307" s="81">
        <v>2025</v>
      </c>
    </row>
    <row r="1308" spans="1:14">
      <c r="A1308" s="81">
        <v>1307</v>
      </c>
      <c r="B1308" s="81" t="s">
        <v>43</v>
      </c>
      <c r="C1308" s="81" t="s">
        <v>50</v>
      </c>
      <c r="D1308" s="82" t="s">
        <v>61</v>
      </c>
      <c r="E1308" s="81" t="s">
        <v>113</v>
      </c>
      <c r="F1308" s="81"/>
      <c r="G1308" s="81" t="s">
        <v>122</v>
      </c>
      <c r="H1308" s="81" t="s">
        <v>113</v>
      </c>
      <c r="I1308" s="83">
        <v>26532.52960526316</v>
      </c>
      <c r="J1308" s="82" t="s">
        <v>370</v>
      </c>
      <c r="K1308" s="84">
        <v>45969</v>
      </c>
      <c r="L1308" s="81" t="s">
        <v>14</v>
      </c>
      <c r="M1308" s="81" t="s">
        <v>226</v>
      </c>
      <c r="N1308" s="81">
        <v>2025</v>
      </c>
    </row>
    <row r="1309" spans="1:14">
      <c r="A1309" s="81">
        <v>1308</v>
      </c>
      <c r="B1309" s="81" t="s">
        <v>43</v>
      </c>
      <c r="C1309" s="81" t="s">
        <v>50</v>
      </c>
      <c r="D1309" s="82" t="s">
        <v>61</v>
      </c>
      <c r="E1309" s="81" t="s">
        <v>113</v>
      </c>
      <c r="F1309" s="81"/>
      <c r="G1309" s="81" t="s">
        <v>122</v>
      </c>
      <c r="H1309" s="81" t="s">
        <v>113</v>
      </c>
      <c r="I1309" s="83">
        <v>15868.533664302598</v>
      </c>
      <c r="J1309" s="85" t="s">
        <v>477</v>
      </c>
      <c r="K1309" s="84">
        <v>45942</v>
      </c>
      <c r="L1309" s="81" t="s">
        <v>14</v>
      </c>
      <c r="M1309" s="81" t="s">
        <v>225</v>
      </c>
      <c r="N1309" s="81">
        <v>2025</v>
      </c>
    </row>
    <row r="1310" spans="1:14">
      <c r="A1310" s="81">
        <v>1309</v>
      </c>
      <c r="B1310" s="81" t="s">
        <v>43</v>
      </c>
      <c r="C1310" s="81" t="s">
        <v>49</v>
      </c>
      <c r="D1310" s="82" t="s">
        <v>61</v>
      </c>
      <c r="E1310" s="81" t="s">
        <v>113</v>
      </c>
      <c r="F1310" s="81"/>
      <c r="G1310" s="81" t="s">
        <v>122</v>
      </c>
      <c r="H1310" s="81" t="s">
        <v>113</v>
      </c>
      <c r="I1310" s="83">
        <v>2588.5394736842104</v>
      </c>
      <c r="J1310" s="81" t="s">
        <v>369</v>
      </c>
      <c r="K1310" s="84">
        <v>45969</v>
      </c>
      <c r="L1310" s="81" t="s">
        <v>14</v>
      </c>
      <c r="M1310" s="81" t="s">
        <v>226</v>
      </c>
      <c r="N1310" s="81">
        <v>2025</v>
      </c>
    </row>
    <row r="1311" spans="1:14">
      <c r="A1311" s="81">
        <v>1310</v>
      </c>
      <c r="B1311" s="81" t="s">
        <v>43</v>
      </c>
      <c r="C1311" s="81" t="s">
        <v>49</v>
      </c>
      <c r="D1311" s="82" t="s">
        <v>61</v>
      </c>
      <c r="E1311" s="81" t="s">
        <v>113</v>
      </c>
      <c r="F1311" s="81"/>
      <c r="G1311" s="81" t="s">
        <v>92</v>
      </c>
      <c r="H1311" s="81" t="s">
        <v>114</v>
      </c>
      <c r="I1311" s="83">
        <v>1744.5560318432335</v>
      </c>
      <c r="J1311" s="81" t="s">
        <v>366</v>
      </c>
      <c r="K1311" s="84">
        <v>45920</v>
      </c>
      <c r="L1311" s="81" t="s">
        <v>14</v>
      </c>
      <c r="M1311" s="81" t="s">
        <v>226</v>
      </c>
      <c r="N1311" s="81">
        <v>2025</v>
      </c>
    </row>
    <row r="1312" spans="1:14">
      <c r="A1312" s="81">
        <v>1311</v>
      </c>
      <c r="B1312" s="81" t="s">
        <v>43</v>
      </c>
      <c r="C1312" s="81" t="s">
        <v>48</v>
      </c>
      <c r="D1312" s="82" t="s">
        <v>61</v>
      </c>
      <c r="E1312" s="81" t="s">
        <v>113</v>
      </c>
      <c r="F1312" s="81"/>
      <c r="G1312" s="81" t="s">
        <v>122</v>
      </c>
      <c r="H1312" s="81" t="s">
        <v>113</v>
      </c>
      <c r="I1312" s="83">
        <v>453.38667612293142</v>
      </c>
      <c r="J1312" s="85" t="s">
        <v>476</v>
      </c>
      <c r="K1312" s="84">
        <v>45942</v>
      </c>
      <c r="L1312" s="81" t="s">
        <v>14</v>
      </c>
      <c r="M1312" s="81" t="s">
        <v>225</v>
      </c>
      <c r="N1312" s="81">
        <v>2025</v>
      </c>
    </row>
    <row r="1313" spans="1:14">
      <c r="A1313" s="81">
        <v>1312</v>
      </c>
      <c r="B1313" s="81" t="s">
        <v>35</v>
      </c>
      <c r="C1313" s="81" t="s">
        <v>42</v>
      </c>
      <c r="D1313" s="82" t="s">
        <v>61</v>
      </c>
      <c r="E1313" s="81" t="s">
        <v>113</v>
      </c>
      <c r="F1313" s="81"/>
      <c r="G1313" s="81" t="s">
        <v>122</v>
      </c>
      <c r="H1313" s="81" t="s">
        <v>113</v>
      </c>
      <c r="I1313" s="83">
        <v>18378.630263157895</v>
      </c>
      <c r="J1313" s="81" t="s">
        <v>368</v>
      </c>
      <c r="K1313" s="84">
        <v>45969</v>
      </c>
      <c r="L1313" s="81" t="s">
        <v>14</v>
      </c>
      <c r="M1313" s="81" t="s">
        <v>226</v>
      </c>
      <c r="N1313" s="81">
        <v>2025</v>
      </c>
    </row>
    <row r="1314" spans="1:14">
      <c r="A1314" s="81">
        <v>1313</v>
      </c>
      <c r="B1314" s="81" t="s">
        <v>43</v>
      </c>
      <c r="C1314" s="81" t="s">
        <v>47</v>
      </c>
      <c r="D1314" s="82" t="s">
        <v>61</v>
      </c>
      <c r="E1314" s="81" t="s">
        <v>113</v>
      </c>
      <c r="F1314" s="81"/>
      <c r="G1314" s="81" t="s">
        <v>122</v>
      </c>
      <c r="H1314" s="81" t="s">
        <v>113</v>
      </c>
      <c r="I1314" s="83">
        <v>7636.1914473684219</v>
      </c>
      <c r="J1314" s="82" t="s">
        <v>370</v>
      </c>
      <c r="K1314" s="84">
        <v>45969</v>
      </c>
      <c r="L1314" s="81" t="s">
        <v>14</v>
      </c>
      <c r="M1314" s="81" t="s">
        <v>226</v>
      </c>
      <c r="N1314" s="81">
        <v>2025</v>
      </c>
    </row>
    <row r="1315" spans="1:14">
      <c r="A1315" s="81">
        <v>1314</v>
      </c>
      <c r="B1315" s="81" t="s">
        <v>43</v>
      </c>
      <c r="C1315" s="81" t="s">
        <v>47</v>
      </c>
      <c r="D1315" s="82" t="s">
        <v>61</v>
      </c>
      <c r="E1315" s="81" t="s">
        <v>113</v>
      </c>
      <c r="F1315" s="81"/>
      <c r="G1315" s="81" t="s">
        <v>122</v>
      </c>
      <c r="H1315" s="81" t="s">
        <v>113</v>
      </c>
      <c r="I1315" s="83">
        <v>906.77335224586284</v>
      </c>
      <c r="J1315" s="85" t="s">
        <v>478</v>
      </c>
      <c r="K1315" s="84">
        <v>45942</v>
      </c>
      <c r="L1315" s="81" t="s">
        <v>14</v>
      </c>
      <c r="M1315" s="81" t="s">
        <v>225</v>
      </c>
      <c r="N1315" s="81">
        <v>2025</v>
      </c>
    </row>
    <row r="1316" spans="1:14">
      <c r="A1316" s="81">
        <v>1315</v>
      </c>
      <c r="B1316" s="81" t="s">
        <v>17</v>
      </c>
      <c r="C1316" s="81" t="s">
        <v>22</v>
      </c>
      <c r="D1316" s="82" t="s">
        <v>61</v>
      </c>
      <c r="E1316" s="81" t="s">
        <v>113</v>
      </c>
      <c r="F1316" s="81"/>
      <c r="G1316" s="81" t="s">
        <v>92</v>
      </c>
      <c r="H1316" s="81" t="s">
        <v>114</v>
      </c>
      <c r="I1316" s="83">
        <v>1559.1549295774648</v>
      </c>
      <c r="J1316" s="81" t="s">
        <v>363</v>
      </c>
      <c r="K1316" s="84">
        <v>45897</v>
      </c>
      <c r="L1316" s="81" t="s">
        <v>14</v>
      </c>
      <c r="M1316" s="81" t="s">
        <v>225</v>
      </c>
      <c r="N1316" s="81">
        <v>2025</v>
      </c>
    </row>
    <row r="1317" spans="1:14">
      <c r="A1317" s="81">
        <v>1316</v>
      </c>
      <c r="B1317" s="81" t="s">
        <v>17</v>
      </c>
      <c r="C1317" s="81" t="s">
        <v>22</v>
      </c>
      <c r="D1317" s="82" t="s">
        <v>61</v>
      </c>
      <c r="E1317" s="81" t="s">
        <v>113</v>
      </c>
      <c r="F1317" s="81"/>
      <c r="G1317" s="81" t="s">
        <v>92</v>
      </c>
      <c r="H1317" s="81" t="s">
        <v>114</v>
      </c>
      <c r="I1317" s="83">
        <v>408.45070422535213</v>
      </c>
      <c r="J1317" s="81" t="s">
        <v>366</v>
      </c>
      <c r="K1317" s="84">
        <v>45920</v>
      </c>
      <c r="L1317" s="81" t="s">
        <v>14</v>
      </c>
      <c r="M1317" s="81" t="s">
        <v>226</v>
      </c>
      <c r="N1317" s="81">
        <v>2025</v>
      </c>
    </row>
    <row r="1318" spans="1:14">
      <c r="A1318" s="81">
        <v>1317</v>
      </c>
      <c r="B1318" s="81" t="s">
        <v>59</v>
      </c>
      <c r="C1318" s="81" t="s">
        <v>60</v>
      </c>
      <c r="D1318" s="82" t="s">
        <v>61</v>
      </c>
      <c r="E1318" s="81" t="s">
        <v>113</v>
      </c>
      <c r="F1318" s="81"/>
      <c r="G1318" s="81" t="s">
        <v>92</v>
      </c>
      <c r="H1318" s="81" t="s">
        <v>114</v>
      </c>
      <c r="I1318" s="83">
        <v>1139.5774647887324</v>
      </c>
      <c r="J1318" s="81" t="s">
        <v>363</v>
      </c>
      <c r="K1318" s="84">
        <v>45897</v>
      </c>
      <c r="L1318" s="81" t="s">
        <v>14</v>
      </c>
      <c r="M1318" s="81" t="s">
        <v>225</v>
      </c>
      <c r="N1318" s="81">
        <v>2025</v>
      </c>
    </row>
    <row r="1319" spans="1:14">
      <c r="A1319" s="81">
        <v>1318</v>
      </c>
      <c r="B1319" s="81" t="s">
        <v>59</v>
      </c>
      <c r="C1319" s="81" t="s">
        <v>60</v>
      </c>
      <c r="D1319" s="82" t="s">
        <v>61</v>
      </c>
      <c r="E1319" s="81" t="s">
        <v>113</v>
      </c>
      <c r="F1319" s="81"/>
      <c r="G1319" s="81" t="s">
        <v>92</v>
      </c>
      <c r="H1319" s="81" t="s">
        <v>114</v>
      </c>
      <c r="I1319" s="83">
        <v>1061.9718309859154</v>
      </c>
      <c r="J1319" s="81" t="s">
        <v>366</v>
      </c>
      <c r="K1319" s="84">
        <v>45920</v>
      </c>
      <c r="L1319" s="81" t="s">
        <v>14</v>
      </c>
      <c r="M1319" s="81" t="s">
        <v>226</v>
      </c>
      <c r="N1319" s="81">
        <v>2025</v>
      </c>
    </row>
    <row r="1320" spans="1:14">
      <c r="A1320" s="81">
        <v>1319</v>
      </c>
      <c r="B1320" s="81" t="s">
        <v>53</v>
      </c>
      <c r="C1320" s="129" t="s">
        <v>62</v>
      </c>
      <c r="D1320" s="82" t="s">
        <v>61</v>
      </c>
      <c r="E1320" s="81" t="s">
        <v>113</v>
      </c>
      <c r="F1320" s="81"/>
      <c r="G1320" s="81" t="s">
        <v>122</v>
      </c>
      <c r="H1320" s="81" t="s">
        <v>113</v>
      </c>
      <c r="I1320" s="83">
        <v>92604.228598108733</v>
      </c>
      <c r="J1320" s="85" t="s">
        <v>477</v>
      </c>
      <c r="K1320" s="84">
        <v>45942</v>
      </c>
      <c r="L1320" s="81" t="s">
        <v>14</v>
      </c>
      <c r="M1320" s="81" t="s">
        <v>225</v>
      </c>
      <c r="N1320" s="81">
        <v>2025</v>
      </c>
    </row>
    <row r="1321" spans="1:14">
      <c r="A1321" s="81">
        <v>1320</v>
      </c>
      <c r="B1321" s="81" t="s">
        <v>53</v>
      </c>
      <c r="C1321" s="129" t="s">
        <v>62</v>
      </c>
      <c r="D1321" s="82" t="s">
        <v>61</v>
      </c>
      <c r="E1321" s="81" t="s">
        <v>113</v>
      </c>
      <c r="F1321" s="81"/>
      <c r="G1321" s="81" t="s">
        <v>122</v>
      </c>
      <c r="H1321" s="81" t="s">
        <v>113</v>
      </c>
      <c r="I1321" s="83">
        <v>67819.734210526323</v>
      </c>
      <c r="J1321" s="81" t="s">
        <v>369</v>
      </c>
      <c r="K1321" s="84">
        <v>45969</v>
      </c>
      <c r="L1321" s="81" t="s">
        <v>14</v>
      </c>
      <c r="M1321" s="81" t="s">
        <v>226</v>
      </c>
      <c r="N1321" s="81">
        <v>2025</v>
      </c>
    </row>
    <row r="1322" spans="1:14">
      <c r="A1322" s="81">
        <v>1321</v>
      </c>
      <c r="B1322" s="81" t="s">
        <v>33</v>
      </c>
      <c r="C1322" s="81" t="s">
        <v>34</v>
      </c>
      <c r="D1322" s="82" t="s">
        <v>61</v>
      </c>
      <c r="E1322" s="81" t="s">
        <v>113</v>
      </c>
      <c r="F1322" s="81"/>
      <c r="G1322" s="81" t="s">
        <v>92</v>
      </c>
      <c r="H1322" s="81" t="s">
        <v>114</v>
      </c>
      <c r="I1322" s="83">
        <v>5370.9859154929582</v>
      </c>
      <c r="J1322" s="81" t="s">
        <v>363</v>
      </c>
      <c r="K1322" s="84">
        <v>45897</v>
      </c>
      <c r="L1322" s="81" t="s">
        <v>14</v>
      </c>
      <c r="M1322" s="81" t="s">
        <v>225</v>
      </c>
      <c r="N1322" s="81">
        <v>2025</v>
      </c>
    </row>
    <row r="1323" spans="1:14">
      <c r="A1323" s="81">
        <v>1322</v>
      </c>
      <c r="B1323" s="81" t="s">
        <v>33</v>
      </c>
      <c r="C1323" s="81" t="s">
        <v>34</v>
      </c>
      <c r="D1323" s="82" t="s">
        <v>61</v>
      </c>
      <c r="E1323" s="81" t="s">
        <v>113</v>
      </c>
      <c r="F1323" s="81"/>
      <c r="G1323" s="81" t="s">
        <v>122</v>
      </c>
      <c r="H1323" s="81" t="s">
        <v>113</v>
      </c>
      <c r="I1323" s="83">
        <v>1811.9776315789472</v>
      </c>
      <c r="J1323" s="81" t="s">
        <v>368</v>
      </c>
      <c r="K1323" s="84">
        <v>45969</v>
      </c>
      <c r="L1323" s="81" t="s">
        <v>14</v>
      </c>
      <c r="M1323" s="81" t="s">
        <v>226</v>
      </c>
      <c r="N1323" s="81">
        <v>2025</v>
      </c>
    </row>
    <row r="1324" spans="1:14">
      <c r="A1324" s="81">
        <v>1323</v>
      </c>
      <c r="B1324" s="81" t="s">
        <v>33</v>
      </c>
      <c r="C1324" s="81" t="s">
        <v>34</v>
      </c>
      <c r="D1324" s="82" t="s">
        <v>61</v>
      </c>
      <c r="E1324" s="81" t="s">
        <v>113</v>
      </c>
      <c r="F1324" s="81"/>
      <c r="G1324" s="81" t="s">
        <v>122</v>
      </c>
      <c r="H1324" s="81" t="s">
        <v>113</v>
      </c>
      <c r="I1324" s="83">
        <v>1246.8133593380614</v>
      </c>
      <c r="J1324" s="85" t="s">
        <v>477</v>
      </c>
      <c r="K1324" s="84">
        <v>45942</v>
      </c>
      <c r="L1324" s="81" t="s">
        <v>14</v>
      </c>
      <c r="M1324" s="81" t="s">
        <v>225</v>
      </c>
      <c r="N1324" s="81">
        <v>2025</v>
      </c>
    </row>
    <row r="1325" spans="1:14">
      <c r="A1325" s="81">
        <v>1324</v>
      </c>
      <c r="B1325" s="81" t="s">
        <v>33</v>
      </c>
      <c r="C1325" s="81" t="s">
        <v>34</v>
      </c>
      <c r="D1325" s="82" t="s">
        <v>61</v>
      </c>
      <c r="E1325" s="81" t="s">
        <v>113</v>
      </c>
      <c r="F1325" s="81"/>
      <c r="G1325" s="81" t="s">
        <v>122</v>
      </c>
      <c r="H1325" s="81" t="s">
        <v>113</v>
      </c>
      <c r="I1325" s="83">
        <v>1133.4666903073285</v>
      </c>
      <c r="J1325" s="85" t="s">
        <v>476</v>
      </c>
      <c r="K1325" s="84">
        <v>45942</v>
      </c>
      <c r="L1325" s="81" t="s">
        <v>14</v>
      </c>
      <c r="M1325" s="81" t="s">
        <v>225</v>
      </c>
      <c r="N1325" s="81">
        <v>2025</v>
      </c>
    </row>
    <row r="1326" spans="1:14">
      <c r="A1326" s="81">
        <v>1325</v>
      </c>
      <c r="B1326" s="81" t="s">
        <v>33</v>
      </c>
      <c r="C1326" s="81" t="s">
        <v>34</v>
      </c>
      <c r="D1326" s="82" t="s">
        <v>61</v>
      </c>
      <c r="E1326" s="81" t="s">
        <v>113</v>
      </c>
      <c r="F1326" s="81"/>
      <c r="G1326" s="81" t="s">
        <v>92</v>
      </c>
      <c r="H1326" s="81" t="s">
        <v>114</v>
      </c>
      <c r="I1326" s="83">
        <v>503.98285364360078</v>
      </c>
      <c r="J1326" s="81" t="s">
        <v>366</v>
      </c>
      <c r="K1326" s="84">
        <v>45920</v>
      </c>
      <c r="L1326" s="81" t="s">
        <v>14</v>
      </c>
      <c r="M1326" s="81" t="s">
        <v>226</v>
      </c>
      <c r="N1326" s="81">
        <v>2025</v>
      </c>
    </row>
    <row r="1327" spans="1:14">
      <c r="A1327" s="81">
        <v>1326</v>
      </c>
      <c r="B1327" s="81" t="s">
        <v>27</v>
      </c>
      <c r="C1327" s="81" t="s">
        <v>28</v>
      </c>
      <c r="D1327" s="82" t="s">
        <v>61</v>
      </c>
      <c r="E1327" s="81" t="s">
        <v>113</v>
      </c>
      <c r="F1327" s="81"/>
      <c r="G1327" s="81" t="s">
        <v>122</v>
      </c>
      <c r="H1327" s="81" t="s">
        <v>113</v>
      </c>
      <c r="I1327" s="83">
        <v>2976.820394736842</v>
      </c>
      <c r="J1327" s="82" t="s">
        <v>370</v>
      </c>
      <c r="K1327" s="84">
        <v>45969</v>
      </c>
      <c r="L1327" s="81" t="s">
        <v>14</v>
      </c>
      <c r="M1327" s="81" t="s">
        <v>226</v>
      </c>
      <c r="N1327" s="81">
        <v>2025</v>
      </c>
    </row>
    <row r="1328" spans="1:14">
      <c r="A1328" s="81">
        <v>1327</v>
      </c>
      <c r="B1328" s="81" t="s">
        <v>27</v>
      </c>
      <c r="C1328" s="81" t="s">
        <v>28</v>
      </c>
      <c r="D1328" s="82" t="s">
        <v>61</v>
      </c>
      <c r="E1328" s="81" t="s">
        <v>113</v>
      </c>
      <c r="F1328" s="81"/>
      <c r="G1328" s="81" t="s">
        <v>122</v>
      </c>
      <c r="H1328" s="81" t="s">
        <v>113</v>
      </c>
      <c r="I1328" s="83">
        <v>793.42668321512997</v>
      </c>
      <c r="J1328" s="85" t="s">
        <v>478</v>
      </c>
      <c r="K1328" s="84">
        <v>45942</v>
      </c>
      <c r="L1328" s="81" t="s">
        <v>14</v>
      </c>
      <c r="M1328" s="81" t="s">
        <v>225</v>
      </c>
      <c r="N1328" s="81">
        <v>2025</v>
      </c>
    </row>
    <row r="1329" spans="1:14">
      <c r="A1329" s="81">
        <v>1328</v>
      </c>
      <c r="B1329" s="81" t="s">
        <v>43</v>
      </c>
      <c r="C1329" s="81" t="s">
        <v>46</v>
      </c>
      <c r="D1329" s="82" t="s">
        <v>61</v>
      </c>
      <c r="E1329" s="81" t="s">
        <v>113</v>
      </c>
      <c r="F1329" s="81"/>
      <c r="G1329" s="81" t="s">
        <v>122</v>
      </c>
      <c r="H1329" s="81" t="s">
        <v>113</v>
      </c>
      <c r="I1329" s="83">
        <v>14961.760312056736</v>
      </c>
      <c r="J1329" s="85" t="s">
        <v>477</v>
      </c>
      <c r="K1329" s="84">
        <v>45942</v>
      </c>
      <c r="L1329" s="81" t="s">
        <v>14</v>
      </c>
      <c r="M1329" s="81" t="s">
        <v>225</v>
      </c>
      <c r="N1329" s="81">
        <v>2025</v>
      </c>
    </row>
    <row r="1330" spans="1:14">
      <c r="A1330" s="81">
        <v>1329</v>
      </c>
      <c r="B1330" s="81" t="s">
        <v>43</v>
      </c>
      <c r="C1330" s="81" t="s">
        <v>46</v>
      </c>
      <c r="D1330" s="82" t="s">
        <v>61</v>
      </c>
      <c r="E1330" s="81" t="s">
        <v>113</v>
      </c>
      <c r="F1330" s="81"/>
      <c r="G1330" s="81" t="s">
        <v>122</v>
      </c>
      <c r="H1330" s="81" t="s">
        <v>113</v>
      </c>
      <c r="I1330" s="83">
        <v>9448.1690789473669</v>
      </c>
      <c r="J1330" s="81" t="s">
        <v>369</v>
      </c>
      <c r="K1330" s="84">
        <v>45969</v>
      </c>
      <c r="L1330" s="81" t="s">
        <v>14</v>
      </c>
      <c r="M1330" s="81" t="s">
        <v>226</v>
      </c>
      <c r="N1330" s="81">
        <v>2025</v>
      </c>
    </row>
    <row r="1331" spans="1:14">
      <c r="A1331" s="81">
        <v>1330</v>
      </c>
      <c r="B1331" s="81" t="s">
        <v>43</v>
      </c>
      <c r="C1331" s="81" t="s">
        <v>45</v>
      </c>
      <c r="D1331" s="82" t="s">
        <v>61</v>
      </c>
      <c r="E1331" s="81" t="s">
        <v>113</v>
      </c>
      <c r="F1331" s="81"/>
      <c r="G1331" s="81" t="s">
        <v>122</v>
      </c>
      <c r="H1331" s="81" t="s">
        <v>113</v>
      </c>
      <c r="I1331" s="83">
        <v>15142.955921052633</v>
      </c>
      <c r="J1331" s="81" t="s">
        <v>368</v>
      </c>
      <c r="K1331" s="84">
        <v>45969</v>
      </c>
      <c r="L1331" s="81" t="s">
        <v>14</v>
      </c>
      <c r="M1331" s="81" t="s">
        <v>226</v>
      </c>
      <c r="N1331" s="81">
        <v>2025</v>
      </c>
    </row>
    <row r="1332" spans="1:14">
      <c r="A1332" s="81">
        <v>1331</v>
      </c>
      <c r="B1332" s="81" t="s">
        <v>43</v>
      </c>
      <c r="C1332" s="81" t="s">
        <v>45</v>
      </c>
      <c r="D1332" s="82" t="s">
        <v>61</v>
      </c>
      <c r="E1332" s="81" t="s">
        <v>113</v>
      </c>
      <c r="F1332" s="81"/>
      <c r="G1332" s="81" t="s">
        <v>122</v>
      </c>
      <c r="H1332" s="81" t="s">
        <v>113</v>
      </c>
      <c r="I1332" s="83">
        <v>8274.306839243498</v>
      </c>
      <c r="J1332" s="85" t="s">
        <v>476</v>
      </c>
      <c r="K1332" s="84">
        <v>45942</v>
      </c>
      <c r="L1332" s="81" t="s">
        <v>14</v>
      </c>
      <c r="M1332" s="81" t="s">
        <v>225</v>
      </c>
      <c r="N1332" s="81">
        <v>2025</v>
      </c>
    </row>
    <row r="1333" spans="1:14">
      <c r="A1333" s="81">
        <v>1332</v>
      </c>
      <c r="B1333" s="81" t="s">
        <v>35</v>
      </c>
      <c r="C1333" s="81" t="s">
        <v>38</v>
      </c>
      <c r="D1333" s="82" t="s">
        <v>61</v>
      </c>
      <c r="E1333" s="81" t="s">
        <v>113</v>
      </c>
      <c r="F1333" s="81"/>
      <c r="G1333" s="81" t="s">
        <v>122</v>
      </c>
      <c r="H1333" s="81" t="s">
        <v>113</v>
      </c>
      <c r="I1333" s="83">
        <v>16307.798684210526</v>
      </c>
      <c r="J1333" s="82" t="s">
        <v>370</v>
      </c>
      <c r="K1333" s="84">
        <v>45969</v>
      </c>
      <c r="L1333" s="81" t="s">
        <v>14</v>
      </c>
      <c r="M1333" s="81" t="s">
        <v>226</v>
      </c>
      <c r="N1333" s="81">
        <v>2025</v>
      </c>
    </row>
    <row r="1334" spans="1:14">
      <c r="A1334" s="81">
        <v>1333</v>
      </c>
      <c r="B1334" s="81" t="s">
        <v>35</v>
      </c>
      <c r="C1334" s="81" t="s">
        <v>38</v>
      </c>
      <c r="D1334" s="82" t="s">
        <v>61</v>
      </c>
      <c r="E1334" s="81" t="s">
        <v>113</v>
      </c>
      <c r="F1334" s="81"/>
      <c r="G1334" s="81" t="s">
        <v>122</v>
      </c>
      <c r="H1334" s="81" t="s">
        <v>113</v>
      </c>
      <c r="I1334" s="83">
        <v>5440.6401134751777</v>
      </c>
      <c r="J1334" s="81" t="s">
        <v>478</v>
      </c>
      <c r="K1334" s="84">
        <v>45942</v>
      </c>
      <c r="L1334" s="81" t="s">
        <v>14</v>
      </c>
      <c r="M1334" s="81" t="s">
        <v>225</v>
      </c>
      <c r="N1334" s="81">
        <v>2025</v>
      </c>
    </row>
    <row r="1335" spans="1:14">
      <c r="A1335" s="81">
        <v>1334</v>
      </c>
      <c r="B1335" s="81" t="s">
        <v>35</v>
      </c>
      <c r="C1335" s="81" t="s">
        <v>37</v>
      </c>
      <c r="D1335" s="82" t="s">
        <v>61</v>
      </c>
      <c r="E1335" s="81" t="s">
        <v>113</v>
      </c>
      <c r="F1335" s="81"/>
      <c r="G1335" s="81" t="s">
        <v>122</v>
      </c>
      <c r="H1335" s="81" t="s">
        <v>113</v>
      </c>
      <c r="I1335" s="83">
        <v>17228.693692671397</v>
      </c>
      <c r="J1335" s="81" t="s">
        <v>477</v>
      </c>
      <c r="K1335" s="84">
        <v>45942</v>
      </c>
      <c r="L1335" s="81" t="s">
        <v>14</v>
      </c>
      <c r="M1335" s="81" t="s">
        <v>225</v>
      </c>
      <c r="N1335" s="81">
        <v>2025</v>
      </c>
    </row>
    <row r="1336" spans="1:14">
      <c r="A1336" s="81">
        <v>1335</v>
      </c>
      <c r="B1336" s="81" t="s">
        <v>35</v>
      </c>
      <c r="C1336" s="81" t="s">
        <v>37</v>
      </c>
      <c r="D1336" s="82" t="s">
        <v>61</v>
      </c>
      <c r="E1336" s="81" t="s">
        <v>113</v>
      </c>
      <c r="F1336" s="81"/>
      <c r="G1336" s="81" t="s">
        <v>122</v>
      </c>
      <c r="H1336" s="81" t="s">
        <v>113</v>
      </c>
      <c r="I1336" s="83">
        <v>13719.259210526316</v>
      </c>
      <c r="J1336" s="81" t="s">
        <v>369</v>
      </c>
      <c r="K1336" s="84">
        <v>45969</v>
      </c>
      <c r="L1336" s="81" t="s">
        <v>14</v>
      </c>
      <c r="M1336" s="81" t="s">
        <v>226</v>
      </c>
      <c r="N1336" s="81">
        <v>2025</v>
      </c>
    </row>
    <row r="1337" spans="1:14">
      <c r="A1337" s="81">
        <v>1336</v>
      </c>
      <c r="B1337" s="81" t="s">
        <v>272</v>
      </c>
      <c r="C1337" s="81" t="s">
        <v>32</v>
      </c>
      <c r="D1337" s="82" t="s">
        <v>61</v>
      </c>
      <c r="E1337" s="81" t="s">
        <v>113</v>
      </c>
      <c r="F1337" s="81"/>
      <c r="G1337" s="81" t="s">
        <v>122</v>
      </c>
      <c r="H1337" s="81" t="s">
        <v>113</v>
      </c>
      <c r="I1337" s="83">
        <v>14961.760312056736</v>
      </c>
      <c r="J1337" s="81" t="s">
        <v>476</v>
      </c>
      <c r="K1337" s="84">
        <v>45942</v>
      </c>
      <c r="L1337" s="81" t="s">
        <v>14</v>
      </c>
      <c r="M1337" s="81" t="s">
        <v>225</v>
      </c>
      <c r="N1337" s="81">
        <v>2025</v>
      </c>
    </row>
    <row r="1338" spans="1:14">
      <c r="A1338" s="81">
        <v>1337</v>
      </c>
      <c r="B1338" s="81" t="s">
        <v>272</v>
      </c>
      <c r="C1338" s="81" t="s">
        <v>32</v>
      </c>
      <c r="D1338" s="82" t="s">
        <v>61</v>
      </c>
      <c r="E1338" s="81" t="s">
        <v>113</v>
      </c>
      <c r="F1338" s="81"/>
      <c r="G1338" s="81" t="s">
        <v>122</v>
      </c>
      <c r="H1338" s="81" t="s">
        <v>113</v>
      </c>
      <c r="I1338" s="83">
        <v>14754.674999999999</v>
      </c>
      <c r="J1338" s="81" t="s">
        <v>368</v>
      </c>
      <c r="K1338" s="84">
        <v>45969</v>
      </c>
      <c r="L1338" s="81" t="s">
        <v>14</v>
      </c>
      <c r="M1338" s="81" t="s">
        <v>226</v>
      </c>
      <c r="N1338" s="81">
        <v>2025</v>
      </c>
    </row>
    <row r="1339" spans="1:14">
      <c r="A1339" s="81">
        <v>1338</v>
      </c>
      <c r="B1339" s="81" t="s">
        <v>43</v>
      </c>
      <c r="C1339" s="81" t="s">
        <v>44</v>
      </c>
      <c r="D1339" s="82" t="s">
        <v>61</v>
      </c>
      <c r="E1339" s="81" t="s">
        <v>113</v>
      </c>
      <c r="F1339" s="81"/>
      <c r="G1339" s="81" t="s">
        <v>122</v>
      </c>
      <c r="H1339" s="81" t="s">
        <v>113</v>
      </c>
      <c r="I1339" s="83">
        <v>161972.39004491724</v>
      </c>
      <c r="J1339" s="81" t="s">
        <v>478</v>
      </c>
      <c r="K1339" s="84">
        <v>45942</v>
      </c>
      <c r="L1339" s="81" t="s">
        <v>14</v>
      </c>
      <c r="M1339" s="81" t="s">
        <v>225</v>
      </c>
      <c r="N1339" s="81">
        <v>2025</v>
      </c>
    </row>
    <row r="1340" spans="1:14">
      <c r="A1340" s="81">
        <v>1339</v>
      </c>
      <c r="B1340" s="81" t="s">
        <v>43</v>
      </c>
      <c r="C1340" s="81" t="s">
        <v>44</v>
      </c>
      <c r="D1340" s="82" t="s">
        <v>61</v>
      </c>
      <c r="E1340" s="81" t="s">
        <v>113</v>
      </c>
      <c r="F1340" s="81"/>
      <c r="G1340" s="81" t="s">
        <v>122</v>
      </c>
      <c r="H1340" s="81" t="s">
        <v>113</v>
      </c>
      <c r="I1340" s="83">
        <v>71443.689473684208</v>
      </c>
      <c r="J1340" s="82" t="s">
        <v>370</v>
      </c>
      <c r="K1340" s="84">
        <v>45969</v>
      </c>
      <c r="L1340" s="81" t="s">
        <v>14</v>
      </c>
      <c r="M1340" s="81" t="s">
        <v>226</v>
      </c>
      <c r="N1340" s="81">
        <v>2025</v>
      </c>
    </row>
    <row r="1341" spans="1:14">
      <c r="A1341" s="81">
        <v>1340</v>
      </c>
      <c r="B1341" s="81" t="s">
        <v>35</v>
      </c>
      <c r="C1341" s="81" t="s">
        <v>475</v>
      </c>
      <c r="D1341" s="82" t="s">
        <v>61</v>
      </c>
      <c r="E1341" s="81" t="s">
        <v>113</v>
      </c>
      <c r="F1341" s="81"/>
      <c r="G1341" s="81" t="s">
        <v>122</v>
      </c>
      <c r="H1341" s="81" t="s">
        <v>113</v>
      </c>
      <c r="I1341" s="83">
        <v>31170.333983451535</v>
      </c>
      <c r="J1341" s="81" t="s">
        <v>477</v>
      </c>
      <c r="K1341" s="84">
        <v>45942</v>
      </c>
      <c r="L1341" s="81" t="s">
        <v>14</v>
      </c>
      <c r="M1341" s="81" t="s">
        <v>225</v>
      </c>
      <c r="N1341" s="81">
        <v>2025</v>
      </c>
    </row>
    <row r="1342" spans="1:14">
      <c r="A1342" s="81">
        <v>1341</v>
      </c>
      <c r="B1342" s="81" t="s">
        <v>35</v>
      </c>
      <c r="C1342" s="81" t="s">
        <v>475</v>
      </c>
      <c r="D1342" s="82" t="s">
        <v>61</v>
      </c>
      <c r="E1342" s="81" t="s">
        <v>113</v>
      </c>
      <c r="F1342" s="81"/>
      <c r="G1342" s="81" t="s">
        <v>122</v>
      </c>
      <c r="H1342" s="81" t="s">
        <v>113</v>
      </c>
      <c r="I1342" s="83">
        <v>8930.461184210526</v>
      </c>
      <c r="J1342" s="81" t="s">
        <v>369</v>
      </c>
      <c r="K1342" s="84">
        <v>45969</v>
      </c>
      <c r="L1342" s="81" t="s">
        <v>14</v>
      </c>
      <c r="M1342" s="81" t="s">
        <v>226</v>
      </c>
      <c r="N1342" s="81">
        <v>2025</v>
      </c>
    </row>
    <row r="1343" spans="1:14">
      <c r="A1343" s="81">
        <v>1342</v>
      </c>
      <c r="B1343" s="81" t="s">
        <v>43</v>
      </c>
      <c r="C1343" s="81" t="s">
        <v>70</v>
      </c>
      <c r="D1343" s="82" t="s">
        <v>61</v>
      </c>
      <c r="E1343" s="81" t="s">
        <v>113</v>
      </c>
      <c r="F1343" s="81"/>
      <c r="G1343" s="81" t="s">
        <v>122</v>
      </c>
      <c r="H1343" s="81" t="s">
        <v>113</v>
      </c>
      <c r="I1343" s="83">
        <v>2606.9733877068556</v>
      </c>
      <c r="J1343" s="81" t="s">
        <v>476</v>
      </c>
      <c r="K1343" s="84">
        <v>45942</v>
      </c>
      <c r="L1343" s="81" t="s">
        <v>14</v>
      </c>
      <c r="M1343" s="81" t="s">
        <v>225</v>
      </c>
      <c r="N1343" s="81">
        <v>2025</v>
      </c>
    </row>
    <row r="1344" spans="1:14">
      <c r="A1344" s="81">
        <v>1343</v>
      </c>
      <c r="B1344" s="81" t="s">
        <v>43</v>
      </c>
      <c r="C1344" s="81" t="s">
        <v>70</v>
      </c>
      <c r="D1344" s="82" t="s">
        <v>61</v>
      </c>
      <c r="E1344" s="81" t="s">
        <v>113</v>
      </c>
      <c r="F1344" s="81"/>
      <c r="G1344" s="81" t="s">
        <v>122</v>
      </c>
      <c r="H1344" s="81" t="s">
        <v>113</v>
      </c>
      <c r="I1344" s="83">
        <v>2588.5394736842104</v>
      </c>
      <c r="J1344" s="81" t="s">
        <v>368</v>
      </c>
      <c r="K1344" s="84">
        <v>45969</v>
      </c>
      <c r="L1344" s="81" t="s">
        <v>14</v>
      </c>
      <c r="M1344" s="81" t="s">
        <v>226</v>
      </c>
      <c r="N1344" s="81">
        <v>2025</v>
      </c>
    </row>
    <row r="1345" spans="1:14">
      <c r="A1345" s="81">
        <v>1344</v>
      </c>
      <c r="B1345" s="81" t="s">
        <v>43</v>
      </c>
      <c r="C1345" s="81" t="s">
        <v>70</v>
      </c>
      <c r="D1345" s="82" t="s">
        <v>61</v>
      </c>
      <c r="E1345" s="81" t="s">
        <v>113</v>
      </c>
      <c r="F1345" s="81"/>
      <c r="G1345" s="81" t="s">
        <v>92</v>
      </c>
      <c r="H1345" s="81" t="s">
        <v>114</v>
      </c>
      <c r="I1345" s="83">
        <v>2209.7709736680958</v>
      </c>
      <c r="J1345" s="81" t="s">
        <v>366</v>
      </c>
      <c r="K1345" s="84">
        <v>45920</v>
      </c>
      <c r="L1345" s="81" t="s">
        <v>14</v>
      </c>
      <c r="M1345" s="81" t="s">
        <v>226</v>
      </c>
      <c r="N1345" s="81">
        <v>2025</v>
      </c>
    </row>
    <row r="1346" spans="1:14">
      <c r="A1346" s="81">
        <v>1345</v>
      </c>
      <c r="B1346" s="81" t="s">
        <v>55</v>
      </c>
      <c r="C1346" s="81" t="s">
        <v>56</v>
      </c>
      <c r="D1346" s="82" t="s">
        <v>61</v>
      </c>
      <c r="E1346" s="81" t="s">
        <v>113</v>
      </c>
      <c r="F1346" s="81"/>
      <c r="G1346" s="81" t="s">
        <v>92</v>
      </c>
      <c r="H1346" s="81" t="s">
        <v>114</v>
      </c>
      <c r="I1346" s="83">
        <v>628.16901408450701</v>
      </c>
      <c r="J1346" s="81" t="s">
        <v>366</v>
      </c>
      <c r="K1346" s="84">
        <v>45920</v>
      </c>
      <c r="L1346" s="81" t="s">
        <v>14</v>
      </c>
      <c r="M1346" s="81" t="s">
        <v>226</v>
      </c>
      <c r="N1346" s="81">
        <v>2025</v>
      </c>
    </row>
    <row r="1347" spans="1:14">
      <c r="A1347" s="81">
        <v>1346</v>
      </c>
      <c r="B1347" s="81" t="s">
        <v>55</v>
      </c>
      <c r="C1347" s="81" t="s">
        <v>56</v>
      </c>
      <c r="D1347" s="82" t="s">
        <v>61</v>
      </c>
      <c r="E1347" s="81" t="s">
        <v>113</v>
      </c>
      <c r="F1347" s="81"/>
      <c r="G1347" s="81" t="s">
        <v>92</v>
      </c>
      <c r="H1347" s="81" t="s">
        <v>114</v>
      </c>
      <c r="I1347" s="83">
        <v>464.78873239436621</v>
      </c>
      <c r="J1347" s="81" t="s">
        <v>363</v>
      </c>
      <c r="K1347" s="84">
        <v>45897</v>
      </c>
      <c r="L1347" s="81" t="s">
        <v>14</v>
      </c>
      <c r="M1347" s="81" t="s">
        <v>225</v>
      </c>
      <c r="N1347" s="81">
        <v>2025</v>
      </c>
    </row>
    <row r="1348" spans="1:14">
      <c r="A1348" s="81">
        <v>1347</v>
      </c>
      <c r="B1348" s="81" t="s">
        <v>17</v>
      </c>
      <c r="C1348" s="81" t="s">
        <v>26</v>
      </c>
      <c r="D1348" s="81" t="s">
        <v>61</v>
      </c>
      <c r="E1348" s="109" t="s">
        <v>82</v>
      </c>
      <c r="F1348" s="81"/>
      <c r="G1348" s="81" t="s">
        <v>94</v>
      </c>
      <c r="H1348" s="82" t="s">
        <v>116</v>
      </c>
      <c r="I1348" s="83">
        <v>2053.5211267605632</v>
      </c>
      <c r="J1348" s="81">
        <v>2025000129</v>
      </c>
      <c r="K1348" s="84">
        <v>45869</v>
      </c>
      <c r="L1348" s="82" t="s">
        <v>14</v>
      </c>
      <c r="M1348" s="81" t="s">
        <v>225</v>
      </c>
      <c r="N1348" s="81">
        <v>2025</v>
      </c>
    </row>
    <row r="1349" spans="1:14">
      <c r="A1349" s="81">
        <v>1348</v>
      </c>
      <c r="B1349" s="107" t="s">
        <v>17</v>
      </c>
      <c r="C1349" s="107" t="s">
        <v>26</v>
      </c>
      <c r="D1349" s="102" t="s">
        <v>61</v>
      </c>
      <c r="E1349" s="109" t="s">
        <v>82</v>
      </c>
      <c r="F1349" s="81"/>
      <c r="G1349" s="81" t="s">
        <v>242</v>
      </c>
      <c r="H1349" s="81" t="s">
        <v>118</v>
      </c>
      <c r="I1349" s="83">
        <v>608</v>
      </c>
      <c r="J1349" s="107" t="s">
        <v>400</v>
      </c>
      <c r="K1349" s="84">
        <v>45867</v>
      </c>
      <c r="L1349" s="81">
        <v>2025402087</v>
      </c>
      <c r="M1349" s="81" t="s">
        <v>225</v>
      </c>
      <c r="N1349" s="81">
        <v>2025</v>
      </c>
    </row>
    <row r="1350" spans="1:14">
      <c r="A1350" s="81">
        <v>1349</v>
      </c>
      <c r="B1350" s="81" t="s">
        <v>17</v>
      </c>
      <c r="C1350" s="81" t="s">
        <v>26</v>
      </c>
      <c r="D1350" s="81" t="s">
        <v>61</v>
      </c>
      <c r="E1350" s="109" t="s">
        <v>82</v>
      </c>
      <c r="F1350" s="81"/>
      <c r="G1350" s="81" t="s">
        <v>242</v>
      </c>
      <c r="H1350" s="81" t="s">
        <v>118</v>
      </c>
      <c r="I1350" s="83">
        <v>400</v>
      </c>
      <c r="J1350" s="81" t="s">
        <v>406</v>
      </c>
      <c r="K1350" s="84">
        <v>45876</v>
      </c>
      <c r="L1350" s="81">
        <v>2025401297</v>
      </c>
      <c r="M1350" s="81" t="s">
        <v>226</v>
      </c>
      <c r="N1350" s="81">
        <v>2025</v>
      </c>
    </row>
    <row r="1351" spans="1:14">
      <c r="A1351" s="81">
        <v>1350</v>
      </c>
      <c r="B1351" s="81" t="s">
        <v>17</v>
      </c>
      <c r="C1351" s="81" t="s">
        <v>25</v>
      </c>
      <c r="D1351" s="81" t="s">
        <v>61</v>
      </c>
      <c r="E1351" s="109" t="s">
        <v>82</v>
      </c>
      <c r="F1351" s="81"/>
      <c r="G1351" s="81" t="s">
        <v>94</v>
      </c>
      <c r="H1351" s="82" t="s">
        <v>116</v>
      </c>
      <c r="I1351" s="83">
        <v>29815.795774647886</v>
      </c>
      <c r="J1351" s="81" t="s">
        <v>462</v>
      </c>
      <c r="K1351" s="84">
        <v>45900</v>
      </c>
      <c r="L1351" s="82" t="s">
        <v>14</v>
      </c>
      <c r="M1351" s="81" t="s">
        <v>226</v>
      </c>
      <c r="N1351" s="81">
        <v>2025</v>
      </c>
    </row>
    <row r="1352" spans="1:14">
      <c r="A1352" s="81">
        <v>1351</v>
      </c>
      <c r="B1352" s="81" t="s">
        <v>17</v>
      </c>
      <c r="C1352" s="81" t="s">
        <v>25</v>
      </c>
      <c r="D1352" s="81" t="s">
        <v>61</v>
      </c>
      <c r="E1352" s="109" t="s">
        <v>82</v>
      </c>
      <c r="F1352" s="81"/>
      <c r="G1352" s="81" t="s">
        <v>204</v>
      </c>
      <c r="H1352" s="81" t="s">
        <v>118</v>
      </c>
      <c r="I1352" s="83">
        <v>3300</v>
      </c>
      <c r="J1352" s="81" t="s">
        <v>442</v>
      </c>
      <c r="K1352" s="84">
        <v>45865</v>
      </c>
      <c r="L1352" s="81">
        <v>2025402343</v>
      </c>
      <c r="M1352" s="81" t="s">
        <v>225</v>
      </c>
      <c r="N1352" s="81">
        <v>2025</v>
      </c>
    </row>
    <row r="1353" spans="1:14">
      <c r="A1353" s="81">
        <v>1352</v>
      </c>
      <c r="B1353" s="81" t="s">
        <v>17</v>
      </c>
      <c r="C1353" s="81" t="s">
        <v>25</v>
      </c>
      <c r="D1353" s="81" t="s">
        <v>61</v>
      </c>
      <c r="E1353" s="109" t="s">
        <v>82</v>
      </c>
      <c r="F1353" s="81"/>
      <c r="G1353" s="81" t="s">
        <v>242</v>
      </c>
      <c r="H1353" s="81" t="s">
        <v>118</v>
      </c>
      <c r="I1353" s="83">
        <v>2323.9436619718308</v>
      </c>
      <c r="J1353" s="107" t="s">
        <v>425</v>
      </c>
      <c r="K1353" s="113">
        <v>45876</v>
      </c>
      <c r="L1353" s="81">
        <v>2025403224</v>
      </c>
      <c r="M1353" s="81" t="s">
        <v>226</v>
      </c>
      <c r="N1353" s="81">
        <v>2025</v>
      </c>
    </row>
    <row r="1354" spans="1:14">
      <c r="A1354" s="81">
        <v>1353</v>
      </c>
      <c r="B1354" s="81" t="s">
        <v>17</v>
      </c>
      <c r="C1354" s="81" t="s">
        <v>25</v>
      </c>
      <c r="D1354" s="81" t="s">
        <v>61</v>
      </c>
      <c r="E1354" s="109" t="s">
        <v>82</v>
      </c>
      <c r="F1354" s="81"/>
      <c r="G1354" s="81" t="s">
        <v>384</v>
      </c>
      <c r="H1354" s="81" t="s">
        <v>118</v>
      </c>
      <c r="I1354" s="83">
        <v>1135</v>
      </c>
      <c r="J1354" s="81" t="s">
        <v>431</v>
      </c>
      <c r="K1354" s="84">
        <v>45887</v>
      </c>
      <c r="L1354" s="81">
        <v>2025403336</v>
      </c>
      <c r="M1354" s="81" t="s">
        <v>226</v>
      </c>
      <c r="N1354" s="81">
        <v>2025</v>
      </c>
    </row>
    <row r="1355" spans="1:14">
      <c r="A1355" s="81">
        <v>1354</v>
      </c>
      <c r="B1355" s="81" t="s">
        <v>17</v>
      </c>
      <c r="C1355" s="81" t="s">
        <v>25</v>
      </c>
      <c r="D1355" s="81" t="s">
        <v>61</v>
      </c>
      <c r="E1355" s="109" t="s">
        <v>82</v>
      </c>
      <c r="F1355" s="81"/>
      <c r="G1355" s="81" t="s">
        <v>204</v>
      </c>
      <c r="H1355" s="81" t="s">
        <v>118</v>
      </c>
      <c r="I1355" s="83">
        <v>600</v>
      </c>
      <c r="J1355" s="81" t="s">
        <v>443</v>
      </c>
      <c r="K1355" s="84">
        <v>45875</v>
      </c>
      <c r="L1355" s="81">
        <v>2025402553</v>
      </c>
      <c r="M1355" s="81" t="s">
        <v>226</v>
      </c>
      <c r="N1355" s="81">
        <v>2025</v>
      </c>
    </row>
    <row r="1356" spans="1:14">
      <c r="A1356" s="81">
        <v>1355</v>
      </c>
      <c r="B1356" s="81" t="s">
        <v>17</v>
      </c>
      <c r="C1356" s="81" t="s">
        <v>25</v>
      </c>
      <c r="D1356" s="81" t="s">
        <v>61</v>
      </c>
      <c r="E1356" s="109" t="s">
        <v>82</v>
      </c>
      <c r="F1356" s="81"/>
      <c r="G1356" s="81" t="s">
        <v>242</v>
      </c>
      <c r="H1356" s="81" t="s">
        <v>118</v>
      </c>
      <c r="I1356" s="83">
        <v>70.422535211267601</v>
      </c>
      <c r="J1356" s="81" t="s">
        <v>430</v>
      </c>
      <c r="K1356" s="84">
        <v>45894</v>
      </c>
      <c r="L1356" s="81">
        <v>2025403327</v>
      </c>
      <c r="M1356" s="81" t="s">
        <v>226</v>
      </c>
      <c r="N1356" s="81">
        <v>2025</v>
      </c>
    </row>
    <row r="1357" spans="1:14">
      <c r="A1357" s="81">
        <v>1356</v>
      </c>
      <c r="B1357" s="81" t="s">
        <v>17</v>
      </c>
      <c r="C1357" s="81" t="s">
        <v>24</v>
      </c>
      <c r="D1357" s="81" t="s">
        <v>61</v>
      </c>
      <c r="E1357" s="109" t="s">
        <v>82</v>
      </c>
      <c r="F1357" s="81"/>
      <c r="G1357" s="81" t="s">
        <v>94</v>
      </c>
      <c r="H1357" s="82" t="s">
        <v>116</v>
      </c>
      <c r="I1357" s="83">
        <v>6810.8450704225352</v>
      </c>
      <c r="J1357" s="81">
        <v>2025000127</v>
      </c>
      <c r="K1357" s="84">
        <v>45869</v>
      </c>
      <c r="L1357" s="82" t="s">
        <v>14</v>
      </c>
      <c r="M1357" s="81" t="s">
        <v>225</v>
      </c>
      <c r="N1357" s="81">
        <v>2025</v>
      </c>
    </row>
    <row r="1358" spans="1:14">
      <c r="A1358" s="81">
        <v>1357</v>
      </c>
      <c r="B1358" s="81" t="s">
        <v>17</v>
      </c>
      <c r="C1358" s="81" t="s">
        <v>24</v>
      </c>
      <c r="D1358" s="81" t="s">
        <v>61</v>
      </c>
      <c r="E1358" s="109" t="s">
        <v>82</v>
      </c>
      <c r="F1358" s="81"/>
      <c r="G1358" s="81" t="s">
        <v>375</v>
      </c>
      <c r="H1358" s="81" t="s">
        <v>118</v>
      </c>
      <c r="I1358" s="83">
        <v>1350</v>
      </c>
      <c r="J1358" s="81" t="s">
        <v>437</v>
      </c>
      <c r="K1358" s="84">
        <v>45874</v>
      </c>
      <c r="L1358" s="81">
        <v>2025403227</v>
      </c>
      <c r="M1358" s="81" t="s">
        <v>226</v>
      </c>
      <c r="N1358" s="81">
        <v>2025</v>
      </c>
    </row>
    <row r="1359" spans="1:14">
      <c r="A1359" s="81">
        <v>1358</v>
      </c>
      <c r="B1359" s="81" t="s">
        <v>17</v>
      </c>
      <c r="C1359" s="81" t="s">
        <v>23</v>
      </c>
      <c r="D1359" s="81" t="s">
        <v>61</v>
      </c>
      <c r="E1359" s="109" t="s">
        <v>82</v>
      </c>
      <c r="F1359" s="81"/>
      <c r="G1359" s="81" t="s">
        <v>94</v>
      </c>
      <c r="H1359" s="82" t="s">
        <v>116</v>
      </c>
      <c r="I1359" s="83">
        <v>3080.2816901408451</v>
      </c>
      <c r="J1359" s="81">
        <v>2025000128</v>
      </c>
      <c r="K1359" s="84">
        <v>45869</v>
      </c>
      <c r="L1359" s="82" t="s">
        <v>14</v>
      </c>
      <c r="M1359" s="81" t="s">
        <v>225</v>
      </c>
      <c r="N1359" s="81">
        <v>2025</v>
      </c>
    </row>
    <row r="1360" spans="1:14">
      <c r="A1360" s="81">
        <v>1359</v>
      </c>
      <c r="B1360" s="81" t="s">
        <v>43</v>
      </c>
      <c r="C1360" s="81" t="s">
        <v>52</v>
      </c>
      <c r="D1360" s="81" t="s">
        <v>61</v>
      </c>
      <c r="E1360" s="109" t="s">
        <v>82</v>
      </c>
      <c r="F1360" s="81"/>
      <c r="G1360" s="81" t="s">
        <v>94</v>
      </c>
      <c r="H1360" s="82" t="s">
        <v>116</v>
      </c>
      <c r="I1360" s="83">
        <v>5006.4084507042253</v>
      </c>
      <c r="J1360" s="81">
        <v>2025000131</v>
      </c>
      <c r="K1360" s="84">
        <v>45869</v>
      </c>
      <c r="L1360" s="82" t="s">
        <v>14</v>
      </c>
      <c r="M1360" s="81" t="s">
        <v>225</v>
      </c>
      <c r="N1360" s="81">
        <v>2025</v>
      </c>
    </row>
    <row r="1361" spans="1:14">
      <c r="A1361" s="81">
        <v>1360</v>
      </c>
      <c r="B1361" s="81" t="s">
        <v>43</v>
      </c>
      <c r="C1361" s="81" t="s">
        <v>52</v>
      </c>
      <c r="D1361" s="81" t="s">
        <v>61</v>
      </c>
      <c r="E1361" s="109" t="s">
        <v>82</v>
      </c>
      <c r="F1361" s="81"/>
      <c r="G1361" s="81" t="s">
        <v>385</v>
      </c>
      <c r="H1361" s="81" t="s">
        <v>118</v>
      </c>
      <c r="I1361" s="83">
        <v>200</v>
      </c>
      <c r="J1361" s="81" t="s">
        <v>436</v>
      </c>
      <c r="K1361" s="84">
        <v>45889</v>
      </c>
      <c r="L1361" s="81">
        <v>2025403366</v>
      </c>
      <c r="M1361" s="81" t="s">
        <v>226</v>
      </c>
      <c r="N1361" s="81">
        <v>2025</v>
      </c>
    </row>
    <row r="1362" spans="1:14">
      <c r="A1362" s="81">
        <v>1361</v>
      </c>
      <c r="B1362" s="81" t="s">
        <v>43</v>
      </c>
      <c r="C1362" s="81" t="s">
        <v>51</v>
      </c>
      <c r="D1362" s="81" t="s">
        <v>61</v>
      </c>
      <c r="E1362" s="109" t="s">
        <v>82</v>
      </c>
      <c r="F1362" s="81"/>
      <c r="G1362" s="81" t="s">
        <v>377</v>
      </c>
      <c r="H1362" s="81" t="s">
        <v>118</v>
      </c>
      <c r="I1362" s="83">
        <v>3600</v>
      </c>
      <c r="J1362" s="81" t="s">
        <v>408</v>
      </c>
      <c r="K1362" s="84">
        <v>45842</v>
      </c>
      <c r="L1362" s="82" t="s">
        <v>14</v>
      </c>
      <c r="M1362" s="81" t="s">
        <v>225</v>
      </c>
      <c r="N1362" s="81">
        <v>2025</v>
      </c>
    </row>
    <row r="1363" spans="1:14">
      <c r="A1363" s="81">
        <v>1362</v>
      </c>
      <c r="B1363" s="81" t="s">
        <v>43</v>
      </c>
      <c r="C1363" s="81" t="s">
        <v>51</v>
      </c>
      <c r="D1363" s="81" t="s">
        <v>61</v>
      </c>
      <c r="E1363" s="109" t="s">
        <v>82</v>
      </c>
      <c r="F1363" s="81"/>
      <c r="G1363" s="81" t="s">
        <v>202</v>
      </c>
      <c r="H1363" s="81" t="s">
        <v>118</v>
      </c>
      <c r="I1363" s="83">
        <v>2885.211267605634</v>
      </c>
      <c r="J1363" s="81" t="s">
        <v>450</v>
      </c>
      <c r="K1363" s="84">
        <v>45900</v>
      </c>
      <c r="L1363" s="81">
        <v>2025403773</v>
      </c>
      <c r="M1363" s="81" t="s">
        <v>226</v>
      </c>
      <c r="N1363" s="81">
        <v>2025</v>
      </c>
    </row>
    <row r="1364" spans="1:14">
      <c r="A1364" s="81">
        <v>1363</v>
      </c>
      <c r="B1364" s="107" t="s">
        <v>43</v>
      </c>
      <c r="C1364" s="107" t="s">
        <v>51</v>
      </c>
      <c r="D1364" s="102" t="s">
        <v>61</v>
      </c>
      <c r="E1364" s="109" t="s">
        <v>82</v>
      </c>
      <c r="F1364" s="81"/>
      <c r="G1364" s="81" t="s">
        <v>119</v>
      </c>
      <c r="H1364" s="81" t="s">
        <v>118</v>
      </c>
      <c r="I1364" s="83">
        <v>2501.9366197183099</v>
      </c>
      <c r="J1364" s="107" t="s">
        <v>396</v>
      </c>
      <c r="K1364" s="84">
        <v>45856</v>
      </c>
      <c r="L1364" s="81">
        <v>2025402432</v>
      </c>
      <c r="M1364" s="81" t="s">
        <v>225</v>
      </c>
      <c r="N1364" s="81">
        <v>2025</v>
      </c>
    </row>
    <row r="1365" spans="1:14">
      <c r="A1365" s="81">
        <v>1364</v>
      </c>
      <c r="B1365" s="81" t="s">
        <v>43</v>
      </c>
      <c r="C1365" s="81" t="s">
        <v>51</v>
      </c>
      <c r="D1365" s="81" t="s">
        <v>61</v>
      </c>
      <c r="E1365" s="109" t="s">
        <v>82</v>
      </c>
      <c r="F1365" s="81"/>
      <c r="G1365" s="81" t="s">
        <v>202</v>
      </c>
      <c r="H1365" s="81" t="s">
        <v>118</v>
      </c>
      <c r="I1365" s="83">
        <v>1540.8450704225352</v>
      </c>
      <c r="J1365" s="81" t="s">
        <v>449</v>
      </c>
      <c r="K1365" s="84">
        <v>45869</v>
      </c>
      <c r="L1365" s="81">
        <v>2025403773</v>
      </c>
      <c r="M1365" s="81" t="s">
        <v>225</v>
      </c>
      <c r="N1365" s="81">
        <v>2025</v>
      </c>
    </row>
    <row r="1366" spans="1:14">
      <c r="A1366" s="81">
        <v>1365</v>
      </c>
      <c r="B1366" s="81" t="s">
        <v>43</v>
      </c>
      <c r="C1366" s="81" t="s">
        <v>51</v>
      </c>
      <c r="D1366" s="81" t="s">
        <v>61</v>
      </c>
      <c r="E1366" s="109" t="s">
        <v>82</v>
      </c>
      <c r="F1366" s="81"/>
      <c r="G1366" s="81" t="s">
        <v>202</v>
      </c>
      <c r="H1366" s="81" t="s">
        <v>118</v>
      </c>
      <c r="I1366" s="83">
        <v>1228.1690140845071</v>
      </c>
      <c r="J1366" s="81" t="s">
        <v>451</v>
      </c>
      <c r="K1366" s="84">
        <v>45900</v>
      </c>
      <c r="L1366" s="81">
        <v>2025403773</v>
      </c>
      <c r="M1366" s="81" t="s">
        <v>226</v>
      </c>
      <c r="N1366" s="81">
        <v>2025</v>
      </c>
    </row>
    <row r="1367" spans="1:14">
      <c r="A1367" s="81">
        <v>1366</v>
      </c>
      <c r="B1367" s="81" t="s">
        <v>43</v>
      </c>
      <c r="C1367" s="81" t="s">
        <v>51</v>
      </c>
      <c r="D1367" s="81" t="s">
        <v>61</v>
      </c>
      <c r="E1367" s="109" t="s">
        <v>82</v>
      </c>
      <c r="F1367" s="81"/>
      <c r="G1367" s="81" t="s">
        <v>94</v>
      </c>
      <c r="H1367" s="82" t="s">
        <v>116</v>
      </c>
      <c r="I1367" s="83">
        <v>1026.7605633802816</v>
      </c>
      <c r="J1367" s="81" t="s">
        <v>455</v>
      </c>
      <c r="K1367" s="84">
        <v>45900</v>
      </c>
      <c r="L1367" s="82" t="s">
        <v>14</v>
      </c>
      <c r="M1367" s="81" t="s">
        <v>226</v>
      </c>
      <c r="N1367" s="81">
        <v>2025</v>
      </c>
    </row>
    <row r="1368" spans="1:14">
      <c r="A1368" s="81">
        <v>1367</v>
      </c>
      <c r="B1368" s="81" t="s">
        <v>43</v>
      </c>
      <c r="C1368" s="81" t="s">
        <v>51</v>
      </c>
      <c r="D1368" s="81" t="s">
        <v>61</v>
      </c>
      <c r="E1368" s="109" t="s">
        <v>82</v>
      </c>
      <c r="F1368" s="81"/>
      <c r="G1368" s="81" t="s">
        <v>202</v>
      </c>
      <c r="H1368" s="81" t="s">
        <v>118</v>
      </c>
      <c r="I1368" s="83">
        <v>601.4084507042254</v>
      </c>
      <c r="J1368" s="81" t="s">
        <v>448</v>
      </c>
      <c r="K1368" s="84">
        <v>45900</v>
      </c>
      <c r="L1368" s="81">
        <v>2025403773</v>
      </c>
      <c r="M1368" s="81" t="s">
        <v>226</v>
      </c>
      <c r="N1368" s="81">
        <v>2025</v>
      </c>
    </row>
    <row r="1369" spans="1:14">
      <c r="A1369" s="81">
        <v>1368</v>
      </c>
      <c r="B1369" s="81" t="s">
        <v>43</v>
      </c>
      <c r="C1369" s="81" t="s">
        <v>51</v>
      </c>
      <c r="D1369" s="81" t="s">
        <v>61</v>
      </c>
      <c r="E1369" s="109" t="s">
        <v>82</v>
      </c>
      <c r="F1369" s="81"/>
      <c r="G1369" s="81" t="s">
        <v>202</v>
      </c>
      <c r="H1369" s="81" t="s">
        <v>118</v>
      </c>
      <c r="I1369" s="83">
        <v>579.57746478873241</v>
      </c>
      <c r="J1369" s="81" t="s">
        <v>447</v>
      </c>
      <c r="K1369" s="84">
        <v>45838</v>
      </c>
      <c r="L1369" s="81">
        <v>2025403773</v>
      </c>
      <c r="M1369" s="81" t="s">
        <v>225</v>
      </c>
      <c r="N1369" s="81">
        <v>2025</v>
      </c>
    </row>
    <row r="1370" spans="1:14">
      <c r="A1370" s="81">
        <v>1369</v>
      </c>
      <c r="B1370" s="81" t="s">
        <v>43</v>
      </c>
      <c r="C1370" s="81" t="s">
        <v>51</v>
      </c>
      <c r="D1370" s="81" t="s">
        <v>61</v>
      </c>
      <c r="E1370" s="109" t="s">
        <v>82</v>
      </c>
      <c r="F1370" s="81"/>
      <c r="G1370" s="81" t="s">
        <v>117</v>
      </c>
      <c r="H1370" s="81" t="s">
        <v>118</v>
      </c>
      <c r="I1370" s="83">
        <v>316.90140845070425</v>
      </c>
      <c r="J1370" s="81" t="s">
        <v>454</v>
      </c>
      <c r="K1370" s="84">
        <v>45874</v>
      </c>
      <c r="L1370" s="81">
        <v>2025403702</v>
      </c>
      <c r="M1370" s="81" t="s">
        <v>226</v>
      </c>
      <c r="N1370" s="81">
        <v>2025</v>
      </c>
    </row>
    <row r="1371" spans="1:14">
      <c r="A1371" s="81">
        <v>1370</v>
      </c>
      <c r="B1371" s="81" t="s">
        <v>43</v>
      </c>
      <c r="C1371" s="81" t="s">
        <v>51</v>
      </c>
      <c r="D1371" s="81" t="s">
        <v>61</v>
      </c>
      <c r="E1371" s="109" t="s">
        <v>82</v>
      </c>
      <c r="F1371" s="81"/>
      <c r="G1371" s="81" t="s">
        <v>385</v>
      </c>
      <c r="H1371" s="81" t="s">
        <v>118</v>
      </c>
      <c r="I1371" s="83">
        <v>150</v>
      </c>
      <c r="J1371" s="81" t="s">
        <v>433</v>
      </c>
      <c r="K1371" s="84">
        <v>45894</v>
      </c>
      <c r="L1371" s="81">
        <v>2025403368</v>
      </c>
      <c r="M1371" s="81" t="s">
        <v>226</v>
      </c>
      <c r="N1371" s="81">
        <v>2025</v>
      </c>
    </row>
    <row r="1372" spans="1:14">
      <c r="A1372" s="81">
        <v>1371</v>
      </c>
      <c r="B1372" s="81" t="s">
        <v>43</v>
      </c>
      <c r="C1372" s="81" t="s">
        <v>50</v>
      </c>
      <c r="D1372" s="81" t="s">
        <v>61</v>
      </c>
      <c r="E1372" s="109" t="s">
        <v>82</v>
      </c>
      <c r="F1372" s="81"/>
      <c r="G1372" s="81" t="s">
        <v>94</v>
      </c>
      <c r="H1372" s="82" t="s">
        <v>116</v>
      </c>
      <c r="I1372" s="83">
        <v>2909.1549295774648</v>
      </c>
      <c r="J1372" s="81" t="s">
        <v>458</v>
      </c>
      <c r="K1372" s="84">
        <v>45900</v>
      </c>
      <c r="L1372" s="82" t="s">
        <v>14</v>
      </c>
      <c r="M1372" s="81" t="s">
        <v>226</v>
      </c>
      <c r="N1372" s="81">
        <v>2025</v>
      </c>
    </row>
    <row r="1373" spans="1:14">
      <c r="A1373" s="81">
        <v>1372</v>
      </c>
      <c r="B1373" s="81" t="s">
        <v>43</v>
      </c>
      <c r="C1373" s="81" t="s">
        <v>50</v>
      </c>
      <c r="D1373" s="81" t="s">
        <v>61</v>
      </c>
      <c r="E1373" s="109" t="s">
        <v>82</v>
      </c>
      <c r="F1373" s="81"/>
      <c r="G1373" s="81" t="s">
        <v>119</v>
      </c>
      <c r="H1373" s="81" t="s">
        <v>118</v>
      </c>
      <c r="I1373" s="83">
        <v>1963.2042253521126</v>
      </c>
      <c r="J1373" s="81" t="s">
        <v>446</v>
      </c>
      <c r="K1373" s="84">
        <v>45840</v>
      </c>
      <c r="L1373" s="81">
        <v>2025403843</v>
      </c>
      <c r="M1373" s="81" t="s">
        <v>225</v>
      </c>
      <c r="N1373" s="81">
        <v>2025</v>
      </c>
    </row>
    <row r="1374" spans="1:14">
      <c r="A1374" s="81">
        <v>1373</v>
      </c>
      <c r="B1374" s="81" t="s">
        <v>43</v>
      </c>
      <c r="C1374" s="81" t="s">
        <v>50</v>
      </c>
      <c r="D1374" s="81" t="s">
        <v>61</v>
      </c>
      <c r="E1374" s="109" t="s">
        <v>82</v>
      </c>
      <c r="F1374" s="81"/>
      <c r="G1374" s="81" t="s">
        <v>382</v>
      </c>
      <c r="H1374" s="81" t="s">
        <v>118</v>
      </c>
      <c r="I1374" s="83">
        <v>1200</v>
      </c>
      <c r="J1374" s="107" t="s">
        <v>426</v>
      </c>
      <c r="K1374" s="113">
        <v>45872</v>
      </c>
      <c r="L1374" s="81">
        <v>2025403322</v>
      </c>
      <c r="M1374" s="81" t="s">
        <v>226</v>
      </c>
      <c r="N1374" s="81">
        <v>2025</v>
      </c>
    </row>
    <row r="1375" spans="1:14">
      <c r="A1375" s="81">
        <v>1374</v>
      </c>
      <c r="B1375" s="81" t="s">
        <v>43</v>
      </c>
      <c r="C1375" s="81" t="s">
        <v>50</v>
      </c>
      <c r="D1375" s="81" t="s">
        <v>61</v>
      </c>
      <c r="E1375" s="109" t="s">
        <v>82</v>
      </c>
      <c r="F1375" s="81"/>
      <c r="G1375" s="81" t="s">
        <v>385</v>
      </c>
      <c r="H1375" s="81" t="s">
        <v>118</v>
      </c>
      <c r="I1375" s="83">
        <v>50</v>
      </c>
      <c r="J1375" s="81" t="s">
        <v>432</v>
      </c>
      <c r="K1375" s="84">
        <v>45851</v>
      </c>
      <c r="L1375" s="81">
        <v>2025403367</v>
      </c>
      <c r="M1375" s="81" t="s">
        <v>225</v>
      </c>
      <c r="N1375" s="81">
        <v>2025</v>
      </c>
    </row>
    <row r="1376" spans="1:14">
      <c r="A1376" s="81">
        <v>1375</v>
      </c>
      <c r="B1376" s="81" t="s">
        <v>55</v>
      </c>
      <c r="C1376" s="81" t="s">
        <v>98</v>
      </c>
      <c r="D1376" s="81" t="s">
        <v>61</v>
      </c>
      <c r="E1376" s="109" t="s">
        <v>82</v>
      </c>
      <c r="F1376" s="81"/>
      <c r="G1376" s="81" t="s">
        <v>204</v>
      </c>
      <c r="H1376" s="81" t="s">
        <v>118</v>
      </c>
      <c r="I1376" s="83">
        <v>900</v>
      </c>
      <c r="J1376" s="81" t="s">
        <v>402</v>
      </c>
      <c r="K1376" s="84">
        <v>45864</v>
      </c>
      <c r="L1376" s="81">
        <v>2025402342</v>
      </c>
      <c r="M1376" s="81" t="s">
        <v>225</v>
      </c>
      <c r="N1376" s="81">
        <v>2025</v>
      </c>
    </row>
    <row r="1377" spans="1:14">
      <c r="A1377" s="81">
        <v>1376</v>
      </c>
      <c r="B1377" s="107" t="s">
        <v>43</v>
      </c>
      <c r="C1377" s="107" t="s">
        <v>48</v>
      </c>
      <c r="D1377" s="102" t="s">
        <v>61</v>
      </c>
      <c r="E1377" s="109" t="s">
        <v>82</v>
      </c>
      <c r="F1377" s="81"/>
      <c r="G1377" s="81" t="s">
        <v>117</v>
      </c>
      <c r="H1377" s="81" t="s">
        <v>118</v>
      </c>
      <c r="I1377" s="83">
        <v>774.64788732394368</v>
      </c>
      <c r="J1377" s="81" t="s">
        <v>392</v>
      </c>
      <c r="K1377" s="84">
        <v>45849</v>
      </c>
      <c r="L1377" s="81">
        <v>2025402339</v>
      </c>
      <c r="M1377" s="81" t="s">
        <v>225</v>
      </c>
      <c r="N1377" s="81">
        <v>2025</v>
      </c>
    </row>
    <row r="1378" spans="1:14">
      <c r="A1378" s="81">
        <v>1377</v>
      </c>
      <c r="B1378" s="81" t="s">
        <v>35</v>
      </c>
      <c r="C1378" s="81" t="s">
        <v>40</v>
      </c>
      <c r="D1378" s="81" t="s">
        <v>61</v>
      </c>
      <c r="E1378" s="109" t="s">
        <v>82</v>
      </c>
      <c r="F1378" s="81"/>
      <c r="G1378" s="81" t="s">
        <v>94</v>
      </c>
      <c r="H1378" s="82" t="s">
        <v>116</v>
      </c>
      <c r="I1378" s="83">
        <v>5304.929577464789</v>
      </c>
      <c r="J1378" s="81" t="s">
        <v>463</v>
      </c>
      <c r="K1378" s="84">
        <v>45900</v>
      </c>
      <c r="L1378" s="82" t="s">
        <v>14</v>
      </c>
      <c r="M1378" s="81" t="s">
        <v>226</v>
      </c>
      <c r="N1378" s="81">
        <v>2025</v>
      </c>
    </row>
    <row r="1379" spans="1:14">
      <c r="A1379" s="81">
        <v>1378</v>
      </c>
      <c r="B1379" s="81" t="s">
        <v>35</v>
      </c>
      <c r="C1379" s="81" t="s">
        <v>40</v>
      </c>
      <c r="D1379" s="81" t="s">
        <v>61</v>
      </c>
      <c r="E1379" s="109" t="s">
        <v>82</v>
      </c>
      <c r="F1379" s="81"/>
      <c r="G1379" s="81" t="s">
        <v>94</v>
      </c>
      <c r="H1379" s="82" t="s">
        <v>116</v>
      </c>
      <c r="I1379" s="83">
        <v>4107.0422535211264</v>
      </c>
      <c r="J1379" s="81">
        <v>2025000125</v>
      </c>
      <c r="K1379" s="84">
        <v>45869</v>
      </c>
      <c r="L1379" s="82" t="s">
        <v>14</v>
      </c>
      <c r="M1379" s="81" t="s">
        <v>225</v>
      </c>
      <c r="N1379" s="81">
        <v>2025</v>
      </c>
    </row>
    <row r="1380" spans="1:14">
      <c r="A1380" s="81">
        <v>1379</v>
      </c>
      <c r="B1380" s="109" t="s">
        <v>29</v>
      </c>
      <c r="C1380" s="109" t="s">
        <v>237</v>
      </c>
      <c r="D1380" s="81" t="s">
        <v>61</v>
      </c>
      <c r="E1380" s="109" t="s">
        <v>82</v>
      </c>
      <c r="F1380" s="81"/>
      <c r="G1380" s="81" t="s">
        <v>386</v>
      </c>
      <c r="H1380" s="81" t="s">
        <v>118</v>
      </c>
      <c r="I1380" s="83">
        <v>2144.3661971830984</v>
      </c>
      <c r="J1380" s="81" t="s">
        <v>441</v>
      </c>
      <c r="K1380" s="84">
        <v>45869</v>
      </c>
      <c r="L1380" s="81">
        <v>2025403677</v>
      </c>
      <c r="M1380" s="81" t="s">
        <v>225</v>
      </c>
      <c r="N1380" s="81">
        <v>2025</v>
      </c>
    </row>
    <row r="1381" spans="1:14">
      <c r="A1381" s="81">
        <v>1380</v>
      </c>
      <c r="B1381" s="109" t="s">
        <v>29</v>
      </c>
      <c r="C1381" s="109" t="s">
        <v>237</v>
      </c>
      <c r="D1381" s="81" t="s">
        <v>61</v>
      </c>
      <c r="E1381" s="109" t="s">
        <v>82</v>
      </c>
      <c r="F1381" s="81"/>
      <c r="G1381" s="81" t="s">
        <v>208</v>
      </c>
      <c r="H1381" s="82" t="s">
        <v>474</v>
      </c>
      <c r="I1381" s="83">
        <v>1971.8309859154929</v>
      </c>
      <c r="J1381" s="81" t="s">
        <v>421</v>
      </c>
      <c r="K1381" s="84">
        <v>45894</v>
      </c>
      <c r="L1381" s="81">
        <v>2025403156</v>
      </c>
      <c r="M1381" s="81" t="s">
        <v>225</v>
      </c>
      <c r="N1381" s="81">
        <v>2025</v>
      </c>
    </row>
    <row r="1382" spans="1:14">
      <c r="A1382" s="81">
        <v>1381</v>
      </c>
      <c r="B1382" s="109" t="s">
        <v>29</v>
      </c>
      <c r="C1382" s="109" t="s">
        <v>237</v>
      </c>
      <c r="D1382" s="81" t="s">
        <v>61</v>
      </c>
      <c r="E1382" s="109" t="s">
        <v>82</v>
      </c>
      <c r="F1382" s="81"/>
      <c r="G1382" s="81" t="s">
        <v>298</v>
      </c>
      <c r="H1382" s="81" t="s">
        <v>118</v>
      </c>
      <c r="I1382" s="83">
        <v>1803.5211267605634</v>
      </c>
      <c r="J1382" s="81" t="s">
        <v>411</v>
      </c>
      <c r="K1382" s="84">
        <v>45874</v>
      </c>
      <c r="L1382" s="81">
        <v>2025402744</v>
      </c>
      <c r="M1382" s="81" t="s">
        <v>226</v>
      </c>
      <c r="N1382" s="81">
        <v>2025</v>
      </c>
    </row>
    <row r="1383" spans="1:14">
      <c r="A1383" s="81">
        <v>1382</v>
      </c>
      <c r="B1383" s="109" t="s">
        <v>29</v>
      </c>
      <c r="C1383" s="109" t="s">
        <v>237</v>
      </c>
      <c r="D1383" s="102" t="s">
        <v>61</v>
      </c>
      <c r="E1383" s="109" t="s">
        <v>82</v>
      </c>
      <c r="F1383" s="81"/>
      <c r="G1383" s="81" t="s">
        <v>208</v>
      </c>
      <c r="H1383" s="82" t="s">
        <v>474</v>
      </c>
      <c r="I1383" s="83">
        <v>1161.9718309859154</v>
      </c>
      <c r="J1383" s="81" t="s">
        <v>395</v>
      </c>
      <c r="K1383" s="84">
        <v>45850</v>
      </c>
      <c r="L1383" s="81">
        <v>2025402427</v>
      </c>
      <c r="M1383" s="81" t="s">
        <v>225</v>
      </c>
      <c r="N1383" s="81">
        <v>2025</v>
      </c>
    </row>
    <row r="1384" spans="1:14">
      <c r="A1384" s="81">
        <v>1383</v>
      </c>
      <c r="B1384" s="109" t="s">
        <v>29</v>
      </c>
      <c r="C1384" s="109" t="s">
        <v>237</v>
      </c>
      <c r="D1384" s="81" t="s">
        <v>61</v>
      </c>
      <c r="E1384" s="109" t="s">
        <v>82</v>
      </c>
      <c r="F1384" s="81"/>
      <c r="G1384" s="81" t="s">
        <v>208</v>
      </c>
      <c r="H1384" s="82" t="s">
        <v>474</v>
      </c>
      <c r="I1384" s="83">
        <v>1056.338028169014</v>
      </c>
      <c r="J1384" s="81" t="s">
        <v>422</v>
      </c>
      <c r="K1384" s="84">
        <v>45895</v>
      </c>
      <c r="L1384" s="81">
        <v>2025403156</v>
      </c>
      <c r="M1384" s="81" t="s">
        <v>226</v>
      </c>
      <c r="N1384" s="81">
        <v>2025</v>
      </c>
    </row>
    <row r="1385" spans="1:14">
      <c r="A1385" s="81">
        <v>1384</v>
      </c>
      <c r="B1385" s="109" t="s">
        <v>29</v>
      </c>
      <c r="C1385" s="109" t="s">
        <v>237</v>
      </c>
      <c r="D1385" s="81" t="s">
        <v>61</v>
      </c>
      <c r="E1385" s="109" t="s">
        <v>82</v>
      </c>
      <c r="F1385" s="81"/>
      <c r="G1385" s="81" t="s">
        <v>208</v>
      </c>
      <c r="H1385" s="82" t="s">
        <v>474</v>
      </c>
      <c r="I1385" s="83">
        <v>704.22535211267609</v>
      </c>
      <c r="J1385" s="81" t="s">
        <v>423</v>
      </c>
      <c r="K1385" s="84">
        <v>45901</v>
      </c>
      <c r="L1385" s="81">
        <v>2025403156</v>
      </c>
      <c r="M1385" s="81" t="s">
        <v>226</v>
      </c>
      <c r="N1385" s="81">
        <v>2025</v>
      </c>
    </row>
    <row r="1386" spans="1:14">
      <c r="A1386" s="81">
        <v>1385</v>
      </c>
      <c r="B1386" s="109" t="s">
        <v>29</v>
      </c>
      <c r="C1386" s="109" t="s">
        <v>237</v>
      </c>
      <c r="D1386" s="81" t="s">
        <v>61</v>
      </c>
      <c r="E1386" s="109" t="s">
        <v>82</v>
      </c>
      <c r="F1386" s="81"/>
      <c r="G1386" s="81" t="s">
        <v>376</v>
      </c>
      <c r="H1386" s="81" t="s">
        <v>118</v>
      </c>
      <c r="I1386" s="83">
        <v>400</v>
      </c>
      <c r="J1386" s="81" t="s">
        <v>405</v>
      </c>
      <c r="K1386" s="84">
        <v>45874</v>
      </c>
      <c r="L1386" s="81">
        <v>2025402487</v>
      </c>
      <c r="M1386" s="81" t="s">
        <v>226</v>
      </c>
      <c r="N1386" s="81">
        <v>2025</v>
      </c>
    </row>
    <row r="1387" spans="1:14">
      <c r="A1387" s="81">
        <v>1386</v>
      </c>
      <c r="B1387" s="81" t="s">
        <v>43</v>
      </c>
      <c r="C1387" s="81" t="s">
        <v>47</v>
      </c>
      <c r="D1387" s="81" t="s">
        <v>61</v>
      </c>
      <c r="E1387" s="109" t="s">
        <v>82</v>
      </c>
      <c r="F1387" s="81"/>
      <c r="G1387" s="81" t="s">
        <v>117</v>
      </c>
      <c r="H1387" s="81" t="s">
        <v>118</v>
      </c>
      <c r="I1387" s="83">
        <v>105.63380281690141</v>
      </c>
      <c r="J1387" s="81" t="s">
        <v>465</v>
      </c>
      <c r="K1387" s="84">
        <v>45838</v>
      </c>
      <c r="L1387" s="81">
        <v>2025403732</v>
      </c>
      <c r="M1387" s="81" t="s">
        <v>225</v>
      </c>
      <c r="N1387" s="81">
        <v>2025</v>
      </c>
    </row>
    <row r="1388" spans="1:14">
      <c r="A1388" s="81">
        <v>1387</v>
      </c>
      <c r="B1388" s="81" t="s">
        <v>17</v>
      </c>
      <c r="C1388" s="81" t="s">
        <v>22</v>
      </c>
      <c r="D1388" s="81" t="s">
        <v>61</v>
      </c>
      <c r="E1388" s="109" t="s">
        <v>82</v>
      </c>
      <c r="F1388" s="81"/>
      <c r="G1388" s="81" t="s">
        <v>94</v>
      </c>
      <c r="H1388" s="82" t="s">
        <v>116</v>
      </c>
      <c r="I1388" s="83">
        <v>1026.7605633802816</v>
      </c>
      <c r="J1388" s="81" t="s">
        <v>461</v>
      </c>
      <c r="K1388" s="84">
        <v>45900</v>
      </c>
      <c r="L1388" s="82" t="s">
        <v>14</v>
      </c>
      <c r="M1388" s="81" t="s">
        <v>226</v>
      </c>
      <c r="N1388" s="81">
        <v>2025</v>
      </c>
    </row>
    <row r="1389" spans="1:14">
      <c r="A1389" s="81">
        <v>1388</v>
      </c>
      <c r="B1389" s="107" t="s">
        <v>17</v>
      </c>
      <c r="C1389" s="107" t="s">
        <v>22</v>
      </c>
      <c r="D1389" s="102" t="s">
        <v>61</v>
      </c>
      <c r="E1389" s="109" t="s">
        <v>82</v>
      </c>
      <c r="F1389" s="81"/>
      <c r="G1389" s="81" t="s">
        <v>242</v>
      </c>
      <c r="H1389" s="81" t="s">
        <v>118</v>
      </c>
      <c r="I1389" s="83">
        <v>400</v>
      </c>
      <c r="J1389" s="107" t="s">
        <v>399</v>
      </c>
      <c r="K1389" s="84">
        <v>45867</v>
      </c>
      <c r="L1389" s="81">
        <v>2025401708</v>
      </c>
      <c r="M1389" s="81" t="s">
        <v>225</v>
      </c>
      <c r="N1389" s="81">
        <v>2025</v>
      </c>
    </row>
    <row r="1390" spans="1:14">
      <c r="A1390" s="81">
        <v>1389</v>
      </c>
      <c r="B1390" s="81" t="s">
        <v>59</v>
      </c>
      <c r="C1390" s="81" t="s">
        <v>60</v>
      </c>
      <c r="D1390" s="102" t="s">
        <v>61</v>
      </c>
      <c r="E1390" s="109" t="s">
        <v>82</v>
      </c>
      <c r="F1390" s="81"/>
      <c r="G1390" s="81" t="s">
        <v>371</v>
      </c>
      <c r="H1390" s="82" t="s">
        <v>472</v>
      </c>
      <c r="I1390" s="83">
        <v>4436.5931999999993</v>
      </c>
      <c r="J1390" s="81">
        <v>59</v>
      </c>
      <c r="K1390" s="84">
        <v>45662</v>
      </c>
      <c r="L1390" s="82" t="s">
        <v>14</v>
      </c>
      <c r="M1390" s="81" t="s">
        <v>225</v>
      </c>
      <c r="N1390" s="81">
        <v>2025</v>
      </c>
    </row>
    <row r="1391" spans="1:14">
      <c r="A1391" s="81">
        <v>1390</v>
      </c>
      <c r="B1391" s="107" t="s">
        <v>59</v>
      </c>
      <c r="C1391" s="107" t="s">
        <v>60</v>
      </c>
      <c r="D1391" s="102" t="s">
        <v>61</v>
      </c>
      <c r="E1391" s="109" t="s">
        <v>82</v>
      </c>
      <c r="F1391" s="81"/>
      <c r="G1391" s="81" t="s">
        <v>241</v>
      </c>
      <c r="H1391" s="82" t="s">
        <v>473</v>
      </c>
      <c r="I1391" s="83">
        <v>3798</v>
      </c>
      <c r="J1391" s="81" t="s">
        <v>388</v>
      </c>
      <c r="K1391" s="84">
        <v>45839</v>
      </c>
      <c r="L1391" s="82" t="s">
        <v>14</v>
      </c>
      <c r="M1391" s="81" t="s">
        <v>225</v>
      </c>
      <c r="N1391" s="81">
        <v>2025</v>
      </c>
    </row>
    <row r="1392" spans="1:14">
      <c r="A1392" s="81">
        <v>1391</v>
      </c>
      <c r="B1392" s="81" t="s">
        <v>59</v>
      </c>
      <c r="C1392" s="81" t="s">
        <v>60</v>
      </c>
      <c r="D1392" s="81" t="s">
        <v>61</v>
      </c>
      <c r="E1392" s="81" t="s">
        <v>82</v>
      </c>
      <c r="F1392" s="81"/>
      <c r="G1392" s="81" t="s">
        <v>64</v>
      </c>
      <c r="H1392" s="81" t="s">
        <v>1316</v>
      </c>
      <c r="I1392" s="83">
        <v>2464.788732394366</v>
      </c>
      <c r="J1392" s="81" t="s">
        <v>68</v>
      </c>
      <c r="K1392" s="84">
        <v>45862</v>
      </c>
      <c r="L1392" s="109" t="s">
        <v>14</v>
      </c>
      <c r="M1392" s="81" t="s">
        <v>225</v>
      </c>
      <c r="N1392" s="81">
        <v>2025</v>
      </c>
    </row>
    <row r="1393" spans="1:14">
      <c r="A1393" s="81">
        <v>1392</v>
      </c>
      <c r="B1393" s="81" t="s">
        <v>59</v>
      </c>
      <c r="C1393" s="81" t="s">
        <v>60</v>
      </c>
      <c r="D1393" s="81" t="s">
        <v>61</v>
      </c>
      <c r="E1393" s="109" t="s">
        <v>82</v>
      </c>
      <c r="F1393" s="81"/>
      <c r="G1393" s="81" t="s">
        <v>241</v>
      </c>
      <c r="H1393" s="82" t="s">
        <v>473</v>
      </c>
      <c r="I1393" s="83">
        <v>1448.9</v>
      </c>
      <c r="J1393" s="81" t="s">
        <v>418</v>
      </c>
      <c r="K1393" s="84">
        <v>45895</v>
      </c>
      <c r="L1393" s="82" t="s">
        <v>14</v>
      </c>
      <c r="M1393" s="81" t="s">
        <v>226</v>
      </c>
      <c r="N1393" s="81">
        <v>2025</v>
      </c>
    </row>
    <row r="1394" spans="1:14">
      <c r="A1394" s="81">
        <v>1393</v>
      </c>
      <c r="B1394" s="81" t="s">
        <v>59</v>
      </c>
      <c r="C1394" s="81" t="s">
        <v>60</v>
      </c>
      <c r="D1394" s="81" t="s">
        <v>61</v>
      </c>
      <c r="E1394" s="81" t="s">
        <v>82</v>
      </c>
      <c r="F1394" s="81"/>
      <c r="G1394" s="81" t="s">
        <v>64</v>
      </c>
      <c r="H1394" s="81" t="s">
        <v>1315</v>
      </c>
      <c r="I1394" s="83">
        <v>774.64788732394368</v>
      </c>
      <c r="J1394" s="81">
        <v>380840</v>
      </c>
      <c r="K1394" s="84">
        <v>45846</v>
      </c>
      <c r="L1394" s="109" t="s">
        <v>14</v>
      </c>
      <c r="M1394" s="81" t="s">
        <v>226</v>
      </c>
      <c r="N1394" s="81">
        <v>2025</v>
      </c>
    </row>
    <row r="1395" spans="1:14">
      <c r="A1395" s="81">
        <v>1394</v>
      </c>
      <c r="B1395" s="107" t="s">
        <v>59</v>
      </c>
      <c r="C1395" s="107" t="s">
        <v>60</v>
      </c>
      <c r="D1395" s="102" t="s">
        <v>61</v>
      </c>
      <c r="E1395" s="109" t="s">
        <v>82</v>
      </c>
      <c r="F1395" s="81"/>
      <c r="G1395" s="81" t="s">
        <v>373</v>
      </c>
      <c r="H1395" s="81" t="s">
        <v>118</v>
      </c>
      <c r="I1395" s="83">
        <v>450</v>
      </c>
      <c r="J1395" s="81" t="s">
        <v>389</v>
      </c>
      <c r="K1395" s="84">
        <v>45840</v>
      </c>
      <c r="L1395" s="82" t="s">
        <v>14</v>
      </c>
      <c r="M1395" s="81" t="s">
        <v>225</v>
      </c>
      <c r="N1395" s="81">
        <v>2025</v>
      </c>
    </row>
    <row r="1396" spans="1:14">
      <c r="A1396" s="81">
        <v>1395</v>
      </c>
      <c r="B1396" s="81" t="s">
        <v>59</v>
      </c>
      <c r="C1396" s="81" t="s">
        <v>60</v>
      </c>
      <c r="D1396" s="81" t="s">
        <v>61</v>
      </c>
      <c r="E1396" s="81" t="s">
        <v>82</v>
      </c>
      <c r="F1396" s="81"/>
      <c r="G1396" s="81" t="s">
        <v>64</v>
      </c>
      <c r="H1396" s="81" t="s">
        <v>1314</v>
      </c>
      <c r="I1396" s="83">
        <v>246.47887323943661</v>
      </c>
      <c r="J1396" s="81" t="s">
        <v>68</v>
      </c>
      <c r="K1396" s="84">
        <v>45730</v>
      </c>
      <c r="L1396" s="109" t="s">
        <v>14</v>
      </c>
      <c r="M1396" s="81" t="s">
        <v>225</v>
      </c>
      <c r="N1396" s="81">
        <v>2025</v>
      </c>
    </row>
    <row r="1397" spans="1:14">
      <c r="A1397" s="81">
        <v>1396</v>
      </c>
      <c r="B1397" s="81" t="s">
        <v>59</v>
      </c>
      <c r="C1397" s="84" t="s">
        <v>60</v>
      </c>
      <c r="D1397" s="81" t="s">
        <v>61</v>
      </c>
      <c r="E1397" s="81" t="s">
        <v>215</v>
      </c>
      <c r="F1397" s="81"/>
      <c r="G1397" s="81" t="s">
        <v>64</v>
      </c>
      <c r="H1397" s="104" t="s">
        <v>1249</v>
      </c>
      <c r="I1397" s="105">
        <v>56.338028169014088</v>
      </c>
      <c r="J1397" s="81">
        <v>969</v>
      </c>
      <c r="K1397" s="84">
        <v>45937</v>
      </c>
      <c r="L1397" s="106" t="s">
        <v>14</v>
      </c>
      <c r="M1397" s="107" t="s">
        <v>225</v>
      </c>
      <c r="N1397" s="81">
        <v>2025</v>
      </c>
    </row>
    <row r="1398" spans="1:14">
      <c r="A1398" s="81">
        <v>1397</v>
      </c>
      <c r="B1398" s="109" t="s">
        <v>53</v>
      </c>
      <c r="C1398" s="129" t="s">
        <v>62</v>
      </c>
      <c r="D1398" s="81" t="s">
        <v>61</v>
      </c>
      <c r="E1398" s="109" t="s">
        <v>82</v>
      </c>
      <c r="F1398" s="81"/>
      <c r="G1398" s="81" t="s">
        <v>242</v>
      </c>
      <c r="H1398" s="81" t="s">
        <v>118</v>
      </c>
      <c r="I1398" s="83">
        <v>3813.3802816901407</v>
      </c>
      <c r="J1398" s="81" t="s">
        <v>469</v>
      </c>
      <c r="K1398" s="84">
        <v>45869</v>
      </c>
      <c r="L1398" s="81">
        <v>2025404246</v>
      </c>
      <c r="M1398" s="81" t="s">
        <v>226</v>
      </c>
      <c r="N1398" s="81">
        <v>2025</v>
      </c>
    </row>
    <row r="1399" spans="1:14">
      <c r="A1399" s="81">
        <v>1398</v>
      </c>
      <c r="B1399" s="109" t="s">
        <v>53</v>
      </c>
      <c r="C1399" s="129" t="s">
        <v>62</v>
      </c>
      <c r="D1399" s="81" t="s">
        <v>61</v>
      </c>
      <c r="E1399" s="109" t="s">
        <v>82</v>
      </c>
      <c r="F1399" s="81"/>
      <c r="G1399" s="81" t="s">
        <v>242</v>
      </c>
      <c r="H1399" s="81" t="s">
        <v>118</v>
      </c>
      <c r="I1399" s="83">
        <v>2211.2676056338028</v>
      </c>
      <c r="J1399" s="81" t="s">
        <v>468</v>
      </c>
      <c r="K1399" s="84">
        <v>45838</v>
      </c>
      <c r="L1399" s="81">
        <v>2025404246</v>
      </c>
      <c r="M1399" s="81" t="s">
        <v>225</v>
      </c>
      <c r="N1399" s="81">
        <v>2025</v>
      </c>
    </row>
    <row r="1400" spans="1:14">
      <c r="A1400" s="81">
        <v>1399</v>
      </c>
      <c r="B1400" s="81" t="s">
        <v>53</v>
      </c>
      <c r="C1400" s="129" t="s">
        <v>62</v>
      </c>
      <c r="D1400" s="81" t="s">
        <v>61</v>
      </c>
      <c r="E1400" s="109" t="s">
        <v>82</v>
      </c>
      <c r="F1400" s="81"/>
      <c r="G1400" s="81" t="s">
        <v>94</v>
      </c>
      <c r="H1400" s="82" t="s">
        <v>116</v>
      </c>
      <c r="I1400" s="83">
        <v>187415.17605633804</v>
      </c>
      <c r="J1400" s="81">
        <v>2025000123</v>
      </c>
      <c r="K1400" s="84">
        <v>45869</v>
      </c>
      <c r="L1400" s="82" t="s">
        <v>14</v>
      </c>
      <c r="M1400" s="81" t="s">
        <v>225</v>
      </c>
      <c r="N1400" s="81">
        <v>2025</v>
      </c>
    </row>
    <row r="1401" spans="1:14">
      <c r="A1401" s="81">
        <v>1400</v>
      </c>
      <c r="B1401" s="81" t="s">
        <v>53</v>
      </c>
      <c r="C1401" s="129" t="s">
        <v>62</v>
      </c>
      <c r="D1401" s="81" t="s">
        <v>61</v>
      </c>
      <c r="E1401" s="109" t="s">
        <v>82</v>
      </c>
      <c r="F1401" s="81"/>
      <c r="G1401" s="81" t="s">
        <v>94</v>
      </c>
      <c r="H1401" s="82" t="s">
        <v>116</v>
      </c>
      <c r="I1401" s="83">
        <v>157649.57746478874</v>
      </c>
      <c r="J1401" s="81" t="s">
        <v>459</v>
      </c>
      <c r="K1401" s="84">
        <v>45900</v>
      </c>
      <c r="L1401" s="82" t="s">
        <v>14</v>
      </c>
      <c r="M1401" s="81" t="s">
        <v>226</v>
      </c>
      <c r="N1401" s="81">
        <v>2025</v>
      </c>
    </row>
    <row r="1402" spans="1:14">
      <c r="A1402" s="81">
        <v>1401</v>
      </c>
      <c r="B1402" s="81" t="s">
        <v>53</v>
      </c>
      <c r="C1402" s="129" t="s">
        <v>62</v>
      </c>
      <c r="D1402" s="81" t="s">
        <v>61</v>
      </c>
      <c r="E1402" s="109" t="s">
        <v>82</v>
      </c>
      <c r="F1402" s="81"/>
      <c r="G1402" s="81" t="s">
        <v>300</v>
      </c>
      <c r="H1402" s="82" t="s">
        <v>82</v>
      </c>
      <c r="I1402" s="83">
        <v>17253.521126760563</v>
      </c>
      <c r="J1402" s="81" t="s">
        <v>401</v>
      </c>
      <c r="K1402" s="84">
        <v>45863</v>
      </c>
      <c r="L1402" s="81">
        <v>2025402561</v>
      </c>
      <c r="M1402" s="81" t="s">
        <v>225</v>
      </c>
      <c r="N1402" s="81">
        <v>2025</v>
      </c>
    </row>
    <row r="1403" spans="1:14">
      <c r="A1403" s="81">
        <v>1402</v>
      </c>
      <c r="B1403" s="81" t="s">
        <v>53</v>
      </c>
      <c r="C1403" s="129" t="s">
        <v>62</v>
      </c>
      <c r="D1403" s="81" t="s">
        <v>61</v>
      </c>
      <c r="E1403" s="109" t="s">
        <v>82</v>
      </c>
      <c r="F1403" s="81"/>
      <c r="G1403" s="81" t="s">
        <v>378</v>
      </c>
      <c r="H1403" s="81" t="s">
        <v>118</v>
      </c>
      <c r="I1403" s="83">
        <v>14907.042253521127</v>
      </c>
      <c r="J1403" s="81" t="s">
        <v>409</v>
      </c>
      <c r="K1403" s="84">
        <v>45879</v>
      </c>
      <c r="L1403" s="81">
        <v>2025402768</v>
      </c>
      <c r="M1403" s="81" t="s">
        <v>226</v>
      </c>
      <c r="N1403" s="81">
        <v>2025</v>
      </c>
    </row>
    <row r="1404" spans="1:14">
      <c r="A1404" s="81">
        <v>1403</v>
      </c>
      <c r="B1404" s="81" t="s">
        <v>53</v>
      </c>
      <c r="C1404" s="129" t="s">
        <v>62</v>
      </c>
      <c r="D1404" s="81" t="s">
        <v>61</v>
      </c>
      <c r="E1404" s="109" t="s">
        <v>82</v>
      </c>
      <c r="F1404" s="81"/>
      <c r="G1404" s="81" t="s">
        <v>299</v>
      </c>
      <c r="H1404" s="82" t="s">
        <v>470</v>
      </c>
      <c r="I1404" s="83">
        <v>11414.788732394367</v>
      </c>
      <c r="J1404" s="81" t="s">
        <v>404</v>
      </c>
      <c r="K1404" s="84">
        <v>45872</v>
      </c>
      <c r="L1404" s="81">
        <v>2025402592</v>
      </c>
      <c r="M1404" s="81" t="s">
        <v>225</v>
      </c>
      <c r="N1404" s="81">
        <v>2025</v>
      </c>
    </row>
    <row r="1405" spans="1:14">
      <c r="A1405" s="81">
        <v>1404</v>
      </c>
      <c r="B1405" s="81" t="s">
        <v>53</v>
      </c>
      <c r="C1405" s="129" t="s">
        <v>62</v>
      </c>
      <c r="D1405" s="81" t="s">
        <v>61</v>
      </c>
      <c r="E1405" s="109" t="s">
        <v>82</v>
      </c>
      <c r="F1405" s="81"/>
      <c r="G1405" s="81" t="s">
        <v>242</v>
      </c>
      <c r="H1405" s="81" t="s">
        <v>118</v>
      </c>
      <c r="I1405" s="83">
        <v>6300</v>
      </c>
      <c r="J1405" s="81" t="s">
        <v>427</v>
      </c>
      <c r="K1405" s="84">
        <v>45878</v>
      </c>
      <c r="L1405" s="81">
        <v>2025403324</v>
      </c>
      <c r="M1405" s="81" t="s">
        <v>226</v>
      </c>
      <c r="N1405" s="81">
        <v>2025</v>
      </c>
    </row>
    <row r="1406" spans="1:14">
      <c r="A1406" s="81">
        <v>1405</v>
      </c>
      <c r="B1406" s="81" t="s">
        <v>53</v>
      </c>
      <c r="C1406" s="129" t="s">
        <v>62</v>
      </c>
      <c r="D1406" s="81" t="s">
        <v>61</v>
      </c>
      <c r="E1406" s="109" t="s">
        <v>82</v>
      </c>
      <c r="F1406" s="81"/>
      <c r="G1406" s="81" t="s">
        <v>381</v>
      </c>
      <c r="H1406" s="81" t="s">
        <v>118</v>
      </c>
      <c r="I1406" s="83">
        <v>3521.1267605633802</v>
      </c>
      <c r="J1406" s="81" t="s">
        <v>420</v>
      </c>
      <c r="K1406" s="84">
        <v>45878</v>
      </c>
      <c r="L1406" s="81">
        <v>2025402746</v>
      </c>
      <c r="M1406" s="81" t="s">
        <v>226</v>
      </c>
      <c r="N1406" s="81">
        <v>2025</v>
      </c>
    </row>
    <row r="1407" spans="1:14">
      <c r="A1407" s="81">
        <v>1406</v>
      </c>
      <c r="B1407" s="81" t="s">
        <v>53</v>
      </c>
      <c r="C1407" s="129" t="s">
        <v>62</v>
      </c>
      <c r="D1407" s="81" t="s">
        <v>61</v>
      </c>
      <c r="E1407" s="109" t="s">
        <v>82</v>
      </c>
      <c r="F1407" s="81"/>
      <c r="G1407" s="81" t="s">
        <v>119</v>
      </c>
      <c r="H1407" s="81" t="s">
        <v>118</v>
      </c>
      <c r="I1407" s="83">
        <v>2881.3380281690143</v>
      </c>
      <c r="J1407" s="81" t="s">
        <v>414</v>
      </c>
      <c r="K1407" s="84">
        <v>45855</v>
      </c>
      <c r="L1407" s="81">
        <v>2025402896</v>
      </c>
      <c r="M1407" s="81" t="s">
        <v>225</v>
      </c>
      <c r="N1407" s="81">
        <v>2025</v>
      </c>
    </row>
    <row r="1408" spans="1:14">
      <c r="A1408" s="81">
        <v>1407</v>
      </c>
      <c r="B1408" s="81" t="s">
        <v>53</v>
      </c>
      <c r="C1408" s="129" t="s">
        <v>62</v>
      </c>
      <c r="D1408" s="102" t="s">
        <v>61</v>
      </c>
      <c r="E1408" s="109" t="s">
        <v>82</v>
      </c>
      <c r="F1408" s="81"/>
      <c r="G1408" s="81" t="s">
        <v>372</v>
      </c>
      <c r="H1408" s="81" t="s">
        <v>118</v>
      </c>
      <c r="I1408" s="83">
        <v>1971.8309859154929</v>
      </c>
      <c r="J1408" s="81" t="s">
        <v>387</v>
      </c>
      <c r="K1408" s="84">
        <v>45842</v>
      </c>
      <c r="L1408" s="81">
        <v>2025402066</v>
      </c>
      <c r="M1408" s="81" t="s">
        <v>225</v>
      </c>
      <c r="N1408" s="81">
        <v>2025</v>
      </c>
    </row>
    <row r="1409" spans="1:14">
      <c r="A1409" s="81">
        <v>1408</v>
      </c>
      <c r="B1409" s="81" t="s">
        <v>53</v>
      </c>
      <c r="C1409" s="129" t="s">
        <v>62</v>
      </c>
      <c r="D1409" s="81" t="s">
        <v>61</v>
      </c>
      <c r="E1409" s="109" t="s">
        <v>82</v>
      </c>
      <c r="F1409" s="81"/>
      <c r="G1409" s="81" t="s">
        <v>379</v>
      </c>
      <c r="H1409" s="81" t="s">
        <v>118</v>
      </c>
      <c r="I1409" s="83">
        <v>1700</v>
      </c>
      <c r="J1409" s="81" t="s">
        <v>410</v>
      </c>
      <c r="K1409" s="84">
        <v>45852</v>
      </c>
      <c r="L1409" s="81">
        <v>2025402683</v>
      </c>
      <c r="M1409" s="81" t="s">
        <v>225</v>
      </c>
      <c r="N1409" s="81">
        <v>2025</v>
      </c>
    </row>
    <row r="1410" spans="1:14">
      <c r="A1410" s="81">
        <v>1409</v>
      </c>
      <c r="B1410" s="81" t="s">
        <v>53</v>
      </c>
      <c r="C1410" s="129" t="s">
        <v>62</v>
      </c>
      <c r="D1410" s="81" t="s">
        <v>61</v>
      </c>
      <c r="E1410" s="109" t="s">
        <v>82</v>
      </c>
      <c r="F1410" s="81"/>
      <c r="G1410" s="81" t="s">
        <v>242</v>
      </c>
      <c r="H1410" s="81" t="s">
        <v>118</v>
      </c>
      <c r="I1410" s="83">
        <v>1600</v>
      </c>
      <c r="J1410" s="81" t="s">
        <v>438</v>
      </c>
      <c r="K1410" s="84">
        <v>45859</v>
      </c>
      <c r="L1410" s="81">
        <v>2025403230</v>
      </c>
      <c r="M1410" s="81" t="s">
        <v>225</v>
      </c>
      <c r="N1410" s="81">
        <v>2025</v>
      </c>
    </row>
    <row r="1411" spans="1:14">
      <c r="A1411" s="81">
        <v>1410</v>
      </c>
      <c r="B1411" s="107" t="s">
        <v>53</v>
      </c>
      <c r="C1411" s="129" t="s">
        <v>62</v>
      </c>
      <c r="D1411" s="102" t="s">
        <v>61</v>
      </c>
      <c r="E1411" s="109" t="s">
        <v>82</v>
      </c>
      <c r="F1411" s="81"/>
      <c r="G1411" s="81" t="s">
        <v>374</v>
      </c>
      <c r="H1411" s="81" t="s">
        <v>118</v>
      </c>
      <c r="I1411" s="83">
        <v>1260</v>
      </c>
      <c r="J1411" s="81" t="s">
        <v>390</v>
      </c>
      <c r="K1411" s="84">
        <v>45854</v>
      </c>
      <c r="L1411" s="81">
        <v>2025402089</v>
      </c>
      <c r="M1411" s="81" t="s">
        <v>225</v>
      </c>
      <c r="N1411" s="81">
        <v>2025</v>
      </c>
    </row>
    <row r="1412" spans="1:14">
      <c r="A1412" s="81">
        <v>1411</v>
      </c>
      <c r="B1412" s="81" t="s">
        <v>53</v>
      </c>
      <c r="C1412" s="129" t="s">
        <v>62</v>
      </c>
      <c r="D1412" s="81" t="s">
        <v>61</v>
      </c>
      <c r="E1412" s="109" t="s">
        <v>82</v>
      </c>
      <c r="F1412" s="81"/>
      <c r="G1412" s="81" t="s">
        <v>119</v>
      </c>
      <c r="H1412" s="81" t="s">
        <v>118</v>
      </c>
      <c r="I1412" s="83">
        <v>952.3943661971831</v>
      </c>
      <c r="J1412" s="81" t="s">
        <v>416</v>
      </c>
      <c r="K1412" s="84">
        <v>45873</v>
      </c>
      <c r="L1412" s="81">
        <v>2025402958</v>
      </c>
      <c r="M1412" s="81" t="s">
        <v>226</v>
      </c>
      <c r="N1412" s="81">
        <v>2025</v>
      </c>
    </row>
    <row r="1413" spans="1:14">
      <c r="A1413" s="81">
        <v>1412</v>
      </c>
      <c r="B1413" s="107" t="s">
        <v>53</v>
      </c>
      <c r="C1413" s="129" t="s">
        <v>62</v>
      </c>
      <c r="D1413" s="102" t="s">
        <v>61</v>
      </c>
      <c r="E1413" s="109" t="s">
        <v>82</v>
      </c>
      <c r="F1413" s="81"/>
      <c r="G1413" s="81" t="s">
        <v>374</v>
      </c>
      <c r="H1413" s="81" t="s">
        <v>118</v>
      </c>
      <c r="I1413" s="83">
        <v>840</v>
      </c>
      <c r="J1413" s="81" t="s">
        <v>391</v>
      </c>
      <c r="K1413" s="84">
        <v>45854</v>
      </c>
      <c r="L1413" s="81">
        <v>2025402090</v>
      </c>
      <c r="M1413" s="81" t="s">
        <v>225</v>
      </c>
      <c r="N1413" s="81">
        <v>2025</v>
      </c>
    </row>
    <row r="1414" spans="1:14">
      <c r="A1414" s="81">
        <v>1413</v>
      </c>
      <c r="B1414" s="81" t="s">
        <v>53</v>
      </c>
      <c r="C1414" s="129" t="s">
        <v>62</v>
      </c>
      <c r="D1414" s="81" t="s">
        <v>61</v>
      </c>
      <c r="E1414" s="109" t="s">
        <v>82</v>
      </c>
      <c r="F1414" s="81"/>
      <c r="G1414" s="81" t="s">
        <v>119</v>
      </c>
      <c r="H1414" s="81" t="s">
        <v>118</v>
      </c>
      <c r="I1414" s="83">
        <v>776.4084507042254</v>
      </c>
      <c r="J1414" s="81" t="s">
        <v>415</v>
      </c>
      <c r="K1414" s="84">
        <v>45870</v>
      </c>
      <c r="L1414" s="81">
        <v>2025402959</v>
      </c>
      <c r="M1414" s="81" t="s">
        <v>226</v>
      </c>
      <c r="N1414" s="81">
        <v>2025</v>
      </c>
    </row>
    <row r="1415" spans="1:14">
      <c r="A1415" s="81">
        <v>1414</v>
      </c>
      <c r="B1415" s="81" t="s">
        <v>53</v>
      </c>
      <c r="C1415" s="129" t="s">
        <v>62</v>
      </c>
      <c r="D1415" s="81" t="s">
        <v>61</v>
      </c>
      <c r="E1415" s="109" t="s">
        <v>82</v>
      </c>
      <c r="F1415" s="81"/>
      <c r="G1415" s="81" t="s">
        <v>119</v>
      </c>
      <c r="H1415" s="81" t="s">
        <v>118</v>
      </c>
      <c r="I1415" s="83">
        <v>733.27464788732391</v>
      </c>
      <c r="J1415" s="81" t="s">
        <v>417</v>
      </c>
      <c r="K1415" s="84">
        <v>45868</v>
      </c>
      <c r="L1415" s="81">
        <v>2025402957</v>
      </c>
      <c r="M1415" s="81" t="s">
        <v>226</v>
      </c>
      <c r="N1415" s="81">
        <v>2025</v>
      </c>
    </row>
    <row r="1416" spans="1:14">
      <c r="A1416" s="81">
        <v>1415</v>
      </c>
      <c r="B1416" s="81" t="s">
        <v>53</v>
      </c>
      <c r="C1416" s="129" t="s">
        <v>62</v>
      </c>
      <c r="D1416" s="81" t="s">
        <v>61</v>
      </c>
      <c r="E1416" s="109" t="s">
        <v>82</v>
      </c>
      <c r="F1416" s="81"/>
      <c r="G1416" s="81" t="s">
        <v>242</v>
      </c>
      <c r="H1416" s="81" t="s">
        <v>118</v>
      </c>
      <c r="I1416" s="83">
        <v>600</v>
      </c>
      <c r="J1416" s="81" t="s">
        <v>445</v>
      </c>
      <c r="K1416" s="84">
        <v>45862</v>
      </c>
      <c r="L1416" s="81">
        <v>2025403765</v>
      </c>
      <c r="M1416" s="81" t="s">
        <v>225</v>
      </c>
      <c r="N1416" s="81">
        <v>2025</v>
      </c>
    </row>
    <row r="1417" spans="1:14">
      <c r="A1417" s="81">
        <v>1416</v>
      </c>
      <c r="B1417" s="81" t="s">
        <v>53</v>
      </c>
      <c r="C1417" s="129" t="s">
        <v>62</v>
      </c>
      <c r="D1417" s="81" t="s">
        <v>61</v>
      </c>
      <c r="E1417" s="109" t="s">
        <v>82</v>
      </c>
      <c r="F1417" s="81"/>
      <c r="G1417" s="81" t="s">
        <v>372</v>
      </c>
      <c r="H1417" s="81" t="s">
        <v>118</v>
      </c>
      <c r="I1417" s="83">
        <v>563.38028169014081</v>
      </c>
      <c r="J1417" s="81" t="s">
        <v>444</v>
      </c>
      <c r="K1417" s="84">
        <v>45867</v>
      </c>
      <c r="L1417" s="81">
        <v>2025403766</v>
      </c>
      <c r="M1417" s="81" t="s">
        <v>226</v>
      </c>
      <c r="N1417" s="81">
        <v>2025</v>
      </c>
    </row>
    <row r="1418" spans="1:14">
      <c r="A1418" s="81">
        <v>1417</v>
      </c>
      <c r="B1418" s="81" t="s">
        <v>53</v>
      </c>
      <c r="C1418" s="129" t="s">
        <v>62</v>
      </c>
      <c r="D1418" s="81" t="s">
        <v>61</v>
      </c>
      <c r="E1418" s="109" t="s">
        <v>82</v>
      </c>
      <c r="F1418" s="81"/>
      <c r="G1418" s="81" t="s">
        <v>386</v>
      </c>
      <c r="H1418" s="81" t="s">
        <v>118</v>
      </c>
      <c r="I1418" s="83">
        <v>51.408450704225352</v>
      </c>
      <c r="J1418" s="81" t="s">
        <v>464</v>
      </c>
      <c r="K1418" s="84">
        <v>45869</v>
      </c>
      <c r="L1418" s="81">
        <v>2025404112</v>
      </c>
      <c r="M1418" s="81" t="s">
        <v>225</v>
      </c>
      <c r="N1418" s="81">
        <v>2025</v>
      </c>
    </row>
    <row r="1419" spans="1:14">
      <c r="A1419" s="81">
        <v>1418</v>
      </c>
      <c r="B1419" s="81" t="s">
        <v>33</v>
      </c>
      <c r="C1419" s="81" t="s">
        <v>34</v>
      </c>
      <c r="D1419" s="81" t="s">
        <v>61</v>
      </c>
      <c r="E1419" s="109" t="s">
        <v>82</v>
      </c>
      <c r="F1419" s="81"/>
      <c r="G1419" s="81" t="s">
        <v>374</v>
      </c>
      <c r="H1419" s="81" t="s">
        <v>118</v>
      </c>
      <c r="I1419" s="83">
        <v>3120</v>
      </c>
      <c r="J1419" s="81" t="s">
        <v>434</v>
      </c>
      <c r="K1419" s="84">
        <v>45922</v>
      </c>
      <c r="L1419" s="81">
        <v>2025403337</v>
      </c>
      <c r="M1419" s="81" t="s">
        <v>226</v>
      </c>
      <c r="N1419" s="81">
        <v>2025</v>
      </c>
    </row>
    <row r="1420" spans="1:14">
      <c r="A1420" s="81">
        <v>1419</v>
      </c>
      <c r="B1420" s="81" t="s">
        <v>33</v>
      </c>
      <c r="C1420" s="81" t="s">
        <v>34</v>
      </c>
      <c r="D1420" s="81" t="s">
        <v>61</v>
      </c>
      <c r="E1420" s="109" t="s">
        <v>82</v>
      </c>
      <c r="F1420" s="81"/>
      <c r="G1420" s="81" t="s">
        <v>374</v>
      </c>
      <c r="H1420" s="81" t="s">
        <v>118</v>
      </c>
      <c r="I1420" s="83">
        <v>360</v>
      </c>
      <c r="J1420" s="81" t="s">
        <v>435</v>
      </c>
      <c r="K1420" s="84">
        <v>45922</v>
      </c>
      <c r="L1420" s="81">
        <v>2025403365</v>
      </c>
      <c r="M1420" s="81" t="s">
        <v>225</v>
      </c>
      <c r="N1420" s="81">
        <v>2025</v>
      </c>
    </row>
    <row r="1421" spans="1:14">
      <c r="A1421" s="81">
        <v>1420</v>
      </c>
      <c r="B1421" s="81" t="s">
        <v>33</v>
      </c>
      <c r="C1421" s="81" t="s">
        <v>34</v>
      </c>
      <c r="D1421" s="81" t="s">
        <v>61</v>
      </c>
      <c r="E1421" s="109" t="s">
        <v>82</v>
      </c>
      <c r="F1421" s="81"/>
      <c r="G1421" s="81" t="s">
        <v>374</v>
      </c>
      <c r="H1421" s="81" t="s">
        <v>118</v>
      </c>
      <c r="I1421" s="83">
        <v>360</v>
      </c>
      <c r="J1421" s="81" t="s">
        <v>452</v>
      </c>
      <c r="K1421" s="84">
        <v>45951</v>
      </c>
      <c r="L1421" s="81">
        <v>2025403734</v>
      </c>
      <c r="M1421" s="81" t="s">
        <v>226</v>
      </c>
      <c r="N1421" s="81">
        <v>2025</v>
      </c>
    </row>
    <row r="1422" spans="1:14">
      <c r="A1422" s="81">
        <v>1421</v>
      </c>
      <c r="B1422" s="107" t="s">
        <v>33</v>
      </c>
      <c r="C1422" s="107" t="s">
        <v>34</v>
      </c>
      <c r="D1422" s="102" t="s">
        <v>61</v>
      </c>
      <c r="E1422" s="109" t="s">
        <v>82</v>
      </c>
      <c r="F1422" s="81"/>
      <c r="G1422" s="81" t="s">
        <v>374</v>
      </c>
      <c r="H1422" s="81" t="s">
        <v>118</v>
      </c>
      <c r="I1422" s="83">
        <v>320</v>
      </c>
      <c r="J1422" s="107" t="s">
        <v>397</v>
      </c>
      <c r="K1422" s="84">
        <v>45864</v>
      </c>
      <c r="L1422" s="81">
        <v>2025402410</v>
      </c>
      <c r="M1422" s="81" t="s">
        <v>225</v>
      </c>
      <c r="N1422" s="81">
        <v>2025</v>
      </c>
    </row>
    <row r="1423" spans="1:14">
      <c r="A1423" s="81">
        <v>1422</v>
      </c>
      <c r="B1423" s="81" t="s">
        <v>33</v>
      </c>
      <c r="C1423" s="81" t="s">
        <v>34</v>
      </c>
      <c r="D1423" s="81" t="s">
        <v>61</v>
      </c>
      <c r="E1423" s="109" t="s">
        <v>82</v>
      </c>
      <c r="F1423" s="81"/>
      <c r="G1423" s="81" t="s">
        <v>383</v>
      </c>
      <c r="H1423" s="81" t="s">
        <v>118</v>
      </c>
      <c r="I1423" s="83">
        <v>126.7605633802817</v>
      </c>
      <c r="J1423" s="81" t="s">
        <v>429</v>
      </c>
      <c r="K1423" s="84">
        <v>45887</v>
      </c>
      <c r="L1423" s="81">
        <v>2025402675</v>
      </c>
      <c r="M1423" s="81" t="s">
        <v>226</v>
      </c>
      <c r="N1423" s="81">
        <v>2025</v>
      </c>
    </row>
    <row r="1424" spans="1:14">
      <c r="A1424" s="81">
        <v>1423</v>
      </c>
      <c r="B1424" s="81" t="s">
        <v>27</v>
      </c>
      <c r="C1424" s="81" t="s">
        <v>28</v>
      </c>
      <c r="D1424" s="81" t="s">
        <v>61</v>
      </c>
      <c r="E1424" s="109" t="s">
        <v>82</v>
      </c>
      <c r="F1424" s="81"/>
      <c r="G1424" s="81" t="s">
        <v>380</v>
      </c>
      <c r="H1424" s="82" t="s">
        <v>471</v>
      </c>
      <c r="I1424" s="83">
        <v>20683.098591549297</v>
      </c>
      <c r="J1424" s="81" t="s">
        <v>412</v>
      </c>
      <c r="K1424" s="84">
        <v>45889</v>
      </c>
      <c r="L1424" s="82" t="s">
        <v>14</v>
      </c>
      <c r="M1424" s="81" t="s">
        <v>226</v>
      </c>
      <c r="N1424" s="81">
        <v>2025</v>
      </c>
    </row>
    <row r="1425" spans="1:14">
      <c r="A1425" s="81">
        <v>1424</v>
      </c>
      <c r="B1425" s="81" t="s">
        <v>43</v>
      </c>
      <c r="C1425" s="81" t="s">
        <v>46</v>
      </c>
      <c r="D1425" s="81" t="s">
        <v>61</v>
      </c>
      <c r="E1425" s="109" t="s">
        <v>82</v>
      </c>
      <c r="F1425" s="81"/>
      <c r="G1425" s="81" t="s">
        <v>94</v>
      </c>
      <c r="H1425" s="82" t="s">
        <v>116</v>
      </c>
      <c r="I1425" s="83">
        <v>8803.5211267605628</v>
      </c>
      <c r="J1425" s="81">
        <v>2025000130</v>
      </c>
      <c r="K1425" s="84">
        <v>45869</v>
      </c>
      <c r="L1425" s="82" t="s">
        <v>14</v>
      </c>
      <c r="M1425" s="81" t="s">
        <v>225</v>
      </c>
      <c r="N1425" s="81">
        <v>2025</v>
      </c>
    </row>
    <row r="1426" spans="1:14">
      <c r="A1426" s="81">
        <v>1425</v>
      </c>
      <c r="B1426" s="81" t="s">
        <v>43</v>
      </c>
      <c r="C1426" s="81" t="s">
        <v>46</v>
      </c>
      <c r="D1426" s="81" t="s">
        <v>61</v>
      </c>
      <c r="E1426" s="109" t="s">
        <v>82</v>
      </c>
      <c r="F1426" s="81"/>
      <c r="G1426" s="81" t="s">
        <v>117</v>
      </c>
      <c r="H1426" s="81" t="s">
        <v>118</v>
      </c>
      <c r="I1426" s="83">
        <v>1838.0281690140846</v>
      </c>
      <c r="J1426" s="81" t="s">
        <v>466</v>
      </c>
      <c r="K1426" s="84">
        <v>45869</v>
      </c>
      <c r="L1426" s="81">
        <v>2025402341</v>
      </c>
      <c r="M1426" s="81" t="s">
        <v>226</v>
      </c>
      <c r="N1426" s="81">
        <v>2025</v>
      </c>
    </row>
    <row r="1427" spans="1:14">
      <c r="A1427" s="81">
        <v>1426</v>
      </c>
      <c r="B1427" s="107" t="s">
        <v>43</v>
      </c>
      <c r="C1427" s="107" t="s">
        <v>46</v>
      </c>
      <c r="D1427" s="102" t="s">
        <v>61</v>
      </c>
      <c r="E1427" s="109" t="s">
        <v>82</v>
      </c>
      <c r="F1427" s="81"/>
      <c r="G1427" s="81" t="s">
        <v>202</v>
      </c>
      <c r="H1427" s="81" t="s">
        <v>118</v>
      </c>
      <c r="I1427" s="83">
        <v>373.23943661971833</v>
      </c>
      <c r="J1427" s="81" t="s">
        <v>393</v>
      </c>
      <c r="K1427" s="84">
        <v>45843</v>
      </c>
      <c r="L1427" s="81">
        <v>2025402274</v>
      </c>
      <c r="M1427" s="81" t="s">
        <v>225</v>
      </c>
      <c r="N1427" s="81">
        <v>2025</v>
      </c>
    </row>
    <row r="1428" spans="1:14">
      <c r="A1428" s="81">
        <v>1427</v>
      </c>
      <c r="B1428" s="81" t="s">
        <v>43</v>
      </c>
      <c r="C1428" s="81" t="s">
        <v>46</v>
      </c>
      <c r="D1428" s="81" t="s">
        <v>61</v>
      </c>
      <c r="E1428" s="109" t="s">
        <v>82</v>
      </c>
      <c r="F1428" s="81"/>
      <c r="G1428" s="81" t="s">
        <v>298</v>
      </c>
      <c r="H1428" s="81" t="s">
        <v>118</v>
      </c>
      <c r="I1428" s="83">
        <v>211.26760563380282</v>
      </c>
      <c r="J1428" s="81" t="s">
        <v>419</v>
      </c>
      <c r="K1428" s="84">
        <v>45886</v>
      </c>
      <c r="L1428" s="81">
        <v>2025402942</v>
      </c>
      <c r="M1428" s="81" t="s">
        <v>226</v>
      </c>
      <c r="N1428" s="81">
        <v>2025</v>
      </c>
    </row>
    <row r="1429" spans="1:14">
      <c r="A1429" s="81">
        <v>1428</v>
      </c>
      <c r="B1429" s="81" t="s">
        <v>43</v>
      </c>
      <c r="C1429" s="81" t="s">
        <v>45</v>
      </c>
      <c r="D1429" s="81" t="s">
        <v>61</v>
      </c>
      <c r="E1429" s="109" t="s">
        <v>82</v>
      </c>
      <c r="F1429" s="81"/>
      <c r="G1429" s="81" t="s">
        <v>94</v>
      </c>
      <c r="H1429" s="82" t="s">
        <v>116</v>
      </c>
      <c r="I1429" s="83">
        <v>65694.612676056335</v>
      </c>
      <c r="J1429" s="81">
        <v>2025000124</v>
      </c>
      <c r="K1429" s="84">
        <v>45869</v>
      </c>
      <c r="L1429" s="82" t="s">
        <v>14</v>
      </c>
      <c r="M1429" s="81" t="s">
        <v>225</v>
      </c>
      <c r="N1429" s="81">
        <v>2025</v>
      </c>
    </row>
    <row r="1430" spans="1:14">
      <c r="A1430" s="81">
        <v>1429</v>
      </c>
      <c r="B1430" s="81" t="s">
        <v>43</v>
      </c>
      <c r="C1430" s="81" t="s">
        <v>45</v>
      </c>
      <c r="D1430" s="81" t="s">
        <v>61</v>
      </c>
      <c r="E1430" s="109" t="s">
        <v>82</v>
      </c>
      <c r="F1430" s="81"/>
      <c r="G1430" s="81" t="s">
        <v>94</v>
      </c>
      <c r="H1430" s="82" t="s">
        <v>116</v>
      </c>
      <c r="I1430" s="83">
        <v>44741.091549295772</v>
      </c>
      <c r="J1430" s="81" t="s">
        <v>460</v>
      </c>
      <c r="K1430" s="84">
        <v>45900</v>
      </c>
      <c r="L1430" s="82" t="s">
        <v>14</v>
      </c>
      <c r="M1430" s="81" t="s">
        <v>226</v>
      </c>
      <c r="N1430" s="81">
        <v>2025</v>
      </c>
    </row>
    <row r="1431" spans="1:14">
      <c r="A1431" s="81">
        <v>1430</v>
      </c>
      <c r="B1431" s="81" t="s">
        <v>43</v>
      </c>
      <c r="C1431" s="81" t="s">
        <v>45</v>
      </c>
      <c r="D1431" s="81" t="s">
        <v>61</v>
      </c>
      <c r="E1431" s="109" t="s">
        <v>82</v>
      </c>
      <c r="F1431" s="81"/>
      <c r="G1431" s="81" t="s">
        <v>377</v>
      </c>
      <c r="H1431" s="81" t="s">
        <v>118</v>
      </c>
      <c r="I1431" s="83">
        <v>3600</v>
      </c>
      <c r="J1431" s="81" t="s">
        <v>408</v>
      </c>
      <c r="K1431" s="84">
        <v>45842</v>
      </c>
      <c r="L1431" s="82" t="s">
        <v>14</v>
      </c>
      <c r="M1431" s="81" t="s">
        <v>225</v>
      </c>
      <c r="N1431" s="81">
        <v>2025</v>
      </c>
    </row>
    <row r="1432" spans="1:14">
      <c r="A1432" s="81">
        <v>1431</v>
      </c>
      <c r="B1432" s="81" t="s">
        <v>43</v>
      </c>
      <c r="C1432" s="81" t="s">
        <v>45</v>
      </c>
      <c r="D1432" s="81" t="s">
        <v>61</v>
      </c>
      <c r="E1432" s="109" t="s">
        <v>82</v>
      </c>
      <c r="F1432" s="81"/>
      <c r="G1432" s="81" t="s">
        <v>386</v>
      </c>
      <c r="H1432" s="81" t="s">
        <v>118</v>
      </c>
      <c r="I1432" s="83">
        <v>2464.788732394366</v>
      </c>
      <c r="J1432" s="81" t="s">
        <v>467</v>
      </c>
      <c r="K1432" s="84">
        <v>45866</v>
      </c>
      <c r="L1432" s="81">
        <v>2025403859</v>
      </c>
      <c r="M1432" s="81" t="s">
        <v>225</v>
      </c>
      <c r="N1432" s="81">
        <v>2025</v>
      </c>
    </row>
    <row r="1433" spans="1:14">
      <c r="A1433" s="81">
        <v>1432</v>
      </c>
      <c r="B1433" s="107" t="s">
        <v>43</v>
      </c>
      <c r="C1433" s="107" t="s">
        <v>45</v>
      </c>
      <c r="D1433" s="102" t="s">
        <v>61</v>
      </c>
      <c r="E1433" s="109" t="s">
        <v>82</v>
      </c>
      <c r="F1433" s="81"/>
      <c r="G1433" s="81" t="s">
        <v>297</v>
      </c>
      <c r="H1433" s="81" t="s">
        <v>118</v>
      </c>
      <c r="I1433" s="83">
        <v>1848.5915492957747</v>
      </c>
      <c r="J1433" s="81" t="s">
        <v>394</v>
      </c>
      <c r="K1433" s="84">
        <v>45857</v>
      </c>
      <c r="L1433" s="81">
        <v>2025402065</v>
      </c>
      <c r="M1433" s="81" t="s">
        <v>225</v>
      </c>
      <c r="N1433" s="81">
        <v>2025</v>
      </c>
    </row>
    <row r="1434" spans="1:14">
      <c r="A1434" s="81">
        <v>1433</v>
      </c>
      <c r="B1434" s="81" t="s">
        <v>43</v>
      </c>
      <c r="C1434" s="81" t="s">
        <v>45</v>
      </c>
      <c r="D1434" s="81" t="s">
        <v>61</v>
      </c>
      <c r="E1434" s="109" t="s">
        <v>82</v>
      </c>
      <c r="F1434" s="81"/>
      <c r="G1434" s="81" t="s">
        <v>383</v>
      </c>
      <c r="H1434" s="81" t="s">
        <v>118</v>
      </c>
      <c r="I1434" s="83">
        <v>433.09859154929575</v>
      </c>
      <c r="J1434" s="81" t="s">
        <v>428</v>
      </c>
      <c r="K1434" s="84">
        <v>45862</v>
      </c>
      <c r="L1434" s="81">
        <v>2025402458</v>
      </c>
      <c r="M1434" s="81" t="s">
        <v>225</v>
      </c>
      <c r="N1434" s="81">
        <v>2025</v>
      </c>
    </row>
    <row r="1435" spans="1:14">
      <c r="A1435" s="81">
        <v>1434</v>
      </c>
      <c r="B1435" s="81" t="s">
        <v>35</v>
      </c>
      <c r="C1435" s="81" t="s">
        <v>38</v>
      </c>
      <c r="D1435" s="81" t="s">
        <v>61</v>
      </c>
      <c r="E1435" s="109" t="s">
        <v>82</v>
      </c>
      <c r="F1435" s="81"/>
      <c r="G1435" s="81" t="s">
        <v>94</v>
      </c>
      <c r="H1435" s="82" t="s">
        <v>116</v>
      </c>
      <c r="I1435" s="83">
        <v>9572.6408450704221</v>
      </c>
      <c r="J1435" s="81" t="s">
        <v>456</v>
      </c>
      <c r="K1435" s="84">
        <v>45900</v>
      </c>
      <c r="L1435" s="82" t="s">
        <v>14</v>
      </c>
      <c r="M1435" s="81" t="s">
        <v>226</v>
      </c>
      <c r="N1435" s="81">
        <v>2025</v>
      </c>
    </row>
    <row r="1436" spans="1:14">
      <c r="A1436" s="81">
        <v>1435</v>
      </c>
      <c r="B1436" s="81" t="s">
        <v>35</v>
      </c>
      <c r="C1436" s="81" t="s">
        <v>38</v>
      </c>
      <c r="D1436" s="81" t="s">
        <v>61</v>
      </c>
      <c r="E1436" s="109" t="s">
        <v>82</v>
      </c>
      <c r="F1436" s="81"/>
      <c r="G1436" s="81" t="s">
        <v>298</v>
      </c>
      <c r="H1436" s="81" t="s">
        <v>118</v>
      </c>
      <c r="I1436" s="83">
        <v>352.11267605633805</v>
      </c>
      <c r="J1436" s="81" t="s">
        <v>407</v>
      </c>
      <c r="K1436" s="84">
        <v>45868</v>
      </c>
      <c r="L1436" s="81">
        <v>2025402552</v>
      </c>
      <c r="M1436" s="81" t="s">
        <v>225</v>
      </c>
      <c r="N1436" s="81">
        <v>2025</v>
      </c>
    </row>
    <row r="1437" spans="1:14">
      <c r="A1437" s="81">
        <v>1436</v>
      </c>
      <c r="B1437" s="81" t="s">
        <v>35</v>
      </c>
      <c r="C1437" s="81" t="s">
        <v>38</v>
      </c>
      <c r="D1437" s="81" t="s">
        <v>61</v>
      </c>
      <c r="E1437" s="109" t="s">
        <v>82</v>
      </c>
      <c r="F1437" s="81"/>
      <c r="G1437" s="81" t="s">
        <v>119</v>
      </c>
      <c r="H1437" s="81" t="s">
        <v>118</v>
      </c>
      <c r="I1437" s="83">
        <v>140.8450704225352</v>
      </c>
      <c r="J1437" s="81" t="s">
        <v>439</v>
      </c>
      <c r="K1437" s="84">
        <v>45884</v>
      </c>
      <c r="L1437" s="81">
        <v>2025403257</v>
      </c>
      <c r="M1437" s="81" t="s">
        <v>226</v>
      </c>
      <c r="N1437" s="81">
        <v>2025</v>
      </c>
    </row>
    <row r="1438" spans="1:14">
      <c r="A1438" s="81">
        <v>1437</v>
      </c>
      <c r="B1438" s="81" t="s">
        <v>35</v>
      </c>
      <c r="C1438" s="81" t="s">
        <v>37</v>
      </c>
      <c r="D1438" s="81" t="s">
        <v>61</v>
      </c>
      <c r="E1438" s="81" t="s">
        <v>82</v>
      </c>
      <c r="F1438" s="81"/>
      <c r="G1438" s="81" t="s">
        <v>64</v>
      </c>
      <c r="H1438" s="81" t="s">
        <v>1317</v>
      </c>
      <c r="I1438" s="83">
        <v>1408.4507042253522</v>
      </c>
      <c r="J1438" s="81" t="s">
        <v>68</v>
      </c>
      <c r="K1438" s="84">
        <v>45805</v>
      </c>
      <c r="L1438" s="109" t="s">
        <v>14</v>
      </c>
      <c r="M1438" s="81" t="s">
        <v>225</v>
      </c>
      <c r="N1438" s="81">
        <v>2025</v>
      </c>
    </row>
    <row r="1439" spans="1:14">
      <c r="A1439" s="81">
        <v>1438</v>
      </c>
      <c r="B1439" s="81" t="s">
        <v>43</v>
      </c>
      <c r="C1439" s="81" t="s">
        <v>44</v>
      </c>
      <c r="D1439" s="81" t="s">
        <v>61</v>
      </c>
      <c r="E1439" s="109" t="s">
        <v>82</v>
      </c>
      <c r="F1439" s="81"/>
      <c r="G1439" s="81" t="s">
        <v>94</v>
      </c>
      <c r="H1439" s="82" t="s">
        <v>116</v>
      </c>
      <c r="I1439" s="83">
        <v>12273.591549295774</v>
      </c>
      <c r="J1439" s="81">
        <v>2025000126</v>
      </c>
      <c r="K1439" s="84">
        <v>45869</v>
      </c>
      <c r="L1439" s="82" t="s">
        <v>14</v>
      </c>
      <c r="M1439" s="81" t="s">
        <v>225</v>
      </c>
      <c r="N1439" s="81">
        <v>2025</v>
      </c>
    </row>
    <row r="1440" spans="1:14">
      <c r="A1440" s="81">
        <v>1439</v>
      </c>
      <c r="B1440" s="81" t="s">
        <v>43</v>
      </c>
      <c r="C1440" s="81" t="s">
        <v>44</v>
      </c>
      <c r="D1440" s="81" t="s">
        <v>61</v>
      </c>
      <c r="E1440" s="109" t="s">
        <v>82</v>
      </c>
      <c r="F1440" s="81"/>
      <c r="G1440" s="81" t="s">
        <v>94</v>
      </c>
      <c r="H1440" s="82" t="s">
        <v>116</v>
      </c>
      <c r="I1440" s="83">
        <v>2053.5211267605632</v>
      </c>
      <c r="J1440" s="81" t="s">
        <v>457</v>
      </c>
      <c r="K1440" s="84">
        <v>45900</v>
      </c>
      <c r="L1440" s="82" t="s">
        <v>14</v>
      </c>
      <c r="M1440" s="81" t="s">
        <v>226</v>
      </c>
      <c r="N1440" s="81">
        <v>2025</v>
      </c>
    </row>
    <row r="1441" spans="1:14">
      <c r="A1441" s="81">
        <v>1440</v>
      </c>
      <c r="B1441" s="81" t="s">
        <v>55</v>
      </c>
      <c r="C1441" s="81" t="s">
        <v>56</v>
      </c>
      <c r="D1441" s="81" t="s">
        <v>61</v>
      </c>
      <c r="E1441" s="109" t="s">
        <v>82</v>
      </c>
      <c r="F1441" s="81"/>
      <c r="G1441" s="81" t="s">
        <v>375</v>
      </c>
      <c r="H1441" s="81" t="s">
        <v>118</v>
      </c>
      <c r="I1441" s="83">
        <v>19584.400000000001</v>
      </c>
      <c r="J1441" s="81" t="s">
        <v>413</v>
      </c>
      <c r="K1441" s="84">
        <v>45874</v>
      </c>
      <c r="L1441" s="81">
        <v>2025402893</v>
      </c>
      <c r="M1441" s="81" t="s">
        <v>226</v>
      </c>
      <c r="N1441" s="81">
        <v>2025</v>
      </c>
    </row>
    <row r="1442" spans="1:14">
      <c r="A1442" s="81">
        <v>1441</v>
      </c>
      <c r="B1442" s="81" t="s">
        <v>55</v>
      </c>
      <c r="C1442" s="81" t="s">
        <v>56</v>
      </c>
      <c r="D1442" s="81" t="s">
        <v>61</v>
      </c>
      <c r="E1442" s="109" t="s">
        <v>82</v>
      </c>
      <c r="F1442" s="81"/>
      <c r="G1442" s="81" t="s">
        <v>375</v>
      </c>
      <c r="H1442" s="81" t="s">
        <v>118</v>
      </c>
      <c r="I1442" s="83">
        <v>10365.4</v>
      </c>
      <c r="J1442" s="81" t="s">
        <v>440</v>
      </c>
      <c r="K1442" s="84">
        <v>45925</v>
      </c>
      <c r="L1442" s="81">
        <v>2025403676</v>
      </c>
      <c r="M1442" s="81" t="s">
        <v>226</v>
      </c>
      <c r="N1442" s="81">
        <v>2025</v>
      </c>
    </row>
    <row r="1443" spans="1:14">
      <c r="A1443" s="81">
        <v>1442</v>
      </c>
      <c r="B1443" s="107" t="s">
        <v>55</v>
      </c>
      <c r="C1443" s="107" t="s">
        <v>56</v>
      </c>
      <c r="D1443" s="102" t="s">
        <v>61</v>
      </c>
      <c r="E1443" s="109" t="s">
        <v>82</v>
      </c>
      <c r="F1443" s="81"/>
      <c r="G1443" s="81" t="s">
        <v>375</v>
      </c>
      <c r="H1443" s="81" t="s">
        <v>118</v>
      </c>
      <c r="I1443" s="83">
        <v>10040.299999999999</v>
      </c>
      <c r="J1443" s="107" t="s">
        <v>398</v>
      </c>
      <c r="K1443" s="84">
        <v>45852</v>
      </c>
      <c r="L1443" s="81">
        <v>2025402488</v>
      </c>
      <c r="M1443" s="81" t="s">
        <v>225</v>
      </c>
      <c r="N1443" s="81">
        <v>2025</v>
      </c>
    </row>
    <row r="1444" spans="1:14">
      <c r="A1444" s="81">
        <v>1443</v>
      </c>
      <c r="B1444" s="81" t="s">
        <v>55</v>
      </c>
      <c r="C1444" s="81" t="s">
        <v>56</v>
      </c>
      <c r="D1444" s="81" t="s">
        <v>61</v>
      </c>
      <c r="E1444" s="109" t="s">
        <v>82</v>
      </c>
      <c r="F1444" s="81"/>
      <c r="G1444" s="81" t="s">
        <v>119</v>
      </c>
      <c r="H1444" s="81" t="s">
        <v>118</v>
      </c>
      <c r="I1444" s="83">
        <v>2514.0845070422533</v>
      </c>
      <c r="J1444" s="81" t="s">
        <v>403</v>
      </c>
      <c r="K1444" s="84">
        <v>45866</v>
      </c>
      <c r="L1444" s="81">
        <v>2025402550</v>
      </c>
      <c r="M1444" s="81" t="s">
        <v>225</v>
      </c>
      <c r="N1444" s="81">
        <v>2025</v>
      </c>
    </row>
    <row r="1445" spans="1:14">
      <c r="A1445" s="81">
        <v>1444</v>
      </c>
      <c r="B1445" s="81" t="s">
        <v>55</v>
      </c>
      <c r="C1445" s="81" t="s">
        <v>56</v>
      </c>
      <c r="D1445" s="81" t="s">
        <v>61</v>
      </c>
      <c r="E1445" s="109" t="s">
        <v>82</v>
      </c>
      <c r="F1445" s="81"/>
      <c r="G1445" s="81" t="s">
        <v>119</v>
      </c>
      <c r="H1445" s="81" t="s">
        <v>118</v>
      </c>
      <c r="I1445" s="83">
        <v>2293.4859154929577</v>
      </c>
      <c r="J1445" s="81" t="s">
        <v>424</v>
      </c>
      <c r="K1445" s="84">
        <v>45889</v>
      </c>
      <c r="L1445" s="81">
        <v>2025403256</v>
      </c>
      <c r="M1445" s="81" t="s">
        <v>226</v>
      </c>
      <c r="N1445" s="81">
        <v>2025</v>
      </c>
    </row>
    <row r="1446" spans="1:14">
      <c r="A1446" s="81">
        <v>1445</v>
      </c>
      <c r="B1446" s="81" t="s">
        <v>273</v>
      </c>
      <c r="C1446" s="81" t="s">
        <v>56</v>
      </c>
      <c r="D1446" s="81" t="s">
        <v>61</v>
      </c>
      <c r="E1446" s="81" t="s">
        <v>82</v>
      </c>
      <c r="F1446" s="81"/>
      <c r="G1446" s="81" t="s">
        <v>64</v>
      </c>
      <c r="H1446" s="81" t="s">
        <v>1313</v>
      </c>
      <c r="I1446" s="83">
        <v>1478.8732394366198</v>
      </c>
      <c r="J1446" s="81">
        <v>22156</v>
      </c>
      <c r="K1446" s="84">
        <v>45866</v>
      </c>
      <c r="L1446" s="109" t="s">
        <v>14</v>
      </c>
      <c r="M1446" s="81" t="s">
        <v>226</v>
      </c>
      <c r="N1446" s="81">
        <v>2025</v>
      </c>
    </row>
    <row r="1447" spans="1:14">
      <c r="A1447" s="81">
        <v>1446</v>
      </c>
      <c r="B1447" s="81" t="s">
        <v>55</v>
      </c>
      <c r="C1447" s="81" t="s">
        <v>56</v>
      </c>
      <c r="D1447" s="81" t="s">
        <v>61</v>
      </c>
      <c r="E1447" s="109" t="s">
        <v>82</v>
      </c>
      <c r="F1447" s="81"/>
      <c r="G1447" s="81" t="s">
        <v>117</v>
      </c>
      <c r="H1447" s="81" t="s">
        <v>118</v>
      </c>
      <c r="I1447" s="83">
        <v>1408.4507042253522</v>
      </c>
      <c r="J1447" s="81" t="s">
        <v>453</v>
      </c>
      <c r="K1447" s="84">
        <v>45892</v>
      </c>
      <c r="L1447" s="81">
        <v>2025403120</v>
      </c>
      <c r="M1447" s="81" t="s">
        <v>226</v>
      </c>
      <c r="N1447" s="81">
        <v>2025</v>
      </c>
    </row>
    <row r="1448" spans="1:14">
      <c r="A1448" s="81">
        <v>1447</v>
      </c>
      <c r="B1448" s="81" t="s">
        <v>273</v>
      </c>
      <c r="C1448" s="81" t="s">
        <v>56</v>
      </c>
      <c r="D1448" s="81" t="s">
        <v>61</v>
      </c>
      <c r="E1448" s="81" t="s">
        <v>82</v>
      </c>
      <c r="F1448" s="81"/>
      <c r="G1448" s="81" t="s">
        <v>64</v>
      </c>
      <c r="H1448" s="81" t="s">
        <v>1313</v>
      </c>
      <c r="I1448" s="83">
        <v>985.91549295774644</v>
      </c>
      <c r="J1448" s="81">
        <v>27</v>
      </c>
      <c r="K1448" s="84">
        <v>45866</v>
      </c>
      <c r="L1448" s="109" t="s">
        <v>14</v>
      </c>
      <c r="M1448" s="81" t="s">
        <v>226</v>
      </c>
      <c r="N1448" s="81">
        <v>2025</v>
      </c>
    </row>
    <row r="1449" spans="1:14">
      <c r="A1449" s="81">
        <v>1448</v>
      </c>
      <c r="B1449" s="81" t="s">
        <v>59</v>
      </c>
      <c r="C1449" s="81" t="s">
        <v>60</v>
      </c>
      <c r="D1449" s="81" t="s">
        <v>61</v>
      </c>
      <c r="E1449" s="81" t="s">
        <v>287</v>
      </c>
      <c r="F1449" s="81"/>
      <c r="G1449" s="81" t="s">
        <v>64</v>
      </c>
      <c r="H1449" s="81" t="s">
        <v>1318</v>
      </c>
      <c r="I1449" s="83">
        <v>1514.0845070422536</v>
      </c>
      <c r="J1449" s="81" t="s">
        <v>68</v>
      </c>
      <c r="K1449" s="84">
        <v>45855</v>
      </c>
      <c r="L1449" s="109" t="s">
        <v>14</v>
      </c>
      <c r="M1449" s="81" t="s">
        <v>225</v>
      </c>
      <c r="N1449" s="81">
        <v>2025</v>
      </c>
    </row>
    <row r="1450" spans="1:14">
      <c r="A1450" s="81">
        <v>1449</v>
      </c>
      <c r="B1450" s="81" t="s">
        <v>59</v>
      </c>
      <c r="C1450" s="81" t="s">
        <v>60</v>
      </c>
      <c r="D1450" s="81" t="s">
        <v>61</v>
      </c>
      <c r="E1450" s="81" t="s">
        <v>287</v>
      </c>
      <c r="F1450" s="81"/>
      <c r="G1450" s="81" t="s">
        <v>64</v>
      </c>
      <c r="H1450" s="81" t="s">
        <v>1320</v>
      </c>
      <c r="I1450" s="83">
        <v>1507.0422535211267</v>
      </c>
      <c r="J1450" s="81" t="s">
        <v>68</v>
      </c>
      <c r="K1450" s="84">
        <v>45897</v>
      </c>
      <c r="L1450" s="109" t="s">
        <v>14</v>
      </c>
      <c r="M1450" s="81" t="s">
        <v>226</v>
      </c>
      <c r="N1450" s="81">
        <v>2025</v>
      </c>
    </row>
    <row r="1451" spans="1:14">
      <c r="A1451" s="81">
        <v>1450</v>
      </c>
      <c r="B1451" s="81" t="s">
        <v>59</v>
      </c>
      <c r="C1451" s="81" t="s">
        <v>60</v>
      </c>
      <c r="D1451" s="81" t="s">
        <v>61</v>
      </c>
      <c r="E1451" s="81" t="s">
        <v>287</v>
      </c>
      <c r="F1451" s="81"/>
      <c r="G1451" s="81" t="s">
        <v>64</v>
      </c>
      <c r="H1451" s="81" t="s">
        <v>1319</v>
      </c>
      <c r="I1451" s="83">
        <v>808.45070422535207</v>
      </c>
      <c r="J1451" s="81" t="s">
        <v>68</v>
      </c>
      <c r="K1451" s="84">
        <v>45900</v>
      </c>
      <c r="L1451" s="109" t="s">
        <v>14</v>
      </c>
      <c r="M1451" s="81" t="s">
        <v>226</v>
      </c>
      <c r="N1451" s="81">
        <v>2025</v>
      </c>
    </row>
    <row r="1452" spans="1:14">
      <c r="A1452" s="81">
        <v>1451</v>
      </c>
      <c r="B1452" s="81" t="s">
        <v>59</v>
      </c>
      <c r="C1452" s="81" t="s">
        <v>60</v>
      </c>
      <c r="D1452" s="81" t="s">
        <v>61</v>
      </c>
      <c r="E1452" s="81" t="s">
        <v>287</v>
      </c>
      <c r="F1452" s="81"/>
      <c r="G1452" s="81" t="s">
        <v>64</v>
      </c>
      <c r="H1452" s="81" t="s">
        <v>1319</v>
      </c>
      <c r="I1452" s="83">
        <v>800</v>
      </c>
      <c r="J1452" s="81" t="s">
        <v>68</v>
      </c>
      <c r="K1452" s="84">
        <v>45893</v>
      </c>
      <c r="L1452" s="109" t="s">
        <v>14</v>
      </c>
      <c r="M1452" s="81" t="s">
        <v>226</v>
      </c>
      <c r="N1452" s="81">
        <v>2025</v>
      </c>
    </row>
    <row r="1453" spans="1:14">
      <c r="A1453" s="81">
        <v>1452</v>
      </c>
      <c r="B1453" s="81" t="s">
        <v>59</v>
      </c>
      <c r="C1453" s="81" t="s">
        <v>60</v>
      </c>
      <c r="D1453" s="81" t="s">
        <v>61</v>
      </c>
      <c r="E1453" s="81" t="s">
        <v>287</v>
      </c>
      <c r="F1453" s="81"/>
      <c r="G1453" s="81" t="s">
        <v>64</v>
      </c>
      <c r="H1453" s="81" t="s">
        <v>1322</v>
      </c>
      <c r="I1453" s="83">
        <v>538.73239436619713</v>
      </c>
      <c r="J1453" s="81" t="s">
        <v>68</v>
      </c>
      <c r="K1453" s="84">
        <v>45867</v>
      </c>
      <c r="L1453" s="109" t="s">
        <v>14</v>
      </c>
      <c r="M1453" s="81" t="s">
        <v>226</v>
      </c>
      <c r="N1453" s="81">
        <v>2025</v>
      </c>
    </row>
    <row r="1454" spans="1:14">
      <c r="A1454" s="81">
        <v>1453</v>
      </c>
      <c r="B1454" s="81" t="s">
        <v>59</v>
      </c>
      <c r="C1454" s="81" t="s">
        <v>60</v>
      </c>
      <c r="D1454" s="81" t="s">
        <v>61</v>
      </c>
      <c r="E1454" s="81" t="s">
        <v>287</v>
      </c>
      <c r="F1454" s="81"/>
      <c r="G1454" s="81" t="s">
        <v>64</v>
      </c>
      <c r="H1454" s="81" t="s">
        <v>88</v>
      </c>
      <c r="I1454" s="83">
        <v>528.16901408450701</v>
      </c>
      <c r="J1454" s="81" t="s">
        <v>68</v>
      </c>
      <c r="K1454" s="84">
        <v>45890</v>
      </c>
      <c r="L1454" s="109" t="s">
        <v>14</v>
      </c>
      <c r="M1454" s="81" t="s">
        <v>226</v>
      </c>
      <c r="N1454" s="81">
        <v>2025</v>
      </c>
    </row>
    <row r="1455" spans="1:14">
      <c r="A1455" s="81">
        <v>1454</v>
      </c>
      <c r="B1455" s="81" t="s">
        <v>59</v>
      </c>
      <c r="C1455" s="81" t="s">
        <v>60</v>
      </c>
      <c r="D1455" s="81" t="s">
        <v>61</v>
      </c>
      <c r="E1455" s="81" t="s">
        <v>287</v>
      </c>
      <c r="F1455" s="81"/>
      <c r="G1455" s="81" t="s">
        <v>64</v>
      </c>
      <c r="H1455" s="81" t="s">
        <v>88</v>
      </c>
      <c r="I1455" s="83">
        <v>468.3098591549296</v>
      </c>
      <c r="J1455" s="81" t="s">
        <v>68</v>
      </c>
      <c r="K1455" s="84">
        <v>45862</v>
      </c>
      <c r="L1455" s="109" t="s">
        <v>14</v>
      </c>
      <c r="M1455" s="81" t="s">
        <v>225</v>
      </c>
      <c r="N1455" s="81">
        <v>2025</v>
      </c>
    </row>
    <row r="1456" spans="1:14">
      <c r="A1456" s="81">
        <v>1455</v>
      </c>
      <c r="B1456" s="81" t="s">
        <v>59</v>
      </c>
      <c r="C1456" s="81" t="s">
        <v>60</v>
      </c>
      <c r="D1456" s="81" t="s">
        <v>61</v>
      </c>
      <c r="E1456" s="81" t="s">
        <v>287</v>
      </c>
      <c r="F1456" s="81"/>
      <c r="G1456" s="81" t="s">
        <v>64</v>
      </c>
      <c r="H1456" s="81" t="s">
        <v>1321</v>
      </c>
      <c r="I1456" s="83">
        <v>422.53521126760563</v>
      </c>
      <c r="J1456" s="81" t="s">
        <v>68</v>
      </c>
      <c r="K1456" s="84">
        <v>45887</v>
      </c>
      <c r="L1456" s="109" t="s">
        <v>14</v>
      </c>
      <c r="M1456" s="81" t="s">
        <v>226</v>
      </c>
      <c r="N1456" s="81">
        <v>2025</v>
      </c>
    </row>
    <row r="1457" spans="1:14">
      <c r="A1457" s="81">
        <v>1456</v>
      </c>
      <c r="B1457" s="81" t="s">
        <v>59</v>
      </c>
      <c r="C1457" s="81" t="s">
        <v>60</v>
      </c>
      <c r="D1457" s="81" t="s">
        <v>61</v>
      </c>
      <c r="E1457" s="81" t="s">
        <v>287</v>
      </c>
      <c r="F1457" s="81"/>
      <c r="G1457" s="81" t="s">
        <v>64</v>
      </c>
      <c r="H1457" s="81" t="s">
        <v>88</v>
      </c>
      <c r="I1457" s="83">
        <v>117.25352112676056</v>
      </c>
      <c r="J1457" s="81" t="s">
        <v>68</v>
      </c>
      <c r="K1457" s="84">
        <v>45876</v>
      </c>
      <c r="L1457" s="109" t="s">
        <v>14</v>
      </c>
      <c r="M1457" s="81" t="s">
        <v>225</v>
      </c>
      <c r="N1457" s="81">
        <v>2025</v>
      </c>
    </row>
    <row r="1458" spans="1:14">
      <c r="A1458" s="81">
        <v>1457</v>
      </c>
      <c r="B1458" s="81" t="s">
        <v>59</v>
      </c>
      <c r="C1458" s="81" t="s">
        <v>60</v>
      </c>
      <c r="D1458" s="81" t="s">
        <v>61</v>
      </c>
      <c r="E1458" s="81" t="s">
        <v>287</v>
      </c>
      <c r="F1458" s="81"/>
      <c r="G1458" s="81" t="s">
        <v>64</v>
      </c>
      <c r="H1458" s="81" t="s">
        <v>88</v>
      </c>
      <c r="I1458" s="83">
        <v>84.507042253521121</v>
      </c>
      <c r="J1458" s="81">
        <v>2550</v>
      </c>
      <c r="K1458" s="84">
        <v>45859</v>
      </c>
      <c r="L1458" s="109" t="s">
        <v>14</v>
      </c>
      <c r="M1458" s="81" t="s">
        <v>225</v>
      </c>
      <c r="N1458" s="81">
        <v>2025</v>
      </c>
    </row>
  </sheetData>
  <autoFilter ref="A1:N1458" xr:uid="{00000000-0001-0000-0100-000000000000}">
    <sortState xmlns:xlrd2="http://schemas.microsoft.com/office/spreadsheetml/2017/richdata2" ref="A2:N1458">
      <sortCondition ref="E1:E1443"/>
    </sortState>
  </autoFilter>
  <conditionalFormatting sqref="L1:L1048576">
    <cfRule type="duplicateValues" dxfId="19" priority="1"/>
  </conditionalFormatting>
  <conditionalFormatting sqref="L2:L27">
    <cfRule type="duplicateValues" dxfId="18" priority="264"/>
  </conditionalFormatting>
  <conditionalFormatting sqref="L28:L82">
    <cfRule type="duplicateValues" dxfId="17" priority="216"/>
  </conditionalFormatting>
  <conditionalFormatting sqref="L83:L183">
    <cfRule type="duplicateValues" dxfId="16" priority="268"/>
  </conditionalFormatting>
  <conditionalFormatting sqref="L184:L192">
    <cfRule type="duplicateValues" dxfId="15" priority="7"/>
  </conditionalFormatting>
  <conditionalFormatting sqref="L268:L278">
    <cfRule type="duplicateValues" dxfId="14" priority="6"/>
  </conditionalFormatting>
  <conditionalFormatting sqref="L279:L292">
    <cfRule type="duplicateValues" dxfId="13" priority="5"/>
  </conditionalFormatting>
  <conditionalFormatting sqref="L293:L546">
    <cfRule type="duplicateValues" dxfId="12" priority="17"/>
  </conditionalFormatting>
  <conditionalFormatting sqref="L547:L573 L2:L27">
    <cfRule type="duplicateValues" dxfId="11" priority="27"/>
  </conditionalFormatting>
  <conditionalFormatting sqref="L574:L1279">
    <cfRule type="duplicateValues" dxfId="10" priority="4"/>
  </conditionalFormatting>
  <conditionalFormatting sqref="L1329">
    <cfRule type="duplicateValues" dxfId="9" priority="3"/>
  </conditionalFormatting>
  <conditionalFormatting sqref="L1330">
    <cfRule type="duplicateValues" dxfId="8" priority="2"/>
  </conditionalFormatting>
  <dataValidations count="2">
    <dataValidation type="list" allowBlank="1" showInputMessage="1" showErrorMessage="1" sqref="C74:C77 C208:C231 C1369 B13 C546 C37:C48 C532:C533 C81:C82 B45 C543 C417:C435 C511:C518 C938 I681:I762 C1280:C1281 C1322:C1328 C1331:C1353 C2:C14 C637:C639 C193:C195 C70:C71 C293 C261:C268 C308:C326 C328:C348 C350:C366 C368:C378 C305:C306 C397:C409 C437:C461 C463:C485 C487:C509 C574:C607 C609:C615 C617:C628 C630:C632 C635 C54:C66 C197:C206 C233:C254 C295:C303 C380:C395 C411:C415 C1355:C1366 C50:C52 C16:C18 C20:C35 C1432:C1441" xr:uid="{00000000-0002-0000-0100-000001000000}">
      <formula1>INDIRECT(A2)</formula1>
    </dataValidation>
    <dataValidation type="list" allowBlank="1" showInputMessage="1" showErrorMessage="1" sqref="C279:C292 C107:C111 C141:C151 C97:C105 C124:C138 C83:C94 C114:C117 C119:C122 C174:C177 C181:C192 C153:C170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List!$P$2:$P$11</xm:f>
          </x14:formula1>
          <xm:sqref>B48:B64 B67:B71 B44 B42 B81:B82 B74:B77 B532:B533 B543 B563:B564 B293:B518 B1369:B1373 B16:B31 B2:B8 B12 B10 C67:C68 B34:B40 B574:B639 B938 B1280:B1281 B1322:B1328 B1331:B1366 B193:B232 B234:B238 B240:B268 B1432:B1441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D293:D1373 D2:D82 D1426:D1429 D1442:D1443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E2:E69 H534:H542 E293:E542 E193:E267 H577:H579 H585:H587 H604:H607 H639:H659 H677:H680 H697:H881 H886:H993 H1001:H1007 H1022:H1279 E574:E1279 E1426:E1443</xm:sqref>
        </x14:dataValidation>
        <x14:dataValidation type="list" allowBlank="1" showInputMessage="1" showErrorMessage="1" xr:uid="{00000000-0002-0000-0100-000007000000}">
          <x14:formula1>
            <xm:f>List!$H$2:$H$13</xm:f>
          </x14:formula1>
          <xm:sqref>M563:M564 M2:M76 M193:M267 M293:M536 M543:M556 M574:M988 M1280:M1373 M1426:M1429 M1432:M1443</xm:sqref>
        </x14:dataValidation>
        <x14:dataValidation type="list" allowBlank="1" showInputMessage="1" showErrorMessage="1" xr:uid="{00000000-0002-0000-0100-000008000000}">
          <x14:formula1>
            <xm:f>List!$J$2:$J$4</xm:f>
          </x14:formula1>
          <xm:sqref>N293:N564 N2:N82 N193:N267 N574:N1373 N1426:N1443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N277"/>
  <sheetViews>
    <sheetView topLeftCell="A46" workbookViewId="0">
      <selection activeCell="D70" sqref="D70"/>
    </sheetView>
  </sheetViews>
  <sheetFormatPr defaultColWidth="9" defaultRowHeight="14.4"/>
  <cols>
    <col min="1" max="1" width="5.33203125" customWidth="1"/>
    <col min="2" max="2" width="10.5546875" customWidth="1"/>
    <col min="3" max="3" width="10.6640625" customWidth="1"/>
    <col min="4" max="4" width="9" customWidth="1"/>
    <col min="5" max="5" width="24.77734375" customWidth="1"/>
    <col min="6" max="6" width="10.21875" customWidth="1"/>
    <col min="7" max="7" width="7" customWidth="1"/>
    <col min="8" max="8" width="32.5546875" bestFit="1" customWidth="1"/>
    <col min="9" max="9" width="11.88671875" style="89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6" t="s">
        <v>16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>
        <v>67</v>
      </c>
      <c r="B2" s="4" t="s">
        <v>55</v>
      </c>
      <c r="C2" s="4" t="s">
        <v>55</v>
      </c>
      <c r="D2" s="4" t="s">
        <v>19</v>
      </c>
      <c r="E2" s="4" t="s">
        <v>20</v>
      </c>
      <c r="F2" s="4"/>
      <c r="G2" s="64" t="s">
        <v>21</v>
      </c>
      <c r="H2" s="64" t="s">
        <v>333</v>
      </c>
      <c r="I2" s="89">
        <v>20550</v>
      </c>
      <c r="J2" s="64" t="s">
        <v>14</v>
      </c>
      <c r="K2" s="64" t="s">
        <v>14</v>
      </c>
      <c r="L2" s="64" t="s">
        <v>14</v>
      </c>
      <c r="M2" s="4" t="s">
        <v>226</v>
      </c>
      <c r="N2" s="4">
        <v>2025</v>
      </c>
    </row>
    <row r="3" spans="1:14">
      <c r="A3" s="4">
        <v>65</v>
      </c>
      <c r="B3" s="34" t="s">
        <v>59</v>
      </c>
      <c r="C3" s="4" t="s">
        <v>60</v>
      </c>
      <c r="D3" s="4" t="s">
        <v>61</v>
      </c>
      <c r="E3" s="4" t="s">
        <v>20</v>
      </c>
      <c r="F3" s="4"/>
      <c r="G3" s="64" t="s">
        <v>21</v>
      </c>
      <c r="H3" s="64" t="s">
        <v>331</v>
      </c>
      <c r="I3" s="89">
        <v>9500</v>
      </c>
      <c r="J3" s="64" t="s">
        <v>14</v>
      </c>
      <c r="K3" s="64" t="s">
        <v>14</v>
      </c>
      <c r="L3" s="64" t="s">
        <v>14</v>
      </c>
      <c r="M3" s="4" t="s">
        <v>226</v>
      </c>
      <c r="N3" s="4">
        <v>2025</v>
      </c>
    </row>
    <row r="4" spans="1:14">
      <c r="A4" s="4">
        <v>68</v>
      </c>
      <c r="B4" s="4" t="s">
        <v>17</v>
      </c>
      <c r="C4" s="4" t="s">
        <v>25</v>
      </c>
      <c r="D4" s="4" t="s">
        <v>61</v>
      </c>
      <c r="E4" s="4" t="s">
        <v>20</v>
      </c>
      <c r="F4" s="4"/>
      <c r="G4" s="64" t="s">
        <v>21</v>
      </c>
      <c r="H4" s="64" t="s">
        <v>334</v>
      </c>
      <c r="I4" s="89">
        <v>4900</v>
      </c>
      <c r="J4" s="64" t="s">
        <v>14</v>
      </c>
      <c r="K4" s="64" t="s">
        <v>14</v>
      </c>
      <c r="L4" s="64" t="s">
        <v>14</v>
      </c>
      <c r="M4" s="4" t="s">
        <v>226</v>
      </c>
      <c r="N4" s="4">
        <v>2025</v>
      </c>
    </row>
    <row r="5" spans="1:14">
      <c r="A5" s="4">
        <v>33</v>
      </c>
      <c r="B5" s="4" t="s">
        <v>17</v>
      </c>
      <c r="C5" s="4" t="s">
        <v>74</v>
      </c>
      <c r="D5" s="4" t="s">
        <v>61</v>
      </c>
      <c r="E5" s="4" t="s">
        <v>20</v>
      </c>
      <c r="F5" s="4"/>
      <c r="G5" s="4" t="s">
        <v>21</v>
      </c>
      <c r="H5" s="64" t="s">
        <v>330</v>
      </c>
      <c r="I5" s="89">
        <v>23640</v>
      </c>
      <c r="J5" s="64" t="s">
        <v>14</v>
      </c>
      <c r="K5" s="64" t="s">
        <v>14</v>
      </c>
      <c r="L5" s="64" t="s">
        <v>14</v>
      </c>
      <c r="M5" s="4" t="s">
        <v>226</v>
      </c>
      <c r="N5" s="4">
        <v>2025</v>
      </c>
    </row>
    <row r="6" spans="1:14">
      <c r="A6" s="4">
        <v>34</v>
      </c>
      <c r="B6" s="4" t="s">
        <v>17</v>
      </c>
      <c r="C6" s="4" t="s">
        <v>22</v>
      </c>
      <c r="D6" s="4" t="s">
        <v>61</v>
      </c>
      <c r="E6" s="4" t="s">
        <v>20</v>
      </c>
      <c r="F6" s="4"/>
      <c r="G6" s="4" t="s">
        <v>21</v>
      </c>
      <c r="H6" s="64" t="s">
        <v>330</v>
      </c>
      <c r="I6" s="89">
        <v>51340</v>
      </c>
      <c r="J6" s="64" t="s">
        <v>14</v>
      </c>
      <c r="K6" s="64" t="s">
        <v>14</v>
      </c>
      <c r="L6" s="64" t="s">
        <v>14</v>
      </c>
      <c r="M6" s="4" t="s">
        <v>226</v>
      </c>
      <c r="N6" s="4">
        <v>2025</v>
      </c>
    </row>
    <row r="7" spans="1:14">
      <c r="A7" s="4">
        <v>35</v>
      </c>
      <c r="B7" s="4" t="s">
        <v>17</v>
      </c>
      <c r="C7" s="4" t="s">
        <v>95</v>
      </c>
      <c r="D7" s="4" t="s">
        <v>61</v>
      </c>
      <c r="E7" s="4" t="s">
        <v>20</v>
      </c>
      <c r="F7" s="4"/>
      <c r="G7" s="4" t="s">
        <v>21</v>
      </c>
      <c r="H7" s="64" t="s">
        <v>330</v>
      </c>
      <c r="I7" s="89">
        <v>32477</v>
      </c>
      <c r="J7" s="64" t="s">
        <v>14</v>
      </c>
      <c r="K7" s="64" t="s">
        <v>14</v>
      </c>
      <c r="L7" s="64" t="s">
        <v>14</v>
      </c>
      <c r="M7" s="4" t="s">
        <v>226</v>
      </c>
      <c r="N7" s="4">
        <v>2025</v>
      </c>
    </row>
    <row r="8" spans="1:14">
      <c r="A8" s="4">
        <v>36</v>
      </c>
      <c r="B8" s="4" t="s">
        <v>17</v>
      </c>
      <c r="C8" s="4" t="s">
        <v>23</v>
      </c>
      <c r="D8" s="4" t="s">
        <v>61</v>
      </c>
      <c r="E8" s="4" t="s">
        <v>20</v>
      </c>
      <c r="F8" s="4"/>
      <c r="G8" s="4" t="s">
        <v>21</v>
      </c>
      <c r="H8" s="64" t="s">
        <v>330</v>
      </c>
      <c r="I8" s="89">
        <v>9166</v>
      </c>
      <c r="J8" s="64" t="s">
        <v>14</v>
      </c>
      <c r="K8" s="64" t="s">
        <v>14</v>
      </c>
      <c r="L8" s="64" t="s">
        <v>14</v>
      </c>
      <c r="M8" s="4" t="s">
        <v>226</v>
      </c>
      <c r="N8" s="4">
        <v>2025</v>
      </c>
    </row>
    <row r="9" spans="1:14">
      <c r="A9" s="4">
        <v>37</v>
      </c>
      <c r="B9" s="4" t="s">
        <v>17</v>
      </c>
      <c r="C9" s="4" t="s">
        <v>24</v>
      </c>
      <c r="D9" s="4" t="s">
        <v>61</v>
      </c>
      <c r="E9" s="4" t="s">
        <v>20</v>
      </c>
      <c r="F9" s="4"/>
      <c r="G9" s="4" t="s">
        <v>21</v>
      </c>
      <c r="H9" s="64" t="s">
        <v>330</v>
      </c>
      <c r="I9" s="89">
        <v>41727</v>
      </c>
      <c r="J9" s="64" t="s">
        <v>14</v>
      </c>
      <c r="K9" s="64" t="s">
        <v>14</v>
      </c>
      <c r="L9" s="64" t="s">
        <v>14</v>
      </c>
      <c r="M9" s="4" t="s">
        <v>226</v>
      </c>
      <c r="N9" s="4">
        <v>2025</v>
      </c>
    </row>
    <row r="10" spans="1:14">
      <c r="A10" s="4">
        <v>38</v>
      </c>
      <c r="B10" s="4" t="s">
        <v>17</v>
      </c>
      <c r="C10" s="4" t="s">
        <v>25</v>
      </c>
      <c r="D10" s="4" t="s">
        <v>61</v>
      </c>
      <c r="E10" s="4" t="s">
        <v>20</v>
      </c>
      <c r="F10" s="4"/>
      <c r="G10" s="4" t="s">
        <v>21</v>
      </c>
      <c r="H10" s="64" t="s">
        <v>330</v>
      </c>
      <c r="I10" s="89">
        <v>74893</v>
      </c>
      <c r="J10" s="64" t="s">
        <v>14</v>
      </c>
      <c r="K10" s="64" t="s">
        <v>14</v>
      </c>
      <c r="L10" s="64" t="s">
        <v>14</v>
      </c>
      <c r="M10" s="4" t="s">
        <v>226</v>
      </c>
      <c r="N10" s="4">
        <v>2025</v>
      </c>
    </row>
    <row r="11" spans="1:14">
      <c r="A11" s="4">
        <v>39</v>
      </c>
      <c r="B11" s="4" t="s">
        <v>17</v>
      </c>
      <c r="C11" s="4" t="s">
        <v>26</v>
      </c>
      <c r="D11" s="4" t="s">
        <v>61</v>
      </c>
      <c r="E11" s="4" t="s">
        <v>20</v>
      </c>
      <c r="F11" s="4"/>
      <c r="G11" s="4" t="s">
        <v>21</v>
      </c>
      <c r="H11" s="64" t="s">
        <v>330</v>
      </c>
      <c r="I11" s="89">
        <v>14225</v>
      </c>
      <c r="J11" s="64" t="s">
        <v>14</v>
      </c>
      <c r="K11" s="64" t="s">
        <v>14</v>
      </c>
      <c r="L11" s="64" t="s">
        <v>14</v>
      </c>
      <c r="M11" s="4" t="s">
        <v>226</v>
      </c>
      <c r="N11" s="4">
        <v>2025</v>
      </c>
    </row>
    <row r="12" spans="1:14">
      <c r="A12" s="4">
        <v>40</v>
      </c>
      <c r="B12" s="63" t="s">
        <v>27</v>
      </c>
      <c r="C12" s="4" t="s">
        <v>28</v>
      </c>
      <c r="D12" s="4" t="s">
        <v>61</v>
      </c>
      <c r="E12" s="4" t="s">
        <v>20</v>
      </c>
      <c r="F12" s="4"/>
      <c r="G12" s="4" t="s">
        <v>21</v>
      </c>
      <c r="H12" s="64" t="s">
        <v>330</v>
      </c>
      <c r="I12" s="89">
        <v>29105</v>
      </c>
      <c r="J12" s="64" t="s">
        <v>14</v>
      </c>
      <c r="K12" s="64" t="s">
        <v>14</v>
      </c>
      <c r="L12" s="64" t="s">
        <v>14</v>
      </c>
      <c r="M12" s="4" t="s">
        <v>226</v>
      </c>
      <c r="N12" s="4">
        <v>2025</v>
      </c>
    </row>
    <row r="13" spans="1:14">
      <c r="A13" s="4">
        <v>41</v>
      </c>
      <c r="B13" s="4" t="s">
        <v>55</v>
      </c>
      <c r="C13" s="4" t="s">
        <v>56</v>
      </c>
      <c r="D13" s="4" t="s">
        <v>61</v>
      </c>
      <c r="E13" s="4" t="s">
        <v>20</v>
      </c>
      <c r="F13" s="4"/>
      <c r="G13" s="4" t="s">
        <v>21</v>
      </c>
      <c r="H13" s="64" t="s">
        <v>330</v>
      </c>
      <c r="I13" s="89">
        <v>90350</v>
      </c>
      <c r="J13" s="64" t="s">
        <v>14</v>
      </c>
      <c r="K13" s="64" t="s">
        <v>14</v>
      </c>
      <c r="L13" s="64" t="s">
        <v>14</v>
      </c>
      <c r="M13" s="4" t="s">
        <v>226</v>
      </c>
      <c r="N13" s="4">
        <v>2025</v>
      </c>
    </row>
    <row r="14" spans="1:14">
      <c r="A14" s="4">
        <v>42</v>
      </c>
      <c r="B14" s="34" t="s">
        <v>59</v>
      </c>
      <c r="C14" s="4" t="s">
        <v>60</v>
      </c>
      <c r="D14" s="4" t="s">
        <v>61</v>
      </c>
      <c r="E14" s="4" t="s">
        <v>20</v>
      </c>
      <c r="F14" s="4"/>
      <c r="G14" s="4" t="s">
        <v>21</v>
      </c>
      <c r="H14" s="64" t="s">
        <v>330</v>
      </c>
      <c r="I14" s="89">
        <v>137649</v>
      </c>
      <c r="J14" s="64" t="s">
        <v>14</v>
      </c>
      <c r="K14" s="64" t="s">
        <v>14</v>
      </c>
      <c r="L14" s="64" t="s">
        <v>14</v>
      </c>
      <c r="M14" s="4" t="s">
        <v>226</v>
      </c>
      <c r="N14" s="4">
        <v>2025</v>
      </c>
    </row>
    <row r="15" spans="1:14">
      <c r="A15" s="4">
        <v>43</v>
      </c>
      <c r="B15" s="4" t="s">
        <v>29</v>
      </c>
      <c r="C15" s="4" t="s">
        <v>30</v>
      </c>
      <c r="D15" s="4" t="s">
        <v>61</v>
      </c>
      <c r="E15" s="4" t="s">
        <v>20</v>
      </c>
      <c r="F15" s="4"/>
      <c r="G15" s="4" t="s">
        <v>21</v>
      </c>
      <c r="H15" s="64" t="s">
        <v>330</v>
      </c>
      <c r="I15" s="89">
        <v>61445</v>
      </c>
      <c r="J15" s="64" t="s">
        <v>14</v>
      </c>
      <c r="K15" s="64" t="s">
        <v>14</v>
      </c>
      <c r="L15" s="64" t="s">
        <v>14</v>
      </c>
      <c r="M15" s="4" t="s">
        <v>226</v>
      </c>
      <c r="N15" s="4">
        <v>2025</v>
      </c>
    </row>
    <row r="16" spans="1:14">
      <c r="A16" s="4">
        <v>44</v>
      </c>
      <c r="B16" s="4" t="s">
        <v>98</v>
      </c>
      <c r="C16" s="4" t="s">
        <v>98</v>
      </c>
      <c r="D16" s="4" t="s">
        <v>61</v>
      </c>
      <c r="E16" s="4" t="s">
        <v>20</v>
      </c>
      <c r="F16" s="4"/>
      <c r="G16" s="4" t="s">
        <v>21</v>
      </c>
      <c r="H16" s="64" t="s">
        <v>330</v>
      </c>
      <c r="I16" s="89">
        <v>65180</v>
      </c>
      <c r="J16" s="64" t="s">
        <v>14</v>
      </c>
      <c r="K16" s="64" t="s">
        <v>14</v>
      </c>
      <c r="L16" s="64" t="s">
        <v>14</v>
      </c>
      <c r="M16" s="4" t="s">
        <v>226</v>
      </c>
      <c r="N16" s="4">
        <v>2025</v>
      </c>
    </row>
    <row r="17" spans="1:14">
      <c r="A17" s="4">
        <v>45</v>
      </c>
      <c r="B17" s="34" t="s">
        <v>272</v>
      </c>
      <c r="C17" s="4" t="s">
        <v>32</v>
      </c>
      <c r="D17" s="4" t="s">
        <v>61</v>
      </c>
      <c r="E17" s="4" t="s">
        <v>20</v>
      </c>
      <c r="F17" s="4"/>
      <c r="G17" s="4" t="s">
        <v>21</v>
      </c>
      <c r="H17" s="64" t="s">
        <v>330</v>
      </c>
      <c r="I17" s="89">
        <v>7325</v>
      </c>
      <c r="J17" s="64" t="s">
        <v>14</v>
      </c>
      <c r="K17" s="64" t="s">
        <v>14</v>
      </c>
      <c r="L17" s="64" t="s">
        <v>14</v>
      </c>
      <c r="M17" s="4" t="s">
        <v>226</v>
      </c>
      <c r="N17" s="4">
        <v>2025</v>
      </c>
    </row>
    <row r="18" spans="1:14">
      <c r="A18" s="4">
        <v>46</v>
      </c>
      <c r="B18" s="63" t="s">
        <v>33</v>
      </c>
      <c r="C18" s="4" t="s">
        <v>34</v>
      </c>
      <c r="D18" s="4" t="s">
        <v>61</v>
      </c>
      <c r="E18" s="4" t="s">
        <v>20</v>
      </c>
      <c r="F18" s="4"/>
      <c r="G18" s="4" t="s">
        <v>21</v>
      </c>
      <c r="H18" s="64" t="s">
        <v>330</v>
      </c>
      <c r="I18" s="89">
        <v>63053</v>
      </c>
      <c r="J18" s="64" t="s">
        <v>14</v>
      </c>
      <c r="K18" s="64" t="s">
        <v>14</v>
      </c>
      <c r="L18" s="64" t="s">
        <v>14</v>
      </c>
      <c r="M18" s="4" t="s">
        <v>226</v>
      </c>
      <c r="N18" s="4">
        <v>2025</v>
      </c>
    </row>
    <row r="19" spans="1:14">
      <c r="A19" s="4">
        <v>47</v>
      </c>
      <c r="B19" s="4" t="s">
        <v>35</v>
      </c>
      <c r="C19" s="4" t="s">
        <v>36</v>
      </c>
      <c r="D19" s="4" t="s">
        <v>61</v>
      </c>
      <c r="E19" s="4" t="s">
        <v>20</v>
      </c>
      <c r="F19" s="4"/>
      <c r="G19" s="4" t="s">
        <v>21</v>
      </c>
      <c r="H19" s="64" t="s">
        <v>330</v>
      </c>
      <c r="I19" s="89">
        <v>8515</v>
      </c>
      <c r="J19" s="64" t="s">
        <v>14</v>
      </c>
      <c r="K19" s="64" t="s">
        <v>14</v>
      </c>
      <c r="L19" s="64" t="s">
        <v>14</v>
      </c>
      <c r="M19" s="4" t="s">
        <v>226</v>
      </c>
      <c r="N19" s="4">
        <v>2025</v>
      </c>
    </row>
    <row r="20" spans="1:14">
      <c r="A20" s="4">
        <v>48</v>
      </c>
      <c r="B20" s="4" t="s">
        <v>35</v>
      </c>
      <c r="C20" s="4" t="s">
        <v>37</v>
      </c>
      <c r="D20" s="4" t="s">
        <v>61</v>
      </c>
      <c r="E20" s="4" t="s">
        <v>20</v>
      </c>
      <c r="F20" s="4"/>
      <c r="G20" s="4" t="s">
        <v>21</v>
      </c>
      <c r="H20" s="64" t="s">
        <v>330</v>
      </c>
      <c r="I20" s="89">
        <v>42413</v>
      </c>
      <c r="J20" s="64" t="s">
        <v>14</v>
      </c>
      <c r="K20" s="64" t="s">
        <v>14</v>
      </c>
      <c r="L20" s="64" t="s">
        <v>14</v>
      </c>
      <c r="M20" s="4" t="s">
        <v>226</v>
      </c>
      <c r="N20" s="4">
        <v>2025</v>
      </c>
    </row>
    <row r="21" spans="1:14">
      <c r="A21" s="4">
        <v>49</v>
      </c>
      <c r="B21" s="4" t="s">
        <v>35</v>
      </c>
      <c r="C21" s="4" t="s">
        <v>38</v>
      </c>
      <c r="D21" s="4" t="s">
        <v>61</v>
      </c>
      <c r="E21" s="4" t="s">
        <v>20</v>
      </c>
      <c r="F21" s="4"/>
      <c r="G21" s="4" t="s">
        <v>21</v>
      </c>
      <c r="H21" s="64" t="s">
        <v>330</v>
      </c>
      <c r="I21" s="89">
        <v>48809</v>
      </c>
      <c r="J21" s="64" t="s">
        <v>14</v>
      </c>
      <c r="K21" s="64" t="s">
        <v>14</v>
      </c>
      <c r="L21" s="64" t="s">
        <v>14</v>
      </c>
      <c r="M21" s="4" t="s">
        <v>226</v>
      </c>
      <c r="N21" s="4">
        <v>2025</v>
      </c>
    </row>
    <row r="22" spans="1:14">
      <c r="A22" s="4">
        <v>50</v>
      </c>
      <c r="B22" s="4" t="s">
        <v>35</v>
      </c>
      <c r="C22" s="4" t="s">
        <v>39</v>
      </c>
      <c r="D22" s="4" t="s">
        <v>61</v>
      </c>
      <c r="E22" s="4" t="s">
        <v>20</v>
      </c>
      <c r="F22" s="4"/>
      <c r="G22" s="4" t="s">
        <v>21</v>
      </c>
      <c r="H22" s="64" t="s">
        <v>330</v>
      </c>
      <c r="I22" s="89">
        <v>386</v>
      </c>
      <c r="J22" s="64" t="s">
        <v>14</v>
      </c>
      <c r="K22" s="64" t="s">
        <v>14</v>
      </c>
      <c r="L22" s="64" t="s">
        <v>14</v>
      </c>
      <c r="M22" s="4" t="s">
        <v>226</v>
      </c>
      <c r="N22" s="4">
        <v>2025</v>
      </c>
    </row>
    <row r="23" spans="1:14">
      <c r="A23" s="4">
        <v>51</v>
      </c>
      <c r="B23" s="4" t="s">
        <v>35</v>
      </c>
      <c r="C23" s="4" t="s">
        <v>40</v>
      </c>
      <c r="D23" s="4" t="s">
        <v>61</v>
      </c>
      <c r="E23" s="4" t="s">
        <v>20</v>
      </c>
      <c r="F23" s="4"/>
      <c r="G23" s="4" t="s">
        <v>21</v>
      </c>
      <c r="H23" s="64" t="s">
        <v>330</v>
      </c>
      <c r="I23" s="89">
        <v>7211</v>
      </c>
      <c r="J23" s="64" t="s">
        <v>14</v>
      </c>
      <c r="K23" s="64" t="s">
        <v>14</v>
      </c>
      <c r="L23" s="64" t="s">
        <v>14</v>
      </c>
      <c r="M23" s="4" t="s">
        <v>226</v>
      </c>
      <c r="N23" s="4">
        <v>2025</v>
      </c>
    </row>
    <row r="24" spans="1:14">
      <c r="A24" s="4">
        <v>52</v>
      </c>
      <c r="B24" s="4" t="s">
        <v>35</v>
      </c>
      <c r="C24" s="4" t="s">
        <v>41</v>
      </c>
      <c r="D24" s="4" t="s">
        <v>61</v>
      </c>
      <c r="E24" s="4" t="s">
        <v>20</v>
      </c>
      <c r="F24" s="4"/>
      <c r="G24" s="4" t="s">
        <v>21</v>
      </c>
      <c r="H24" s="64" t="s">
        <v>330</v>
      </c>
      <c r="I24" s="89">
        <v>3585</v>
      </c>
      <c r="J24" s="64" t="s">
        <v>14</v>
      </c>
      <c r="K24" s="64" t="s">
        <v>14</v>
      </c>
      <c r="L24" s="64" t="s">
        <v>14</v>
      </c>
      <c r="M24" s="4" t="s">
        <v>226</v>
      </c>
      <c r="N24" s="4">
        <v>2025</v>
      </c>
    </row>
    <row r="25" spans="1:14">
      <c r="A25" s="4">
        <v>53</v>
      </c>
      <c r="B25" s="4" t="s">
        <v>35</v>
      </c>
      <c r="C25" s="4" t="s">
        <v>42</v>
      </c>
      <c r="D25" s="4" t="s">
        <v>61</v>
      </c>
      <c r="E25" s="4" t="s">
        <v>20</v>
      </c>
      <c r="F25" s="4"/>
      <c r="G25" s="4" t="s">
        <v>21</v>
      </c>
      <c r="H25" s="64" t="s">
        <v>330</v>
      </c>
      <c r="I25" s="89">
        <v>1878</v>
      </c>
      <c r="J25" s="64" t="s">
        <v>14</v>
      </c>
      <c r="K25" s="64" t="s">
        <v>14</v>
      </c>
      <c r="L25" s="64" t="s">
        <v>14</v>
      </c>
      <c r="M25" s="4" t="s">
        <v>226</v>
      </c>
      <c r="N25" s="4">
        <v>2025</v>
      </c>
    </row>
    <row r="26" spans="1:14">
      <c r="A26" s="4">
        <v>54</v>
      </c>
      <c r="B26" s="4" t="s">
        <v>43</v>
      </c>
      <c r="C26" s="4" t="s">
        <v>44</v>
      </c>
      <c r="D26" s="4" t="s">
        <v>61</v>
      </c>
      <c r="E26" s="4" t="s">
        <v>20</v>
      </c>
      <c r="F26" s="4"/>
      <c r="G26" s="4" t="s">
        <v>21</v>
      </c>
      <c r="H26" s="64" t="s">
        <v>330</v>
      </c>
      <c r="I26" s="89">
        <v>68895</v>
      </c>
      <c r="J26" s="64" t="s">
        <v>14</v>
      </c>
      <c r="K26" s="64" t="s">
        <v>14</v>
      </c>
      <c r="L26" s="64" t="s">
        <v>14</v>
      </c>
      <c r="M26" s="4" t="s">
        <v>226</v>
      </c>
      <c r="N26" s="4">
        <v>2025</v>
      </c>
    </row>
    <row r="27" spans="1:14">
      <c r="A27" s="4">
        <v>55</v>
      </c>
      <c r="B27" s="4" t="s">
        <v>43</v>
      </c>
      <c r="C27" s="4" t="s">
        <v>45</v>
      </c>
      <c r="D27" s="4" t="s">
        <v>61</v>
      </c>
      <c r="E27" s="4" t="s">
        <v>20</v>
      </c>
      <c r="F27" s="4"/>
      <c r="G27" s="4" t="s">
        <v>21</v>
      </c>
      <c r="H27" s="64" t="s">
        <v>330</v>
      </c>
      <c r="I27" s="89">
        <v>32434</v>
      </c>
      <c r="J27" s="64" t="s">
        <v>14</v>
      </c>
      <c r="K27" s="64" t="s">
        <v>14</v>
      </c>
      <c r="L27" s="64" t="s">
        <v>14</v>
      </c>
      <c r="M27" s="4" t="s">
        <v>226</v>
      </c>
      <c r="N27" s="4">
        <v>2025</v>
      </c>
    </row>
    <row r="28" spans="1:14">
      <c r="A28" s="4">
        <v>56</v>
      </c>
      <c r="B28" s="4" t="s">
        <v>43</v>
      </c>
      <c r="C28" s="4" t="s">
        <v>46</v>
      </c>
      <c r="D28" s="4" t="s">
        <v>61</v>
      </c>
      <c r="E28" s="4" t="s">
        <v>20</v>
      </c>
      <c r="F28" s="4"/>
      <c r="G28" s="4" t="s">
        <v>21</v>
      </c>
      <c r="H28" s="64" t="s">
        <v>330</v>
      </c>
      <c r="I28" s="89">
        <v>66114</v>
      </c>
      <c r="J28" s="64" t="s">
        <v>14</v>
      </c>
      <c r="K28" s="64" t="s">
        <v>14</v>
      </c>
      <c r="L28" s="64" t="s">
        <v>14</v>
      </c>
      <c r="M28" s="4" t="s">
        <v>226</v>
      </c>
      <c r="N28" s="4">
        <v>2025</v>
      </c>
    </row>
    <row r="29" spans="1:14">
      <c r="A29" s="4">
        <v>57</v>
      </c>
      <c r="B29" s="4" t="s">
        <v>43</v>
      </c>
      <c r="C29" s="4" t="s">
        <v>47</v>
      </c>
      <c r="D29" s="4" t="s">
        <v>61</v>
      </c>
      <c r="E29" s="4" t="s">
        <v>20</v>
      </c>
      <c r="F29" s="4"/>
      <c r="G29" s="4" t="s">
        <v>21</v>
      </c>
      <c r="H29" s="64" t="s">
        <v>330</v>
      </c>
      <c r="I29" s="89">
        <v>26038</v>
      </c>
      <c r="J29" s="64" t="s">
        <v>14</v>
      </c>
      <c r="K29" s="64" t="s">
        <v>14</v>
      </c>
      <c r="L29" s="64" t="s">
        <v>14</v>
      </c>
      <c r="M29" s="4" t="s">
        <v>226</v>
      </c>
      <c r="N29" s="4">
        <v>2025</v>
      </c>
    </row>
    <row r="30" spans="1:14">
      <c r="A30" s="4">
        <v>58</v>
      </c>
      <c r="B30" s="4" t="s">
        <v>43</v>
      </c>
      <c r="C30" s="4" t="s">
        <v>48</v>
      </c>
      <c r="D30" s="4" t="s">
        <v>61</v>
      </c>
      <c r="E30" s="4" t="s">
        <v>20</v>
      </c>
      <c r="F30" s="4"/>
      <c r="G30" s="4" t="s">
        <v>21</v>
      </c>
      <c r="H30" s="64" t="s">
        <v>330</v>
      </c>
      <c r="I30" s="89">
        <v>7167</v>
      </c>
      <c r="J30" s="64" t="s">
        <v>14</v>
      </c>
      <c r="K30" s="64" t="s">
        <v>14</v>
      </c>
      <c r="L30" s="64" t="s">
        <v>14</v>
      </c>
      <c r="M30" s="4" t="s">
        <v>226</v>
      </c>
      <c r="N30" s="4">
        <v>2025</v>
      </c>
    </row>
    <row r="31" spans="1:14">
      <c r="A31" s="4">
        <v>59</v>
      </c>
      <c r="B31" s="4" t="s">
        <v>43</v>
      </c>
      <c r="C31" s="4" t="s">
        <v>49</v>
      </c>
      <c r="D31" s="4" t="s">
        <v>61</v>
      </c>
      <c r="E31" s="4" t="s">
        <v>20</v>
      </c>
      <c r="F31" s="4"/>
      <c r="G31" s="4" t="s">
        <v>21</v>
      </c>
      <c r="H31" s="64" t="s">
        <v>330</v>
      </c>
      <c r="I31" s="89">
        <v>27712</v>
      </c>
      <c r="J31" s="64" t="s">
        <v>14</v>
      </c>
      <c r="K31" s="64" t="s">
        <v>14</v>
      </c>
      <c r="L31" s="64" t="s">
        <v>14</v>
      </c>
      <c r="M31" s="4" t="s">
        <v>226</v>
      </c>
      <c r="N31" s="4">
        <v>2025</v>
      </c>
    </row>
    <row r="32" spans="1:14">
      <c r="A32" s="4">
        <v>60</v>
      </c>
      <c r="B32" s="4" t="s">
        <v>43</v>
      </c>
      <c r="C32" s="4" t="s">
        <v>50</v>
      </c>
      <c r="D32" s="4" t="s">
        <v>61</v>
      </c>
      <c r="E32" s="4" t="s">
        <v>20</v>
      </c>
      <c r="F32" s="4"/>
      <c r="G32" s="4" t="s">
        <v>21</v>
      </c>
      <c r="H32" s="64" t="s">
        <v>330</v>
      </c>
      <c r="I32" s="89">
        <v>93451</v>
      </c>
      <c r="J32" s="64" t="s">
        <v>14</v>
      </c>
      <c r="K32" s="64" t="s">
        <v>14</v>
      </c>
      <c r="L32" s="64" t="s">
        <v>14</v>
      </c>
      <c r="M32" s="4" t="s">
        <v>226</v>
      </c>
      <c r="N32" s="4">
        <v>2025</v>
      </c>
    </row>
    <row r="33" spans="1:14">
      <c r="A33" s="4">
        <v>61</v>
      </c>
      <c r="B33" s="4" t="s">
        <v>43</v>
      </c>
      <c r="C33" s="4" t="s">
        <v>51</v>
      </c>
      <c r="D33" s="4" t="s">
        <v>61</v>
      </c>
      <c r="E33" s="4" t="s">
        <v>20</v>
      </c>
      <c r="F33" s="4"/>
      <c r="G33" s="4" t="s">
        <v>21</v>
      </c>
      <c r="H33" s="64" t="s">
        <v>330</v>
      </c>
      <c r="I33" s="89">
        <v>201182</v>
      </c>
      <c r="J33" s="64" t="s">
        <v>14</v>
      </c>
      <c r="K33" s="64" t="s">
        <v>14</v>
      </c>
      <c r="L33" s="64" t="s">
        <v>14</v>
      </c>
      <c r="M33" s="4" t="s">
        <v>226</v>
      </c>
      <c r="N33" s="4">
        <v>2025</v>
      </c>
    </row>
    <row r="34" spans="1:14">
      <c r="A34" s="4">
        <v>62</v>
      </c>
      <c r="B34" s="4" t="s">
        <v>43</v>
      </c>
      <c r="C34" s="4" t="s">
        <v>52</v>
      </c>
      <c r="D34" s="4" t="s">
        <v>61</v>
      </c>
      <c r="E34" s="4" t="s">
        <v>20</v>
      </c>
      <c r="F34" s="4"/>
      <c r="G34" s="4" t="s">
        <v>21</v>
      </c>
      <c r="H34" s="64" t="s">
        <v>330</v>
      </c>
      <c r="I34" s="89">
        <v>28391</v>
      </c>
      <c r="J34" s="64" t="s">
        <v>14</v>
      </c>
      <c r="K34" s="64" t="s">
        <v>14</v>
      </c>
      <c r="L34" s="64" t="s">
        <v>14</v>
      </c>
      <c r="M34" s="4" t="s">
        <v>226</v>
      </c>
      <c r="N34" s="4">
        <v>2025</v>
      </c>
    </row>
    <row r="35" spans="1:14">
      <c r="A35" s="4">
        <v>63</v>
      </c>
      <c r="B35" s="4" t="s">
        <v>43</v>
      </c>
      <c r="C35" s="4" t="s">
        <v>77</v>
      </c>
      <c r="D35" s="4" t="s">
        <v>61</v>
      </c>
      <c r="E35" s="4" t="s">
        <v>20</v>
      </c>
      <c r="F35" s="4"/>
      <c r="G35" s="4" t="s">
        <v>21</v>
      </c>
      <c r="H35" s="64" t="s">
        <v>330</v>
      </c>
      <c r="I35" s="89">
        <v>1669</v>
      </c>
      <c r="J35" s="64" t="s">
        <v>14</v>
      </c>
      <c r="K35" s="64" t="s">
        <v>14</v>
      </c>
      <c r="L35" s="64" t="s">
        <v>14</v>
      </c>
      <c r="M35" s="4" t="s">
        <v>226</v>
      </c>
      <c r="N35" s="4">
        <v>2025</v>
      </c>
    </row>
    <row r="36" spans="1:14">
      <c r="A36" s="4">
        <v>64</v>
      </c>
      <c r="B36" s="35" t="s">
        <v>53</v>
      </c>
      <c r="C36" s="4" t="s">
        <v>54</v>
      </c>
      <c r="D36" s="4" t="s">
        <v>61</v>
      </c>
      <c r="E36" s="4" t="s">
        <v>20</v>
      </c>
      <c r="F36" s="4"/>
      <c r="G36" s="4" t="s">
        <v>21</v>
      </c>
      <c r="H36" s="64" t="s">
        <v>330</v>
      </c>
      <c r="I36" s="89">
        <v>249029</v>
      </c>
      <c r="J36" s="64" t="s">
        <v>14</v>
      </c>
      <c r="K36" s="64" t="s">
        <v>14</v>
      </c>
      <c r="L36" s="64" t="s">
        <v>14</v>
      </c>
      <c r="M36" s="4" t="s">
        <v>226</v>
      </c>
      <c r="N36" s="4">
        <v>2025</v>
      </c>
    </row>
    <row r="37" spans="1:14">
      <c r="A37" s="4">
        <v>66</v>
      </c>
      <c r="B37" s="4" t="s">
        <v>55</v>
      </c>
      <c r="C37" s="4" t="s">
        <v>55</v>
      </c>
      <c r="D37" s="4" t="s">
        <v>61</v>
      </c>
      <c r="E37" s="4" t="s">
        <v>20</v>
      </c>
      <c r="F37" s="4"/>
      <c r="G37" s="64" t="s">
        <v>21</v>
      </c>
      <c r="H37" s="64" t="s">
        <v>332</v>
      </c>
      <c r="I37" s="89">
        <v>20550</v>
      </c>
      <c r="J37" s="64" t="s">
        <v>14</v>
      </c>
      <c r="K37" s="64" t="s">
        <v>14</v>
      </c>
      <c r="L37" s="64" t="s">
        <v>14</v>
      </c>
      <c r="M37" s="4" t="s">
        <v>225</v>
      </c>
      <c r="N37" s="4">
        <v>2025</v>
      </c>
    </row>
    <row r="38" spans="1:14">
      <c r="A38" s="4">
        <v>32</v>
      </c>
      <c r="B38" s="34" t="s">
        <v>59</v>
      </c>
      <c r="C38" s="4" t="s">
        <v>60</v>
      </c>
      <c r="D38" s="4" t="s">
        <v>61</v>
      </c>
      <c r="E38" s="4" t="s">
        <v>20</v>
      </c>
      <c r="F38" s="4"/>
      <c r="G38" s="4" t="s">
        <v>21</v>
      </c>
      <c r="H38" s="34" t="s">
        <v>329</v>
      </c>
      <c r="I38" s="89">
        <v>9500</v>
      </c>
      <c r="J38" s="4" t="s">
        <v>14</v>
      </c>
      <c r="K38" s="4" t="s">
        <v>14</v>
      </c>
      <c r="L38" s="4" t="s">
        <v>14</v>
      </c>
      <c r="M38" s="4" t="s">
        <v>225</v>
      </c>
      <c r="N38" s="4">
        <v>2025</v>
      </c>
    </row>
    <row r="39" spans="1:14">
      <c r="A39" s="4">
        <v>1</v>
      </c>
      <c r="B39" s="4" t="s">
        <v>17</v>
      </c>
      <c r="C39" s="4" t="s">
        <v>74</v>
      </c>
      <c r="D39" s="4" t="s">
        <v>61</v>
      </c>
      <c r="E39" s="4" t="s">
        <v>20</v>
      </c>
      <c r="F39" s="4"/>
      <c r="G39" s="4" t="s">
        <v>21</v>
      </c>
      <c r="H39" s="4" t="s">
        <v>328</v>
      </c>
      <c r="I39" s="89">
        <v>31714</v>
      </c>
      <c r="J39" s="4" t="s">
        <v>14</v>
      </c>
      <c r="K39" s="4" t="s">
        <v>14</v>
      </c>
      <c r="L39" s="4" t="s">
        <v>14</v>
      </c>
      <c r="M39" s="4" t="s">
        <v>225</v>
      </c>
      <c r="N39" s="4">
        <v>2025</v>
      </c>
    </row>
    <row r="40" spans="1:14">
      <c r="A40" s="4">
        <v>2</v>
      </c>
      <c r="B40" s="4" t="s">
        <v>17</v>
      </c>
      <c r="C40" s="4" t="s">
        <v>22</v>
      </c>
      <c r="D40" s="4" t="s">
        <v>61</v>
      </c>
      <c r="E40" s="4" t="s">
        <v>20</v>
      </c>
      <c r="F40" s="4"/>
      <c r="G40" s="4" t="s">
        <v>21</v>
      </c>
      <c r="H40" s="4" t="s">
        <v>328</v>
      </c>
      <c r="I40" s="89">
        <v>80237</v>
      </c>
      <c r="J40" s="4" t="s">
        <v>14</v>
      </c>
      <c r="K40" s="4" t="s">
        <v>14</v>
      </c>
      <c r="L40" s="4" t="s">
        <v>14</v>
      </c>
      <c r="M40" s="4" t="s">
        <v>225</v>
      </c>
      <c r="N40" s="4">
        <v>2025</v>
      </c>
    </row>
    <row r="41" spans="1:14">
      <c r="A41" s="4">
        <v>3</v>
      </c>
      <c r="B41" s="4" t="s">
        <v>17</v>
      </c>
      <c r="C41" s="4" t="s">
        <v>95</v>
      </c>
      <c r="D41" s="4" t="s">
        <v>61</v>
      </c>
      <c r="E41" s="4" t="s">
        <v>20</v>
      </c>
      <c r="F41" s="4"/>
      <c r="G41" s="4" t="s">
        <v>21</v>
      </c>
      <c r="H41" s="4" t="s">
        <v>328</v>
      </c>
      <c r="I41" s="89">
        <v>44607</v>
      </c>
      <c r="J41" s="4" t="s">
        <v>14</v>
      </c>
      <c r="K41" s="4" t="s">
        <v>14</v>
      </c>
      <c r="L41" s="4" t="s">
        <v>14</v>
      </c>
      <c r="M41" s="4" t="s">
        <v>225</v>
      </c>
      <c r="N41" s="4">
        <v>2025</v>
      </c>
    </row>
    <row r="42" spans="1:14">
      <c r="A42" s="4">
        <v>4</v>
      </c>
      <c r="B42" s="4" t="s">
        <v>17</v>
      </c>
      <c r="C42" s="4" t="s">
        <v>23</v>
      </c>
      <c r="D42" s="4" t="s">
        <v>61</v>
      </c>
      <c r="E42" s="4" t="s">
        <v>20</v>
      </c>
      <c r="F42" s="4"/>
      <c r="G42" s="4" t="s">
        <v>21</v>
      </c>
      <c r="H42" s="4" t="s">
        <v>328</v>
      </c>
      <c r="I42" s="89">
        <v>13694</v>
      </c>
      <c r="J42" s="4" t="s">
        <v>14</v>
      </c>
      <c r="K42" s="4" t="s">
        <v>14</v>
      </c>
      <c r="L42" s="4" t="s">
        <v>14</v>
      </c>
      <c r="M42" s="4" t="s">
        <v>225</v>
      </c>
      <c r="N42" s="4">
        <v>2025</v>
      </c>
    </row>
    <row r="43" spans="1:14">
      <c r="A43" s="4">
        <v>5</v>
      </c>
      <c r="B43" s="4" t="s">
        <v>17</v>
      </c>
      <c r="C43" s="4" t="s">
        <v>24</v>
      </c>
      <c r="D43" s="4" t="s">
        <v>61</v>
      </c>
      <c r="E43" s="4" t="s">
        <v>20</v>
      </c>
      <c r="F43" s="4"/>
      <c r="G43" s="4" t="s">
        <v>21</v>
      </c>
      <c r="H43" s="4" t="s">
        <v>328</v>
      </c>
      <c r="I43" s="89">
        <v>49296</v>
      </c>
      <c r="J43" s="4" t="s">
        <v>14</v>
      </c>
      <c r="K43" s="4" t="s">
        <v>14</v>
      </c>
      <c r="L43" s="4" t="s">
        <v>14</v>
      </c>
      <c r="M43" s="4" t="s">
        <v>225</v>
      </c>
      <c r="N43" s="4">
        <v>2025</v>
      </c>
    </row>
    <row r="44" spans="1:14">
      <c r="A44" s="4">
        <v>6</v>
      </c>
      <c r="B44" s="4" t="s">
        <v>17</v>
      </c>
      <c r="C44" s="4" t="s">
        <v>25</v>
      </c>
      <c r="D44" s="4" t="s">
        <v>61</v>
      </c>
      <c r="E44" s="4" t="s">
        <v>20</v>
      </c>
      <c r="F44" s="4"/>
      <c r="G44" s="4" t="s">
        <v>21</v>
      </c>
      <c r="H44" s="4" t="s">
        <v>328</v>
      </c>
      <c r="I44" s="89">
        <v>61318</v>
      </c>
      <c r="J44" s="4" t="s">
        <v>14</v>
      </c>
      <c r="K44" s="4" t="s">
        <v>14</v>
      </c>
      <c r="L44" s="4" t="s">
        <v>14</v>
      </c>
      <c r="M44" s="4" t="s">
        <v>225</v>
      </c>
      <c r="N44" s="4">
        <v>2025</v>
      </c>
    </row>
    <row r="45" spans="1:14">
      <c r="A45" s="4">
        <v>7</v>
      </c>
      <c r="B45" s="4" t="s">
        <v>17</v>
      </c>
      <c r="C45" s="4" t="s">
        <v>26</v>
      </c>
      <c r="D45" s="4" t="s">
        <v>61</v>
      </c>
      <c r="E45" s="4" t="s">
        <v>20</v>
      </c>
      <c r="F45" s="4"/>
      <c r="G45" s="4" t="s">
        <v>21</v>
      </c>
      <c r="H45" s="4" t="s">
        <v>328</v>
      </c>
      <c r="I45" s="89">
        <v>7181</v>
      </c>
      <c r="J45" s="4" t="s">
        <v>14</v>
      </c>
      <c r="K45" s="4" t="s">
        <v>14</v>
      </c>
      <c r="L45" s="4" t="s">
        <v>14</v>
      </c>
      <c r="M45" s="4" t="s">
        <v>225</v>
      </c>
      <c r="N45" s="4">
        <v>2025</v>
      </c>
    </row>
    <row r="46" spans="1:14">
      <c r="A46" s="4">
        <v>8</v>
      </c>
      <c r="B46" s="63" t="s">
        <v>27</v>
      </c>
      <c r="C46" s="4" t="s">
        <v>28</v>
      </c>
      <c r="D46" s="4" t="s">
        <v>61</v>
      </c>
      <c r="E46" s="4" t="s">
        <v>20</v>
      </c>
      <c r="F46" s="4"/>
      <c r="G46" s="4" t="s">
        <v>21</v>
      </c>
      <c r="H46" s="4" t="s">
        <v>328</v>
      </c>
      <c r="I46" s="89">
        <v>30120</v>
      </c>
      <c r="J46" s="4" t="s">
        <v>14</v>
      </c>
      <c r="K46" s="4" t="s">
        <v>14</v>
      </c>
      <c r="L46" s="4" t="s">
        <v>14</v>
      </c>
      <c r="M46" s="4" t="s">
        <v>225</v>
      </c>
      <c r="N46" s="4">
        <v>2025</v>
      </c>
    </row>
    <row r="47" spans="1:14">
      <c r="A47" s="4">
        <v>9</v>
      </c>
      <c r="B47" s="4" t="s">
        <v>55</v>
      </c>
      <c r="C47" s="4" t="s">
        <v>56</v>
      </c>
      <c r="D47" s="4" t="s">
        <v>61</v>
      </c>
      <c r="E47" s="4" t="s">
        <v>20</v>
      </c>
      <c r="F47" s="4"/>
      <c r="G47" s="4" t="s">
        <v>21</v>
      </c>
      <c r="H47" s="4" t="s">
        <v>328</v>
      </c>
      <c r="I47" s="89">
        <v>88204</v>
      </c>
      <c r="J47" s="4" t="s">
        <v>14</v>
      </c>
      <c r="K47" s="4" t="s">
        <v>14</v>
      </c>
      <c r="L47" s="4" t="s">
        <v>14</v>
      </c>
      <c r="M47" s="4" t="s">
        <v>225</v>
      </c>
      <c r="N47" s="4">
        <v>2025</v>
      </c>
    </row>
    <row r="48" spans="1:14">
      <c r="A48" s="4">
        <v>10</v>
      </c>
      <c r="B48" s="34" t="s">
        <v>59</v>
      </c>
      <c r="C48" s="4" t="s">
        <v>60</v>
      </c>
      <c r="D48" s="4" t="s">
        <v>61</v>
      </c>
      <c r="E48" s="4" t="s">
        <v>20</v>
      </c>
      <c r="F48" s="4"/>
      <c r="G48" s="4" t="s">
        <v>21</v>
      </c>
      <c r="H48" s="4" t="s">
        <v>328</v>
      </c>
      <c r="I48" s="89">
        <v>152861</v>
      </c>
      <c r="J48" s="4" t="s">
        <v>14</v>
      </c>
      <c r="K48" s="4" t="s">
        <v>14</v>
      </c>
      <c r="L48" s="4" t="s">
        <v>14</v>
      </c>
      <c r="M48" s="4" t="s">
        <v>225</v>
      </c>
      <c r="N48" s="4">
        <v>2025</v>
      </c>
    </row>
    <row r="49" spans="1:14">
      <c r="A49" s="4">
        <v>11</v>
      </c>
      <c r="B49" s="4" t="s">
        <v>29</v>
      </c>
      <c r="C49" s="4" t="s">
        <v>30</v>
      </c>
      <c r="D49" s="4" t="s">
        <v>61</v>
      </c>
      <c r="E49" s="4" t="s">
        <v>20</v>
      </c>
      <c r="F49" s="4"/>
      <c r="G49" s="4" t="s">
        <v>21</v>
      </c>
      <c r="H49" s="4" t="s">
        <v>328</v>
      </c>
      <c r="I49" s="89">
        <v>49207</v>
      </c>
      <c r="J49" s="4" t="s">
        <v>14</v>
      </c>
      <c r="K49" s="4" t="s">
        <v>14</v>
      </c>
      <c r="L49" s="4" t="s">
        <v>14</v>
      </c>
      <c r="M49" s="4" t="s">
        <v>225</v>
      </c>
      <c r="N49" s="4">
        <v>2025</v>
      </c>
    </row>
    <row r="50" spans="1:14">
      <c r="A50" s="4">
        <v>12</v>
      </c>
      <c r="B50" s="4" t="s">
        <v>98</v>
      </c>
      <c r="C50" s="4" t="s">
        <v>98</v>
      </c>
      <c r="D50" s="4" t="s">
        <v>61</v>
      </c>
      <c r="E50" s="4" t="s">
        <v>20</v>
      </c>
      <c r="F50" s="4"/>
      <c r="G50" s="4" t="s">
        <v>21</v>
      </c>
      <c r="H50" s="4" t="s">
        <v>328</v>
      </c>
      <c r="I50" s="89">
        <v>68390</v>
      </c>
      <c r="J50" s="4" t="s">
        <v>14</v>
      </c>
      <c r="K50" s="4" t="s">
        <v>14</v>
      </c>
      <c r="L50" s="4" t="s">
        <v>14</v>
      </c>
      <c r="M50" s="4" t="s">
        <v>225</v>
      </c>
      <c r="N50" s="4">
        <v>2025</v>
      </c>
    </row>
    <row r="51" spans="1:14">
      <c r="A51" s="4">
        <v>13</v>
      </c>
      <c r="B51" s="34" t="s">
        <v>272</v>
      </c>
      <c r="C51" s="4" t="s">
        <v>32</v>
      </c>
      <c r="D51" s="4" t="s">
        <v>61</v>
      </c>
      <c r="E51" s="4" t="s">
        <v>20</v>
      </c>
      <c r="F51" s="4"/>
      <c r="G51" s="4" t="s">
        <v>21</v>
      </c>
      <c r="H51" s="4" t="s">
        <v>328</v>
      </c>
      <c r="I51" s="89">
        <v>14423</v>
      </c>
      <c r="J51" s="4" t="s">
        <v>14</v>
      </c>
      <c r="K51" s="4" t="s">
        <v>14</v>
      </c>
      <c r="L51" s="4" t="s">
        <v>14</v>
      </c>
      <c r="M51" s="4" t="s">
        <v>225</v>
      </c>
      <c r="N51" s="4">
        <v>2025</v>
      </c>
    </row>
    <row r="52" spans="1:14">
      <c r="A52" s="4">
        <v>14</v>
      </c>
      <c r="B52" s="63" t="s">
        <v>33</v>
      </c>
      <c r="C52" s="4" t="s">
        <v>34</v>
      </c>
      <c r="D52" s="4" t="s">
        <v>61</v>
      </c>
      <c r="E52" s="4" t="s">
        <v>20</v>
      </c>
      <c r="F52" s="4"/>
      <c r="G52" s="4" t="s">
        <v>21</v>
      </c>
      <c r="H52" s="4" t="s">
        <v>328</v>
      </c>
      <c r="I52" s="89">
        <v>63226</v>
      </c>
      <c r="J52" s="4" t="s">
        <v>14</v>
      </c>
      <c r="K52" s="4" t="s">
        <v>14</v>
      </c>
      <c r="L52" s="4" t="s">
        <v>14</v>
      </c>
      <c r="M52" s="4" t="s">
        <v>225</v>
      </c>
      <c r="N52" s="4">
        <v>2025</v>
      </c>
    </row>
    <row r="53" spans="1:14">
      <c r="A53" s="4">
        <v>15</v>
      </c>
      <c r="B53" s="4" t="s">
        <v>35</v>
      </c>
      <c r="C53" s="4" t="s">
        <v>36</v>
      </c>
      <c r="D53" s="4" t="s">
        <v>61</v>
      </c>
      <c r="E53" s="4" t="s">
        <v>20</v>
      </c>
      <c r="F53" s="4"/>
      <c r="G53" s="4" t="s">
        <v>21</v>
      </c>
      <c r="H53" s="4" t="s">
        <v>328</v>
      </c>
      <c r="I53" s="89">
        <v>9858</v>
      </c>
      <c r="J53" s="4" t="s">
        <v>14</v>
      </c>
      <c r="K53" s="4" t="s">
        <v>14</v>
      </c>
      <c r="L53" s="4" t="s">
        <v>14</v>
      </c>
      <c r="M53" s="4" t="s">
        <v>225</v>
      </c>
      <c r="N53" s="4">
        <v>2025</v>
      </c>
    </row>
    <row r="54" spans="1:14">
      <c r="A54" s="4">
        <v>16</v>
      </c>
      <c r="B54" s="4" t="s">
        <v>35</v>
      </c>
      <c r="C54" s="4" t="s">
        <v>37</v>
      </c>
      <c r="D54" s="4" t="s">
        <v>61</v>
      </c>
      <c r="E54" s="4" t="s">
        <v>20</v>
      </c>
      <c r="F54" s="4"/>
      <c r="G54" s="4" t="s">
        <v>21</v>
      </c>
      <c r="H54" s="4" t="s">
        <v>328</v>
      </c>
      <c r="I54" s="89">
        <v>42995</v>
      </c>
      <c r="J54" s="4" t="s">
        <v>14</v>
      </c>
      <c r="K54" s="4" t="s">
        <v>14</v>
      </c>
      <c r="L54" s="4" t="s">
        <v>14</v>
      </c>
      <c r="M54" s="4" t="s">
        <v>225</v>
      </c>
      <c r="N54" s="4">
        <v>2025</v>
      </c>
    </row>
    <row r="55" spans="1:14">
      <c r="A55" s="4">
        <v>17</v>
      </c>
      <c r="B55" s="4" t="s">
        <v>35</v>
      </c>
      <c r="C55" s="4" t="s">
        <v>38</v>
      </c>
      <c r="D55" s="4" t="s">
        <v>61</v>
      </c>
      <c r="E55" s="4" t="s">
        <v>20</v>
      </c>
      <c r="F55" s="4"/>
      <c r="G55" s="4" t="s">
        <v>21</v>
      </c>
      <c r="H55" s="4" t="s">
        <v>328</v>
      </c>
      <c r="I55" s="89">
        <v>48350</v>
      </c>
      <c r="J55" s="4" t="s">
        <v>14</v>
      </c>
      <c r="K55" s="4" t="s">
        <v>14</v>
      </c>
      <c r="L55" s="4" t="s">
        <v>14</v>
      </c>
      <c r="M55" s="4" t="s">
        <v>225</v>
      </c>
      <c r="N55" s="4">
        <v>2025</v>
      </c>
    </row>
    <row r="56" spans="1:14">
      <c r="A56" s="4">
        <v>18</v>
      </c>
      <c r="B56" s="4" t="s">
        <v>35</v>
      </c>
      <c r="C56" s="4" t="s">
        <v>39</v>
      </c>
      <c r="D56" s="4" t="s">
        <v>61</v>
      </c>
      <c r="E56" s="4" t="s">
        <v>20</v>
      </c>
      <c r="F56" s="4"/>
      <c r="G56" s="4" t="s">
        <v>21</v>
      </c>
      <c r="H56" s="4" t="s">
        <v>328</v>
      </c>
      <c r="I56" s="89">
        <v>6581</v>
      </c>
      <c r="J56" s="4" t="s">
        <v>14</v>
      </c>
      <c r="K56" s="4" t="s">
        <v>14</v>
      </c>
      <c r="L56" s="4" t="s">
        <v>14</v>
      </c>
      <c r="M56" s="4" t="s">
        <v>225</v>
      </c>
      <c r="N56" s="4">
        <v>2025</v>
      </c>
    </row>
    <row r="57" spans="1:14">
      <c r="A57" s="4">
        <v>19</v>
      </c>
      <c r="B57" s="4" t="s">
        <v>35</v>
      </c>
      <c r="C57" s="29" t="s">
        <v>40</v>
      </c>
      <c r="D57" s="4" t="s">
        <v>61</v>
      </c>
      <c r="E57" s="4" t="s">
        <v>20</v>
      </c>
      <c r="F57" s="4"/>
      <c r="G57" s="4" t="s">
        <v>21</v>
      </c>
      <c r="H57" s="4" t="s">
        <v>328</v>
      </c>
      <c r="I57" s="89">
        <v>11371</v>
      </c>
      <c r="J57" s="4" t="s">
        <v>14</v>
      </c>
      <c r="K57" s="4" t="s">
        <v>14</v>
      </c>
      <c r="L57" s="4" t="s">
        <v>14</v>
      </c>
      <c r="M57" s="4" t="s">
        <v>225</v>
      </c>
      <c r="N57" s="4">
        <v>2025</v>
      </c>
    </row>
    <row r="58" spans="1:14">
      <c r="A58" s="4">
        <v>20</v>
      </c>
      <c r="B58" s="4" t="s">
        <v>35</v>
      </c>
      <c r="C58" s="29" t="s">
        <v>42</v>
      </c>
      <c r="D58" s="4" t="s">
        <v>61</v>
      </c>
      <c r="E58" s="4" t="s">
        <v>20</v>
      </c>
      <c r="F58" s="4"/>
      <c r="G58" s="4" t="s">
        <v>21</v>
      </c>
      <c r="H58" s="4" t="s">
        <v>328</v>
      </c>
      <c r="I58" s="89">
        <v>4129</v>
      </c>
      <c r="J58" s="4" t="s">
        <v>14</v>
      </c>
      <c r="K58" s="4" t="s">
        <v>14</v>
      </c>
      <c r="L58" s="4" t="s">
        <v>14</v>
      </c>
      <c r="M58" s="4" t="s">
        <v>225</v>
      </c>
      <c r="N58" s="4">
        <v>2025</v>
      </c>
    </row>
    <row r="59" spans="1:14">
      <c r="A59" s="4">
        <v>21</v>
      </c>
      <c r="B59" s="4" t="s">
        <v>43</v>
      </c>
      <c r="C59" s="4" t="s">
        <v>44</v>
      </c>
      <c r="D59" s="4" t="s">
        <v>61</v>
      </c>
      <c r="E59" s="4" t="s">
        <v>20</v>
      </c>
      <c r="F59" s="4"/>
      <c r="G59" s="4" t="s">
        <v>21</v>
      </c>
      <c r="H59" s="4" t="s">
        <v>328</v>
      </c>
      <c r="I59" s="89">
        <v>79872</v>
      </c>
      <c r="J59" s="4" t="s">
        <v>14</v>
      </c>
      <c r="K59" s="4" t="s">
        <v>14</v>
      </c>
      <c r="L59" s="4" t="s">
        <v>14</v>
      </c>
      <c r="M59" s="4" t="s">
        <v>225</v>
      </c>
      <c r="N59" s="4">
        <v>2025</v>
      </c>
    </row>
    <row r="60" spans="1:14">
      <c r="A60" s="4">
        <v>22</v>
      </c>
      <c r="B60" s="4" t="s">
        <v>43</v>
      </c>
      <c r="C60" s="4" t="s">
        <v>45</v>
      </c>
      <c r="D60" s="4" t="s">
        <v>61</v>
      </c>
      <c r="E60" s="4" t="s">
        <v>20</v>
      </c>
      <c r="F60" s="4"/>
      <c r="G60" s="4" t="s">
        <v>21</v>
      </c>
      <c r="H60" s="4" t="s">
        <v>328</v>
      </c>
      <c r="I60" s="89">
        <v>38081</v>
      </c>
      <c r="J60" s="4" t="s">
        <v>14</v>
      </c>
      <c r="K60" s="4" t="s">
        <v>14</v>
      </c>
      <c r="L60" s="4" t="s">
        <v>14</v>
      </c>
      <c r="M60" s="4" t="s">
        <v>225</v>
      </c>
      <c r="N60" s="4">
        <v>2025</v>
      </c>
    </row>
    <row r="61" spans="1:14">
      <c r="A61" s="4">
        <v>23</v>
      </c>
      <c r="B61" s="4" t="s">
        <v>43</v>
      </c>
      <c r="C61" s="4" t="s">
        <v>46</v>
      </c>
      <c r="D61" s="4" t="s">
        <v>61</v>
      </c>
      <c r="E61" s="4" t="s">
        <v>20</v>
      </c>
      <c r="F61" s="4"/>
      <c r="G61" s="4" t="s">
        <v>21</v>
      </c>
      <c r="H61" s="4" t="s">
        <v>328</v>
      </c>
      <c r="I61" s="89">
        <v>82856</v>
      </c>
      <c r="J61" s="4" t="s">
        <v>14</v>
      </c>
      <c r="K61" s="4" t="s">
        <v>14</v>
      </c>
      <c r="L61" s="4" t="s">
        <v>14</v>
      </c>
      <c r="M61" s="4" t="s">
        <v>225</v>
      </c>
      <c r="N61" s="4">
        <v>2025</v>
      </c>
    </row>
    <row r="62" spans="1:14">
      <c r="A62" s="4">
        <v>24</v>
      </c>
      <c r="B62" s="4" t="s">
        <v>43</v>
      </c>
      <c r="C62" s="4" t="s">
        <v>47</v>
      </c>
      <c r="D62" s="4" t="s">
        <v>61</v>
      </c>
      <c r="E62" s="4" t="s">
        <v>20</v>
      </c>
      <c r="F62" s="4"/>
      <c r="G62" s="4" t="s">
        <v>21</v>
      </c>
      <c r="H62" s="4" t="s">
        <v>328</v>
      </c>
      <c r="I62" s="89">
        <v>31695</v>
      </c>
      <c r="J62" s="4" t="s">
        <v>14</v>
      </c>
      <c r="K62" s="4" t="s">
        <v>14</v>
      </c>
      <c r="L62" s="4" t="s">
        <v>14</v>
      </c>
      <c r="M62" s="4" t="s">
        <v>225</v>
      </c>
      <c r="N62" s="4">
        <v>2025</v>
      </c>
    </row>
    <row r="63" spans="1:14">
      <c r="A63" s="4">
        <v>25</v>
      </c>
      <c r="B63" s="4" t="s">
        <v>43</v>
      </c>
      <c r="C63" s="4" t="s">
        <v>48</v>
      </c>
      <c r="D63" s="4" t="s">
        <v>61</v>
      </c>
      <c r="E63" s="4" t="s">
        <v>20</v>
      </c>
      <c r="F63" s="4"/>
      <c r="G63" s="4" t="s">
        <v>21</v>
      </c>
      <c r="H63" s="4" t="s">
        <v>328</v>
      </c>
      <c r="I63" s="89">
        <v>15065</v>
      </c>
      <c r="J63" s="4" t="s">
        <v>14</v>
      </c>
      <c r="K63" s="4" t="s">
        <v>14</v>
      </c>
      <c r="L63" s="4" t="s">
        <v>14</v>
      </c>
      <c r="M63" s="4" t="s">
        <v>225</v>
      </c>
      <c r="N63" s="4">
        <v>2025</v>
      </c>
    </row>
    <row r="64" spans="1:14">
      <c r="A64" s="4">
        <v>26</v>
      </c>
      <c r="B64" s="4" t="s">
        <v>43</v>
      </c>
      <c r="C64" s="4" t="s">
        <v>49</v>
      </c>
      <c r="D64" s="4" t="s">
        <v>61</v>
      </c>
      <c r="E64" s="4" t="s">
        <v>20</v>
      </c>
      <c r="F64" s="4"/>
      <c r="G64" s="4" t="s">
        <v>21</v>
      </c>
      <c r="H64" s="4" t="s">
        <v>328</v>
      </c>
      <c r="I64" s="89">
        <v>25398</v>
      </c>
      <c r="J64" s="4" t="s">
        <v>14</v>
      </c>
      <c r="K64" s="4" t="s">
        <v>14</v>
      </c>
      <c r="L64" s="4" t="s">
        <v>14</v>
      </c>
      <c r="M64" s="4" t="s">
        <v>225</v>
      </c>
      <c r="N64" s="4">
        <v>2025</v>
      </c>
    </row>
    <row r="65" spans="1:14">
      <c r="A65" s="4">
        <v>27</v>
      </c>
      <c r="B65" s="4" t="s">
        <v>43</v>
      </c>
      <c r="C65" s="4" t="s">
        <v>50</v>
      </c>
      <c r="D65" s="4" t="s">
        <v>61</v>
      </c>
      <c r="E65" s="4" t="s">
        <v>20</v>
      </c>
      <c r="F65" s="4"/>
      <c r="G65" s="4" t="s">
        <v>21</v>
      </c>
      <c r="H65" s="4" t="s">
        <v>328</v>
      </c>
      <c r="I65" s="89">
        <v>124927</v>
      </c>
      <c r="J65" s="4" t="s">
        <v>14</v>
      </c>
      <c r="K65" s="4" t="s">
        <v>14</v>
      </c>
      <c r="L65" s="4" t="s">
        <v>14</v>
      </c>
      <c r="M65" s="4" t="s">
        <v>225</v>
      </c>
      <c r="N65" s="4">
        <v>2025</v>
      </c>
    </row>
    <row r="66" spans="1:14">
      <c r="A66" s="4">
        <v>28</v>
      </c>
      <c r="B66" s="4" t="s">
        <v>43</v>
      </c>
      <c r="C66" s="4" t="s">
        <v>51</v>
      </c>
      <c r="D66" s="4" t="s">
        <v>61</v>
      </c>
      <c r="E66" s="4" t="s">
        <v>20</v>
      </c>
      <c r="F66" s="4"/>
      <c r="G66" s="4" t="s">
        <v>21</v>
      </c>
      <c r="H66" s="4" t="s">
        <v>328</v>
      </c>
      <c r="I66" s="89">
        <v>242348</v>
      </c>
      <c r="J66" s="4" t="s">
        <v>14</v>
      </c>
      <c r="K66" s="4" t="s">
        <v>14</v>
      </c>
      <c r="L66" s="4" t="s">
        <v>14</v>
      </c>
      <c r="M66" s="4" t="s">
        <v>225</v>
      </c>
      <c r="N66" s="4">
        <v>2025</v>
      </c>
    </row>
    <row r="67" spans="1:14">
      <c r="A67" s="4">
        <v>29</v>
      </c>
      <c r="B67" s="4" t="s">
        <v>43</v>
      </c>
      <c r="C67" s="4" t="s">
        <v>52</v>
      </c>
      <c r="D67" s="4" t="s">
        <v>61</v>
      </c>
      <c r="E67" s="4" t="s">
        <v>20</v>
      </c>
      <c r="F67" s="4"/>
      <c r="G67" s="4" t="s">
        <v>21</v>
      </c>
      <c r="H67" s="4" t="s">
        <v>328</v>
      </c>
      <c r="I67" s="89">
        <v>29427</v>
      </c>
      <c r="J67" s="4" t="s">
        <v>14</v>
      </c>
      <c r="K67" s="4" t="s">
        <v>14</v>
      </c>
      <c r="L67" s="4" t="s">
        <v>14</v>
      </c>
      <c r="M67" s="4" t="s">
        <v>225</v>
      </c>
      <c r="N67" s="4">
        <v>2025</v>
      </c>
    </row>
    <row r="68" spans="1:14">
      <c r="A68" s="4">
        <v>30</v>
      </c>
      <c r="B68" s="4" t="s">
        <v>43</v>
      </c>
      <c r="C68" s="4" t="s">
        <v>77</v>
      </c>
      <c r="D68" s="4" t="s">
        <v>61</v>
      </c>
      <c r="E68" s="4" t="s">
        <v>20</v>
      </c>
      <c r="F68" s="4"/>
      <c r="G68" s="4" t="s">
        <v>21</v>
      </c>
      <c r="H68" s="4" t="s">
        <v>328</v>
      </c>
      <c r="I68" s="89">
        <v>5092</v>
      </c>
      <c r="J68" s="4" t="s">
        <v>14</v>
      </c>
      <c r="K68" s="4" t="s">
        <v>14</v>
      </c>
      <c r="L68" s="4" t="s">
        <v>14</v>
      </c>
      <c r="M68" s="4" t="s">
        <v>225</v>
      </c>
      <c r="N68" s="4">
        <v>2025</v>
      </c>
    </row>
    <row r="69" spans="1:14">
      <c r="A69" s="4">
        <v>31</v>
      </c>
      <c r="B69" s="35" t="s">
        <v>53</v>
      </c>
      <c r="C69" s="4" t="s">
        <v>54</v>
      </c>
      <c r="D69" s="4" t="s">
        <v>61</v>
      </c>
      <c r="E69" s="4" t="s">
        <v>20</v>
      </c>
      <c r="F69" s="4"/>
      <c r="G69" s="4" t="s">
        <v>21</v>
      </c>
      <c r="H69" s="4" t="s">
        <v>328</v>
      </c>
      <c r="I69" s="89">
        <v>217607</v>
      </c>
      <c r="J69" s="4" t="s">
        <v>14</v>
      </c>
      <c r="K69" s="4" t="s">
        <v>14</v>
      </c>
      <c r="L69" s="4" t="s">
        <v>14</v>
      </c>
      <c r="M69" s="4" t="s">
        <v>225</v>
      </c>
      <c r="N69" s="4">
        <v>2025</v>
      </c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</sheetData>
  <autoFilter ref="A1:N1" xr:uid="{00000000-0001-0000-0200-000000000000}">
    <sortState xmlns:xlrd2="http://schemas.microsoft.com/office/spreadsheetml/2017/richdata2" ref="A2:N69">
      <sortCondition ref="M1"/>
    </sortState>
  </autoFilter>
  <dataValidations count="1">
    <dataValidation type="list" allowBlank="1" showInputMessage="1" showErrorMessage="1" sqref="B13 B45 C2:C66 C69:C277" xr:uid="{00000000-0002-0000-0200-000001000000}">
      <formula1>INDIRECT(A2)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List!$P$2:$P$11</xm:f>
          </x14:formula1>
          <xm:sqref>B16:B31 B2:B8 B12 B10 C67:C68 B34:B40 B44 B42 B48:B64 B67:B277</xm:sqref>
        </x14:dataValidation>
        <x14:dataValidation type="list" allowBlank="1" showInputMessage="1" showErrorMessage="1" xr:uid="{00000000-0002-0000-0200-000004000000}">
          <x14:formula1>
            <xm:f>List!$H$2:$H$13</xm:f>
          </x14:formula1>
          <xm:sqref>M2:M277</xm:sqref>
        </x14:dataValidation>
        <x14:dataValidation type="list" allowBlank="1" showInputMessage="1" showErrorMessage="1" xr:uid="{00000000-0002-0000-0200-000005000000}">
          <x14:formula1>
            <xm:f>List!$J$2:$J$4</xm:f>
          </x14:formula1>
          <xm:sqref>N2:N277</xm:sqref>
        </x14:dataValidation>
        <x14:dataValidation type="list" allowBlank="1" showInputMessage="1" showErrorMessage="1" xr:uid="{00000000-0002-0000-0200-000002000000}">
          <x14:formula1>
            <xm:f>List!$C$2:$C$3</xm:f>
          </x14:formula1>
          <xm:sqref>D2:D277</xm:sqref>
        </x14:dataValidation>
        <x14:dataValidation type="list" allowBlank="1" showInputMessage="1" showErrorMessage="1" xr:uid="{00000000-0002-0000-0200-000003000000}">
          <x14:formula1>
            <xm:f>List!$E$2:$E$32</xm:f>
          </x14:formula1>
          <xm:sqref>E2:E277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O14"/>
  <sheetViews>
    <sheetView topLeftCell="B1" workbookViewId="0">
      <selection activeCell="B2" sqref="B2:N14"/>
    </sheetView>
  </sheetViews>
  <sheetFormatPr defaultColWidth="9" defaultRowHeight="14.4"/>
  <cols>
    <col min="1" max="1" width="5.33203125" customWidth="1"/>
    <col min="2" max="2" width="9.33203125" customWidth="1"/>
    <col min="3" max="3" width="9.6640625" customWidth="1"/>
    <col min="4" max="4" width="9" customWidth="1"/>
    <col min="5" max="5" width="17.21875" customWidth="1"/>
    <col min="6" max="6" width="10.21875" customWidth="1"/>
    <col min="7" max="7" width="42.44140625" customWidth="1"/>
    <col min="8" max="8" width="25.44140625" customWidth="1"/>
    <col min="9" max="9" width="18.109375" customWidth="1"/>
    <col min="10" max="10" width="10.109375" customWidth="1"/>
    <col min="11" max="11" width="11.21875" customWidth="1"/>
    <col min="12" max="12" width="10.77734375" customWidth="1"/>
    <col min="13" max="13" width="6.5546875" customWidth="1"/>
    <col min="14" max="14" width="4.77734375" customWidth="1"/>
    <col min="15" max="15" width="10.109375" bestFit="1" customWidth="1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5">
      <c r="A2" s="4">
        <v>1</v>
      </c>
      <c r="B2" s="4" t="s">
        <v>55</v>
      </c>
      <c r="C2" s="4" t="s">
        <v>56</v>
      </c>
      <c r="D2" s="4" t="s">
        <v>61</v>
      </c>
      <c r="E2" s="4" t="s">
        <v>57</v>
      </c>
      <c r="F2" s="4"/>
      <c r="G2" s="4" t="s">
        <v>305</v>
      </c>
      <c r="H2" s="4" t="s">
        <v>57</v>
      </c>
      <c r="I2" s="27">
        <v>14000</v>
      </c>
      <c r="J2" s="47" t="s">
        <v>311</v>
      </c>
      <c r="K2" s="60">
        <v>45879</v>
      </c>
      <c r="L2" s="4">
        <v>2025403004</v>
      </c>
      <c r="M2" s="4" t="s">
        <v>226</v>
      </c>
      <c r="N2" s="4">
        <v>2025</v>
      </c>
    </row>
    <row r="3" spans="1:15">
      <c r="A3" s="4">
        <v>2</v>
      </c>
      <c r="B3" s="4" t="s">
        <v>35</v>
      </c>
      <c r="C3" s="4" t="s">
        <v>38</v>
      </c>
      <c r="D3" s="4" t="s">
        <v>61</v>
      </c>
      <c r="E3" s="4" t="s">
        <v>57</v>
      </c>
      <c r="F3" s="4"/>
      <c r="G3" s="4" t="s">
        <v>310</v>
      </c>
      <c r="H3" s="4" t="s">
        <v>57</v>
      </c>
      <c r="I3" s="27">
        <v>44800</v>
      </c>
      <c r="J3" s="47" t="s">
        <v>312</v>
      </c>
      <c r="K3" s="60">
        <v>45838</v>
      </c>
      <c r="L3" s="4" t="s">
        <v>14</v>
      </c>
      <c r="M3" s="4" t="s">
        <v>225</v>
      </c>
      <c r="N3" s="4">
        <v>2025</v>
      </c>
    </row>
    <row r="4" spans="1:15">
      <c r="A4" s="4">
        <v>3</v>
      </c>
      <c r="B4" s="4" t="s">
        <v>43</v>
      </c>
      <c r="C4" s="4" t="s">
        <v>50</v>
      </c>
      <c r="D4" s="4" t="s">
        <v>61</v>
      </c>
      <c r="E4" s="4" t="s">
        <v>57</v>
      </c>
      <c r="F4" s="4"/>
      <c r="G4" s="4" t="s">
        <v>306</v>
      </c>
      <c r="H4" s="4" t="s">
        <v>57</v>
      </c>
      <c r="I4" s="36">
        <v>3169.0140845070423</v>
      </c>
      <c r="J4" s="47">
        <v>1120</v>
      </c>
      <c r="K4" s="60">
        <v>45839</v>
      </c>
      <c r="L4" s="4" t="s">
        <v>14</v>
      </c>
      <c r="M4" s="4" t="s">
        <v>225</v>
      </c>
      <c r="N4" s="4">
        <v>2025</v>
      </c>
      <c r="O4" s="36"/>
    </row>
    <row r="5" spans="1:15">
      <c r="A5" s="4">
        <v>4</v>
      </c>
      <c r="B5" s="4" t="s">
        <v>43</v>
      </c>
      <c r="C5" s="4" t="s">
        <v>50</v>
      </c>
      <c r="D5" s="4" t="s">
        <v>61</v>
      </c>
      <c r="E5" s="4" t="s">
        <v>57</v>
      </c>
      <c r="F5" s="4"/>
      <c r="G5" s="4" t="s">
        <v>306</v>
      </c>
      <c r="H5" s="4" t="s">
        <v>57</v>
      </c>
      <c r="I5" s="61">
        <v>3345.0704225352115</v>
      </c>
      <c r="J5" s="47">
        <v>1121</v>
      </c>
      <c r="K5" s="60">
        <v>45839</v>
      </c>
      <c r="L5" s="4" t="s">
        <v>14</v>
      </c>
      <c r="M5" s="4" t="s">
        <v>225</v>
      </c>
      <c r="N5" s="4">
        <v>2025</v>
      </c>
      <c r="O5" s="36"/>
    </row>
    <row r="6" spans="1:15">
      <c r="A6" s="4">
        <v>5</v>
      </c>
      <c r="B6" s="4" t="s">
        <v>43</v>
      </c>
      <c r="C6" s="4" t="s">
        <v>50</v>
      </c>
      <c r="D6" s="4" t="s">
        <v>61</v>
      </c>
      <c r="E6" s="4" t="s">
        <v>57</v>
      </c>
      <c r="F6" s="4"/>
      <c r="G6" s="4" t="s">
        <v>306</v>
      </c>
      <c r="H6" s="4" t="s">
        <v>57</v>
      </c>
      <c r="I6" s="61">
        <v>774.64788732394368</v>
      </c>
      <c r="J6" s="47">
        <v>1122</v>
      </c>
      <c r="K6" s="60">
        <v>45839</v>
      </c>
      <c r="L6" s="4" t="s">
        <v>14</v>
      </c>
      <c r="M6" s="4" t="s">
        <v>225</v>
      </c>
      <c r="N6" s="4">
        <v>2025</v>
      </c>
      <c r="O6" s="36"/>
    </row>
    <row r="7" spans="1:15">
      <c r="A7" s="4">
        <v>6</v>
      </c>
      <c r="B7" s="4" t="s">
        <v>43</v>
      </c>
      <c r="C7" s="4" t="s">
        <v>50</v>
      </c>
      <c r="D7" s="4" t="s">
        <v>61</v>
      </c>
      <c r="E7" s="4" t="s">
        <v>57</v>
      </c>
      <c r="F7" s="4"/>
      <c r="G7" s="4" t="s">
        <v>306</v>
      </c>
      <c r="H7" s="4" t="s">
        <v>57</v>
      </c>
      <c r="I7" s="61">
        <v>915.49295774647885</v>
      </c>
      <c r="J7" s="47">
        <v>1123</v>
      </c>
      <c r="K7" s="60">
        <v>45839</v>
      </c>
      <c r="L7" s="4" t="s">
        <v>14</v>
      </c>
      <c r="M7" s="4" t="s">
        <v>225</v>
      </c>
      <c r="N7" s="4">
        <v>2025</v>
      </c>
      <c r="O7" s="36"/>
    </row>
    <row r="8" spans="1:15">
      <c r="A8" s="4">
        <v>7</v>
      </c>
      <c r="B8" s="4" t="s">
        <v>43</v>
      </c>
      <c r="C8" s="4" t="s">
        <v>50</v>
      </c>
      <c r="D8" s="4" t="s">
        <v>61</v>
      </c>
      <c r="E8" s="4" t="s">
        <v>57</v>
      </c>
      <c r="F8" s="4"/>
      <c r="G8" s="4" t="s">
        <v>306</v>
      </c>
      <c r="H8" s="4" t="s">
        <v>57</v>
      </c>
      <c r="I8" s="61">
        <v>1373.2394366197184</v>
      </c>
      <c r="J8" s="47">
        <v>1210</v>
      </c>
      <c r="K8" s="60">
        <v>45864</v>
      </c>
      <c r="L8" s="4" t="s">
        <v>14</v>
      </c>
      <c r="M8" s="4" t="s">
        <v>225</v>
      </c>
      <c r="N8" s="4">
        <v>2025</v>
      </c>
      <c r="O8" s="36"/>
    </row>
    <row r="9" spans="1:15">
      <c r="A9" s="4">
        <v>8</v>
      </c>
      <c r="B9" s="4" t="s">
        <v>43</v>
      </c>
      <c r="C9" s="4" t="s">
        <v>50</v>
      </c>
      <c r="D9" s="4" t="s">
        <v>61</v>
      </c>
      <c r="E9" s="4" t="s">
        <v>57</v>
      </c>
      <c r="F9" s="4"/>
      <c r="G9" t="s">
        <v>306</v>
      </c>
      <c r="H9" s="4" t="s">
        <v>57</v>
      </c>
      <c r="I9" s="36">
        <v>1232.394366197183</v>
      </c>
      <c r="J9" s="47">
        <v>1217</v>
      </c>
      <c r="K9" s="60">
        <v>45864</v>
      </c>
      <c r="L9" s="4" t="s">
        <v>14</v>
      </c>
      <c r="M9" t="s">
        <v>225</v>
      </c>
      <c r="N9" s="4">
        <v>2025</v>
      </c>
      <c r="O9" s="36"/>
    </row>
    <row r="10" spans="1:15">
      <c r="A10" s="4">
        <v>9</v>
      </c>
      <c r="B10" t="s">
        <v>43</v>
      </c>
      <c r="C10" t="s">
        <v>46</v>
      </c>
      <c r="D10" s="4" t="s">
        <v>61</v>
      </c>
      <c r="E10" s="4" t="s">
        <v>57</v>
      </c>
      <c r="F10" s="4"/>
      <c r="G10" t="s">
        <v>306</v>
      </c>
      <c r="H10" s="4" t="s">
        <v>57</v>
      </c>
      <c r="I10" s="36">
        <v>5281.6901408450703</v>
      </c>
      <c r="J10" s="47">
        <v>1219</v>
      </c>
      <c r="K10" s="60">
        <v>45865</v>
      </c>
      <c r="L10" s="4" t="s">
        <v>14</v>
      </c>
      <c r="M10" t="s">
        <v>225</v>
      </c>
      <c r="N10" s="4">
        <v>2025</v>
      </c>
      <c r="O10" s="36"/>
    </row>
    <row r="11" spans="1:15">
      <c r="A11" s="4">
        <v>10</v>
      </c>
      <c r="B11" t="s">
        <v>55</v>
      </c>
      <c r="C11" t="s">
        <v>98</v>
      </c>
      <c r="D11" s="4" t="s">
        <v>61</v>
      </c>
      <c r="E11" s="4" t="s">
        <v>57</v>
      </c>
      <c r="F11" s="4"/>
      <c r="G11" t="s">
        <v>306</v>
      </c>
      <c r="H11" s="4" t="s">
        <v>57</v>
      </c>
      <c r="I11" s="36">
        <v>5704.2253521126759</v>
      </c>
      <c r="J11" s="47">
        <v>1250</v>
      </c>
      <c r="K11" s="60">
        <v>45884</v>
      </c>
      <c r="L11" s="4" t="s">
        <v>14</v>
      </c>
      <c r="M11" t="s">
        <v>226</v>
      </c>
      <c r="N11" s="4">
        <v>2025</v>
      </c>
      <c r="O11" s="36"/>
    </row>
    <row r="12" spans="1:15">
      <c r="A12" s="4">
        <v>11</v>
      </c>
      <c r="B12" t="s">
        <v>55</v>
      </c>
      <c r="C12" t="s">
        <v>98</v>
      </c>
      <c r="D12" s="4" t="s">
        <v>61</v>
      </c>
      <c r="E12" s="4" t="s">
        <v>57</v>
      </c>
      <c r="F12" s="4"/>
      <c r="G12" t="s">
        <v>306</v>
      </c>
      <c r="H12" s="4" t="s">
        <v>57</v>
      </c>
      <c r="I12" s="36">
        <v>8274.647887323943</v>
      </c>
      <c r="J12" s="47">
        <v>1252</v>
      </c>
      <c r="K12" s="60">
        <v>45884</v>
      </c>
      <c r="L12" s="4" t="s">
        <v>14</v>
      </c>
      <c r="M12" t="s">
        <v>226</v>
      </c>
      <c r="N12" s="4">
        <v>2025</v>
      </c>
      <c r="O12" s="36"/>
    </row>
    <row r="13" spans="1:15">
      <c r="A13" s="4">
        <v>12</v>
      </c>
      <c r="B13" s="4" t="s">
        <v>43</v>
      </c>
      <c r="C13" s="4" t="s">
        <v>50</v>
      </c>
      <c r="D13" s="4" t="s">
        <v>61</v>
      </c>
      <c r="E13" s="4" t="s">
        <v>57</v>
      </c>
      <c r="F13" s="4"/>
      <c r="G13" t="s">
        <v>306</v>
      </c>
      <c r="H13" s="4" t="s">
        <v>57</v>
      </c>
      <c r="I13" s="36">
        <v>2816.9014084507044</v>
      </c>
      <c r="J13" s="47">
        <v>1254</v>
      </c>
      <c r="K13" s="60">
        <v>45889</v>
      </c>
      <c r="L13" s="4" t="s">
        <v>14</v>
      </c>
      <c r="M13" t="s">
        <v>226</v>
      </c>
      <c r="N13" s="4">
        <v>2025</v>
      </c>
      <c r="O13" s="36"/>
    </row>
    <row r="14" spans="1:15">
      <c r="A14" s="4">
        <v>13</v>
      </c>
      <c r="B14" s="4" t="s">
        <v>43</v>
      </c>
      <c r="C14" s="4" t="s">
        <v>50</v>
      </c>
      <c r="D14" s="4" t="s">
        <v>61</v>
      </c>
      <c r="E14" s="4" t="s">
        <v>57</v>
      </c>
      <c r="F14" s="4"/>
      <c r="G14" t="s">
        <v>306</v>
      </c>
      <c r="H14" s="4" t="s">
        <v>57</v>
      </c>
      <c r="I14" s="36">
        <v>1936.6197183098591</v>
      </c>
      <c r="J14" s="47">
        <v>1257</v>
      </c>
      <c r="K14" s="60">
        <v>45853</v>
      </c>
      <c r="L14" s="4" t="s">
        <v>14</v>
      </c>
      <c r="M14" t="s">
        <v>225</v>
      </c>
      <c r="N14" s="4">
        <v>2025</v>
      </c>
      <c r="O14" s="36"/>
    </row>
  </sheetData>
  <dataValidations count="1">
    <dataValidation type="list" allowBlank="1" showInputMessage="1" showErrorMessage="1" sqref="C2:C3 C6:C9 C13:C14" xr:uid="{00000000-0002-0000-03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List!$P$2:$P$11</xm:f>
          </x14:formula1>
          <xm:sqref>B2:B3 B6:B9 B13:B14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D2:D14</xm:sqref>
        </x14:dataValidation>
        <x14:dataValidation type="list" allowBlank="1" showInputMessage="1" showErrorMessage="1" xr:uid="{00000000-0002-0000-0300-000003000000}">
          <x14:formula1>
            <xm:f>List!$H$2:$H$13</xm:f>
          </x14:formula1>
          <xm:sqref>M2:M8</xm:sqref>
        </x14:dataValidation>
        <x14:dataValidation type="list" allowBlank="1" showInputMessage="1" showErrorMessage="1" xr:uid="{00000000-0002-0000-0300-000004000000}">
          <x14:formula1>
            <xm:f>List!$J$2:$J$4</xm:f>
          </x14:formula1>
          <xm:sqref>N2:N14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N201"/>
  <sheetViews>
    <sheetView topLeftCell="A174" workbookViewId="0">
      <selection activeCell="B2" sqref="B2:N200"/>
    </sheetView>
  </sheetViews>
  <sheetFormatPr defaultColWidth="9" defaultRowHeight="14.4"/>
  <cols>
    <col min="1" max="1" width="5.33203125" style="47" customWidth="1"/>
    <col min="2" max="2" width="9.33203125" style="47" customWidth="1"/>
    <col min="3" max="3" width="10.44140625" style="47" customWidth="1"/>
    <col min="4" max="4" width="8.88671875" style="47" customWidth="1"/>
    <col min="5" max="5" width="24.77734375" style="47" customWidth="1"/>
    <col min="6" max="6" width="10.109375" style="47" customWidth="1"/>
    <col min="7" max="7" width="9.44140625" style="47" customWidth="1"/>
    <col min="8" max="8" width="22.33203125" style="47" customWidth="1"/>
    <col min="9" max="9" width="18" style="47" customWidth="1"/>
    <col min="10" max="10" width="10.109375" style="47" customWidth="1"/>
    <col min="11" max="11" width="11.109375" style="47" customWidth="1"/>
    <col min="12" max="12" width="10.44140625" style="47" customWidth="1"/>
    <col min="13" max="13" width="6.44140625" style="47" customWidth="1"/>
    <col min="14" max="14" width="4.77734375" style="47" customWidth="1"/>
  </cols>
  <sheetData>
    <row r="1" spans="1:14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</row>
    <row r="2" spans="1:14">
      <c r="A2" s="50">
        <v>3</v>
      </c>
      <c r="B2" s="50" t="s">
        <v>17</v>
      </c>
      <c r="C2" s="45" t="s">
        <v>26</v>
      </c>
      <c r="D2" s="50" t="s">
        <v>61</v>
      </c>
      <c r="E2" s="50" t="s">
        <v>63</v>
      </c>
      <c r="F2" s="50"/>
      <c r="G2" s="50" t="s">
        <v>64</v>
      </c>
      <c r="H2" s="51" t="s">
        <v>66</v>
      </c>
      <c r="I2" s="52">
        <v>915.49295774647885</v>
      </c>
      <c r="J2" s="45" t="s">
        <v>68</v>
      </c>
      <c r="K2" s="45">
        <v>45724</v>
      </c>
      <c r="L2" s="97" t="s">
        <v>14</v>
      </c>
      <c r="M2" s="53" t="s">
        <v>226</v>
      </c>
      <c r="N2" s="50">
        <v>2025</v>
      </c>
    </row>
    <row r="3" spans="1:14">
      <c r="A3" s="50">
        <v>10</v>
      </c>
      <c r="B3" s="50" t="s">
        <v>59</v>
      </c>
      <c r="C3" s="45" t="s">
        <v>60</v>
      </c>
      <c r="D3" s="50" t="s">
        <v>61</v>
      </c>
      <c r="E3" s="50" t="s">
        <v>63</v>
      </c>
      <c r="F3" s="50"/>
      <c r="G3" s="50" t="s">
        <v>64</v>
      </c>
      <c r="H3" s="51" t="s">
        <v>1205</v>
      </c>
      <c r="I3" s="52">
        <v>1760.5633802816901</v>
      </c>
      <c r="J3" s="51" t="s">
        <v>68</v>
      </c>
      <c r="K3" s="45">
        <v>45900</v>
      </c>
      <c r="L3" s="97" t="s">
        <v>14</v>
      </c>
      <c r="M3" s="53" t="s">
        <v>226</v>
      </c>
      <c r="N3" s="50">
        <v>2025</v>
      </c>
    </row>
    <row r="4" spans="1:14">
      <c r="A4" s="50">
        <v>11</v>
      </c>
      <c r="B4" s="50" t="s">
        <v>59</v>
      </c>
      <c r="C4" s="45" t="s">
        <v>60</v>
      </c>
      <c r="D4" s="50" t="s">
        <v>61</v>
      </c>
      <c r="E4" s="50" t="s">
        <v>63</v>
      </c>
      <c r="F4" s="50"/>
      <c r="G4" s="50" t="s">
        <v>64</v>
      </c>
      <c r="H4" s="51" t="s">
        <v>1209</v>
      </c>
      <c r="I4" s="52">
        <v>478.87323943661971</v>
      </c>
      <c r="J4" s="50" t="s">
        <v>68</v>
      </c>
      <c r="K4" s="45">
        <v>45785</v>
      </c>
      <c r="L4" s="97" t="s">
        <v>14</v>
      </c>
      <c r="M4" s="53" t="s">
        <v>226</v>
      </c>
      <c r="N4" s="50">
        <v>2025</v>
      </c>
    </row>
    <row r="5" spans="1:14">
      <c r="A5" s="50">
        <v>12</v>
      </c>
      <c r="B5" s="50" t="s">
        <v>59</v>
      </c>
      <c r="C5" s="45" t="s">
        <v>60</v>
      </c>
      <c r="D5" s="50" t="s">
        <v>61</v>
      </c>
      <c r="E5" s="50" t="s">
        <v>63</v>
      </c>
      <c r="F5" s="50"/>
      <c r="G5" s="50" t="s">
        <v>64</v>
      </c>
      <c r="H5" s="51" t="s">
        <v>65</v>
      </c>
      <c r="I5" s="52">
        <v>925.35211267605632</v>
      </c>
      <c r="J5" s="50" t="s">
        <v>68</v>
      </c>
      <c r="K5" s="45">
        <v>45899</v>
      </c>
      <c r="L5" s="97" t="s">
        <v>14</v>
      </c>
      <c r="M5" s="53" t="s">
        <v>226</v>
      </c>
      <c r="N5" s="50">
        <v>2025</v>
      </c>
    </row>
    <row r="6" spans="1:14">
      <c r="A6" s="50">
        <v>13</v>
      </c>
      <c r="B6" s="50" t="s">
        <v>59</v>
      </c>
      <c r="C6" s="45" t="s">
        <v>60</v>
      </c>
      <c r="D6" s="50" t="s">
        <v>61</v>
      </c>
      <c r="E6" s="50" t="s">
        <v>63</v>
      </c>
      <c r="F6" s="50"/>
      <c r="G6" s="50" t="s">
        <v>64</v>
      </c>
      <c r="H6" s="51" t="s">
        <v>1210</v>
      </c>
      <c r="I6" s="52">
        <v>3554.9295774647885</v>
      </c>
      <c r="J6" s="50" t="s">
        <v>68</v>
      </c>
      <c r="K6" s="45">
        <v>45724</v>
      </c>
      <c r="L6" s="97" t="s">
        <v>14</v>
      </c>
      <c r="M6" s="53" t="s">
        <v>226</v>
      </c>
      <c r="N6" s="50">
        <v>2025</v>
      </c>
    </row>
    <row r="7" spans="1:14">
      <c r="A7" s="50">
        <v>20</v>
      </c>
      <c r="B7" s="50" t="s">
        <v>33</v>
      </c>
      <c r="C7" s="50" t="s">
        <v>34</v>
      </c>
      <c r="D7" s="50" t="s">
        <v>61</v>
      </c>
      <c r="E7" s="50" t="s">
        <v>63</v>
      </c>
      <c r="F7" s="50"/>
      <c r="G7" s="50" t="s">
        <v>64</v>
      </c>
      <c r="H7" s="50" t="s">
        <v>65</v>
      </c>
      <c r="I7" s="52">
        <v>8098.5915492957747</v>
      </c>
      <c r="J7" s="50" t="s">
        <v>68</v>
      </c>
      <c r="K7" s="45">
        <v>45896</v>
      </c>
      <c r="L7" s="97" t="s">
        <v>14</v>
      </c>
      <c r="M7" s="53" t="s">
        <v>226</v>
      </c>
      <c r="N7" s="50">
        <v>2025</v>
      </c>
    </row>
    <row r="8" spans="1:14">
      <c r="A8" s="50">
        <v>21</v>
      </c>
      <c r="B8" s="50" t="s">
        <v>33</v>
      </c>
      <c r="C8" s="50" t="s">
        <v>34</v>
      </c>
      <c r="D8" s="50" t="s">
        <v>61</v>
      </c>
      <c r="E8" s="50" t="s">
        <v>63</v>
      </c>
      <c r="F8" s="50"/>
      <c r="G8" s="50" t="s">
        <v>64</v>
      </c>
      <c r="H8" s="50" t="s">
        <v>65</v>
      </c>
      <c r="I8" s="52">
        <v>2007.0422535211267</v>
      </c>
      <c r="J8" s="50" t="s">
        <v>68</v>
      </c>
      <c r="K8" s="45">
        <v>45889</v>
      </c>
      <c r="L8" s="97" t="s">
        <v>14</v>
      </c>
      <c r="M8" s="53" t="s">
        <v>226</v>
      </c>
      <c r="N8" s="50">
        <v>2025</v>
      </c>
    </row>
    <row r="9" spans="1:14">
      <c r="A9" s="50">
        <v>22</v>
      </c>
      <c r="B9" s="50" t="s">
        <v>33</v>
      </c>
      <c r="C9" s="50" t="s">
        <v>34</v>
      </c>
      <c r="D9" s="50" t="s">
        <v>61</v>
      </c>
      <c r="E9" s="50" t="s">
        <v>63</v>
      </c>
      <c r="F9" s="50"/>
      <c r="G9" s="50" t="s">
        <v>64</v>
      </c>
      <c r="H9" s="50" t="s">
        <v>1214</v>
      </c>
      <c r="I9" s="52">
        <v>1179.5774647887324</v>
      </c>
      <c r="J9" s="50" t="s">
        <v>68</v>
      </c>
      <c r="K9" s="45">
        <v>45887</v>
      </c>
      <c r="L9" s="97" t="s">
        <v>14</v>
      </c>
      <c r="M9" s="53" t="s">
        <v>226</v>
      </c>
      <c r="N9" s="50">
        <v>2025</v>
      </c>
    </row>
    <row r="10" spans="1:14">
      <c r="A10" s="50">
        <v>23</v>
      </c>
      <c r="B10" s="50" t="s">
        <v>33</v>
      </c>
      <c r="C10" s="45" t="s">
        <v>34</v>
      </c>
      <c r="D10" s="50" t="s">
        <v>61</v>
      </c>
      <c r="E10" s="50" t="s">
        <v>63</v>
      </c>
      <c r="F10" s="50"/>
      <c r="G10" s="50" t="s">
        <v>64</v>
      </c>
      <c r="H10" s="51" t="s">
        <v>65</v>
      </c>
      <c r="I10" s="52">
        <v>1056.338028169014</v>
      </c>
      <c r="J10" s="50" t="s">
        <v>68</v>
      </c>
      <c r="K10" s="45">
        <v>45785</v>
      </c>
      <c r="L10" s="97" t="s">
        <v>14</v>
      </c>
      <c r="M10" s="53" t="s">
        <v>226</v>
      </c>
      <c r="N10" s="50">
        <v>2025</v>
      </c>
    </row>
    <row r="11" spans="1:14">
      <c r="A11" s="50">
        <v>24</v>
      </c>
      <c r="B11" s="50" t="s">
        <v>33</v>
      </c>
      <c r="C11" s="45" t="s">
        <v>34</v>
      </c>
      <c r="D11" s="50" t="s">
        <v>61</v>
      </c>
      <c r="E11" s="50" t="s">
        <v>63</v>
      </c>
      <c r="F11" s="50"/>
      <c r="G11" s="50" t="s">
        <v>64</v>
      </c>
      <c r="H11" s="51" t="s">
        <v>67</v>
      </c>
      <c r="I11" s="52">
        <v>352.11267605633805</v>
      </c>
      <c r="J11" s="50" t="s">
        <v>68</v>
      </c>
      <c r="K11" s="45">
        <v>45724</v>
      </c>
      <c r="L11" s="97" t="s">
        <v>14</v>
      </c>
      <c r="M11" s="53" t="s">
        <v>226</v>
      </c>
      <c r="N11" s="50">
        <v>2025</v>
      </c>
    </row>
    <row r="12" spans="1:14">
      <c r="A12" s="50">
        <v>25</v>
      </c>
      <c r="B12" s="50" t="s">
        <v>33</v>
      </c>
      <c r="C12" s="45" t="s">
        <v>34</v>
      </c>
      <c r="D12" s="50" t="s">
        <v>61</v>
      </c>
      <c r="E12" s="50" t="s">
        <v>63</v>
      </c>
      <c r="F12" s="50"/>
      <c r="G12" s="50" t="s">
        <v>64</v>
      </c>
      <c r="H12" s="51" t="s">
        <v>67</v>
      </c>
      <c r="I12" s="52">
        <v>528.16901408450701</v>
      </c>
      <c r="J12" s="50" t="s">
        <v>68</v>
      </c>
      <c r="K12" s="45">
        <v>45724</v>
      </c>
      <c r="L12" s="97" t="s">
        <v>14</v>
      </c>
      <c r="M12" s="53" t="s">
        <v>226</v>
      </c>
      <c r="N12" s="50">
        <v>2025</v>
      </c>
    </row>
    <row r="13" spans="1:14">
      <c r="A13" s="50">
        <v>27</v>
      </c>
      <c r="B13" s="50" t="s">
        <v>43</v>
      </c>
      <c r="C13" s="45" t="s">
        <v>52</v>
      </c>
      <c r="D13" s="50" t="s">
        <v>61</v>
      </c>
      <c r="E13" s="50" t="s">
        <v>63</v>
      </c>
      <c r="F13" s="50"/>
      <c r="G13" s="50" t="s">
        <v>64</v>
      </c>
      <c r="H13" s="54" t="s">
        <v>65</v>
      </c>
      <c r="I13" s="52">
        <v>1760.5633802816901</v>
      </c>
      <c r="J13" s="50" t="s">
        <v>68</v>
      </c>
      <c r="K13" s="45">
        <v>45887</v>
      </c>
      <c r="L13" s="97" t="s">
        <v>14</v>
      </c>
      <c r="M13" s="53" t="s">
        <v>226</v>
      </c>
      <c r="N13" s="50">
        <v>2025</v>
      </c>
    </row>
    <row r="14" spans="1:14">
      <c r="A14" s="50">
        <v>31</v>
      </c>
      <c r="B14" s="50" t="s">
        <v>53</v>
      </c>
      <c r="C14" s="50" t="s">
        <v>54</v>
      </c>
      <c r="D14" s="50" t="s">
        <v>61</v>
      </c>
      <c r="E14" s="50" t="s">
        <v>63</v>
      </c>
      <c r="F14" s="50"/>
      <c r="G14" s="50" t="s">
        <v>64</v>
      </c>
      <c r="H14" s="50" t="s">
        <v>65</v>
      </c>
      <c r="I14" s="52">
        <v>183.09859154929578</v>
      </c>
      <c r="J14" s="50" t="s">
        <v>68</v>
      </c>
      <c r="K14" s="45">
        <v>45890</v>
      </c>
      <c r="L14" s="97" t="s">
        <v>14</v>
      </c>
      <c r="M14" s="53" t="s">
        <v>226</v>
      </c>
      <c r="N14" s="50">
        <v>2025</v>
      </c>
    </row>
    <row r="15" spans="1:14">
      <c r="A15" s="50">
        <v>32</v>
      </c>
      <c r="B15" s="50" t="s">
        <v>53</v>
      </c>
      <c r="C15" s="45" t="s">
        <v>54</v>
      </c>
      <c r="D15" s="50" t="s">
        <v>61</v>
      </c>
      <c r="E15" s="50" t="s">
        <v>63</v>
      </c>
      <c r="F15" s="50"/>
      <c r="G15" s="50" t="s">
        <v>64</v>
      </c>
      <c r="H15" s="51" t="s">
        <v>69</v>
      </c>
      <c r="I15" s="52">
        <v>352.11267605633805</v>
      </c>
      <c r="J15" s="50" t="s">
        <v>68</v>
      </c>
      <c r="K15" s="45">
        <v>45724</v>
      </c>
      <c r="L15" s="97" t="s">
        <v>14</v>
      </c>
      <c r="M15" s="53" t="s">
        <v>226</v>
      </c>
      <c r="N15" s="50">
        <v>2025</v>
      </c>
    </row>
    <row r="16" spans="1:14">
      <c r="A16" s="50">
        <v>41</v>
      </c>
      <c r="B16" s="50" t="s">
        <v>17</v>
      </c>
      <c r="C16" s="45" t="s">
        <v>23</v>
      </c>
      <c r="D16" s="50" t="s">
        <v>61</v>
      </c>
      <c r="E16" s="50" t="s">
        <v>105</v>
      </c>
      <c r="F16" s="50"/>
      <c r="G16" s="50" t="s">
        <v>64</v>
      </c>
      <c r="H16" s="51" t="s">
        <v>85</v>
      </c>
      <c r="I16" s="52">
        <v>223.94366197183098</v>
      </c>
      <c r="J16" s="50" t="s">
        <v>68</v>
      </c>
      <c r="K16" s="45">
        <v>45890</v>
      </c>
      <c r="L16" s="97" t="s">
        <v>14</v>
      </c>
      <c r="M16" s="53" t="s">
        <v>226</v>
      </c>
      <c r="N16" s="50">
        <v>2025</v>
      </c>
    </row>
    <row r="17" spans="1:14">
      <c r="A17" s="50">
        <v>42</v>
      </c>
      <c r="B17" s="50" t="s">
        <v>17</v>
      </c>
      <c r="C17" s="45" t="s">
        <v>25</v>
      </c>
      <c r="D17" s="50" t="s">
        <v>61</v>
      </c>
      <c r="E17" s="50" t="s">
        <v>105</v>
      </c>
      <c r="F17" s="50"/>
      <c r="G17" s="50" t="s">
        <v>64</v>
      </c>
      <c r="H17" s="51" t="s">
        <v>1222</v>
      </c>
      <c r="I17" s="52">
        <v>242.95774647887325</v>
      </c>
      <c r="J17" s="50" t="s">
        <v>68</v>
      </c>
      <c r="K17" s="45">
        <v>45696</v>
      </c>
      <c r="L17" s="97" t="s">
        <v>14</v>
      </c>
      <c r="M17" s="53" t="s">
        <v>226</v>
      </c>
      <c r="N17" s="50">
        <v>2025</v>
      </c>
    </row>
    <row r="18" spans="1:14">
      <c r="A18" s="50">
        <v>50</v>
      </c>
      <c r="B18" s="50" t="s">
        <v>59</v>
      </c>
      <c r="C18" s="50" t="s">
        <v>60</v>
      </c>
      <c r="D18" s="50" t="s">
        <v>61</v>
      </c>
      <c r="E18" s="50" t="s">
        <v>105</v>
      </c>
      <c r="F18" s="50"/>
      <c r="G18" s="50" t="s">
        <v>64</v>
      </c>
      <c r="H18" s="50" t="s">
        <v>1228</v>
      </c>
      <c r="I18" s="52">
        <v>2747.1830985915494</v>
      </c>
      <c r="J18" s="50">
        <v>3208</v>
      </c>
      <c r="K18" s="45">
        <v>45897</v>
      </c>
      <c r="L18" s="97" t="s">
        <v>14</v>
      </c>
      <c r="M18" s="53" t="s">
        <v>226</v>
      </c>
      <c r="N18" s="50">
        <v>2025</v>
      </c>
    </row>
    <row r="19" spans="1:14">
      <c r="A19" s="50">
        <v>51</v>
      </c>
      <c r="B19" s="50" t="s">
        <v>59</v>
      </c>
      <c r="C19" s="50" t="s">
        <v>60</v>
      </c>
      <c r="D19" s="50" t="s">
        <v>61</v>
      </c>
      <c r="E19" s="50" t="s">
        <v>105</v>
      </c>
      <c r="F19" s="50"/>
      <c r="G19" s="50" t="s">
        <v>64</v>
      </c>
      <c r="H19" s="50" t="s">
        <v>1229</v>
      </c>
      <c r="I19" s="52">
        <v>290.84507042253523</v>
      </c>
      <c r="J19" s="50" t="s">
        <v>68</v>
      </c>
      <c r="K19" s="45">
        <v>45816</v>
      </c>
      <c r="L19" s="97" t="s">
        <v>14</v>
      </c>
      <c r="M19" s="53" t="s">
        <v>226</v>
      </c>
      <c r="N19" s="50">
        <v>2025</v>
      </c>
    </row>
    <row r="20" spans="1:14">
      <c r="A20" s="50">
        <v>52</v>
      </c>
      <c r="B20" s="50" t="s">
        <v>59</v>
      </c>
      <c r="C20" s="50" t="s">
        <v>60</v>
      </c>
      <c r="D20" s="50" t="s">
        <v>61</v>
      </c>
      <c r="E20" s="50" t="s">
        <v>105</v>
      </c>
      <c r="F20" s="50"/>
      <c r="G20" s="50" t="s">
        <v>64</v>
      </c>
      <c r="H20" s="50" t="s">
        <v>1230</v>
      </c>
      <c r="I20" s="52">
        <v>612.67605633802816</v>
      </c>
      <c r="J20" s="50">
        <v>98</v>
      </c>
      <c r="K20" s="45">
        <v>45846</v>
      </c>
      <c r="L20" s="97" t="s">
        <v>14</v>
      </c>
      <c r="M20" s="53" t="s">
        <v>226</v>
      </c>
      <c r="N20" s="50">
        <v>2025</v>
      </c>
    </row>
    <row r="21" spans="1:14">
      <c r="A21" s="50">
        <v>53</v>
      </c>
      <c r="B21" s="50" t="s">
        <v>59</v>
      </c>
      <c r="C21" s="50" t="s">
        <v>60</v>
      </c>
      <c r="D21" s="50" t="s">
        <v>61</v>
      </c>
      <c r="E21" s="50" t="s">
        <v>105</v>
      </c>
      <c r="F21" s="50"/>
      <c r="G21" s="50" t="s">
        <v>64</v>
      </c>
      <c r="H21" s="51" t="s">
        <v>86</v>
      </c>
      <c r="I21" s="52">
        <v>241.72535211267606</v>
      </c>
      <c r="J21" s="50" t="s">
        <v>68</v>
      </c>
      <c r="K21" s="45">
        <v>45899</v>
      </c>
      <c r="L21" s="97" t="s">
        <v>14</v>
      </c>
      <c r="M21" s="53" t="s">
        <v>226</v>
      </c>
      <c r="N21" s="50">
        <v>2025</v>
      </c>
    </row>
    <row r="22" spans="1:14">
      <c r="A22" s="50">
        <v>54</v>
      </c>
      <c r="B22" s="50" t="s">
        <v>59</v>
      </c>
      <c r="C22" s="45" t="s">
        <v>60</v>
      </c>
      <c r="D22" s="50" t="s">
        <v>61</v>
      </c>
      <c r="E22" s="50" t="s">
        <v>105</v>
      </c>
      <c r="F22" s="50"/>
      <c r="G22" s="50" t="s">
        <v>64</v>
      </c>
      <c r="H22" s="51" t="s">
        <v>1231</v>
      </c>
      <c r="I22" s="52">
        <v>2119.1901408450703</v>
      </c>
      <c r="J22" s="50">
        <v>82006</v>
      </c>
      <c r="K22" s="45">
        <v>45724</v>
      </c>
      <c r="L22" s="97" t="s">
        <v>14</v>
      </c>
      <c r="M22" s="53" t="s">
        <v>226</v>
      </c>
      <c r="N22" s="50">
        <v>2025</v>
      </c>
    </row>
    <row r="23" spans="1:14">
      <c r="A23" s="50">
        <v>55</v>
      </c>
      <c r="B23" s="50" t="s">
        <v>59</v>
      </c>
      <c r="C23" s="50" t="s">
        <v>60</v>
      </c>
      <c r="D23" s="50" t="s">
        <v>61</v>
      </c>
      <c r="E23" s="50" t="s">
        <v>105</v>
      </c>
      <c r="F23" s="50"/>
      <c r="G23" s="50" t="s">
        <v>64</v>
      </c>
      <c r="H23" s="50" t="s">
        <v>1232</v>
      </c>
      <c r="I23" s="52">
        <v>192.25352112676057</v>
      </c>
      <c r="J23" s="50">
        <v>89604</v>
      </c>
      <c r="K23" s="45">
        <v>45895</v>
      </c>
      <c r="L23" s="97" t="s">
        <v>14</v>
      </c>
      <c r="M23" s="53" t="s">
        <v>226</v>
      </c>
      <c r="N23" s="50">
        <v>2025</v>
      </c>
    </row>
    <row r="24" spans="1:14">
      <c r="A24" s="50">
        <v>56</v>
      </c>
      <c r="B24" s="50" t="s">
        <v>59</v>
      </c>
      <c r="C24" s="45" t="s">
        <v>60</v>
      </c>
      <c r="D24" s="50" t="s">
        <v>61</v>
      </c>
      <c r="E24" s="50" t="s">
        <v>105</v>
      </c>
      <c r="F24" s="50"/>
      <c r="G24" s="50" t="s">
        <v>64</v>
      </c>
      <c r="H24" s="51" t="s">
        <v>1233</v>
      </c>
      <c r="I24" s="52">
        <v>1590.8450704225352</v>
      </c>
      <c r="J24" s="45" t="s">
        <v>1199</v>
      </c>
      <c r="K24" s="45">
        <v>45897</v>
      </c>
      <c r="L24" s="97" t="s">
        <v>14</v>
      </c>
      <c r="M24" s="53" t="s">
        <v>226</v>
      </c>
      <c r="N24" s="50">
        <v>2025</v>
      </c>
    </row>
    <row r="25" spans="1:14">
      <c r="A25" s="50">
        <v>58</v>
      </c>
      <c r="B25" s="50" t="s">
        <v>76</v>
      </c>
      <c r="C25" s="45" t="s">
        <v>30</v>
      </c>
      <c r="D25" s="50" t="s">
        <v>61</v>
      </c>
      <c r="E25" s="50" t="s">
        <v>105</v>
      </c>
      <c r="F25" s="50"/>
      <c r="G25" s="50" t="s">
        <v>64</v>
      </c>
      <c r="H25" s="51" t="s">
        <v>1234</v>
      </c>
      <c r="I25" s="52">
        <v>74.647887323943664</v>
      </c>
      <c r="J25" s="50" t="s">
        <v>68</v>
      </c>
      <c r="K25" s="45">
        <v>45696</v>
      </c>
      <c r="L25" s="97" t="s">
        <v>14</v>
      </c>
      <c r="M25" s="53" t="s">
        <v>226</v>
      </c>
      <c r="N25" s="50">
        <v>2025</v>
      </c>
    </row>
    <row r="26" spans="1:14">
      <c r="A26" s="50">
        <v>63</v>
      </c>
      <c r="B26" s="50" t="s">
        <v>33</v>
      </c>
      <c r="C26" s="50" t="s">
        <v>34</v>
      </c>
      <c r="D26" s="50" t="s">
        <v>61</v>
      </c>
      <c r="E26" s="50" t="s">
        <v>105</v>
      </c>
      <c r="F26" s="50"/>
      <c r="G26" s="50" t="s">
        <v>64</v>
      </c>
      <c r="H26" s="50" t="s">
        <v>1237</v>
      </c>
      <c r="I26" s="52">
        <v>242.95774647887325</v>
      </c>
      <c r="J26" s="50" t="s">
        <v>68</v>
      </c>
      <c r="K26" s="45">
        <v>45755</v>
      </c>
      <c r="L26" s="97" t="s">
        <v>14</v>
      </c>
      <c r="M26" s="53" t="s">
        <v>226</v>
      </c>
      <c r="N26" s="50">
        <v>2025</v>
      </c>
    </row>
    <row r="27" spans="1:14">
      <c r="A27" s="50">
        <v>64</v>
      </c>
      <c r="B27" s="50" t="s">
        <v>35</v>
      </c>
      <c r="C27" s="45" t="s">
        <v>37</v>
      </c>
      <c r="D27" s="50" t="s">
        <v>61</v>
      </c>
      <c r="E27" s="50" t="s">
        <v>105</v>
      </c>
      <c r="F27" s="50"/>
      <c r="G27" s="50" t="s">
        <v>64</v>
      </c>
      <c r="H27" s="51" t="s">
        <v>1238</v>
      </c>
      <c r="I27" s="52">
        <v>74.647887323943664</v>
      </c>
      <c r="J27" s="50" t="s">
        <v>68</v>
      </c>
      <c r="K27" s="45">
        <v>45886</v>
      </c>
      <c r="L27" s="97" t="s">
        <v>14</v>
      </c>
      <c r="M27" s="53" t="s">
        <v>226</v>
      </c>
      <c r="N27" s="50">
        <v>2025</v>
      </c>
    </row>
    <row r="28" spans="1:14">
      <c r="A28" s="50">
        <v>71</v>
      </c>
      <c r="B28" s="50" t="s">
        <v>43</v>
      </c>
      <c r="C28" s="50" t="s">
        <v>70</v>
      </c>
      <c r="D28" s="50" t="s">
        <v>61</v>
      </c>
      <c r="E28" s="50" t="s">
        <v>105</v>
      </c>
      <c r="F28" s="50"/>
      <c r="G28" s="50" t="s">
        <v>64</v>
      </c>
      <c r="H28" s="51" t="s">
        <v>1242</v>
      </c>
      <c r="I28" s="52">
        <v>410.56338028169012</v>
      </c>
      <c r="J28" s="50" t="s">
        <v>68</v>
      </c>
      <c r="K28" s="45">
        <v>45886</v>
      </c>
      <c r="L28" s="97" t="s">
        <v>14</v>
      </c>
      <c r="M28" s="53" t="s">
        <v>226</v>
      </c>
      <c r="N28" s="50">
        <v>2025</v>
      </c>
    </row>
    <row r="29" spans="1:14">
      <c r="A29" s="50">
        <v>72</v>
      </c>
      <c r="B29" s="50" t="s">
        <v>43</v>
      </c>
      <c r="C29" s="45" t="s">
        <v>218</v>
      </c>
      <c r="D29" s="50" t="s">
        <v>61</v>
      </c>
      <c r="E29" s="50" t="s">
        <v>105</v>
      </c>
      <c r="F29" s="50"/>
      <c r="G29" s="50" t="s">
        <v>64</v>
      </c>
      <c r="H29" s="51" t="s">
        <v>1243</v>
      </c>
      <c r="I29" s="52">
        <v>74.647887323943664</v>
      </c>
      <c r="J29" s="50" t="s">
        <v>68</v>
      </c>
      <c r="K29" s="45">
        <v>45888</v>
      </c>
      <c r="L29" s="97" t="s">
        <v>14</v>
      </c>
      <c r="M29" s="53" t="s">
        <v>226</v>
      </c>
      <c r="N29" s="50">
        <v>2025</v>
      </c>
    </row>
    <row r="30" spans="1:14">
      <c r="A30" s="50">
        <v>73</v>
      </c>
      <c r="B30" s="50" t="s">
        <v>43</v>
      </c>
      <c r="C30" s="45" t="s">
        <v>218</v>
      </c>
      <c r="D30" s="50" t="s">
        <v>61</v>
      </c>
      <c r="E30" s="50" t="s">
        <v>105</v>
      </c>
      <c r="F30" s="50"/>
      <c r="G30" s="50" t="s">
        <v>64</v>
      </c>
      <c r="H30" s="51" t="s">
        <v>1244</v>
      </c>
      <c r="I30" s="52">
        <v>74.647887323943664</v>
      </c>
      <c r="J30" s="50" t="s">
        <v>68</v>
      </c>
      <c r="K30" s="45">
        <v>45888</v>
      </c>
      <c r="L30" s="97" t="s">
        <v>14</v>
      </c>
      <c r="M30" s="53" t="s">
        <v>226</v>
      </c>
      <c r="N30" s="50">
        <v>2025</v>
      </c>
    </row>
    <row r="31" spans="1:14">
      <c r="A31" s="50">
        <v>74</v>
      </c>
      <c r="B31" s="50" t="s">
        <v>43</v>
      </c>
      <c r="C31" s="45" t="s">
        <v>46</v>
      </c>
      <c r="D31" s="50" t="s">
        <v>61</v>
      </c>
      <c r="E31" s="50" t="s">
        <v>105</v>
      </c>
      <c r="F31" s="50"/>
      <c r="G31" s="50" t="s">
        <v>64</v>
      </c>
      <c r="H31" s="51" t="s">
        <v>84</v>
      </c>
      <c r="I31" s="52">
        <v>74.647887323943664</v>
      </c>
      <c r="J31" s="50" t="s">
        <v>68</v>
      </c>
      <c r="K31" s="45">
        <v>45888</v>
      </c>
      <c r="L31" s="97" t="s">
        <v>14</v>
      </c>
      <c r="M31" s="53" t="s">
        <v>226</v>
      </c>
      <c r="N31" s="50">
        <v>2025</v>
      </c>
    </row>
    <row r="32" spans="1:14">
      <c r="A32" s="50">
        <v>75</v>
      </c>
      <c r="B32" s="50" t="s">
        <v>43</v>
      </c>
      <c r="C32" s="45" t="s">
        <v>50</v>
      </c>
      <c r="D32" s="50" t="s">
        <v>61</v>
      </c>
      <c r="E32" s="50" t="s">
        <v>105</v>
      </c>
      <c r="F32" s="50"/>
      <c r="G32" s="50" t="s">
        <v>64</v>
      </c>
      <c r="H32" s="51" t="s">
        <v>1245</v>
      </c>
      <c r="I32" s="52">
        <v>37.323943661971832</v>
      </c>
      <c r="J32" s="50" t="s">
        <v>68</v>
      </c>
      <c r="K32" s="45">
        <v>45888</v>
      </c>
      <c r="L32" s="97" t="s">
        <v>14</v>
      </c>
      <c r="M32" s="53" t="s">
        <v>226</v>
      </c>
      <c r="N32" s="50">
        <v>2025</v>
      </c>
    </row>
    <row r="33" spans="1:14">
      <c r="A33" s="50">
        <v>76</v>
      </c>
      <c r="B33" s="50" t="s">
        <v>43</v>
      </c>
      <c r="C33" s="45" t="s">
        <v>50</v>
      </c>
      <c r="D33" s="50" t="s">
        <v>61</v>
      </c>
      <c r="E33" s="50" t="s">
        <v>105</v>
      </c>
      <c r="F33" s="50"/>
      <c r="G33" s="50" t="s">
        <v>64</v>
      </c>
      <c r="H33" s="51" t="s">
        <v>1246</v>
      </c>
      <c r="I33" s="52">
        <v>74.647887323943664</v>
      </c>
      <c r="J33" s="50" t="s">
        <v>68</v>
      </c>
      <c r="K33" s="45">
        <v>45886</v>
      </c>
      <c r="L33" s="97" t="s">
        <v>14</v>
      </c>
      <c r="M33" s="53" t="s">
        <v>226</v>
      </c>
      <c r="N33" s="50">
        <v>2025</v>
      </c>
    </row>
    <row r="34" spans="1:14">
      <c r="A34" s="50">
        <v>77</v>
      </c>
      <c r="B34" s="50" t="s">
        <v>43</v>
      </c>
      <c r="C34" s="45" t="s">
        <v>51</v>
      </c>
      <c r="D34" s="50" t="s">
        <v>61</v>
      </c>
      <c r="E34" s="50" t="s">
        <v>105</v>
      </c>
      <c r="F34" s="50"/>
      <c r="G34" s="50" t="s">
        <v>64</v>
      </c>
      <c r="H34" s="51" t="s">
        <v>1222</v>
      </c>
      <c r="I34" s="52">
        <v>242.95774647887325</v>
      </c>
      <c r="J34" s="50" t="s">
        <v>68</v>
      </c>
      <c r="K34" s="45">
        <v>45696</v>
      </c>
      <c r="L34" s="97" t="s">
        <v>14</v>
      </c>
      <c r="M34" s="53" t="s">
        <v>226</v>
      </c>
      <c r="N34" s="50">
        <v>2025</v>
      </c>
    </row>
    <row r="35" spans="1:14">
      <c r="A35" s="50">
        <v>78</v>
      </c>
      <c r="B35" s="50" t="s">
        <v>43</v>
      </c>
      <c r="C35" s="45" t="s">
        <v>52</v>
      </c>
      <c r="D35" s="50" t="s">
        <v>61</v>
      </c>
      <c r="E35" s="50" t="s">
        <v>105</v>
      </c>
      <c r="F35" s="50"/>
      <c r="G35" s="50" t="s">
        <v>64</v>
      </c>
      <c r="H35" s="51" t="s">
        <v>296</v>
      </c>
      <c r="I35" s="52">
        <v>209.1549295774648</v>
      </c>
      <c r="J35" s="50" t="s">
        <v>68</v>
      </c>
      <c r="K35" s="45">
        <v>45886</v>
      </c>
      <c r="L35" s="97" t="s">
        <v>14</v>
      </c>
      <c r="M35" s="53" t="s">
        <v>226</v>
      </c>
      <c r="N35" s="50">
        <v>2025</v>
      </c>
    </row>
    <row r="36" spans="1:14">
      <c r="A36" s="50">
        <v>79</v>
      </c>
      <c r="B36" s="50" t="s">
        <v>43</v>
      </c>
      <c r="C36" s="45" t="s">
        <v>77</v>
      </c>
      <c r="D36" s="50" t="s">
        <v>61</v>
      </c>
      <c r="E36" s="50" t="s">
        <v>105</v>
      </c>
      <c r="F36" s="50"/>
      <c r="G36" s="50" t="s">
        <v>64</v>
      </c>
      <c r="H36" s="51" t="s">
        <v>84</v>
      </c>
      <c r="I36" s="52">
        <v>74.647887323943664</v>
      </c>
      <c r="J36" s="50" t="s">
        <v>68</v>
      </c>
      <c r="K36" s="45">
        <v>45886</v>
      </c>
      <c r="L36" s="97" t="s">
        <v>14</v>
      </c>
      <c r="M36" s="53" t="s">
        <v>226</v>
      </c>
      <c r="N36" s="50">
        <v>2025</v>
      </c>
    </row>
    <row r="37" spans="1:14">
      <c r="A37" s="50">
        <v>81</v>
      </c>
      <c r="B37" s="50" t="s">
        <v>53</v>
      </c>
      <c r="C37" s="45" t="s">
        <v>54</v>
      </c>
      <c r="D37" s="50" t="s">
        <v>61</v>
      </c>
      <c r="E37" s="50" t="s">
        <v>105</v>
      </c>
      <c r="F37" s="50"/>
      <c r="G37" s="50" t="s">
        <v>64</v>
      </c>
      <c r="H37" s="51" t="s">
        <v>1248</v>
      </c>
      <c r="I37" s="52">
        <v>280.28169014084506</v>
      </c>
      <c r="J37" s="50" t="s">
        <v>68</v>
      </c>
      <c r="K37" s="45">
        <v>45888</v>
      </c>
      <c r="L37" s="97" t="s">
        <v>14</v>
      </c>
      <c r="M37" s="53" t="s">
        <v>226</v>
      </c>
      <c r="N37" s="50">
        <v>2025</v>
      </c>
    </row>
    <row r="38" spans="1:14">
      <c r="A38" s="50">
        <v>84</v>
      </c>
      <c r="B38" s="50" t="s">
        <v>59</v>
      </c>
      <c r="C38" s="45" t="s">
        <v>60</v>
      </c>
      <c r="D38" s="50" t="s">
        <v>61</v>
      </c>
      <c r="E38" s="50" t="s">
        <v>57</v>
      </c>
      <c r="F38" s="50"/>
      <c r="G38" s="50" t="s">
        <v>64</v>
      </c>
      <c r="H38" s="51" t="s">
        <v>1251</v>
      </c>
      <c r="I38" s="52">
        <v>52.816901408450704</v>
      </c>
      <c r="J38" s="50">
        <v>5255</v>
      </c>
      <c r="K38" s="45">
        <v>45868</v>
      </c>
      <c r="L38" s="97" t="s">
        <v>14</v>
      </c>
      <c r="M38" s="53" t="s">
        <v>226</v>
      </c>
      <c r="N38" s="50">
        <v>2025</v>
      </c>
    </row>
    <row r="39" spans="1:14">
      <c r="A39" s="50">
        <v>88</v>
      </c>
      <c r="B39" s="50" t="s">
        <v>59</v>
      </c>
      <c r="C39" s="45" t="s">
        <v>60</v>
      </c>
      <c r="D39" s="50" t="s">
        <v>61</v>
      </c>
      <c r="E39" s="50" t="s">
        <v>83</v>
      </c>
      <c r="F39" s="50"/>
      <c r="G39" s="50" t="s">
        <v>64</v>
      </c>
      <c r="H39" s="51" t="s">
        <v>1255</v>
      </c>
      <c r="I39" s="52">
        <v>985.91549295774644</v>
      </c>
      <c r="J39" s="50" t="s">
        <v>68</v>
      </c>
      <c r="K39" s="45">
        <v>45897</v>
      </c>
      <c r="L39" s="97" t="s">
        <v>14</v>
      </c>
      <c r="M39" s="53" t="s">
        <v>226</v>
      </c>
      <c r="N39" s="50">
        <v>2025</v>
      </c>
    </row>
    <row r="40" spans="1:14">
      <c r="A40" s="50">
        <v>89</v>
      </c>
      <c r="B40" s="50" t="s">
        <v>59</v>
      </c>
      <c r="C40" s="50" t="s">
        <v>60</v>
      </c>
      <c r="D40" s="50" t="s">
        <v>61</v>
      </c>
      <c r="E40" s="50" t="s">
        <v>83</v>
      </c>
      <c r="F40" s="50"/>
      <c r="G40" s="50" t="s">
        <v>64</v>
      </c>
      <c r="H40" s="50" t="s">
        <v>1256</v>
      </c>
      <c r="I40" s="52">
        <v>126.7605633802817</v>
      </c>
      <c r="J40" s="50" t="s">
        <v>68</v>
      </c>
      <c r="K40" s="45">
        <v>45908</v>
      </c>
      <c r="L40" s="97" t="s">
        <v>14</v>
      </c>
      <c r="M40" s="53" t="s">
        <v>226</v>
      </c>
      <c r="N40" s="50">
        <v>2025</v>
      </c>
    </row>
    <row r="41" spans="1:14">
      <c r="A41" s="50">
        <v>91</v>
      </c>
      <c r="B41" s="50" t="s">
        <v>59</v>
      </c>
      <c r="C41" s="50" t="s">
        <v>60</v>
      </c>
      <c r="D41" s="50" t="s">
        <v>61</v>
      </c>
      <c r="E41" s="50" t="s">
        <v>103</v>
      </c>
      <c r="F41" s="50"/>
      <c r="G41" s="50" t="s">
        <v>64</v>
      </c>
      <c r="H41" s="51" t="s">
        <v>1258</v>
      </c>
      <c r="I41" s="52">
        <v>332.74647887323943</v>
      </c>
      <c r="J41" s="50" t="s">
        <v>68</v>
      </c>
      <c r="K41" s="45">
        <v>45887</v>
      </c>
      <c r="L41" s="97" t="s">
        <v>14</v>
      </c>
      <c r="M41" s="53" t="s">
        <v>226</v>
      </c>
      <c r="N41" s="50">
        <v>2025</v>
      </c>
    </row>
    <row r="42" spans="1:14">
      <c r="A42" s="50">
        <v>92</v>
      </c>
      <c r="B42" s="50" t="s">
        <v>53</v>
      </c>
      <c r="C42" s="50" t="s">
        <v>54</v>
      </c>
      <c r="D42" s="50" t="s">
        <v>61</v>
      </c>
      <c r="E42" s="50" t="s">
        <v>103</v>
      </c>
      <c r="F42" s="50"/>
      <c r="G42" s="50" t="s">
        <v>64</v>
      </c>
      <c r="H42" s="51" t="s">
        <v>1259</v>
      </c>
      <c r="I42" s="52">
        <v>105.63380281690141</v>
      </c>
      <c r="J42" s="50" t="s">
        <v>68</v>
      </c>
      <c r="K42" s="45">
        <v>45888</v>
      </c>
      <c r="L42" s="97" t="s">
        <v>14</v>
      </c>
      <c r="M42" s="53" t="s">
        <v>226</v>
      </c>
      <c r="N42" s="50">
        <v>2025</v>
      </c>
    </row>
    <row r="43" spans="1:14">
      <c r="A43" s="50">
        <v>102</v>
      </c>
      <c r="B43" s="50" t="s">
        <v>17</v>
      </c>
      <c r="C43" s="45" t="s">
        <v>22</v>
      </c>
      <c r="D43" s="50" t="s">
        <v>61</v>
      </c>
      <c r="E43" s="50" t="s">
        <v>71</v>
      </c>
      <c r="F43" s="50"/>
      <c r="G43" s="50" t="s">
        <v>64</v>
      </c>
      <c r="H43" s="51" t="s">
        <v>1265</v>
      </c>
      <c r="I43" s="52">
        <v>710.56338028169012</v>
      </c>
      <c r="J43" s="50" t="s">
        <v>68</v>
      </c>
      <c r="K43" s="45">
        <v>45857</v>
      </c>
      <c r="L43" s="97" t="s">
        <v>14</v>
      </c>
      <c r="M43" s="53" t="s">
        <v>226</v>
      </c>
      <c r="N43" s="50">
        <v>2025</v>
      </c>
    </row>
    <row r="44" spans="1:14">
      <c r="A44" s="50">
        <v>103</v>
      </c>
      <c r="B44" s="50" t="s">
        <v>17</v>
      </c>
      <c r="C44" s="45" t="s">
        <v>23</v>
      </c>
      <c r="D44" s="50" t="s">
        <v>61</v>
      </c>
      <c r="E44" s="50" t="s">
        <v>71</v>
      </c>
      <c r="F44" s="50"/>
      <c r="G44" s="50" t="s">
        <v>64</v>
      </c>
      <c r="H44" s="51" t="s">
        <v>292</v>
      </c>
      <c r="I44" s="52">
        <v>858.45070422535207</v>
      </c>
      <c r="J44" s="50" t="s">
        <v>68</v>
      </c>
      <c r="K44" s="45">
        <v>45856</v>
      </c>
      <c r="L44" s="97" t="s">
        <v>14</v>
      </c>
      <c r="M44" s="53" t="s">
        <v>226</v>
      </c>
      <c r="N44" s="50">
        <v>2025</v>
      </c>
    </row>
    <row r="45" spans="1:14">
      <c r="A45" s="50">
        <v>104</v>
      </c>
      <c r="B45" s="50" t="s">
        <v>17</v>
      </c>
      <c r="C45" s="45" t="s">
        <v>25</v>
      </c>
      <c r="D45" s="50" t="s">
        <v>61</v>
      </c>
      <c r="E45" s="50" t="s">
        <v>71</v>
      </c>
      <c r="F45" s="50"/>
      <c r="G45" s="50" t="s">
        <v>64</v>
      </c>
      <c r="H45" s="51" t="s">
        <v>1264</v>
      </c>
      <c r="I45" s="52">
        <v>1838.7323943661972</v>
      </c>
      <c r="J45" s="50" t="s">
        <v>68</v>
      </c>
      <c r="K45" s="45">
        <v>45886</v>
      </c>
      <c r="L45" s="97" t="s">
        <v>14</v>
      </c>
      <c r="M45" s="53" t="s">
        <v>226</v>
      </c>
      <c r="N45" s="50">
        <v>2025</v>
      </c>
    </row>
    <row r="46" spans="1:14">
      <c r="A46" s="50">
        <v>105</v>
      </c>
      <c r="B46" s="50" t="s">
        <v>17</v>
      </c>
      <c r="C46" s="45" t="s">
        <v>25</v>
      </c>
      <c r="D46" s="50" t="s">
        <v>61</v>
      </c>
      <c r="E46" s="50" t="s">
        <v>71</v>
      </c>
      <c r="F46" s="50"/>
      <c r="G46" s="50" t="s">
        <v>64</v>
      </c>
      <c r="H46" s="51" t="s">
        <v>1264</v>
      </c>
      <c r="I46" s="52">
        <v>1184.5070422535211</v>
      </c>
      <c r="J46" s="50" t="s">
        <v>68</v>
      </c>
      <c r="K46" s="45">
        <v>45724</v>
      </c>
      <c r="L46" s="97" t="s">
        <v>14</v>
      </c>
      <c r="M46" s="53" t="s">
        <v>226</v>
      </c>
      <c r="N46" s="50">
        <v>2025</v>
      </c>
    </row>
    <row r="47" spans="1:14">
      <c r="A47" s="50">
        <v>106</v>
      </c>
      <c r="B47" s="50" t="s">
        <v>27</v>
      </c>
      <c r="C47" s="45" t="s">
        <v>28</v>
      </c>
      <c r="D47" s="50" t="s">
        <v>61</v>
      </c>
      <c r="E47" s="50" t="s">
        <v>71</v>
      </c>
      <c r="F47" s="50"/>
      <c r="G47" s="50" t="s">
        <v>64</v>
      </c>
      <c r="H47" s="51" t="s">
        <v>1266</v>
      </c>
      <c r="I47" s="52">
        <v>411.26760563380282</v>
      </c>
      <c r="J47" s="50" t="s">
        <v>68</v>
      </c>
      <c r="K47" s="45">
        <v>45846</v>
      </c>
      <c r="L47" s="97" t="s">
        <v>14</v>
      </c>
      <c r="M47" s="53" t="s">
        <v>226</v>
      </c>
      <c r="N47" s="50">
        <v>2025</v>
      </c>
    </row>
    <row r="48" spans="1:14">
      <c r="A48" s="50">
        <v>111</v>
      </c>
      <c r="B48" s="50" t="s">
        <v>273</v>
      </c>
      <c r="C48" s="45" t="s">
        <v>56</v>
      </c>
      <c r="D48" s="50" t="s">
        <v>61</v>
      </c>
      <c r="E48" s="50" t="s">
        <v>71</v>
      </c>
      <c r="F48" s="50"/>
      <c r="G48" s="50" t="s">
        <v>64</v>
      </c>
      <c r="H48" s="51" t="s">
        <v>75</v>
      </c>
      <c r="I48" s="52">
        <v>1779.0492957746478</v>
      </c>
      <c r="J48" s="50" t="s">
        <v>1201</v>
      </c>
      <c r="K48" s="45">
        <v>45899</v>
      </c>
      <c r="L48" s="97" t="s">
        <v>14</v>
      </c>
      <c r="M48" s="53" t="s">
        <v>226</v>
      </c>
      <c r="N48" s="50">
        <v>2025</v>
      </c>
    </row>
    <row r="49" spans="1:14">
      <c r="A49" s="50">
        <v>112</v>
      </c>
      <c r="B49" s="50" t="s">
        <v>273</v>
      </c>
      <c r="C49" s="45" t="s">
        <v>56</v>
      </c>
      <c r="D49" s="50" t="s">
        <v>61</v>
      </c>
      <c r="E49" s="50" t="s">
        <v>71</v>
      </c>
      <c r="F49" s="50"/>
      <c r="G49" s="50" t="s">
        <v>64</v>
      </c>
      <c r="H49" s="51" t="s">
        <v>1267</v>
      </c>
      <c r="I49" s="52">
        <v>1923.4154929577464</v>
      </c>
      <c r="J49" s="50" t="s">
        <v>1202</v>
      </c>
      <c r="K49" s="45">
        <v>45894</v>
      </c>
      <c r="L49" s="97" t="s">
        <v>14</v>
      </c>
      <c r="M49" s="53" t="s">
        <v>226</v>
      </c>
      <c r="N49" s="50">
        <v>2025</v>
      </c>
    </row>
    <row r="50" spans="1:14">
      <c r="A50" s="50">
        <v>113</v>
      </c>
      <c r="B50" s="50" t="s">
        <v>273</v>
      </c>
      <c r="C50" s="45" t="s">
        <v>56</v>
      </c>
      <c r="D50" s="50" t="s">
        <v>61</v>
      </c>
      <c r="E50" s="50" t="s">
        <v>71</v>
      </c>
      <c r="F50" s="50"/>
      <c r="G50" s="50" t="s">
        <v>64</v>
      </c>
      <c r="H50" s="51" t="s">
        <v>1267</v>
      </c>
      <c r="I50" s="52">
        <v>2179.4014084507044</v>
      </c>
      <c r="J50" s="50" t="s">
        <v>1203</v>
      </c>
      <c r="K50" s="45">
        <v>45887</v>
      </c>
      <c r="L50" s="97" t="s">
        <v>14</v>
      </c>
      <c r="M50" s="53" t="s">
        <v>226</v>
      </c>
      <c r="N50" s="50">
        <v>2025</v>
      </c>
    </row>
    <row r="51" spans="1:14">
      <c r="A51" s="50">
        <v>114</v>
      </c>
      <c r="B51" s="50" t="s">
        <v>273</v>
      </c>
      <c r="C51" s="45" t="s">
        <v>56</v>
      </c>
      <c r="D51" s="50" t="s">
        <v>61</v>
      </c>
      <c r="E51" s="50" t="s">
        <v>71</v>
      </c>
      <c r="F51" s="50"/>
      <c r="G51" s="50" t="s">
        <v>64</v>
      </c>
      <c r="H51" s="51" t="s">
        <v>1267</v>
      </c>
      <c r="I51" s="52">
        <v>2328.6971830985917</v>
      </c>
      <c r="J51" s="50" t="s">
        <v>1204</v>
      </c>
      <c r="K51" s="45">
        <v>45869</v>
      </c>
      <c r="L51" s="97" t="s">
        <v>14</v>
      </c>
      <c r="M51" s="53" t="s">
        <v>226</v>
      </c>
      <c r="N51" s="50">
        <v>2025</v>
      </c>
    </row>
    <row r="52" spans="1:14">
      <c r="A52" s="50"/>
      <c r="B52" s="50" t="s">
        <v>273</v>
      </c>
      <c r="C52" s="50" t="s">
        <v>56</v>
      </c>
      <c r="D52" s="50" t="s">
        <v>61</v>
      </c>
      <c r="E52" s="50" t="s">
        <v>71</v>
      </c>
      <c r="F52" s="50"/>
      <c r="G52" s="50" t="s">
        <v>64</v>
      </c>
      <c r="H52" s="50" t="s">
        <v>1266</v>
      </c>
      <c r="I52" s="52">
        <v>320.42253521126759</v>
      </c>
      <c r="J52" s="50" t="s">
        <v>68</v>
      </c>
      <c r="K52" s="45">
        <v>45816</v>
      </c>
      <c r="L52" s="97" t="s">
        <v>14</v>
      </c>
      <c r="M52" s="50" t="s">
        <v>226</v>
      </c>
      <c r="N52" s="50">
        <v>2025</v>
      </c>
    </row>
    <row r="53" spans="1:14">
      <c r="A53" s="50"/>
      <c r="B53" s="50" t="s">
        <v>59</v>
      </c>
      <c r="C53" s="50" t="s">
        <v>60</v>
      </c>
      <c r="D53" s="50" t="s">
        <v>61</v>
      </c>
      <c r="E53" s="50" t="s">
        <v>71</v>
      </c>
      <c r="F53" s="50"/>
      <c r="G53" s="50" t="s">
        <v>64</v>
      </c>
      <c r="H53" s="50" t="s">
        <v>1272</v>
      </c>
      <c r="I53" s="52">
        <v>246.47887323943661</v>
      </c>
      <c r="J53" s="50" t="s">
        <v>68</v>
      </c>
      <c r="K53" s="45">
        <v>45890</v>
      </c>
      <c r="L53" s="97" t="s">
        <v>14</v>
      </c>
      <c r="M53" s="50" t="s">
        <v>226</v>
      </c>
      <c r="N53" s="50">
        <v>2025</v>
      </c>
    </row>
    <row r="54" spans="1:14">
      <c r="A54" s="50"/>
      <c r="B54" s="50" t="s">
        <v>59</v>
      </c>
      <c r="C54" s="50" t="s">
        <v>60</v>
      </c>
      <c r="D54" s="50" t="s">
        <v>61</v>
      </c>
      <c r="E54" s="50" t="s">
        <v>71</v>
      </c>
      <c r="F54" s="50"/>
      <c r="G54" s="50" t="s">
        <v>64</v>
      </c>
      <c r="H54" s="50" t="s">
        <v>1273</v>
      </c>
      <c r="I54" s="52">
        <v>183.09859154929578</v>
      </c>
      <c r="J54" s="50">
        <v>1983</v>
      </c>
      <c r="K54" s="45">
        <v>45886</v>
      </c>
      <c r="L54" s="97" t="s">
        <v>14</v>
      </c>
      <c r="M54" s="50" t="s">
        <v>226</v>
      </c>
      <c r="N54" s="50">
        <v>2025</v>
      </c>
    </row>
    <row r="55" spans="1:14">
      <c r="A55" s="50"/>
      <c r="B55" s="50" t="s">
        <v>59</v>
      </c>
      <c r="C55" s="50" t="s">
        <v>60</v>
      </c>
      <c r="D55" s="50" t="s">
        <v>61</v>
      </c>
      <c r="E55" s="50" t="s">
        <v>71</v>
      </c>
      <c r="F55" s="50"/>
      <c r="G55" s="50" t="s">
        <v>64</v>
      </c>
      <c r="H55" s="50" t="s">
        <v>1274</v>
      </c>
      <c r="I55" s="52">
        <v>528.16901408450701</v>
      </c>
      <c r="J55" s="50" t="s">
        <v>68</v>
      </c>
      <c r="K55" s="45">
        <v>45897</v>
      </c>
      <c r="L55" s="97" t="s">
        <v>14</v>
      </c>
      <c r="M55" s="50" t="s">
        <v>226</v>
      </c>
      <c r="N55" s="50">
        <v>2025</v>
      </c>
    </row>
    <row r="56" spans="1:14">
      <c r="A56" s="50"/>
      <c r="B56" s="50" t="s">
        <v>59</v>
      </c>
      <c r="C56" s="50" t="s">
        <v>60</v>
      </c>
      <c r="D56" s="50" t="s">
        <v>61</v>
      </c>
      <c r="E56" s="50" t="s">
        <v>71</v>
      </c>
      <c r="F56" s="50"/>
      <c r="G56" s="50" t="s">
        <v>64</v>
      </c>
      <c r="H56" s="51" t="s">
        <v>1275</v>
      </c>
      <c r="I56" s="52">
        <v>395.77464788732397</v>
      </c>
      <c r="J56" s="51" t="s">
        <v>68</v>
      </c>
      <c r="K56" s="45">
        <v>45887</v>
      </c>
      <c r="L56" s="97" t="s">
        <v>14</v>
      </c>
      <c r="M56" s="50" t="s">
        <v>226</v>
      </c>
      <c r="N56" s="50">
        <v>2025</v>
      </c>
    </row>
    <row r="57" spans="1:14">
      <c r="A57" s="50"/>
      <c r="B57" s="50" t="s">
        <v>59</v>
      </c>
      <c r="C57" s="50" t="s">
        <v>60</v>
      </c>
      <c r="D57" s="50" t="s">
        <v>61</v>
      </c>
      <c r="E57" s="50" t="s">
        <v>71</v>
      </c>
      <c r="F57" s="50"/>
      <c r="G57" s="50" t="s">
        <v>64</v>
      </c>
      <c r="H57" s="51" t="s">
        <v>1276</v>
      </c>
      <c r="I57" s="52">
        <v>1059.8591549295775</v>
      </c>
      <c r="J57" s="51" t="s">
        <v>68</v>
      </c>
      <c r="K57" s="45">
        <v>45755</v>
      </c>
      <c r="L57" s="97" t="s">
        <v>14</v>
      </c>
      <c r="M57" s="50" t="s">
        <v>226</v>
      </c>
      <c r="N57" s="50">
        <v>2025</v>
      </c>
    </row>
    <row r="58" spans="1:14">
      <c r="A58" s="50"/>
      <c r="B58" s="50" t="s">
        <v>76</v>
      </c>
      <c r="C58" s="50" t="s">
        <v>30</v>
      </c>
      <c r="D58" s="50" t="s">
        <v>61</v>
      </c>
      <c r="E58" s="50" t="s">
        <v>71</v>
      </c>
      <c r="F58" s="50"/>
      <c r="G58" s="50" t="s">
        <v>64</v>
      </c>
      <c r="H58" s="50" t="s">
        <v>1278</v>
      </c>
      <c r="I58" s="55">
        <v>1056.338028169014</v>
      </c>
      <c r="J58" s="50" t="s">
        <v>68</v>
      </c>
      <c r="K58" s="45">
        <v>45898</v>
      </c>
      <c r="L58" s="98" t="s">
        <v>14</v>
      </c>
      <c r="M58" s="50" t="s">
        <v>226</v>
      </c>
      <c r="N58" s="50">
        <v>2025</v>
      </c>
    </row>
    <row r="59" spans="1:14">
      <c r="A59" s="50"/>
      <c r="B59" s="50" t="s">
        <v>76</v>
      </c>
      <c r="C59" s="50" t="s">
        <v>30</v>
      </c>
      <c r="D59" s="50" t="s">
        <v>61</v>
      </c>
      <c r="E59" s="50" t="s">
        <v>71</v>
      </c>
      <c r="F59" s="50"/>
      <c r="G59" s="50" t="s">
        <v>64</v>
      </c>
      <c r="H59" s="50" t="s">
        <v>1278</v>
      </c>
      <c r="I59" s="55">
        <v>1422.1830985915492</v>
      </c>
      <c r="J59" s="50" t="s">
        <v>68</v>
      </c>
      <c r="K59" s="45">
        <v>45908</v>
      </c>
      <c r="L59" s="98" t="s">
        <v>14</v>
      </c>
      <c r="M59" s="50" t="s">
        <v>226</v>
      </c>
      <c r="N59" s="50">
        <v>2025</v>
      </c>
    </row>
    <row r="60" spans="1:14">
      <c r="A60" s="50"/>
      <c r="B60" s="50" t="s">
        <v>33</v>
      </c>
      <c r="C60" s="50" t="s">
        <v>34</v>
      </c>
      <c r="D60" s="50" t="s">
        <v>61</v>
      </c>
      <c r="E60" s="50" t="s">
        <v>71</v>
      </c>
      <c r="F60" s="50"/>
      <c r="G60" s="50" t="s">
        <v>64</v>
      </c>
      <c r="H60" s="50" t="s">
        <v>1281</v>
      </c>
      <c r="I60" s="55">
        <v>451.40845070422534</v>
      </c>
      <c r="J60" s="50" t="s">
        <v>68</v>
      </c>
      <c r="K60" s="45">
        <v>45858</v>
      </c>
      <c r="L60" s="98" t="s">
        <v>14</v>
      </c>
      <c r="M60" s="50" t="s">
        <v>226</v>
      </c>
      <c r="N60" s="50">
        <v>2025</v>
      </c>
    </row>
    <row r="61" spans="1:14">
      <c r="A61" s="50"/>
      <c r="B61" s="50" t="s">
        <v>33</v>
      </c>
      <c r="C61" s="50" t="s">
        <v>34</v>
      </c>
      <c r="D61" s="50" t="s">
        <v>61</v>
      </c>
      <c r="E61" s="50" t="s">
        <v>71</v>
      </c>
      <c r="F61" s="50"/>
      <c r="G61" s="50" t="s">
        <v>64</v>
      </c>
      <c r="H61" s="50" t="s">
        <v>1266</v>
      </c>
      <c r="I61" s="55">
        <v>791.54929577464793</v>
      </c>
      <c r="J61" s="50" t="s">
        <v>68</v>
      </c>
      <c r="K61" s="45">
        <v>45908</v>
      </c>
      <c r="L61" s="98" t="s">
        <v>14</v>
      </c>
      <c r="M61" s="50" t="s">
        <v>226</v>
      </c>
      <c r="N61" s="50">
        <v>2025</v>
      </c>
    </row>
    <row r="62" spans="1:14">
      <c r="A62" s="50"/>
      <c r="B62" s="50" t="s">
        <v>43</v>
      </c>
      <c r="C62" s="50" t="s">
        <v>38</v>
      </c>
      <c r="D62" s="50" t="s">
        <v>61</v>
      </c>
      <c r="E62" s="50" t="s">
        <v>71</v>
      </c>
      <c r="F62" s="50"/>
      <c r="G62" s="50" t="s">
        <v>64</v>
      </c>
      <c r="H62" s="50" t="s">
        <v>1293</v>
      </c>
      <c r="I62" s="55">
        <v>1408.4507042253522</v>
      </c>
      <c r="J62" s="50" t="s">
        <v>68</v>
      </c>
      <c r="K62" s="45">
        <v>45938</v>
      </c>
      <c r="L62" s="98" t="s">
        <v>14</v>
      </c>
      <c r="M62" s="50" t="s">
        <v>226</v>
      </c>
      <c r="N62" s="50">
        <v>2025</v>
      </c>
    </row>
    <row r="63" spans="1:14">
      <c r="A63" s="50"/>
      <c r="B63" s="50" t="s">
        <v>43</v>
      </c>
      <c r="C63" s="50" t="s">
        <v>45</v>
      </c>
      <c r="D63" s="50" t="s">
        <v>61</v>
      </c>
      <c r="E63" s="50" t="s">
        <v>71</v>
      </c>
      <c r="F63" s="50"/>
      <c r="G63" s="50" t="s">
        <v>64</v>
      </c>
      <c r="H63" s="50" t="s">
        <v>1284</v>
      </c>
      <c r="I63" s="55">
        <v>384.15492957746477</v>
      </c>
      <c r="J63" s="50" t="s">
        <v>68</v>
      </c>
      <c r="K63" s="45">
        <v>45894</v>
      </c>
      <c r="L63" s="98" t="s">
        <v>14</v>
      </c>
      <c r="M63" s="50" t="s">
        <v>226</v>
      </c>
      <c r="N63" s="50">
        <v>2025</v>
      </c>
    </row>
    <row r="64" spans="1:14">
      <c r="A64" s="50"/>
      <c r="B64" s="50" t="s">
        <v>43</v>
      </c>
      <c r="C64" s="50" t="s">
        <v>46</v>
      </c>
      <c r="D64" s="50" t="s">
        <v>61</v>
      </c>
      <c r="E64" s="50" t="s">
        <v>71</v>
      </c>
      <c r="F64" s="50"/>
      <c r="G64" s="50" t="s">
        <v>64</v>
      </c>
      <c r="H64" s="50" t="s">
        <v>1294</v>
      </c>
      <c r="I64" s="55">
        <v>633.80281690140851</v>
      </c>
      <c r="J64" s="50">
        <v>8</v>
      </c>
      <c r="K64" s="45">
        <v>45785</v>
      </c>
      <c r="L64" s="98" t="s">
        <v>14</v>
      </c>
      <c r="M64" s="50" t="s">
        <v>226</v>
      </c>
      <c r="N64" s="50">
        <v>2025</v>
      </c>
    </row>
    <row r="65" spans="1:14">
      <c r="A65" s="50"/>
      <c r="B65" s="50" t="s">
        <v>43</v>
      </c>
      <c r="C65" s="50" t="s">
        <v>47</v>
      </c>
      <c r="D65" s="50" t="s">
        <v>61</v>
      </c>
      <c r="E65" s="50" t="s">
        <v>71</v>
      </c>
      <c r="F65" s="50"/>
      <c r="G65" s="50" t="s">
        <v>64</v>
      </c>
      <c r="H65" s="50" t="s">
        <v>1295</v>
      </c>
      <c r="I65" s="55">
        <v>532.3943661971831</v>
      </c>
      <c r="J65" s="50" t="s">
        <v>68</v>
      </c>
      <c r="K65" s="45">
        <v>45888</v>
      </c>
      <c r="L65" s="98" t="s">
        <v>14</v>
      </c>
      <c r="M65" s="50" t="s">
        <v>226</v>
      </c>
      <c r="N65" s="50">
        <v>2025</v>
      </c>
    </row>
    <row r="66" spans="1:14">
      <c r="A66" s="50"/>
      <c r="B66" s="50" t="s">
        <v>43</v>
      </c>
      <c r="C66" s="50" t="s">
        <v>49</v>
      </c>
      <c r="D66" s="50" t="s">
        <v>61</v>
      </c>
      <c r="E66" s="50" t="s">
        <v>71</v>
      </c>
      <c r="F66" s="50"/>
      <c r="G66" s="50" t="s">
        <v>64</v>
      </c>
      <c r="H66" s="50" t="s">
        <v>1296</v>
      </c>
      <c r="I66" s="55">
        <v>641.02112676056333</v>
      </c>
      <c r="J66" s="50" t="s">
        <v>68</v>
      </c>
      <c r="K66" s="45">
        <v>45894</v>
      </c>
      <c r="L66" s="98" t="s">
        <v>14</v>
      </c>
      <c r="M66" s="50" t="s">
        <v>226</v>
      </c>
      <c r="N66" s="50">
        <v>2025</v>
      </c>
    </row>
    <row r="67" spans="1:14">
      <c r="A67" s="50"/>
      <c r="B67" s="50" t="s">
        <v>43</v>
      </c>
      <c r="C67" s="50" t="s">
        <v>49</v>
      </c>
      <c r="D67" s="50" t="s">
        <v>61</v>
      </c>
      <c r="E67" s="50" t="s">
        <v>71</v>
      </c>
      <c r="F67" s="50"/>
      <c r="G67" s="50" t="s">
        <v>64</v>
      </c>
      <c r="H67" s="50" t="s">
        <v>1286</v>
      </c>
      <c r="I67" s="55">
        <v>1426.056338028169</v>
      </c>
      <c r="J67" s="50" t="s">
        <v>68</v>
      </c>
      <c r="K67" s="45">
        <v>45887</v>
      </c>
      <c r="L67" s="98" t="s">
        <v>14</v>
      </c>
      <c r="M67" s="50" t="s">
        <v>226</v>
      </c>
      <c r="N67" s="50">
        <v>2025</v>
      </c>
    </row>
    <row r="68" spans="1:14">
      <c r="A68" s="50"/>
      <c r="B68" s="50" t="s">
        <v>43</v>
      </c>
      <c r="C68" s="50" t="s">
        <v>50</v>
      </c>
      <c r="D68" s="50" t="s">
        <v>61</v>
      </c>
      <c r="E68" s="50" t="s">
        <v>71</v>
      </c>
      <c r="F68" s="50"/>
      <c r="G68" s="50" t="s">
        <v>64</v>
      </c>
      <c r="H68" s="50" t="s">
        <v>1287</v>
      </c>
      <c r="I68" s="55">
        <v>3174.6478873239435</v>
      </c>
      <c r="J68" s="50" t="s">
        <v>68</v>
      </c>
      <c r="K68" s="45">
        <v>45886</v>
      </c>
      <c r="L68" s="98" t="s">
        <v>14</v>
      </c>
      <c r="M68" s="50" t="s">
        <v>226</v>
      </c>
      <c r="N68" s="50">
        <v>2025</v>
      </c>
    </row>
    <row r="69" spans="1:14">
      <c r="A69" s="50"/>
      <c r="B69" s="50" t="s">
        <v>43</v>
      </c>
      <c r="C69" s="50" t="s">
        <v>50</v>
      </c>
      <c r="D69" s="50" t="s">
        <v>61</v>
      </c>
      <c r="E69" s="50" t="s">
        <v>71</v>
      </c>
      <c r="F69" s="50"/>
      <c r="G69" s="50" t="s">
        <v>64</v>
      </c>
      <c r="H69" s="50" t="s">
        <v>1285</v>
      </c>
      <c r="I69" s="55">
        <v>2935.211267605634</v>
      </c>
      <c r="J69" s="50" t="s">
        <v>68</v>
      </c>
      <c r="K69" s="45">
        <v>45908</v>
      </c>
      <c r="L69" s="98" t="s">
        <v>14</v>
      </c>
      <c r="M69" s="50" t="s">
        <v>226</v>
      </c>
      <c r="N69" s="50">
        <v>2025</v>
      </c>
    </row>
    <row r="70" spans="1:14">
      <c r="A70" s="50"/>
      <c r="B70" s="50" t="s">
        <v>43</v>
      </c>
      <c r="C70" s="50" t="s">
        <v>51</v>
      </c>
      <c r="D70" s="50" t="s">
        <v>61</v>
      </c>
      <c r="E70" s="50" t="s">
        <v>71</v>
      </c>
      <c r="F70" s="50"/>
      <c r="G70" s="50" t="s">
        <v>64</v>
      </c>
      <c r="H70" s="50" t="s">
        <v>290</v>
      </c>
      <c r="I70" s="55">
        <v>1500.7042253521126</v>
      </c>
      <c r="J70" s="50" t="s">
        <v>68</v>
      </c>
      <c r="K70" s="45">
        <v>45890</v>
      </c>
      <c r="L70" s="98" t="s">
        <v>14</v>
      </c>
      <c r="M70" s="50" t="s">
        <v>226</v>
      </c>
      <c r="N70" s="50">
        <v>2025</v>
      </c>
    </row>
    <row r="71" spans="1:14">
      <c r="A71" s="50"/>
      <c r="B71" s="50" t="s">
        <v>43</v>
      </c>
      <c r="C71" s="50" t="s">
        <v>51</v>
      </c>
      <c r="D71" s="50" t="s">
        <v>61</v>
      </c>
      <c r="E71" s="50" t="s">
        <v>71</v>
      </c>
      <c r="F71" s="50"/>
      <c r="G71" s="50" t="s">
        <v>64</v>
      </c>
      <c r="H71" s="50" t="s">
        <v>1297</v>
      </c>
      <c r="I71" s="55">
        <v>1450</v>
      </c>
      <c r="J71" s="50" t="s">
        <v>68</v>
      </c>
      <c r="K71" s="45">
        <v>45889</v>
      </c>
      <c r="L71" s="98" t="s">
        <v>14</v>
      </c>
      <c r="M71" s="50" t="s">
        <v>226</v>
      </c>
      <c r="N71" s="50">
        <v>2025</v>
      </c>
    </row>
    <row r="72" spans="1:14">
      <c r="A72" s="50"/>
      <c r="B72" s="50" t="s">
        <v>43</v>
      </c>
      <c r="C72" s="50" t="s">
        <v>51</v>
      </c>
      <c r="D72" s="50" t="s">
        <v>61</v>
      </c>
      <c r="E72" s="50" t="s">
        <v>71</v>
      </c>
      <c r="F72" s="50"/>
      <c r="G72" s="50" t="s">
        <v>64</v>
      </c>
      <c r="H72" s="50" t="s">
        <v>1298</v>
      </c>
      <c r="I72" s="55">
        <v>1390.1408450704225</v>
      </c>
      <c r="J72" s="50" t="s">
        <v>68</v>
      </c>
      <c r="K72" s="45">
        <v>45696</v>
      </c>
      <c r="L72" s="98" t="s">
        <v>14</v>
      </c>
      <c r="M72" s="50" t="s">
        <v>226</v>
      </c>
      <c r="N72" s="50">
        <v>2025</v>
      </c>
    </row>
    <row r="73" spans="1:14">
      <c r="A73" s="50"/>
      <c r="B73" s="50" t="s">
        <v>43</v>
      </c>
      <c r="C73" s="50" t="s">
        <v>51</v>
      </c>
      <c r="D73" s="50" t="s">
        <v>61</v>
      </c>
      <c r="E73" s="50" t="s">
        <v>71</v>
      </c>
      <c r="F73" s="50"/>
      <c r="G73" s="50" t="s">
        <v>64</v>
      </c>
      <c r="H73" s="50" t="s">
        <v>1299</v>
      </c>
      <c r="I73" s="55">
        <v>845.07042253521126</v>
      </c>
      <c r="J73" s="50" t="s">
        <v>68</v>
      </c>
      <c r="K73" s="45">
        <v>45724</v>
      </c>
      <c r="L73" s="98" t="s">
        <v>14</v>
      </c>
      <c r="M73" s="50" t="s">
        <v>226</v>
      </c>
      <c r="N73" s="50">
        <v>2025</v>
      </c>
    </row>
    <row r="74" spans="1:14">
      <c r="A74" s="50"/>
      <c r="B74" s="50" t="s">
        <v>43</v>
      </c>
      <c r="C74" s="50" t="s">
        <v>52</v>
      </c>
      <c r="D74" s="50" t="s">
        <v>61</v>
      </c>
      <c r="E74" s="50" t="s">
        <v>71</v>
      </c>
      <c r="F74" s="50"/>
      <c r="G74" s="50" t="s">
        <v>64</v>
      </c>
      <c r="H74" s="50" t="s">
        <v>291</v>
      </c>
      <c r="I74" s="55">
        <v>967.6056338028169</v>
      </c>
      <c r="J74" s="50" t="s">
        <v>68</v>
      </c>
      <c r="K74" s="45">
        <v>45696</v>
      </c>
      <c r="L74" s="98" t="s">
        <v>14</v>
      </c>
      <c r="M74" s="50" t="s">
        <v>226</v>
      </c>
      <c r="N74" s="50">
        <v>2025</v>
      </c>
    </row>
    <row r="75" spans="1:14">
      <c r="A75" s="50"/>
      <c r="B75" s="50" t="s">
        <v>43</v>
      </c>
      <c r="C75" s="50" t="s">
        <v>77</v>
      </c>
      <c r="D75" s="50" t="s">
        <v>61</v>
      </c>
      <c r="E75" s="50" t="s">
        <v>71</v>
      </c>
      <c r="F75" s="50"/>
      <c r="G75" s="50" t="s">
        <v>64</v>
      </c>
      <c r="H75" s="50" t="s">
        <v>78</v>
      </c>
      <c r="I75" s="55">
        <v>2279.2253521126759</v>
      </c>
      <c r="J75" s="50" t="s">
        <v>68</v>
      </c>
      <c r="K75" s="45">
        <v>45755</v>
      </c>
      <c r="L75" s="98" t="s">
        <v>14</v>
      </c>
      <c r="M75" s="50" t="s">
        <v>226</v>
      </c>
      <c r="N75" s="50">
        <v>2025</v>
      </c>
    </row>
    <row r="76" spans="1:14">
      <c r="A76" s="50"/>
      <c r="B76" s="50" t="s">
        <v>43</v>
      </c>
      <c r="C76" s="50" t="s">
        <v>73</v>
      </c>
      <c r="D76" s="50" t="s">
        <v>61</v>
      </c>
      <c r="E76" s="50" t="s">
        <v>71</v>
      </c>
      <c r="F76" s="50"/>
      <c r="G76" s="50" t="s">
        <v>64</v>
      </c>
      <c r="H76" s="50" t="s">
        <v>1300</v>
      </c>
      <c r="I76" s="55">
        <v>1858.0985915492959</v>
      </c>
      <c r="J76" s="50" t="s">
        <v>68</v>
      </c>
      <c r="K76" s="45">
        <v>45888</v>
      </c>
      <c r="L76" s="98" t="s">
        <v>14</v>
      </c>
      <c r="M76" s="50" t="s">
        <v>226</v>
      </c>
      <c r="N76" s="50">
        <v>2025</v>
      </c>
    </row>
    <row r="77" spans="1:14">
      <c r="A77" s="50"/>
      <c r="B77" s="50" t="s">
        <v>53</v>
      </c>
      <c r="C77" s="50" t="s">
        <v>54</v>
      </c>
      <c r="D77" s="50" t="s">
        <v>61</v>
      </c>
      <c r="E77" s="50" t="s">
        <v>71</v>
      </c>
      <c r="F77" s="50"/>
      <c r="G77" s="50" t="s">
        <v>64</v>
      </c>
      <c r="H77" s="50" t="s">
        <v>1307</v>
      </c>
      <c r="I77" s="55">
        <v>584.50704225352115</v>
      </c>
      <c r="J77" s="50" t="s">
        <v>68</v>
      </c>
      <c r="K77" s="45">
        <v>45899</v>
      </c>
      <c r="L77" s="98" t="s">
        <v>14</v>
      </c>
      <c r="M77" s="50" t="s">
        <v>226</v>
      </c>
      <c r="N77" s="50">
        <v>2025</v>
      </c>
    </row>
    <row r="78" spans="1:14">
      <c r="A78" s="50"/>
      <c r="B78" s="50" t="s">
        <v>53</v>
      </c>
      <c r="C78" s="50" t="s">
        <v>54</v>
      </c>
      <c r="D78" s="50" t="s">
        <v>61</v>
      </c>
      <c r="E78" s="50" t="s">
        <v>71</v>
      </c>
      <c r="F78" s="50"/>
      <c r="G78" s="50" t="s">
        <v>64</v>
      </c>
      <c r="H78" s="50" t="s">
        <v>1308</v>
      </c>
      <c r="I78" s="55">
        <v>77.464788732394368</v>
      </c>
      <c r="J78" s="50" t="s">
        <v>68</v>
      </c>
      <c r="K78" s="45">
        <v>45816</v>
      </c>
      <c r="L78" s="98" t="s">
        <v>14</v>
      </c>
      <c r="M78" s="50" t="s">
        <v>226</v>
      </c>
      <c r="N78" s="50">
        <v>2025</v>
      </c>
    </row>
    <row r="79" spans="1:14">
      <c r="A79" s="50"/>
      <c r="B79" s="50" t="s">
        <v>53</v>
      </c>
      <c r="C79" s="50" t="s">
        <v>54</v>
      </c>
      <c r="D79" s="50" t="s">
        <v>61</v>
      </c>
      <c r="E79" s="50" t="s">
        <v>71</v>
      </c>
      <c r="F79" s="50"/>
      <c r="G79" s="50" t="s">
        <v>64</v>
      </c>
      <c r="H79" s="50" t="s">
        <v>1304</v>
      </c>
      <c r="I79" s="55">
        <v>1685.2112676056338</v>
      </c>
      <c r="J79" s="50" t="s">
        <v>68</v>
      </c>
      <c r="K79" s="45">
        <v>45889</v>
      </c>
      <c r="L79" s="98" t="s">
        <v>14</v>
      </c>
      <c r="M79" s="50" t="s">
        <v>226</v>
      </c>
      <c r="N79" s="50">
        <v>2025</v>
      </c>
    </row>
    <row r="80" spans="1:14">
      <c r="A80" s="50"/>
      <c r="B80" s="50" t="s">
        <v>53</v>
      </c>
      <c r="C80" s="50" t="s">
        <v>54</v>
      </c>
      <c r="D80" s="50" t="s">
        <v>61</v>
      </c>
      <c r="E80" s="50" t="s">
        <v>71</v>
      </c>
      <c r="F80" s="50"/>
      <c r="G80" s="50" t="s">
        <v>64</v>
      </c>
      <c r="H80" s="50" t="s">
        <v>1304</v>
      </c>
      <c r="I80" s="55">
        <v>1762.6760563380283</v>
      </c>
      <c r="J80" s="50" t="s">
        <v>68</v>
      </c>
      <c r="K80" s="45">
        <v>45896</v>
      </c>
      <c r="L80" s="98" t="s">
        <v>14</v>
      </c>
      <c r="M80" s="50" t="s">
        <v>226</v>
      </c>
      <c r="N80" s="50">
        <v>2025</v>
      </c>
    </row>
    <row r="81" spans="1:14">
      <c r="A81" s="50"/>
      <c r="B81" s="50" t="s">
        <v>53</v>
      </c>
      <c r="C81" s="50" t="s">
        <v>54</v>
      </c>
      <c r="D81" s="50" t="s">
        <v>61</v>
      </c>
      <c r="E81" s="50" t="s">
        <v>71</v>
      </c>
      <c r="F81" s="50"/>
      <c r="G81" s="50" t="s">
        <v>64</v>
      </c>
      <c r="H81" s="50" t="s">
        <v>1309</v>
      </c>
      <c r="I81" s="55">
        <v>704.22535211267609</v>
      </c>
      <c r="J81" s="50" t="s">
        <v>68</v>
      </c>
      <c r="K81" s="45">
        <v>45892</v>
      </c>
      <c r="L81" s="98" t="s">
        <v>14</v>
      </c>
      <c r="M81" s="50" t="s">
        <v>226</v>
      </c>
      <c r="N81" s="50">
        <v>2025</v>
      </c>
    </row>
    <row r="82" spans="1:14">
      <c r="A82" s="50"/>
      <c r="B82" s="50" t="s">
        <v>53</v>
      </c>
      <c r="C82" s="50" t="s">
        <v>54</v>
      </c>
      <c r="D82" s="50" t="s">
        <v>61</v>
      </c>
      <c r="E82" s="50" t="s">
        <v>71</v>
      </c>
      <c r="F82" s="50"/>
      <c r="G82" s="50" t="s">
        <v>64</v>
      </c>
      <c r="H82" s="50" t="s">
        <v>1310</v>
      </c>
      <c r="I82" s="55">
        <v>866.19718309859149</v>
      </c>
      <c r="J82" s="50">
        <v>2219</v>
      </c>
      <c r="K82" s="45">
        <v>45755</v>
      </c>
      <c r="L82" s="98" t="s">
        <v>14</v>
      </c>
      <c r="M82" s="50" t="s">
        <v>226</v>
      </c>
      <c r="N82" s="50">
        <v>2025</v>
      </c>
    </row>
    <row r="83" spans="1:14">
      <c r="A83" s="50"/>
      <c r="B83" s="50" t="s">
        <v>53</v>
      </c>
      <c r="C83" s="50" t="s">
        <v>54</v>
      </c>
      <c r="D83" s="50" t="s">
        <v>61</v>
      </c>
      <c r="E83" s="50" t="s">
        <v>71</v>
      </c>
      <c r="F83" s="50"/>
      <c r="G83" s="50" t="s">
        <v>64</v>
      </c>
      <c r="H83" s="50" t="s">
        <v>1304</v>
      </c>
      <c r="I83" s="55">
        <v>1352.8169014084508</v>
      </c>
      <c r="J83" s="50" t="s">
        <v>68</v>
      </c>
      <c r="K83" s="45">
        <v>45696</v>
      </c>
      <c r="L83" s="98" t="s">
        <v>14</v>
      </c>
      <c r="M83" s="50" t="s">
        <v>226</v>
      </c>
      <c r="N83" s="50">
        <v>2025</v>
      </c>
    </row>
    <row r="84" spans="1:14">
      <c r="A84" s="50"/>
      <c r="B84" s="50" t="s">
        <v>53</v>
      </c>
      <c r="C84" s="50" t="s">
        <v>54</v>
      </c>
      <c r="D84" s="50" t="s">
        <v>61</v>
      </c>
      <c r="E84" s="50" t="s">
        <v>71</v>
      </c>
      <c r="F84" s="50"/>
      <c r="G84" s="50" t="s">
        <v>64</v>
      </c>
      <c r="H84" s="50" t="s">
        <v>1302</v>
      </c>
      <c r="I84" s="55">
        <v>388.90845070422534</v>
      </c>
      <c r="J84" s="50" t="s">
        <v>68</v>
      </c>
      <c r="K84" s="45">
        <v>45866</v>
      </c>
      <c r="L84" s="98" t="s">
        <v>14</v>
      </c>
      <c r="M84" s="50" t="s">
        <v>226</v>
      </c>
      <c r="N84" s="50">
        <v>2025</v>
      </c>
    </row>
    <row r="85" spans="1:14">
      <c r="A85" s="50"/>
      <c r="B85" s="50" t="s">
        <v>53</v>
      </c>
      <c r="C85" s="50" t="s">
        <v>54</v>
      </c>
      <c r="D85" s="50" t="s">
        <v>61</v>
      </c>
      <c r="E85" s="50" t="s">
        <v>71</v>
      </c>
      <c r="F85" s="50"/>
      <c r="G85" s="50" t="s">
        <v>64</v>
      </c>
      <c r="H85" s="50" t="s">
        <v>1266</v>
      </c>
      <c r="I85" s="55">
        <v>1253.5211267605634</v>
      </c>
      <c r="J85" s="50" t="s">
        <v>68</v>
      </c>
      <c r="K85" s="45">
        <v>45969</v>
      </c>
      <c r="L85" s="98" t="s">
        <v>14</v>
      </c>
      <c r="M85" s="50" t="s">
        <v>226</v>
      </c>
      <c r="N85" s="50">
        <v>2025</v>
      </c>
    </row>
    <row r="86" spans="1:14">
      <c r="A86" s="50"/>
      <c r="B86" s="50" t="s">
        <v>53</v>
      </c>
      <c r="C86" s="50" t="s">
        <v>54</v>
      </c>
      <c r="D86" s="50" t="s">
        <v>61</v>
      </c>
      <c r="E86" s="50" t="s">
        <v>71</v>
      </c>
      <c r="F86" s="50"/>
      <c r="G86" s="50" t="s">
        <v>64</v>
      </c>
      <c r="H86" s="50" t="s">
        <v>1312</v>
      </c>
      <c r="I86" s="55">
        <v>640.84507042253517</v>
      </c>
      <c r="J86" s="50" t="s">
        <v>68</v>
      </c>
      <c r="K86" s="45">
        <v>45890</v>
      </c>
      <c r="L86" s="98" t="s">
        <v>14</v>
      </c>
      <c r="M86" s="50" t="s">
        <v>226</v>
      </c>
      <c r="N86" s="50">
        <v>2025</v>
      </c>
    </row>
    <row r="87" spans="1:14">
      <c r="A87" s="50"/>
      <c r="B87" s="50" t="s">
        <v>53</v>
      </c>
      <c r="C87" s="50" t="s">
        <v>54</v>
      </c>
      <c r="D87" s="50" t="s">
        <v>61</v>
      </c>
      <c r="E87" s="50" t="s">
        <v>71</v>
      </c>
      <c r="F87" s="50"/>
      <c r="G87" s="50" t="s">
        <v>64</v>
      </c>
      <c r="H87" s="50" t="s">
        <v>1266</v>
      </c>
      <c r="I87" s="55">
        <v>38.732394366197184</v>
      </c>
      <c r="J87" s="50" t="s">
        <v>68</v>
      </c>
      <c r="K87" s="45">
        <v>45696</v>
      </c>
      <c r="L87" s="98" t="s">
        <v>14</v>
      </c>
      <c r="M87" s="50" t="s">
        <v>226</v>
      </c>
      <c r="N87" s="50">
        <v>2025</v>
      </c>
    </row>
    <row r="88" spans="1:14">
      <c r="A88" s="50"/>
      <c r="B88" s="50" t="s">
        <v>273</v>
      </c>
      <c r="C88" s="50" t="s">
        <v>56</v>
      </c>
      <c r="D88" s="50" t="s">
        <v>61</v>
      </c>
      <c r="E88" s="50" t="s">
        <v>82</v>
      </c>
      <c r="F88" s="50"/>
      <c r="G88" s="50" t="s">
        <v>64</v>
      </c>
      <c r="H88" s="50" t="s">
        <v>1313</v>
      </c>
      <c r="I88" s="55">
        <v>985.91549295774644</v>
      </c>
      <c r="J88" s="50">
        <v>27</v>
      </c>
      <c r="K88" s="45">
        <v>45866</v>
      </c>
      <c r="L88" s="98" t="s">
        <v>14</v>
      </c>
      <c r="M88" s="50" t="s">
        <v>226</v>
      </c>
      <c r="N88" s="50">
        <v>2025</v>
      </c>
    </row>
    <row r="89" spans="1:14">
      <c r="A89" s="50"/>
      <c r="B89" s="50" t="s">
        <v>273</v>
      </c>
      <c r="C89" s="50" t="s">
        <v>56</v>
      </c>
      <c r="D89" s="50" t="s">
        <v>61</v>
      </c>
      <c r="E89" s="50" t="s">
        <v>82</v>
      </c>
      <c r="F89" s="50"/>
      <c r="G89" s="50" t="s">
        <v>64</v>
      </c>
      <c r="H89" s="50" t="s">
        <v>1313</v>
      </c>
      <c r="I89" s="55">
        <v>1478.8732394366198</v>
      </c>
      <c r="J89" s="50">
        <v>22156</v>
      </c>
      <c r="K89" s="45">
        <v>45866</v>
      </c>
      <c r="L89" s="98" t="s">
        <v>14</v>
      </c>
      <c r="M89" s="50" t="s">
        <v>226</v>
      </c>
      <c r="N89" s="50">
        <v>2025</v>
      </c>
    </row>
    <row r="90" spans="1:14">
      <c r="A90" s="50"/>
      <c r="B90" s="50" t="s">
        <v>59</v>
      </c>
      <c r="C90" s="50" t="s">
        <v>60</v>
      </c>
      <c r="D90" s="50" t="s">
        <v>61</v>
      </c>
      <c r="E90" s="50" t="s">
        <v>82</v>
      </c>
      <c r="F90" s="50"/>
      <c r="G90" s="50" t="s">
        <v>64</v>
      </c>
      <c r="H90" s="50" t="s">
        <v>1315</v>
      </c>
      <c r="I90" s="55">
        <v>774.64788732394368</v>
      </c>
      <c r="J90" s="50">
        <v>380840</v>
      </c>
      <c r="K90" s="45">
        <v>45846</v>
      </c>
      <c r="L90" s="98" t="s">
        <v>14</v>
      </c>
      <c r="M90" s="50" t="s">
        <v>226</v>
      </c>
      <c r="N90" s="50">
        <v>2025</v>
      </c>
    </row>
    <row r="91" spans="1:14">
      <c r="A91" s="50"/>
      <c r="B91" s="50" t="s">
        <v>59</v>
      </c>
      <c r="C91" s="50" t="s">
        <v>60</v>
      </c>
      <c r="D91" s="50" t="s">
        <v>61</v>
      </c>
      <c r="E91" s="50" t="s">
        <v>287</v>
      </c>
      <c r="F91" s="50"/>
      <c r="G91" s="50" t="s">
        <v>64</v>
      </c>
      <c r="H91" s="50" t="s">
        <v>1319</v>
      </c>
      <c r="I91" s="55">
        <v>808.45070422535207</v>
      </c>
      <c r="J91" s="50" t="s">
        <v>68</v>
      </c>
      <c r="K91" s="45">
        <v>45900</v>
      </c>
      <c r="L91" s="98" t="s">
        <v>14</v>
      </c>
      <c r="M91" s="50" t="s">
        <v>226</v>
      </c>
      <c r="N91" s="50">
        <v>2025</v>
      </c>
    </row>
    <row r="92" spans="1:14">
      <c r="A92" s="50"/>
      <c r="B92" s="50" t="s">
        <v>59</v>
      </c>
      <c r="C92" s="50" t="s">
        <v>60</v>
      </c>
      <c r="D92" s="50" t="s">
        <v>61</v>
      </c>
      <c r="E92" s="50" t="s">
        <v>287</v>
      </c>
      <c r="F92" s="50"/>
      <c r="G92" s="50" t="s">
        <v>64</v>
      </c>
      <c r="H92" s="50" t="s">
        <v>1320</v>
      </c>
      <c r="I92" s="55">
        <v>1507.0422535211267</v>
      </c>
      <c r="J92" s="50" t="s">
        <v>68</v>
      </c>
      <c r="K92" s="45">
        <v>45897</v>
      </c>
      <c r="L92" s="98" t="s">
        <v>14</v>
      </c>
      <c r="M92" s="50" t="s">
        <v>226</v>
      </c>
      <c r="N92" s="50">
        <v>2025</v>
      </c>
    </row>
    <row r="93" spans="1:14">
      <c r="A93" s="50"/>
      <c r="B93" s="50" t="s">
        <v>59</v>
      </c>
      <c r="C93" s="50" t="s">
        <v>60</v>
      </c>
      <c r="D93" s="50" t="s">
        <v>61</v>
      </c>
      <c r="E93" s="50" t="s">
        <v>287</v>
      </c>
      <c r="F93" s="50"/>
      <c r="G93" s="50" t="s">
        <v>64</v>
      </c>
      <c r="H93" s="50" t="s">
        <v>1319</v>
      </c>
      <c r="I93" s="55">
        <v>800</v>
      </c>
      <c r="J93" s="50" t="s">
        <v>68</v>
      </c>
      <c r="K93" s="45">
        <v>45893</v>
      </c>
      <c r="L93" s="98" t="s">
        <v>14</v>
      </c>
      <c r="M93" s="50" t="s">
        <v>226</v>
      </c>
      <c r="N93" s="50">
        <v>2025</v>
      </c>
    </row>
    <row r="94" spans="1:14">
      <c r="A94" s="50"/>
      <c r="B94" s="50" t="s">
        <v>59</v>
      </c>
      <c r="C94" s="50" t="s">
        <v>60</v>
      </c>
      <c r="D94" s="50" t="s">
        <v>61</v>
      </c>
      <c r="E94" s="50" t="s">
        <v>287</v>
      </c>
      <c r="F94" s="50"/>
      <c r="G94" s="50" t="s">
        <v>64</v>
      </c>
      <c r="H94" s="50" t="s">
        <v>88</v>
      </c>
      <c r="I94" s="55">
        <v>528.16901408450701</v>
      </c>
      <c r="J94" s="50" t="s">
        <v>68</v>
      </c>
      <c r="K94" s="45">
        <v>45890</v>
      </c>
      <c r="L94" s="98" t="s">
        <v>14</v>
      </c>
      <c r="M94" s="50" t="s">
        <v>226</v>
      </c>
      <c r="N94" s="50">
        <v>2025</v>
      </c>
    </row>
    <row r="95" spans="1:14">
      <c r="A95" s="50"/>
      <c r="B95" s="50" t="s">
        <v>59</v>
      </c>
      <c r="C95" s="50" t="s">
        <v>60</v>
      </c>
      <c r="D95" s="50" t="s">
        <v>61</v>
      </c>
      <c r="E95" s="50" t="s">
        <v>287</v>
      </c>
      <c r="F95" s="50"/>
      <c r="G95" s="50" t="s">
        <v>64</v>
      </c>
      <c r="H95" s="50" t="s">
        <v>1321</v>
      </c>
      <c r="I95" s="55">
        <v>422.53521126760563</v>
      </c>
      <c r="J95" s="50" t="s">
        <v>68</v>
      </c>
      <c r="K95" s="45">
        <v>45887</v>
      </c>
      <c r="L95" s="98" t="s">
        <v>14</v>
      </c>
      <c r="M95" s="50" t="s">
        <v>226</v>
      </c>
      <c r="N95" s="50">
        <v>2025</v>
      </c>
    </row>
    <row r="96" spans="1:14">
      <c r="A96" s="50"/>
      <c r="B96" s="50" t="s">
        <v>59</v>
      </c>
      <c r="C96" s="50" t="s">
        <v>60</v>
      </c>
      <c r="D96" s="50" t="s">
        <v>61</v>
      </c>
      <c r="E96" s="50" t="s">
        <v>287</v>
      </c>
      <c r="F96" s="50"/>
      <c r="G96" s="50" t="s">
        <v>64</v>
      </c>
      <c r="H96" s="50" t="s">
        <v>1322</v>
      </c>
      <c r="I96" s="55">
        <v>538.73239436619713</v>
      </c>
      <c r="J96" s="50" t="s">
        <v>68</v>
      </c>
      <c r="K96" s="45">
        <v>45867</v>
      </c>
      <c r="L96" s="98" t="s">
        <v>14</v>
      </c>
      <c r="M96" s="50" t="s">
        <v>226</v>
      </c>
      <c r="N96" s="50">
        <v>2025</v>
      </c>
    </row>
    <row r="97" spans="1:14">
      <c r="A97" s="50">
        <v>2</v>
      </c>
      <c r="B97" s="50" t="s">
        <v>17</v>
      </c>
      <c r="C97" s="45" t="s">
        <v>26</v>
      </c>
      <c r="D97" s="50" t="s">
        <v>61</v>
      </c>
      <c r="E97" s="50" t="s">
        <v>63</v>
      </c>
      <c r="F97" s="50"/>
      <c r="G97" s="50" t="s">
        <v>64</v>
      </c>
      <c r="H97" s="51" t="s">
        <v>66</v>
      </c>
      <c r="I97" s="52">
        <v>915.49295774647885</v>
      </c>
      <c r="J97" s="50" t="s">
        <v>68</v>
      </c>
      <c r="K97" s="45">
        <v>45664</v>
      </c>
      <c r="L97" s="97" t="s">
        <v>14</v>
      </c>
      <c r="M97" s="53" t="s">
        <v>225</v>
      </c>
      <c r="N97" s="50">
        <v>2025</v>
      </c>
    </row>
    <row r="98" spans="1:14">
      <c r="A98" s="50">
        <v>4</v>
      </c>
      <c r="B98" s="50" t="s">
        <v>59</v>
      </c>
      <c r="C98" s="45" t="s">
        <v>60</v>
      </c>
      <c r="D98" s="50" t="s">
        <v>61</v>
      </c>
      <c r="E98" s="50" t="s">
        <v>63</v>
      </c>
      <c r="F98" s="50"/>
      <c r="G98" s="50" t="s">
        <v>64</v>
      </c>
      <c r="H98" s="51" t="s">
        <v>1205</v>
      </c>
      <c r="I98" s="52">
        <v>250</v>
      </c>
      <c r="J98" s="50" t="s">
        <v>68</v>
      </c>
      <c r="K98" s="45">
        <v>45837</v>
      </c>
      <c r="L98" s="97" t="s">
        <v>14</v>
      </c>
      <c r="M98" s="53" t="s">
        <v>225</v>
      </c>
      <c r="N98" s="50">
        <v>2025</v>
      </c>
    </row>
    <row r="99" spans="1:14">
      <c r="A99" s="50">
        <v>5</v>
      </c>
      <c r="B99" s="50" t="s">
        <v>59</v>
      </c>
      <c r="C99" s="45" t="s">
        <v>60</v>
      </c>
      <c r="D99" s="50" t="s">
        <v>61</v>
      </c>
      <c r="E99" s="50" t="s">
        <v>63</v>
      </c>
      <c r="F99" s="50"/>
      <c r="G99" s="50" t="s">
        <v>64</v>
      </c>
      <c r="H99" s="51" t="s">
        <v>1206</v>
      </c>
      <c r="I99" s="52">
        <v>1584.5070422535211</v>
      </c>
      <c r="J99" s="50" t="s">
        <v>68</v>
      </c>
      <c r="K99" s="45">
        <v>45784</v>
      </c>
      <c r="L99" s="97" t="s">
        <v>14</v>
      </c>
      <c r="M99" s="53" t="s">
        <v>225</v>
      </c>
      <c r="N99" s="50">
        <v>2025</v>
      </c>
    </row>
    <row r="100" spans="1:14">
      <c r="A100" s="50">
        <v>6</v>
      </c>
      <c r="B100" s="50" t="s">
        <v>59</v>
      </c>
      <c r="C100" s="45" t="s">
        <v>60</v>
      </c>
      <c r="D100" s="50" t="s">
        <v>61</v>
      </c>
      <c r="E100" s="50" t="s">
        <v>63</v>
      </c>
      <c r="F100" s="50"/>
      <c r="G100" s="50" t="s">
        <v>64</v>
      </c>
      <c r="H100" s="51" t="s">
        <v>1207</v>
      </c>
      <c r="I100" s="52">
        <v>2785.5633802816901</v>
      </c>
      <c r="J100" s="50" t="s">
        <v>68</v>
      </c>
      <c r="K100" s="45">
        <v>45866</v>
      </c>
      <c r="L100" s="97" t="s">
        <v>14</v>
      </c>
      <c r="M100" s="53" t="s">
        <v>225</v>
      </c>
      <c r="N100" s="50">
        <v>2025</v>
      </c>
    </row>
    <row r="101" spans="1:14">
      <c r="A101" s="50">
        <v>7</v>
      </c>
      <c r="B101" s="50" t="s">
        <v>59</v>
      </c>
      <c r="C101" s="45" t="s">
        <v>60</v>
      </c>
      <c r="D101" s="50" t="s">
        <v>61</v>
      </c>
      <c r="E101" s="50" t="s">
        <v>63</v>
      </c>
      <c r="F101" s="50"/>
      <c r="G101" s="50" t="s">
        <v>64</v>
      </c>
      <c r="H101" s="51" t="s">
        <v>288</v>
      </c>
      <c r="I101" s="52">
        <v>352.11267605633805</v>
      </c>
      <c r="J101" s="50" t="s">
        <v>68</v>
      </c>
      <c r="K101" s="45">
        <v>45858</v>
      </c>
      <c r="L101" s="97" t="s">
        <v>14</v>
      </c>
      <c r="M101" s="53" t="s">
        <v>225</v>
      </c>
      <c r="N101" s="50">
        <v>2025</v>
      </c>
    </row>
    <row r="102" spans="1:14">
      <c r="A102" s="50">
        <v>8</v>
      </c>
      <c r="B102" s="50" t="s">
        <v>59</v>
      </c>
      <c r="C102" s="45" t="s">
        <v>60</v>
      </c>
      <c r="D102" s="50" t="s">
        <v>61</v>
      </c>
      <c r="E102" s="50" t="s">
        <v>63</v>
      </c>
      <c r="F102" s="50"/>
      <c r="G102" s="50" t="s">
        <v>64</v>
      </c>
      <c r="H102" s="51" t="s">
        <v>1208</v>
      </c>
      <c r="I102" s="52">
        <v>352.11267605633805</v>
      </c>
      <c r="J102" s="50" t="s">
        <v>68</v>
      </c>
      <c r="K102" s="45">
        <v>45851</v>
      </c>
      <c r="L102" s="97" t="s">
        <v>14</v>
      </c>
      <c r="M102" s="53" t="s">
        <v>225</v>
      </c>
      <c r="N102" s="50">
        <v>2025</v>
      </c>
    </row>
    <row r="103" spans="1:14">
      <c r="A103" s="50">
        <v>9</v>
      </c>
      <c r="B103" s="50" t="s">
        <v>59</v>
      </c>
      <c r="C103" s="45" t="s">
        <v>60</v>
      </c>
      <c r="D103" s="50" t="s">
        <v>61</v>
      </c>
      <c r="E103" s="50" t="s">
        <v>63</v>
      </c>
      <c r="F103" s="50"/>
      <c r="G103" s="50" t="s">
        <v>64</v>
      </c>
      <c r="H103" s="51" t="s">
        <v>65</v>
      </c>
      <c r="I103" s="52">
        <v>5783.8028169014087</v>
      </c>
      <c r="J103" s="50" t="s">
        <v>68</v>
      </c>
      <c r="K103" s="45">
        <v>45861</v>
      </c>
      <c r="L103" s="97" t="s">
        <v>14</v>
      </c>
      <c r="M103" s="53" t="s">
        <v>225</v>
      </c>
      <c r="N103" s="50">
        <v>2025</v>
      </c>
    </row>
    <row r="104" spans="1:14">
      <c r="A104" s="50">
        <v>14</v>
      </c>
      <c r="B104" s="50" t="s">
        <v>76</v>
      </c>
      <c r="C104" s="50" t="s">
        <v>30</v>
      </c>
      <c r="D104" s="50" t="s">
        <v>61</v>
      </c>
      <c r="E104" s="50" t="s">
        <v>63</v>
      </c>
      <c r="F104" s="50"/>
      <c r="G104" s="50" t="s">
        <v>64</v>
      </c>
      <c r="H104" s="51" t="s">
        <v>65</v>
      </c>
      <c r="I104" s="52">
        <v>704.22535211267609</v>
      </c>
      <c r="J104" s="50" t="s">
        <v>68</v>
      </c>
      <c r="K104" s="45">
        <v>45852</v>
      </c>
      <c r="L104" s="97" t="s">
        <v>14</v>
      </c>
      <c r="M104" s="53" t="s">
        <v>225</v>
      </c>
      <c r="N104" s="50">
        <v>2025</v>
      </c>
    </row>
    <row r="105" spans="1:14">
      <c r="A105" s="50">
        <v>15</v>
      </c>
      <c r="B105" s="50" t="s">
        <v>76</v>
      </c>
      <c r="C105" s="45" t="s">
        <v>30</v>
      </c>
      <c r="D105" s="50" t="s">
        <v>61</v>
      </c>
      <c r="E105" s="50" t="s">
        <v>63</v>
      </c>
      <c r="F105" s="50"/>
      <c r="G105" s="50" t="s">
        <v>64</v>
      </c>
      <c r="H105" s="51" t="s">
        <v>1211</v>
      </c>
      <c r="I105" s="52">
        <v>359.15492957746477</v>
      </c>
      <c r="J105" s="50" t="s">
        <v>68</v>
      </c>
      <c r="K105" s="45">
        <v>45876</v>
      </c>
      <c r="L105" s="97" t="s">
        <v>14</v>
      </c>
      <c r="M105" s="53" t="s">
        <v>225</v>
      </c>
      <c r="N105" s="50">
        <v>2025</v>
      </c>
    </row>
    <row r="106" spans="1:14">
      <c r="A106" s="50">
        <v>16</v>
      </c>
      <c r="B106" s="50" t="s">
        <v>76</v>
      </c>
      <c r="C106" s="45" t="s">
        <v>30</v>
      </c>
      <c r="D106" s="50" t="s">
        <v>61</v>
      </c>
      <c r="E106" s="50" t="s">
        <v>63</v>
      </c>
      <c r="F106" s="50"/>
      <c r="G106" s="50" t="s">
        <v>64</v>
      </c>
      <c r="H106" s="51" t="s">
        <v>1212</v>
      </c>
      <c r="I106" s="52">
        <v>704.22535211267609</v>
      </c>
      <c r="J106" s="50" t="s">
        <v>68</v>
      </c>
      <c r="K106" s="45">
        <v>45664</v>
      </c>
      <c r="L106" s="97" t="s">
        <v>14</v>
      </c>
      <c r="M106" s="53" t="s">
        <v>225</v>
      </c>
      <c r="N106" s="50">
        <v>2025</v>
      </c>
    </row>
    <row r="107" spans="1:14">
      <c r="A107" s="50">
        <v>17</v>
      </c>
      <c r="B107" s="50" t="s">
        <v>33</v>
      </c>
      <c r="C107" s="45" t="s">
        <v>34</v>
      </c>
      <c r="D107" s="50" t="s">
        <v>61</v>
      </c>
      <c r="E107" s="50" t="s">
        <v>63</v>
      </c>
      <c r="F107" s="50"/>
      <c r="G107" s="50" t="s">
        <v>64</v>
      </c>
      <c r="H107" s="51" t="s">
        <v>65</v>
      </c>
      <c r="I107" s="52">
        <v>778.16901408450701</v>
      </c>
      <c r="J107" s="50" t="s">
        <v>68</v>
      </c>
      <c r="K107" s="45">
        <v>45855</v>
      </c>
      <c r="L107" s="97" t="s">
        <v>14</v>
      </c>
      <c r="M107" s="53" t="s">
        <v>225</v>
      </c>
      <c r="N107" s="50">
        <v>2025</v>
      </c>
    </row>
    <row r="108" spans="1:14">
      <c r="A108" s="50">
        <v>18</v>
      </c>
      <c r="B108" s="50" t="s">
        <v>33</v>
      </c>
      <c r="C108" s="50" t="s">
        <v>34</v>
      </c>
      <c r="D108" s="50" t="s">
        <v>61</v>
      </c>
      <c r="E108" s="50" t="s">
        <v>63</v>
      </c>
      <c r="F108" s="50"/>
      <c r="G108" s="50" t="s">
        <v>64</v>
      </c>
      <c r="H108" s="50" t="s">
        <v>1213</v>
      </c>
      <c r="I108" s="52">
        <v>211.26760563380282</v>
      </c>
      <c r="J108" s="50" t="s">
        <v>68</v>
      </c>
      <c r="K108" s="45">
        <v>45853</v>
      </c>
      <c r="L108" s="97" t="s">
        <v>14</v>
      </c>
      <c r="M108" s="53" t="s">
        <v>225</v>
      </c>
      <c r="N108" s="50">
        <v>2025</v>
      </c>
    </row>
    <row r="109" spans="1:14">
      <c r="A109" s="50">
        <v>19</v>
      </c>
      <c r="B109" s="50" t="s">
        <v>33</v>
      </c>
      <c r="C109" s="50" t="s">
        <v>34</v>
      </c>
      <c r="D109" s="50" t="s">
        <v>61</v>
      </c>
      <c r="E109" s="50" t="s">
        <v>63</v>
      </c>
      <c r="F109" s="50"/>
      <c r="G109" s="50" t="s">
        <v>64</v>
      </c>
      <c r="H109" s="50" t="s">
        <v>67</v>
      </c>
      <c r="I109" s="52">
        <v>528.16901408450701</v>
      </c>
      <c r="J109" s="50" t="s">
        <v>68</v>
      </c>
      <c r="K109" s="45">
        <v>45664</v>
      </c>
      <c r="L109" s="97" t="s">
        <v>14</v>
      </c>
      <c r="M109" s="53" t="s">
        <v>225</v>
      </c>
      <c r="N109" s="50">
        <v>2025</v>
      </c>
    </row>
    <row r="110" spans="1:14">
      <c r="A110" s="50">
        <v>26</v>
      </c>
      <c r="B110" s="50" t="s">
        <v>43</v>
      </c>
      <c r="C110" s="45" t="s">
        <v>52</v>
      </c>
      <c r="D110" s="50" t="s">
        <v>61</v>
      </c>
      <c r="E110" s="50" t="s">
        <v>63</v>
      </c>
      <c r="F110" s="50"/>
      <c r="G110" s="50" t="s">
        <v>64</v>
      </c>
      <c r="H110" s="51" t="s">
        <v>65</v>
      </c>
      <c r="I110" s="52">
        <v>1760.5633802816901</v>
      </c>
      <c r="J110" s="50" t="s">
        <v>68</v>
      </c>
      <c r="K110" s="45">
        <v>45854</v>
      </c>
      <c r="L110" s="97" t="s">
        <v>14</v>
      </c>
      <c r="M110" s="53" t="s">
        <v>225</v>
      </c>
      <c r="N110" s="50">
        <v>2025</v>
      </c>
    </row>
    <row r="111" spans="1:14">
      <c r="A111" s="50">
        <v>28</v>
      </c>
      <c r="B111" s="50" t="s">
        <v>53</v>
      </c>
      <c r="C111" s="45" t="s">
        <v>54</v>
      </c>
      <c r="D111" s="50" t="s">
        <v>61</v>
      </c>
      <c r="E111" s="50" t="s">
        <v>63</v>
      </c>
      <c r="F111" s="50"/>
      <c r="G111" s="50" t="s">
        <v>64</v>
      </c>
      <c r="H111" s="51" t="s">
        <v>65</v>
      </c>
      <c r="I111" s="52">
        <v>985.91549295774644</v>
      </c>
      <c r="J111" s="50" t="s">
        <v>68</v>
      </c>
      <c r="K111" s="45">
        <v>45937</v>
      </c>
      <c r="L111" s="97" t="s">
        <v>14</v>
      </c>
      <c r="M111" s="53" t="s">
        <v>225</v>
      </c>
      <c r="N111" s="50">
        <v>2025</v>
      </c>
    </row>
    <row r="112" spans="1:14">
      <c r="A112" s="50">
        <v>29</v>
      </c>
      <c r="B112" s="50" t="s">
        <v>53</v>
      </c>
      <c r="C112" s="45" t="s">
        <v>54</v>
      </c>
      <c r="D112" s="50" t="s">
        <v>61</v>
      </c>
      <c r="E112" s="50" t="s">
        <v>63</v>
      </c>
      <c r="F112" s="50"/>
      <c r="G112" s="50" t="s">
        <v>64</v>
      </c>
      <c r="H112" s="51" t="s">
        <v>69</v>
      </c>
      <c r="I112" s="52">
        <v>352.11267605633805</v>
      </c>
      <c r="J112" s="50" t="s">
        <v>68</v>
      </c>
      <c r="K112" s="45">
        <v>45664</v>
      </c>
      <c r="L112" s="97" t="s">
        <v>14</v>
      </c>
      <c r="M112" s="53" t="s">
        <v>225</v>
      </c>
      <c r="N112" s="50">
        <v>2025</v>
      </c>
    </row>
    <row r="113" spans="1:14">
      <c r="A113" s="50">
        <v>30</v>
      </c>
      <c r="B113" s="50" t="s">
        <v>53</v>
      </c>
      <c r="C113" s="45" t="s">
        <v>54</v>
      </c>
      <c r="D113" s="50" t="s">
        <v>61</v>
      </c>
      <c r="E113" s="50" t="s">
        <v>63</v>
      </c>
      <c r="F113" s="50"/>
      <c r="G113" s="50" t="s">
        <v>64</v>
      </c>
      <c r="H113" s="51" t="s">
        <v>65</v>
      </c>
      <c r="I113" s="52">
        <v>352.11267605633805</v>
      </c>
      <c r="J113" s="50" t="s">
        <v>68</v>
      </c>
      <c r="K113" s="45">
        <v>45853</v>
      </c>
      <c r="L113" s="97" t="s">
        <v>14</v>
      </c>
      <c r="M113" s="53" t="s">
        <v>225</v>
      </c>
      <c r="N113" s="50">
        <v>2025</v>
      </c>
    </row>
    <row r="114" spans="1:14">
      <c r="A114" s="50">
        <v>33</v>
      </c>
      <c r="B114" s="50" t="s">
        <v>17</v>
      </c>
      <c r="C114" s="45" t="s">
        <v>23</v>
      </c>
      <c r="D114" s="50" t="s">
        <v>61</v>
      </c>
      <c r="E114" s="50" t="s">
        <v>105</v>
      </c>
      <c r="F114" s="50"/>
      <c r="G114" s="50" t="s">
        <v>64</v>
      </c>
      <c r="H114" s="51" t="s">
        <v>1215</v>
      </c>
      <c r="I114" s="52">
        <v>37.323943661971832</v>
      </c>
      <c r="J114" s="50" t="s">
        <v>68</v>
      </c>
      <c r="K114" s="45">
        <v>45856</v>
      </c>
      <c r="L114" s="97" t="s">
        <v>14</v>
      </c>
      <c r="M114" s="53" t="s">
        <v>225</v>
      </c>
      <c r="N114" s="50">
        <v>2025</v>
      </c>
    </row>
    <row r="115" spans="1:14">
      <c r="A115" s="50">
        <v>34</v>
      </c>
      <c r="B115" s="50" t="s">
        <v>17</v>
      </c>
      <c r="C115" s="45" t="s">
        <v>24</v>
      </c>
      <c r="D115" s="50" t="s">
        <v>61</v>
      </c>
      <c r="E115" s="50" t="s">
        <v>105</v>
      </c>
      <c r="F115" s="50"/>
      <c r="G115" s="50" t="s">
        <v>64</v>
      </c>
      <c r="H115" s="51" t="s">
        <v>1216</v>
      </c>
      <c r="I115" s="52">
        <v>1264.0845070422536</v>
      </c>
      <c r="J115" s="50" t="s">
        <v>68</v>
      </c>
      <c r="K115" s="45">
        <v>45867</v>
      </c>
      <c r="L115" s="97" t="s">
        <v>14</v>
      </c>
      <c r="M115" s="53" t="s">
        <v>225</v>
      </c>
      <c r="N115" s="50">
        <v>2025</v>
      </c>
    </row>
    <row r="116" spans="1:14">
      <c r="A116" s="50">
        <v>35</v>
      </c>
      <c r="B116" s="50" t="s">
        <v>17</v>
      </c>
      <c r="C116" s="45" t="s">
        <v>24</v>
      </c>
      <c r="D116" s="50" t="s">
        <v>61</v>
      </c>
      <c r="E116" s="50" t="s">
        <v>105</v>
      </c>
      <c r="F116" s="50"/>
      <c r="G116" s="50" t="s">
        <v>64</v>
      </c>
      <c r="H116" s="51" t="s">
        <v>1217</v>
      </c>
      <c r="I116" s="52">
        <v>674.29577464788736</v>
      </c>
      <c r="J116" s="50" t="s">
        <v>68</v>
      </c>
      <c r="K116" s="45">
        <v>45837</v>
      </c>
      <c r="L116" s="97" t="s">
        <v>14</v>
      </c>
      <c r="M116" s="53" t="s">
        <v>225</v>
      </c>
      <c r="N116" s="50">
        <v>2025</v>
      </c>
    </row>
    <row r="117" spans="1:14">
      <c r="A117" s="50">
        <v>36</v>
      </c>
      <c r="B117" s="50" t="s">
        <v>17</v>
      </c>
      <c r="C117" s="45" t="s">
        <v>24</v>
      </c>
      <c r="D117" s="50" t="s">
        <v>61</v>
      </c>
      <c r="E117" s="50" t="s">
        <v>105</v>
      </c>
      <c r="F117" s="50"/>
      <c r="G117" s="50" t="s">
        <v>64</v>
      </c>
      <c r="H117" s="51" t="s">
        <v>1218</v>
      </c>
      <c r="I117" s="52">
        <v>760.21126760563379</v>
      </c>
      <c r="J117" s="50" t="s">
        <v>68</v>
      </c>
      <c r="K117" s="45">
        <v>45937</v>
      </c>
      <c r="L117" s="97" t="s">
        <v>14</v>
      </c>
      <c r="M117" s="53" t="s">
        <v>225</v>
      </c>
      <c r="N117" s="50">
        <v>2025</v>
      </c>
    </row>
    <row r="118" spans="1:14">
      <c r="A118" s="50">
        <v>37</v>
      </c>
      <c r="B118" s="50" t="s">
        <v>17</v>
      </c>
      <c r="C118" s="45" t="s">
        <v>24</v>
      </c>
      <c r="D118" s="50" t="s">
        <v>61</v>
      </c>
      <c r="E118" s="50" t="s">
        <v>105</v>
      </c>
      <c r="F118" s="50"/>
      <c r="G118" s="50" t="s">
        <v>64</v>
      </c>
      <c r="H118" s="51" t="s">
        <v>1218</v>
      </c>
      <c r="I118" s="52">
        <v>478.87323943661971</v>
      </c>
      <c r="J118" s="50" t="s">
        <v>68</v>
      </c>
      <c r="K118" s="45">
        <v>45833</v>
      </c>
      <c r="L118" s="97" t="s">
        <v>14</v>
      </c>
      <c r="M118" s="53" t="s">
        <v>225</v>
      </c>
      <c r="N118" s="50">
        <v>2025</v>
      </c>
    </row>
    <row r="119" spans="1:14">
      <c r="A119" s="50">
        <v>38</v>
      </c>
      <c r="B119" s="50" t="s">
        <v>17</v>
      </c>
      <c r="C119" s="45" t="s">
        <v>25</v>
      </c>
      <c r="D119" s="50" t="s">
        <v>61</v>
      </c>
      <c r="E119" s="50" t="s">
        <v>105</v>
      </c>
      <c r="F119" s="50"/>
      <c r="G119" s="50" t="s">
        <v>64</v>
      </c>
      <c r="H119" s="51" t="s">
        <v>1219</v>
      </c>
      <c r="I119" s="52">
        <v>74.647887323943664</v>
      </c>
      <c r="J119" s="50" t="s">
        <v>68</v>
      </c>
      <c r="K119" s="45">
        <v>45857</v>
      </c>
      <c r="L119" s="97" t="s">
        <v>14</v>
      </c>
      <c r="M119" s="53" t="s">
        <v>225</v>
      </c>
      <c r="N119" s="50">
        <v>2025</v>
      </c>
    </row>
    <row r="120" spans="1:14">
      <c r="A120" s="50">
        <v>39</v>
      </c>
      <c r="B120" s="50" t="s">
        <v>17</v>
      </c>
      <c r="C120" s="45" t="s">
        <v>25</v>
      </c>
      <c r="D120" s="50" t="s">
        <v>61</v>
      </c>
      <c r="E120" s="50" t="s">
        <v>105</v>
      </c>
      <c r="F120" s="50"/>
      <c r="G120" s="50" t="s">
        <v>64</v>
      </c>
      <c r="H120" s="51" t="s">
        <v>1220</v>
      </c>
      <c r="I120" s="52">
        <v>1264.0845070422536</v>
      </c>
      <c r="J120" s="50" t="s">
        <v>68</v>
      </c>
      <c r="K120" s="45">
        <v>45784</v>
      </c>
      <c r="L120" s="97" t="s">
        <v>14</v>
      </c>
      <c r="M120" s="53" t="s">
        <v>225</v>
      </c>
      <c r="N120" s="50">
        <v>2025</v>
      </c>
    </row>
    <row r="121" spans="1:14">
      <c r="A121" s="50">
        <v>40</v>
      </c>
      <c r="B121" s="50" t="s">
        <v>17</v>
      </c>
      <c r="C121" s="45" t="s">
        <v>26</v>
      </c>
      <c r="D121" s="50" t="s">
        <v>61</v>
      </c>
      <c r="E121" s="50" t="s">
        <v>105</v>
      </c>
      <c r="F121" s="50"/>
      <c r="G121" s="50" t="s">
        <v>64</v>
      </c>
      <c r="H121" s="51" t="s">
        <v>1221</v>
      </c>
      <c r="I121" s="52">
        <v>783.80281690140851</v>
      </c>
      <c r="J121" s="50" t="s">
        <v>68</v>
      </c>
      <c r="K121" s="45">
        <v>45856</v>
      </c>
      <c r="L121" s="97" t="s">
        <v>14</v>
      </c>
      <c r="M121" s="53" t="s">
        <v>225</v>
      </c>
      <c r="N121" s="50">
        <v>2025</v>
      </c>
    </row>
    <row r="122" spans="1:14">
      <c r="A122" s="50">
        <v>43</v>
      </c>
      <c r="B122" s="50" t="s">
        <v>273</v>
      </c>
      <c r="C122" s="45" t="s">
        <v>56</v>
      </c>
      <c r="D122" s="50" t="s">
        <v>61</v>
      </c>
      <c r="E122" s="50" t="s">
        <v>105</v>
      </c>
      <c r="F122" s="50"/>
      <c r="G122" s="50" t="s">
        <v>64</v>
      </c>
      <c r="H122" s="51" t="s">
        <v>1215</v>
      </c>
      <c r="I122" s="52">
        <v>37.323943661971832</v>
      </c>
      <c r="J122" s="50" t="s">
        <v>68</v>
      </c>
      <c r="K122" s="45">
        <v>45857</v>
      </c>
      <c r="L122" s="97" t="s">
        <v>14</v>
      </c>
      <c r="M122" s="53" t="s">
        <v>225</v>
      </c>
      <c r="N122" s="50">
        <v>2025</v>
      </c>
    </row>
    <row r="123" spans="1:14">
      <c r="A123" s="50">
        <v>44</v>
      </c>
      <c r="B123" s="50" t="s">
        <v>59</v>
      </c>
      <c r="C123" s="45" t="s">
        <v>60</v>
      </c>
      <c r="D123" s="50" t="s">
        <v>61</v>
      </c>
      <c r="E123" s="50" t="s">
        <v>105</v>
      </c>
      <c r="F123" s="50"/>
      <c r="G123" s="50" t="s">
        <v>64</v>
      </c>
      <c r="H123" s="51" t="s">
        <v>86</v>
      </c>
      <c r="I123" s="52">
        <v>70.24647887323944</v>
      </c>
      <c r="J123" s="50" t="s">
        <v>68</v>
      </c>
      <c r="K123" s="45">
        <v>45937</v>
      </c>
      <c r="L123" s="97" t="s">
        <v>14</v>
      </c>
      <c r="M123" s="53" t="s">
        <v>225</v>
      </c>
      <c r="N123" s="50">
        <v>2025</v>
      </c>
    </row>
    <row r="124" spans="1:14">
      <c r="A124" s="50">
        <v>45</v>
      </c>
      <c r="B124" s="50" t="s">
        <v>59</v>
      </c>
      <c r="C124" s="45" t="s">
        <v>60</v>
      </c>
      <c r="D124" s="50" t="s">
        <v>61</v>
      </c>
      <c r="E124" s="50" t="s">
        <v>105</v>
      </c>
      <c r="F124" s="50"/>
      <c r="G124" s="50" t="s">
        <v>64</v>
      </c>
      <c r="H124" s="51" t="s">
        <v>1223</v>
      </c>
      <c r="I124" s="52">
        <v>676.05633802816897</v>
      </c>
      <c r="J124" s="50" t="s">
        <v>68</v>
      </c>
      <c r="K124" s="45">
        <v>45867</v>
      </c>
      <c r="L124" s="97" t="s">
        <v>14</v>
      </c>
      <c r="M124" s="53" t="s">
        <v>225</v>
      </c>
      <c r="N124" s="50">
        <v>2025</v>
      </c>
    </row>
    <row r="125" spans="1:14">
      <c r="A125" s="50">
        <v>46</v>
      </c>
      <c r="B125" s="50" t="s">
        <v>59</v>
      </c>
      <c r="C125" s="50" t="s">
        <v>60</v>
      </c>
      <c r="D125" s="50" t="s">
        <v>61</v>
      </c>
      <c r="E125" s="50" t="s">
        <v>105</v>
      </c>
      <c r="F125" s="50"/>
      <c r="G125" s="50" t="s">
        <v>64</v>
      </c>
      <c r="H125" s="50" t="s">
        <v>1224</v>
      </c>
      <c r="I125" s="52">
        <v>577.46478873239437</v>
      </c>
      <c r="J125" s="50" t="s">
        <v>68</v>
      </c>
      <c r="K125" s="45">
        <v>45855</v>
      </c>
      <c r="L125" s="97" t="s">
        <v>14</v>
      </c>
      <c r="M125" s="53" t="s">
        <v>225</v>
      </c>
      <c r="N125" s="50">
        <v>2025</v>
      </c>
    </row>
    <row r="126" spans="1:14">
      <c r="A126" s="50">
        <v>47</v>
      </c>
      <c r="B126" s="50" t="s">
        <v>59</v>
      </c>
      <c r="C126" s="45" t="s">
        <v>60</v>
      </c>
      <c r="D126" s="50" t="s">
        <v>61</v>
      </c>
      <c r="E126" s="50" t="s">
        <v>105</v>
      </c>
      <c r="F126" s="50"/>
      <c r="G126" s="50" t="s">
        <v>64</v>
      </c>
      <c r="H126" s="51" t="s">
        <v>1225</v>
      </c>
      <c r="I126" s="52">
        <v>514.78873239436621</v>
      </c>
      <c r="J126" s="50" t="s">
        <v>68</v>
      </c>
      <c r="K126" s="45">
        <v>45856</v>
      </c>
      <c r="L126" s="97" t="s">
        <v>14</v>
      </c>
      <c r="M126" s="53" t="s">
        <v>225</v>
      </c>
      <c r="N126" s="50">
        <v>2025</v>
      </c>
    </row>
    <row r="127" spans="1:14">
      <c r="A127" s="50">
        <v>48</v>
      </c>
      <c r="B127" s="50" t="s">
        <v>59</v>
      </c>
      <c r="C127" s="50" t="s">
        <v>60</v>
      </c>
      <c r="D127" s="50" t="s">
        <v>61</v>
      </c>
      <c r="E127" s="50" t="s">
        <v>105</v>
      </c>
      <c r="F127" s="50"/>
      <c r="G127" s="50" t="s">
        <v>64</v>
      </c>
      <c r="H127" s="50" t="s">
        <v>1226</v>
      </c>
      <c r="I127" s="52">
        <v>227.46478873239437</v>
      </c>
      <c r="J127" s="50">
        <v>401809</v>
      </c>
      <c r="K127" s="45">
        <v>45855</v>
      </c>
      <c r="L127" s="97" t="s">
        <v>14</v>
      </c>
      <c r="M127" s="53" t="s">
        <v>225</v>
      </c>
      <c r="N127" s="50">
        <v>2025</v>
      </c>
    </row>
    <row r="128" spans="1:14">
      <c r="A128" s="50">
        <v>49</v>
      </c>
      <c r="B128" s="50" t="s">
        <v>59</v>
      </c>
      <c r="C128" s="50" t="s">
        <v>60</v>
      </c>
      <c r="D128" s="50" t="s">
        <v>61</v>
      </c>
      <c r="E128" s="50" t="s">
        <v>105</v>
      </c>
      <c r="F128" s="50"/>
      <c r="G128" s="50" t="s">
        <v>64</v>
      </c>
      <c r="H128" s="50" t="s">
        <v>1227</v>
      </c>
      <c r="I128" s="52">
        <v>209.50704225352112</v>
      </c>
      <c r="J128" s="50">
        <v>89604</v>
      </c>
      <c r="K128" s="45">
        <v>45695</v>
      </c>
      <c r="L128" s="97" t="s">
        <v>14</v>
      </c>
      <c r="M128" s="53" t="s">
        <v>225</v>
      </c>
      <c r="N128" s="50">
        <v>2025</v>
      </c>
    </row>
    <row r="129" spans="1:14">
      <c r="A129" s="50">
        <v>57</v>
      </c>
      <c r="B129" s="50" t="s">
        <v>76</v>
      </c>
      <c r="C129" s="45" t="s">
        <v>30</v>
      </c>
      <c r="D129" s="50" t="s">
        <v>61</v>
      </c>
      <c r="E129" s="50" t="s">
        <v>105</v>
      </c>
      <c r="F129" s="50"/>
      <c r="G129" s="50" t="s">
        <v>64</v>
      </c>
      <c r="H129" s="51" t="s">
        <v>1219</v>
      </c>
      <c r="I129" s="52">
        <v>74.647887323943664</v>
      </c>
      <c r="J129" s="50" t="s">
        <v>68</v>
      </c>
      <c r="K129" s="45">
        <v>45866</v>
      </c>
      <c r="L129" s="97" t="s">
        <v>14</v>
      </c>
      <c r="M129" s="53" t="s">
        <v>225</v>
      </c>
      <c r="N129" s="50">
        <v>2025</v>
      </c>
    </row>
    <row r="130" spans="1:14">
      <c r="A130" s="50">
        <v>59</v>
      </c>
      <c r="B130" s="50" t="s">
        <v>33</v>
      </c>
      <c r="C130" s="45" t="s">
        <v>34</v>
      </c>
      <c r="D130" s="50" t="s">
        <v>61</v>
      </c>
      <c r="E130" s="50" t="s">
        <v>105</v>
      </c>
      <c r="F130" s="50"/>
      <c r="G130" s="50" t="s">
        <v>64</v>
      </c>
      <c r="H130" s="51" t="s">
        <v>1235</v>
      </c>
      <c r="I130" s="52">
        <v>77.464788732394368</v>
      </c>
      <c r="J130" s="50" t="s">
        <v>68</v>
      </c>
      <c r="K130" s="45">
        <v>45862</v>
      </c>
      <c r="L130" s="97" t="s">
        <v>14</v>
      </c>
      <c r="M130" s="53" t="s">
        <v>225</v>
      </c>
      <c r="N130" s="50">
        <v>2025</v>
      </c>
    </row>
    <row r="131" spans="1:14">
      <c r="A131" s="50">
        <v>60</v>
      </c>
      <c r="B131" s="50" t="s">
        <v>33</v>
      </c>
      <c r="C131" s="50" t="s">
        <v>34</v>
      </c>
      <c r="D131" s="50" t="s">
        <v>61</v>
      </c>
      <c r="E131" s="50" t="s">
        <v>105</v>
      </c>
      <c r="F131" s="50"/>
      <c r="G131" s="50" t="s">
        <v>64</v>
      </c>
      <c r="H131" s="50" t="s">
        <v>1219</v>
      </c>
      <c r="I131" s="52">
        <v>74.647887323943664</v>
      </c>
      <c r="J131" s="50" t="s">
        <v>68</v>
      </c>
      <c r="K131" s="45">
        <v>45856</v>
      </c>
      <c r="L131" s="97" t="s">
        <v>14</v>
      </c>
      <c r="M131" s="53" t="s">
        <v>225</v>
      </c>
      <c r="N131" s="50">
        <v>2025</v>
      </c>
    </row>
    <row r="132" spans="1:14">
      <c r="A132" s="50">
        <v>61</v>
      </c>
      <c r="B132" s="50" t="s">
        <v>33</v>
      </c>
      <c r="C132" s="50" t="s">
        <v>34</v>
      </c>
      <c r="D132" s="50" t="s">
        <v>61</v>
      </c>
      <c r="E132" s="50" t="s">
        <v>105</v>
      </c>
      <c r="F132" s="50"/>
      <c r="G132" s="50" t="s">
        <v>64</v>
      </c>
      <c r="H132" s="51" t="s">
        <v>1236</v>
      </c>
      <c r="I132" s="52">
        <v>261.26760563380282</v>
      </c>
      <c r="J132" s="50" t="s">
        <v>68</v>
      </c>
      <c r="K132" s="45">
        <v>45861</v>
      </c>
      <c r="L132" s="97" t="s">
        <v>14</v>
      </c>
      <c r="M132" s="53" t="s">
        <v>225</v>
      </c>
      <c r="N132" s="50">
        <v>2025</v>
      </c>
    </row>
    <row r="133" spans="1:14">
      <c r="A133" s="50">
        <v>62</v>
      </c>
      <c r="B133" s="50" t="s">
        <v>33</v>
      </c>
      <c r="C133" s="45" t="s">
        <v>34</v>
      </c>
      <c r="D133" s="50" t="s">
        <v>61</v>
      </c>
      <c r="E133" s="50" t="s">
        <v>105</v>
      </c>
      <c r="F133" s="50"/>
      <c r="G133" s="50" t="s">
        <v>64</v>
      </c>
      <c r="H133" s="51" t="s">
        <v>1219</v>
      </c>
      <c r="I133" s="52">
        <v>74.647887323943664</v>
      </c>
      <c r="J133" s="50" t="s">
        <v>68</v>
      </c>
      <c r="K133" s="45">
        <v>45853</v>
      </c>
      <c r="L133" s="97" t="s">
        <v>14</v>
      </c>
      <c r="M133" s="53" t="s">
        <v>225</v>
      </c>
      <c r="N133" s="50">
        <v>2025</v>
      </c>
    </row>
    <row r="134" spans="1:14">
      <c r="A134" s="50">
        <v>65</v>
      </c>
      <c r="B134" s="50" t="s">
        <v>43</v>
      </c>
      <c r="C134" s="45" t="s">
        <v>70</v>
      </c>
      <c r="D134" s="50" t="s">
        <v>61</v>
      </c>
      <c r="E134" s="50" t="s">
        <v>105</v>
      </c>
      <c r="F134" s="50"/>
      <c r="G134" s="50" t="s">
        <v>64</v>
      </c>
      <c r="H134" s="51" t="s">
        <v>1239</v>
      </c>
      <c r="I134" s="52">
        <v>522.53521126760563</v>
      </c>
      <c r="J134" s="50" t="s">
        <v>68</v>
      </c>
      <c r="K134" s="45">
        <v>45854</v>
      </c>
      <c r="L134" s="97" t="s">
        <v>14</v>
      </c>
      <c r="M134" s="53" t="s">
        <v>225</v>
      </c>
      <c r="N134" s="50">
        <v>2025</v>
      </c>
    </row>
    <row r="135" spans="1:14">
      <c r="A135" s="50">
        <v>66</v>
      </c>
      <c r="B135" s="50" t="s">
        <v>43</v>
      </c>
      <c r="C135" s="45" t="s">
        <v>218</v>
      </c>
      <c r="D135" s="50" t="s">
        <v>61</v>
      </c>
      <c r="E135" s="50" t="s">
        <v>105</v>
      </c>
      <c r="F135" s="50"/>
      <c r="G135" s="50" t="s">
        <v>64</v>
      </c>
      <c r="H135" s="51" t="s">
        <v>1215</v>
      </c>
      <c r="I135" s="52">
        <v>37.323943661971832</v>
      </c>
      <c r="J135" s="50" t="s">
        <v>68</v>
      </c>
      <c r="K135" s="45">
        <v>45852</v>
      </c>
      <c r="L135" s="97" t="s">
        <v>14</v>
      </c>
      <c r="M135" s="53" t="s">
        <v>225</v>
      </c>
      <c r="N135" s="50">
        <v>2025</v>
      </c>
    </row>
    <row r="136" spans="1:14">
      <c r="A136" s="50">
        <v>67</v>
      </c>
      <c r="B136" s="50" t="s">
        <v>43</v>
      </c>
      <c r="C136" s="45" t="s">
        <v>46</v>
      </c>
      <c r="D136" s="50" t="s">
        <v>61</v>
      </c>
      <c r="E136" s="50" t="s">
        <v>105</v>
      </c>
      <c r="F136" s="50"/>
      <c r="G136" s="50" t="s">
        <v>64</v>
      </c>
      <c r="H136" s="51" t="s">
        <v>1240</v>
      </c>
      <c r="I136" s="52">
        <v>149.29577464788733</v>
      </c>
      <c r="J136" s="50" t="s">
        <v>68</v>
      </c>
      <c r="K136" s="45">
        <v>45856</v>
      </c>
      <c r="L136" s="97" t="s">
        <v>14</v>
      </c>
      <c r="M136" s="53" t="s">
        <v>225</v>
      </c>
      <c r="N136" s="50">
        <v>2025</v>
      </c>
    </row>
    <row r="137" spans="1:14">
      <c r="A137" s="50">
        <v>68</v>
      </c>
      <c r="B137" s="50" t="s">
        <v>43</v>
      </c>
      <c r="C137" s="45" t="s">
        <v>50</v>
      </c>
      <c r="D137" s="50" t="s">
        <v>61</v>
      </c>
      <c r="E137" s="50" t="s">
        <v>105</v>
      </c>
      <c r="F137" s="50"/>
      <c r="G137" s="50" t="s">
        <v>64</v>
      </c>
      <c r="H137" s="51" t="s">
        <v>1241</v>
      </c>
      <c r="I137" s="52">
        <v>111.97183098591549</v>
      </c>
      <c r="J137" s="50" t="s">
        <v>68</v>
      </c>
      <c r="K137" s="45">
        <v>45853</v>
      </c>
      <c r="L137" s="97" t="s">
        <v>14</v>
      </c>
      <c r="M137" s="53" t="s">
        <v>225</v>
      </c>
      <c r="N137" s="50">
        <v>2025</v>
      </c>
    </row>
    <row r="138" spans="1:14">
      <c r="A138" s="50">
        <v>69</v>
      </c>
      <c r="B138" s="50" t="s">
        <v>43</v>
      </c>
      <c r="C138" s="45" t="s">
        <v>51</v>
      </c>
      <c r="D138" s="50" t="s">
        <v>61</v>
      </c>
      <c r="E138" s="50" t="s">
        <v>105</v>
      </c>
      <c r="F138" s="50"/>
      <c r="G138" s="50" t="s">
        <v>64</v>
      </c>
      <c r="H138" s="51" t="s">
        <v>1220</v>
      </c>
      <c r="I138" s="52">
        <v>1264.0845070422536</v>
      </c>
      <c r="J138" s="50" t="s">
        <v>68</v>
      </c>
      <c r="K138" s="45">
        <v>45857</v>
      </c>
      <c r="L138" s="97" t="s">
        <v>14</v>
      </c>
      <c r="M138" s="53" t="s">
        <v>225</v>
      </c>
      <c r="N138" s="50">
        <v>2025</v>
      </c>
    </row>
    <row r="139" spans="1:14">
      <c r="A139" s="50">
        <v>70</v>
      </c>
      <c r="B139" s="50" t="s">
        <v>43</v>
      </c>
      <c r="C139" s="45" t="s">
        <v>52</v>
      </c>
      <c r="D139" s="50" t="s">
        <v>61</v>
      </c>
      <c r="E139" s="50" t="s">
        <v>105</v>
      </c>
      <c r="F139" s="50"/>
      <c r="G139" s="50" t="s">
        <v>64</v>
      </c>
      <c r="H139" s="51" t="s">
        <v>1241</v>
      </c>
      <c r="I139" s="52">
        <v>111.97183098591549</v>
      </c>
      <c r="J139" s="50" t="s">
        <v>68</v>
      </c>
      <c r="K139" s="45">
        <v>45858</v>
      </c>
      <c r="L139" s="97" t="s">
        <v>14</v>
      </c>
      <c r="M139" s="53" t="s">
        <v>225</v>
      </c>
      <c r="N139" s="50">
        <v>2025</v>
      </c>
    </row>
    <row r="140" spans="1:14">
      <c r="A140" s="50">
        <v>80</v>
      </c>
      <c r="B140" s="50" t="s">
        <v>53</v>
      </c>
      <c r="C140" s="45" t="s">
        <v>54</v>
      </c>
      <c r="D140" s="50" t="s">
        <v>61</v>
      </c>
      <c r="E140" s="50" t="s">
        <v>105</v>
      </c>
      <c r="F140" s="50"/>
      <c r="G140" s="50" t="s">
        <v>64</v>
      </c>
      <c r="H140" s="51" t="s">
        <v>1247</v>
      </c>
      <c r="I140" s="52">
        <v>354.92957746478874</v>
      </c>
      <c r="J140" s="50" t="s">
        <v>68</v>
      </c>
      <c r="K140" s="45">
        <v>45855</v>
      </c>
      <c r="L140" s="97" t="s">
        <v>14</v>
      </c>
      <c r="M140" s="53" t="s">
        <v>225</v>
      </c>
      <c r="N140" s="50">
        <v>2025</v>
      </c>
    </row>
    <row r="141" spans="1:14">
      <c r="A141" s="50">
        <v>82</v>
      </c>
      <c r="B141" s="50" t="s">
        <v>59</v>
      </c>
      <c r="C141" s="45" t="s">
        <v>60</v>
      </c>
      <c r="D141" s="50" t="s">
        <v>61</v>
      </c>
      <c r="E141" s="50" t="s">
        <v>1198</v>
      </c>
      <c r="F141" s="50"/>
      <c r="G141" s="50" t="s">
        <v>64</v>
      </c>
      <c r="H141" s="51" t="s">
        <v>1249</v>
      </c>
      <c r="I141" s="52">
        <v>56.338028169014088</v>
      </c>
      <c r="J141" s="50">
        <v>969</v>
      </c>
      <c r="K141" s="45">
        <v>45937</v>
      </c>
      <c r="L141" s="97" t="s">
        <v>14</v>
      </c>
      <c r="M141" s="53" t="s">
        <v>225</v>
      </c>
      <c r="N141" s="50">
        <v>2025</v>
      </c>
    </row>
    <row r="142" spans="1:14">
      <c r="A142" s="50">
        <v>83</v>
      </c>
      <c r="B142" s="50" t="s">
        <v>59</v>
      </c>
      <c r="C142" s="45" t="s">
        <v>60</v>
      </c>
      <c r="D142" s="50" t="s">
        <v>61</v>
      </c>
      <c r="E142" s="50" t="s">
        <v>57</v>
      </c>
      <c r="F142" s="50"/>
      <c r="G142" s="50" t="s">
        <v>64</v>
      </c>
      <c r="H142" s="51" t="s">
        <v>1250</v>
      </c>
      <c r="I142" s="52">
        <v>943.30985915492954</v>
      </c>
      <c r="J142" s="50" t="s">
        <v>68</v>
      </c>
      <c r="K142" s="45">
        <v>45855</v>
      </c>
      <c r="L142" s="97" t="s">
        <v>14</v>
      </c>
      <c r="M142" s="53" t="s">
        <v>225</v>
      </c>
      <c r="N142" s="50">
        <v>2025</v>
      </c>
    </row>
    <row r="143" spans="1:14">
      <c r="A143" s="50">
        <v>85</v>
      </c>
      <c r="B143" s="50" t="s">
        <v>43</v>
      </c>
      <c r="C143" s="45" t="s">
        <v>70</v>
      </c>
      <c r="D143" s="50" t="s">
        <v>61</v>
      </c>
      <c r="E143" s="50" t="s">
        <v>57</v>
      </c>
      <c r="F143" s="50"/>
      <c r="G143" s="50" t="s">
        <v>64</v>
      </c>
      <c r="H143" s="51" t="s">
        <v>1252</v>
      </c>
      <c r="I143" s="52">
        <v>70.422535211267601</v>
      </c>
      <c r="J143" s="50">
        <v>18793</v>
      </c>
      <c r="K143" s="45">
        <v>45832</v>
      </c>
      <c r="L143" s="97" t="s">
        <v>14</v>
      </c>
      <c r="M143" s="53" t="s">
        <v>225</v>
      </c>
      <c r="N143" s="50">
        <v>2025</v>
      </c>
    </row>
    <row r="144" spans="1:14">
      <c r="A144" s="50">
        <v>86</v>
      </c>
      <c r="B144" s="50" t="s">
        <v>59</v>
      </c>
      <c r="C144" s="45" t="s">
        <v>60</v>
      </c>
      <c r="D144" s="50" t="s">
        <v>61</v>
      </c>
      <c r="E144" s="50" t="s">
        <v>83</v>
      </c>
      <c r="F144" s="50"/>
      <c r="G144" s="50" t="s">
        <v>64</v>
      </c>
      <c r="H144" s="51" t="s">
        <v>1253</v>
      </c>
      <c r="I144" s="52">
        <v>126.7605633802817</v>
      </c>
      <c r="J144" s="50" t="s">
        <v>68</v>
      </c>
      <c r="K144" s="45">
        <v>45876</v>
      </c>
      <c r="L144" s="97" t="s">
        <v>14</v>
      </c>
      <c r="M144" s="53" t="s">
        <v>225</v>
      </c>
      <c r="N144" s="50">
        <v>2025</v>
      </c>
    </row>
    <row r="145" spans="1:14">
      <c r="A145" s="50">
        <v>87</v>
      </c>
      <c r="B145" s="50" t="s">
        <v>59</v>
      </c>
      <c r="C145" s="45" t="s">
        <v>60</v>
      </c>
      <c r="D145" s="50" t="s">
        <v>61</v>
      </c>
      <c r="E145" s="50" t="s">
        <v>83</v>
      </c>
      <c r="F145" s="50"/>
      <c r="G145" s="50" t="s">
        <v>64</v>
      </c>
      <c r="H145" s="51" t="s">
        <v>1254</v>
      </c>
      <c r="I145" s="52">
        <v>1971.8309859154929</v>
      </c>
      <c r="J145" s="50" t="s">
        <v>68</v>
      </c>
      <c r="K145" s="45">
        <v>45852</v>
      </c>
      <c r="L145" s="97" t="s">
        <v>14</v>
      </c>
      <c r="M145" s="53" t="s">
        <v>225</v>
      </c>
      <c r="N145" s="50">
        <v>2025</v>
      </c>
    </row>
    <row r="146" spans="1:14">
      <c r="A146" s="50">
        <v>90</v>
      </c>
      <c r="B146" s="50" t="s">
        <v>59</v>
      </c>
      <c r="C146" s="50" t="s">
        <v>60</v>
      </c>
      <c r="D146" s="50" t="s">
        <v>61</v>
      </c>
      <c r="E146" s="50" t="s">
        <v>103</v>
      </c>
      <c r="F146" s="50"/>
      <c r="G146" s="50" t="s">
        <v>64</v>
      </c>
      <c r="H146" s="50" t="s">
        <v>1257</v>
      </c>
      <c r="I146" s="52">
        <v>332.74647887323943</v>
      </c>
      <c r="J146" s="50" t="s">
        <v>68</v>
      </c>
      <c r="K146" s="45">
        <v>45887</v>
      </c>
      <c r="L146" s="97" t="s">
        <v>14</v>
      </c>
      <c r="M146" s="53" t="s">
        <v>225</v>
      </c>
      <c r="N146" s="50">
        <v>2025</v>
      </c>
    </row>
    <row r="147" spans="1:14">
      <c r="A147" s="50">
        <v>93</v>
      </c>
      <c r="B147" s="50" t="s">
        <v>17</v>
      </c>
      <c r="C147" s="50" t="s">
        <v>22</v>
      </c>
      <c r="D147" s="50" t="s">
        <v>61</v>
      </c>
      <c r="E147" s="50" t="s">
        <v>71</v>
      </c>
      <c r="F147" s="50"/>
      <c r="G147" s="50" t="s">
        <v>64</v>
      </c>
      <c r="H147" s="50" t="s">
        <v>1260</v>
      </c>
      <c r="I147" s="52">
        <v>440.14084507042253</v>
      </c>
      <c r="J147" s="50" t="s">
        <v>1200</v>
      </c>
      <c r="K147" s="45">
        <v>45722</v>
      </c>
      <c r="L147" s="97" t="s">
        <v>14</v>
      </c>
      <c r="M147" s="53" t="s">
        <v>225</v>
      </c>
      <c r="N147" s="50">
        <v>2025</v>
      </c>
    </row>
    <row r="148" spans="1:14">
      <c r="A148" s="50">
        <v>94</v>
      </c>
      <c r="B148" s="50" t="s">
        <v>17</v>
      </c>
      <c r="C148" s="50" t="s">
        <v>22</v>
      </c>
      <c r="D148" s="50" t="s">
        <v>61</v>
      </c>
      <c r="E148" s="50" t="s">
        <v>71</v>
      </c>
      <c r="F148" s="50"/>
      <c r="G148" s="50" t="s">
        <v>64</v>
      </c>
      <c r="H148" s="51" t="s">
        <v>1261</v>
      </c>
      <c r="I148" s="52">
        <v>704.22535211267609</v>
      </c>
      <c r="J148" s="50">
        <v>7009</v>
      </c>
      <c r="K148" s="45">
        <v>45815</v>
      </c>
      <c r="L148" s="97" t="s">
        <v>14</v>
      </c>
      <c r="M148" s="53" t="s">
        <v>225</v>
      </c>
      <c r="N148" s="50">
        <v>2025</v>
      </c>
    </row>
    <row r="149" spans="1:14">
      <c r="A149" s="50">
        <v>95</v>
      </c>
      <c r="B149" s="50" t="s">
        <v>17</v>
      </c>
      <c r="C149" s="50" t="s">
        <v>22</v>
      </c>
      <c r="D149" s="50" t="s">
        <v>61</v>
      </c>
      <c r="E149" s="50" t="s">
        <v>71</v>
      </c>
      <c r="F149" s="50"/>
      <c r="G149" s="50" t="s">
        <v>64</v>
      </c>
      <c r="H149" s="50" t="s">
        <v>72</v>
      </c>
      <c r="I149" s="52">
        <v>847.88732394366195</v>
      </c>
      <c r="J149" s="50" t="s">
        <v>68</v>
      </c>
      <c r="K149" s="45">
        <v>45838</v>
      </c>
      <c r="L149" s="97" t="s">
        <v>14</v>
      </c>
      <c r="M149" s="53" t="s">
        <v>225</v>
      </c>
      <c r="N149" s="50">
        <v>2025</v>
      </c>
    </row>
    <row r="150" spans="1:14">
      <c r="A150" s="50">
        <v>96</v>
      </c>
      <c r="B150" s="50" t="s">
        <v>17</v>
      </c>
      <c r="C150" s="50" t="s">
        <v>23</v>
      </c>
      <c r="D150" s="50" t="s">
        <v>61</v>
      </c>
      <c r="E150" s="50" t="s">
        <v>71</v>
      </c>
      <c r="F150" s="50"/>
      <c r="G150" s="50" t="s">
        <v>64</v>
      </c>
      <c r="H150" s="50" t="s">
        <v>1262</v>
      </c>
      <c r="I150" s="52">
        <v>852.11267605633805</v>
      </c>
      <c r="J150" s="50">
        <v>757</v>
      </c>
      <c r="K150" s="45">
        <v>45834</v>
      </c>
      <c r="L150" s="97" t="s">
        <v>14</v>
      </c>
      <c r="M150" s="53" t="s">
        <v>225</v>
      </c>
      <c r="N150" s="50">
        <v>2025</v>
      </c>
    </row>
    <row r="151" spans="1:14">
      <c r="A151" s="50">
        <v>97</v>
      </c>
      <c r="B151" s="50" t="s">
        <v>17</v>
      </c>
      <c r="C151" s="50" t="s">
        <v>24</v>
      </c>
      <c r="D151" s="50" t="s">
        <v>61</v>
      </c>
      <c r="E151" s="50" t="s">
        <v>71</v>
      </c>
      <c r="F151" s="50"/>
      <c r="G151" s="50" t="s">
        <v>64</v>
      </c>
      <c r="H151" s="50" t="s">
        <v>293</v>
      </c>
      <c r="I151" s="52">
        <v>721.83098591549299</v>
      </c>
      <c r="J151" s="50" t="s">
        <v>68</v>
      </c>
      <c r="K151" s="45">
        <v>45863</v>
      </c>
      <c r="L151" s="97" t="s">
        <v>14</v>
      </c>
      <c r="M151" s="53" t="s">
        <v>225</v>
      </c>
      <c r="N151" s="50">
        <v>2025</v>
      </c>
    </row>
    <row r="152" spans="1:14">
      <c r="A152" s="50">
        <v>98</v>
      </c>
      <c r="B152" s="50" t="s">
        <v>17</v>
      </c>
      <c r="C152" s="45" t="s">
        <v>24</v>
      </c>
      <c r="D152" s="50" t="s">
        <v>61</v>
      </c>
      <c r="E152" s="50" t="s">
        <v>71</v>
      </c>
      <c r="F152" s="50"/>
      <c r="G152" s="50" t="s">
        <v>64</v>
      </c>
      <c r="H152" s="51" t="s">
        <v>1263</v>
      </c>
      <c r="I152" s="52">
        <v>158.45070422535213</v>
      </c>
      <c r="J152" s="50">
        <v>421</v>
      </c>
      <c r="K152" s="45">
        <v>45856</v>
      </c>
      <c r="L152" s="97" t="s">
        <v>14</v>
      </c>
      <c r="M152" s="53" t="s">
        <v>225</v>
      </c>
      <c r="N152" s="50">
        <v>2025</v>
      </c>
    </row>
    <row r="153" spans="1:14">
      <c r="A153" s="50">
        <v>99</v>
      </c>
      <c r="B153" s="50" t="s">
        <v>17</v>
      </c>
      <c r="C153" s="45" t="s">
        <v>25</v>
      </c>
      <c r="D153" s="50" t="s">
        <v>61</v>
      </c>
      <c r="E153" s="50" t="s">
        <v>71</v>
      </c>
      <c r="F153" s="50"/>
      <c r="G153" s="50" t="s">
        <v>64</v>
      </c>
      <c r="H153" s="51" t="s">
        <v>1264</v>
      </c>
      <c r="I153" s="52">
        <v>467.6056338028169</v>
      </c>
      <c r="J153" s="50" t="s">
        <v>68</v>
      </c>
      <c r="K153" s="45">
        <v>45836</v>
      </c>
      <c r="L153" s="97" t="s">
        <v>14</v>
      </c>
      <c r="M153" s="53" t="s">
        <v>225</v>
      </c>
      <c r="N153" s="50">
        <v>2025</v>
      </c>
    </row>
    <row r="154" spans="1:14">
      <c r="A154" s="50">
        <v>100</v>
      </c>
      <c r="B154" s="50" t="s">
        <v>17</v>
      </c>
      <c r="C154" s="45" t="s">
        <v>25</v>
      </c>
      <c r="D154" s="50" t="s">
        <v>61</v>
      </c>
      <c r="E154" s="50" t="s">
        <v>71</v>
      </c>
      <c r="F154" s="50"/>
      <c r="G154" s="50" t="s">
        <v>64</v>
      </c>
      <c r="H154" s="51" t="s">
        <v>1264</v>
      </c>
      <c r="I154" s="52">
        <v>1816.1971830985915</v>
      </c>
      <c r="J154" s="50" t="s">
        <v>68</v>
      </c>
      <c r="K154" s="45">
        <v>45860</v>
      </c>
      <c r="L154" s="97" t="s">
        <v>14</v>
      </c>
      <c r="M154" s="53" t="s">
        <v>225</v>
      </c>
      <c r="N154" s="50">
        <v>2025</v>
      </c>
    </row>
    <row r="155" spans="1:14">
      <c r="A155" s="50">
        <v>101</v>
      </c>
      <c r="B155" s="50" t="s">
        <v>17</v>
      </c>
      <c r="C155" s="45" t="s">
        <v>25</v>
      </c>
      <c r="D155" s="50" t="s">
        <v>61</v>
      </c>
      <c r="E155" s="50" t="s">
        <v>71</v>
      </c>
      <c r="F155" s="50"/>
      <c r="G155" s="50" t="s">
        <v>64</v>
      </c>
      <c r="H155" s="51" t="s">
        <v>1264</v>
      </c>
      <c r="I155" s="52">
        <v>1511.2676056338028</v>
      </c>
      <c r="J155" s="50" t="s">
        <v>68</v>
      </c>
      <c r="K155" s="45">
        <v>45851</v>
      </c>
      <c r="L155" s="97" t="s">
        <v>14</v>
      </c>
      <c r="M155" s="53" t="s">
        <v>225</v>
      </c>
      <c r="N155" s="50">
        <v>2025</v>
      </c>
    </row>
    <row r="156" spans="1:14">
      <c r="A156" s="50">
        <v>107</v>
      </c>
      <c r="B156" s="50" t="s">
        <v>273</v>
      </c>
      <c r="C156" s="45" t="s">
        <v>56</v>
      </c>
      <c r="D156" s="50" t="s">
        <v>61</v>
      </c>
      <c r="E156" s="50" t="s">
        <v>71</v>
      </c>
      <c r="F156" s="50"/>
      <c r="G156" s="50" t="s">
        <v>64</v>
      </c>
      <c r="H156" s="51" t="s">
        <v>75</v>
      </c>
      <c r="I156" s="52">
        <v>2238.0281690140846</v>
      </c>
      <c r="J156" s="50" t="s">
        <v>68</v>
      </c>
      <c r="K156" s="45">
        <v>45695</v>
      </c>
      <c r="L156" s="97" t="s">
        <v>14</v>
      </c>
      <c r="M156" s="53" t="s">
        <v>225</v>
      </c>
      <c r="N156" s="50">
        <v>2025</v>
      </c>
    </row>
    <row r="157" spans="1:14">
      <c r="A157" s="50">
        <v>108</v>
      </c>
      <c r="B157" s="50" t="s">
        <v>273</v>
      </c>
      <c r="C157" s="45" t="s">
        <v>56</v>
      </c>
      <c r="D157" s="50" t="s">
        <v>61</v>
      </c>
      <c r="E157" s="50" t="s">
        <v>71</v>
      </c>
      <c r="F157" s="50"/>
      <c r="G157" s="50" t="s">
        <v>64</v>
      </c>
      <c r="H157" s="51" t="s">
        <v>75</v>
      </c>
      <c r="I157" s="52">
        <v>1150</v>
      </c>
      <c r="J157" s="50" t="s">
        <v>68</v>
      </c>
      <c r="K157" s="45">
        <v>45937</v>
      </c>
      <c r="L157" s="97" t="s">
        <v>14</v>
      </c>
      <c r="M157" s="53" t="s">
        <v>225</v>
      </c>
      <c r="N157" s="50">
        <v>2025</v>
      </c>
    </row>
    <row r="158" spans="1:14">
      <c r="A158" s="50">
        <v>109</v>
      </c>
      <c r="B158" s="50" t="s">
        <v>273</v>
      </c>
      <c r="C158" s="45" t="s">
        <v>56</v>
      </c>
      <c r="D158" s="50" t="s">
        <v>61</v>
      </c>
      <c r="E158" s="50" t="s">
        <v>71</v>
      </c>
      <c r="F158" s="50"/>
      <c r="G158" s="50" t="s">
        <v>64</v>
      </c>
      <c r="H158" s="51" t="s">
        <v>1267</v>
      </c>
      <c r="I158" s="52">
        <v>3395.0704225352115</v>
      </c>
      <c r="J158" s="50" t="s">
        <v>68</v>
      </c>
      <c r="K158" s="45">
        <v>45859</v>
      </c>
      <c r="L158" s="97" t="s">
        <v>14</v>
      </c>
      <c r="M158" s="53" t="s">
        <v>225</v>
      </c>
      <c r="N158" s="50">
        <v>2025</v>
      </c>
    </row>
    <row r="159" spans="1:14">
      <c r="A159" s="50">
        <v>110</v>
      </c>
      <c r="B159" s="50" t="s">
        <v>273</v>
      </c>
      <c r="C159" s="45" t="s">
        <v>56</v>
      </c>
      <c r="D159" s="50" t="s">
        <v>61</v>
      </c>
      <c r="E159" s="50" t="s">
        <v>71</v>
      </c>
      <c r="F159" s="50"/>
      <c r="G159" s="50" t="s">
        <v>64</v>
      </c>
      <c r="H159" s="51" t="s">
        <v>1267</v>
      </c>
      <c r="I159" s="52">
        <v>5009.1549295774648</v>
      </c>
      <c r="J159" s="51" t="s">
        <v>68</v>
      </c>
      <c r="K159" s="45">
        <v>45814</v>
      </c>
      <c r="L159" s="97" t="s">
        <v>14</v>
      </c>
      <c r="M159" s="53" t="s">
        <v>225</v>
      </c>
      <c r="N159" s="50">
        <v>2025</v>
      </c>
    </row>
    <row r="160" spans="1:14">
      <c r="A160" s="50">
        <v>115</v>
      </c>
      <c r="B160" s="50" t="s">
        <v>273</v>
      </c>
      <c r="C160" s="50" t="s">
        <v>56</v>
      </c>
      <c r="D160" s="50" t="s">
        <v>61</v>
      </c>
      <c r="E160" s="50" t="s">
        <v>71</v>
      </c>
      <c r="F160" s="50"/>
      <c r="G160" s="50" t="s">
        <v>64</v>
      </c>
      <c r="H160" s="50" t="s">
        <v>295</v>
      </c>
      <c r="I160" s="52">
        <v>98.591549295774641</v>
      </c>
      <c r="J160" s="50" t="s">
        <v>68</v>
      </c>
      <c r="K160" s="45">
        <v>45867</v>
      </c>
      <c r="L160" s="97" t="s">
        <v>14</v>
      </c>
      <c r="M160" s="53" t="s">
        <v>225</v>
      </c>
      <c r="N160" s="50">
        <v>2025</v>
      </c>
    </row>
    <row r="161" spans="1:14">
      <c r="A161" s="50">
        <v>116</v>
      </c>
      <c r="B161" s="50" t="s">
        <v>273</v>
      </c>
      <c r="C161" s="45" t="s">
        <v>56</v>
      </c>
      <c r="D161" s="50" t="s">
        <v>61</v>
      </c>
      <c r="E161" s="50" t="s">
        <v>71</v>
      </c>
      <c r="F161" s="50"/>
      <c r="G161" s="50" t="s">
        <v>64</v>
      </c>
      <c r="H161" s="50" t="s">
        <v>1268</v>
      </c>
      <c r="I161" s="52">
        <v>352.11267605633805</v>
      </c>
      <c r="J161" s="50" t="s">
        <v>68</v>
      </c>
      <c r="K161" s="45">
        <v>45855</v>
      </c>
      <c r="L161" s="97" t="s">
        <v>14</v>
      </c>
      <c r="M161" s="53" t="s">
        <v>225</v>
      </c>
      <c r="N161" s="50">
        <v>2025</v>
      </c>
    </row>
    <row r="162" spans="1:14">
      <c r="A162" s="50"/>
      <c r="B162" s="50" t="s">
        <v>273</v>
      </c>
      <c r="C162" s="50" t="s">
        <v>56</v>
      </c>
      <c r="D162" s="50" t="s">
        <v>61</v>
      </c>
      <c r="E162" s="50" t="s">
        <v>71</v>
      </c>
      <c r="F162" s="50"/>
      <c r="G162" s="50" t="s">
        <v>64</v>
      </c>
      <c r="H162" s="51" t="s">
        <v>1269</v>
      </c>
      <c r="I162" s="52">
        <v>359.15492957746477</v>
      </c>
      <c r="J162" s="50" t="s">
        <v>68</v>
      </c>
      <c r="K162" s="45">
        <v>45876</v>
      </c>
      <c r="L162" s="97" t="s">
        <v>14</v>
      </c>
      <c r="M162" s="50" t="s">
        <v>225</v>
      </c>
      <c r="N162" s="50">
        <v>2025</v>
      </c>
    </row>
    <row r="163" spans="1:14">
      <c r="A163" s="50"/>
      <c r="B163" s="50" t="s">
        <v>59</v>
      </c>
      <c r="C163" s="50" t="s">
        <v>60</v>
      </c>
      <c r="D163" s="50" t="s">
        <v>61</v>
      </c>
      <c r="E163" s="50" t="s">
        <v>71</v>
      </c>
      <c r="F163" s="50"/>
      <c r="G163" s="50" t="s">
        <v>64</v>
      </c>
      <c r="H163" s="50" t="s">
        <v>1270</v>
      </c>
      <c r="I163" s="52">
        <v>528.16901408450701</v>
      </c>
      <c r="J163" s="50" t="s">
        <v>68</v>
      </c>
      <c r="K163" s="45">
        <v>45866</v>
      </c>
      <c r="L163" s="97" t="s">
        <v>14</v>
      </c>
      <c r="M163" s="50" t="s">
        <v>225</v>
      </c>
      <c r="N163" s="50">
        <v>2025</v>
      </c>
    </row>
    <row r="164" spans="1:14">
      <c r="A164" s="50"/>
      <c r="B164" s="50" t="s">
        <v>59</v>
      </c>
      <c r="C164" s="50" t="s">
        <v>60</v>
      </c>
      <c r="D164" s="50" t="s">
        <v>61</v>
      </c>
      <c r="E164" s="50" t="s">
        <v>71</v>
      </c>
      <c r="F164" s="50"/>
      <c r="G164" s="50" t="s">
        <v>64</v>
      </c>
      <c r="H164" s="50" t="s">
        <v>1271</v>
      </c>
      <c r="I164" s="52">
        <v>528.16901408450701</v>
      </c>
      <c r="J164" s="50" t="s">
        <v>68</v>
      </c>
      <c r="K164" s="45">
        <v>45858</v>
      </c>
      <c r="L164" s="97" t="s">
        <v>14</v>
      </c>
      <c r="M164" s="50" t="s">
        <v>225</v>
      </c>
      <c r="N164" s="50">
        <v>2025</v>
      </c>
    </row>
    <row r="165" spans="1:14">
      <c r="A165" s="50"/>
      <c r="B165" s="50" t="s">
        <v>76</v>
      </c>
      <c r="C165" s="50" t="s">
        <v>30</v>
      </c>
      <c r="D165" s="50" t="s">
        <v>61</v>
      </c>
      <c r="E165" s="50" t="s">
        <v>71</v>
      </c>
      <c r="F165" s="50"/>
      <c r="G165" s="50" t="s">
        <v>64</v>
      </c>
      <c r="H165" s="50" t="s">
        <v>1277</v>
      </c>
      <c r="I165" s="55">
        <v>1056.338028169014</v>
      </c>
      <c r="J165" s="50" t="s">
        <v>68</v>
      </c>
      <c r="K165" s="45">
        <v>45859</v>
      </c>
      <c r="L165" s="98" t="s">
        <v>14</v>
      </c>
      <c r="M165" s="50" t="s">
        <v>225</v>
      </c>
      <c r="N165" s="50">
        <v>2025</v>
      </c>
    </row>
    <row r="166" spans="1:14">
      <c r="A166" s="50"/>
      <c r="B166" s="50" t="s">
        <v>31</v>
      </c>
      <c r="C166" s="50" t="s">
        <v>32</v>
      </c>
      <c r="D166" s="50" t="s">
        <v>61</v>
      </c>
      <c r="E166" s="50" t="s">
        <v>71</v>
      </c>
      <c r="F166" s="50"/>
      <c r="G166" s="50" t="s">
        <v>64</v>
      </c>
      <c r="H166" s="50" t="s">
        <v>1279</v>
      </c>
      <c r="I166" s="55">
        <v>392.25352112676057</v>
      </c>
      <c r="J166" s="50" t="s">
        <v>68</v>
      </c>
      <c r="K166" s="45">
        <v>45858</v>
      </c>
      <c r="L166" s="98" t="s">
        <v>14</v>
      </c>
      <c r="M166" s="50" t="s">
        <v>225</v>
      </c>
      <c r="N166" s="50">
        <v>2025</v>
      </c>
    </row>
    <row r="167" spans="1:14">
      <c r="A167" s="50"/>
      <c r="B167" s="50" t="s">
        <v>33</v>
      </c>
      <c r="C167" s="50" t="s">
        <v>34</v>
      </c>
      <c r="D167" s="50" t="s">
        <v>61</v>
      </c>
      <c r="E167" s="50" t="s">
        <v>71</v>
      </c>
      <c r="F167" s="50"/>
      <c r="G167" s="50" t="s">
        <v>64</v>
      </c>
      <c r="H167" s="50" t="s">
        <v>1280</v>
      </c>
      <c r="I167" s="55">
        <v>704.22535211267609</v>
      </c>
      <c r="J167" s="50" t="s">
        <v>68</v>
      </c>
      <c r="K167" s="45">
        <v>45863</v>
      </c>
      <c r="L167" s="98" t="s">
        <v>14</v>
      </c>
      <c r="M167" s="50" t="s">
        <v>225</v>
      </c>
      <c r="N167" s="50">
        <v>2025</v>
      </c>
    </row>
    <row r="168" spans="1:14">
      <c r="A168" s="50"/>
      <c r="B168" s="50" t="s">
        <v>33</v>
      </c>
      <c r="C168" s="50" t="s">
        <v>34</v>
      </c>
      <c r="D168" s="50" t="s">
        <v>61</v>
      </c>
      <c r="E168" s="50" t="s">
        <v>71</v>
      </c>
      <c r="F168" s="50"/>
      <c r="G168" s="50" t="s">
        <v>64</v>
      </c>
      <c r="H168" s="50" t="s">
        <v>1280</v>
      </c>
      <c r="I168" s="55">
        <v>704.22535211267609</v>
      </c>
      <c r="J168" s="50" t="s">
        <v>68</v>
      </c>
      <c r="K168" s="45">
        <v>45833</v>
      </c>
      <c r="L168" s="98" t="s">
        <v>14</v>
      </c>
      <c r="M168" s="50" t="s">
        <v>225</v>
      </c>
      <c r="N168" s="50">
        <v>2025</v>
      </c>
    </row>
    <row r="169" spans="1:14">
      <c r="A169" s="50"/>
      <c r="B169" s="50" t="s">
        <v>33</v>
      </c>
      <c r="C169" s="50" t="s">
        <v>34</v>
      </c>
      <c r="D169" s="50" t="s">
        <v>61</v>
      </c>
      <c r="E169" s="50" t="s">
        <v>71</v>
      </c>
      <c r="F169" s="50"/>
      <c r="G169" s="50" t="s">
        <v>64</v>
      </c>
      <c r="H169" s="50" t="s">
        <v>289</v>
      </c>
      <c r="I169" s="55">
        <v>176.05633802816902</v>
      </c>
      <c r="J169" s="50" t="s">
        <v>68</v>
      </c>
      <c r="K169" s="45">
        <v>45824</v>
      </c>
      <c r="L169" s="98" t="s">
        <v>14</v>
      </c>
      <c r="M169" s="50" t="s">
        <v>225</v>
      </c>
      <c r="N169" s="50">
        <v>2025</v>
      </c>
    </row>
    <row r="170" spans="1:14">
      <c r="A170" s="50"/>
      <c r="B170" s="50" t="s">
        <v>43</v>
      </c>
      <c r="C170" s="50" t="s">
        <v>70</v>
      </c>
      <c r="D170" s="50" t="s">
        <v>61</v>
      </c>
      <c r="E170" s="50" t="s">
        <v>71</v>
      </c>
      <c r="F170" s="50"/>
      <c r="G170" s="50" t="s">
        <v>64</v>
      </c>
      <c r="H170" s="50" t="s">
        <v>1282</v>
      </c>
      <c r="I170" s="55">
        <v>616.19718309859149</v>
      </c>
      <c r="J170" s="50" t="s">
        <v>68</v>
      </c>
      <c r="K170" s="45">
        <v>45833</v>
      </c>
      <c r="L170" s="98" t="s">
        <v>14</v>
      </c>
      <c r="M170" s="50" t="s">
        <v>225</v>
      </c>
      <c r="N170" s="50">
        <v>2025</v>
      </c>
    </row>
    <row r="171" spans="1:14">
      <c r="A171" s="50"/>
      <c r="B171" s="50" t="s">
        <v>43</v>
      </c>
      <c r="C171" s="50" t="s">
        <v>70</v>
      </c>
      <c r="D171" s="50" t="s">
        <v>61</v>
      </c>
      <c r="E171" s="50" t="s">
        <v>71</v>
      </c>
      <c r="F171" s="50"/>
      <c r="G171" s="50" t="s">
        <v>64</v>
      </c>
      <c r="H171" s="50" t="s">
        <v>1282</v>
      </c>
      <c r="I171" s="55">
        <v>1436.6197183098591</v>
      </c>
      <c r="J171" s="50" t="s">
        <v>68</v>
      </c>
      <c r="K171" s="45">
        <v>45907</v>
      </c>
      <c r="L171" s="98" t="s">
        <v>14</v>
      </c>
      <c r="M171" s="50" t="s">
        <v>225</v>
      </c>
      <c r="N171" s="50">
        <v>2025</v>
      </c>
    </row>
    <row r="172" spans="1:14">
      <c r="A172" s="50"/>
      <c r="B172" s="50" t="s">
        <v>43</v>
      </c>
      <c r="C172" s="50" t="s">
        <v>38</v>
      </c>
      <c r="D172" s="50" t="s">
        <v>61</v>
      </c>
      <c r="E172" s="50" t="s">
        <v>71</v>
      </c>
      <c r="F172" s="50"/>
      <c r="G172" s="50" t="s">
        <v>64</v>
      </c>
      <c r="H172" s="50" t="s">
        <v>1283</v>
      </c>
      <c r="I172" s="55">
        <v>553.52112676056333</v>
      </c>
      <c r="J172" s="50">
        <v>6499</v>
      </c>
      <c r="K172" s="45">
        <v>45852</v>
      </c>
      <c r="L172" s="98" t="s">
        <v>14</v>
      </c>
      <c r="M172" s="50" t="s">
        <v>225</v>
      </c>
      <c r="N172" s="50">
        <v>2025</v>
      </c>
    </row>
    <row r="173" spans="1:14">
      <c r="A173" s="50"/>
      <c r="B173" s="50" t="s">
        <v>43</v>
      </c>
      <c r="C173" s="50" t="s">
        <v>45</v>
      </c>
      <c r="D173" s="50" t="s">
        <v>61</v>
      </c>
      <c r="E173" s="50" t="s">
        <v>71</v>
      </c>
      <c r="F173" s="50"/>
      <c r="G173" s="50" t="s">
        <v>64</v>
      </c>
      <c r="H173" s="50" t="s">
        <v>1284</v>
      </c>
      <c r="I173" s="55">
        <v>345.42253521126759</v>
      </c>
      <c r="J173" s="50" t="s">
        <v>68</v>
      </c>
      <c r="K173" s="45">
        <v>45907</v>
      </c>
      <c r="L173" s="98" t="s">
        <v>14</v>
      </c>
      <c r="M173" s="50" t="s">
        <v>225</v>
      </c>
      <c r="N173" s="50">
        <v>2025</v>
      </c>
    </row>
    <row r="174" spans="1:14">
      <c r="A174" s="50"/>
      <c r="B174" s="50" t="s">
        <v>43</v>
      </c>
      <c r="C174" s="50" t="s">
        <v>46</v>
      </c>
      <c r="D174" s="50" t="s">
        <v>61</v>
      </c>
      <c r="E174" s="50" t="s">
        <v>71</v>
      </c>
      <c r="F174" s="50"/>
      <c r="G174" s="50" t="s">
        <v>64</v>
      </c>
      <c r="H174" s="50" t="s">
        <v>1285</v>
      </c>
      <c r="I174" s="55">
        <v>1408.4507042253522</v>
      </c>
      <c r="J174" s="50" t="s">
        <v>68</v>
      </c>
      <c r="K174" s="45">
        <v>45815</v>
      </c>
      <c r="L174" s="98" t="s">
        <v>14</v>
      </c>
      <c r="M174" s="50" t="s">
        <v>225</v>
      </c>
      <c r="N174" s="50">
        <v>2025</v>
      </c>
    </row>
    <row r="175" spans="1:14">
      <c r="A175" s="50"/>
      <c r="B175" s="50" t="s">
        <v>43</v>
      </c>
      <c r="C175" s="50" t="s">
        <v>49</v>
      </c>
      <c r="D175" s="50" t="s">
        <v>61</v>
      </c>
      <c r="E175" s="50" t="s">
        <v>71</v>
      </c>
      <c r="F175" s="50"/>
      <c r="G175" s="50" t="s">
        <v>64</v>
      </c>
      <c r="H175" s="50" t="s">
        <v>1286</v>
      </c>
      <c r="I175" s="55">
        <v>772.00704225352115</v>
      </c>
      <c r="J175" s="50" t="s">
        <v>68</v>
      </c>
      <c r="K175" s="45">
        <v>45907</v>
      </c>
      <c r="L175" s="98" t="s">
        <v>14</v>
      </c>
      <c r="M175" s="50" t="s">
        <v>225</v>
      </c>
      <c r="N175" s="50">
        <v>2025</v>
      </c>
    </row>
    <row r="176" spans="1:14">
      <c r="A176" s="50"/>
      <c r="B176" s="50" t="s">
        <v>43</v>
      </c>
      <c r="C176" s="50" t="s">
        <v>50</v>
      </c>
      <c r="D176" s="50" t="s">
        <v>61</v>
      </c>
      <c r="E176" s="50" t="s">
        <v>71</v>
      </c>
      <c r="F176" s="50"/>
      <c r="G176" s="50" t="s">
        <v>64</v>
      </c>
      <c r="H176" s="50" t="s">
        <v>1287</v>
      </c>
      <c r="I176" s="55">
        <v>2967.9577464788731</v>
      </c>
      <c r="J176" s="50" t="s">
        <v>68</v>
      </c>
      <c r="K176" s="45">
        <v>45863</v>
      </c>
      <c r="L176" s="98" t="s">
        <v>14</v>
      </c>
      <c r="M176" s="50" t="s">
        <v>225</v>
      </c>
      <c r="N176" s="50">
        <v>2025</v>
      </c>
    </row>
    <row r="177" spans="1:14">
      <c r="A177" s="50"/>
      <c r="B177" s="50" t="s">
        <v>43</v>
      </c>
      <c r="C177" s="50" t="s">
        <v>50</v>
      </c>
      <c r="D177" s="50" t="s">
        <v>61</v>
      </c>
      <c r="E177" s="50" t="s">
        <v>71</v>
      </c>
      <c r="F177" s="50"/>
      <c r="G177" s="50" t="s">
        <v>64</v>
      </c>
      <c r="H177" s="50" t="s">
        <v>1288</v>
      </c>
      <c r="I177" s="55">
        <v>2884.5070422535209</v>
      </c>
      <c r="J177" s="50" t="s">
        <v>68</v>
      </c>
      <c r="K177" s="45">
        <v>45858</v>
      </c>
      <c r="L177" s="98" t="s">
        <v>14</v>
      </c>
      <c r="M177" s="50" t="s">
        <v>225</v>
      </c>
      <c r="N177" s="50">
        <v>2025</v>
      </c>
    </row>
    <row r="178" spans="1:14">
      <c r="A178" s="50"/>
      <c r="B178" s="50" t="s">
        <v>43</v>
      </c>
      <c r="C178" s="50" t="s">
        <v>50</v>
      </c>
      <c r="D178" s="50" t="s">
        <v>61</v>
      </c>
      <c r="E178" s="50" t="s">
        <v>71</v>
      </c>
      <c r="F178" s="50"/>
      <c r="G178" s="50" t="s">
        <v>64</v>
      </c>
      <c r="H178" s="50" t="s">
        <v>1288</v>
      </c>
      <c r="I178" s="55">
        <v>2485.5633802816901</v>
      </c>
      <c r="J178" s="50" t="s">
        <v>68</v>
      </c>
      <c r="K178" s="45">
        <v>45937</v>
      </c>
      <c r="L178" s="98" t="s">
        <v>14</v>
      </c>
      <c r="M178" s="50" t="s">
        <v>225</v>
      </c>
      <c r="N178" s="50">
        <v>2025</v>
      </c>
    </row>
    <row r="179" spans="1:14">
      <c r="A179" s="50"/>
      <c r="B179" s="50" t="s">
        <v>43</v>
      </c>
      <c r="C179" s="50" t="s">
        <v>51</v>
      </c>
      <c r="D179" s="50" t="s">
        <v>61</v>
      </c>
      <c r="E179" s="50" t="s">
        <v>71</v>
      </c>
      <c r="F179" s="50"/>
      <c r="G179" s="50" t="s">
        <v>64</v>
      </c>
      <c r="H179" s="50" t="s">
        <v>1288</v>
      </c>
      <c r="I179" s="55">
        <v>1345.7746478873239</v>
      </c>
      <c r="J179" s="50" t="s">
        <v>68</v>
      </c>
      <c r="K179" s="45">
        <v>45860</v>
      </c>
      <c r="L179" s="98" t="s">
        <v>14</v>
      </c>
      <c r="M179" s="50" t="s">
        <v>225</v>
      </c>
      <c r="N179" s="50">
        <v>2025</v>
      </c>
    </row>
    <row r="180" spans="1:14">
      <c r="A180" s="50"/>
      <c r="B180" s="50" t="s">
        <v>43</v>
      </c>
      <c r="C180" s="50" t="s">
        <v>51</v>
      </c>
      <c r="D180" s="50" t="s">
        <v>61</v>
      </c>
      <c r="E180" s="50" t="s">
        <v>71</v>
      </c>
      <c r="F180" s="50"/>
      <c r="G180" s="50" t="s">
        <v>64</v>
      </c>
      <c r="H180" s="50" t="s">
        <v>1289</v>
      </c>
      <c r="I180" s="55">
        <v>1408.8028169014085</v>
      </c>
      <c r="J180" s="50" t="s">
        <v>68</v>
      </c>
      <c r="K180" s="45">
        <v>45837</v>
      </c>
      <c r="L180" s="98" t="s">
        <v>14</v>
      </c>
      <c r="M180" s="50" t="s">
        <v>225</v>
      </c>
      <c r="N180" s="50">
        <v>2025</v>
      </c>
    </row>
    <row r="181" spans="1:14">
      <c r="A181" s="50"/>
      <c r="B181" s="50" t="s">
        <v>43</v>
      </c>
      <c r="C181" s="50" t="s">
        <v>51</v>
      </c>
      <c r="D181" s="50" t="s">
        <v>61</v>
      </c>
      <c r="E181" s="50" t="s">
        <v>71</v>
      </c>
      <c r="F181" s="50"/>
      <c r="G181" s="50" t="s">
        <v>64</v>
      </c>
      <c r="H181" s="50" t="s">
        <v>1289</v>
      </c>
      <c r="I181" s="55">
        <v>1379.5774647887324</v>
      </c>
      <c r="J181" s="50" t="s">
        <v>68</v>
      </c>
      <c r="K181" s="45">
        <v>45998</v>
      </c>
      <c r="L181" s="98" t="s">
        <v>14</v>
      </c>
      <c r="M181" s="50" t="s">
        <v>225</v>
      </c>
      <c r="N181" s="50">
        <v>2025</v>
      </c>
    </row>
    <row r="182" spans="1:14">
      <c r="A182" s="50"/>
      <c r="B182" s="50" t="s">
        <v>43</v>
      </c>
      <c r="C182" s="50" t="s">
        <v>52</v>
      </c>
      <c r="D182" s="50" t="s">
        <v>61</v>
      </c>
      <c r="E182" s="50" t="s">
        <v>71</v>
      </c>
      <c r="F182" s="50"/>
      <c r="G182" s="50" t="s">
        <v>64</v>
      </c>
      <c r="H182" s="50" t="s">
        <v>1290</v>
      </c>
      <c r="I182" s="55">
        <v>1023.2394366197183</v>
      </c>
      <c r="J182" s="50" t="s">
        <v>68</v>
      </c>
      <c r="K182" s="45">
        <v>45854</v>
      </c>
      <c r="L182" s="98" t="s">
        <v>14</v>
      </c>
      <c r="M182" s="50" t="s">
        <v>225</v>
      </c>
      <c r="N182" s="50">
        <v>2025</v>
      </c>
    </row>
    <row r="183" spans="1:14">
      <c r="A183" s="50"/>
      <c r="B183" s="50" t="s">
        <v>43</v>
      </c>
      <c r="C183" s="50" t="s">
        <v>52</v>
      </c>
      <c r="D183" s="50" t="s">
        <v>61</v>
      </c>
      <c r="E183" s="50" t="s">
        <v>71</v>
      </c>
      <c r="F183" s="50"/>
      <c r="G183" s="50" t="s">
        <v>64</v>
      </c>
      <c r="H183" s="50" t="s">
        <v>1291</v>
      </c>
      <c r="I183" s="55">
        <v>1837.6760563380283</v>
      </c>
      <c r="J183" s="50" t="s">
        <v>68</v>
      </c>
      <c r="K183" s="45">
        <v>45838</v>
      </c>
      <c r="L183" s="98" t="s">
        <v>14</v>
      </c>
      <c r="M183" s="50" t="s">
        <v>225</v>
      </c>
      <c r="N183" s="50">
        <v>2025</v>
      </c>
    </row>
    <row r="184" spans="1:14">
      <c r="A184" s="50"/>
      <c r="B184" s="50" t="s">
        <v>43</v>
      </c>
      <c r="C184" s="50" t="s">
        <v>77</v>
      </c>
      <c r="D184" s="50" t="s">
        <v>61</v>
      </c>
      <c r="E184" s="50" t="s">
        <v>71</v>
      </c>
      <c r="F184" s="50"/>
      <c r="G184" s="50" t="s">
        <v>64</v>
      </c>
      <c r="H184" s="50" t="s">
        <v>1285</v>
      </c>
      <c r="I184" s="55">
        <v>2328.1690140845071</v>
      </c>
      <c r="J184" s="50" t="s">
        <v>68</v>
      </c>
      <c r="K184" s="45">
        <v>45860</v>
      </c>
      <c r="L184" s="98" t="s">
        <v>14</v>
      </c>
      <c r="M184" s="50" t="s">
        <v>225</v>
      </c>
      <c r="N184" s="50">
        <v>2025</v>
      </c>
    </row>
    <row r="185" spans="1:14">
      <c r="A185" s="50"/>
      <c r="B185" s="50" t="s">
        <v>43</v>
      </c>
      <c r="C185" s="50" t="s">
        <v>77</v>
      </c>
      <c r="D185" s="50" t="s">
        <v>61</v>
      </c>
      <c r="E185" s="50" t="s">
        <v>71</v>
      </c>
      <c r="F185" s="50"/>
      <c r="G185" s="50" t="s">
        <v>64</v>
      </c>
      <c r="H185" s="50" t="s">
        <v>1292</v>
      </c>
      <c r="I185" s="55">
        <v>1894.3661971830986</v>
      </c>
      <c r="J185" s="50" t="s">
        <v>68</v>
      </c>
      <c r="K185" s="45">
        <v>45695</v>
      </c>
      <c r="L185" s="98" t="s">
        <v>14</v>
      </c>
      <c r="M185" s="50" t="s">
        <v>225</v>
      </c>
      <c r="N185" s="50">
        <v>2025</v>
      </c>
    </row>
    <row r="186" spans="1:14">
      <c r="A186" s="50"/>
      <c r="B186" s="50" t="s">
        <v>43</v>
      </c>
      <c r="C186" s="50" t="s">
        <v>73</v>
      </c>
      <c r="D186" s="50" t="s">
        <v>61</v>
      </c>
      <c r="E186" s="50" t="s">
        <v>71</v>
      </c>
      <c r="F186" s="50"/>
      <c r="G186" s="50" t="s">
        <v>64</v>
      </c>
      <c r="H186" s="50" t="s">
        <v>294</v>
      </c>
      <c r="I186" s="55">
        <v>1846.8309859154929</v>
      </c>
      <c r="J186" s="50" t="s">
        <v>68</v>
      </c>
      <c r="K186" s="45">
        <v>45857</v>
      </c>
      <c r="L186" s="98" t="s">
        <v>14</v>
      </c>
      <c r="M186" s="50" t="s">
        <v>225</v>
      </c>
      <c r="N186" s="50">
        <v>2025</v>
      </c>
    </row>
    <row r="187" spans="1:14">
      <c r="A187" s="50"/>
      <c r="B187" s="50" t="s">
        <v>43</v>
      </c>
      <c r="C187" s="50" t="s">
        <v>49</v>
      </c>
      <c r="D187" s="50" t="s">
        <v>61</v>
      </c>
      <c r="E187" s="50" t="s">
        <v>71</v>
      </c>
      <c r="F187" s="50"/>
      <c r="G187" s="50" t="s">
        <v>64</v>
      </c>
      <c r="H187" s="50" t="s">
        <v>1301</v>
      </c>
      <c r="I187" s="55">
        <v>1398.943661971831</v>
      </c>
      <c r="J187" s="50" t="s">
        <v>68</v>
      </c>
      <c r="K187" s="45">
        <v>45858</v>
      </c>
      <c r="L187" s="98" t="s">
        <v>14</v>
      </c>
      <c r="M187" s="50" t="s">
        <v>225</v>
      </c>
      <c r="N187" s="50">
        <v>2025</v>
      </c>
    </row>
    <row r="188" spans="1:14">
      <c r="A188" s="50"/>
      <c r="B188" s="50" t="s">
        <v>53</v>
      </c>
      <c r="C188" s="50" t="s">
        <v>54</v>
      </c>
      <c r="D188" s="50" t="s">
        <v>61</v>
      </c>
      <c r="E188" s="50" t="s">
        <v>71</v>
      </c>
      <c r="F188" s="50"/>
      <c r="G188" s="50" t="s">
        <v>64</v>
      </c>
      <c r="H188" s="50" t="s">
        <v>1302</v>
      </c>
      <c r="I188" s="55">
        <v>1201.4084507042253</v>
      </c>
      <c r="J188" s="50" t="s">
        <v>68</v>
      </c>
      <c r="K188" s="45">
        <v>45858</v>
      </c>
      <c r="L188" s="98" t="s">
        <v>14</v>
      </c>
      <c r="M188" s="50" t="s">
        <v>225</v>
      </c>
      <c r="N188" s="50">
        <v>2025</v>
      </c>
    </row>
    <row r="189" spans="1:14">
      <c r="A189" s="50"/>
      <c r="B189" s="50" t="s">
        <v>53</v>
      </c>
      <c r="C189" s="50" t="s">
        <v>54</v>
      </c>
      <c r="D189" s="50" t="s">
        <v>61</v>
      </c>
      <c r="E189" s="50" t="s">
        <v>71</v>
      </c>
      <c r="F189" s="50"/>
      <c r="G189" s="50" t="s">
        <v>64</v>
      </c>
      <c r="H189" s="50" t="s">
        <v>1303</v>
      </c>
      <c r="I189" s="55">
        <v>1070.4225352112676</v>
      </c>
      <c r="J189" s="50" t="s">
        <v>68</v>
      </c>
      <c r="K189" s="45">
        <v>45998</v>
      </c>
      <c r="L189" s="98" t="s">
        <v>14</v>
      </c>
      <c r="M189" s="50" t="s">
        <v>225</v>
      </c>
      <c r="N189" s="50">
        <v>2025</v>
      </c>
    </row>
    <row r="190" spans="1:14">
      <c r="A190" s="50"/>
      <c r="B190" s="50" t="s">
        <v>53</v>
      </c>
      <c r="C190" s="50" t="s">
        <v>54</v>
      </c>
      <c r="D190" s="50" t="s">
        <v>61</v>
      </c>
      <c r="E190" s="50" t="s">
        <v>71</v>
      </c>
      <c r="F190" s="50"/>
      <c r="G190" s="50" t="s">
        <v>64</v>
      </c>
      <c r="H190" s="50" t="s">
        <v>1304</v>
      </c>
      <c r="I190" s="55">
        <v>1411.2676056338028</v>
      </c>
      <c r="J190" s="50" t="s">
        <v>68</v>
      </c>
      <c r="K190" s="45">
        <v>45907</v>
      </c>
      <c r="L190" s="98" t="s">
        <v>14</v>
      </c>
      <c r="M190" s="50" t="s">
        <v>225</v>
      </c>
      <c r="N190" s="50">
        <v>2025</v>
      </c>
    </row>
    <row r="191" spans="1:14">
      <c r="A191" s="50"/>
      <c r="B191" s="50" t="s">
        <v>53</v>
      </c>
      <c r="C191" s="50" t="s">
        <v>54</v>
      </c>
      <c r="D191" s="50" t="s">
        <v>61</v>
      </c>
      <c r="E191" s="50" t="s">
        <v>71</v>
      </c>
      <c r="F191" s="50"/>
      <c r="G191" s="50" t="s">
        <v>64</v>
      </c>
      <c r="H191" s="50" t="s">
        <v>1305</v>
      </c>
      <c r="I191" s="55">
        <v>605.63380281690138</v>
      </c>
      <c r="J191" s="50" t="s">
        <v>68</v>
      </c>
      <c r="K191" s="45">
        <v>45998</v>
      </c>
      <c r="L191" s="98" t="s">
        <v>14</v>
      </c>
      <c r="M191" s="50" t="s">
        <v>225</v>
      </c>
      <c r="N191" s="50">
        <v>2025</v>
      </c>
    </row>
    <row r="192" spans="1:14">
      <c r="A192" s="50"/>
      <c r="B192" s="50" t="s">
        <v>53</v>
      </c>
      <c r="C192" s="50" t="s">
        <v>54</v>
      </c>
      <c r="D192" s="50" t="s">
        <v>61</v>
      </c>
      <c r="E192" s="50" t="s">
        <v>71</v>
      </c>
      <c r="F192" s="50"/>
      <c r="G192" s="50" t="s">
        <v>64</v>
      </c>
      <c r="H192" s="50" t="s">
        <v>1306</v>
      </c>
      <c r="I192" s="55">
        <v>2285.211267605634</v>
      </c>
      <c r="J192" s="50">
        <v>2212</v>
      </c>
      <c r="K192" s="45">
        <v>45853</v>
      </c>
      <c r="L192" s="98" t="s">
        <v>14</v>
      </c>
      <c r="M192" s="50" t="s">
        <v>225</v>
      </c>
      <c r="N192" s="50">
        <v>2025</v>
      </c>
    </row>
    <row r="193" spans="1:14">
      <c r="A193" s="50"/>
      <c r="B193" s="50" t="s">
        <v>53</v>
      </c>
      <c r="C193" s="50" t="s">
        <v>54</v>
      </c>
      <c r="D193" s="50" t="s">
        <v>61</v>
      </c>
      <c r="E193" s="50" t="s">
        <v>71</v>
      </c>
      <c r="F193" s="50"/>
      <c r="G193" s="50" t="s">
        <v>64</v>
      </c>
      <c r="H193" s="50" t="s">
        <v>1311</v>
      </c>
      <c r="I193" s="55">
        <v>1056.338028169014</v>
      </c>
      <c r="J193" s="50" t="s">
        <v>68</v>
      </c>
      <c r="K193" s="45">
        <v>45876</v>
      </c>
      <c r="L193" s="98" t="s">
        <v>14</v>
      </c>
      <c r="M193" s="50" t="s">
        <v>225</v>
      </c>
      <c r="N193" s="50">
        <v>2025</v>
      </c>
    </row>
    <row r="194" spans="1:14">
      <c r="A194" s="50"/>
      <c r="B194" s="50" t="s">
        <v>59</v>
      </c>
      <c r="C194" s="50" t="s">
        <v>60</v>
      </c>
      <c r="D194" s="50" t="s">
        <v>61</v>
      </c>
      <c r="E194" s="50" t="s">
        <v>82</v>
      </c>
      <c r="F194" s="50"/>
      <c r="G194" s="50" t="s">
        <v>64</v>
      </c>
      <c r="H194" s="50" t="s">
        <v>1314</v>
      </c>
      <c r="I194" s="55">
        <v>246.47887323943661</v>
      </c>
      <c r="J194" s="50" t="s">
        <v>68</v>
      </c>
      <c r="K194" s="45">
        <v>45730</v>
      </c>
      <c r="L194" s="98" t="s">
        <v>14</v>
      </c>
      <c r="M194" s="50" t="s">
        <v>225</v>
      </c>
      <c r="N194" s="50">
        <v>2025</v>
      </c>
    </row>
    <row r="195" spans="1:14">
      <c r="A195" s="50"/>
      <c r="B195" s="50" t="s">
        <v>59</v>
      </c>
      <c r="C195" s="50" t="s">
        <v>60</v>
      </c>
      <c r="D195" s="50" t="s">
        <v>61</v>
      </c>
      <c r="E195" s="50" t="s">
        <v>82</v>
      </c>
      <c r="F195" s="50"/>
      <c r="G195" s="50" t="s">
        <v>64</v>
      </c>
      <c r="H195" s="50" t="s">
        <v>1316</v>
      </c>
      <c r="I195" s="55">
        <v>2464.788732394366</v>
      </c>
      <c r="J195" s="50" t="s">
        <v>68</v>
      </c>
      <c r="K195" s="45">
        <v>45862</v>
      </c>
      <c r="L195" s="98" t="s">
        <v>14</v>
      </c>
      <c r="M195" s="50" t="s">
        <v>225</v>
      </c>
      <c r="N195" s="50">
        <v>2025</v>
      </c>
    </row>
    <row r="196" spans="1:14">
      <c r="A196" s="50"/>
      <c r="B196" s="50" t="s">
        <v>35</v>
      </c>
      <c r="C196" s="50" t="s">
        <v>37</v>
      </c>
      <c r="D196" s="50" t="s">
        <v>61</v>
      </c>
      <c r="E196" s="50" t="s">
        <v>82</v>
      </c>
      <c r="F196" s="50"/>
      <c r="G196" s="50" t="s">
        <v>64</v>
      </c>
      <c r="H196" s="50" t="s">
        <v>1317</v>
      </c>
      <c r="I196" s="55">
        <v>1408.4507042253522</v>
      </c>
      <c r="J196" s="50" t="s">
        <v>68</v>
      </c>
      <c r="K196" s="45">
        <v>45805</v>
      </c>
      <c r="L196" s="98" t="s">
        <v>14</v>
      </c>
      <c r="M196" s="50" t="s">
        <v>225</v>
      </c>
      <c r="N196" s="50">
        <v>2025</v>
      </c>
    </row>
    <row r="197" spans="1:14">
      <c r="A197" s="50"/>
      <c r="B197" s="50" t="s">
        <v>59</v>
      </c>
      <c r="C197" s="50" t="s">
        <v>60</v>
      </c>
      <c r="D197" s="50" t="s">
        <v>61</v>
      </c>
      <c r="E197" s="50" t="s">
        <v>287</v>
      </c>
      <c r="F197" s="50"/>
      <c r="G197" s="50" t="s">
        <v>64</v>
      </c>
      <c r="H197" s="50" t="s">
        <v>88</v>
      </c>
      <c r="I197" s="55">
        <v>84.507042253521121</v>
      </c>
      <c r="J197" s="50">
        <v>2550</v>
      </c>
      <c r="K197" s="45">
        <v>45859</v>
      </c>
      <c r="L197" s="98" t="s">
        <v>14</v>
      </c>
      <c r="M197" s="50" t="s">
        <v>225</v>
      </c>
      <c r="N197" s="50">
        <v>2025</v>
      </c>
    </row>
    <row r="198" spans="1:14">
      <c r="A198" s="50"/>
      <c r="B198" s="50" t="s">
        <v>59</v>
      </c>
      <c r="C198" s="50" t="s">
        <v>60</v>
      </c>
      <c r="D198" s="50" t="s">
        <v>61</v>
      </c>
      <c r="E198" s="50" t="s">
        <v>287</v>
      </c>
      <c r="F198" s="50"/>
      <c r="G198" s="50" t="s">
        <v>64</v>
      </c>
      <c r="H198" s="50" t="s">
        <v>88</v>
      </c>
      <c r="I198" s="55">
        <v>468.3098591549296</v>
      </c>
      <c r="J198" s="50" t="s">
        <v>68</v>
      </c>
      <c r="K198" s="45">
        <v>45862</v>
      </c>
      <c r="L198" s="98" t="s">
        <v>14</v>
      </c>
      <c r="M198" s="50" t="s">
        <v>225</v>
      </c>
      <c r="N198" s="50">
        <v>2025</v>
      </c>
    </row>
    <row r="199" spans="1:14">
      <c r="A199" s="50"/>
      <c r="B199" s="50" t="s">
        <v>59</v>
      </c>
      <c r="C199" s="50" t="s">
        <v>60</v>
      </c>
      <c r="D199" s="50" t="s">
        <v>61</v>
      </c>
      <c r="E199" s="50" t="s">
        <v>287</v>
      </c>
      <c r="F199" s="50"/>
      <c r="G199" s="50" t="s">
        <v>64</v>
      </c>
      <c r="H199" s="50" t="s">
        <v>1318</v>
      </c>
      <c r="I199" s="55">
        <v>1514.0845070422536</v>
      </c>
      <c r="J199" s="50" t="s">
        <v>68</v>
      </c>
      <c r="K199" s="45">
        <v>45855</v>
      </c>
      <c r="L199" s="98" t="s">
        <v>14</v>
      </c>
      <c r="M199" s="50" t="s">
        <v>225</v>
      </c>
      <c r="N199" s="50">
        <v>2025</v>
      </c>
    </row>
    <row r="200" spans="1:14">
      <c r="A200" s="50"/>
      <c r="B200" s="50" t="s">
        <v>59</v>
      </c>
      <c r="C200" s="50" t="s">
        <v>60</v>
      </c>
      <c r="D200" s="50" t="s">
        <v>61</v>
      </c>
      <c r="E200" s="50" t="s">
        <v>287</v>
      </c>
      <c r="F200" s="50"/>
      <c r="G200" s="50" t="s">
        <v>64</v>
      </c>
      <c r="H200" s="50" t="s">
        <v>88</v>
      </c>
      <c r="I200" s="55">
        <v>117.25352112676056</v>
      </c>
      <c r="J200" s="50" t="s">
        <v>68</v>
      </c>
      <c r="K200" s="45">
        <v>45876</v>
      </c>
      <c r="L200" s="98" t="s">
        <v>14</v>
      </c>
      <c r="M200" s="50" t="s">
        <v>225</v>
      </c>
      <c r="N200" s="50">
        <v>2025</v>
      </c>
    </row>
    <row r="201" spans="1:14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</row>
  </sheetData>
  <autoFilter ref="A1:N200" xr:uid="{00000000-0009-0000-0000-000004000000}">
    <sortState xmlns:xlrd2="http://schemas.microsoft.com/office/spreadsheetml/2017/richdata2" ref="A2:N200">
      <sortCondition ref="M1:M106"/>
    </sortState>
  </autoFilter>
  <conditionalFormatting sqref="L2:L116">
    <cfRule type="duplicateValues" dxfId="7" priority="258"/>
  </conditionalFormatting>
  <conditionalFormatting sqref="L117:L125">
    <cfRule type="duplicateValues" dxfId="6" priority="2"/>
  </conditionalFormatting>
  <dataValidations count="2">
    <dataValidation type="list" allowBlank="1" showInputMessage="1" showErrorMessage="1" sqref="C33:C70 C72:C125 C2:C30" xr:uid="{00000000-0002-0000-0400-000001000000}">
      <formula1>Level_2</formula1>
    </dataValidation>
    <dataValidation type="list" allowBlank="1" showInputMessage="1" showErrorMessage="1" sqref="C126:C463" xr:uid="{00000000-0002-0000-0400-000002000000}">
      <formula1>INDIRECT(B126)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List!$P$2:$P$11</xm:f>
          </x14:formula1>
          <xm:sqref>B126:B463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D201:D463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E126:E463</xm:sqref>
        </x14:dataValidation>
        <x14:dataValidation type="list" allowBlank="1" showInputMessage="1" showErrorMessage="1" xr:uid="{00000000-0002-0000-0400-000005000000}">
          <x14:formula1>
            <xm:f>List!$H$2:$H$13</xm:f>
          </x14:formula1>
          <xm:sqref>M126:M463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N126:N463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N16"/>
  <sheetViews>
    <sheetView workbookViewId="0">
      <selection activeCell="I2" sqref="I2:I16"/>
    </sheetView>
  </sheetViews>
  <sheetFormatPr defaultColWidth="9" defaultRowHeight="14.4"/>
  <cols>
    <col min="1" max="1" width="5.5546875" bestFit="1" customWidth="1"/>
    <col min="2" max="2" width="9.33203125" bestFit="1" customWidth="1"/>
    <col min="3" max="3" width="9.6640625" customWidth="1"/>
    <col min="4" max="4" width="9.21875" bestFit="1" customWidth="1"/>
    <col min="5" max="5" width="14.21875" bestFit="1" customWidth="1"/>
    <col min="6" max="6" width="10.5546875" bestFit="1" customWidth="1"/>
    <col min="7" max="7" width="7.21875" bestFit="1" customWidth="1"/>
    <col min="8" max="8" width="18.33203125" bestFit="1" customWidth="1"/>
    <col min="9" max="9" width="18.6640625" bestFit="1" customWidth="1"/>
    <col min="10" max="10" width="10.5546875" bestFit="1" customWidth="1"/>
    <col min="11" max="11" width="11.44140625" bestFit="1" customWidth="1"/>
    <col min="12" max="12" width="10.77734375" bestFit="1" customWidth="1"/>
    <col min="13" max="13" width="6.77734375" bestFit="1" customWidth="1"/>
    <col min="14" max="14" width="5" bestFit="1" customWidth="1"/>
  </cols>
  <sheetData>
    <row r="1" spans="1:1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>
      <c r="A2" s="17">
        <v>1</v>
      </c>
      <c r="B2" s="12" t="s">
        <v>55</v>
      </c>
      <c r="C2" s="12" t="s">
        <v>56</v>
      </c>
      <c r="D2" s="17" t="s">
        <v>61</v>
      </c>
      <c r="E2" s="11" t="s">
        <v>83</v>
      </c>
      <c r="F2" s="17"/>
      <c r="G2" s="17" t="s">
        <v>21</v>
      </c>
      <c r="H2" s="25" t="s">
        <v>307</v>
      </c>
      <c r="I2" s="26">
        <v>24475.5244755245</v>
      </c>
      <c r="J2" s="17" t="s">
        <v>14</v>
      </c>
      <c r="K2" s="18" t="s">
        <v>14</v>
      </c>
      <c r="L2" s="20" t="s">
        <v>14</v>
      </c>
      <c r="M2" s="17" t="s">
        <v>226</v>
      </c>
      <c r="N2" s="17">
        <v>2025</v>
      </c>
    </row>
    <row r="3" spans="1:14">
      <c r="A3" s="17">
        <v>2</v>
      </c>
      <c r="B3" s="11" t="s">
        <v>43</v>
      </c>
      <c r="C3" s="11" t="s">
        <v>48</v>
      </c>
      <c r="D3" s="17" t="s">
        <v>19</v>
      </c>
      <c r="E3" s="11" t="s">
        <v>83</v>
      </c>
      <c r="F3" s="11"/>
      <c r="G3" s="17" t="s">
        <v>21</v>
      </c>
      <c r="H3" s="25" t="s">
        <v>308</v>
      </c>
      <c r="I3" s="14">
        <v>8862.6760563380285</v>
      </c>
      <c r="J3" s="17" t="s">
        <v>14</v>
      </c>
      <c r="K3" s="18" t="s">
        <v>14</v>
      </c>
      <c r="L3" s="20" t="s">
        <v>14</v>
      </c>
      <c r="M3" s="17" t="s">
        <v>225</v>
      </c>
      <c r="N3" s="17">
        <v>2025</v>
      </c>
    </row>
    <row r="4" spans="1:14">
      <c r="A4" s="17">
        <v>3</v>
      </c>
      <c r="B4" s="11" t="s">
        <v>43</v>
      </c>
      <c r="C4" s="11" t="s">
        <v>51</v>
      </c>
      <c r="D4" s="17" t="s">
        <v>19</v>
      </c>
      <c r="E4" s="11" t="s">
        <v>83</v>
      </c>
      <c r="F4" s="11"/>
      <c r="G4" s="17" t="s">
        <v>21</v>
      </c>
      <c r="H4" s="25" t="s">
        <v>308</v>
      </c>
      <c r="I4" s="14">
        <v>10563.380281690141</v>
      </c>
      <c r="J4" s="17" t="s">
        <v>14</v>
      </c>
      <c r="K4" s="18" t="s">
        <v>14</v>
      </c>
      <c r="L4" s="20" t="s">
        <v>14</v>
      </c>
      <c r="M4" s="17" t="s">
        <v>225</v>
      </c>
      <c r="N4" s="17">
        <v>2025</v>
      </c>
    </row>
    <row r="5" spans="1:14">
      <c r="A5" s="17">
        <v>4</v>
      </c>
      <c r="B5" s="11" t="s">
        <v>53</v>
      </c>
      <c r="C5" s="11" t="s">
        <v>62</v>
      </c>
      <c r="D5" s="17" t="s">
        <v>19</v>
      </c>
      <c r="E5" s="11" t="s">
        <v>83</v>
      </c>
      <c r="F5" s="11"/>
      <c r="G5" s="17" t="s">
        <v>21</v>
      </c>
      <c r="H5" s="25" t="s">
        <v>308</v>
      </c>
      <c r="I5" s="14">
        <v>7042.2535211267605</v>
      </c>
      <c r="J5" s="17" t="s">
        <v>14</v>
      </c>
      <c r="K5" s="18" t="s">
        <v>14</v>
      </c>
      <c r="L5" s="20" t="s">
        <v>14</v>
      </c>
      <c r="M5" s="17" t="s">
        <v>225</v>
      </c>
      <c r="N5" s="17">
        <v>2025</v>
      </c>
    </row>
    <row r="6" spans="1:14">
      <c r="A6" s="17">
        <v>5</v>
      </c>
      <c r="B6" s="11" t="s">
        <v>17</v>
      </c>
      <c r="C6" s="11" t="s">
        <v>25</v>
      </c>
      <c r="D6" s="17" t="s">
        <v>19</v>
      </c>
      <c r="E6" s="11" t="s">
        <v>83</v>
      </c>
      <c r="F6" s="11"/>
      <c r="G6" s="17" t="s">
        <v>21</v>
      </c>
      <c r="H6" s="25" t="s">
        <v>308</v>
      </c>
      <c r="I6" s="14">
        <v>4792.2535211267605</v>
      </c>
      <c r="J6" s="17" t="s">
        <v>14</v>
      </c>
      <c r="K6" s="18" t="s">
        <v>14</v>
      </c>
      <c r="L6" s="20" t="s">
        <v>14</v>
      </c>
      <c r="M6" s="17" t="s">
        <v>225</v>
      </c>
      <c r="N6" s="17">
        <v>2025</v>
      </c>
    </row>
    <row r="7" spans="1:14">
      <c r="A7" s="17">
        <v>6</v>
      </c>
      <c r="B7" s="11" t="s">
        <v>17</v>
      </c>
      <c r="C7" s="11" t="s">
        <v>22</v>
      </c>
      <c r="D7" s="17" t="s">
        <v>19</v>
      </c>
      <c r="E7" s="11" t="s">
        <v>83</v>
      </c>
      <c r="F7" s="11"/>
      <c r="G7" s="17" t="s">
        <v>21</v>
      </c>
      <c r="H7" s="25" t="s">
        <v>308</v>
      </c>
      <c r="I7" s="14">
        <v>7042.2535211267605</v>
      </c>
      <c r="J7" s="17" t="s">
        <v>14</v>
      </c>
      <c r="K7" s="18" t="s">
        <v>14</v>
      </c>
      <c r="L7" s="20" t="s">
        <v>14</v>
      </c>
      <c r="M7" s="17" t="s">
        <v>225</v>
      </c>
      <c r="N7" s="17">
        <v>2025</v>
      </c>
    </row>
    <row r="8" spans="1:14">
      <c r="A8" s="17">
        <v>6</v>
      </c>
      <c r="B8" s="11" t="s">
        <v>17</v>
      </c>
      <c r="C8" s="11" t="s">
        <v>22</v>
      </c>
      <c r="D8" s="17" t="s">
        <v>19</v>
      </c>
      <c r="E8" s="11" t="s">
        <v>83</v>
      </c>
      <c r="F8" s="11"/>
      <c r="G8" s="17" t="s">
        <v>21</v>
      </c>
      <c r="H8" s="25" t="s">
        <v>308</v>
      </c>
      <c r="I8" s="14">
        <v>3521.1267605633802</v>
      </c>
      <c r="J8" s="17" t="s">
        <v>14</v>
      </c>
      <c r="K8" s="18" t="s">
        <v>14</v>
      </c>
      <c r="L8" s="20" t="s">
        <v>14</v>
      </c>
      <c r="M8" s="17" t="s">
        <v>225</v>
      </c>
      <c r="N8" s="17">
        <v>2025</v>
      </c>
    </row>
    <row r="9" spans="1:14">
      <c r="A9" s="17">
        <v>6</v>
      </c>
      <c r="B9" s="11" t="s">
        <v>17</v>
      </c>
      <c r="C9" s="11" t="s">
        <v>25</v>
      </c>
      <c r="D9" s="17" t="s">
        <v>19</v>
      </c>
      <c r="E9" s="11" t="s">
        <v>83</v>
      </c>
      <c r="F9" s="11"/>
      <c r="G9" s="17" t="s">
        <v>21</v>
      </c>
      <c r="H9" s="25" t="s">
        <v>308</v>
      </c>
      <c r="I9" s="14">
        <v>2306.3380281690143</v>
      </c>
      <c r="J9" s="17" t="s">
        <v>14</v>
      </c>
      <c r="K9" s="18" t="s">
        <v>14</v>
      </c>
      <c r="L9" s="20" t="s">
        <v>14</v>
      </c>
      <c r="M9" s="17" t="s">
        <v>225</v>
      </c>
      <c r="N9" s="17">
        <v>2025</v>
      </c>
    </row>
    <row r="10" spans="1:14">
      <c r="A10" s="17">
        <v>2</v>
      </c>
      <c r="B10" s="11" t="s">
        <v>43</v>
      </c>
      <c r="C10" s="11" t="s">
        <v>48</v>
      </c>
      <c r="D10" s="17" t="s">
        <v>19</v>
      </c>
      <c r="E10" s="11" t="s">
        <v>83</v>
      </c>
      <c r="F10" s="11"/>
      <c r="G10" s="17" t="s">
        <v>21</v>
      </c>
      <c r="H10" s="25" t="s">
        <v>309</v>
      </c>
      <c r="I10" s="14">
        <v>24647.887323943662</v>
      </c>
      <c r="J10" s="17" t="s">
        <v>14</v>
      </c>
      <c r="K10" s="18" t="s">
        <v>14</v>
      </c>
      <c r="L10" s="20" t="s">
        <v>14</v>
      </c>
      <c r="M10" s="17" t="s">
        <v>226</v>
      </c>
      <c r="N10" s="17">
        <v>2025</v>
      </c>
    </row>
    <row r="11" spans="1:14">
      <c r="A11" s="17">
        <v>3</v>
      </c>
      <c r="B11" s="11" t="s">
        <v>43</v>
      </c>
      <c r="C11" s="11" t="s">
        <v>51</v>
      </c>
      <c r="D11" s="17" t="s">
        <v>19</v>
      </c>
      <c r="E11" s="11" t="s">
        <v>83</v>
      </c>
      <c r="F11" s="11"/>
      <c r="G11" s="17" t="s">
        <v>21</v>
      </c>
      <c r="H11" s="25" t="s">
        <v>309</v>
      </c>
      <c r="I11" s="14">
        <v>3521.1267605633802</v>
      </c>
      <c r="J11" s="17" t="s">
        <v>14</v>
      </c>
      <c r="K11" s="18" t="s">
        <v>14</v>
      </c>
      <c r="L11" s="20" t="s">
        <v>14</v>
      </c>
      <c r="M11" s="17" t="s">
        <v>226</v>
      </c>
      <c r="N11" s="17">
        <v>2025</v>
      </c>
    </row>
    <row r="12" spans="1:14">
      <c r="A12" s="17">
        <v>4</v>
      </c>
      <c r="B12" s="11" t="s">
        <v>53</v>
      </c>
      <c r="C12" s="11" t="s">
        <v>62</v>
      </c>
      <c r="D12" s="17" t="s">
        <v>19</v>
      </c>
      <c r="E12" s="11" t="s">
        <v>83</v>
      </c>
      <c r="F12" s="11"/>
      <c r="G12" s="17" t="s">
        <v>21</v>
      </c>
      <c r="H12" s="25" t="s">
        <v>309</v>
      </c>
      <c r="I12" s="14">
        <v>10563.380281690141</v>
      </c>
      <c r="J12" s="17" t="s">
        <v>14</v>
      </c>
      <c r="K12" s="18" t="s">
        <v>14</v>
      </c>
      <c r="L12" s="20" t="s">
        <v>14</v>
      </c>
      <c r="M12" s="17" t="s">
        <v>226</v>
      </c>
      <c r="N12" s="17">
        <v>2025</v>
      </c>
    </row>
    <row r="13" spans="1:14">
      <c r="A13" s="17">
        <v>5</v>
      </c>
      <c r="B13" s="11" t="s">
        <v>17</v>
      </c>
      <c r="C13" s="11" t="s">
        <v>25</v>
      </c>
      <c r="D13" s="17" t="s">
        <v>19</v>
      </c>
      <c r="E13" s="11" t="s">
        <v>83</v>
      </c>
      <c r="F13" s="11"/>
      <c r="G13" s="17" t="s">
        <v>21</v>
      </c>
      <c r="H13" s="25" t="s">
        <v>309</v>
      </c>
      <c r="I13" s="14">
        <v>3521.1267605633802</v>
      </c>
      <c r="J13" s="17" t="s">
        <v>14</v>
      </c>
      <c r="K13" s="18" t="s">
        <v>14</v>
      </c>
      <c r="L13" s="20" t="s">
        <v>14</v>
      </c>
      <c r="M13" s="17" t="s">
        <v>226</v>
      </c>
      <c r="N13" s="17">
        <v>2025</v>
      </c>
    </row>
    <row r="14" spans="1:14">
      <c r="A14" s="17">
        <v>6</v>
      </c>
      <c r="B14" s="11" t="s">
        <v>17</v>
      </c>
      <c r="C14" s="11" t="s">
        <v>25</v>
      </c>
      <c r="D14" s="17" t="s">
        <v>19</v>
      </c>
      <c r="E14" s="11" t="s">
        <v>83</v>
      </c>
      <c r="F14" s="11"/>
      <c r="G14" s="17" t="s">
        <v>21</v>
      </c>
      <c r="H14" s="25" t="s">
        <v>309</v>
      </c>
      <c r="I14" s="14">
        <v>4119.7183098591549</v>
      </c>
      <c r="J14" s="17" t="s">
        <v>14</v>
      </c>
      <c r="K14" s="18" t="s">
        <v>14</v>
      </c>
      <c r="L14" s="20" t="s">
        <v>14</v>
      </c>
      <c r="M14" s="17" t="s">
        <v>226</v>
      </c>
      <c r="N14" s="17">
        <v>2025</v>
      </c>
    </row>
    <row r="15" spans="1:14">
      <c r="A15" s="11"/>
      <c r="B15" s="11" t="s">
        <v>17</v>
      </c>
      <c r="C15" s="11" t="s">
        <v>22</v>
      </c>
      <c r="D15" s="17" t="s">
        <v>19</v>
      </c>
      <c r="E15" s="11" t="s">
        <v>83</v>
      </c>
      <c r="F15" s="11"/>
      <c r="G15" s="17" t="s">
        <v>21</v>
      </c>
      <c r="H15" s="25" t="s">
        <v>309</v>
      </c>
      <c r="I15" s="37">
        <v>7042.2535211267605</v>
      </c>
      <c r="J15" s="17" t="s">
        <v>14</v>
      </c>
      <c r="K15" s="18" t="s">
        <v>14</v>
      </c>
      <c r="L15" s="20" t="s">
        <v>14</v>
      </c>
      <c r="M15" s="17" t="s">
        <v>226</v>
      </c>
      <c r="N15" s="17">
        <v>2025</v>
      </c>
    </row>
    <row r="16" spans="1:14">
      <c r="A16" s="11"/>
      <c r="B16" s="11" t="s">
        <v>17</v>
      </c>
      <c r="C16" s="11" t="s">
        <v>22</v>
      </c>
      <c r="D16" s="17" t="s">
        <v>19</v>
      </c>
      <c r="E16" s="11" t="s">
        <v>83</v>
      </c>
      <c r="F16" s="11"/>
      <c r="G16" s="17" t="s">
        <v>21</v>
      </c>
      <c r="H16" s="25" t="s">
        <v>309</v>
      </c>
      <c r="I16" s="37">
        <v>4775</v>
      </c>
      <c r="J16" s="17" t="s">
        <v>14</v>
      </c>
      <c r="K16" s="18" t="s">
        <v>14</v>
      </c>
      <c r="L16" s="20" t="s">
        <v>14</v>
      </c>
      <c r="M16" s="17" t="s">
        <v>226</v>
      </c>
      <c r="N16" s="17">
        <v>2025</v>
      </c>
    </row>
  </sheetData>
  <conditionalFormatting sqref="L2:L16">
    <cfRule type="duplicateValues" dxfId="5" priority="257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N7"/>
  <sheetViews>
    <sheetView workbookViewId="0">
      <selection activeCell="C2" sqref="C2"/>
    </sheetView>
  </sheetViews>
  <sheetFormatPr defaultColWidth="9" defaultRowHeight="14.4"/>
  <cols>
    <col min="1" max="1" width="5.33203125" customWidth="1"/>
    <col min="2" max="2" width="8.88671875" customWidth="1"/>
    <col min="3" max="3" width="9.44140625" customWidth="1"/>
    <col min="4" max="4" width="9" customWidth="1"/>
    <col min="5" max="5" width="21.44140625" customWidth="1"/>
    <col min="6" max="6" width="10.21875" customWidth="1"/>
    <col min="7" max="7" width="9.44140625" customWidth="1"/>
    <col min="8" max="8" width="21.44140625" customWidth="1"/>
    <col min="9" max="9" width="18.109375" customWidth="1"/>
    <col min="10" max="10" width="10.109375" customWidth="1"/>
    <col min="11" max="11" width="11.21875" customWidth="1"/>
    <col min="12" max="12" width="10.5546875" customWidth="1"/>
    <col min="13" max="13" width="6.5546875" customWidth="1"/>
    <col min="14" max="14" width="4.77734375" customWidth="1"/>
  </cols>
  <sheetData>
    <row r="1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spans="1:14">
      <c r="A2" s="17">
        <v>1</v>
      </c>
      <c r="B2" s="43" t="s">
        <v>33</v>
      </c>
      <c r="C2" s="18" t="s">
        <v>34</v>
      </c>
      <c r="D2" s="17" t="s">
        <v>61</v>
      </c>
      <c r="E2" s="17" t="s">
        <v>63</v>
      </c>
      <c r="F2" s="17"/>
      <c r="G2" s="17" t="s">
        <v>21</v>
      </c>
      <c r="H2" s="17" t="s">
        <v>63</v>
      </c>
      <c r="I2" s="24">
        <v>0</v>
      </c>
      <c r="J2" s="18" t="s">
        <v>14</v>
      </c>
      <c r="K2" s="18" t="s">
        <v>14</v>
      </c>
      <c r="L2" s="20" t="s">
        <v>14</v>
      </c>
      <c r="M2" s="59" t="s">
        <v>225</v>
      </c>
      <c r="N2" s="17">
        <v>2025</v>
      </c>
    </row>
    <row r="3" spans="1:14">
      <c r="A3" s="17">
        <v>2</v>
      </c>
      <c r="B3" s="43" t="s">
        <v>33</v>
      </c>
      <c r="C3" s="18" t="s">
        <v>34</v>
      </c>
      <c r="D3" s="17" t="s">
        <v>61</v>
      </c>
      <c r="E3" s="17" t="s">
        <v>63</v>
      </c>
      <c r="F3" s="17"/>
      <c r="G3" s="17" t="s">
        <v>21</v>
      </c>
      <c r="H3" s="17" t="s">
        <v>63</v>
      </c>
      <c r="I3" s="24">
        <v>0</v>
      </c>
      <c r="J3" s="18" t="s">
        <v>14</v>
      </c>
      <c r="K3" s="18" t="s">
        <v>14</v>
      </c>
      <c r="L3" s="20" t="s">
        <v>14</v>
      </c>
      <c r="M3" s="59" t="s">
        <v>225</v>
      </c>
      <c r="N3" s="17">
        <v>2025</v>
      </c>
    </row>
    <row r="4" spans="1:14">
      <c r="A4" s="17">
        <v>3</v>
      </c>
      <c r="B4" s="43" t="s">
        <v>33</v>
      </c>
      <c r="C4" s="18" t="s">
        <v>34</v>
      </c>
      <c r="D4" s="17" t="s">
        <v>61</v>
      </c>
      <c r="E4" s="17" t="s">
        <v>63</v>
      </c>
      <c r="F4" s="17"/>
      <c r="G4" s="17" t="s">
        <v>21</v>
      </c>
      <c r="H4" s="17" t="s">
        <v>63</v>
      </c>
      <c r="I4" s="24">
        <v>0</v>
      </c>
      <c r="J4" s="18" t="s">
        <v>14</v>
      </c>
      <c r="K4" s="18" t="s">
        <v>14</v>
      </c>
      <c r="L4" s="20" t="s">
        <v>14</v>
      </c>
      <c r="M4" s="59" t="s">
        <v>225</v>
      </c>
      <c r="N4" s="17">
        <v>2025</v>
      </c>
    </row>
    <row r="5" spans="1:14">
      <c r="A5" s="17">
        <v>4</v>
      </c>
      <c r="B5" s="44" t="s">
        <v>53</v>
      </c>
      <c r="C5" s="44" t="s">
        <v>62</v>
      </c>
      <c r="D5" s="17" t="s">
        <v>61</v>
      </c>
      <c r="E5" s="17" t="s">
        <v>63</v>
      </c>
      <c r="F5" s="11"/>
      <c r="G5" s="17" t="s">
        <v>21</v>
      </c>
      <c r="H5" s="17" t="s">
        <v>63</v>
      </c>
      <c r="I5" s="37">
        <v>0</v>
      </c>
      <c r="J5" s="18" t="s">
        <v>14</v>
      </c>
      <c r="K5" s="18" t="s">
        <v>14</v>
      </c>
      <c r="L5" s="20" t="s">
        <v>14</v>
      </c>
      <c r="M5" s="59" t="s">
        <v>225</v>
      </c>
      <c r="N5" s="17">
        <v>2025</v>
      </c>
    </row>
    <row r="6" spans="1:14">
      <c r="A6" s="17">
        <v>5</v>
      </c>
      <c r="B6" s="43" t="s">
        <v>33</v>
      </c>
      <c r="C6" s="18" t="s">
        <v>34</v>
      </c>
      <c r="D6" s="17" t="s">
        <v>61</v>
      </c>
      <c r="E6" s="17" t="s">
        <v>63</v>
      </c>
      <c r="F6" s="11"/>
      <c r="G6" s="17" t="s">
        <v>21</v>
      </c>
      <c r="H6" s="17" t="s">
        <v>63</v>
      </c>
      <c r="I6" s="37">
        <v>0</v>
      </c>
      <c r="J6" s="18" t="s">
        <v>14</v>
      </c>
      <c r="K6" s="18" t="s">
        <v>14</v>
      </c>
      <c r="L6" s="20" t="s">
        <v>14</v>
      </c>
      <c r="M6" s="59" t="s">
        <v>225</v>
      </c>
      <c r="N6" s="17">
        <v>2025</v>
      </c>
    </row>
    <row r="7" spans="1:14">
      <c r="A7" s="17">
        <v>6</v>
      </c>
      <c r="B7" s="44" t="s">
        <v>53</v>
      </c>
      <c r="C7" s="44" t="s">
        <v>62</v>
      </c>
      <c r="D7" s="17" t="s">
        <v>61</v>
      </c>
      <c r="E7" s="17" t="s">
        <v>63</v>
      </c>
      <c r="F7" s="11"/>
      <c r="G7" s="17" t="s">
        <v>21</v>
      </c>
      <c r="H7" s="17" t="s">
        <v>63</v>
      </c>
      <c r="I7" s="37">
        <v>0</v>
      </c>
      <c r="J7" s="18" t="s">
        <v>14</v>
      </c>
      <c r="K7" s="18" t="s">
        <v>14</v>
      </c>
      <c r="L7" s="20" t="s">
        <v>14</v>
      </c>
      <c r="M7" s="59" t="s">
        <v>225</v>
      </c>
      <c r="N7" s="17">
        <v>2025</v>
      </c>
    </row>
  </sheetData>
  <conditionalFormatting sqref="L2:L7">
    <cfRule type="duplicateValues" dxfId="4" priority="1"/>
  </conditionalFormatting>
  <dataValidations count="1">
    <dataValidation type="list" allowBlank="1" showInputMessage="1" showErrorMessage="1" sqref="C2:C4 C6" xr:uid="{00000000-0002-0000-0600-000000000000}">
      <formula1>Level_2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N15"/>
  <sheetViews>
    <sheetView workbookViewId="0">
      <selection activeCell="B2" sqref="B2:N15"/>
    </sheetView>
  </sheetViews>
  <sheetFormatPr defaultColWidth="9" defaultRowHeight="14.4"/>
  <cols>
    <col min="1" max="1" width="5.5546875" bestFit="1" customWidth="1"/>
    <col min="2" max="2" width="7.21875" bestFit="1" customWidth="1"/>
    <col min="3" max="3" width="9.5546875" bestFit="1" customWidth="1"/>
    <col min="4" max="4" width="9.21875" bestFit="1" customWidth="1"/>
    <col min="5" max="5" width="14.5546875" bestFit="1" customWidth="1"/>
    <col min="6" max="6" width="10.5546875" bestFit="1" customWidth="1"/>
    <col min="7" max="7" width="25.77734375" bestFit="1" customWidth="1"/>
    <col min="8" max="8" width="31.77734375" bestFit="1" customWidth="1"/>
    <col min="9" max="9" width="18.6640625" bestFit="1" customWidth="1"/>
    <col min="10" max="10" width="11" bestFit="1" customWidth="1"/>
    <col min="11" max="11" width="11.44140625" bestFit="1" customWidth="1"/>
    <col min="12" max="12" width="10.77734375" bestFit="1" customWidth="1"/>
    <col min="13" max="13" width="6.77734375" bestFit="1" customWidth="1"/>
    <col min="14" max="14" width="5" bestFit="1" customWidth="1"/>
  </cols>
  <sheetData>
    <row r="1" spans="1:1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>
      <c r="A2" s="17">
        <v>1</v>
      </c>
      <c r="B2" s="17" t="s">
        <v>59</v>
      </c>
      <c r="C2" s="18" t="s">
        <v>60</v>
      </c>
      <c r="D2" s="17" t="s">
        <v>61</v>
      </c>
      <c r="E2" s="17" t="s">
        <v>89</v>
      </c>
      <c r="F2" s="17"/>
      <c r="G2" s="17" t="s">
        <v>21</v>
      </c>
      <c r="H2" s="17" t="s">
        <v>313</v>
      </c>
      <c r="I2" s="19">
        <f>3000000/1430</f>
        <v>2097.9020979020979</v>
      </c>
      <c r="J2" s="18" t="s">
        <v>14</v>
      </c>
      <c r="K2" s="18" t="s">
        <v>14</v>
      </c>
      <c r="L2" s="20" t="s">
        <v>14</v>
      </c>
      <c r="M2" s="17" t="s">
        <v>225</v>
      </c>
      <c r="N2" s="17">
        <v>2025</v>
      </c>
    </row>
    <row r="3" spans="1:14">
      <c r="A3" s="17">
        <v>2</v>
      </c>
      <c r="B3" s="17" t="s">
        <v>59</v>
      </c>
      <c r="C3" s="18" t="s">
        <v>60</v>
      </c>
      <c r="D3" s="17" t="s">
        <v>61</v>
      </c>
      <c r="E3" s="17" t="s">
        <v>89</v>
      </c>
      <c r="F3" s="17"/>
      <c r="G3" s="17" t="s">
        <v>21</v>
      </c>
      <c r="H3" s="17" t="s">
        <v>314</v>
      </c>
      <c r="I3" s="19">
        <f>5000000/1430</f>
        <v>3496.5034965034965</v>
      </c>
      <c r="J3" s="18" t="s">
        <v>14</v>
      </c>
      <c r="K3" s="18" t="s">
        <v>14</v>
      </c>
      <c r="L3" s="20" t="s">
        <v>14</v>
      </c>
      <c r="M3" s="17" t="s">
        <v>225</v>
      </c>
      <c r="N3" s="17">
        <v>2025</v>
      </c>
    </row>
    <row r="4" spans="1:14">
      <c r="A4" s="17">
        <v>3</v>
      </c>
      <c r="B4" s="17" t="s">
        <v>59</v>
      </c>
      <c r="C4" s="18" t="s">
        <v>60</v>
      </c>
      <c r="D4" s="17" t="s">
        <v>61</v>
      </c>
      <c r="E4" s="17" t="s">
        <v>89</v>
      </c>
      <c r="F4" s="17"/>
      <c r="G4" s="17" t="s">
        <v>21</v>
      </c>
      <c r="H4" s="17" t="s">
        <v>315</v>
      </c>
      <c r="I4" s="19">
        <v>1750</v>
      </c>
      <c r="J4" s="18" t="s">
        <v>14</v>
      </c>
      <c r="K4" s="18" t="s">
        <v>14</v>
      </c>
      <c r="L4" s="20" t="s">
        <v>14</v>
      </c>
      <c r="M4" s="17" t="s">
        <v>225</v>
      </c>
      <c r="N4" s="17">
        <v>2025</v>
      </c>
    </row>
    <row r="5" spans="1:14">
      <c r="A5" s="17">
        <v>4</v>
      </c>
      <c r="B5" s="17" t="s">
        <v>59</v>
      </c>
      <c r="C5" s="18" t="s">
        <v>60</v>
      </c>
      <c r="D5" s="17" t="s">
        <v>61</v>
      </c>
      <c r="E5" s="17" t="s">
        <v>89</v>
      </c>
      <c r="F5" s="17"/>
      <c r="G5" s="17" t="s">
        <v>21</v>
      </c>
      <c r="H5" s="11" t="s">
        <v>316</v>
      </c>
      <c r="I5" s="21">
        <f>1250000/1430</f>
        <v>874.12587412587413</v>
      </c>
      <c r="J5" s="18" t="s">
        <v>14</v>
      </c>
      <c r="K5" s="18" t="s">
        <v>14</v>
      </c>
      <c r="L5" s="20" t="s">
        <v>14</v>
      </c>
      <c r="M5" s="17" t="s">
        <v>225</v>
      </c>
      <c r="N5" s="17">
        <v>2025</v>
      </c>
    </row>
    <row r="6" spans="1:14">
      <c r="A6" s="17">
        <v>5</v>
      </c>
      <c r="B6" s="17" t="s">
        <v>59</v>
      </c>
      <c r="C6" s="18" t="s">
        <v>60</v>
      </c>
      <c r="D6" s="17" t="s">
        <v>61</v>
      </c>
      <c r="E6" s="17" t="s">
        <v>89</v>
      </c>
      <c r="F6" s="17"/>
      <c r="G6" s="17" t="s">
        <v>21</v>
      </c>
      <c r="H6" s="11" t="s">
        <v>317</v>
      </c>
      <c r="I6" s="21">
        <v>4500</v>
      </c>
      <c r="J6" s="18" t="s">
        <v>14</v>
      </c>
      <c r="K6" s="18" t="s">
        <v>14</v>
      </c>
      <c r="L6" s="20" t="s">
        <v>14</v>
      </c>
      <c r="M6" s="17" t="s">
        <v>225</v>
      </c>
      <c r="N6" s="17">
        <v>2025</v>
      </c>
    </row>
    <row r="7" spans="1:14">
      <c r="A7" s="17">
        <v>6</v>
      </c>
      <c r="B7" s="17" t="s">
        <v>59</v>
      </c>
      <c r="C7" s="18" t="s">
        <v>60</v>
      </c>
      <c r="D7" s="17" t="s">
        <v>61</v>
      </c>
      <c r="E7" s="17" t="s">
        <v>89</v>
      </c>
      <c r="F7" s="17"/>
      <c r="G7" s="17" t="s">
        <v>21</v>
      </c>
      <c r="H7" s="11" t="s">
        <v>318</v>
      </c>
      <c r="I7" s="21">
        <v>6000</v>
      </c>
      <c r="J7" s="18" t="s">
        <v>14</v>
      </c>
      <c r="K7" s="18" t="s">
        <v>14</v>
      </c>
      <c r="L7" s="20" t="s">
        <v>14</v>
      </c>
      <c r="M7" s="17" t="s">
        <v>225</v>
      </c>
      <c r="N7" s="17">
        <v>2025</v>
      </c>
    </row>
    <row r="8" spans="1:14">
      <c r="A8" s="17">
        <v>7</v>
      </c>
      <c r="B8" s="17" t="s">
        <v>59</v>
      </c>
      <c r="C8" s="18" t="s">
        <v>60</v>
      </c>
      <c r="D8" s="17" t="s">
        <v>61</v>
      </c>
      <c r="E8" s="17" t="s">
        <v>89</v>
      </c>
      <c r="F8" s="17"/>
      <c r="G8" s="11" t="s">
        <v>90</v>
      </c>
      <c r="H8" s="11" t="s">
        <v>319</v>
      </c>
      <c r="I8" s="22">
        <v>3380</v>
      </c>
      <c r="J8" s="62" t="s">
        <v>327</v>
      </c>
      <c r="K8" s="18">
        <v>45869</v>
      </c>
      <c r="L8" s="20" t="s">
        <v>14</v>
      </c>
      <c r="M8" s="17" t="s">
        <v>225</v>
      </c>
      <c r="N8" s="17">
        <v>2025</v>
      </c>
    </row>
    <row r="9" spans="1:14">
      <c r="A9" s="17">
        <v>8</v>
      </c>
      <c r="B9" s="17" t="s">
        <v>59</v>
      </c>
      <c r="C9" s="18" t="s">
        <v>60</v>
      </c>
      <c r="D9" s="17" t="s">
        <v>61</v>
      </c>
      <c r="E9" s="17" t="s">
        <v>89</v>
      </c>
      <c r="F9" s="17"/>
      <c r="G9" s="17" t="s">
        <v>21</v>
      </c>
      <c r="H9" s="17" t="s">
        <v>320</v>
      </c>
      <c r="I9" s="19">
        <f>3000000/1430</f>
        <v>2097.9020979020979</v>
      </c>
      <c r="J9" s="18" t="s">
        <v>14</v>
      </c>
      <c r="K9" s="18" t="s">
        <v>14</v>
      </c>
      <c r="L9" s="20" t="s">
        <v>14</v>
      </c>
      <c r="M9" s="17" t="s">
        <v>226</v>
      </c>
      <c r="N9" s="17">
        <v>2025</v>
      </c>
    </row>
    <row r="10" spans="1:14">
      <c r="A10" s="17">
        <v>9</v>
      </c>
      <c r="B10" s="17" t="s">
        <v>59</v>
      </c>
      <c r="C10" s="18" t="s">
        <v>60</v>
      </c>
      <c r="D10" s="17" t="s">
        <v>61</v>
      </c>
      <c r="E10" s="17" t="s">
        <v>89</v>
      </c>
      <c r="F10" s="17"/>
      <c r="G10" s="17" t="s">
        <v>21</v>
      </c>
      <c r="H10" s="17" t="s">
        <v>321</v>
      </c>
      <c r="I10" s="19">
        <f>5000000/1430</f>
        <v>3496.5034965034965</v>
      </c>
      <c r="J10" s="18" t="s">
        <v>14</v>
      </c>
      <c r="K10" s="18" t="s">
        <v>14</v>
      </c>
      <c r="L10" s="20" t="s">
        <v>14</v>
      </c>
      <c r="M10" s="17" t="s">
        <v>226</v>
      </c>
      <c r="N10" s="17">
        <v>2025</v>
      </c>
    </row>
    <row r="11" spans="1:14">
      <c r="A11" s="17">
        <v>10</v>
      </c>
      <c r="B11" s="17" t="s">
        <v>59</v>
      </c>
      <c r="C11" s="18" t="s">
        <v>60</v>
      </c>
      <c r="D11" s="17" t="s">
        <v>61</v>
      </c>
      <c r="E11" s="17" t="s">
        <v>89</v>
      </c>
      <c r="F11" s="17"/>
      <c r="G11" s="17" t="s">
        <v>21</v>
      </c>
      <c r="H11" s="17" t="s">
        <v>322</v>
      </c>
      <c r="I11" s="19">
        <v>1750</v>
      </c>
      <c r="J11" s="18" t="s">
        <v>14</v>
      </c>
      <c r="K11" s="18" t="s">
        <v>14</v>
      </c>
      <c r="L11" s="20" t="s">
        <v>14</v>
      </c>
      <c r="M11" s="17" t="s">
        <v>226</v>
      </c>
      <c r="N11" s="17">
        <v>2025</v>
      </c>
    </row>
    <row r="12" spans="1:14">
      <c r="A12" s="17">
        <v>11</v>
      </c>
      <c r="B12" s="17" t="s">
        <v>59</v>
      </c>
      <c r="C12" s="18" t="s">
        <v>60</v>
      </c>
      <c r="D12" s="17" t="s">
        <v>61</v>
      </c>
      <c r="E12" s="17" t="s">
        <v>89</v>
      </c>
      <c r="F12" s="17"/>
      <c r="G12" s="17" t="s">
        <v>21</v>
      </c>
      <c r="H12" s="11" t="s">
        <v>323</v>
      </c>
      <c r="I12" s="21">
        <f>1250000/1430</f>
        <v>874.12587412587413</v>
      </c>
      <c r="J12" s="18" t="s">
        <v>14</v>
      </c>
      <c r="K12" s="18" t="s">
        <v>14</v>
      </c>
      <c r="L12" s="20" t="s">
        <v>14</v>
      </c>
      <c r="M12" s="17" t="s">
        <v>226</v>
      </c>
      <c r="N12" s="17">
        <v>2025</v>
      </c>
    </row>
    <row r="13" spans="1:14">
      <c r="A13" s="17">
        <v>12</v>
      </c>
      <c r="B13" s="17" t="s">
        <v>59</v>
      </c>
      <c r="C13" s="18" t="s">
        <v>60</v>
      </c>
      <c r="D13" s="17" t="s">
        <v>61</v>
      </c>
      <c r="E13" s="17" t="s">
        <v>89</v>
      </c>
      <c r="F13" s="17"/>
      <c r="G13" s="17" t="s">
        <v>21</v>
      </c>
      <c r="H13" s="11" t="s">
        <v>324</v>
      </c>
      <c r="I13" s="21">
        <v>4500</v>
      </c>
      <c r="J13" s="18" t="s">
        <v>14</v>
      </c>
      <c r="K13" s="18" t="s">
        <v>14</v>
      </c>
      <c r="L13" s="20" t="s">
        <v>14</v>
      </c>
      <c r="M13" s="17" t="s">
        <v>226</v>
      </c>
      <c r="N13" s="17">
        <v>2025</v>
      </c>
    </row>
    <row r="14" spans="1:14">
      <c r="A14" s="17">
        <v>13</v>
      </c>
      <c r="B14" s="17" t="s">
        <v>59</v>
      </c>
      <c r="C14" s="18" t="s">
        <v>60</v>
      </c>
      <c r="D14" s="17" t="s">
        <v>61</v>
      </c>
      <c r="E14" s="17" t="s">
        <v>89</v>
      </c>
      <c r="F14" s="17"/>
      <c r="G14" s="17" t="s">
        <v>21</v>
      </c>
      <c r="H14" s="11" t="s">
        <v>325</v>
      </c>
      <c r="I14" s="21">
        <v>6000</v>
      </c>
      <c r="J14" s="18" t="s">
        <v>14</v>
      </c>
      <c r="K14" s="18" t="s">
        <v>14</v>
      </c>
      <c r="L14" s="20" t="s">
        <v>14</v>
      </c>
      <c r="M14" s="17" t="s">
        <v>226</v>
      </c>
      <c r="N14" s="17">
        <v>2025</v>
      </c>
    </row>
    <row r="15" spans="1:14">
      <c r="A15" s="17">
        <v>14</v>
      </c>
      <c r="B15" s="17" t="s">
        <v>59</v>
      </c>
      <c r="C15" s="18" t="s">
        <v>60</v>
      </c>
      <c r="D15" s="17" t="s">
        <v>61</v>
      </c>
      <c r="E15" s="17" t="s">
        <v>89</v>
      </c>
      <c r="F15" s="17"/>
      <c r="G15" s="11" t="s">
        <v>90</v>
      </c>
      <c r="H15" s="11" t="s">
        <v>326</v>
      </c>
      <c r="I15" s="22">
        <v>1400</v>
      </c>
      <c r="J15" s="17">
        <v>2025003008</v>
      </c>
      <c r="K15" s="18">
        <v>45900</v>
      </c>
      <c r="L15" s="20" t="s">
        <v>14</v>
      </c>
      <c r="M15" s="17" t="s">
        <v>226</v>
      </c>
      <c r="N15" s="17">
        <v>2025</v>
      </c>
    </row>
  </sheetData>
  <conditionalFormatting sqref="L2:L15">
    <cfRule type="duplicateValues" dxfId="3" priority="1"/>
  </conditionalFormatting>
  <dataValidations count="1">
    <dataValidation type="list" allowBlank="1" showInputMessage="1" showErrorMessage="1" sqref="C2:C15" xr:uid="{00000000-0002-0000-07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N608"/>
  <sheetViews>
    <sheetView topLeftCell="C201" workbookViewId="0">
      <selection activeCell="E228" sqref="E228"/>
    </sheetView>
  </sheetViews>
  <sheetFormatPr defaultColWidth="9" defaultRowHeight="14.4"/>
  <cols>
    <col min="1" max="1" width="7.6640625" customWidth="1"/>
    <col min="2" max="2" width="9.33203125" customWidth="1"/>
    <col min="3" max="3" width="10.6640625" customWidth="1"/>
    <col min="4" max="4" width="11.21875" customWidth="1"/>
    <col min="5" max="5" width="29" customWidth="1"/>
    <col min="6" max="6" width="12.33203125" customWidth="1"/>
    <col min="7" max="7" width="28.6640625" customWidth="1"/>
    <col min="8" max="8" width="21.109375" customWidth="1"/>
    <col min="9" max="9" width="20.21875" style="8" customWidth="1"/>
    <col min="10" max="10" width="12.33203125" customWidth="1"/>
    <col min="11" max="11" width="13.33203125" customWidth="1"/>
    <col min="12" max="12" width="12.77734375" customWidth="1"/>
    <col min="13" max="13" width="8.77734375" customWidth="1"/>
    <col min="14" max="14" width="6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43</v>
      </c>
      <c r="C2" s="4" t="s">
        <v>52</v>
      </c>
      <c r="D2" s="4" t="s">
        <v>61</v>
      </c>
      <c r="E2" s="4" t="s">
        <v>91</v>
      </c>
      <c r="F2" s="4"/>
      <c r="G2" s="57" t="s">
        <v>96</v>
      </c>
      <c r="H2" s="58" t="s">
        <v>1182</v>
      </c>
      <c r="I2" s="7">
        <v>531.41830985915487</v>
      </c>
      <c r="J2" s="4" t="s">
        <v>1183</v>
      </c>
      <c r="K2" s="15">
        <v>45869</v>
      </c>
      <c r="L2" s="4" t="s">
        <v>14</v>
      </c>
      <c r="M2" s="4" t="s">
        <v>225</v>
      </c>
      <c r="N2" s="4">
        <v>2025</v>
      </c>
    </row>
    <row r="3" spans="1:14">
      <c r="A3" s="4">
        <v>2</v>
      </c>
      <c r="B3" s="4" t="s">
        <v>29</v>
      </c>
      <c r="C3" s="4" t="s">
        <v>237</v>
      </c>
      <c r="D3" s="4" t="s">
        <v>61</v>
      </c>
      <c r="E3" s="4" t="s">
        <v>91</v>
      </c>
      <c r="F3" s="4"/>
      <c r="G3" s="57" t="s">
        <v>96</v>
      </c>
      <c r="H3" s="58" t="s">
        <v>1181</v>
      </c>
      <c r="I3" s="7">
        <v>1575</v>
      </c>
      <c r="J3" s="4" t="s">
        <v>1184</v>
      </c>
      <c r="K3" s="15">
        <v>45868</v>
      </c>
      <c r="L3" s="4" t="s">
        <v>14</v>
      </c>
      <c r="M3" s="4" t="s">
        <v>225</v>
      </c>
      <c r="N3" s="4">
        <v>2025</v>
      </c>
    </row>
    <row r="4" spans="1:14">
      <c r="A4" s="4">
        <v>2</v>
      </c>
      <c r="B4" s="4" t="s">
        <v>43</v>
      </c>
      <c r="C4" s="4" t="s">
        <v>52</v>
      </c>
      <c r="D4" s="4" t="s">
        <v>61</v>
      </c>
      <c r="E4" s="4" t="s">
        <v>91</v>
      </c>
      <c r="F4" s="4"/>
      <c r="G4" s="57" t="s">
        <v>96</v>
      </c>
      <c r="H4" s="91" t="s">
        <v>1182</v>
      </c>
      <c r="I4" s="7">
        <f>2560000/1420</f>
        <v>1802.8169014084508</v>
      </c>
      <c r="J4" s="4" t="s">
        <v>365</v>
      </c>
      <c r="K4" s="15">
        <v>45900</v>
      </c>
      <c r="L4" s="4" t="s">
        <v>14</v>
      </c>
      <c r="M4" s="91" t="s">
        <v>226</v>
      </c>
      <c r="N4" s="4">
        <v>2025</v>
      </c>
    </row>
    <row r="5" spans="1:14">
      <c r="A5" s="4">
        <v>145</v>
      </c>
      <c r="B5" s="4" t="s">
        <v>55</v>
      </c>
      <c r="C5" s="4" t="s">
        <v>56</v>
      </c>
      <c r="D5" s="4" t="s">
        <v>61</v>
      </c>
      <c r="E5" s="4" t="s">
        <v>91</v>
      </c>
      <c r="F5" s="4"/>
      <c r="G5" t="s">
        <v>94</v>
      </c>
      <c r="H5" s="4" t="s">
        <v>1181</v>
      </c>
      <c r="I5" s="7">
        <v>21575.168309859157</v>
      </c>
      <c r="J5" s="4" t="s">
        <v>1194</v>
      </c>
      <c r="K5" s="15">
        <v>45900</v>
      </c>
      <c r="L5" s="4" t="s">
        <v>14</v>
      </c>
      <c r="M5" s="4" t="s">
        <v>226</v>
      </c>
      <c r="N5" s="4">
        <v>2025</v>
      </c>
    </row>
    <row r="6" spans="1:14">
      <c r="A6" s="4">
        <v>146</v>
      </c>
      <c r="B6" s="4" t="s">
        <v>43</v>
      </c>
      <c r="C6" s="4" t="s">
        <v>70</v>
      </c>
      <c r="D6" s="4" t="s">
        <v>61</v>
      </c>
      <c r="E6" s="4" t="s">
        <v>91</v>
      </c>
      <c r="F6" s="4"/>
      <c r="G6" t="s">
        <v>94</v>
      </c>
      <c r="H6" s="4" t="s">
        <v>1181</v>
      </c>
      <c r="I6" s="7">
        <v>2096.7652055748376</v>
      </c>
      <c r="J6" s="4" t="s">
        <v>1195</v>
      </c>
      <c r="K6" s="15">
        <v>45900</v>
      </c>
      <c r="L6" s="4" t="s">
        <v>14</v>
      </c>
      <c r="M6" s="4" t="s">
        <v>226</v>
      </c>
      <c r="N6" s="4">
        <v>2025</v>
      </c>
    </row>
    <row r="7" spans="1:14">
      <c r="A7" s="4">
        <v>147</v>
      </c>
      <c r="B7" s="4" t="s">
        <v>43</v>
      </c>
      <c r="C7" s="4" t="s">
        <v>44</v>
      </c>
      <c r="D7" s="4" t="s">
        <v>61</v>
      </c>
      <c r="E7" s="4" t="s">
        <v>91</v>
      </c>
      <c r="F7" s="4"/>
      <c r="G7" t="s">
        <v>94</v>
      </c>
      <c r="H7" s="4" t="s">
        <v>1181</v>
      </c>
      <c r="I7" s="7">
        <v>917.06567225476977</v>
      </c>
      <c r="J7" s="4" t="s">
        <v>1195</v>
      </c>
      <c r="K7" s="15">
        <v>45900</v>
      </c>
      <c r="L7" s="4" t="s">
        <v>14</v>
      </c>
      <c r="M7" s="4" t="s">
        <v>226</v>
      </c>
      <c r="N7" s="4">
        <v>2025</v>
      </c>
    </row>
    <row r="8" spans="1:14">
      <c r="A8" s="4">
        <v>148</v>
      </c>
      <c r="B8" s="4" t="s">
        <v>35</v>
      </c>
      <c r="C8" s="4" t="s">
        <v>37</v>
      </c>
      <c r="D8" s="4" t="s">
        <v>61</v>
      </c>
      <c r="E8" s="4" t="s">
        <v>91</v>
      </c>
      <c r="F8" s="4"/>
      <c r="G8" t="s">
        <v>94</v>
      </c>
      <c r="H8" s="4" t="s">
        <v>1181</v>
      </c>
      <c r="I8" s="7">
        <v>1205.5323529975478</v>
      </c>
      <c r="J8" s="4" t="s">
        <v>1195</v>
      </c>
      <c r="K8" s="15">
        <v>45900</v>
      </c>
      <c r="L8" s="4" t="s">
        <v>14</v>
      </c>
      <c r="M8" s="4" t="s">
        <v>226</v>
      </c>
      <c r="N8" s="4">
        <v>2025</v>
      </c>
    </row>
    <row r="9" spans="1:14">
      <c r="A9" s="4">
        <v>149</v>
      </c>
      <c r="B9" s="4" t="s">
        <v>35</v>
      </c>
      <c r="C9" s="4" t="s">
        <v>38</v>
      </c>
      <c r="D9" s="4" t="s">
        <v>61</v>
      </c>
      <c r="E9" s="4" t="s">
        <v>91</v>
      </c>
      <c r="F9" s="4"/>
      <c r="G9" t="s">
        <v>94</v>
      </c>
      <c r="H9" s="4" t="s">
        <v>1181</v>
      </c>
      <c r="I9" s="7">
        <v>2331.4134567957649</v>
      </c>
      <c r="J9" s="4" t="s">
        <v>1195</v>
      </c>
      <c r="K9" s="15">
        <v>45900</v>
      </c>
      <c r="L9" s="4" t="s">
        <v>14</v>
      </c>
      <c r="M9" s="4" t="s">
        <v>226</v>
      </c>
      <c r="N9" s="4">
        <v>2025</v>
      </c>
    </row>
    <row r="10" spans="1:14">
      <c r="A10" s="4">
        <v>150</v>
      </c>
      <c r="B10" s="4" t="s">
        <v>43</v>
      </c>
      <c r="C10" s="4" t="s">
        <v>45</v>
      </c>
      <c r="D10" s="4" t="s">
        <v>61</v>
      </c>
      <c r="E10" s="4" t="s">
        <v>91</v>
      </c>
      <c r="F10" s="4"/>
      <c r="G10" t="s">
        <v>94</v>
      </c>
      <c r="H10" s="4" t="s">
        <v>1181</v>
      </c>
      <c r="I10" s="7">
        <v>5521.7687625611488</v>
      </c>
      <c r="J10" s="4" t="s">
        <v>1195</v>
      </c>
      <c r="K10" s="15">
        <v>45900</v>
      </c>
      <c r="L10" s="4" t="s">
        <v>14</v>
      </c>
      <c r="M10" s="4" t="s">
        <v>226</v>
      </c>
      <c r="N10" s="4">
        <v>2025</v>
      </c>
    </row>
    <row r="11" spans="1:14">
      <c r="A11" s="4">
        <v>151</v>
      </c>
      <c r="B11" s="4" t="s">
        <v>43</v>
      </c>
      <c r="C11" s="4" t="s">
        <v>46</v>
      </c>
      <c r="D11" s="4" t="s">
        <v>61</v>
      </c>
      <c r="E11" s="4" t="s">
        <v>91</v>
      </c>
      <c r="F11" s="4"/>
      <c r="G11" t="s">
        <v>94</v>
      </c>
      <c r="H11" s="4" t="s">
        <v>1181</v>
      </c>
      <c r="I11" s="7">
        <v>3283.8199163958366</v>
      </c>
      <c r="J11" s="4" t="s">
        <v>1195</v>
      </c>
      <c r="K11" s="15">
        <v>45900</v>
      </c>
      <c r="L11" s="4" t="s">
        <v>14</v>
      </c>
      <c r="M11" s="4" t="s">
        <v>226</v>
      </c>
      <c r="N11" s="4">
        <v>2025</v>
      </c>
    </row>
    <row r="12" spans="1:14">
      <c r="A12" s="4">
        <v>152</v>
      </c>
      <c r="B12" s="4" t="s">
        <v>33</v>
      </c>
      <c r="C12" s="4" t="s">
        <v>34</v>
      </c>
      <c r="D12" s="4" t="s">
        <v>61</v>
      </c>
      <c r="E12" s="4" t="s">
        <v>91</v>
      </c>
      <c r="F12" s="4"/>
      <c r="G12" t="s">
        <v>94</v>
      </c>
      <c r="H12" s="4" t="s">
        <v>1181</v>
      </c>
      <c r="I12" s="7">
        <v>6115.5652412298859</v>
      </c>
      <c r="J12" s="4" t="s">
        <v>1195</v>
      </c>
      <c r="K12" s="15">
        <v>45900</v>
      </c>
      <c r="L12" s="4" t="s">
        <v>14</v>
      </c>
      <c r="M12" s="4" t="s">
        <v>226</v>
      </c>
      <c r="N12" s="4">
        <v>2025</v>
      </c>
    </row>
    <row r="13" spans="1:14">
      <c r="A13" s="4">
        <v>153</v>
      </c>
      <c r="B13" s="4" t="s">
        <v>53</v>
      </c>
      <c r="C13" s="4" t="s">
        <v>54</v>
      </c>
      <c r="D13" s="4" t="s">
        <v>61</v>
      </c>
      <c r="E13" s="4" t="s">
        <v>91</v>
      </c>
      <c r="F13" s="4"/>
      <c r="G13" t="s">
        <v>94</v>
      </c>
      <c r="H13" s="4" t="s">
        <v>1181</v>
      </c>
      <c r="I13" s="7">
        <v>79234.152440895588</v>
      </c>
      <c r="J13" s="4" t="s">
        <v>1195</v>
      </c>
      <c r="K13" s="15">
        <v>45900</v>
      </c>
      <c r="L13" s="4" t="s">
        <v>14</v>
      </c>
      <c r="M13" s="4" t="s">
        <v>226</v>
      </c>
      <c r="N13" s="4">
        <v>2025</v>
      </c>
    </row>
    <row r="14" spans="1:14">
      <c r="A14" s="4">
        <v>154</v>
      </c>
      <c r="B14" s="4" t="s">
        <v>59</v>
      </c>
      <c r="C14" s="4" t="s">
        <v>60</v>
      </c>
      <c r="D14" s="4" t="s">
        <v>61</v>
      </c>
      <c r="E14" s="4" t="s">
        <v>91</v>
      </c>
      <c r="F14" s="4"/>
      <c r="G14" t="s">
        <v>94</v>
      </c>
      <c r="H14" s="4" t="s">
        <v>1181</v>
      </c>
      <c r="I14" s="7">
        <v>3878.5133046785959</v>
      </c>
      <c r="J14" s="4" t="s">
        <v>1195</v>
      </c>
      <c r="K14" s="15">
        <v>45900</v>
      </c>
      <c r="L14" s="4" t="s">
        <v>14</v>
      </c>
      <c r="M14" s="4" t="s">
        <v>226</v>
      </c>
      <c r="N14" s="4">
        <v>2025</v>
      </c>
    </row>
    <row r="15" spans="1:14">
      <c r="A15" s="4">
        <v>155</v>
      </c>
      <c r="B15" s="4" t="s">
        <v>43</v>
      </c>
      <c r="C15" s="4" t="s">
        <v>47</v>
      </c>
      <c r="D15" s="4" t="s">
        <v>61</v>
      </c>
      <c r="E15" s="4" t="s">
        <v>91</v>
      </c>
      <c r="F15" s="4"/>
      <c r="G15" t="s">
        <v>94</v>
      </c>
      <c r="H15" s="4" t="s">
        <v>1181</v>
      </c>
      <c r="I15" s="7">
        <v>3456.2181888318464</v>
      </c>
      <c r="J15" s="4" t="s">
        <v>1195</v>
      </c>
      <c r="K15" s="15">
        <v>45900</v>
      </c>
      <c r="L15" s="4" t="s">
        <v>14</v>
      </c>
      <c r="M15" s="4" t="s">
        <v>226</v>
      </c>
      <c r="N15" s="4">
        <v>2025</v>
      </c>
    </row>
    <row r="16" spans="1:14">
      <c r="A16" s="4">
        <v>156</v>
      </c>
      <c r="B16" s="4" t="s">
        <v>29</v>
      </c>
      <c r="C16" s="4" t="s">
        <v>30</v>
      </c>
      <c r="D16" s="4" t="s">
        <v>61</v>
      </c>
      <c r="E16" s="4" t="s">
        <v>91</v>
      </c>
      <c r="F16" s="4"/>
      <c r="G16" t="s">
        <v>94</v>
      </c>
      <c r="H16" s="4" t="s">
        <v>1181</v>
      </c>
      <c r="I16" s="7">
        <v>4384.4063444192825</v>
      </c>
      <c r="J16" s="4" t="s">
        <v>1195</v>
      </c>
      <c r="K16" s="15">
        <v>45900</v>
      </c>
      <c r="L16" s="4" t="s">
        <v>14</v>
      </c>
      <c r="M16" s="4" t="s">
        <v>226</v>
      </c>
      <c r="N16" s="4">
        <v>2025</v>
      </c>
    </row>
    <row r="17" spans="1:14">
      <c r="A17" s="4">
        <v>157</v>
      </c>
      <c r="B17" s="4" t="s">
        <v>43</v>
      </c>
      <c r="C17" s="4" t="s">
        <v>48</v>
      </c>
      <c r="D17" s="4" t="s">
        <v>61</v>
      </c>
      <c r="E17" s="4" t="s">
        <v>91</v>
      </c>
      <c r="F17" s="4"/>
      <c r="G17" t="s">
        <v>94</v>
      </c>
      <c r="H17" s="4" t="s">
        <v>1181</v>
      </c>
      <c r="I17" s="7">
        <v>269.09204499548883</v>
      </c>
      <c r="J17" s="4" t="s">
        <v>1195</v>
      </c>
      <c r="K17" s="15">
        <v>45900</v>
      </c>
      <c r="L17" s="4" t="s">
        <v>14</v>
      </c>
      <c r="M17" s="4" t="s">
        <v>226</v>
      </c>
      <c r="N17" s="4">
        <v>2025</v>
      </c>
    </row>
    <row r="18" spans="1:14">
      <c r="A18" s="4">
        <v>158</v>
      </c>
      <c r="B18" s="4" t="s">
        <v>43</v>
      </c>
      <c r="C18" s="4" t="s">
        <v>51</v>
      </c>
      <c r="D18" s="4" t="s">
        <v>61</v>
      </c>
      <c r="E18" s="4" t="s">
        <v>91</v>
      </c>
      <c r="F18" s="4"/>
      <c r="G18" t="s">
        <v>94</v>
      </c>
      <c r="H18" s="4" t="s">
        <v>1181</v>
      </c>
      <c r="I18" s="7">
        <v>31475.15836500331</v>
      </c>
      <c r="J18" s="4" t="s">
        <v>1195</v>
      </c>
      <c r="K18" s="15">
        <v>45900</v>
      </c>
      <c r="L18" s="4" t="s">
        <v>14</v>
      </c>
      <c r="M18" s="4" t="s">
        <v>226</v>
      </c>
      <c r="N18" s="4">
        <v>2025</v>
      </c>
    </row>
    <row r="19" spans="1:14">
      <c r="A19" s="4">
        <v>159</v>
      </c>
      <c r="B19" s="4" t="s">
        <v>43</v>
      </c>
      <c r="C19" s="4" t="s">
        <v>50</v>
      </c>
      <c r="D19" s="4" t="s">
        <v>61</v>
      </c>
      <c r="E19" s="4" t="s">
        <v>91</v>
      </c>
      <c r="F19" s="4"/>
      <c r="G19" t="s">
        <v>94</v>
      </c>
      <c r="H19" s="4" t="s">
        <v>1181</v>
      </c>
      <c r="I19" s="7">
        <v>3026.0297422529329</v>
      </c>
      <c r="J19" s="4" t="s">
        <v>1195</v>
      </c>
      <c r="K19" s="15">
        <v>45900</v>
      </c>
      <c r="L19" s="4" t="s">
        <v>14</v>
      </c>
      <c r="M19" s="4" t="s">
        <v>226</v>
      </c>
      <c r="N19" s="4">
        <v>2025</v>
      </c>
    </row>
    <row r="20" spans="1:14">
      <c r="A20" s="4">
        <v>160</v>
      </c>
      <c r="B20" s="4" t="s">
        <v>43</v>
      </c>
      <c r="C20" s="4" t="s">
        <v>50</v>
      </c>
      <c r="D20" s="4" t="s">
        <v>61</v>
      </c>
      <c r="E20" s="4" t="s">
        <v>91</v>
      </c>
      <c r="F20" s="4"/>
      <c r="G20" t="s">
        <v>94</v>
      </c>
      <c r="H20" s="4" t="s">
        <v>1181</v>
      </c>
      <c r="I20" s="7">
        <v>679.27801816444469</v>
      </c>
      <c r="J20" s="4" t="s">
        <v>1195</v>
      </c>
      <c r="K20" s="15">
        <v>45900</v>
      </c>
      <c r="L20" s="4" t="s">
        <v>14</v>
      </c>
      <c r="M20" s="4" t="s">
        <v>226</v>
      </c>
      <c r="N20" s="4">
        <v>2025</v>
      </c>
    </row>
    <row r="21" spans="1:14">
      <c r="A21" s="4">
        <v>161</v>
      </c>
      <c r="B21" s="4" t="s">
        <v>17</v>
      </c>
      <c r="C21" s="4" t="s">
        <v>23</v>
      </c>
      <c r="D21" s="4" t="s">
        <v>61</v>
      </c>
      <c r="E21" s="4" t="s">
        <v>91</v>
      </c>
      <c r="F21" s="4"/>
      <c r="G21" t="s">
        <v>94</v>
      </c>
      <c r="H21" s="4" t="s">
        <v>1181</v>
      </c>
      <c r="I21" s="7">
        <v>381.39312881347314</v>
      </c>
      <c r="J21" s="4" t="s">
        <v>1195</v>
      </c>
      <c r="K21" s="15">
        <v>45900</v>
      </c>
      <c r="L21" s="4" t="s">
        <v>14</v>
      </c>
      <c r="M21" s="4" t="s">
        <v>226</v>
      </c>
      <c r="N21" s="4">
        <v>2025</v>
      </c>
    </row>
    <row r="22" spans="1:14">
      <c r="A22" s="4">
        <v>162</v>
      </c>
      <c r="B22" s="4" t="s">
        <v>43</v>
      </c>
      <c r="C22" s="4" t="s">
        <v>77</v>
      </c>
      <c r="D22" s="4" t="s">
        <v>61</v>
      </c>
      <c r="E22" s="4" t="s">
        <v>91</v>
      </c>
      <c r="F22" s="4"/>
      <c r="G22" t="s">
        <v>94</v>
      </c>
      <c r="H22" s="4" t="s">
        <v>1181</v>
      </c>
      <c r="I22" s="7">
        <v>1380.4421906402872</v>
      </c>
      <c r="J22" s="4" t="s">
        <v>1195</v>
      </c>
      <c r="K22" s="15">
        <v>45900</v>
      </c>
      <c r="L22" s="4" t="s">
        <v>14</v>
      </c>
      <c r="M22" s="4" t="s">
        <v>226</v>
      </c>
      <c r="N22" s="4">
        <v>2025</v>
      </c>
    </row>
    <row r="23" spans="1:14">
      <c r="A23" s="4">
        <v>163</v>
      </c>
      <c r="B23" s="4" t="s">
        <v>17</v>
      </c>
      <c r="C23" s="4" t="s">
        <v>24</v>
      </c>
      <c r="D23" s="4" t="s">
        <v>61</v>
      </c>
      <c r="E23" s="4" t="s">
        <v>91</v>
      </c>
      <c r="F23" s="4"/>
      <c r="G23" t="s">
        <v>94</v>
      </c>
      <c r="H23" s="4" t="s">
        <v>1181</v>
      </c>
      <c r="I23" s="7">
        <v>1297.0236635947936</v>
      </c>
      <c r="J23" s="4" t="s">
        <v>1195</v>
      </c>
      <c r="K23" s="15">
        <v>45900</v>
      </c>
      <c r="L23" s="4" t="s">
        <v>14</v>
      </c>
      <c r="M23" s="4" t="s">
        <v>226</v>
      </c>
      <c r="N23" s="4">
        <v>2025</v>
      </c>
    </row>
    <row r="24" spans="1:14">
      <c r="A24" s="4">
        <v>164</v>
      </c>
      <c r="B24" s="4" t="s">
        <v>17</v>
      </c>
      <c r="C24" s="4" t="s">
        <v>25</v>
      </c>
      <c r="D24" s="4" t="s">
        <v>61</v>
      </c>
      <c r="E24" s="4" t="s">
        <v>91</v>
      </c>
      <c r="F24" s="4"/>
      <c r="G24" t="s">
        <v>94</v>
      </c>
      <c r="H24" s="4" t="s">
        <v>1181</v>
      </c>
      <c r="I24" s="7">
        <v>5488.4013965198683</v>
      </c>
      <c r="J24" s="4" t="s">
        <v>1195</v>
      </c>
      <c r="K24" s="15">
        <v>45900</v>
      </c>
      <c r="L24" s="4" t="s">
        <v>14</v>
      </c>
      <c r="M24" s="4" t="s">
        <v>226</v>
      </c>
      <c r="N24" s="4">
        <v>2025</v>
      </c>
    </row>
    <row r="25" spans="1:14">
      <c r="A25" s="4">
        <v>165</v>
      </c>
      <c r="B25" s="4" t="s">
        <v>43</v>
      </c>
      <c r="C25" s="4" t="s">
        <v>70</v>
      </c>
      <c r="D25" s="4" t="s">
        <v>61</v>
      </c>
      <c r="E25" s="4" t="s">
        <v>91</v>
      </c>
      <c r="F25" s="4"/>
      <c r="G25" t="s">
        <v>94</v>
      </c>
      <c r="H25" s="4" t="s">
        <v>1181</v>
      </c>
      <c r="I25" s="7">
        <v>643.68023605064275</v>
      </c>
      <c r="J25" s="4">
        <v>2025000132</v>
      </c>
      <c r="K25" s="15">
        <v>45869</v>
      </c>
      <c r="L25" s="4" t="s">
        <v>14</v>
      </c>
      <c r="M25" s="4" t="s">
        <v>225</v>
      </c>
      <c r="N25" s="4">
        <v>2025</v>
      </c>
    </row>
    <row r="26" spans="1:14">
      <c r="A26" s="4">
        <v>166</v>
      </c>
      <c r="B26" s="4" t="s">
        <v>55</v>
      </c>
      <c r="C26" s="4" t="s">
        <v>56</v>
      </c>
      <c r="D26" s="4" t="s">
        <v>61</v>
      </c>
      <c r="E26" s="4" t="s">
        <v>91</v>
      </c>
      <c r="F26" s="4"/>
      <c r="G26" t="s">
        <v>94</v>
      </c>
      <c r="H26" s="4" t="s">
        <v>1181</v>
      </c>
      <c r="I26" s="7">
        <v>19223.501079433176</v>
      </c>
      <c r="J26" s="4">
        <v>2025000132</v>
      </c>
      <c r="K26" s="15">
        <v>45869</v>
      </c>
      <c r="L26" s="4" t="s">
        <v>14</v>
      </c>
      <c r="M26" s="4" t="s">
        <v>225</v>
      </c>
      <c r="N26" s="4">
        <v>2025</v>
      </c>
    </row>
    <row r="27" spans="1:14">
      <c r="A27" s="4">
        <v>167</v>
      </c>
      <c r="B27" s="4" t="s">
        <v>43</v>
      </c>
      <c r="C27" s="4" t="s">
        <v>44</v>
      </c>
      <c r="D27" s="4" t="s">
        <v>61</v>
      </c>
      <c r="E27" s="4" t="s">
        <v>91</v>
      </c>
      <c r="F27" s="4"/>
      <c r="G27" t="s">
        <v>94</v>
      </c>
      <c r="H27" s="4" t="s">
        <v>1181</v>
      </c>
      <c r="I27" s="7">
        <v>2163.7123211318612</v>
      </c>
      <c r="J27" s="4">
        <v>2025000132</v>
      </c>
      <c r="K27" s="15">
        <v>45869</v>
      </c>
      <c r="L27" s="4" t="s">
        <v>14</v>
      </c>
      <c r="M27" s="4" t="s">
        <v>225</v>
      </c>
      <c r="N27" s="4">
        <v>2025</v>
      </c>
    </row>
    <row r="28" spans="1:14">
      <c r="A28" s="4">
        <v>168</v>
      </c>
      <c r="B28" s="4" t="s">
        <v>35</v>
      </c>
      <c r="C28" s="4" t="s">
        <v>37</v>
      </c>
      <c r="D28" s="4" t="s">
        <v>61</v>
      </c>
      <c r="E28" s="4" t="s">
        <v>91</v>
      </c>
      <c r="F28" s="4"/>
      <c r="G28" t="s">
        <v>94</v>
      </c>
      <c r="H28" s="4" t="s">
        <v>1181</v>
      </c>
      <c r="I28" s="7">
        <v>729.12713712348875</v>
      </c>
      <c r="J28" s="4">
        <v>2025000132</v>
      </c>
      <c r="K28" s="15">
        <v>45869</v>
      </c>
      <c r="L28" s="4" t="s">
        <v>14</v>
      </c>
      <c r="M28" s="4" t="s">
        <v>225</v>
      </c>
      <c r="N28" s="4">
        <v>2025</v>
      </c>
    </row>
    <row r="29" spans="1:14">
      <c r="A29" s="4">
        <v>169</v>
      </c>
      <c r="B29" s="4" t="s">
        <v>35</v>
      </c>
      <c r="C29" s="4" t="s">
        <v>38</v>
      </c>
      <c r="D29" s="4" t="s">
        <v>61</v>
      </c>
      <c r="E29" s="4" t="s">
        <v>91</v>
      </c>
      <c r="F29" s="4"/>
      <c r="G29" t="s">
        <v>94</v>
      </c>
      <c r="H29" s="4" t="s">
        <v>1181</v>
      </c>
      <c r="I29" s="7">
        <v>1392.4571817474539</v>
      </c>
      <c r="J29" s="4">
        <v>2025000132</v>
      </c>
      <c r="K29" s="15">
        <v>45869</v>
      </c>
      <c r="L29" s="4" t="s">
        <v>14</v>
      </c>
      <c r="M29" s="4" t="s">
        <v>225</v>
      </c>
      <c r="N29" s="4">
        <v>2025</v>
      </c>
    </row>
    <row r="30" spans="1:14">
      <c r="A30" s="4">
        <v>170</v>
      </c>
      <c r="B30" s="4" t="s">
        <v>35</v>
      </c>
      <c r="C30" s="4" t="s">
        <v>45</v>
      </c>
      <c r="D30" s="4" t="s">
        <v>61</v>
      </c>
      <c r="E30" s="4" t="s">
        <v>91</v>
      </c>
      <c r="F30" s="4"/>
      <c r="G30" t="s">
        <v>94</v>
      </c>
      <c r="H30" s="4" t="s">
        <v>1181</v>
      </c>
      <c r="I30" s="7">
        <v>5716.6069165521658</v>
      </c>
      <c r="J30" s="4">
        <v>2025000132</v>
      </c>
      <c r="K30" s="15">
        <v>45869</v>
      </c>
      <c r="L30" s="4" t="s">
        <v>14</v>
      </c>
      <c r="M30" s="4" t="s">
        <v>225</v>
      </c>
      <c r="N30" s="4">
        <v>2025</v>
      </c>
    </row>
    <row r="31" spans="1:14">
      <c r="A31" s="4">
        <v>171</v>
      </c>
      <c r="B31" s="4" t="s">
        <v>43</v>
      </c>
      <c r="C31" s="4" t="s">
        <v>46</v>
      </c>
      <c r="D31" s="4" t="s">
        <v>61</v>
      </c>
      <c r="E31" s="4" t="s">
        <v>91</v>
      </c>
      <c r="F31" s="4"/>
      <c r="G31" t="s">
        <v>94</v>
      </c>
      <c r="H31" s="4" t="s">
        <v>1181</v>
      </c>
      <c r="I31" s="7">
        <v>10639.927061081242</v>
      </c>
      <c r="J31" s="4">
        <v>2025000132</v>
      </c>
      <c r="K31" s="15">
        <v>45869</v>
      </c>
      <c r="L31" s="4" t="s">
        <v>14</v>
      </c>
      <c r="M31" s="4" t="s">
        <v>225</v>
      </c>
      <c r="N31" s="4">
        <v>2025</v>
      </c>
    </row>
    <row r="32" spans="1:14">
      <c r="A32" s="4">
        <v>172</v>
      </c>
      <c r="B32" s="4" t="s">
        <v>33</v>
      </c>
      <c r="C32" s="4" t="s">
        <v>34</v>
      </c>
      <c r="D32" s="4" t="s">
        <v>61</v>
      </c>
      <c r="E32" s="4" t="s">
        <v>91</v>
      </c>
      <c r="F32" s="4"/>
      <c r="G32" t="s">
        <v>94</v>
      </c>
      <c r="H32" s="4" t="s">
        <v>1181</v>
      </c>
      <c r="I32" s="7">
        <v>16026.804210597036</v>
      </c>
      <c r="J32" s="4">
        <v>2025000132</v>
      </c>
      <c r="K32" s="15">
        <v>45869</v>
      </c>
      <c r="L32" s="4" t="s">
        <v>14</v>
      </c>
      <c r="M32" s="4" t="s">
        <v>225</v>
      </c>
      <c r="N32" s="4">
        <v>2025</v>
      </c>
    </row>
    <row r="33" spans="1:14">
      <c r="A33" s="4">
        <v>173</v>
      </c>
      <c r="B33" s="4" t="s">
        <v>53</v>
      </c>
      <c r="C33" s="4" t="s">
        <v>62</v>
      </c>
      <c r="D33" s="4" t="s">
        <v>61</v>
      </c>
      <c r="E33" s="4" t="s">
        <v>91</v>
      </c>
      <c r="F33" s="4"/>
      <c r="G33" t="s">
        <v>94</v>
      </c>
      <c r="H33" s="4" t="s">
        <v>1181</v>
      </c>
      <c r="I33" s="7">
        <v>45283.976058141328</v>
      </c>
      <c r="J33" s="4">
        <v>2025000132</v>
      </c>
      <c r="K33" s="15">
        <v>45869</v>
      </c>
      <c r="L33" s="4" t="s">
        <v>14</v>
      </c>
      <c r="M33" s="4" t="s">
        <v>225</v>
      </c>
      <c r="N33" s="4">
        <v>2025</v>
      </c>
    </row>
    <row r="34" spans="1:14">
      <c r="A34" s="4">
        <v>174</v>
      </c>
      <c r="B34" s="4" t="s">
        <v>59</v>
      </c>
      <c r="C34" s="4" t="s">
        <v>60</v>
      </c>
      <c r="D34" s="4" t="s">
        <v>61</v>
      </c>
      <c r="E34" s="4" t="s">
        <v>91</v>
      </c>
      <c r="F34" s="4"/>
      <c r="G34" t="s">
        <v>94</v>
      </c>
      <c r="H34" s="4" t="s">
        <v>1181</v>
      </c>
      <c r="I34" s="7">
        <v>3274.3733491139874</v>
      </c>
      <c r="J34" s="4">
        <v>2025000132</v>
      </c>
      <c r="K34" s="15">
        <v>45869</v>
      </c>
      <c r="L34" s="4" t="s">
        <v>14</v>
      </c>
      <c r="M34" s="4" t="s">
        <v>225</v>
      </c>
      <c r="N34" s="4">
        <v>2025</v>
      </c>
    </row>
    <row r="35" spans="1:14">
      <c r="A35" s="4">
        <v>175</v>
      </c>
      <c r="B35" s="4" t="s">
        <v>43</v>
      </c>
      <c r="C35" s="4" t="s">
        <v>47</v>
      </c>
      <c r="D35" s="4" t="s">
        <v>61</v>
      </c>
      <c r="E35" s="4" t="s">
        <v>91</v>
      </c>
      <c r="F35" s="4"/>
      <c r="G35" t="s">
        <v>94</v>
      </c>
      <c r="H35" s="4" t="s">
        <v>1181</v>
      </c>
      <c r="I35" s="7">
        <v>1741.6879552797461</v>
      </c>
      <c r="J35" s="4">
        <v>2025000132</v>
      </c>
      <c r="K35" s="15">
        <v>45869</v>
      </c>
      <c r="L35" s="4" t="s">
        <v>14</v>
      </c>
      <c r="M35" s="4" t="s">
        <v>225</v>
      </c>
      <c r="N35" s="4">
        <v>2025</v>
      </c>
    </row>
    <row r="36" spans="1:14">
      <c r="A36" s="4">
        <v>176</v>
      </c>
      <c r="B36" s="4" t="s">
        <v>29</v>
      </c>
      <c r="C36" s="4" t="s">
        <v>30</v>
      </c>
      <c r="D36" s="4" t="s">
        <v>61</v>
      </c>
      <c r="E36" s="4" t="s">
        <v>91</v>
      </c>
      <c r="F36" s="4"/>
      <c r="G36" t="s">
        <v>94</v>
      </c>
      <c r="H36" s="4" t="s">
        <v>1181</v>
      </c>
      <c r="I36" s="7">
        <v>10854.407718794384</v>
      </c>
      <c r="J36" s="4">
        <v>2025000132</v>
      </c>
      <c r="K36" s="15">
        <v>45869</v>
      </c>
      <c r="L36" s="4" t="s">
        <v>14</v>
      </c>
      <c r="M36" s="4" t="s">
        <v>225</v>
      </c>
      <c r="N36" s="4">
        <v>2025</v>
      </c>
    </row>
    <row r="37" spans="1:14">
      <c r="A37" s="4">
        <v>177</v>
      </c>
      <c r="B37" s="4" t="s">
        <v>43</v>
      </c>
      <c r="C37" s="4" t="s">
        <v>49</v>
      </c>
      <c r="D37" s="4" t="s">
        <v>61</v>
      </c>
      <c r="E37" s="4" t="s">
        <v>91</v>
      </c>
      <c r="F37" s="4"/>
      <c r="G37" t="s">
        <v>94</v>
      </c>
      <c r="H37" s="4" t="s">
        <v>1181</v>
      </c>
      <c r="I37" s="7">
        <v>440.03671682551487</v>
      </c>
      <c r="J37" s="4">
        <v>2025000132</v>
      </c>
      <c r="K37" s="15">
        <v>45869</v>
      </c>
      <c r="L37" s="4" t="s">
        <v>14</v>
      </c>
      <c r="M37" s="4" t="s">
        <v>225</v>
      </c>
      <c r="N37" s="4">
        <v>2025</v>
      </c>
    </row>
    <row r="38" spans="1:14">
      <c r="A38" s="4">
        <v>178</v>
      </c>
      <c r="B38" s="4" t="s">
        <v>43</v>
      </c>
      <c r="C38" s="4" t="s">
        <v>51</v>
      </c>
      <c r="D38" s="4" t="s">
        <v>61</v>
      </c>
      <c r="E38" s="4" t="s">
        <v>91</v>
      </c>
      <c r="F38" s="4"/>
      <c r="G38" t="s">
        <v>94</v>
      </c>
      <c r="H38" s="4" t="s">
        <v>1181</v>
      </c>
      <c r="I38" s="7">
        <v>33798.720116973571</v>
      </c>
      <c r="J38" s="4">
        <v>2025000132</v>
      </c>
      <c r="K38" s="15">
        <v>45869</v>
      </c>
      <c r="L38" s="4" t="s">
        <v>14</v>
      </c>
      <c r="M38" s="4" t="s">
        <v>225</v>
      </c>
      <c r="N38" s="4">
        <v>2025</v>
      </c>
    </row>
    <row r="39" spans="1:14">
      <c r="A39" s="4">
        <v>179</v>
      </c>
      <c r="B39" s="4" t="s">
        <v>43</v>
      </c>
      <c r="C39" s="4" t="s">
        <v>50</v>
      </c>
      <c r="D39" s="4" t="s">
        <v>61</v>
      </c>
      <c r="E39" s="4" t="s">
        <v>91</v>
      </c>
      <c r="F39" s="4"/>
      <c r="G39" t="s">
        <v>94</v>
      </c>
      <c r="H39" s="4" t="s">
        <v>1181</v>
      </c>
      <c r="I39" s="7">
        <v>1133.8835184676411</v>
      </c>
      <c r="J39" s="4">
        <v>2025000132</v>
      </c>
      <c r="K39" s="15">
        <v>45869</v>
      </c>
      <c r="L39" s="4" t="s">
        <v>14</v>
      </c>
      <c r="M39" s="4" t="s">
        <v>225</v>
      </c>
      <c r="N39" s="4">
        <v>2025</v>
      </c>
    </row>
    <row r="40" spans="1:14">
      <c r="A40" s="4">
        <v>180</v>
      </c>
      <c r="B40" s="4" t="s">
        <v>43</v>
      </c>
      <c r="C40" s="4" t="s">
        <v>50</v>
      </c>
      <c r="D40" s="4" t="s">
        <v>61</v>
      </c>
      <c r="E40" s="4" t="s">
        <v>91</v>
      </c>
      <c r="F40" s="4"/>
      <c r="G40" t="s">
        <v>94</v>
      </c>
      <c r="H40" s="4" t="s">
        <v>1181</v>
      </c>
      <c r="I40" s="7">
        <v>378.25889825043851</v>
      </c>
      <c r="J40" s="4">
        <v>2025000132</v>
      </c>
      <c r="K40" s="15">
        <v>45869</v>
      </c>
      <c r="L40" s="4" t="s">
        <v>14</v>
      </c>
      <c r="M40" s="4" t="s">
        <v>225</v>
      </c>
      <c r="N40" s="4">
        <v>2025</v>
      </c>
    </row>
    <row r="41" spans="1:14">
      <c r="A41" s="4">
        <v>181</v>
      </c>
      <c r="B41" s="4" t="s">
        <v>17</v>
      </c>
      <c r="C41" s="4" t="s">
        <v>23</v>
      </c>
      <c r="D41" s="4" t="s">
        <v>61</v>
      </c>
      <c r="E41" s="4" t="s">
        <v>91</v>
      </c>
      <c r="F41" s="4"/>
      <c r="G41" t="s">
        <v>94</v>
      </c>
      <c r="H41" s="4" t="s">
        <v>1181</v>
      </c>
      <c r="I41" s="7">
        <v>139.93048407861747</v>
      </c>
      <c r="J41" s="4">
        <v>2025000132</v>
      </c>
      <c r="K41" s="15">
        <v>45869</v>
      </c>
      <c r="L41" s="4" t="s">
        <v>14</v>
      </c>
      <c r="M41" s="4" t="s">
        <v>225</v>
      </c>
      <c r="N41" s="4">
        <v>2025</v>
      </c>
    </row>
    <row r="42" spans="1:14">
      <c r="A42" s="4">
        <v>182</v>
      </c>
      <c r="B42" s="4" t="s">
        <v>43</v>
      </c>
      <c r="C42" s="4" t="s">
        <v>77</v>
      </c>
      <c r="D42" s="4" t="s">
        <v>61</v>
      </c>
      <c r="E42" s="4" t="s">
        <v>91</v>
      </c>
      <c r="F42" s="4"/>
      <c r="G42" t="s">
        <v>94</v>
      </c>
      <c r="H42" s="4" t="s">
        <v>1181</v>
      </c>
      <c r="I42" s="7">
        <v>3727.0633514700194</v>
      </c>
      <c r="J42" s="4">
        <v>2025000132</v>
      </c>
      <c r="K42" s="15">
        <v>45869</v>
      </c>
      <c r="L42" s="4" t="s">
        <v>14</v>
      </c>
      <c r="M42" s="4" t="s">
        <v>225</v>
      </c>
      <c r="N42" s="4">
        <v>2025</v>
      </c>
    </row>
    <row r="43" spans="1:14">
      <c r="A43" s="4">
        <v>183</v>
      </c>
      <c r="B43" s="4" t="s">
        <v>17</v>
      </c>
      <c r="C43" s="4" t="s">
        <v>24</v>
      </c>
      <c r="D43" s="4" t="s">
        <v>61</v>
      </c>
      <c r="E43" s="4" t="s">
        <v>91</v>
      </c>
      <c r="F43" s="4"/>
      <c r="G43" t="s">
        <v>94</v>
      </c>
      <c r="H43" s="4" t="s">
        <v>1181</v>
      </c>
      <c r="I43" s="7">
        <v>223.29332779845041</v>
      </c>
      <c r="J43" s="4">
        <v>2025000132</v>
      </c>
      <c r="K43" s="15">
        <v>45869</v>
      </c>
      <c r="L43" s="4" t="s">
        <v>14</v>
      </c>
      <c r="M43" s="4" t="s">
        <v>225</v>
      </c>
      <c r="N43" s="4">
        <v>2025</v>
      </c>
    </row>
    <row r="44" spans="1:14">
      <c r="A44" s="4">
        <v>184</v>
      </c>
      <c r="B44" s="4" t="s">
        <v>17</v>
      </c>
      <c r="C44" s="4" t="s">
        <v>25</v>
      </c>
      <c r="D44" s="4" t="s">
        <v>61</v>
      </c>
      <c r="E44" s="4" t="s">
        <v>91</v>
      </c>
      <c r="F44" s="4"/>
      <c r="G44" t="s">
        <v>94</v>
      </c>
      <c r="H44" s="4" t="s">
        <v>1181</v>
      </c>
      <c r="I44" s="7">
        <v>2468.5523610893101</v>
      </c>
      <c r="J44" s="4">
        <v>2025000132</v>
      </c>
      <c r="K44" s="15">
        <v>45869</v>
      </c>
      <c r="L44" s="4" t="s">
        <v>14</v>
      </c>
      <c r="M44" s="4" t="s">
        <v>225</v>
      </c>
      <c r="N44" s="4">
        <v>2025</v>
      </c>
    </row>
    <row r="45" spans="1:14">
      <c r="A45" s="4">
        <v>7</v>
      </c>
      <c r="B45" s="4" t="s">
        <v>43</v>
      </c>
      <c r="C45" s="4" t="s">
        <v>70</v>
      </c>
      <c r="D45" s="4" t="s">
        <v>61</v>
      </c>
      <c r="E45" s="4" t="s">
        <v>91</v>
      </c>
      <c r="F45" s="4"/>
      <c r="G45" s="57" t="s">
        <v>93</v>
      </c>
      <c r="H45" s="58" t="s">
        <v>1182</v>
      </c>
      <c r="I45" s="7">
        <v>1642.3231856060661</v>
      </c>
      <c r="J45" s="4" t="s">
        <v>1189</v>
      </c>
      <c r="K45" s="15">
        <v>45884</v>
      </c>
      <c r="L45" s="4" t="s">
        <v>14</v>
      </c>
      <c r="M45" s="4" t="s">
        <v>225</v>
      </c>
      <c r="N45" s="4">
        <v>2025</v>
      </c>
    </row>
    <row r="46" spans="1:14">
      <c r="A46" s="4">
        <v>8</v>
      </c>
      <c r="B46" s="4" t="s">
        <v>55</v>
      </c>
      <c r="C46" s="4" t="s">
        <v>56</v>
      </c>
      <c r="D46" s="4" t="s">
        <v>61</v>
      </c>
      <c r="E46" s="4" t="s">
        <v>91</v>
      </c>
      <c r="F46" s="4"/>
      <c r="G46" s="57" t="s">
        <v>93</v>
      </c>
      <c r="H46" s="58" t="s">
        <v>1182</v>
      </c>
      <c r="I46" s="7">
        <v>6001.9448336432833</v>
      </c>
      <c r="J46" s="4" t="s">
        <v>1189</v>
      </c>
      <c r="K46" s="15">
        <v>45884</v>
      </c>
      <c r="L46" s="4" t="s">
        <v>14</v>
      </c>
      <c r="M46" s="4" t="s">
        <v>225</v>
      </c>
      <c r="N46" s="4">
        <v>2025</v>
      </c>
    </row>
    <row r="47" spans="1:14">
      <c r="A47" s="4">
        <v>9</v>
      </c>
      <c r="B47" s="4" t="s">
        <v>35</v>
      </c>
      <c r="C47" s="4" t="s">
        <v>37</v>
      </c>
      <c r="D47" s="4" t="s">
        <v>61</v>
      </c>
      <c r="E47" s="4" t="s">
        <v>91</v>
      </c>
      <c r="F47" s="4"/>
      <c r="G47" s="57" t="s">
        <v>93</v>
      </c>
      <c r="H47" s="58" t="s">
        <v>1182</v>
      </c>
      <c r="I47" s="7">
        <v>3555.6167441086536</v>
      </c>
      <c r="J47" s="4" t="s">
        <v>1189</v>
      </c>
      <c r="K47" s="15">
        <v>45884</v>
      </c>
      <c r="L47" s="4" t="s">
        <v>14</v>
      </c>
      <c r="M47" s="4" t="s">
        <v>225</v>
      </c>
      <c r="N47" s="4">
        <v>2025</v>
      </c>
    </row>
    <row r="48" spans="1:14">
      <c r="A48" s="4">
        <v>10</v>
      </c>
      <c r="B48" s="4" t="s">
        <v>35</v>
      </c>
      <c r="C48" s="4" t="s">
        <v>38</v>
      </c>
      <c r="D48" s="4" t="s">
        <v>61</v>
      </c>
      <c r="E48" s="4" t="s">
        <v>91</v>
      </c>
      <c r="F48" s="4"/>
      <c r="G48" s="57" t="s">
        <v>93</v>
      </c>
      <c r="H48" s="58" t="s">
        <v>1182</v>
      </c>
      <c r="I48" s="7">
        <v>2679.8418990445125</v>
      </c>
      <c r="J48" s="4" t="s">
        <v>1189</v>
      </c>
      <c r="K48" s="15">
        <v>45884</v>
      </c>
      <c r="L48" s="4" t="s">
        <v>14</v>
      </c>
      <c r="M48" s="4" t="s">
        <v>225</v>
      </c>
      <c r="N48" s="4">
        <v>2025</v>
      </c>
    </row>
    <row r="49" spans="1:14">
      <c r="A49" s="4">
        <v>11</v>
      </c>
      <c r="B49" s="4" t="s">
        <v>17</v>
      </c>
      <c r="C49" s="4" t="s">
        <v>74</v>
      </c>
      <c r="D49" s="4" t="s">
        <v>61</v>
      </c>
      <c r="E49" s="4" t="s">
        <v>91</v>
      </c>
      <c r="F49" s="4"/>
      <c r="G49" s="57" t="s">
        <v>93</v>
      </c>
      <c r="H49" s="58" t="s">
        <v>1182</v>
      </c>
      <c r="I49" s="7">
        <v>373.25526945592418</v>
      </c>
      <c r="J49" s="4" t="s">
        <v>1189</v>
      </c>
      <c r="K49" s="15">
        <v>45884</v>
      </c>
      <c r="L49" s="4" t="s">
        <v>14</v>
      </c>
      <c r="M49" s="4" t="s">
        <v>225</v>
      </c>
      <c r="N49" s="4">
        <v>2025</v>
      </c>
    </row>
    <row r="50" spans="1:14">
      <c r="A50" s="4">
        <v>12</v>
      </c>
      <c r="B50" s="4" t="s">
        <v>43</v>
      </c>
      <c r="C50" s="4" t="s">
        <v>45</v>
      </c>
      <c r="D50" s="4" t="s">
        <v>61</v>
      </c>
      <c r="E50" s="4" t="s">
        <v>91</v>
      </c>
      <c r="F50" s="4"/>
      <c r="G50" s="57" t="s">
        <v>93</v>
      </c>
      <c r="H50" s="58" t="s">
        <v>1182</v>
      </c>
      <c r="I50" s="7">
        <v>746.51053891184836</v>
      </c>
      <c r="J50" s="4" t="s">
        <v>1189</v>
      </c>
      <c r="K50" s="15">
        <v>45884</v>
      </c>
      <c r="L50" s="4" t="s">
        <v>14</v>
      </c>
      <c r="M50" s="4" t="s">
        <v>225</v>
      </c>
      <c r="N50" s="4">
        <v>2025</v>
      </c>
    </row>
    <row r="51" spans="1:14">
      <c r="A51" s="4">
        <v>13</v>
      </c>
      <c r="B51" s="4" t="s">
        <v>43</v>
      </c>
      <c r="C51" s="4" t="s">
        <v>46</v>
      </c>
      <c r="D51" s="4" t="s">
        <v>61</v>
      </c>
      <c r="E51" s="4" t="s">
        <v>91</v>
      </c>
      <c r="F51" s="4"/>
      <c r="G51" s="57" t="s">
        <v>93</v>
      </c>
      <c r="H51" s="58" t="s">
        <v>1182</v>
      </c>
      <c r="I51" s="7">
        <v>3637.3400133565706</v>
      </c>
      <c r="J51" s="4" t="s">
        <v>1189</v>
      </c>
      <c r="K51" s="15">
        <v>45884</v>
      </c>
      <c r="L51" s="4" t="s">
        <v>14</v>
      </c>
      <c r="M51" s="4" t="s">
        <v>225</v>
      </c>
      <c r="N51" s="4">
        <v>2025</v>
      </c>
    </row>
    <row r="52" spans="1:14">
      <c r="A52" s="4">
        <v>14</v>
      </c>
      <c r="B52" s="4" t="s">
        <v>33</v>
      </c>
      <c r="C52" s="4" t="s">
        <v>34</v>
      </c>
      <c r="D52" s="4" t="s">
        <v>61</v>
      </c>
      <c r="E52" s="4" t="s">
        <v>91</v>
      </c>
      <c r="F52" s="4"/>
      <c r="G52" s="57" t="s">
        <v>93</v>
      </c>
      <c r="H52" s="58" t="s">
        <v>1182</v>
      </c>
      <c r="I52" s="7">
        <v>7316.3273181359509</v>
      </c>
      <c r="J52" s="4" t="s">
        <v>1189</v>
      </c>
      <c r="K52" s="15">
        <v>45884</v>
      </c>
      <c r="L52" s="4" t="s">
        <v>14</v>
      </c>
      <c r="M52" s="4" t="s">
        <v>225</v>
      </c>
      <c r="N52" s="4">
        <v>2025</v>
      </c>
    </row>
    <row r="53" spans="1:14">
      <c r="A53" s="4">
        <v>15</v>
      </c>
      <c r="B53" s="4" t="s">
        <v>53</v>
      </c>
      <c r="C53" s="4" t="s">
        <v>62</v>
      </c>
      <c r="D53" s="4" t="s">
        <v>61</v>
      </c>
      <c r="E53" s="4" t="s">
        <v>91</v>
      </c>
      <c r="F53" s="4"/>
      <c r="G53" s="57" t="s">
        <v>93</v>
      </c>
      <c r="H53" s="4" t="s">
        <v>1182</v>
      </c>
      <c r="I53" s="7">
        <v>25193.552204779167</v>
      </c>
      <c r="J53" s="4" t="s">
        <v>1189</v>
      </c>
      <c r="K53" s="15">
        <v>45884</v>
      </c>
      <c r="L53" s="4" t="s">
        <v>14</v>
      </c>
      <c r="M53" s="4" t="s">
        <v>225</v>
      </c>
      <c r="N53" s="4">
        <v>2025</v>
      </c>
    </row>
    <row r="54" spans="1:14">
      <c r="A54" s="4">
        <v>16</v>
      </c>
      <c r="B54" s="4" t="s">
        <v>59</v>
      </c>
      <c r="C54" s="4" t="s">
        <v>60</v>
      </c>
      <c r="D54" s="4" t="s">
        <v>61</v>
      </c>
      <c r="E54" s="4" t="s">
        <v>91</v>
      </c>
      <c r="F54" s="4"/>
      <c r="G54" s="57" t="s">
        <v>93</v>
      </c>
      <c r="H54" s="4" t="s">
        <v>1182</v>
      </c>
      <c r="I54" s="7">
        <v>4531.4503032017647</v>
      </c>
      <c r="J54" s="4" t="s">
        <v>1189</v>
      </c>
      <c r="K54" s="15">
        <v>45884</v>
      </c>
      <c r="L54" s="4" t="s">
        <v>14</v>
      </c>
      <c r="M54" s="4" t="s">
        <v>225</v>
      </c>
      <c r="N54" s="4">
        <v>2025</v>
      </c>
    </row>
    <row r="55" spans="1:14">
      <c r="A55" s="4">
        <v>17</v>
      </c>
      <c r="B55" s="4" t="s">
        <v>17</v>
      </c>
      <c r="C55" s="4" t="s">
        <v>22</v>
      </c>
      <c r="D55" s="4" t="s">
        <v>61</v>
      </c>
      <c r="E55" s="4" t="s">
        <v>91</v>
      </c>
      <c r="F55" s="4"/>
      <c r="G55" s="57" t="s">
        <v>93</v>
      </c>
      <c r="H55" s="4" t="s">
        <v>1182</v>
      </c>
      <c r="I55" s="7">
        <v>17231.951987923723</v>
      </c>
      <c r="J55" s="4" t="s">
        <v>1189</v>
      </c>
      <c r="K55" s="15">
        <v>45884</v>
      </c>
      <c r="L55" s="4" t="s">
        <v>14</v>
      </c>
      <c r="M55" s="4" t="s">
        <v>225</v>
      </c>
      <c r="N55" s="4">
        <v>2025</v>
      </c>
    </row>
    <row r="56" spans="1:14">
      <c r="A56" s="4">
        <v>18</v>
      </c>
      <c r="B56" s="4" t="s">
        <v>43</v>
      </c>
      <c r="C56" s="4" t="s">
        <v>47</v>
      </c>
      <c r="D56" s="4" t="s">
        <v>61</v>
      </c>
      <c r="E56" s="4" t="s">
        <v>91</v>
      </c>
      <c r="F56" s="4"/>
      <c r="G56" s="57" t="s">
        <v>93</v>
      </c>
      <c r="H56" s="4" t="s">
        <v>1182</v>
      </c>
      <c r="I56" s="7">
        <v>1791.6252933884357</v>
      </c>
      <c r="J56" s="4" t="s">
        <v>1189</v>
      </c>
      <c r="K56" s="15">
        <v>45884</v>
      </c>
      <c r="L56" s="4" t="s">
        <v>14</v>
      </c>
      <c r="M56" s="4" t="s">
        <v>225</v>
      </c>
      <c r="N56" s="4">
        <v>2025</v>
      </c>
    </row>
    <row r="57" spans="1:14">
      <c r="A57" s="4">
        <v>19</v>
      </c>
      <c r="B57" s="4" t="s">
        <v>17</v>
      </c>
      <c r="C57" s="4" t="s">
        <v>95</v>
      </c>
      <c r="D57" s="4" t="s">
        <v>61</v>
      </c>
      <c r="E57" s="4" t="s">
        <v>91</v>
      </c>
      <c r="F57" s="4"/>
      <c r="G57" s="57" t="s">
        <v>93</v>
      </c>
      <c r="H57" s="4" t="s">
        <v>1182</v>
      </c>
      <c r="I57" s="7">
        <v>11272.309137568911</v>
      </c>
      <c r="J57" s="4" t="s">
        <v>1189</v>
      </c>
      <c r="K57" s="15">
        <v>45884</v>
      </c>
      <c r="L57" s="4" t="s">
        <v>14</v>
      </c>
      <c r="M57" s="4" t="s">
        <v>225</v>
      </c>
      <c r="N57" s="4">
        <v>2025</v>
      </c>
    </row>
    <row r="58" spans="1:14">
      <c r="A58" s="4">
        <v>20</v>
      </c>
      <c r="B58" s="4" t="s">
        <v>29</v>
      </c>
      <c r="C58" s="4" t="s">
        <v>237</v>
      </c>
      <c r="D58" s="4" t="s">
        <v>61</v>
      </c>
      <c r="E58" s="4" t="s">
        <v>91</v>
      </c>
      <c r="F58" s="4"/>
      <c r="G58" s="57" t="s">
        <v>93</v>
      </c>
      <c r="H58" s="4" t="s">
        <v>1182</v>
      </c>
      <c r="I58" s="7">
        <v>2015.5784550619901</v>
      </c>
      <c r="J58" s="4" t="s">
        <v>1189</v>
      </c>
      <c r="K58" s="15">
        <v>45884</v>
      </c>
      <c r="L58" s="4" t="s">
        <v>14</v>
      </c>
      <c r="M58" s="4" t="s">
        <v>225</v>
      </c>
      <c r="N58" s="4">
        <v>2025</v>
      </c>
    </row>
    <row r="59" spans="1:14">
      <c r="A59" s="4">
        <v>21</v>
      </c>
      <c r="B59" s="4" t="s">
        <v>43</v>
      </c>
      <c r="C59" s="4" t="s">
        <v>51</v>
      </c>
      <c r="D59" s="4" t="s">
        <v>61</v>
      </c>
      <c r="E59" s="4" t="s">
        <v>91</v>
      </c>
      <c r="F59" s="4"/>
      <c r="G59" s="57" t="s">
        <v>93</v>
      </c>
      <c r="H59" s="4" t="s">
        <v>1182</v>
      </c>
      <c r="I59" s="7">
        <v>27427.583396474714</v>
      </c>
      <c r="J59" s="4" t="s">
        <v>1189</v>
      </c>
      <c r="K59" s="15">
        <v>45884</v>
      </c>
      <c r="L59" s="4" t="s">
        <v>14</v>
      </c>
      <c r="M59" s="4" t="s">
        <v>225</v>
      </c>
      <c r="N59" s="4">
        <v>2025</v>
      </c>
    </row>
    <row r="60" spans="1:14">
      <c r="A60" s="4">
        <v>22</v>
      </c>
      <c r="B60" s="4" t="s">
        <v>43</v>
      </c>
      <c r="C60" s="4" t="s">
        <v>50</v>
      </c>
      <c r="D60" s="4" t="s">
        <v>61</v>
      </c>
      <c r="E60" s="4" t="s">
        <v>91</v>
      </c>
      <c r="F60" s="4"/>
      <c r="G60" s="57" t="s">
        <v>93</v>
      </c>
      <c r="H60" s="4" t="s">
        <v>1182</v>
      </c>
      <c r="I60" s="7">
        <v>24962.134174713956</v>
      </c>
      <c r="J60" s="4" t="s">
        <v>1189</v>
      </c>
      <c r="K60" s="15">
        <v>45884</v>
      </c>
      <c r="L60" s="4" t="s">
        <v>14</v>
      </c>
      <c r="M60" s="4" t="s">
        <v>225</v>
      </c>
      <c r="N60" s="4">
        <v>2025</v>
      </c>
    </row>
    <row r="61" spans="1:14">
      <c r="A61" s="4">
        <v>23</v>
      </c>
      <c r="B61" s="4" t="s">
        <v>17</v>
      </c>
      <c r="C61" s="4" t="s">
        <v>23</v>
      </c>
      <c r="D61" s="4" t="s">
        <v>61</v>
      </c>
      <c r="E61" s="4" t="s">
        <v>91</v>
      </c>
      <c r="F61" s="4"/>
      <c r="G61" s="57" t="s">
        <v>93</v>
      </c>
      <c r="H61" s="4" t="s">
        <v>1182</v>
      </c>
      <c r="I61" s="7">
        <v>597.20845837056606</v>
      </c>
      <c r="J61" s="4" t="s">
        <v>1189</v>
      </c>
      <c r="K61" s="15">
        <v>45884</v>
      </c>
      <c r="L61" s="4" t="s">
        <v>14</v>
      </c>
      <c r="M61" s="4" t="s">
        <v>225</v>
      </c>
      <c r="N61" s="4">
        <v>2025</v>
      </c>
    </row>
    <row r="62" spans="1:14">
      <c r="A62" s="4">
        <v>24</v>
      </c>
      <c r="B62" s="4" t="s">
        <v>17</v>
      </c>
      <c r="C62" s="4" t="s">
        <v>24</v>
      </c>
      <c r="D62" s="4" t="s">
        <v>61</v>
      </c>
      <c r="E62" s="4" t="s">
        <v>91</v>
      </c>
      <c r="F62" s="4"/>
      <c r="G62" s="57" t="s">
        <v>93</v>
      </c>
      <c r="H62" s="4" t="s">
        <v>1182</v>
      </c>
      <c r="I62" s="7">
        <v>5089.3684780025733</v>
      </c>
      <c r="J62" s="4" t="s">
        <v>1189</v>
      </c>
      <c r="K62" s="15">
        <v>45884</v>
      </c>
      <c r="L62" s="4" t="s">
        <v>14</v>
      </c>
      <c r="M62" s="4" t="s">
        <v>225</v>
      </c>
      <c r="N62" s="4">
        <v>2025</v>
      </c>
    </row>
    <row r="63" spans="1:14">
      <c r="A63" s="4">
        <v>25</v>
      </c>
      <c r="B63" s="4" t="s">
        <v>17</v>
      </c>
      <c r="C63" s="4" t="s">
        <v>25</v>
      </c>
      <c r="D63" s="4" t="s">
        <v>61</v>
      </c>
      <c r="E63" s="4" t="s">
        <v>91</v>
      </c>
      <c r="F63" s="4"/>
      <c r="G63" s="57" t="s">
        <v>93</v>
      </c>
      <c r="H63" s="4" t="s">
        <v>1182</v>
      </c>
      <c r="I63" s="7">
        <v>6419.9906346418957</v>
      </c>
      <c r="J63" s="4" t="s">
        <v>1189</v>
      </c>
      <c r="K63" s="15">
        <v>45884</v>
      </c>
      <c r="L63" s="4" t="s">
        <v>14</v>
      </c>
      <c r="M63" s="4" t="s">
        <v>225</v>
      </c>
      <c r="N63" s="4">
        <v>2025</v>
      </c>
    </row>
    <row r="64" spans="1:14">
      <c r="A64" s="4">
        <v>26</v>
      </c>
      <c r="B64" s="4" t="s">
        <v>17</v>
      </c>
      <c r="C64" s="4" t="s">
        <v>26</v>
      </c>
      <c r="D64" s="4" t="s">
        <v>61</v>
      </c>
      <c r="E64" s="4" t="s">
        <v>91</v>
      </c>
      <c r="F64" s="4"/>
      <c r="G64" s="57" t="s">
        <v>93</v>
      </c>
      <c r="H64" s="4" t="s">
        <v>1182</v>
      </c>
      <c r="I64" s="7">
        <v>74.65105389118483</v>
      </c>
      <c r="J64" s="4" t="s">
        <v>1189</v>
      </c>
      <c r="K64" s="15">
        <v>45884</v>
      </c>
      <c r="L64" s="4" t="s">
        <v>14</v>
      </c>
      <c r="M64" s="4" t="s">
        <v>225</v>
      </c>
      <c r="N64" s="4">
        <v>2025</v>
      </c>
    </row>
    <row r="65" spans="1:14">
      <c r="A65" s="4">
        <v>27</v>
      </c>
      <c r="B65" s="4" t="s">
        <v>43</v>
      </c>
      <c r="C65" s="4" t="s">
        <v>70</v>
      </c>
      <c r="D65" s="4" t="s">
        <v>61</v>
      </c>
      <c r="E65" s="4" t="s">
        <v>91</v>
      </c>
      <c r="F65" s="4"/>
      <c r="G65" s="57" t="s">
        <v>93</v>
      </c>
      <c r="H65" s="4" t="s">
        <v>1181</v>
      </c>
      <c r="I65" s="7">
        <v>2098.0161504312632</v>
      </c>
      <c r="J65" s="4" t="s">
        <v>1189</v>
      </c>
      <c r="K65" s="15">
        <v>45884</v>
      </c>
      <c r="L65" s="4" t="s">
        <v>14</v>
      </c>
      <c r="M65" s="4" t="s">
        <v>225</v>
      </c>
      <c r="N65" s="4">
        <v>2025</v>
      </c>
    </row>
    <row r="66" spans="1:14">
      <c r="A66" s="4">
        <v>28</v>
      </c>
      <c r="B66" s="4" t="s">
        <v>55</v>
      </c>
      <c r="C66" s="4" t="s">
        <v>56</v>
      </c>
      <c r="D66" s="4" t="s">
        <v>61</v>
      </c>
      <c r="E66" s="4" t="s">
        <v>91</v>
      </c>
      <c r="F66" s="4"/>
      <c r="G66" s="57" t="s">
        <v>93</v>
      </c>
      <c r="H66" s="4" t="s">
        <v>1181</v>
      </c>
      <c r="I66" s="7">
        <v>24486.22499321356</v>
      </c>
      <c r="J66" s="4" t="s">
        <v>1189</v>
      </c>
      <c r="K66" s="15">
        <v>45884</v>
      </c>
      <c r="L66" s="4" t="s">
        <v>14</v>
      </c>
      <c r="M66" s="4" t="s">
        <v>225</v>
      </c>
      <c r="N66" s="4">
        <v>2025</v>
      </c>
    </row>
    <row r="67" spans="1:14">
      <c r="A67" s="4">
        <v>29</v>
      </c>
      <c r="B67" s="4" t="s">
        <v>43</v>
      </c>
      <c r="C67" s="4" t="s">
        <v>44</v>
      </c>
      <c r="D67" s="4" t="s">
        <v>61</v>
      </c>
      <c r="E67" s="4" t="s">
        <v>91</v>
      </c>
      <c r="F67" s="4"/>
      <c r="G67" s="57" t="s">
        <v>93</v>
      </c>
      <c r="H67" s="4" t="s">
        <v>1181</v>
      </c>
      <c r="I67" s="7">
        <v>1846.5608660489549</v>
      </c>
      <c r="J67" s="4" t="s">
        <v>1189</v>
      </c>
      <c r="K67" s="15">
        <v>45884</v>
      </c>
      <c r="L67" s="4" t="s">
        <v>14</v>
      </c>
      <c r="M67" s="4" t="s">
        <v>225</v>
      </c>
      <c r="N67" s="4">
        <v>2025</v>
      </c>
    </row>
    <row r="68" spans="1:14">
      <c r="A68" s="4">
        <v>30</v>
      </c>
      <c r="B68" s="4" t="s">
        <v>35</v>
      </c>
      <c r="C68" s="4" t="s">
        <v>37</v>
      </c>
      <c r="D68" s="4" t="s">
        <v>61</v>
      </c>
      <c r="E68" s="4" t="s">
        <v>91</v>
      </c>
      <c r="F68" s="4"/>
      <c r="G68" s="57" t="s">
        <v>93</v>
      </c>
      <c r="H68" s="4" t="s">
        <v>1181</v>
      </c>
      <c r="I68" s="7">
        <v>2642.5088408985507</v>
      </c>
      <c r="J68" s="4" t="s">
        <v>1189</v>
      </c>
      <c r="K68" s="15">
        <v>45884</v>
      </c>
      <c r="L68" s="4" t="s">
        <v>14</v>
      </c>
      <c r="M68" s="4" t="s">
        <v>225</v>
      </c>
      <c r="N68" s="4">
        <v>2025</v>
      </c>
    </row>
    <row r="69" spans="1:14">
      <c r="A69" s="4">
        <v>31</v>
      </c>
      <c r="B69" s="4" t="s">
        <v>35</v>
      </c>
      <c r="C69" s="4" t="s">
        <v>38</v>
      </c>
      <c r="D69" s="4" t="s">
        <v>61</v>
      </c>
      <c r="E69" s="4" t="s">
        <v>91</v>
      </c>
      <c r="F69" s="4"/>
      <c r="G69" s="57" t="s">
        <v>93</v>
      </c>
      <c r="H69" s="4" t="s">
        <v>1181</v>
      </c>
      <c r="I69" s="7">
        <v>1507.7095292607264</v>
      </c>
      <c r="J69" s="4" t="s">
        <v>1189</v>
      </c>
      <c r="K69" s="15">
        <v>45884</v>
      </c>
      <c r="L69" s="4" t="s">
        <v>14</v>
      </c>
      <c r="M69" s="4" t="s">
        <v>225</v>
      </c>
      <c r="N69" s="4">
        <v>2025</v>
      </c>
    </row>
    <row r="70" spans="1:14">
      <c r="A70" s="4">
        <v>32</v>
      </c>
      <c r="B70" s="4" t="s">
        <v>43</v>
      </c>
      <c r="C70" s="4" t="s">
        <v>45</v>
      </c>
      <c r="D70" s="4" t="s">
        <v>61</v>
      </c>
      <c r="E70" s="4" t="s">
        <v>91</v>
      </c>
      <c r="F70" s="4"/>
      <c r="G70" s="57" t="s">
        <v>93</v>
      </c>
      <c r="H70" s="4" t="s">
        <v>1181</v>
      </c>
      <c r="I70" s="7">
        <v>171.75245801612246</v>
      </c>
      <c r="J70" s="4" t="s">
        <v>1189</v>
      </c>
      <c r="K70" s="15">
        <v>45884</v>
      </c>
      <c r="L70" s="4" t="s">
        <v>14</v>
      </c>
      <c r="M70" s="4" t="s">
        <v>225</v>
      </c>
      <c r="N70" s="4">
        <v>2025</v>
      </c>
    </row>
    <row r="71" spans="1:14">
      <c r="A71" s="4">
        <v>33</v>
      </c>
      <c r="B71" s="4" t="s">
        <v>43</v>
      </c>
      <c r="C71" s="4" t="s">
        <v>46</v>
      </c>
      <c r="D71" s="4" t="s">
        <v>61</v>
      </c>
      <c r="E71" s="4" t="s">
        <v>91</v>
      </c>
      <c r="F71" s="4"/>
      <c r="G71" s="57" t="s">
        <v>93</v>
      </c>
      <c r="H71" s="4" t="s">
        <v>1181</v>
      </c>
      <c r="I71" s="7">
        <v>14218.46745202023</v>
      </c>
      <c r="J71" s="4" t="s">
        <v>1189</v>
      </c>
      <c r="K71" s="15">
        <v>45884</v>
      </c>
      <c r="L71" s="4" t="s">
        <v>14</v>
      </c>
      <c r="M71" s="4" t="s">
        <v>225</v>
      </c>
      <c r="N71" s="4">
        <v>2025</v>
      </c>
    </row>
    <row r="72" spans="1:14">
      <c r="A72" s="4">
        <v>34</v>
      </c>
      <c r="B72" s="4" t="s">
        <v>33</v>
      </c>
      <c r="C72" s="4" t="s">
        <v>34</v>
      </c>
      <c r="D72" s="4" t="s">
        <v>61</v>
      </c>
      <c r="E72" s="4" t="s">
        <v>91</v>
      </c>
      <c r="F72" s="4"/>
      <c r="G72" s="57" t="s">
        <v>93</v>
      </c>
      <c r="H72" s="4" t="s">
        <v>1181</v>
      </c>
      <c r="I72" s="7">
        <v>9179.6767149665029</v>
      </c>
      <c r="J72" s="4" t="s">
        <v>1189</v>
      </c>
      <c r="K72" s="15">
        <v>45884</v>
      </c>
      <c r="L72" s="4" t="s">
        <v>14</v>
      </c>
      <c r="M72" s="4" t="s">
        <v>225</v>
      </c>
      <c r="N72" s="4">
        <v>2025</v>
      </c>
    </row>
    <row r="73" spans="1:14">
      <c r="A73" s="4">
        <v>35</v>
      </c>
      <c r="B73" s="4" t="s">
        <v>53</v>
      </c>
      <c r="C73" s="4" t="s">
        <v>62</v>
      </c>
      <c r="D73" s="4" t="s">
        <v>61</v>
      </c>
      <c r="E73" s="4" t="s">
        <v>91</v>
      </c>
      <c r="F73" s="4"/>
      <c r="G73" s="57" t="s">
        <v>93</v>
      </c>
      <c r="H73" s="4" t="s">
        <v>1181</v>
      </c>
      <c r="I73" s="7">
        <v>127717.81741269436</v>
      </c>
      <c r="J73" s="4" t="s">
        <v>1189</v>
      </c>
      <c r="K73" s="15">
        <v>45884</v>
      </c>
      <c r="L73" s="4" t="s">
        <v>14</v>
      </c>
      <c r="M73" s="4" t="s">
        <v>225</v>
      </c>
      <c r="N73" s="4">
        <v>2025</v>
      </c>
    </row>
    <row r="74" spans="1:14">
      <c r="A74" s="4">
        <v>36</v>
      </c>
      <c r="B74" s="38" t="s">
        <v>17</v>
      </c>
      <c r="C74" s="38" t="s">
        <v>22</v>
      </c>
      <c r="D74" s="4" t="s">
        <v>61</v>
      </c>
      <c r="E74" s="4" t="s">
        <v>91</v>
      </c>
      <c r="F74" s="4"/>
      <c r="G74" s="4" t="s">
        <v>93</v>
      </c>
      <c r="H74" s="4" t="s">
        <v>1181</v>
      </c>
      <c r="I74" s="7">
        <v>13189.741608148239</v>
      </c>
      <c r="J74" s="4" t="s">
        <v>1189</v>
      </c>
      <c r="K74" s="15">
        <v>45884</v>
      </c>
      <c r="L74" s="4" t="s">
        <v>14</v>
      </c>
      <c r="M74" s="4" t="s">
        <v>225</v>
      </c>
      <c r="N74" s="4">
        <v>2025</v>
      </c>
    </row>
    <row r="75" spans="1:14">
      <c r="A75" s="4">
        <v>37</v>
      </c>
      <c r="B75" s="4" t="s">
        <v>43</v>
      </c>
      <c r="C75" s="38" t="s">
        <v>47</v>
      </c>
      <c r="D75" s="4" t="s">
        <v>61</v>
      </c>
      <c r="E75" s="4" t="s">
        <v>91</v>
      </c>
      <c r="F75" s="4"/>
      <c r="G75" s="4" t="s">
        <v>93</v>
      </c>
      <c r="H75" s="4" t="s">
        <v>1181</v>
      </c>
      <c r="I75" s="7">
        <v>5059.7709636706495</v>
      </c>
      <c r="J75" s="4" t="s">
        <v>1189</v>
      </c>
      <c r="K75" s="15">
        <v>45884</v>
      </c>
      <c r="L75" s="4" t="s">
        <v>14</v>
      </c>
      <c r="M75" s="4" t="s">
        <v>225</v>
      </c>
      <c r="N75" s="4">
        <v>2025</v>
      </c>
    </row>
    <row r="76" spans="1:14">
      <c r="A76" s="4">
        <v>38</v>
      </c>
      <c r="B76" s="4" t="s">
        <v>29</v>
      </c>
      <c r="C76" s="4" t="s">
        <v>237</v>
      </c>
      <c r="D76" s="4" t="s">
        <v>61</v>
      </c>
      <c r="E76" s="4" t="s">
        <v>91</v>
      </c>
      <c r="F76" s="4"/>
      <c r="G76" s="57" t="s">
        <v>93</v>
      </c>
      <c r="H76" s="4" t="s">
        <v>1181</v>
      </c>
      <c r="I76" s="7">
        <v>318.1522693520933</v>
      </c>
      <c r="J76" s="4" t="s">
        <v>1189</v>
      </c>
      <c r="K76" s="15">
        <v>45884</v>
      </c>
      <c r="L76" s="4" t="s">
        <v>14</v>
      </c>
      <c r="M76" s="4" t="s">
        <v>225</v>
      </c>
      <c r="N76" s="4">
        <v>2025</v>
      </c>
    </row>
    <row r="77" spans="1:14">
      <c r="A77" s="4">
        <v>39</v>
      </c>
      <c r="B77" s="4" t="s">
        <v>43</v>
      </c>
      <c r="C77" s="4" t="s">
        <v>48</v>
      </c>
      <c r="D77" s="4" t="s">
        <v>61</v>
      </c>
      <c r="E77" s="4" t="s">
        <v>91</v>
      </c>
      <c r="F77" s="4"/>
      <c r="G77" s="57" t="s">
        <v>93</v>
      </c>
      <c r="H77" s="4" t="s">
        <v>1181</v>
      </c>
      <c r="I77" s="7">
        <v>2146.569517541554</v>
      </c>
      <c r="J77" s="4" t="s">
        <v>1189</v>
      </c>
      <c r="K77" s="15">
        <v>45884</v>
      </c>
      <c r="L77" s="4" t="s">
        <v>14</v>
      </c>
      <c r="M77" s="4" t="s">
        <v>225</v>
      </c>
      <c r="N77" s="4">
        <v>2025</v>
      </c>
    </row>
    <row r="78" spans="1:14">
      <c r="A78" s="4">
        <v>40</v>
      </c>
      <c r="B78" s="4" t="s">
        <v>43</v>
      </c>
      <c r="C78" s="4" t="s">
        <v>49</v>
      </c>
      <c r="D78" s="4" t="s">
        <v>61</v>
      </c>
      <c r="E78" s="4" t="s">
        <v>91</v>
      </c>
      <c r="F78" s="4"/>
      <c r="G78" s="57" t="s">
        <v>93</v>
      </c>
      <c r="H78" s="4" t="s">
        <v>1181</v>
      </c>
      <c r="I78" s="7">
        <v>1686.5903212235498</v>
      </c>
      <c r="J78" s="4" t="s">
        <v>1189</v>
      </c>
      <c r="K78" s="15">
        <v>45884</v>
      </c>
      <c r="L78" s="4" t="s">
        <v>14</v>
      </c>
      <c r="M78" s="4" t="s">
        <v>225</v>
      </c>
      <c r="N78" s="4">
        <v>2025</v>
      </c>
    </row>
    <row r="79" spans="1:14">
      <c r="A79" s="4">
        <v>41</v>
      </c>
      <c r="B79" s="4" t="s">
        <v>43</v>
      </c>
      <c r="C79" s="4" t="s">
        <v>51</v>
      </c>
      <c r="D79" s="4" t="s">
        <v>61</v>
      </c>
      <c r="E79" s="4" t="s">
        <v>91</v>
      </c>
      <c r="F79" s="4"/>
      <c r="G79" s="57" t="s">
        <v>93</v>
      </c>
      <c r="H79" s="4" t="s">
        <v>1181</v>
      </c>
      <c r="I79" s="7">
        <v>28569.059338973078</v>
      </c>
      <c r="J79" s="4" t="s">
        <v>1189</v>
      </c>
      <c r="K79" s="15">
        <v>45884</v>
      </c>
      <c r="L79" s="4" t="s">
        <v>14</v>
      </c>
      <c r="M79" s="4" t="s">
        <v>225</v>
      </c>
      <c r="N79" s="4">
        <v>2025</v>
      </c>
    </row>
    <row r="80" spans="1:14">
      <c r="A80" s="4">
        <v>42</v>
      </c>
      <c r="B80" s="4" t="s">
        <v>43</v>
      </c>
      <c r="C80" s="4" t="s">
        <v>50</v>
      </c>
      <c r="D80" s="4" t="s">
        <v>61</v>
      </c>
      <c r="E80" s="4" t="s">
        <v>91</v>
      </c>
      <c r="F80" s="4"/>
      <c r="G80" s="57" t="s">
        <v>93</v>
      </c>
      <c r="H80" s="4" t="s">
        <v>1181</v>
      </c>
      <c r="I80" s="7">
        <v>20695.178814642681</v>
      </c>
      <c r="J80" s="4" t="s">
        <v>1189</v>
      </c>
      <c r="K80" s="15">
        <v>45884</v>
      </c>
      <c r="L80" s="4" t="s">
        <v>14</v>
      </c>
      <c r="M80" s="4" t="s">
        <v>225</v>
      </c>
      <c r="N80" s="4">
        <v>2025</v>
      </c>
    </row>
    <row r="81" spans="1:14">
      <c r="A81" s="4">
        <v>43</v>
      </c>
      <c r="B81" s="4" t="s">
        <v>17</v>
      </c>
      <c r="C81" s="4" t="s">
        <v>23</v>
      </c>
      <c r="D81" s="4" t="s">
        <v>61</v>
      </c>
      <c r="E81" s="4" t="s">
        <v>91</v>
      </c>
      <c r="F81" s="4"/>
      <c r="G81" s="57" t="s">
        <v>93</v>
      </c>
      <c r="H81" s="4" t="s">
        <v>1181</v>
      </c>
      <c r="I81" s="7">
        <v>2460.7864046167433</v>
      </c>
      <c r="J81" s="4" t="s">
        <v>1189</v>
      </c>
      <c r="K81" s="15">
        <v>45884</v>
      </c>
      <c r="L81" s="4" t="s">
        <v>14</v>
      </c>
      <c r="M81" s="4" t="s">
        <v>225</v>
      </c>
      <c r="N81" s="4">
        <v>2025</v>
      </c>
    </row>
    <row r="82" spans="1:14">
      <c r="A82" s="4">
        <v>44</v>
      </c>
      <c r="B82" s="4" t="s">
        <v>43</v>
      </c>
      <c r="C82" s="4" t="s">
        <v>77</v>
      </c>
      <c r="D82" s="4" t="s">
        <v>61</v>
      </c>
      <c r="E82" s="4" t="s">
        <v>91</v>
      </c>
      <c r="F82" s="4"/>
      <c r="G82" s="57" t="s">
        <v>93</v>
      </c>
      <c r="H82" s="4" t="s">
        <v>1181</v>
      </c>
      <c r="I82" s="7">
        <v>3066.5278542268784</v>
      </c>
      <c r="J82" s="4" t="s">
        <v>1189</v>
      </c>
      <c r="K82" s="15">
        <v>45884</v>
      </c>
      <c r="L82" s="4" t="s">
        <v>14</v>
      </c>
      <c r="M82" s="4" t="s">
        <v>225</v>
      </c>
      <c r="N82" s="4">
        <v>2025</v>
      </c>
    </row>
    <row r="83" spans="1:14">
      <c r="A83" s="4">
        <v>45</v>
      </c>
      <c r="B83" s="4" t="s">
        <v>17</v>
      </c>
      <c r="C83" s="4" t="s">
        <v>24</v>
      </c>
      <c r="D83" s="4" t="s">
        <v>61</v>
      </c>
      <c r="E83" s="4" t="s">
        <v>91</v>
      </c>
      <c r="F83" s="4"/>
      <c r="G83" s="57" t="s">
        <v>93</v>
      </c>
      <c r="H83" s="4" t="s">
        <v>1181</v>
      </c>
      <c r="I83" s="7">
        <v>18373.074775669851</v>
      </c>
      <c r="J83" s="4" t="s">
        <v>1189</v>
      </c>
      <c r="K83" s="15">
        <v>45884</v>
      </c>
      <c r="L83" s="4" t="s">
        <v>14</v>
      </c>
      <c r="M83" s="4" t="s">
        <v>225</v>
      </c>
      <c r="N83" s="4">
        <v>2025</v>
      </c>
    </row>
    <row r="84" spans="1:14">
      <c r="A84" s="4">
        <v>46</v>
      </c>
      <c r="B84" s="4" t="s">
        <v>17</v>
      </c>
      <c r="C84" s="4" t="s">
        <v>25</v>
      </c>
      <c r="D84" s="4" t="s">
        <v>61</v>
      </c>
      <c r="E84" s="4" t="s">
        <v>91</v>
      </c>
      <c r="F84" s="4"/>
      <c r="G84" s="57" t="s">
        <v>93</v>
      </c>
      <c r="H84" s="4" t="s">
        <v>1181</v>
      </c>
      <c r="I84" s="7">
        <v>23065.1044697055</v>
      </c>
      <c r="J84" s="4" t="s">
        <v>1189</v>
      </c>
      <c r="K84" s="15">
        <v>45884</v>
      </c>
      <c r="L84" s="4" t="s">
        <v>14</v>
      </c>
      <c r="M84" s="4" t="s">
        <v>225</v>
      </c>
      <c r="N84" s="4">
        <v>2025</v>
      </c>
    </row>
    <row r="85" spans="1:14">
      <c r="A85" s="4">
        <v>47</v>
      </c>
      <c r="B85" s="4" t="s">
        <v>17</v>
      </c>
      <c r="C85" s="4" t="s">
        <v>26</v>
      </c>
      <c r="D85" s="4" t="s">
        <v>61</v>
      </c>
      <c r="E85" s="4" t="s">
        <v>91</v>
      </c>
      <c r="F85" s="4"/>
      <c r="G85" s="57" t="s">
        <v>93</v>
      </c>
      <c r="H85" s="4" t="s">
        <v>1181</v>
      </c>
      <c r="I85" s="7">
        <v>1548.5965686226004</v>
      </c>
      <c r="J85" s="4" t="s">
        <v>1189</v>
      </c>
      <c r="K85" s="15">
        <v>45884</v>
      </c>
      <c r="L85" s="4" t="s">
        <v>14</v>
      </c>
      <c r="M85" s="4" t="s">
        <v>225</v>
      </c>
      <c r="N85" s="4">
        <v>2025</v>
      </c>
    </row>
    <row r="86" spans="1:14">
      <c r="A86" s="4"/>
      <c r="B86" s="4" t="s">
        <v>43</v>
      </c>
      <c r="C86" s="4" t="s">
        <v>50</v>
      </c>
      <c r="D86" s="4" t="s">
        <v>19</v>
      </c>
      <c r="E86" s="4" t="s">
        <v>91</v>
      </c>
      <c r="F86" s="4"/>
      <c r="G86" s="93" t="s">
        <v>93</v>
      </c>
      <c r="H86" s="4" t="s">
        <v>1181</v>
      </c>
      <c r="I86" s="7">
        <v>172.94149295774648</v>
      </c>
      <c r="J86" s="91" t="s">
        <v>14</v>
      </c>
      <c r="K86" s="91" t="s">
        <v>14</v>
      </c>
      <c r="L86" s="91" t="s">
        <v>14</v>
      </c>
      <c r="M86" s="4" t="s">
        <v>226</v>
      </c>
      <c r="N86" s="4">
        <v>2025</v>
      </c>
    </row>
    <row r="87" spans="1:14">
      <c r="A87" s="4"/>
      <c r="B87" s="4" t="s">
        <v>43</v>
      </c>
      <c r="C87" s="4" t="s">
        <v>77</v>
      </c>
      <c r="D87" s="4" t="s">
        <v>19</v>
      </c>
      <c r="E87" s="4" t="s">
        <v>91</v>
      </c>
      <c r="F87" s="4"/>
      <c r="G87" s="93" t="s">
        <v>93</v>
      </c>
      <c r="H87" s="4" t="s">
        <v>1181</v>
      </c>
      <c r="I87" s="7">
        <v>172.94149295774648</v>
      </c>
      <c r="J87" s="91" t="s">
        <v>14</v>
      </c>
      <c r="K87" s="91" t="s">
        <v>14</v>
      </c>
      <c r="L87" s="91" t="s">
        <v>14</v>
      </c>
      <c r="M87" s="4" t="s">
        <v>226</v>
      </c>
      <c r="N87" s="4">
        <v>2025</v>
      </c>
    </row>
    <row r="88" spans="1:14">
      <c r="A88" s="4"/>
      <c r="B88" s="4" t="s">
        <v>29</v>
      </c>
      <c r="C88" s="4" t="s">
        <v>30</v>
      </c>
      <c r="D88" s="4" t="s">
        <v>19</v>
      </c>
      <c r="E88" s="4" t="s">
        <v>91</v>
      </c>
      <c r="F88" s="4"/>
      <c r="G88" s="93" t="s">
        <v>93</v>
      </c>
      <c r="H88" s="4" t="s">
        <v>1181</v>
      </c>
      <c r="I88" s="7">
        <v>213.56988028169013</v>
      </c>
      <c r="J88" s="91" t="s">
        <v>14</v>
      </c>
      <c r="K88" s="91" t="s">
        <v>14</v>
      </c>
      <c r="L88" s="91" t="s">
        <v>14</v>
      </c>
      <c r="M88" s="4" t="s">
        <v>226</v>
      </c>
      <c r="N88" s="4">
        <v>2025</v>
      </c>
    </row>
    <row r="89" spans="1:14">
      <c r="A89" s="4"/>
      <c r="B89" s="4" t="s">
        <v>43</v>
      </c>
      <c r="C89" s="4" t="s">
        <v>45</v>
      </c>
      <c r="D89" s="4" t="s">
        <v>19</v>
      </c>
      <c r="E89" s="4" t="s">
        <v>91</v>
      </c>
      <c r="F89" s="4"/>
      <c r="G89" s="93" t="s">
        <v>93</v>
      </c>
      <c r="H89" s="4" t="s">
        <v>1181</v>
      </c>
      <c r="I89" s="7">
        <v>566.08883802816899</v>
      </c>
      <c r="J89" s="91" t="s">
        <v>14</v>
      </c>
      <c r="K89" s="91" t="s">
        <v>14</v>
      </c>
      <c r="L89" s="91" t="s">
        <v>14</v>
      </c>
      <c r="M89" s="4" t="s">
        <v>226</v>
      </c>
      <c r="N89" s="4">
        <v>2025</v>
      </c>
    </row>
    <row r="90" spans="1:14">
      <c r="A90" s="4"/>
      <c r="B90" s="4" t="s">
        <v>43</v>
      </c>
      <c r="C90" s="4" t="s">
        <v>49</v>
      </c>
      <c r="D90" s="4" t="s">
        <v>19</v>
      </c>
      <c r="E90" s="4" t="s">
        <v>91</v>
      </c>
      <c r="F90" s="4"/>
      <c r="G90" s="93" t="s">
        <v>93</v>
      </c>
      <c r="H90" s="4" t="s">
        <v>1181</v>
      </c>
      <c r="I90" s="7">
        <v>566.08883802816899</v>
      </c>
      <c r="J90" s="91" t="s">
        <v>14</v>
      </c>
      <c r="K90" s="91" t="s">
        <v>14</v>
      </c>
      <c r="L90" s="91" t="s">
        <v>14</v>
      </c>
      <c r="M90" s="4" t="s">
        <v>226</v>
      </c>
      <c r="N90" s="4">
        <v>2025</v>
      </c>
    </row>
    <row r="91" spans="1:14">
      <c r="A91" s="4"/>
      <c r="B91" s="4" t="s">
        <v>272</v>
      </c>
      <c r="C91" s="4" t="s">
        <v>32</v>
      </c>
      <c r="D91" s="4" t="s">
        <v>19</v>
      </c>
      <c r="E91" s="4" t="s">
        <v>91</v>
      </c>
      <c r="F91" s="4"/>
      <c r="G91" s="93" t="s">
        <v>93</v>
      </c>
      <c r="H91" s="4" t="s">
        <v>1181</v>
      </c>
      <c r="I91" s="7">
        <v>691.7659718309859</v>
      </c>
      <c r="J91" s="91" t="s">
        <v>14</v>
      </c>
      <c r="K91" s="91" t="s">
        <v>14</v>
      </c>
      <c r="L91" s="91" t="s">
        <v>14</v>
      </c>
      <c r="M91" s="4" t="s">
        <v>226</v>
      </c>
      <c r="N91" s="4">
        <v>2025</v>
      </c>
    </row>
    <row r="92" spans="1:14">
      <c r="A92" s="4"/>
      <c r="B92" s="4" t="s">
        <v>17</v>
      </c>
      <c r="C92" s="4" t="s">
        <v>23</v>
      </c>
      <c r="D92" s="4" t="s">
        <v>19</v>
      </c>
      <c r="E92" s="4" t="s">
        <v>91</v>
      </c>
      <c r="F92" s="4"/>
      <c r="G92" s="93" t="s">
        <v>93</v>
      </c>
      <c r="H92" s="4" t="s">
        <v>1181</v>
      </c>
      <c r="I92" s="7">
        <v>2048.7540633802819</v>
      </c>
      <c r="J92" s="91" t="s">
        <v>14</v>
      </c>
      <c r="K92" s="91" t="s">
        <v>14</v>
      </c>
      <c r="L92" s="91" t="s">
        <v>14</v>
      </c>
      <c r="M92" s="4" t="s">
        <v>226</v>
      </c>
      <c r="N92" s="4">
        <v>2025</v>
      </c>
    </row>
    <row r="93" spans="1:14">
      <c r="A93" s="4"/>
      <c r="B93" s="4" t="s">
        <v>43</v>
      </c>
      <c r="C93" s="4" t="s">
        <v>48</v>
      </c>
      <c r="D93" s="4" t="s">
        <v>19</v>
      </c>
      <c r="E93" s="4" t="s">
        <v>91</v>
      </c>
      <c r="F93" s="4"/>
      <c r="G93" s="93" t="s">
        <v>93</v>
      </c>
      <c r="H93" s="4" t="s">
        <v>1181</v>
      </c>
      <c r="I93" s="7">
        <v>2161.4301267605633</v>
      </c>
      <c r="J93" s="91" t="s">
        <v>14</v>
      </c>
      <c r="K93" s="91" t="s">
        <v>14</v>
      </c>
      <c r="L93" s="91" t="s">
        <v>14</v>
      </c>
      <c r="M93" s="4" t="s">
        <v>226</v>
      </c>
      <c r="N93" s="4">
        <v>2025</v>
      </c>
    </row>
    <row r="94" spans="1:14">
      <c r="A94" s="4"/>
      <c r="B94" s="4" t="s">
        <v>33</v>
      </c>
      <c r="C94" s="4" t="s">
        <v>34</v>
      </c>
      <c r="D94" s="4" t="s">
        <v>19</v>
      </c>
      <c r="E94" s="4" t="s">
        <v>91</v>
      </c>
      <c r="F94" s="4"/>
      <c r="G94" s="93" t="s">
        <v>93</v>
      </c>
      <c r="H94" s="4" t="s">
        <v>1181</v>
      </c>
      <c r="I94" s="7">
        <v>2818.1202394366201</v>
      </c>
      <c r="J94" s="91" t="s">
        <v>14</v>
      </c>
      <c r="K94" s="91" t="s">
        <v>14</v>
      </c>
      <c r="L94" s="91" t="s">
        <v>14</v>
      </c>
      <c r="M94" s="4" t="s">
        <v>226</v>
      </c>
      <c r="N94" s="4">
        <v>2025</v>
      </c>
    </row>
    <row r="95" spans="1:14">
      <c r="A95" s="4"/>
      <c r="B95" s="4" t="s">
        <v>17</v>
      </c>
      <c r="C95" s="4" t="s">
        <v>26</v>
      </c>
      <c r="D95" s="4" t="s">
        <v>19</v>
      </c>
      <c r="E95" s="4" t="s">
        <v>91</v>
      </c>
      <c r="F95" s="4"/>
      <c r="G95" s="93" t="s">
        <v>93</v>
      </c>
      <c r="H95" s="4" t="s">
        <v>1181</v>
      </c>
      <c r="I95" s="7">
        <v>3112.0476619718306</v>
      </c>
      <c r="J95" s="91" t="s">
        <v>14</v>
      </c>
      <c r="K95" s="91" t="s">
        <v>14</v>
      </c>
      <c r="L95" s="91" t="s">
        <v>14</v>
      </c>
      <c r="M95" s="4" t="s">
        <v>226</v>
      </c>
      <c r="N95" s="4">
        <v>2025</v>
      </c>
    </row>
    <row r="96" spans="1:14">
      <c r="A96" s="4"/>
      <c r="B96" s="4" t="s">
        <v>43</v>
      </c>
      <c r="C96" s="4" t="s">
        <v>44</v>
      </c>
      <c r="D96" s="4" t="s">
        <v>19</v>
      </c>
      <c r="E96" s="4" t="s">
        <v>91</v>
      </c>
      <c r="F96" s="4"/>
      <c r="G96" s="93" t="s">
        <v>93</v>
      </c>
      <c r="H96" s="4" t="s">
        <v>1181</v>
      </c>
      <c r="I96" s="7">
        <v>3251.5872112676057</v>
      </c>
      <c r="J96" s="91" t="s">
        <v>14</v>
      </c>
      <c r="K96" s="91" t="s">
        <v>14</v>
      </c>
      <c r="L96" s="91" t="s">
        <v>14</v>
      </c>
      <c r="M96" s="4" t="s">
        <v>226</v>
      </c>
      <c r="N96" s="4">
        <v>2025</v>
      </c>
    </row>
    <row r="97" spans="1:14">
      <c r="A97" s="4"/>
      <c r="B97" s="4" t="s">
        <v>43</v>
      </c>
      <c r="C97" s="4" t="s">
        <v>47</v>
      </c>
      <c r="D97" s="4" t="s">
        <v>19</v>
      </c>
      <c r="E97" s="4" t="s">
        <v>91</v>
      </c>
      <c r="F97" s="4"/>
      <c r="G97" s="93" t="s">
        <v>93</v>
      </c>
      <c r="H97" s="4" t="s">
        <v>1181</v>
      </c>
      <c r="I97" s="7">
        <v>5382.9902253521132</v>
      </c>
      <c r="J97" s="91" t="s">
        <v>14</v>
      </c>
      <c r="K97" s="91" t="s">
        <v>14</v>
      </c>
      <c r="L97" s="91" t="s">
        <v>14</v>
      </c>
      <c r="M97" s="4" t="s">
        <v>226</v>
      </c>
      <c r="N97" s="4">
        <v>2025</v>
      </c>
    </row>
    <row r="98" spans="1:14">
      <c r="A98" s="4"/>
      <c r="B98" s="4" t="s">
        <v>17</v>
      </c>
      <c r="C98" s="4" t="s">
        <v>24</v>
      </c>
      <c r="D98" s="4" t="s">
        <v>19</v>
      </c>
      <c r="E98" s="4" t="s">
        <v>91</v>
      </c>
      <c r="F98" s="4"/>
      <c r="G98" s="93" t="s">
        <v>93</v>
      </c>
      <c r="H98" s="4" t="s">
        <v>1181</v>
      </c>
      <c r="I98" s="7">
        <v>5479.414936619718</v>
      </c>
      <c r="J98" s="91" t="s">
        <v>14</v>
      </c>
      <c r="K98" s="91" t="s">
        <v>14</v>
      </c>
      <c r="L98" s="91" t="s">
        <v>14</v>
      </c>
      <c r="M98" s="4" t="s">
        <v>226</v>
      </c>
      <c r="N98" s="4">
        <v>2025</v>
      </c>
    </row>
    <row r="99" spans="1:14">
      <c r="A99" s="4"/>
      <c r="B99" s="4" t="s">
        <v>35</v>
      </c>
      <c r="C99" s="4" t="s">
        <v>38</v>
      </c>
      <c r="D99" s="4" t="s">
        <v>19</v>
      </c>
      <c r="E99" s="4" t="s">
        <v>91</v>
      </c>
      <c r="F99" s="4"/>
      <c r="G99" s="93" t="s">
        <v>93</v>
      </c>
      <c r="H99" s="4" t="s">
        <v>1181</v>
      </c>
      <c r="I99" s="7">
        <v>5908.060661971831</v>
      </c>
      <c r="J99" s="91" t="s">
        <v>14</v>
      </c>
      <c r="K99" s="91" t="s">
        <v>14</v>
      </c>
      <c r="L99" s="91" t="s">
        <v>14</v>
      </c>
      <c r="M99" s="4" t="s">
        <v>226</v>
      </c>
      <c r="N99" s="4">
        <v>2025</v>
      </c>
    </row>
    <row r="100" spans="1:14">
      <c r="A100" s="4"/>
      <c r="B100" s="4" t="s">
        <v>17</v>
      </c>
      <c r="C100" s="4" t="s">
        <v>22</v>
      </c>
      <c r="D100" s="4" t="s">
        <v>19</v>
      </c>
      <c r="E100" s="4" t="s">
        <v>91</v>
      </c>
      <c r="F100" s="4"/>
      <c r="G100" s="93" t="s">
        <v>93</v>
      </c>
      <c r="H100" s="4" t="s">
        <v>1181</v>
      </c>
      <c r="I100" s="7">
        <v>7624.1874577464787</v>
      </c>
      <c r="J100" s="91" t="s">
        <v>14</v>
      </c>
      <c r="K100" s="91" t="s">
        <v>14</v>
      </c>
      <c r="L100" s="91" t="s">
        <v>14</v>
      </c>
      <c r="M100" s="4" t="s">
        <v>226</v>
      </c>
      <c r="N100" s="4">
        <v>2025</v>
      </c>
    </row>
    <row r="101" spans="1:14">
      <c r="A101" s="4"/>
      <c r="B101" s="4" t="s">
        <v>43</v>
      </c>
      <c r="C101" s="4" t="s">
        <v>1196</v>
      </c>
      <c r="D101" s="4" t="s">
        <v>19</v>
      </c>
      <c r="E101" s="4" t="s">
        <v>91</v>
      </c>
      <c r="F101" s="4"/>
      <c r="G101" s="93" t="s">
        <v>93</v>
      </c>
      <c r="H101" s="4" t="s">
        <v>1181</v>
      </c>
      <c r="I101" s="7">
        <v>8185.6717464788735</v>
      </c>
      <c r="J101" s="91" t="s">
        <v>14</v>
      </c>
      <c r="K101" s="91" t="s">
        <v>14</v>
      </c>
      <c r="L101" s="91" t="s">
        <v>14</v>
      </c>
      <c r="M101" s="4" t="s">
        <v>226</v>
      </c>
      <c r="N101" s="4">
        <v>2025</v>
      </c>
    </row>
    <row r="102" spans="1:14">
      <c r="A102" s="4"/>
      <c r="B102" s="4" t="s">
        <v>43</v>
      </c>
      <c r="C102" s="4" t="s">
        <v>51</v>
      </c>
      <c r="D102" s="4" t="s">
        <v>19</v>
      </c>
      <c r="E102" s="4" t="s">
        <v>91</v>
      </c>
      <c r="F102" s="4"/>
      <c r="G102" s="93" t="s">
        <v>93</v>
      </c>
      <c r="H102" s="4" t="s">
        <v>1181</v>
      </c>
      <c r="I102" s="7">
        <v>8433.7161197183104</v>
      </c>
      <c r="J102" s="91" t="s">
        <v>14</v>
      </c>
      <c r="K102" s="91" t="s">
        <v>14</v>
      </c>
      <c r="L102" s="91" t="s">
        <v>14</v>
      </c>
      <c r="M102" s="4" t="s">
        <v>226</v>
      </c>
      <c r="N102" s="4">
        <v>2025</v>
      </c>
    </row>
    <row r="103" spans="1:14">
      <c r="A103" s="4"/>
      <c r="B103" s="4" t="s">
        <v>55</v>
      </c>
      <c r="C103" s="4" t="s">
        <v>56</v>
      </c>
      <c r="D103" s="4" t="s">
        <v>19</v>
      </c>
      <c r="E103" s="4" t="s">
        <v>91</v>
      </c>
      <c r="F103" s="4"/>
      <c r="G103" s="93" t="s">
        <v>93</v>
      </c>
      <c r="H103" s="4" t="s">
        <v>1181</v>
      </c>
      <c r="I103" s="7">
        <v>13301.733492957746</v>
      </c>
      <c r="J103" s="91" t="s">
        <v>14</v>
      </c>
      <c r="K103" s="91" t="s">
        <v>14</v>
      </c>
      <c r="L103" s="91" t="s">
        <v>14</v>
      </c>
      <c r="M103" s="4" t="s">
        <v>226</v>
      </c>
      <c r="N103" s="4">
        <v>2025</v>
      </c>
    </row>
    <row r="104" spans="1:14">
      <c r="A104" s="4"/>
      <c r="B104" s="4" t="s">
        <v>43</v>
      </c>
      <c r="C104" s="4" t="s">
        <v>46</v>
      </c>
      <c r="D104" s="4" t="s">
        <v>19</v>
      </c>
      <c r="E104" s="4" t="s">
        <v>91</v>
      </c>
      <c r="F104" s="4"/>
      <c r="G104" s="93" t="s">
        <v>93</v>
      </c>
      <c r="H104" s="4" t="s">
        <v>1181</v>
      </c>
      <c r="I104" s="7">
        <v>15554.577352112676</v>
      </c>
      <c r="J104" s="91" t="s">
        <v>14</v>
      </c>
      <c r="K104" s="91" t="s">
        <v>14</v>
      </c>
      <c r="L104" s="91" t="s">
        <v>14</v>
      </c>
      <c r="M104" s="4" t="s">
        <v>226</v>
      </c>
      <c r="N104" s="4">
        <v>2025</v>
      </c>
    </row>
    <row r="105" spans="1:14">
      <c r="A105" s="4"/>
      <c r="B105" s="4" t="s">
        <v>53</v>
      </c>
      <c r="C105" s="4" t="s">
        <v>54</v>
      </c>
      <c r="D105" s="4" t="s">
        <v>19</v>
      </c>
      <c r="E105" s="4" t="s">
        <v>91</v>
      </c>
      <c r="F105" s="4"/>
      <c r="G105" s="93" t="s">
        <v>93</v>
      </c>
      <c r="H105" s="4" t="s">
        <v>1181</v>
      </c>
      <c r="I105" s="7">
        <v>33089.382197183098</v>
      </c>
      <c r="J105" s="91" t="s">
        <v>14</v>
      </c>
      <c r="K105" s="91" t="s">
        <v>14</v>
      </c>
      <c r="L105" s="91" t="s">
        <v>14</v>
      </c>
      <c r="M105" s="4" t="s">
        <v>226</v>
      </c>
      <c r="N105" s="4">
        <v>2025</v>
      </c>
    </row>
    <row r="106" spans="1:14">
      <c r="A106" s="4"/>
      <c r="B106" s="4" t="s">
        <v>17</v>
      </c>
      <c r="C106" s="4" t="s">
        <v>25</v>
      </c>
      <c r="D106" s="4" t="s">
        <v>19</v>
      </c>
      <c r="E106" s="4" t="s">
        <v>91</v>
      </c>
      <c r="F106" s="4"/>
      <c r="G106" s="93" t="s">
        <v>93</v>
      </c>
      <c r="H106" s="4" t="s">
        <v>1181</v>
      </c>
      <c r="I106" s="7">
        <v>48943.743000000002</v>
      </c>
      <c r="J106" s="91" t="s">
        <v>14</v>
      </c>
      <c r="K106" s="91" t="s">
        <v>14</v>
      </c>
      <c r="L106" s="91" t="s">
        <v>14</v>
      </c>
      <c r="M106" s="4" t="s">
        <v>226</v>
      </c>
      <c r="N106" s="4">
        <v>2025</v>
      </c>
    </row>
    <row r="107" spans="1:14">
      <c r="A107" s="4"/>
      <c r="B107" s="4" t="s">
        <v>17</v>
      </c>
      <c r="C107" s="4" t="s">
        <v>26</v>
      </c>
      <c r="D107" s="4" t="s">
        <v>19</v>
      </c>
      <c r="E107" s="4" t="s">
        <v>91</v>
      </c>
      <c r="F107" s="4"/>
      <c r="G107" s="93" t="s">
        <v>93</v>
      </c>
      <c r="H107" s="91" t="s">
        <v>1182</v>
      </c>
      <c r="I107" s="7">
        <v>67.713978873239441</v>
      </c>
      <c r="J107" s="91" t="s">
        <v>14</v>
      </c>
      <c r="K107" s="91" t="s">
        <v>14</v>
      </c>
      <c r="L107" s="91" t="s">
        <v>14</v>
      </c>
      <c r="M107" s="4" t="s">
        <v>226</v>
      </c>
      <c r="N107" s="4">
        <v>2025</v>
      </c>
    </row>
    <row r="108" spans="1:14">
      <c r="A108" s="4"/>
      <c r="B108" s="4" t="s">
        <v>17</v>
      </c>
      <c r="C108" s="4" t="s">
        <v>18</v>
      </c>
      <c r="D108" s="4" t="s">
        <v>19</v>
      </c>
      <c r="E108" s="4" t="s">
        <v>91</v>
      </c>
      <c r="F108" s="4"/>
      <c r="G108" s="93" t="s">
        <v>93</v>
      </c>
      <c r="H108" s="91" t="s">
        <v>1182</v>
      </c>
      <c r="I108" s="7">
        <v>555.79630985915492</v>
      </c>
      <c r="J108" s="91" t="s">
        <v>14</v>
      </c>
      <c r="K108" s="91" t="s">
        <v>14</v>
      </c>
      <c r="L108" s="91" t="s">
        <v>14</v>
      </c>
      <c r="M108" s="4" t="s">
        <v>226</v>
      </c>
      <c r="N108" s="4">
        <v>2025</v>
      </c>
    </row>
    <row r="109" spans="1:14">
      <c r="A109" s="4"/>
      <c r="B109" s="4" t="s">
        <v>43</v>
      </c>
      <c r="C109" s="4" t="s">
        <v>50</v>
      </c>
      <c r="D109" s="4" t="s">
        <v>19</v>
      </c>
      <c r="E109" s="4" t="s">
        <v>91</v>
      </c>
      <c r="F109" s="4"/>
      <c r="G109" s="93" t="s">
        <v>93</v>
      </c>
      <c r="H109" s="91" t="s">
        <v>1182</v>
      </c>
      <c r="I109" s="7">
        <v>787.37808450704222</v>
      </c>
      <c r="J109" s="91" t="s">
        <v>14</v>
      </c>
      <c r="K109" s="91" t="s">
        <v>14</v>
      </c>
      <c r="L109" s="91" t="s">
        <v>14</v>
      </c>
      <c r="M109" s="4" t="s">
        <v>226</v>
      </c>
      <c r="N109" s="4">
        <v>2025</v>
      </c>
    </row>
    <row r="110" spans="1:14">
      <c r="A110" s="4"/>
      <c r="B110" s="4" t="s">
        <v>17</v>
      </c>
      <c r="C110" s="4" t="s">
        <v>1197</v>
      </c>
      <c r="D110" s="4" t="s">
        <v>19</v>
      </c>
      <c r="E110" s="4" t="s">
        <v>91</v>
      </c>
      <c r="F110" s="4"/>
      <c r="G110" s="93" t="s">
        <v>93</v>
      </c>
      <c r="H110" s="91" t="s">
        <v>1182</v>
      </c>
      <c r="I110" s="7">
        <v>1312.2968028169014</v>
      </c>
      <c r="J110" s="91" t="s">
        <v>14</v>
      </c>
      <c r="K110" s="91" t="s">
        <v>14</v>
      </c>
      <c r="L110" s="91" t="s">
        <v>14</v>
      </c>
      <c r="M110" s="4" t="s">
        <v>226</v>
      </c>
      <c r="N110" s="4">
        <v>2025</v>
      </c>
    </row>
    <row r="111" spans="1:14">
      <c r="A111" s="4"/>
      <c r="B111" s="4" t="s">
        <v>43</v>
      </c>
      <c r="C111" s="4" t="s">
        <v>70</v>
      </c>
      <c r="D111" s="4" t="s">
        <v>19</v>
      </c>
      <c r="E111" s="4" t="s">
        <v>91</v>
      </c>
      <c r="F111" s="4"/>
      <c r="G111" s="93" t="s">
        <v>93</v>
      </c>
      <c r="H111" s="91" t="s">
        <v>1182</v>
      </c>
      <c r="I111" s="7">
        <v>1466.684661971831</v>
      </c>
      <c r="J111" s="91" t="s">
        <v>14</v>
      </c>
      <c r="K111" s="91" t="s">
        <v>14</v>
      </c>
      <c r="L111" s="91" t="s">
        <v>14</v>
      </c>
      <c r="M111" s="4" t="s">
        <v>226</v>
      </c>
      <c r="N111" s="4">
        <v>2025</v>
      </c>
    </row>
    <row r="112" spans="1:14">
      <c r="A112" s="4"/>
      <c r="B112" s="4" t="s">
        <v>43</v>
      </c>
      <c r="C112" s="4" t="s">
        <v>47</v>
      </c>
      <c r="D112" s="4" t="s">
        <v>19</v>
      </c>
      <c r="E112" s="4" t="s">
        <v>91</v>
      </c>
      <c r="F112" s="4"/>
      <c r="G112" s="93" t="s">
        <v>93</v>
      </c>
      <c r="H112" s="91" t="s">
        <v>1182</v>
      </c>
      <c r="I112" s="7">
        <v>1698.2664577464789</v>
      </c>
      <c r="J112" s="91" t="s">
        <v>14</v>
      </c>
      <c r="K112" s="91" t="s">
        <v>14</v>
      </c>
      <c r="L112" s="91" t="s">
        <v>14</v>
      </c>
      <c r="M112" s="4" t="s">
        <v>226</v>
      </c>
      <c r="N112" s="4">
        <v>2025</v>
      </c>
    </row>
    <row r="113" spans="1:14">
      <c r="A113" s="4"/>
      <c r="B113" s="4" t="s">
        <v>59</v>
      </c>
      <c r="C113" s="4" t="s">
        <v>60</v>
      </c>
      <c r="D113" s="4" t="s">
        <v>19</v>
      </c>
      <c r="E113" s="4" t="s">
        <v>91</v>
      </c>
      <c r="F113" s="4"/>
      <c r="G113" s="93" t="s">
        <v>93</v>
      </c>
      <c r="H113" s="91" t="s">
        <v>1182</v>
      </c>
      <c r="I113" s="7">
        <v>2276.5439225352115</v>
      </c>
      <c r="J113" s="91" t="s">
        <v>14</v>
      </c>
      <c r="K113" s="91" t="s">
        <v>14</v>
      </c>
      <c r="L113" s="91" t="s">
        <v>14</v>
      </c>
      <c r="M113" s="4" t="s">
        <v>226</v>
      </c>
      <c r="N113" s="4">
        <v>2025</v>
      </c>
    </row>
    <row r="114" spans="1:14">
      <c r="A114" s="4"/>
      <c r="B114" s="4" t="s">
        <v>35</v>
      </c>
      <c r="C114" s="4" t="s">
        <v>37</v>
      </c>
      <c r="D114" s="4" t="s">
        <v>19</v>
      </c>
      <c r="E114" s="4" t="s">
        <v>91</v>
      </c>
      <c r="F114" s="4"/>
      <c r="G114" s="93" t="s">
        <v>93</v>
      </c>
      <c r="H114" s="91" t="s">
        <v>1182</v>
      </c>
      <c r="I114" s="7">
        <v>3388.8135492957749</v>
      </c>
      <c r="J114" s="91" t="s">
        <v>14</v>
      </c>
      <c r="K114" s="91" t="s">
        <v>14</v>
      </c>
      <c r="L114" s="91" t="s">
        <v>14</v>
      </c>
      <c r="M114" s="4" t="s">
        <v>226</v>
      </c>
      <c r="N114" s="4">
        <v>2025</v>
      </c>
    </row>
    <row r="115" spans="1:14">
      <c r="A115" s="4"/>
      <c r="B115" s="4" t="s">
        <v>35</v>
      </c>
      <c r="C115" s="4" t="s">
        <v>38</v>
      </c>
      <c r="D115" s="4" t="s">
        <v>19</v>
      </c>
      <c r="E115" s="4" t="s">
        <v>91</v>
      </c>
      <c r="F115" s="4"/>
      <c r="G115" s="93" t="s">
        <v>93</v>
      </c>
      <c r="H115" s="91" t="s">
        <v>1182</v>
      </c>
      <c r="I115" s="7">
        <v>3535.4819859154927</v>
      </c>
      <c r="J115" s="91" t="s">
        <v>14</v>
      </c>
      <c r="K115" s="91" t="s">
        <v>14</v>
      </c>
      <c r="L115" s="91" t="s">
        <v>14</v>
      </c>
      <c r="M115" s="4" t="s">
        <v>226</v>
      </c>
      <c r="N115" s="4">
        <v>2025</v>
      </c>
    </row>
    <row r="116" spans="1:14">
      <c r="A116" s="4"/>
      <c r="B116" s="4" t="s">
        <v>33</v>
      </c>
      <c r="C116" s="4" t="s">
        <v>34</v>
      </c>
      <c r="D116" s="4" t="s">
        <v>19</v>
      </c>
      <c r="E116" s="4" t="s">
        <v>91</v>
      </c>
      <c r="F116" s="4"/>
      <c r="G116" s="93" t="s">
        <v>93</v>
      </c>
      <c r="H116" s="91" t="s">
        <v>1182</v>
      </c>
      <c r="I116" s="7">
        <v>3536.0238309859155</v>
      </c>
      <c r="J116" s="91" t="s">
        <v>14</v>
      </c>
      <c r="K116" s="91" t="s">
        <v>14</v>
      </c>
      <c r="L116" s="91" t="s">
        <v>14</v>
      </c>
      <c r="M116" s="4" t="s">
        <v>226</v>
      </c>
      <c r="N116" s="4">
        <v>2025</v>
      </c>
    </row>
    <row r="117" spans="1:14">
      <c r="A117" s="4"/>
      <c r="B117" s="4" t="s">
        <v>17</v>
      </c>
      <c r="C117" s="4" t="s">
        <v>24</v>
      </c>
      <c r="D117" s="4" t="s">
        <v>19</v>
      </c>
      <c r="E117" s="4" t="s">
        <v>91</v>
      </c>
      <c r="F117" s="4"/>
      <c r="G117" s="93" t="s">
        <v>93</v>
      </c>
      <c r="H117" s="91" t="s">
        <v>1182</v>
      </c>
      <c r="I117" s="7">
        <v>5111.863401408451</v>
      </c>
      <c r="J117" s="91" t="s">
        <v>14</v>
      </c>
      <c r="K117" s="91" t="s">
        <v>14</v>
      </c>
      <c r="L117" s="91" t="s">
        <v>14</v>
      </c>
      <c r="M117" s="4" t="s">
        <v>226</v>
      </c>
      <c r="N117" s="4">
        <v>2025</v>
      </c>
    </row>
    <row r="118" spans="1:14">
      <c r="A118" s="4"/>
      <c r="B118" s="4" t="s">
        <v>43</v>
      </c>
      <c r="C118" s="4" t="s">
        <v>46</v>
      </c>
      <c r="D118" s="4" t="s">
        <v>19</v>
      </c>
      <c r="E118" s="4" t="s">
        <v>91</v>
      </c>
      <c r="F118" s="4"/>
      <c r="G118" s="93" t="s">
        <v>93</v>
      </c>
      <c r="H118" s="91" t="s">
        <v>1182</v>
      </c>
      <c r="I118" s="7">
        <v>5462.3509999999997</v>
      </c>
      <c r="J118" s="91" t="s">
        <v>14</v>
      </c>
      <c r="K118" s="91" t="s">
        <v>14</v>
      </c>
      <c r="L118" s="91" t="s">
        <v>14</v>
      </c>
      <c r="M118" s="4" t="s">
        <v>226</v>
      </c>
      <c r="N118" s="4">
        <v>2025</v>
      </c>
    </row>
    <row r="119" spans="1:14">
      <c r="A119" s="4"/>
      <c r="B119" s="4" t="s">
        <v>29</v>
      </c>
      <c r="C119" s="4" t="s">
        <v>30</v>
      </c>
      <c r="D119" s="4" t="s">
        <v>19</v>
      </c>
      <c r="E119" s="4" t="s">
        <v>91</v>
      </c>
      <c r="F119" s="4"/>
      <c r="G119" s="93" t="s">
        <v>93</v>
      </c>
      <c r="H119" s="91" t="s">
        <v>1182</v>
      </c>
      <c r="I119" s="7">
        <v>5789.409549295774</v>
      </c>
      <c r="J119" s="91" t="s">
        <v>14</v>
      </c>
      <c r="K119" s="91" t="s">
        <v>14</v>
      </c>
      <c r="L119" s="91" t="s">
        <v>14</v>
      </c>
      <c r="M119" s="4" t="s">
        <v>226</v>
      </c>
      <c r="N119" s="4">
        <v>2025</v>
      </c>
    </row>
    <row r="120" spans="1:14">
      <c r="A120" s="4"/>
      <c r="B120" s="4" t="s">
        <v>55</v>
      </c>
      <c r="C120" s="4" t="s">
        <v>56</v>
      </c>
      <c r="D120" s="4" t="s">
        <v>19</v>
      </c>
      <c r="E120" s="4" t="s">
        <v>91</v>
      </c>
      <c r="F120" s="4"/>
      <c r="G120" s="93" t="s">
        <v>93</v>
      </c>
      <c r="H120" s="91" t="s">
        <v>1182</v>
      </c>
      <c r="I120" s="7">
        <v>7140.4386549295778</v>
      </c>
      <c r="J120" s="91" t="s">
        <v>14</v>
      </c>
      <c r="K120" s="91" t="s">
        <v>14</v>
      </c>
      <c r="L120" s="91" t="s">
        <v>14</v>
      </c>
      <c r="M120" s="4" t="s">
        <v>226</v>
      </c>
      <c r="N120" s="4">
        <v>2025</v>
      </c>
    </row>
    <row r="121" spans="1:14">
      <c r="A121" s="4"/>
      <c r="B121" s="4" t="s">
        <v>17</v>
      </c>
      <c r="C121" s="4" t="s">
        <v>25</v>
      </c>
      <c r="D121" s="4" t="s">
        <v>19</v>
      </c>
      <c r="E121" s="4" t="s">
        <v>91</v>
      </c>
      <c r="F121" s="4"/>
      <c r="G121" s="93" t="s">
        <v>93</v>
      </c>
      <c r="H121" s="91" t="s">
        <v>1182</v>
      </c>
      <c r="I121" s="7">
        <v>7333.4233098591549</v>
      </c>
      <c r="J121" s="91" t="s">
        <v>14</v>
      </c>
      <c r="K121" s="91" t="s">
        <v>14</v>
      </c>
      <c r="L121" s="91" t="s">
        <v>14</v>
      </c>
      <c r="M121" s="4" t="s">
        <v>226</v>
      </c>
      <c r="N121" s="4">
        <v>2025</v>
      </c>
    </row>
    <row r="122" spans="1:14">
      <c r="A122" s="4"/>
      <c r="B122" s="4" t="s">
        <v>17</v>
      </c>
      <c r="C122" s="4" t="s">
        <v>95</v>
      </c>
      <c r="D122" s="4" t="s">
        <v>19</v>
      </c>
      <c r="E122" s="4" t="s">
        <v>91</v>
      </c>
      <c r="F122" s="4"/>
      <c r="G122" s="93" t="s">
        <v>93</v>
      </c>
      <c r="H122" s="91" t="s">
        <v>1182</v>
      </c>
      <c r="I122" s="7">
        <v>7487.811169014084</v>
      </c>
      <c r="J122" s="91" t="s">
        <v>14</v>
      </c>
      <c r="K122" s="91" t="s">
        <v>14</v>
      </c>
      <c r="L122" s="91" t="s">
        <v>14</v>
      </c>
      <c r="M122" s="4" t="s">
        <v>226</v>
      </c>
      <c r="N122" s="4">
        <v>2025</v>
      </c>
    </row>
    <row r="123" spans="1:14">
      <c r="A123" s="4"/>
      <c r="B123" s="4" t="s">
        <v>17</v>
      </c>
      <c r="C123" s="4" t="s">
        <v>22</v>
      </c>
      <c r="D123" s="4" t="s">
        <v>19</v>
      </c>
      <c r="E123" s="4" t="s">
        <v>91</v>
      </c>
      <c r="F123" s="4"/>
      <c r="G123" s="93" t="s">
        <v>93</v>
      </c>
      <c r="H123" s="91" t="s">
        <v>1182</v>
      </c>
      <c r="I123" s="7">
        <v>9580.1732112676054</v>
      </c>
      <c r="J123" s="91" t="s">
        <v>14</v>
      </c>
      <c r="K123" s="91" t="s">
        <v>14</v>
      </c>
      <c r="L123" s="91" t="s">
        <v>14</v>
      </c>
      <c r="M123" s="4" t="s">
        <v>226</v>
      </c>
      <c r="N123" s="4">
        <v>2025</v>
      </c>
    </row>
    <row r="124" spans="1:14">
      <c r="A124" s="4"/>
      <c r="B124" s="4" t="s">
        <v>43</v>
      </c>
      <c r="C124" s="4" t="s">
        <v>50</v>
      </c>
      <c r="D124" s="4" t="s">
        <v>19</v>
      </c>
      <c r="E124" s="4" t="s">
        <v>91</v>
      </c>
      <c r="F124" s="4"/>
      <c r="G124" s="93" t="s">
        <v>93</v>
      </c>
      <c r="H124" s="91" t="s">
        <v>1182</v>
      </c>
      <c r="I124" s="7">
        <v>22127.707992957749</v>
      </c>
      <c r="J124" s="91" t="s">
        <v>14</v>
      </c>
      <c r="K124" s="91" t="s">
        <v>14</v>
      </c>
      <c r="L124" s="91" t="s">
        <v>14</v>
      </c>
      <c r="M124" s="4" t="s">
        <v>226</v>
      </c>
      <c r="N124" s="4">
        <v>2025</v>
      </c>
    </row>
    <row r="125" spans="1:14">
      <c r="A125" s="4"/>
      <c r="B125" s="4" t="s">
        <v>53</v>
      </c>
      <c r="C125" s="4" t="s">
        <v>54</v>
      </c>
      <c r="D125" s="4" t="s">
        <v>19</v>
      </c>
      <c r="E125" s="4" t="s">
        <v>91</v>
      </c>
      <c r="F125" s="4"/>
      <c r="G125" s="93" t="s">
        <v>93</v>
      </c>
      <c r="H125" s="91" t="s">
        <v>1182</v>
      </c>
      <c r="I125" s="7">
        <v>23691.49425352113</v>
      </c>
      <c r="J125" s="91" t="s">
        <v>14</v>
      </c>
      <c r="K125" s="91" t="s">
        <v>14</v>
      </c>
      <c r="L125" s="91" t="s">
        <v>14</v>
      </c>
      <c r="M125" s="4" t="s">
        <v>226</v>
      </c>
      <c r="N125" s="4">
        <v>2025</v>
      </c>
    </row>
    <row r="126" spans="1:14">
      <c r="A126" s="4"/>
      <c r="B126" s="4" t="s">
        <v>43</v>
      </c>
      <c r="C126" s="4" t="s">
        <v>51</v>
      </c>
      <c r="D126" s="4" t="s">
        <v>19</v>
      </c>
      <c r="E126" s="4" t="s">
        <v>91</v>
      </c>
      <c r="F126" s="4"/>
      <c r="G126" s="93" t="s">
        <v>93</v>
      </c>
      <c r="H126" s="91" t="s">
        <v>1182</v>
      </c>
      <c r="I126" s="7">
        <v>26495.665598591549</v>
      </c>
      <c r="J126" s="91" t="s">
        <v>14</v>
      </c>
      <c r="K126" s="91" t="s">
        <v>14</v>
      </c>
      <c r="L126" s="91" t="s">
        <v>14</v>
      </c>
      <c r="M126" s="4" t="s">
        <v>226</v>
      </c>
      <c r="N126" s="4">
        <v>2025</v>
      </c>
    </row>
    <row r="127" spans="1:14">
      <c r="A127" s="4">
        <v>3</v>
      </c>
      <c r="B127" s="4" t="s">
        <v>53</v>
      </c>
      <c r="C127" s="4" t="s">
        <v>62</v>
      </c>
      <c r="D127" s="4" t="s">
        <v>61</v>
      </c>
      <c r="E127" s="4" t="s">
        <v>91</v>
      </c>
      <c r="F127" s="4"/>
      <c r="G127" s="57" t="s">
        <v>97</v>
      </c>
      <c r="H127" s="58" t="s">
        <v>1182</v>
      </c>
      <c r="I127" s="7">
        <v>1840</v>
      </c>
      <c r="J127" s="4" t="s">
        <v>1185</v>
      </c>
      <c r="K127" s="15">
        <v>45869</v>
      </c>
      <c r="L127" s="4" t="s">
        <v>14</v>
      </c>
      <c r="M127" s="4" t="s">
        <v>225</v>
      </c>
      <c r="N127" s="4">
        <v>2025</v>
      </c>
    </row>
    <row r="128" spans="1:14">
      <c r="A128" s="4">
        <v>4</v>
      </c>
      <c r="B128" s="4" t="s">
        <v>53</v>
      </c>
      <c r="C128" s="4" t="s">
        <v>62</v>
      </c>
      <c r="D128" s="4" t="s">
        <v>61</v>
      </c>
      <c r="E128" s="4" t="s">
        <v>91</v>
      </c>
      <c r="F128" s="4"/>
      <c r="G128" s="57" t="s">
        <v>97</v>
      </c>
      <c r="H128" s="58" t="s">
        <v>1182</v>
      </c>
      <c r="I128" s="7">
        <v>1760</v>
      </c>
      <c r="J128" s="4" t="s">
        <v>1186</v>
      </c>
      <c r="K128" s="15">
        <v>45900</v>
      </c>
      <c r="L128" s="4" t="s">
        <v>14</v>
      </c>
      <c r="M128" s="4" t="s">
        <v>226</v>
      </c>
      <c r="N128" s="4">
        <v>2025</v>
      </c>
    </row>
    <row r="129" spans="1:14">
      <c r="A129" s="4">
        <v>5</v>
      </c>
      <c r="B129" s="4" t="s">
        <v>17</v>
      </c>
      <c r="C129" s="4" t="s">
        <v>23</v>
      </c>
      <c r="D129" s="4" t="s">
        <v>61</v>
      </c>
      <c r="E129" s="4" t="s">
        <v>91</v>
      </c>
      <c r="F129" s="4"/>
      <c r="G129" s="57" t="s">
        <v>97</v>
      </c>
      <c r="H129" s="58" t="s">
        <v>1182</v>
      </c>
      <c r="I129" s="7">
        <v>1380</v>
      </c>
      <c r="J129" s="4" t="s">
        <v>1187</v>
      </c>
      <c r="K129" s="15">
        <v>45869</v>
      </c>
      <c r="L129" s="4" t="s">
        <v>14</v>
      </c>
      <c r="M129" s="4" t="s">
        <v>225</v>
      </c>
      <c r="N129" s="4">
        <v>2025</v>
      </c>
    </row>
    <row r="130" spans="1:14">
      <c r="A130" s="4">
        <v>6</v>
      </c>
      <c r="B130" s="4" t="s">
        <v>17</v>
      </c>
      <c r="C130" s="4" t="s">
        <v>23</v>
      </c>
      <c r="D130" s="4" t="s">
        <v>61</v>
      </c>
      <c r="E130" s="4" t="s">
        <v>91</v>
      </c>
      <c r="F130" s="4"/>
      <c r="G130" s="57" t="s">
        <v>97</v>
      </c>
      <c r="H130" s="58" t="s">
        <v>1182</v>
      </c>
      <c r="I130" s="7">
        <v>1320</v>
      </c>
      <c r="J130" s="4" t="s">
        <v>1188</v>
      </c>
      <c r="K130" s="15">
        <v>45900</v>
      </c>
      <c r="L130" s="4" t="s">
        <v>14</v>
      </c>
      <c r="M130" s="4" t="s">
        <v>226</v>
      </c>
      <c r="N130" s="4">
        <v>2025</v>
      </c>
    </row>
    <row r="131" spans="1:14">
      <c r="A131" s="4">
        <v>48</v>
      </c>
      <c r="B131" s="4" t="s">
        <v>43</v>
      </c>
      <c r="C131" s="4" t="s">
        <v>70</v>
      </c>
      <c r="D131" s="4" t="s">
        <v>61</v>
      </c>
      <c r="E131" s="4" t="s">
        <v>91</v>
      </c>
      <c r="F131" s="4"/>
      <c r="G131" s="57" t="s">
        <v>92</v>
      </c>
      <c r="H131" s="4" t="s">
        <v>1182</v>
      </c>
      <c r="I131" s="7">
        <v>8393.361914472529</v>
      </c>
      <c r="J131" s="4" t="s">
        <v>1190</v>
      </c>
      <c r="K131" s="15">
        <v>45895</v>
      </c>
      <c r="L131" s="4" t="s">
        <v>14</v>
      </c>
      <c r="M131" s="4" t="s">
        <v>225</v>
      </c>
      <c r="N131" s="4">
        <v>2025</v>
      </c>
    </row>
    <row r="132" spans="1:14">
      <c r="A132" s="4">
        <v>49</v>
      </c>
      <c r="B132" s="4" t="s">
        <v>55</v>
      </c>
      <c r="C132" s="4" t="s">
        <v>56</v>
      </c>
      <c r="D132" s="4" t="s">
        <v>61</v>
      </c>
      <c r="E132" s="4" t="s">
        <v>91</v>
      </c>
      <c r="F132" s="4"/>
      <c r="G132" s="57" t="s">
        <v>92</v>
      </c>
      <c r="H132" s="4" t="s">
        <v>1182</v>
      </c>
      <c r="I132" s="7">
        <v>21134.950579911922</v>
      </c>
      <c r="J132" s="4" t="s">
        <v>1190</v>
      </c>
      <c r="K132" s="15">
        <v>45895</v>
      </c>
      <c r="L132" s="4" t="s">
        <v>14</v>
      </c>
      <c r="M132" s="4" t="s">
        <v>225</v>
      </c>
      <c r="N132" s="4">
        <v>2025</v>
      </c>
    </row>
    <row r="133" spans="1:14">
      <c r="A133" s="4">
        <v>50</v>
      </c>
      <c r="B133" s="4" t="s">
        <v>43</v>
      </c>
      <c r="C133" s="4" t="s">
        <v>44</v>
      </c>
      <c r="D133" s="4" t="s">
        <v>61</v>
      </c>
      <c r="E133" s="4" t="s">
        <v>91</v>
      </c>
      <c r="F133" s="4"/>
      <c r="G133" s="57" t="s">
        <v>92</v>
      </c>
      <c r="H133" s="4" t="s">
        <v>1182</v>
      </c>
      <c r="I133" s="7">
        <v>5768.887440288393</v>
      </c>
      <c r="J133" s="4" t="s">
        <v>1190</v>
      </c>
      <c r="K133" s="15">
        <v>45895</v>
      </c>
      <c r="L133" s="4" t="s">
        <v>14</v>
      </c>
      <c r="M133" s="4" t="s">
        <v>225</v>
      </c>
      <c r="N133" s="4">
        <v>2025</v>
      </c>
    </row>
    <row r="134" spans="1:14">
      <c r="A134" s="4">
        <v>51</v>
      </c>
      <c r="B134" s="4" t="s">
        <v>35</v>
      </c>
      <c r="C134" s="4" t="s">
        <v>37</v>
      </c>
      <c r="D134" s="4" t="s">
        <v>61</v>
      </c>
      <c r="E134" s="4" t="s">
        <v>91</v>
      </c>
      <c r="F134" s="4"/>
      <c r="G134" s="57" t="s">
        <v>92</v>
      </c>
      <c r="H134" s="4" t="s">
        <v>1182</v>
      </c>
      <c r="I134" s="7">
        <v>13628.308862580059</v>
      </c>
      <c r="J134" s="4" t="s">
        <v>1190</v>
      </c>
      <c r="K134" s="15">
        <v>45895</v>
      </c>
      <c r="L134" s="4" t="s">
        <v>14</v>
      </c>
      <c r="M134" s="4" t="s">
        <v>225</v>
      </c>
      <c r="N134" s="4">
        <v>2025</v>
      </c>
    </row>
    <row r="135" spans="1:14">
      <c r="A135" s="4">
        <v>52</v>
      </c>
      <c r="B135" s="4" t="s">
        <v>35</v>
      </c>
      <c r="C135" s="4" t="s">
        <v>38</v>
      </c>
      <c r="D135" s="4" t="s">
        <v>61</v>
      </c>
      <c r="E135" s="4" t="s">
        <v>91</v>
      </c>
      <c r="F135" s="4"/>
      <c r="G135" s="57" t="s">
        <v>92</v>
      </c>
      <c r="H135" s="4" t="s">
        <v>1182</v>
      </c>
      <c r="I135" s="7">
        <v>24613.92797568857</v>
      </c>
      <c r="J135" s="4" t="s">
        <v>1190</v>
      </c>
      <c r="K135" s="15">
        <v>45895</v>
      </c>
      <c r="L135" s="4" t="s">
        <v>14</v>
      </c>
      <c r="M135" s="4" t="s">
        <v>225</v>
      </c>
      <c r="N135" s="4">
        <v>2025</v>
      </c>
    </row>
    <row r="136" spans="1:14">
      <c r="A136" s="4">
        <v>53</v>
      </c>
      <c r="B136" s="4" t="s">
        <v>35</v>
      </c>
      <c r="C136" s="4" t="s">
        <v>39</v>
      </c>
      <c r="D136" s="4" t="s">
        <v>61</v>
      </c>
      <c r="E136" s="4" t="s">
        <v>91</v>
      </c>
      <c r="F136" s="4"/>
      <c r="G136" s="57" t="s">
        <v>92</v>
      </c>
      <c r="H136" s="4" t="s">
        <v>1182</v>
      </c>
      <c r="I136" s="7">
        <v>70.630333422247602</v>
      </c>
      <c r="J136" s="4" t="s">
        <v>1190</v>
      </c>
      <c r="K136" s="15">
        <v>45895</v>
      </c>
      <c r="L136" s="4" t="s">
        <v>14</v>
      </c>
      <c r="M136" s="4" t="s">
        <v>225</v>
      </c>
      <c r="N136" s="4">
        <v>2025</v>
      </c>
    </row>
    <row r="137" spans="1:14">
      <c r="A137" s="4">
        <v>54</v>
      </c>
      <c r="B137" s="4" t="s">
        <v>17</v>
      </c>
      <c r="C137" s="4" t="s">
        <v>74</v>
      </c>
      <c r="D137" s="4" t="s">
        <v>61</v>
      </c>
      <c r="E137" s="4" t="s">
        <v>91</v>
      </c>
      <c r="F137" s="4"/>
      <c r="G137" s="57" t="s">
        <v>92</v>
      </c>
      <c r="H137" s="4" t="s">
        <v>1182</v>
      </c>
      <c r="I137" s="7">
        <v>1363.0416340966131</v>
      </c>
      <c r="J137" s="4" t="s">
        <v>1190</v>
      </c>
      <c r="K137" s="15">
        <v>45895</v>
      </c>
      <c r="L137" s="4" t="s">
        <v>14</v>
      </c>
      <c r="M137" s="4" t="s">
        <v>225</v>
      </c>
      <c r="N137" s="4">
        <v>2025</v>
      </c>
    </row>
    <row r="138" spans="1:14">
      <c r="A138" s="4">
        <v>55</v>
      </c>
      <c r="B138" s="4" t="s">
        <v>43</v>
      </c>
      <c r="C138" s="4" t="s">
        <v>45</v>
      </c>
      <c r="D138" s="4" t="s">
        <v>61</v>
      </c>
      <c r="E138" s="4" t="s">
        <v>91</v>
      </c>
      <c r="F138" s="4"/>
      <c r="G138" s="57" t="s">
        <v>92</v>
      </c>
      <c r="H138" s="4" t="s">
        <v>1182</v>
      </c>
      <c r="I138" s="7">
        <v>5654.1441818361864</v>
      </c>
      <c r="J138" s="4" t="s">
        <v>1190</v>
      </c>
      <c r="K138" s="15">
        <v>45895</v>
      </c>
      <c r="L138" s="4" t="s">
        <v>14</v>
      </c>
      <c r="M138" s="4" t="s">
        <v>225</v>
      </c>
      <c r="N138" s="4">
        <v>2025</v>
      </c>
    </row>
    <row r="139" spans="1:14">
      <c r="A139" s="4">
        <v>56</v>
      </c>
      <c r="B139" s="4" t="s">
        <v>43</v>
      </c>
      <c r="C139" s="4" t="s">
        <v>46</v>
      </c>
      <c r="D139" s="4" t="s">
        <v>61</v>
      </c>
      <c r="E139" s="4" t="s">
        <v>91</v>
      </c>
      <c r="F139" s="4"/>
      <c r="G139" s="57" t="s">
        <v>92</v>
      </c>
      <c r="H139" s="4" t="s">
        <v>1182</v>
      </c>
      <c r="I139" s="7">
        <v>16336.548611446295</v>
      </c>
      <c r="J139" s="4" t="s">
        <v>1190</v>
      </c>
      <c r="K139" s="15">
        <v>45895</v>
      </c>
      <c r="L139" s="4" t="s">
        <v>14</v>
      </c>
      <c r="M139" s="4" t="s">
        <v>225</v>
      </c>
      <c r="N139" s="4">
        <v>2025</v>
      </c>
    </row>
    <row r="140" spans="1:14">
      <c r="A140" s="4">
        <v>57</v>
      </c>
      <c r="B140" s="4" t="s">
        <v>27</v>
      </c>
      <c r="C140" s="4" t="s">
        <v>28</v>
      </c>
      <c r="D140" s="4" t="s">
        <v>61</v>
      </c>
      <c r="E140" s="4" t="s">
        <v>91</v>
      </c>
      <c r="F140" s="4"/>
      <c r="G140" s="57" t="s">
        <v>92</v>
      </c>
      <c r="H140" s="4" t="s">
        <v>1182</v>
      </c>
      <c r="I140" s="7">
        <v>61.956437913482404</v>
      </c>
      <c r="J140" s="4" t="s">
        <v>1190</v>
      </c>
      <c r="K140" s="15">
        <v>45895</v>
      </c>
      <c r="L140" s="4" t="s">
        <v>14</v>
      </c>
      <c r="M140" s="4" t="s">
        <v>225</v>
      </c>
      <c r="N140" s="4">
        <v>2025</v>
      </c>
    </row>
    <row r="141" spans="1:14">
      <c r="A141" s="4">
        <v>58</v>
      </c>
      <c r="B141" s="4" t="s">
        <v>33</v>
      </c>
      <c r="C141" s="4" t="s">
        <v>34</v>
      </c>
      <c r="D141" s="4" t="s">
        <v>61</v>
      </c>
      <c r="E141" s="4" t="s">
        <v>91</v>
      </c>
      <c r="F141" s="4"/>
      <c r="G141" s="57" t="s">
        <v>92</v>
      </c>
      <c r="H141" s="4" t="s">
        <v>1182</v>
      </c>
      <c r="I141" s="7">
        <v>43985.72264708006</v>
      </c>
      <c r="J141" s="4" t="s">
        <v>1190</v>
      </c>
      <c r="K141" s="15">
        <v>45895</v>
      </c>
      <c r="L141" s="4" t="s">
        <v>14</v>
      </c>
      <c r="M141" s="4" t="s">
        <v>225</v>
      </c>
      <c r="N141" s="4">
        <v>2025</v>
      </c>
    </row>
    <row r="142" spans="1:14">
      <c r="A142" s="4">
        <v>59</v>
      </c>
      <c r="B142" s="4" t="s">
        <v>53</v>
      </c>
      <c r="C142" s="4" t="s">
        <v>62</v>
      </c>
      <c r="D142" s="4" t="s">
        <v>61</v>
      </c>
      <c r="E142" s="4" t="s">
        <v>91</v>
      </c>
      <c r="F142" s="4"/>
      <c r="G142" s="57" t="s">
        <v>92</v>
      </c>
      <c r="H142" s="4" t="s">
        <v>1182</v>
      </c>
      <c r="I142" s="7">
        <v>47177.966381331047</v>
      </c>
      <c r="J142" s="4" t="s">
        <v>1190</v>
      </c>
      <c r="K142" s="15">
        <v>45895</v>
      </c>
      <c r="L142" s="4" t="s">
        <v>14</v>
      </c>
      <c r="M142" s="4" t="s">
        <v>225</v>
      </c>
      <c r="N142" s="4">
        <v>2025</v>
      </c>
    </row>
    <row r="143" spans="1:14">
      <c r="A143" s="4">
        <v>60</v>
      </c>
      <c r="B143" s="4" t="s">
        <v>59</v>
      </c>
      <c r="C143" s="4" t="s">
        <v>60</v>
      </c>
      <c r="D143" s="4" t="s">
        <v>61</v>
      </c>
      <c r="E143" s="4" t="s">
        <v>91</v>
      </c>
      <c r="F143" s="4"/>
      <c r="G143" s="57" t="s">
        <v>92</v>
      </c>
      <c r="H143" s="4" t="s">
        <v>1182</v>
      </c>
      <c r="I143" s="7">
        <v>6947.9187144202951</v>
      </c>
      <c r="J143" s="4" t="s">
        <v>1190</v>
      </c>
      <c r="K143" s="15">
        <v>45895</v>
      </c>
      <c r="L143" s="4" t="s">
        <v>14</v>
      </c>
      <c r="M143" s="4" t="s">
        <v>225</v>
      </c>
      <c r="N143" s="4">
        <v>2025</v>
      </c>
    </row>
    <row r="144" spans="1:14">
      <c r="A144" s="4">
        <v>61</v>
      </c>
      <c r="B144" s="4" t="s">
        <v>43</v>
      </c>
      <c r="C144" s="4" t="s">
        <v>47</v>
      </c>
      <c r="D144" s="4" t="s">
        <v>61</v>
      </c>
      <c r="E144" s="4" t="s">
        <v>91</v>
      </c>
      <c r="F144" s="4"/>
      <c r="G144" s="57" t="s">
        <v>92</v>
      </c>
      <c r="H144" s="4" t="s">
        <v>1182</v>
      </c>
      <c r="I144" s="7">
        <v>12964.879483782965</v>
      </c>
      <c r="J144" s="4" t="s">
        <v>1190</v>
      </c>
      <c r="K144" s="15">
        <v>45895</v>
      </c>
      <c r="L144" s="4" t="s">
        <v>14</v>
      </c>
      <c r="M144" s="4" t="s">
        <v>225</v>
      </c>
      <c r="N144" s="4">
        <v>2025</v>
      </c>
    </row>
    <row r="145" spans="1:14">
      <c r="A145" s="4">
        <v>62</v>
      </c>
      <c r="B145" s="4" t="s">
        <v>29</v>
      </c>
      <c r="C145" s="4" t="s">
        <v>237</v>
      </c>
      <c r="D145" s="4" t="s">
        <v>61</v>
      </c>
      <c r="E145" s="4" t="s">
        <v>91</v>
      </c>
      <c r="F145" s="4"/>
      <c r="G145" s="57" t="s">
        <v>92</v>
      </c>
      <c r="H145" s="4" t="s">
        <v>1182</v>
      </c>
      <c r="I145" s="7">
        <v>9362.8565289190192</v>
      </c>
      <c r="J145" s="4" t="s">
        <v>1190</v>
      </c>
      <c r="K145" s="15">
        <v>45895</v>
      </c>
      <c r="L145" s="4" t="s">
        <v>14</v>
      </c>
      <c r="M145" s="4" t="s">
        <v>225</v>
      </c>
      <c r="N145" s="4">
        <v>2025</v>
      </c>
    </row>
    <row r="146" spans="1:14">
      <c r="A146" s="4">
        <v>63</v>
      </c>
      <c r="B146" s="4" t="s">
        <v>35</v>
      </c>
      <c r="C146" s="4" t="s">
        <v>40</v>
      </c>
      <c r="D146" s="4" t="s">
        <v>61</v>
      </c>
      <c r="E146" s="4" t="s">
        <v>91</v>
      </c>
      <c r="F146" s="4"/>
      <c r="G146" s="57" t="s">
        <v>92</v>
      </c>
      <c r="H146" s="4" t="s">
        <v>1182</v>
      </c>
      <c r="I146" s="7">
        <v>3220.7432117866529</v>
      </c>
      <c r="J146" s="4" t="s">
        <v>1190</v>
      </c>
      <c r="K146" s="15">
        <v>45895</v>
      </c>
      <c r="L146" s="4" t="s">
        <v>14</v>
      </c>
      <c r="M146" s="4" t="s">
        <v>225</v>
      </c>
      <c r="N146" s="4">
        <v>2025</v>
      </c>
    </row>
    <row r="147" spans="1:14">
      <c r="A147" s="4">
        <v>64</v>
      </c>
      <c r="B147" s="4" t="s">
        <v>43</v>
      </c>
      <c r="C147" s="4" t="s">
        <v>48</v>
      </c>
      <c r="D147" s="4" t="s">
        <v>61</v>
      </c>
      <c r="E147" s="4" t="s">
        <v>91</v>
      </c>
      <c r="F147" s="4"/>
      <c r="G147" t="s">
        <v>92</v>
      </c>
      <c r="H147" s="4" t="s">
        <v>1182</v>
      </c>
      <c r="I147" s="7">
        <v>1591.0412560287598</v>
      </c>
      <c r="J147" s="4" t="s">
        <v>1190</v>
      </c>
      <c r="K147" s="15">
        <v>45895</v>
      </c>
      <c r="L147" s="4" t="s">
        <v>14</v>
      </c>
      <c r="M147" s="4" t="s">
        <v>225</v>
      </c>
      <c r="N147" s="4">
        <v>2025</v>
      </c>
    </row>
    <row r="148" spans="1:14">
      <c r="A148" s="4">
        <v>65</v>
      </c>
      <c r="B148" s="4" t="s">
        <v>43</v>
      </c>
      <c r="C148" s="4" t="s">
        <v>49</v>
      </c>
      <c r="D148" s="4" t="s">
        <v>61</v>
      </c>
      <c r="E148" s="4" t="s">
        <v>91</v>
      </c>
      <c r="F148" s="4"/>
      <c r="G148" t="s">
        <v>92</v>
      </c>
      <c r="H148" s="4" t="s">
        <v>1182</v>
      </c>
      <c r="I148" s="7">
        <v>6074.2086743132922</v>
      </c>
      <c r="J148" s="4" t="s">
        <v>1190</v>
      </c>
      <c r="K148" s="15">
        <v>45895</v>
      </c>
      <c r="L148" s="4" t="s">
        <v>14</v>
      </c>
      <c r="M148" s="4" t="s">
        <v>225</v>
      </c>
      <c r="N148" s="4">
        <v>2025</v>
      </c>
    </row>
    <row r="149" spans="1:14">
      <c r="A149" s="4">
        <v>66</v>
      </c>
      <c r="B149" s="4" t="s">
        <v>43</v>
      </c>
      <c r="C149" s="4" t="s">
        <v>51</v>
      </c>
      <c r="D149" s="4" t="s">
        <v>61</v>
      </c>
      <c r="E149" s="4" t="s">
        <v>91</v>
      </c>
      <c r="F149" s="4"/>
      <c r="G149" t="s">
        <v>92</v>
      </c>
      <c r="H149" s="4" t="s">
        <v>1182</v>
      </c>
      <c r="I149" s="7">
        <v>23562.031653530139</v>
      </c>
      <c r="J149" s="4" t="s">
        <v>1190</v>
      </c>
      <c r="K149" s="15">
        <v>45895</v>
      </c>
      <c r="L149" s="4" t="s">
        <v>14</v>
      </c>
      <c r="M149" s="4" t="s">
        <v>225</v>
      </c>
      <c r="N149" s="4">
        <v>2025</v>
      </c>
    </row>
    <row r="150" spans="1:14">
      <c r="A150" s="4">
        <v>67</v>
      </c>
      <c r="B150" s="4" t="s">
        <v>43</v>
      </c>
      <c r="C150" s="4" t="s">
        <v>50</v>
      </c>
      <c r="D150" s="4" t="s">
        <v>61</v>
      </c>
      <c r="E150" s="4" t="s">
        <v>91</v>
      </c>
      <c r="F150" s="4"/>
      <c r="G150" t="s">
        <v>92</v>
      </c>
      <c r="H150" s="4" t="s">
        <v>1182</v>
      </c>
      <c r="I150" s="7">
        <v>141.26067328796447</v>
      </c>
      <c r="J150" s="4" t="s">
        <v>1190</v>
      </c>
      <c r="K150" s="15">
        <v>45895</v>
      </c>
      <c r="L150" s="4" t="s">
        <v>14</v>
      </c>
      <c r="M150" s="4" t="s">
        <v>225</v>
      </c>
      <c r="N150" s="4">
        <v>2025</v>
      </c>
    </row>
    <row r="151" spans="1:14">
      <c r="A151" s="4">
        <v>68</v>
      </c>
      <c r="B151" s="4" t="s">
        <v>43</v>
      </c>
      <c r="C151" s="4" t="s">
        <v>50</v>
      </c>
      <c r="D151" s="4" t="s">
        <v>61</v>
      </c>
      <c r="E151" s="4" t="s">
        <v>91</v>
      </c>
      <c r="F151" s="4"/>
      <c r="G151" t="s">
        <v>92</v>
      </c>
      <c r="H151" s="4" t="s">
        <v>1182</v>
      </c>
      <c r="I151" s="7">
        <v>17417.068667002084</v>
      </c>
      <c r="J151" s="4" t="s">
        <v>1190</v>
      </c>
      <c r="K151" s="15">
        <v>45895</v>
      </c>
      <c r="L151" s="4" t="s">
        <v>14</v>
      </c>
      <c r="M151" s="4" t="s">
        <v>225</v>
      </c>
      <c r="N151" s="4">
        <v>2025</v>
      </c>
    </row>
    <row r="152" spans="1:14">
      <c r="A152" s="4">
        <v>69</v>
      </c>
      <c r="B152" s="4" t="s">
        <v>43</v>
      </c>
      <c r="C152" s="4" t="s">
        <v>52</v>
      </c>
      <c r="D152" s="4" t="s">
        <v>61</v>
      </c>
      <c r="E152" s="4" t="s">
        <v>91</v>
      </c>
      <c r="F152" s="4"/>
      <c r="G152" t="s">
        <v>92</v>
      </c>
      <c r="H152" s="4" t="s">
        <v>1182</v>
      </c>
      <c r="I152" s="7">
        <v>5385.7489174090324</v>
      </c>
      <c r="J152" s="4" t="s">
        <v>1190</v>
      </c>
      <c r="K152" s="15">
        <v>45895</v>
      </c>
      <c r="L152" s="4" t="s">
        <v>14</v>
      </c>
      <c r="M152" s="4" t="s">
        <v>225</v>
      </c>
      <c r="N152" s="4">
        <v>2025</v>
      </c>
    </row>
    <row r="153" spans="1:14">
      <c r="A153" s="4">
        <v>70</v>
      </c>
      <c r="B153" s="4" t="s">
        <v>17</v>
      </c>
      <c r="C153" s="4" t="s">
        <v>23</v>
      </c>
      <c r="D153" s="4" t="s">
        <v>61</v>
      </c>
      <c r="E153" s="4" t="s">
        <v>91</v>
      </c>
      <c r="F153" s="4"/>
      <c r="G153" t="s">
        <v>92</v>
      </c>
      <c r="H153" s="4" t="s">
        <v>1182</v>
      </c>
      <c r="I153" s="7">
        <v>1709.2540971696567</v>
      </c>
      <c r="J153" s="4" t="s">
        <v>1190</v>
      </c>
      <c r="K153" s="15">
        <v>45895</v>
      </c>
      <c r="L153" s="4" t="s">
        <v>14</v>
      </c>
      <c r="M153" s="4" t="s">
        <v>225</v>
      </c>
      <c r="N153" s="4">
        <v>2025</v>
      </c>
    </row>
    <row r="154" spans="1:14">
      <c r="A154" s="4">
        <v>71</v>
      </c>
      <c r="B154" s="4" t="s">
        <v>43</v>
      </c>
      <c r="C154" s="4" t="s">
        <v>77</v>
      </c>
      <c r="D154" s="4" t="s">
        <v>61</v>
      </c>
      <c r="E154" s="4" t="s">
        <v>91</v>
      </c>
      <c r="F154" s="4"/>
      <c r="G154" t="s">
        <v>92</v>
      </c>
      <c r="H154" s="4" t="s">
        <v>1182</v>
      </c>
      <c r="I154" s="7">
        <v>2856.1917008247037</v>
      </c>
      <c r="J154" s="4" t="s">
        <v>1190</v>
      </c>
      <c r="K154" s="15">
        <v>45895</v>
      </c>
      <c r="L154" s="4" t="s">
        <v>14</v>
      </c>
      <c r="M154" s="4" t="s">
        <v>225</v>
      </c>
      <c r="N154" s="4">
        <v>2025</v>
      </c>
    </row>
    <row r="155" spans="1:14">
      <c r="A155" s="4">
        <v>72</v>
      </c>
      <c r="B155" s="4" t="s">
        <v>17</v>
      </c>
      <c r="C155" s="4" t="s">
        <v>24</v>
      </c>
      <c r="D155" s="4" t="s">
        <v>61</v>
      </c>
      <c r="E155" s="4" t="s">
        <v>91</v>
      </c>
      <c r="F155" s="4"/>
      <c r="G155" t="s">
        <v>92</v>
      </c>
      <c r="H155" s="4" t="s">
        <v>1182</v>
      </c>
      <c r="I155" s="7">
        <v>10457.750269817809</v>
      </c>
      <c r="J155" s="4" t="s">
        <v>1190</v>
      </c>
      <c r="K155" s="15">
        <v>45895</v>
      </c>
      <c r="L155" s="4" t="s">
        <v>14</v>
      </c>
      <c r="M155" s="4" t="s">
        <v>225</v>
      </c>
      <c r="N155" s="4">
        <v>2025</v>
      </c>
    </row>
    <row r="156" spans="1:14">
      <c r="A156" s="4">
        <v>73</v>
      </c>
      <c r="B156" s="4" t="s">
        <v>17</v>
      </c>
      <c r="C156" s="4" t="s">
        <v>25</v>
      </c>
      <c r="D156" s="4" t="s">
        <v>61</v>
      </c>
      <c r="E156" s="4" t="s">
        <v>91</v>
      </c>
      <c r="F156" s="4"/>
      <c r="G156" t="s">
        <v>92</v>
      </c>
      <c r="H156" s="4" t="s">
        <v>1182</v>
      </c>
      <c r="I156" s="7">
        <v>4359.254832413686</v>
      </c>
      <c r="J156" s="4" t="s">
        <v>1190</v>
      </c>
      <c r="K156" s="15">
        <v>45895</v>
      </c>
      <c r="L156" s="4" t="s">
        <v>14</v>
      </c>
      <c r="M156" s="4" t="s">
        <v>225</v>
      </c>
      <c r="N156" s="4">
        <v>2025</v>
      </c>
    </row>
    <row r="157" spans="1:14">
      <c r="A157" s="4">
        <v>74</v>
      </c>
      <c r="B157" s="4" t="s">
        <v>43</v>
      </c>
      <c r="C157" s="4" t="s">
        <v>73</v>
      </c>
      <c r="D157" s="4" t="s">
        <v>61</v>
      </c>
      <c r="E157" s="4" t="s">
        <v>91</v>
      </c>
      <c r="F157" s="4"/>
      <c r="G157" t="s">
        <v>92</v>
      </c>
      <c r="H157" s="4" t="s">
        <v>1182</v>
      </c>
      <c r="I157" s="7">
        <v>1624.4976687116948</v>
      </c>
      <c r="J157" s="4" t="s">
        <v>1190</v>
      </c>
      <c r="K157" s="15">
        <v>45895</v>
      </c>
      <c r="L157" s="4" t="s">
        <v>14</v>
      </c>
      <c r="M157" s="4" t="s">
        <v>225</v>
      </c>
      <c r="N157" s="4">
        <v>2025</v>
      </c>
    </row>
    <row r="158" spans="1:14">
      <c r="A158" s="4">
        <v>75</v>
      </c>
      <c r="B158" s="4" t="s">
        <v>17</v>
      </c>
      <c r="C158" s="4" t="s">
        <v>26</v>
      </c>
      <c r="D158" s="4" t="s">
        <v>61</v>
      </c>
      <c r="E158" s="4" t="s">
        <v>91</v>
      </c>
      <c r="F158" s="4"/>
      <c r="G158" t="s">
        <v>92</v>
      </c>
      <c r="H158" s="4" t="s">
        <v>1182</v>
      </c>
      <c r="I158" s="7">
        <v>1121.4114392471963</v>
      </c>
      <c r="J158" s="4" t="s">
        <v>1190</v>
      </c>
      <c r="K158" s="15">
        <v>45895</v>
      </c>
      <c r="L158" s="4" t="s">
        <v>14</v>
      </c>
      <c r="M158" s="4" t="s">
        <v>225</v>
      </c>
      <c r="N158" s="4">
        <v>2025</v>
      </c>
    </row>
    <row r="159" spans="1:14">
      <c r="A159" s="4">
        <v>76</v>
      </c>
      <c r="B159" s="4" t="s">
        <v>43</v>
      </c>
      <c r="C159" s="4" t="s">
        <v>70</v>
      </c>
      <c r="D159" s="4" t="s">
        <v>61</v>
      </c>
      <c r="E159" s="4" t="s">
        <v>91</v>
      </c>
      <c r="F159" s="4"/>
      <c r="G159" t="s">
        <v>92</v>
      </c>
      <c r="H159" s="4" t="s">
        <v>1181</v>
      </c>
      <c r="I159" s="7">
        <v>1283.9597851168073</v>
      </c>
      <c r="J159" s="4" t="s">
        <v>1191</v>
      </c>
      <c r="K159" s="15">
        <v>45895</v>
      </c>
      <c r="L159" s="4" t="s">
        <v>14</v>
      </c>
      <c r="M159" s="4" t="s">
        <v>225</v>
      </c>
      <c r="N159" s="4">
        <v>2025</v>
      </c>
    </row>
    <row r="160" spans="1:14">
      <c r="A160" s="4">
        <v>77</v>
      </c>
      <c r="B160" s="4" t="s">
        <v>55</v>
      </c>
      <c r="C160" s="4" t="s">
        <v>56</v>
      </c>
      <c r="D160" s="4" t="s">
        <v>61</v>
      </c>
      <c r="E160" s="4" t="s">
        <v>91</v>
      </c>
      <c r="F160" s="4"/>
      <c r="G160" t="s">
        <v>92</v>
      </c>
      <c r="H160" s="4" t="s">
        <v>1181</v>
      </c>
      <c r="I160" s="7">
        <v>11297.193310024793</v>
      </c>
      <c r="J160" s="4" t="s">
        <v>1191</v>
      </c>
      <c r="K160" s="15">
        <v>45895</v>
      </c>
      <c r="L160" s="4" t="s">
        <v>14</v>
      </c>
      <c r="M160" s="4" t="s">
        <v>225</v>
      </c>
      <c r="N160" s="4">
        <v>2025</v>
      </c>
    </row>
    <row r="161" spans="1:14">
      <c r="A161" s="4">
        <v>78</v>
      </c>
      <c r="B161" s="4" t="s">
        <v>43</v>
      </c>
      <c r="C161" s="4" t="s">
        <v>44</v>
      </c>
      <c r="D161" s="4" t="s">
        <v>61</v>
      </c>
      <c r="E161" s="4" t="s">
        <v>91</v>
      </c>
      <c r="F161" s="4"/>
      <c r="G161" t="s">
        <v>92</v>
      </c>
      <c r="H161" s="4" t="s">
        <v>1181</v>
      </c>
      <c r="I161" s="7">
        <v>1460.492393648761</v>
      </c>
      <c r="J161" s="4" t="s">
        <v>1191</v>
      </c>
      <c r="K161" s="15">
        <v>45895</v>
      </c>
      <c r="L161" s="4" t="s">
        <v>14</v>
      </c>
      <c r="M161" s="4" t="s">
        <v>225</v>
      </c>
      <c r="N161" s="4">
        <v>2025</v>
      </c>
    </row>
    <row r="162" spans="1:14">
      <c r="A162" s="4">
        <v>79</v>
      </c>
      <c r="B162" s="4" t="s">
        <v>35</v>
      </c>
      <c r="C162" s="4" t="s">
        <v>37</v>
      </c>
      <c r="D162" s="4" t="s">
        <v>61</v>
      </c>
      <c r="E162" s="4" t="s">
        <v>91</v>
      </c>
      <c r="F162" s="4"/>
      <c r="G162" t="s">
        <v>92</v>
      </c>
      <c r="H162" s="4" t="s">
        <v>1181</v>
      </c>
      <c r="I162" s="7">
        <v>11018.886812544524</v>
      </c>
      <c r="J162" s="4" t="s">
        <v>1191</v>
      </c>
      <c r="K162" s="15">
        <v>45895</v>
      </c>
      <c r="L162" s="4" t="s">
        <v>14</v>
      </c>
      <c r="M162" s="4" t="s">
        <v>225</v>
      </c>
      <c r="N162" s="4">
        <v>2025</v>
      </c>
    </row>
    <row r="163" spans="1:14">
      <c r="A163" s="4">
        <v>80</v>
      </c>
      <c r="B163" s="4" t="s">
        <v>35</v>
      </c>
      <c r="C163" s="4" t="s">
        <v>38</v>
      </c>
      <c r="D163" s="4" t="s">
        <v>61</v>
      </c>
      <c r="E163" s="4" t="s">
        <v>91</v>
      </c>
      <c r="F163" s="4"/>
      <c r="G163" t="s">
        <v>92</v>
      </c>
      <c r="H163" s="4" t="s">
        <v>1181</v>
      </c>
      <c r="I163" s="7">
        <v>8117.6822695981527</v>
      </c>
      <c r="J163" s="4" t="s">
        <v>1191</v>
      </c>
      <c r="K163" s="15">
        <v>45895</v>
      </c>
      <c r="L163" s="4" t="s">
        <v>14</v>
      </c>
      <c r="M163" s="4" t="s">
        <v>225</v>
      </c>
      <c r="N163" s="4">
        <v>2025</v>
      </c>
    </row>
    <row r="164" spans="1:14">
      <c r="A164" s="4">
        <v>81</v>
      </c>
      <c r="B164" s="4" t="s">
        <v>35</v>
      </c>
      <c r="C164" s="4" t="s">
        <v>39</v>
      </c>
      <c r="D164" s="4" t="s">
        <v>61</v>
      </c>
      <c r="E164" s="4" t="s">
        <v>91</v>
      </c>
      <c r="F164" s="4"/>
      <c r="G164" t="s">
        <v>92</v>
      </c>
      <c r="H164" s="4" t="s">
        <v>1181</v>
      </c>
      <c r="I164" s="7">
        <v>86.708267484336815</v>
      </c>
      <c r="J164" s="4" t="s">
        <v>1191</v>
      </c>
      <c r="K164" s="15">
        <v>45895</v>
      </c>
      <c r="L164" s="4" t="s">
        <v>14</v>
      </c>
      <c r="M164" s="4" t="s">
        <v>225</v>
      </c>
      <c r="N164" s="4">
        <v>2025</v>
      </c>
    </row>
    <row r="165" spans="1:14">
      <c r="A165" s="4">
        <v>82</v>
      </c>
      <c r="B165" s="4" t="s">
        <v>43</v>
      </c>
      <c r="C165" s="4" t="s">
        <v>45</v>
      </c>
      <c r="D165" s="4" t="s">
        <v>61</v>
      </c>
      <c r="E165" s="4" t="s">
        <v>91</v>
      </c>
      <c r="F165" s="4"/>
      <c r="G165" t="s">
        <v>92</v>
      </c>
      <c r="H165" s="4" t="s">
        <v>1181</v>
      </c>
      <c r="I165" s="7">
        <v>17660.848573022977</v>
      </c>
      <c r="J165" s="4" t="s">
        <v>1191</v>
      </c>
      <c r="K165" s="15">
        <v>45895</v>
      </c>
      <c r="L165" s="4" t="s">
        <v>14</v>
      </c>
      <c r="M165" s="4" t="s">
        <v>225</v>
      </c>
      <c r="N165" s="4">
        <v>2025</v>
      </c>
    </row>
    <row r="166" spans="1:14">
      <c r="A166" s="4">
        <v>83</v>
      </c>
      <c r="B166" s="4" t="s">
        <v>43</v>
      </c>
      <c r="C166" s="4" t="s">
        <v>46</v>
      </c>
      <c r="D166" s="4" t="s">
        <v>61</v>
      </c>
      <c r="E166" s="4" t="s">
        <v>91</v>
      </c>
      <c r="F166" s="4"/>
      <c r="G166" t="s">
        <v>92</v>
      </c>
      <c r="H166" s="4" t="s">
        <v>1181</v>
      </c>
      <c r="I166" s="7">
        <v>44403.304672040824</v>
      </c>
      <c r="J166" s="4" t="s">
        <v>1191</v>
      </c>
      <c r="K166" s="15">
        <v>45895</v>
      </c>
      <c r="L166" s="4" t="s">
        <v>14</v>
      </c>
      <c r="M166" s="4" t="s">
        <v>225</v>
      </c>
      <c r="N166" s="4">
        <v>2025</v>
      </c>
    </row>
    <row r="167" spans="1:14">
      <c r="A167" s="4">
        <v>84</v>
      </c>
      <c r="B167" s="4" t="s">
        <v>33</v>
      </c>
      <c r="C167" s="4" t="s">
        <v>34</v>
      </c>
      <c r="D167" s="4" t="s">
        <v>61</v>
      </c>
      <c r="E167" s="4" t="s">
        <v>91</v>
      </c>
      <c r="F167" s="4"/>
      <c r="G167" t="s">
        <v>92</v>
      </c>
      <c r="H167" s="4" t="s">
        <v>1181</v>
      </c>
      <c r="I167" s="7">
        <v>42720.676602153493</v>
      </c>
      <c r="J167" s="4" t="s">
        <v>1191</v>
      </c>
      <c r="K167" s="15">
        <v>45895</v>
      </c>
      <c r="L167" s="4" t="s">
        <v>14</v>
      </c>
      <c r="M167" s="4" t="s">
        <v>225</v>
      </c>
      <c r="N167" s="4">
        <v>2025</v>
      </c>
    </row>
    <row r="168" spans="1:14">
      <c r="A168" s="4">
        <v>85</v>
      </c>
      <c r="B168" s="4" t="s">
        <v>53</v>
      </c>
      <c r="C168" s="4" t="s">
        <v>62</v>
      </c>
      <c r="D168" s="4" t="s">
        <v>61</v>
      </c>
      <c r="E168" s="4" t="s">
        <v>91</v>
      </c>
      <c r="F168" s="4"/>
      <c r="G168" t="s">
        <v>92</v>
      </c>
      <c r="H168" s="4" t="s">
        <v>1181</v>
      </c>
      <c r="I168" s="7">
        <v>210877.11108279449</v>
      </c>
      <c r="J168" s="4" t="s">
        <v>1191</v>
      </c>
      <c r="K168" s="15">
        <v>45895</v>
      </c>
      <c r="L168" s="4" t="s">
        <v>14</v>
      </c>
      <c r="M168" s="4" t="s">
        <v>225</v>
      </c>
      <c r="N168" s="4">
        <v>2025</v>
      </c>
    </row>
    <row r="169" spans="1:14">
      <c r="A169" s="4">
        <v>86</v>
      </c>
      <c r="B169" s="4" t="s">
        <v>17</v>
      </c>
      <c r="C169" s="4" t="s">
        <v>22</v>
      </c>
      <c r="D169" s="4" t="s">
        <v>61</v>
      </c>
      <c r="E169" s="4" t="s">
        <v>91</v>
      </c>
      <c r="F169" s="4"/>
      <c r="G169" t="s">
        <v>92</v>
      </c>
      <c r="H169" s="4" t="s">
        <v>1181</v>
      </c>
      <c r="I169" s="7">
        <v>6116.7264392801917</v>
      </c>
      <c r="J169" s="4" t="s">
        <v>1191</v>
      </c>
      <c r="K169" s="15">
        <v>45895</v>
      </c>
      <c r="L169" s="4" t="s">
        <v>14</v>
      </c>
      <c r="M169" s="4" t="s">
        <v>225</v>
      </c>
      <c r="N169" s="4">
        <v>2025</v>
      </c>
    </row>
    <row r="170" spans="1:14">
      <c r="A170" s="4">
        <v>87</v>
      </c>
      <c r="B170" s="4" t="s">
        <v>43</v>
      </c>
      <c r="C170" s="4" t="s">
        <v>47</v>
      </c>
      <c r="D170" s="4" t="s">
        <v>61</v>
      </c>
      <c r="E170" s="4" t="s">
        <v>91</v>
      </c>
      <c r="F170" s="4"/>
      <c r="G170" t="s">
        <v>92</v>
      </c>
      <c r="H170" s="4" t="s">
        <v>1181</v>
      </c>
      <c r="I170" s="7">
        <v>853.53452125840352</v>
      </c>
      <c r="J170" s="4" t="s">
        <v>1191</v>
      </c>
      <c r="K170" s="15">
        <v>45895</v>
      </c>
      <c r="L170" s="4" t="s">
        <v>14</v>
      </c>
      <c r="M170" s="4" t="s">
        <v>225</v>
      </c>
      <c r="N170" s="4">
        <v>2025</v>
      </c>
    </row>
    <row r="171" spans="1:14">
      <c r="A171" s="4">
        <v>88</v>
      </c>
      <c r="B171" s="4" t="s">
        <v>29</v>
      </c>
      <c r="C171" s="4" t="s">
        <v>237</v>
      </c>
      <c r="D171" s="4" t="s">
        <v>61</v>
      </c>
      <c r="E171" s="4" t="s">
        <v>91</v>
      </c>
      <c r="F171" s="4"/>
      <c r="G171" t="s">
        <v>92</v>
      </c>
      <c r="H171" s="4" t="s">
        <v>1181</v>
      </c>
      <c r="I171" s="7">
        <v>6374.5887319633512</v>
      </c>
      <c r="J171" s="4" t="s">
        <v>1191</v>
      </c>
      <c r="K171" s="15">
        <v>45895</v>
      </c>
      <c r="L171" s="4" t="s">
        <v>14</v>
      </c>
      <c r="M171" s="4" t="s">
        <v>225</v>
      </c>
      <c r="N171" s="4">
        <v>2025</v>
      </c>
    </row>
    <row r="172" spans="1:14">
      <c r="A172" s="4">
        <v>89</v>
      </c>
      <c r="B172" s="4" t="s">
        <v>43</v>
      </c>
      <c r="C172" s="4" t="s">
        <v>49</v>
      </c>
      <c r="D172" s="4" t="s">
        <v>61</v>
      </c>
      <c r="E172" s="4" t="s">
        <v>91</v>
      </c>
      <c r="F172" s="4"/>
      <c r="G172" t="s">
        <v>92</v>
      </c>
      <c r="H172" s="4" t="s">
        <v>1181</v>
      </c>
      <c r="I172" s="7">
        <v>4335.982473106169</v>
      </c>
      <c r="J172" s="4" t="s">
        <v>1191</v>
      </c>
      <c r="K172" s="15">
        <v>45895</v>
      </c>
      <c r="L172" s="4" t="s">
        <v>14</v>
      </c>
      <c r="M172" s="4" t="s">
        <v>225</v>
      </c>
      <c r="N172" s="4">
        <v>2025</v>
      </c>
    </row>
    <row r="173" spans="1:14">
      <c r="A173" s="4">
        <v>90</v>
      </c>
      <c r="B173" s="4" t="s">
        <v>43</v>
      </c>
      <c r="C173" s="4" t="s">
        <v>51</v>
      </c>
      <c r="D173" s="4" t="s">
        <v>61</v>
      </c>
      <c r="E173" s="4" t="s">
        <v>91</v>
      </c>
      <c r="F173" s="4"/>
      <c r="G173" t="s">
        <v>92</v>
      </c>
      <c r="H173" s="4" t="s">
        <v>1181</v>
      </c>
      <c r="I173" s="7">
        <v>42414.244022996572</v>
      </c>
      <c r="J173" s="4" t="s">
        <v>1191</v>
      </c>
      <c r="K173" s="15">
        <v>45895</v>
      </c>
      <c r="L173" s="4" t="s">
        <v>14</v>
      </c>
      <c r="M173" s="4" t="s">
        <v>225</v>
      </c>
      <c r="N173" s="4">
        <v>2025</v>
      </c>
    </row>
    <row r="174" spans="1:14">
      <c r="A174" s="4">
        <v>91</v>
      </c>
      <c r="B174" s="4" t="s">
        <v>43</v>
      </c>
      <c r="C174" s="4" t="s">
        <v>50</v>
      </c>
      <c r="D174" s="4" t="s">
        <v>61</v>
      </c>
      <c r="E174" s="4" t="s">
        <v>91</v>
      </c>
      <c r="F174" s="4"/>
      <c r="G174" t="s">
        <v>92</v>
      </c>
      <c r="H174" s="4" t="s">
        <v>1181</v>
      </c>
      <c r="I174" s="7">
        <v>86.708267484336815</v>
      </c>
      <c r="J174" s="4" t="s">
        <v>1191</v>
      </c>
      <c r="K174" s="15">
        <v>45895</v>
      </c>
      <c r="L174" s="4" t="s">
        <v>14</v>
      </c>
      <c r="M174" s="4" t="s">
        <v>225</v>
      </c>
      <c r="N174" s="4">
        <v>2025</v>
      </c>
    </row>
    <row r="175" spans="1:14">
      <c r="A175" s="4">
        <v>92</v>
      </c>
      <c r="B175" s="4" t="s">
        <v>43</v>
      </c>
      <c r="C175" s="4" t="s">
        <v>50</v>
      </c>
      <c r="D175" s="4" t="s">
        <v>61</v>
      </c>
      <c r="E175" s="4" t="s">
        <v>91</v>
      </c>
      <c r="F175" s="4"/>
      <c r="G175" t="s">
        <v>92</v>
      </c>
      <c r="H175" s="4" t="s">
        <v>1181</v>
      </c>
      <c r="I175" s="7">
        <v>15197.249965042287</v>
      </c>
      <c r="J175" s="4" t="s">
        <v>1191</v>
      </c>
      <c r="K175" s="15">
        <v>45895</v>
      </c>
      <c r="L175" s="4" t="s">
        <v>14</v>
      </c>
      <c r="M175" s="4" t="s">
        <v>225</v>
      </c>
      <c r="N175" s="4">
        <v>2025</v>
      </c>
    </row>
    <row r="176" spans="1:14">
      <c r="A176" s="4">
        <v>93</v>
      </c>
      <c r="B176" s="4" t="s">
        <v>43</v>
      </c>
      <c r="C176" s="4" t="s">
        <v>52</v>
      </c>
      <c r="D176" s="4" t="s">
        <v>61</v>
      </c>
      <c r="E176" s="4" t="s">
        <v>91</v>
      </c>
      <c r="F176" s="4"/>
      <c r="G176" t="s">
        <v>92</v>
      </c>
      <c r="H176" s="4" t="s">
        <v>1181</v>
      </c>
      <c r="I176" s="7">
        <v>15299.132150451689</v>
      </c>
      <c r="J176" s="4" t="s">
        <v>1191</v>
      </c>
      <c r="K176" s="15">
        <v>45895</v>
      </c>
      <c r="L176" s="4" t="s">
        <v>14</v>
      </c>
      <c r="M176" s="4" t="s">
        <v>225</v>
      </c>
      <c r="N176" s="4">
        <v>2025</v>
      </c>
    </row>
    <row r="177" spans="1:14">
      <c r="A177" s="4">
        <v>94</v>
      </c>
      <c r="B177" s="4" t="s">
        <v>17</v>
      </c>
      <c r="C177" s="4" t="s">
        <v>23</v>
      </c>
      <c r="D177" s="4" t="s">
        <v>61</v>
      </c>
      <c r="E177" s="4" t="s">
        <v>91</v>
      </c>
      <c r="F177" s="4"/>
      <c r="G177" t="s">
        <v>92</v>
      </c>
      <c r="H177" s="4" t="s">
        <v>1181</v>
      </c>
      <c r="I177" s="7">
        <v>284.51150708613454</v>
      </c>
      <c r="J177" s="4" t="s">
        <v>1191</v>
      </c>
      <c r="K177" s="15">
        <v>45895</v>
      </c>
      <c r="L177" s="4" t="s">
        <v>14</v>
      </c>
      <c r="M177" s="4" t="s">
        <v>225</v>
      </c>
      <c r="N177" s="4">
        <v>2025</v>
      </c>
    </row>
    <row r="178" spans="1:14">
      <c r="A178" s="4">
        <v>95</v>
      </c>
      <c r="B178" s="4" t="s">
        <v>43</v>
      </c>
      <c r="C178" s="4" t="s">
        <v>77</v>
      </c>
      <c r="D178" s="4" t="s">
        <v>61</v>
      </c>
      <c r="E178" s="4" t="s">
        <v>91</v>
      </c>
      <c r="F178" s="4"/>
      <c r="G178" t="s">
        <v>92</v>
      </c>
      <c r="H178" s="4" t="s">
        <v>1181</v>
      </c>
      <c r="I178" s="7">
        <v>1793.7773170461908</v>
      </c>
      <c r="J178" s="4" t="s">
        <v>1191</v>
      </c>
      <c r="K178" s="15">
        <v>45895</v>
      </c>
      <c r="L178" s="4" t="s">
        <v>14</v>
      </c>
      <c r="M178" s="4" t="s">
        <v>225</v>
      </c>
      <c r="N178" s="4">
        <v>2025</v>
      </c>
    </row>
    <row r="179" spans="1:14">
      <c r="A179" s="4">
        <v>96</v>
      </c>
      <c r="B179" s="4" t="s">
        <v>17</v>
      </c>
      <c r="C179" s="4" t="s">
        <v>24</v>
      </c>
      <c r="D179" s="4" t="s">
        <v>61</v>
      </c>
      <c r="E179" s="4" t="s">
        <v>91</v>
      </c>
      <c r="F179" s="4"/>
      <c r="G179" t="s">
        <v>92</v>
      </c>
      <c r="H179" s="4" t="s">
        <v>1181</v>
      </c>
      <c r="I179" s="7">
        <v>3414.1380850336145</v>
      </c>
      <c r="J179" s="4" t="s">
        <v>1191</v>
      </c>
      <c r="K179" s="15">
        <v>45895</v>
      </c>
      <c r="L179" s="4" t="s">
        <v>14</v>
      </c>
      <c r="M179" s="4" t="s">
        <v>225</v>
      </c>
      <c r="N179" s="4">
        <v>2025</v>
      </c>
    </row>
    <row r="180" spans="1:14">
      <c r="A180" s="4">
        <v>97</v>
      </c>
      <c r="B180" s="4" t="s">
        <v>17</v>
      </c>
      <c r="C180" s="4" t="s">
        <v>25</v>
      </c>
      <c r="D180" s="4" t="s">
        <v>61</v>
      </c>
      <c r="E180" s="4" t="s">
        <v>91</v>
      </c>
      <c r="F180" s="4"/>
      <c r="G180" t="s">
        <v>92</v>
      </c>
      <c r="H180" s="4" t="s">
        <v>1181</v>
      </c>
      <c r="I180" s="7">
        <v>2563.3131733570626</v>
      </c>
      <c r="J180" s="4" t="s">
        <v>1191</v>
      </c>
      <c r="K180" s="15">
        <v>45895</v>
      </c>
      <c r="L180" s="4" t="s">
        <v>14</v>
      </c>
      <c r="M180" s="4" t="s">
        <v>225</v>
      </c>
      <c r="N180" s="4">
        <v>2025</v>
      </c>
    </row>
    <row r="181" spans="1:14">
      <c r="A181" s="4">
        <v>98</v>
      </c>
      <c r="B181" s="4" t="s">
        <v>43</v>
      </c>
      <c r="C181" s="4" t="s">
        <v>70</v>
      </c>
      <c r="D181" s="4" t="s">
        <v>61</v>
      </c>
      <c r="E181" s="4" t="s">
        <v>91</v>
      </c>
      <c r="F181" s="4"/>
      <c r="G181" t="s">
        <v>92</v>
      </c>
      <c r="H181" s="4" t="s">
        <v>1182</v>
      </c>
      <c r="I181" s="7">
        <v>9394.0979058398807</v>
      </c>
      <c r="J181" s="4" t="s">
        <v>1192</v>
      </c>
      <c r="K181" s="15">
        <v>45923</v>
      </c>
      <c r="L181" s="4" t="s">
        <v>14</v>
      </c>
      <c r="M181" s="4" t="s">
        <v>226</v>
      </c>
      <c r="N181" s="4">
        <v>2025</v>
      </c>
    </row>
    <row r="182" spans="1:14">
      <c r="A182" s="4">
        <v>99</v>
      </c>
      <c r="B182" s="4" t="s">
        <v>55</v>
      </c>
      <c r="C182" s="4" t="s">
        <v>56</v>
      </c>
      <c r="D182" s="4" t="s">
        <v>61</v>
      </c>
      <c r="E182" s="4" t="s">
        <v>91</v>
      </c>
      <c r="F182" s="4"/>
      <c r="G182" t="s">
        <v>92</v>
      </c>
      <c r="H182" s="4" t="s">
        <v>1182</v>
      </c>
      <c r="I182" s="7">
        <v>30200.726688580817</v>
      </c>
      <c r="J182" s="4" t="s">
        <v>1192</v>
      </c>
      <c r="K182" s="15">
        <v>45923</v>
      </c>
      <c r="L182" s="4" t="s">
        <v>14</v>
      </c>
      <c r="M182" s="4" t="s">
        <v>226</v>
      </c>
      <c r="N182" s="4">
        <v>2025</v>
      </c>
    </row>
    <row r="183" spans="1:14">
      <c r="A183" s="4">
        <v>100</v>
      </c>
      <c r="B183" s="4" t="s">
        <v>43</v>
      </c>
      <c r="C183" s="4" t="s">
        <v>44</v>
      </c>
      <c r="D183" s="4" t="s">
        <v>61</v>
      </c>
      <c r="E183" s="4" t="s">
        <v>91</v>
      </c>
      <c r="F183" s="4"/>
      <c r="G183" t="s">
        <v>92</v>
      </c>
      <c r="H183" s="4" t="s">
        <v>1182</v>
      </c>
      <c r="I183" s="7">
        <v>12943.094530212111</v>
      </c>
      <c r="J183" s="4" t="s">
        <v>1192</v>
      </c>
      <c r="K183" s="15">
        <v>45923</v>
      </c>
      <c r="L183" s="4" t="s">
        <v>14</v>
      </c>
      <c r="M183" s="4" t="s">
        <v>226</v>
      </c>
      <c r="N183" s="4">
        <v>2025</v>
      </c>
    </row>
    <row r="184" spans="1:14">
      <c r="A184" s="4">
        <v>101</v>
      </c>
      <c r="B184" s="4" t="s">
        <v>272</v>
      </c>
      <c r="C184" s="4" t="s">
        <v>32</v>
      </c>
      <c r="D184" s="4" t="s">
        <v>61</v>
      </c>
      <c r="E184" s="4" t="s">
        <v>91</v>
      </c>
      <c r="F184" s="4"/>
      <c r="G184" t="s">
        <v>92</v>
      </c>
      <c r="H184" s="4" t="s">
        <v>1182</v>
      </c>
      <c r="I184" s="7">
        <v>516.74985060696611</v>
      </c>
      <c r="J184" s="4" t="s">
        <v>1192</v>
      </c>
      <c r="K184" s="15">
        <v>45923</v>
      </c>
      <c r="L184" s="4" t="s">
        <v>14</v>
      </c>
      <c r="M184" s="4" t="s">
        <v>226</v>
      </c>
      <c r="N184" s="4">
        <v>2025</v>
      </c>
    </row>
    <row r="185" spans="1:14">
      <c r="A185" s="4">
        <v>102</v>
      </c>
      <c r="B185" s="4" t="s">
        <v>35</v>
      </c>
      <c r="C185" s="4" t="s">
        <v>37</v>
      </c>
      <c r="D185" s="4" t="s">
        <v>61</v>
      </c>
      <c r="E185" s="4" t="s">
        <v>91</v>
      </c>
      <c r="F185" s="4"/>
      <c r="G185" t="s">
        <v>92</v>
      </c>
      <c r="H185" s="4" t="s">
        <v>1182</v>
      </c>
      <c r="I185" s="7">
        <v>13022.096240683211</v>
      </c>
      <c r="J185" s="4" t="s">
        <v>1192</v>
      </c>
      <c r="K185" s="15">
        <v>45923</v>
      </c>
      <c r="L185" s="4" t="s">
        <v>14</v>
      </c>
      <c r="M185" s="4" t="s">
        <v>226</v>
      </c>
      <c r="N185" s="4">
        <v>2025</v>
      </c>
    </row>
    <row r="186" spans="1:14">
      <c r="A186" s="4">
        <v>103</v>
      </c>
      <c r="B186" s="4" t="s">
        <v>35</v>
      </c>
      <c r="C186" s="4" t="s">
        <v>38</v>
      </c>
      <c r="D186" s="4" t="s">
        <v>61</v>
      </c>
      <c r="E186" s="4" t="s">
        <v>91</v>
      </c>
      <c r="F186" s="4"/>
      <c r="G186" t="s">
        <v>92</v>
      </c>
      <c r="H186" s="4" t="s">
        <v>1182</v>
      </c>
      <c r="I186" s="7">
        <v>15321.179921162382</v>
      </c>
      <c r="J186" s="4" t="s">
        <v>1192</v>
      </c>
      <c r="K186" s="15">
        <v>45923</v>
      </c>
      <c r="L186" s="4" t="s">
        <v>14</v>
      </c>
      <c r="M186" s="4" t="s">
        <v>226</v>
      </c>
      <c r="N186" s="4">
        <v>2025</v>
      </c>
    </row>
    <row r="187" spans="1:14">
      <c r="A187" s="4">
        <v>104</v>
      </c>
      <c r="B187" s="4" t="s">
        <v>17</v>
      </c>
      <c r="C187" s="4" t="s">
        <v>74</v>
      </c>
      <c r="D187" s="4" t="s">
        <v>61</v>
      </c>
      <c r="E187" s="4" t="s">
        <v>91</v>
      </c>
      <c r="F187" s="4"/>
      <c r="G187" t="s">
        <v>92</v>
      </c>
      <c r="H187" s="4" t="s">
        <v>1182</v>
      </c>
      <c r="I187" s="7">
        <v>3122.5161315390178</v>
      </c>
      <c r="J187" s="4" t="s">
        <v>1192</v>
      </c>
      <c r="K187" s="15">
        <v>45923</v>
      </c>
      <c r="L187" s="4" t="s">
        <v>14</v>
      </c>
      <c r="M187" s="4" t="s">
        <v>226</v>
      </c>
      <c r="N187" s="4">
        <v>2025</v>
      </c>
    </row>
    <row r="188" spans="1:14">
      <c r="A188" s="4">
        <v>105</v>
      </c>
      <c r="B188" s="4" t="s">
        <v>43</v>
      </c>
      <c r="C188" s="4" t="s">
        <v>45</v>
      </c>
      <c r="D188" s="4" t="s">
        <v>61</v>
      </c>
      <c r="E188" s="4" t="s">
        <v>91</v>
      </c>
      <c r="F188" s="4"/>
      <c r="G188" t="s">
        <v>92</v>
      </c>
      <c r="H188" s="4" t="s">
        <v>1182</v>
      </c>
      <c r="I188" s="7">
        <v>6937.9172727983705</v>
      </c>
      <c r="J188" s="4" t="s">
        <v>1192</v>
      </c>
      <c r="K188" s="15">
        <v>45923</v>
      </c>
      <c r="L188" s="4" t="s">
        <v>14</v>
      </c>
      <c r="M188" s="4" t="s">
        <v>226</v>
      </c>
      <c r="N188" s="4">
        <v>2025</v>
      </c>
    </row>
    <row r="189" spans="1:14">
      <c r="A189" s="4">
        <v>106</v>
      </c>
      <c r="B189" s="4" t="s">
        <v>43</v>
      </c>
      <c r="C189" s="4" t="s">
        <v>46</v>
      </c>
      <c r="D189" s="4" t="s">
        <v>61</v>
      </c>
      <c r="E189" s="4" t="s">
        <v>91</v>
      </c>
      <c r="F189" s="4"/>
      <c r="G189" t="s">
        <v>92</v>
      </c>
      <c r="H189" s="4" t="s">
        <v>1182</v>
      </c>
      <c r="I189" s="7">
        <v>18299.161666672993</v>
      </c>
      <c r="J189" s="4" t="s">
        <v>1192</v>
      </c>
      <c r="K189" s="15">
        <v>45923</v>
      </c>
      <c r="L189" s="4" t="s">
        <v>14</v>
      </c>
      <c r="M189" s="4" t="s">
        <v>226</v>
      </c>
      <c r="N189" s="4">
        <v>2025</v>
      </c>
    </row>
    <row r="190" spans="1:14">
      <c r="A190" s="4">
        <v>107</v>
      </c>
      <c r="B190" s="4" t="s">
        <v>33</v>
      </c>
      <c r="C190" s="4" t="s">
        <v>34</v>
      </c>
      <c r="D190" s="4" t="s">
        <v>61</v>
      </c>
      <c r="E190" s="4" t="s">
        <v>91</v>
      </c>
      <c r="F190" s="4"/>
      <c r="G190" t="s">
        <v>92</v>
      </c>
      <c r="H190" s="4" t="s">
        <v>1182</v>
      </c>
      <c r="I190" s="7">
        <v>41501.101440150152</v>
      </c>
      <c r="J190" s="4" t="s">
        <v>1192</v>
      </c>
      <c r="K190" s="15">
        <v>45923</v>
      </c>
      <c r="L190" s="4" t="s">
        <v>14</v>
      </c>
      <c r="M190" s="4" t="s">
        <v>226</v>
      </c>
      <c r="N190" s="4">
        <v>2025</v>
      </c>
    </row>
    <row r="191" spans="1:14">
      <c r="A191" s="4">
        <v>108</v>
      </c>
      <c r="B191" s="4" t="s">
        <v>53</v>
      </c>
      <c r="C191" s="4" t="s">
        <v>62</v>
      </c>
      <c r="D191" s="4" t="s">
        <v>61</v>
      </c>
      <c r="E191" s="4" t="s">
        <v>91</v>
      </c>
      <c r="F191" s="4"/>
      <c r="G191" t="s">
        <v>92</v>
      </c>
      <c r="H191" s="4" t="s">
        <v>1182</v>
      </c>
      <c r="I191" s="7">
        <v>59280.663887059061</v>
      </c>
      <c r="J191" s="4" t="s">
        <v>1192</v>
      </c>
      <c r="K191" s="15">
        <v>45923</v>
      </c>
      <c r="L191" s="4" t="s">
        <v>14</v>
      </c>
      <c r="M191" s="4" t="s">
        <v>226</v>
      </c>
      <c r="N191" s="4">
        <v>2025</v>
      </c>
    </row>
    <row r="192" spans="1:14">
      <c r="A192" s="4">
        <v>109</v>
      </c>
      <c r="B192" s="4" t="s">
        <v>59</v>
      </c>
      <c r="C192" s="4" t="s">
        <v>60</v>
      </c>
      <c r="D192" s="4" t="s">
        <v>61</v>
      </c>
      <c r="E192" s="4" t="s">
        <v>91</v>
      </c>
      <c r="F192" s="4"/>
      <c r="G192" t="s">
        <v>92</v>
      </c>
      <c r="H192" s="4" t="s">
        <v>1182</v>
      </c>
      <c r="I192" s="7">
        <v>1489.3793909525762</v>
      </c>
      <c r="J192" s="4" t="s">
        <v>1192</v>
      </c>
      <c r="K192" s="15">
        <v>45923</v>
      </c>
      <c r="L192" s="4" t="s">
        <v>14</v>
      </c>
      <c r="M192" s="4" t="s">
        <v>226</v>
      </c>
      <c r="N192" s="4">
        <v>2025</v>
      </c>
    </row>
    <row r="193" spans="1:14">
      <c r="A193" s="4">
        <v>110</v>
      </c>
      <c r="B193" s="4" t="s">
        <v>17</v>
      </c>
      <c r="C193" s="4" t="s">
        <v>22</v>
      </c>
      <c r="D193" s="4" t="s">
        <v>61</v>
      </c>
      <c r="E193" s="4" t="s">
        <v>91</v>
      </c>
      <c r="F193" s="4"/>
      <c r="G193" t="s">
        <v>92</v>
      </c>
      <c r="H193" s="4" t="s">
        <v>1182</v>
      </c>
      <c r="I193" s="7">
        <v>1393.5409558257888</v>
      </c>
      <c r="J193" s="4" t="s">
        <v>1192</v>
      </c>
      <c r="K193" s="15">
        <v>45923</v>
      </c>
      <c r="L193" s="4" t="s">
        <v>14</v>
      </c>
      <c r="M193" s="4" t="s">
        <v>226</v>
      </c>
      <c r="N193" s="4">
        <v>2025</v>
      </c>
    </row>
    <row r="194" spans="1:14">
      <c r="A194" s="4">
        <v>111</v>
      </c>
      <c r="B194" s="4" t="s">
        <v>43</v>
      </c>
      <c r="C194" s="4" t="s">
        <v>47</v>
      </c>
      <c r="D194" s="4" t="s">
        <v>61</v>
      </c>
      <c r="E194" s="4" t="s">
        <v>91</v>
      </c>
      <c r="F194" s="4"/>
      <c r="G194" t="s">
        <v>92</v>
      </c>
      <c r="H194" s="4" t="s">
        <v>1182</v>
      </c>
      <c r="I194" s="7">
        <v>16274.382824309301</v>
      </c>
      <c r="J194" s="4" t="s">
        <v>1192</v>
      </c>
      <c r="K194" s="15">
        <v>45923</v>
      </c>
      <c r="L194" s="4" t="s">
        <v>14</v>
      </c>
      <c r="M194" s="4" t="s">
        <v>226</v>
      </c>
      <c r="N194" s="4">
        <v>2025</v>
      </c>
    </row>
    <row r="195" spans="1:14">
      <c r="A195" s="4">
        <v>112</v>
      </c>
      <c r="B195" s="4" t="s">
        <v>29</v>
      </c>
      <c r="C195" s="4" t="s">
        <v>237</v>
      </c>
      <c r="D195" s="4" t="s">
        <v>61</v>
      </c>
      <c r="E195" s="4" t="s">
        <v>91</v>
      </c>
      <c r="F195" s="4"/>
      <c r="G195" t="s">
        <v>92</v>
      </c>
      <c r="H195" s="4" t="s">
        <v>1182</v>
      </c>
      <c r="I195" s="7">
        <v>14003.403307016339</v>
      </c>
      <c r="J195" s="4" t="s">
        <v>1192</v>
      </c>
      <c r="K195" s="15">
        <v>45923</v>
      </c>
      <c r="L195" s="4" t="s">
        <v>14</v>
      </c>
      <c r="M195" s="4" t="s">
        <v>226</v>
      </c>
      <c r="N195" s="4">
        <v>2025</v>
      </c>
    </row>
    <row r="196" spans="1:14">
      <c r="A196" s="4">
        <v>113</v>
      </c>
      <c r="B196" s="4" t="s">
        <v>35</v>
      </c>
      <c r="C196" s="4" t="s">
        <v>40</v>
      </c>
      <c r="D196" s="4" t="s">
        <v>61</v>
      </c>
      <c r="E196" s="4" t="s">
        <v>91</v>
      </c>
      <c r="F196" s="4"/>
      <c r="G196" t="s">
        <v>92</v>
      </c>
      <c r="H196" s="4" t="s">
        <v>1182</v>
      </c>
      <c r="I196" s="7">
        <v>2952.8562891826637</v>
      </c>
      <c r="J196" s="4" t="s">
        <v>1192</v>
      </c>
      <c r="K196" s="15">
        <v>45923</v>
      </c>
      <c r="L196" s="4" t="s">
        <v>14</v>
      </c>
      <c r="M196" s="4" t="s">
        <v>226</v>
      </c>
      <c r="N196" s="4">
        <v>2025</v>
      </c>
    </row>
    <row r="197" spans="1:14">
      <c r="A197" s="4">
        <v>114</v>
      </c>
      <c r="B197" s="4" t="s">
        <v>43</v>
      </c>
      <c r="C197" s="4" t="s">
        <v>49</v>
      </c>
      <c r="D197" s="4" t="s">
        <v>61</v>
      </c>
      <c r="E197" s="4" t="s">
        <v>91</v>
      </c>
      <c r="F197" s="4"/>
      <c r="G197" t="s">
        <v>92</v>
      </c>
      <c r="H197" s="4" t="s">
        <v>1182</v>
      </c>
      <c r="I197" s="7">
        <v>8235.6199483928212</v>
      </c>
      <c r="J197" s="4" t="s">
        <v>1192</v>
      </c>
      <c r="K197" s="15">
        <v>45923</v>
      </c>
      <c r="L197" s="4" t="s">
        <v>14</v>
      </c>
      <c r="M197" s="4" t="s">
        <v>226</v>
      </c>
      <c r="N197" s="4">
        <v>2025</v>
      </c>
    </row>
    <row r="198" spans="1:14">
      <c r="A198" s="4">
        <v>115</v>
      </c>
      <c r="B198" s="4" t="s">
        <v>43</v>
      </c>
      <c r="C198" s="4" t="s">
        <v>51</v>
      </c>
      <c r="D198" s="4" t="s">
        <v>61</v>
      </c>
      <c r="E198" s="4" t="s">
        <v>91</v>
      </c>
      <c r="F198" s="4"/>
      <c r="G198" t="s">
        <v>92</v>
      </c>
      <c r="H198" s="4" t="s">
        <v>1182</v>
      </c>
      <c r="I198" s="7">
        <v>18460.532555115784</v>
      </c>
      <c r="J198" s="4" t="s">
        <v>1192</v>
      </c>
      <c r="K198" s="15">
        <v>45923</v>
      </c>
      <c r="L198" s="4" t="s">
        <v>14</v>
      </c>
      <c r="M198" s="4" t="s">
        <v>226</v>
      </c>
      <c r="N198" s="4">
        <v>2025</v>
      </c>
    </row>
    <row r="199" spans="1:14">
      <c r="A199" s="4">
        <v>116</v>
      </c>
      <c r="B199" s="4" t="s">
        <v>43</v>
      </c>
      <c r="C199" s="4" t="s">
        <v>50</v>
      </c>
      <c r="D199" s="4" t="s">
        <v>61</v>
      </c>
      <c r="E199" s="4" t="s">
        <v>91</v>
      </c>
      <c r="F199" s="4"/>
      <c r="G199" t="s">
        <v>92</v>
      </c>
      <c r="H199" s="4" t="s">
        <v>1182</v>
      </c>
      <c r="I199" s="7">
        <v>13917.925592860571</v>
      </c>
      <c r="J199" s="4" t="s">
        <v>1192</v>
      </c>
      <c r="K199" s="15">
        <v>45923</v>
      </c>
      <c r="L199" s="4" t="s">
        <v>14</v>
      </c>
      <c r="M199" s="4" t="s">
        <v>226</v>
      </c>
      <c r="N199" s="4">
        <v>2025</v>
      </c>
    </row>
    <row r="200" spans="1:14">
      <c r="A200" s="4">
        <v>117</v>
      </c>
      <c r="B200" s="4" t="s">
        <v>43</v>
      </c>
      <c r="C200" s="4" t="s">
        <v>52</v>
      </c>
      <c r="D200" s="4" t="s">
        <v>61</v>
      </c>
      <c r="E200" s="4" t="s">
        <v>91</v>
      </c>
      <c r="F200" s="4"/>
      <c r="G200" t="s">
        <v>92</v>
      </c>
      <c r="H200" s="4" t="s">
        <v>1182</v>
      </c>
      <c r="I200" s="7">
        <v>2583.7492530348304</v>
      </c>
      <c r="J200" s="4" t="s">
        <v>1192</v>
      </c>
      <c r="K200" s="15">
        <v>45923</v>
      </c>
      <c r="L200" s="4" t="s">
        <v>14</v>
      </c>
      <c r="M200" s="4" t="s">
        <v>226</v>
      </c>
      <c r="N200" s="4">
        <v>2025</v>
      </c>
    </row>
    <row r="201" spans="1:14">
      <c r="A201" s="4">
        <v>118</v>
      </c>
      <c r="B201" s="4" t="s">
        <v>17</v>
      </c>
      <c r="C201" s="4" t="s">
        <v>23</v>
      </c>
      <c r="D201" s="4" t="s">
        <v>61</v>
      </c>
      <c r="E201" s="4" t="s">
        <v>91</v>
      </c>
      <c r="F201" s="4"/>
      <c r="G201" t="s">
        <v>92</v>
      </c>
      <c r="H201" s="4" t="s">
        <v>1182</v>
      </c>
      <c r="I201" s="7">
        <v>590.57125783653271</v>
      </c>
      <c r="J201" s="4" t="s">
        <v>1192</v>
      </c>
      <c r="K201" s="15">
        <v>45923</v>
      </c>
      <c r="L201" s="4" t="s">
        <v>14</v>
      </c>
      <c r="M201" s="4" t="s">
        <v>226</v>
      </c>
      <c r="N201" s="4">
        <v>2025</v>
      </c>
    </row>
    <row r="202" spans="1:14">
      <c r="A202" s="4">
        <v>119</v>
      </c>
      <c r="B202" s="4" t="s">
        <v>43</v>
      </c>
      <c r="C202" s="4" t="s">
        <v>77</v>
      </c>
      <c r="D202" s="4" t="s">
        <v>61</v>
      </c>
      <c r="E202" s="4" t="s">
        <v>91</v>
      </c>
      <c r="F202" s="4"/>
      <c r="G202" t="s">
        <v>92</v>
      </c>
      <c r="H202" s="4" t="s">
        <v>1182</v>
      </c>
      <c r="I202" s="7">
        <v>1230.3568881782153</v>
      </c>
      <c r="J202" s="4" t="s">
        <v>1192</v>
      </c>
      <c r="K202" s="15">
        <v>45923</v>
      </c>
      <c r="L202" s="4" t="s">
        <v>14</v>
      </c>
      <c r="M202" s="4" t="s">
        <v>226</v>
      </c>
      <c r="N202" s="4">
        <v>2025</v>
      </c>
    </row>
    <row r="203" spans="1:14">
      <c r="A203" s="4">
        <v>120</v>
      </c>
      <c r="B203" s="4" t="s">
        <v>17</v>
      </c>
      <c r="C203" s="4" t="s">
        <v>24</v>
      </c>
      <c r="D203" s="4" t="s">
        <v>61</v>
      </c>
      <c r="E203" s="4" t="s">
        <v>91</v>
      </c>
      <c r="F203" s="4"/>
      <c r="G203" t="s">
        <v>92</v>
      </c>
      <c r="H203" s="4" t="s">
        <v>1182</v>
      </c>
      <c r="I203" s="7">
        <v>6793.9007089954475</v>
      </c>
      <c r="J203" s="4" t="s">
        <v>1192</v>
      </c>
      <c r="K203" s="15">
        <v>45923</v>
      </c>
      <c r="L203" s="4" t="s">
        <v>14</v>
      </c>
      <c r="M203" s="4" t="s">
        <v>226</v>
      </c>
      <c r="N203" s="4">
        <v>2025</v>
      </c>
    </row>
    <row r="204" spans="1:14">
      <c r="A204" s="4">
        <v>121</v>
      </c>
      <c r="B204" s="4" t="s">
        <v>17</v>
      </c>
      <c r="C204" s="4" t="s">
        <v>25</v>
      </c>
      <c r="D204" s="4" t="s">
        <v>61</v>
      </c>
      <c r="E204" s="4" t="s">
        <v>91</v>
      </c>
      <c r="F204" s="4"/>
      <c r="G204" t="s">
        <v>92</v>
      </c>
      <c r="H204" s="4" t="s">
        <v>1182</v>
      </c>
      <c r="I204" s="7">
        <v>6659.468206905749</v>
      </c>
      <c r="J204" s="4" t="s">
        <v>1192</v>
      </c>
      <c r="K204" s="15">
        <v>45923</v>
      </c>
      <c r="L204" s="4" t="s">
        <v>14</v>
      </c>
      <c r="M204" s="4" t="s">
        <v>226</v>
      </c>
      <c r="N204" s="4">
        <v>2025</v>
      </c>
    </row>
    <row r="205" spans="1:14">
      <c r="A205" s="4">
        <v>122</v>
      </c>
      <c r="B205" s="4" t="s">
        <v>43</v>
      </c>
      <c r="C205" s="4" t="s">
        <v>73</v>
      </c>
      <c r="D205" s="4" t="s">
        <v>61</v>
      </c>
      <c r="E205" s="4" t="s">
        <v>91</v>
      </c>
      <c r="F205" s="4"/>
      <c r="G205" t="s">
        <v>92</v>
      </c>
      <c r="H205" s="4" t="s">
        <v>1182</v>
      </c>
      <c r="I205" s="7">
        <v>221.46422168869978</v>
      </c>
      <c r="J205" s="4" t="s">
        <v>1192</v>
      </c>
      <c r="K205" s="15">
        <v>45923</v>
      </c>
      <c r="L205" s="4" t="s">
        <v>14</v>
      </c>
      <c r="M205" s="4" t="s">
        <v>226</v>
      </c>
      <c r="N205" s="4">
        <v>2025</v>
      </c>
    </row>
    <row r="206" spans="1:14">
      <c r="A206" s="4">
        <v>123</v>
      </c>
      <c r="B206" s="4" t="s">
        <v>17</v>
      </c>
      <c r="C206" s="4" t="s">
        <v>26</v>
      </c>
      <c r="D206" s="4" t="s">
        <v>61</v>
      </c>
      <c r="E206" s="4" t="s">
        <v>91</v>
      </c>
      <c r="F206" s="4"/>
      <c r="G206" t="s">
        <v>92</v>
      </c>
      <c r="H206" s="4" t="s">
        <v>1182</v>
      </c>
      <c r="I206" s="7">
        <v>2066.9994024278644</v>
      </c>
      <c r="J206" s="4" t="s">
        <v>1192</v>
      </c>
      <c r="K206" s="15">
        <v>45923</v>
      </c>
      <c r="L206" s="4" t="s">
        <v>14</v>
      </c>
      <c r="M206" s="4" t="s">
        <v>226</v>
      </c>
      <c r="N206" s="4">
        <v>2025</v>
      </c>
    </row>
    <row r="207" spans="1:14">
      <c r="A207" s="4">
        <v>124</v>
      </c>
      <c r="B207" s="4" t="s">
        <v>43</v>
      </c>
      <c r="C207" s="4" t="s">
        <v>70</v>
      </c>
      <c r="D207" s="4" t="s">
        <v>61</v>
      </c>
      <c r="E207" s="4" t="s">
        <v>91</v>
      </c>
      <c r="F207" s="4"/>
      <c r="G207" t="s">
        <v>92</v>
      </c>
      <c r="H207" s="4" t="s">
        <v>1181</v>
      </c>
      <c r="I207" s="7">
        <v>571.19896577316717</v>
      </c>
      <c r="J207" s="4" t="s">
        <v>1193</v>
      </c>
      <c r="K207" s="15">
        <v>45923</v>
      </c>
      <c r="L207" s="4" t="s">
        <v>14</v>
      </c>
      <c r="M207" s="4" t="s">
        <v>226</v>
      </c>
      <c r="N207" s="4">
        <v>2025</v>
      </c>
    </row>
    <row r="208" spans="1:14">
      <c r="A208" s="4">
        <v>125</v>
      </c>
      <c r="B208" s="4" t="s">
        <v>55</v>
      </c>
      <c r="C208" s="4" t="s">
        <v>56</v>
      </c>
      <c r="D208" s="4" t="s">
        <v>61</v>
      </c>
      <c r="E208" s="4" t="s">
        <v>91</v>
      </c>
      <c r="F208" s="4"/>
      <c r="G208" t="s">
        <v>92</v>
      </c>
      <c r="H208" s="4" t="s">
        <v>1181</v>
      </c>
      <c r="I208" s="7">
        <v>10170.33361420544</v>
      </c>
      <c r="J208" s="4" t="s">
        <v>1193</v>
      </c>
      <c r="K208" s="15">
        <v>45923</v>
      </c>
      <c r="L208" s="4" t="s">
        <v>14</v>
      </c>
      <c r="M208" s="4" t="s">
        <v>226</v>
      </c>
      <c r="N208" s="4">
        <v>2025</v>
      </c>
    </row>
    <row r="209" spans="1:14">
      <c r="A209" s="4">
        <v>126</v>
      </c>
      <c r="B209" s="4" t="s">
        <v>43</v>
      </c>
      <c r="C209" s="4" t="s">
        <v>44</v>
      </c>
      <c r="D209" s="4" t="s">
        <v>61</v>
      </c>
      <c r="E209" s="4" t="s">
        <v>91</v>
      </c>
      <c r="F209" s="4"/>
      <c r="G209" t="s">
        <v>92</v>
      </c>
      <c r="H209" s="4" t="s">
        <v>1181</v>
      </c>
      <c r="I209" s="7">
        <v>2733.45904303712</v>
      </c>
      <c r="J209" s="4" t="s">
        <v>1193</v>
      </c>
      <c r="K209" s="15">
        <v>45923</v>
      </c>
      <c r="L209" s="4" t="s">
        <v>14</v>
      </c>
      <c r="M209" s="4" t="s">
        <v>226</v>
      </c>
      <c r="N209" s="4">
        <v>2025</v>
      </c>
    </row>
    <row r="210" spans="1:14">
      <c r="A210" s="4">
        <v>127</v>
      </c>
      <c r="B210" s="4" t="s">
        <v>272</v>
      </c>
      <c r="C210" s="4" t="s">
        <v>32</v>
      </c>
      <c r="D210" s="4" t="s">
        <v>61</v>
      </c>
      <c r="E210" s="4" t="s">
        <v>91</v>
      </c>
      <c r="F210" s="4"/>
      <c r="G210" t="s">
        <v>92</v>
      </c>
      <c r="H210" s="4" t="s">
        <v>1181</v>
      </c>
      <c r="I210" s="7">
        <v>255.67953840741527</v>
      </c>
      <c r="J210" s="4" t="s">
        <v>1193</v>
      </c>
      <c r="K210" s="15">
        <v>45923</v>
      </c>
      <c r="L210" s="4" t="s">
        <v>14</v>
      </c>
      <c r="M210" s="4" t="s">
        <v>226</v>
      </c>
      <c r="N210" s="4">
        <v>2025</v>
      </c>
    </row>
    <row r="211" spans="1:14">
      <c r="A211" s="4">
        <v>128</v>
      </c>
      <c r="B211" s="4" t="s">
        <v>35</v>
      </c>
      <c r="C211" s="4" t="s">
        <v>37</v>
      </c>
      <c r="D211" s="4" t="s">
        <v>61</v>
      </c>
      <c r="E211" s="4" t="s">
        <v>91</v>
      </c>
      <c r="F211" s="4"/>
      <c r="G211" t="s">
        <v>92</v>
      </c>
      <c r="H211" s="4" t="s">
        <v>1181</v>
      </c>
      <c r="I211" s="7">
        <v>6419.1883344916696</v>
      </c>
      <c r="J211" s="4" t="s">
        <v>1193</v>
      </c>
      <c r="K211" s="15">
        <v>45923</v>
      </c>
      <c r="L211" s="4" t="s">
        <v>14</v>
      </c>
      <c r="M211" s="4" t="s">
        <v>226</v>
      </c>
      <c r="N211" s="4">
        <v>2025</v>
      </c>
    </row>
    <row r="212" spans="1:14">
      <c r="A212" s="4">
        <v>129</v>
      </c>
      <c r="B212" s="4" t="s">
        <v>35</v>
      </c>
      <c r="C212" s="4" t="s">
        <v>38</v>
      </c>
      <c r="D212" s="4" t="s">
        <v>61</v>
      </c>
      <c r="E212" s="4" t="s">
        <v>91</v>
      </c>
      <c r="F212" s="4"/>
      <c r="G212" t="s">
        <v>92</v>
      </c>
      <c r="H212" s="4" t="s">
        <v>1181</v>
      </c>
      <c r="I212" s="7">
        <v>11082.565530927934</v>
      </c>
      <c r="J212" s="4" t="s">
        <v>1193</v>
      </c>
      <c r="K212" s="15">
        <v>45923</v>
      </c>
      <c r="L212" s="4" t="s">
        <v>14</v>
      </c>
      <c r="M212" s="4" t="s">
        <v>226</v>
      </c>
      <c r="N212" s="4">
        <v>2025</v>
      </c>
    </row>
    <row r="213" spans="1:14">
      <c r="A213" s="4">
        <v>130</v>
      </c>
      <c r="B213" s="4" t="s">
        <v>43</v>
      </c>
      <c r="C213" s="4" t="s">
        <v>45</v>
      </c>
      <c r="D213" s="4" t="s">
        <v>61</v>
      </c>
      <c r="E213" s="4" t="s">
        <v>91</v>
      </c>
      <c r="F213" s="4"/>
      <c r="G213" t="s">
        <v>92</v>
      </c>
      <c r="H213" s="4" t="s">
        <v>1181</v>
      </c>
      <c r="I213" s="7">
        <v>10314.221370281108</v>
      </c>
      <c r="J213" s="4" t="s">
        <v>1193</v>
      </c>
      <c r="K213" s="15">
        <v>45923</v>
      </c>
      <c r="L213" s="4" t="s">
        <v>14</v>
      </c>
      <c r="M213" s="4" t="s">
        <v>226</v>
      </c>
      <c r="N213" s="4">
        <v>2025</v>
      </c>
    </row>
    <row r="214" spans="1:14">
      <c r="A214" s="4">
        <v>131</v>
      </c>
      <c r="B214" s="4" t="s">
        <v>43</v>
      </c>
      <c r="C214" s="4" t="s">
        <v>46</v>
      </c>
      <c r="D214" s="4" t="s">
        <v>61</v>
      </c>
      <c r="E214" s="4" t="s">
        <v>91</v>
      </c>
      <c r="F214" s="4"/>
      <c r="G214" t="s">
        <v>92</v>
      </c>
      <c r="H214" s="4" t="s">
        <v>1181</v>
      </c>
      <c r="I214" s="7">
        <v>37889.803670153698</v>
      </c>
      <c r="J214" s="4" t="s">
        <v>1193</v>
      </c>
      <c r="K214" s="15">
        <v>45923</v>
      </c>
      <c r="L214" s="4" t="s">
        <v>14</v>
      </c>
      <c r="M214" s="4" t="s">
        <v>226</v>
      </c>
      <c r="N214" s="4">
        <v>2025</v>
      </c>
    </row>
    <row r="215" spans="1:14">
      <c r="A215" s="4">
        <v>132</v>
      </c>
      <c r="B215" s="4" t="s">
        <v>33</v>
      </c>
      <c r="C215" s="4" t="s">
        <v>34</v>
      </c>
      <c r="D215" s="4" t="s">
        <v>61</v>
      </c>
      <c r="E215" s="4" t="s">
        <v>91</v>
      </c>
      <c r="F215" s="4"/>
      <c r="G215" t="s">
        <v>92</v>
      </c>
      <c r="H215" s="4" t="s">
        <v>1181</v>
      </c>
      <c r="I215" s="7">
        <v>31744.627523002495</v>
      </c>
      <c r="J215" s="4" t="s">
        <v>1193</v>
      </c>
      <c r="K215" s="15">
        <v>45923</v>
      </c>
      <c r="L215" s="4" t="s">
        <v>14</v>
      </c>
      <c r="M215" s="4" t="s">
        <v>226</v>
      </c>
      <c r="N215" s="4">
        <v>2025</v>
      </c>
    </row>
    <row r="216" spans="1:14">
      <c r="A216" s="4">
        <v>133</v>
      </c>
      <c r="B216" s="4" t="s">
        <v>53</v>
      </c>
      <c r="C216" s="4" t="s">
        <v>62</v>
      </c>
      <c r="D216" s="4" t="s">
        <v>61</v>
      </c>
      <c r="E216" s="4" t="s">
        <v>91</v>
      </c>
      <c r="F216" s="4"/>
      <c r="G216" t="s">
        <v>92</v>
      </c>
      <c r="H216" s="4" t="s">
        <v>1181</v>
      </c>
      <c r="I216" s="7">
        <v>166781.28913135847</v>
      </c>
      <c r="J216" s="4" t="s">
        <v>1193</v>
      </c>
      <c r="K216" s="15">
        <v>45923</v>
      </c>
      <c r="L216" s="4" t="s">
        <v>14</v>
      </c>
      <c r="M216" s="4" t="s">
        <v>226</v>
      </c>
      <c r="N216" s="4">
        <v>2025</v>
      </c>
    </row>
    <row r="217" spans="1:14">
      <c r="A217" s="4">
        <v>134</v>
      </c>
      <c r="B217" s="4" t="s">
        <v>17</v>
      </c>
      <c r="C217" s="4" t="s">
        <v>22</v>
      </c>
      <c r="D217" s="4" t="s">
        <v>61</v>
      </c>
      <c r="E217" s="4" t="s">
        <v>91</v>
      </c>
      <c r="F217" s="4"/>
      <c r="G217" t="s">
        <v>92</v>
      </c>
      <c r="H217" s="4" t="s">
        <v>1181</v>
      </c>
      <c r="I217" s="7">
        <v>348.15936422594012</v>
      </c>
      <c r="J217" s="4" t="s">
        <v>1193</v>
      </c>
      <c r="K217" s="15">
        <v>45923</v>
      </c>
      <c r="L217" s="4" t="s">
        <v>14</v>
      </c>
      <c r="M217" s="4" t="s">
        <v>226</v>
      </c>
      <c r="N217" s="4">
        <v>2025</v>
      </c>
    </row>
    <row r="218" spans="1:14">
      <c r="A218" s="4">
        <v>135</v>
      </c>
      <c r="B218" s="4" t="s">
        <v>43</v>
      </c>
      <c r="C218" s="4" t="s">
        <v>47</v>
      </c>
      <c r="D218" s="4" t="s">
        <v>61</v>
      </c>
      <c r="E218" s="4" t="s">
        <v>91</v>
      </c>
      <c r="F218" s="4"/>
      <c r="G218" t="s">
        <v>92</v>
      </c>
      <c r="H218" s="4" t="s">
        <v>1181</v>
      </c>
      <c r="I218" s="7">
        <v>1867.548635812924</v>
      </c>
      <c r="J218" s="4" t="s">
        <v>1193</v>
      </c>
      <c r="K218" s="15">
        <v>45923</v>
      </c>
      <c r="L218" s="4" t="s">
        <v>14</v>
      </c>
      <c r="M218" s="4" t="s">
        <v>226</v>
      </c>
      <c r="N218" s="4">
        <v>2025</v>
      </c>
    </row>
    <row r="219" spans="1:14">
      <c r="A219" s="4">
        <v>136</v>
      </c>
      <c r="B219" s="4" t="s">
        <v>29</v>
      </c>
      <c r="C219" s="4" t="s">
        <v>237</v>
      </c>
      <c r="D219" s="4" t="s">
        <v>61</v>
      </c>
      <c r="E219" s="4" t="s">
        <v>91</v>
      </c>
      <c r="F219" s="4"/>
      <c r="G219" t="s">
        <v>92</v>
      </c>
      <c r="H219" s="4" t="s">
        <v>1181</v>
      </c>
      <c r="I219" s="7">
        <v>4484.0614715299353</v>
      </c>
      <c r="J219" s="4" t="s">
        <v>1193</v>
      </c>
      <c r="K219" s="15">
        <v>45923</v>
      </c>
      <c r="L219" s="4" t="s">
        <v>14</v>
      </c>
      <c r="M219" s="4" t="s">
        <v>226</v>
      </c>
      <c r="N219" s="4">
        <v>2025</v>
      </c>
    </row>
    <row r="220" spans="1:14">
      <c r="A220" s="4">
        <v>137</v>
      </c>
      <c r="B220" s="4" t="s">
        <v>43</v>
      </c>
      <c r="C220" s="4" t="s">
        <v>49</v>
      </c>
      <c r="D220" s="4" t="s">
        <v>61</v>
      </c>
      <c r="E220" s="4" t="s">
        <v>91</v>
      </c>
      <c r="F220" s="4"/>
      <c r="G220" t="s">
        <v>92</v>
      </c>
      <c r="H220" s="4" t="s">
        <v>1181</v>
      </c>
      <c r="I220" s="7">
        <v>4324.7921785179642</v>
      </c>
      <c r="J220" s="4" t="s">
        <v>1193</v>
      </c>
      <c r="K220" s="15">
        <v>45923</v>
      </c>
      <c r="L220" s="4" t="s">
        <v>14</v>
      </c>
      <c r="M220" s="4" t="s">
        <v>226</v>
      </c>
      <c r="N220" s="4">
        <v>2025</v>
      </c>
    </row>
    <row r="221" spans="1:14">
      <c r="A221" s="4">
        <v>138</v>
      </c>
      <c r="B221" s="4" t="s">
        <v>43</v>
      </c>
      <c r="C221" s="4" t="s">
        <v>51</v>
      </c>
      <c r="D221" s="4" t="s">
        <v>61</v>
      </c>
      <c r="E221" s="4" t="s">
        <v>91</v>
      </c>
      <c r="F221" s="4"/>
      <c r="G221" t="s">
        <v>92</v>
      </c>
      <c r="H221" s="4" t="s">
        <v>1181</v>
      </c>
      <c r="I221" s="7">
        <v>38886.105157922429</v>
      </c>
      <c r="J221" s="4" t="s">
        <v>1193</v>
      </c>
      <c r="K221" s="15">
        <v>45923</v>
      </c>
      <c r="L221" s="4" t="s">
        <v>14</v>
      </c>
      <c r="M221" s="4" t="s">
        <v>226</v>
      </c>
      <c r="N221" s="4">
        <v>2025</v>
      </c>
    </row>
    <row r="222" spans="1:14">
      <c r="A222" s="4">
        <v>139</v>
      </c>
      <c r="B222" s="4" t="s">
        <v>43</v>
      </c>
      <c r="C222" s="4" t="s">
        <v>50</v>
      </c>
      <c r="D222" s="4" t="s">
        <v>61</v>
      </c>
      <c r="E222" s="4" t="s">
        <v>91</v>
      </c>
      <c r="F222" s="4"/>
      <c r="G222" t="s">
        <v>92</v>
      </c>
      <c r="H222" s="4" t="s">
        <v>1181</v>
      </c>
      <c r="I222" s="7">
        <v>2785.2749562394447</v>
      </c>
      <c r="J222" s="4" t="s">
        <v>1193</v>
      </c>
      <c r="K222" s="15">
        <v>45923</v>
      </c>
      <c r="L222" s="4" t="s">
        <v>14</v>
      </c>
      <c r="M222" s="4" t="s">
        <v>226</v>
      </c>
      <c r="N222" s="4">
        <v>2025</v>
      </c>
    </row>
    <row r="223" spans="1:14">
      <c r="A223" s="4">
        <v>140</v>
      </c>
      <c r="B223" s="4" t="s">
        <v>43</v>
      </c>
      <c r="C223" s="4" t="s">
        <v>52</v>
      </c>
      <c r="D223" s="4" t="s">
        <v>61</v>
      </c>
      <c r="E223" s="4" t="s">
        <v>91</v>
      </c>
      <c r="F223" s="4"/>
      <c r="G223" t="s">
        <v>92</v>
      </c>
      <c r="H223" s="4" t="s">
        <v>1181</v>
      </c>
      <c r="I223" s="7">
        <v>9227.5289166436014</v>
      </c>
      <c r="J223" s="4" t="s">
        <v>1193</v>
      </c>
      <c r="K223" s="15">
        <v>45923</v>
      </c>
      <c r="L223" s="4" t="s">
        <v>14</v>
      </c>
      <c r="M223" s="4" t="s">
        <v>226</v>
      </c>
      <c r="N223" s="4">
        <v>2025</v>
      </c>
    </row>
    <row r="224" spans="1:14">
      <c r="A224" s="4">
        <v>141</v>
      </c>
      <c r="B224" s="4" t="s">
        <v>43</v>
      </c>
      <c r="C224" s="4" t="s">
        <v>77</v>
      </c>
      <c r="D224" s="4" t="s">
        <v>61</v>
      </c>
      <c r="E224" s="4" t="s">
        <v>91</v>
      </c>
      <c r="F224" s="4"/>
      <c r="G224" t="s">
        <v>92</v>
      </c>
      <c r="H224" s="4" t="s">
        <v>1181</v>
      </c>
      <c r="I224" s="7">
        <v>1006.7245786276995</v>
      </c>
      <c r="J224" s="4" t="s">
        <v>1193</v>
      </c>
      <c r="K224" s="15">
        <v>45923</v>
      </c>
      <c r="L224" s="4" t="s">
        <v>14</v>
      </c>
      <c r="M224" s="4" t="s">
        <v>226</v>
      </c>
      <c r="N224" s="4">
        <v>2025</v>
      </c>
    </row>
    <row r="225" spans="1:14">
      <c r="A225" s="4">
        <v>142</v>
      </c>
      <c r="B225" s="4" t="s">
        <v>17</v>
      </c>
      <c r="C225" s="4" t="s">
        <v>24</v>
      </c>
      <c r="D225" s="4" t="s">
        <v>61</v>
      </c>
      <c r="E225" s="4" t="s">
        <v>91</v>
      </c>
      <c r="F225" s="4"/>
      <c r="G225" t="s">
        <v>92</v>
      </c>
      <c r="H225" s="4" t="s">
        <v>1181</v>
      </c>
      <c r="I225" s="7">
        <v>7324.4027748293456</v>
      </c>
      <c r="J225" s="4" t="s">
        <v>1193</v>
      </c>
      <c r="K225" s="15">
        <v>45923</v>
      </c>
      <c r="L225" s="4" t="s">
        <v>14</v>
      </c>
      <c r="M225" s="4" t="s">
        <v>226</v>
      </c>
      <c r="N225" s="4">
        <v>2025</v>
      </c>
    </row>
    <row r="226" spans="1:14">
      <c r="A226" s="4">
        <v>143</v>
      </c>
      <c r="B226" s="4" t="s">
        <v>17</v>
      </c>
      <c r="C226" s="4" t="s">
        <v>25</v>
      </c>
      <c r="D226" s="4" t="s">
        <v>61</v>
      </c>
      <c r="E226" s="4" t="s">
        <v>91</v>
      </c>
      <c r="F226" s="4"/>
      <c r="G226" t="s">
        <v>92</v>
      </c>
      <c r="H226" s="4" t="s">
        <v>1181</v>
      </c>
      <c r="I226" s="7">
        <v>6481.7482936228862</v>
      </c>
      <c r="J226" s="4" t="s">
        <v>1193</v>
      </c>
      <c r="K226" s="15">
        <v>45923</v>
      </c>
      <c r="L226" s="4" t="s">
        <v>14</v>
      </c>
      <c r="M226" s="4" t="s">
        <v>226</v>
      </c>
      <c r="N226" s="4">
        <v>2025</v>
      </c>
    </row>
    <row r="227" spans="1:14">
      <c r="A227" s="4">
        <v>144</v>
      </c>
      <c r="B227" s="4" t="s">
        <v>17</v>
      </c>
      <c r="C227" s="4" t="s">
        <v>26</v>
      </c>
      <c r="D227" s="4" t="s">
        <v>61</v>
      </c>
      <c r="E227" s="4" t="s">
        <v>91</v>
      </c>
      <c r="F227" s="4"/>
      <c r="G227" t="s">
        <v>92</v>
      </c>
      <c r="H227" s="4" t="s">
        <v>1181</v>
      </c>
      <c r="I227" s="7">
        <v>1221.2777954597598</v>
      </c>
      <c r="J227" s="4" t="s">
        <v>1193</v>
      </c>
      <c r="K227" s="15">
        <v>45923</v>
      </c>
      <c r="L227" s="4" t="s">
        <v>14</v>
      </c>
      <c r="M227" s="4" t="s">
        <v>226</v>
      </c>
      <c r="N227" s="4">
        <v>2025</v>
      </c>
    </row>
    <row r="228" spans="1:14">
      <c r="A228" s="4"/>
      <c r="B228" s="4"/>
      <c r="C228" s="4"/>
      <c r="D228" s="4"/>
      <c r="E228" s="4"/>
      <c r="F228" s="4"/>
      <c r="H228" s="4"/>
      <c r="I228" s="7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7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7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7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7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7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7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7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7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7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7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7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7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7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7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7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7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7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7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7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7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7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7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7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7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7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7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7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7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7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7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7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7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7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7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7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7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7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7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7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7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7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7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7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7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7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7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7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7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7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7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7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7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7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7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7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7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7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7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7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7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7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7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7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7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7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7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7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7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7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7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7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7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7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7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7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7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7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7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7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7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7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7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7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7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7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7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7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7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7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7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7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7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7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7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7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7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7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7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7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7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7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7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7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7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7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7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7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7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7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7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7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7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7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7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7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7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7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7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7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7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7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7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7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7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7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7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7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7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7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7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7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7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7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7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7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7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7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7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7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7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7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7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7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7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7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7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7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7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7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7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7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7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7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7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7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7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7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7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7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7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7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7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7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7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7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7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7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7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7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7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7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7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7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7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7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7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7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7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7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7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7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7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7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7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7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7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7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7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7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7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7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7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7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7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7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7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7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7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H427" s="4"/>
      <c r="I427" s="7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H428" s="4"/>
      <c r="I428" s="7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H429" s="4"/>
      <c r="I429" s="7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H430" s="4"/>
      <c r="I430" s="7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H431" s="4"/>
      <c r="I431" s="7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H432" s="4"/>
      <c r="I432" s="7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H433" s="4"/>
      <c r="I433" s="7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H434" s="4"/>
      <c r="I434" s="7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H435" s="4"/>
      <c r="I435" s="7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H436" s="4"/>
      <c r="I436" s="7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H437" s="4"/>
      <c r="I437" s="7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H438" s="4"/>
      <c r="I438" s="7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H439" s="4"/>
      <c r="I439" s="7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H440" s="4"/>
      <c r="I440" s="7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H441" s="4"/>
      <c r="I441" s="7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H442" s="4"/>
      <c r="I442" s="7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H443" s="4"/>
      <c r="I443" s="7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H444" s="4"/>
      <c r="I444" s="7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H445" s="4"/>
      <c r="I445" s="7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H446" s="4"/>
      <c r="I446" s="7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H447" s="4"/>
      <c r="I447" s="7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H448" s="4"/>
      <c r="I448" s="7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H449" s="4"/>
      <c r="I449" s="7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H450" s="4"/>
      <c r="I450" s="7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H451" s="4"/>
      <c r="I451" s="7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H452" s="4"/>
      <c r="I452" s="7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H453" s="4"/>
      <c r="I453" s="7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H454" s="4"/>
      <c r="I454" s="7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H455" s="4"/>
      <c r="I455" s="7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H456" s="4"/>
      <c r="I456" s="7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H457" s="4"/>
      <c r="I457" s="7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H458" s="4"/>
      <c r="I458" s="7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H459" s="4"/>
      <c r="I459" s="7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H460" s="4"/>
      <c r="I460" s="7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H461" s="4"/>
      <c r="I461" s="7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H462" s="4"/>
      <c r="I462" s="7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H463" s="4"/>
      <c r="I463" s="7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H464" s="4"/>
      <c r="I464" s="7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H465" s="4"/>
      <c r="I465" s="7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H466" s="4"/>
      <c r="I466" s="7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H467" s="4"/>
      <c r="I467" s="7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H468" s="4"/>
      <c r="I468" s="7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H469" s="4"/>
      <c r="I469" s="7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H470" s="4"/>
      <c r="I470" s="7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H471" s="4"/>
      <c r="I471" s="7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H472" s="4"/>
      <c r="I472" s="7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H473" s="4"/>
      <c r="I473" s="7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H474" s="4"/>
      <c r="I474" s="7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H475" s="4"/>
      <c r="I475" s="7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H476" s="4"/>
      <c r="I476" s="7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H477" s="4"/>
      <c r="I477" s="7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H478" s="4"/>
      <c r="I478" s="7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H479" s="4"/>
      <c r="I479" s="7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H480" s="4"/>
      <c r="I480" s="7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H481" s="4"/>
      <c r="I481" s="7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H482" s="4"/>
      <c r="I482" s="7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H483" s="4"/>
      <c r="I483" s="7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H484" s="4"/>
      <c r="I484" s="7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H485" s="4"/>
      <c r="I485" s="7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H486" s="4"/>
      <c r="I486" s="7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H487" s="4"/>
      <c r="I487" s="7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H488" s="4"/>
      <c r="I488" s="7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H489" s="4"/>
      <c r="I489" s="7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H490" s="4"/>
      <c r="I490" s="7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H491" s="4"/>
      <c r="I491" s="7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H492" s="4"/>
      <c r="I492" s="7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H493" s="4"/>
      <c r="I493" s="7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H494" s="4"/>
      <c r="I494" s="7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H495" s="4"/>
      <c r="I495" s="7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H496" s="4"/>
      <c r="I496" s="7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H497" s="4"/>
      <c r="I497" s="7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H498" s="4"/>
      <c r="I498" s="7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H499" s="4"/>
      <c r="I499" s="7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H500" s="4"/>
      <c r="I500" s="7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H501" s="4"/>
      <c r="I501" s="7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H502" s="4"/>
      <c r="I502" s="7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H503" s="4"/>
      <c r="I503" s="7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H504" s="4"/>
      <c r="I504" s="7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H505" s="4"/>
      <c r="I505" s="7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H506" s="4"/>
      <c r="I506" s="7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H507" s="4"/>
      <c r="I507" s="7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H508" s="4"/>
      <c r="I508" s="7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H509" s="4"/>
      <c r="I509" s="7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H510" s="4"/>
      <c r="I510" s="7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H511" s="4"/>
      <c r="I511" s="7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H512" s="4"/>
      <c r="I512" s="7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H513" s="4"/>
      <c r="I513" s="7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H514" s="4"/>
      <c r="I514" s="7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H515" s="4"/>
      <c r="I515" s="7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H516" s="4"/>
      <c r="I516" s="7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H517" s="4"/>
      <c r="I517" s="7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H518" s="4"/>
      <c r="I518" s="7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H519" s="4"/>
      <c r="I519" s="7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H520" s="4"/>
      <c r="I520" s="7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H521" s="4"/>
      <c r="I521" s="7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H522" s="4"/>
      <c r="I522" s="7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H523" s="4"/>
      <c r="I523" s="7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H524" s="4"/>
      <c r="I524" s="7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H525" s="4"/>
      <c r="I525" s="7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H526" s="4"/>
      <c r="I526" s="7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H527" s="4"/>
      <c r="I527" s="7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H528" s="4"/>
      <c r="I528" s="7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H529" s="4"/>
      <c r="I529" s="7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H530" s="4"/>
      <c r="I530" s="7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H531" s="4"/>
      <c r="I531" s="7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H532" s="4"/>
      <c r="I532" s="7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H533" s="4"/>
      <c r="I533" s="7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H534" s="4"/>
      <c r="I534" s="7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H535" s="4"/>
      <c r="I535" s="7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H536" s="4"/>
      <c r="I536" s="7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H537" s="4"/>
      <c r="I537" s="7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H538" s="4"/>
      <c r="I538" s="7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H539" s="4"/>
      <c r="I539" s="7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H540" s="4"/>
      <c r="I540" s="7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H541" s="4"/>
      <c r="I541" s="7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H542" s="4"/>
      <c r="I542" s="7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H543" s="4"/>
      <c r="I543" s="7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H544" s="4"/>
      <c r="I544" s="7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H545" s="4"/>
      <c r="I545" s="7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H546" s="4"/>
      <c r="I546" s="7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H547" s="4"/>
      <c r="I547" s="7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H548" s="4"/>
      <c r="I548" s="7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H549" s="4"/>
      <c r="I549" s="7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H550" s="4"/>
      <c r="I550" s="7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H551" s="4"/>
      <c r="I551" s="7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H552" s="4"/>
      <c r="I552" s="7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H553" s="4"/>
      <c r="I553" s="7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H554" s="4"/>
      <c r="I554" s="7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H555" s="4"/>
      <c r="I555" s="7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H556" s="4"/>
      <c r="I556" s="7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H557" s="4"/>
      <c r="I557" s="7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H558" s="4"/>
      <c r="I558" s="7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H559" s="4"/>
      <c r="I559" s="7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H560" s="4"/>
      <c r="I560" s="7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H561" s="4"/>
      <c r="I561" s="7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H562" s="4"/>
      <c r="I562" s="7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H563" s="4"/>
      <c r="I563" s="7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H564" s="4"/>
      <c r="I564" s="7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H565" s="4"/>
      <c r="I565" s="7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H566" s="4"/>
      <c r="I566" s="7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H567" s="4"/>
      <c r="I567" s="7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H568" s="4"/>
      <c r="I568" s="7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H569" s="4"/>
      <c r="I569" s="7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H570" s="4"/>
      <c r="I570" s="7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H571" s="4"/>
      <c r="I571" s="7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H572" s="4"/>
      <c r="I572" s="7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H573" s="4"/>
      <c r="I573" s="7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H574" s="4"/>
      <c r="I574" s="7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H575" s="4"/>
      <c r="I575" s="7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H576" s="4"/>
      <c r="I576" s="7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H577" s="4"/>
      <c r="I577" s="7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H578" s="4"/>
      <c r="I578" s="7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H579" s="4"/>
      <c r="I579" s="7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H580" s="4"/>
      <c r="I580" s="7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H581" s="4"/>
      <c r="I581" s="7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H582" s="4"/>
      <c r="I582" s="7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H583" s="4"/>
      <c r="I583" s="7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H584" s="4"/>
      <c r="I584" s="7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H585" s="4"/>
      <c r="I585" s="7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H586" s="4"/>
      <c r="I586" s="7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H587" s="4"/>
      <c r="I587" s="7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H588" s="4"/>
      <c r="I588" s="7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H589" s="4"/>
      <c r="I589" s="7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H590" s="4"/>
      <c r="I590" s="7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H591" s="4"/>
      <c r="I591" s="7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H592" s="4"/>
      <c r="I592" s="7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H593" s="4"/>
      <c r="I593" s="7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H594" s="4"/>
      <c r="I594" s="7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H595" s="4"/>
      <c r="I595" s="7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H596" s="4"/>
      <c r="I596" s="7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H597" s="4"/>
      <c r="I597" s="7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H598" s="4"/>
      <c r="I598" s="7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H599" s="4"/>
      <c r="I599" s="7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H600" s="4"/>
      <c r="I600" s="7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H601" s="4"/>
      <c r="I601" s="7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H602" s="4"/>
      <c r="I602" s="7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H603" s="4"/>
      <c r="I603" s="7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H604" s="4"/>
      <c r="I604" s="7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H605" s="4"/>
      <c r="I605" s="7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H606" s="4"/>
      <c r="I606" s="7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H607" s="4"/>
      <c r="I607" s="7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H608" s="4"/>
      <c r="I608" s="7"/>
      <c r="J608" s="4"/>
      <c r="K608" s="4"/>
      <c r="L608" s="4"/>
      <c r="M608" s="4"/>
      <c r="N608" s="4"/>
    </row>
  </sheetData>
  <autoFilter ref="A1:N186" xr:uid="{00000000-0009-0000-0000-000008000000}">
    <sortState xmlns:xlrd2="http://schemas.microsoft.com/office/spreadsheetml/2017/richdata2" ref="A2:N227">
      <sortCondition ref="G1:G186"/>
    </sortState>
  </autoFilter>
  <dataValidations count="1">
    <dataValidation type="list" allowBlank="1" showInputMessage="1" showErrorMessage="1" sqref="C2:C608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B2:B608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D2:D608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E2:E608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M2:M608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N2:N608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N14"/>
  <sheetViews>
    <sheetView workbookViewId="0">
      <selection activeCell="B2" sqref="B2:N14"/>
    </sheetView>
  </sheetViews>
  <sheetFormatPr defaultColWidth="9" defaultRowHeight="14.4"/>
  <cols>
    <col min="1" max="1" width="5.33203125" customWidth="1"/>
    <col min="2" max="2" width="8.6640625" customWidth="1"/>
    <col min="3" max="3" width="8.33203125" customWidth="1"/>
    <col min="4" max="4" width="8.88671875" customWidth="1"/>
    <col min="5" max="5" width="8.21875" customWidth="1"/>
    <col min="6" max="6" width="10.109375" customWidth="1"/>
    <col min="7" max="7" width="41.21875" customWidth="1"/>
    <col min="8" max="8" width="21.109375" customWidth="1"/>
    <col min="9" max="9" width="18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55</v>
      </c>
      <c r="C2" t="s">
        <v>56</v>
      </c>
      <c r="D2" s="4" t="s">
        <v>61</v>
      </c>
      <c r="E2" s="4" t="s">
        <v>99</v>
      </c>
      <c r="F2" s="4"/>
      <c r="G2" t="s">
        <v>102</v>
      </c>
      <c r="H2" s="4" t="s">
        <v>101</v>
      </c>
      <c r="I2" s="40">
        <v>11520</v>
      </c>
      <c r="J2" s="4" t="s">
        <v>340</v>
      </c>
      <c r="K2" s="65">
        <v>45868</v>
      </c>
      <c r="L2" s="4" t="s">
        <v>14</v>
      </c>
      <c r="M2" s="4" t="s">
        <v>225</v>
      </c>
      <c r="N2" s="4">
        <v>2025</v>
      </c>
    </row>
    <row r="3" spans="1:14">
      <c r="A3" s="4">
        <v>2</v>
      </c>
      <c r="B3" t="s">
        <v>17</v>
      </c>
      <c r="C3" t="s">
        <v>23</v>
      </c>
      <c r="D3" s="4" t="s">
        <v>61</v>
      </c>
      <c r="E3" s="4" t="s">
        <v>99</v>
      </c>
      <c r="F3" s="4"/>
      <c r="G3" t="s">
        <v>102</v>
      </c>
      <c r="H3" s="4" t="s">
        <v>101</v>
      </c>
      <c r="I3" s="36">
        <v>4500</v>
      </c>
      <c r="J3" s="4" t="s">
        <v>340</v>
      </c>
      <c r="K3" s="65">
        <v>45868</v>
      </c>
      <c r="L3" s="4" t="s">
        <v>14</v>
      </c>
      <c r="M3" s="4" t="s">
        <v>225</v>
      </c>
      <c r="N3" s="4">
        <v>2025</v>
      </c>
    </row>
    <row r="4" spans="1:14">
      <c r="A4" s="4">
        <v>3</v>
      </c>
      <c r="B4" t="s">
        <v>17</v>
      </c>
      <c r="C4" t="s">
        <v>23</v>
      </c>
      <c r="D4" s="4" t="s">
        <v>61</v>
      </c>
      <c r="E4" s="4" t="s">
        <v>99</v>
      </c>
      <c r="F4" s="4"/>
      <c r="G4" t="s">
        <v>102</v>
      </c>
      <c r="H4" s="4" t="s">
        <v>286</v>
      </c>
      <c r="I4" s="36">
        <v>1000</v>
      </c>
      <c r="J4" s="4" t="s">
        <v>340</v>
      </c>
      <c r="K4" s="65">
        <v>45868</v>
      </c>
      <c r="L4" s="4" t="s">
        <v>14</v>
      </c>
      <c r="M4" s="4" t="s">
        <v>225</v>
      </c>
      <c r="N4" s="4">
        <v>2025</v>
      </c>
    </row>
    <row r="5" spans="1:14">
      <c r="A5" s="4">
        <v>4</v>
      </c>
      <c r="B5" t="s">
        <v>55</v>
      </c>
      <c r="C5" t="s">
        <v>56</v>
      </c>
      <c r="D5" s="4" t="s">
        <v>61</v>
      </c>
      <c r="E5" s="4" t="s">
        <v>99</v>
      </c>
      <c r="G5" t="s">
        <v>102</v>
      </c>
      <c r="H5" s="4" t="s">
        <v>101</v>
      </c>
      <c r="I5" s="36">
        <v>11520</v>
      </c>
      <c r="J5" s="4" t="s">
        <v>341</v>
      </c>
      <c r="K5" s="65">
        <v>45899</v>
      </c>
      <c r="L5" s="4" t="s">
        <v>14</v>
      </c>
      <c r="M5" s="4" t="s">
        <v>226</v>
      </c>
      <c r="N5" s="4">
        <v>2025</v>
      </c>
    </row>
    <row r="6" spans="1:14">
      <c r="A6" s="4">
        <v>5</v>
      </c>
      <c r="B6" t="s">
        <v>17</v>
      </c>
      <c r="C6" t="s">
        <v>23</v>
      </c>
      <c r="D6" s="4" t="s">
        <v>61</v>
      </c>
      <c r="E6" s="4" t="s">
        <v>99</v>
      </c>
      <c r="G6" t="s">
        <v>102</v>
      </c>
      <c r="H6" s="4" t="s">
        <v>101</v>
      </c>
      <c r="I6" s="36">
        <v>4500</v>
      </c>
      <c r="J6" s="4" t="s">
        <v>341</v>
      </c>
      <c r="K6" s="65">
        <v>45899</v>
      </c>
      <c r="L6" s="4" t="s">
        <v>14</v>
      </c>
      <c r="M6" s="4" t="s">
        <v>226</v>
      </c>
      <c r="N6" s="4">
        <v>2025</v>
      </c>
    </row>
    <row r="7" spans="1:14">
      <c r="A7" s="4">
        <v>6</v>
      </c>
      <c r="B7" t="s">
        <v>17</v>
      </c>
      <c r="C7" t="s">
        <v>23</v>
      </c>
      <c r="D7" s="4" t="s">
        <v>61</v>
      </c>
      <c r="E7" s="4" t="s">
        <v>99</v>
      </c>
      <c r="G7" t="s">
        <v>102</v>
      </c>
      <c r="H7" s="4" t="s">
        <v>286</v>
      </c>
      <c r="I7" s="36">
        <v>1000</v>
      </c>
      <c r="J7" s="4" t="s">
        <v>341</v>
      </c>
      <c r="K7" s="65">
        <v>45899</v>
      </c>
      <c r="L7" s="4" t="s">
        <v>14</v>
      </c>
      <c r="M7" s="4" t="s">
        <v>226</v>
      </c>
      <c r="N7" s="4">
        <v>2025</v>
      </c>
    </row>
    <row r="8" spans="1:14">
      <c r="A8" s="4">
        <v>7</v>
      </c>
      <c r="B8" t="s">
        <v>33</v>
      </c>
      <c r="C8" t="s">
        <v>34</v>
      </c>
      <c r="D8" s="4" t="s">
        <v>61</v>
      </c>
      <c r="E8" s="4" t="s">
        <v>99</v>
      </c>
      <c r="G8" t="s">
        <v>100</v>
      </c>
      <c r="H8" s="4" t="s">
        <v>286</v>
      </c>
      <c r="I8" s="36">
        <v>7750</v>
      </c>
      <c r="J8" s="4" t="s">
        <v>337</v>
      </c>
      <c r="K8" s="65">
        <v>45901</v>
      </c>
      <c r="L8" s="4" t="s">
        <v>14</v>
      </c>
      <c r="M8" s="4" t="s">
        <v>226</v>
      </c>
      <c r="N8" s="4">
        <v>2025</v>
      </c>
    </row>
    <row r="9" spans="1:14">
      <c r="A9" s="4">
        <v>8</v>
      </c>
      <c r="B9" t="s">
        <v>53</v>
      </c>
      <c r="C9" t="s">
        <v>62</v>
      </c>
      <c r="D9" s="4" t="s">
        <v>61</v>
      </c>
      <c r="E9" s="4" t="s">
        <v>99</v>
      </c>
      <c r="G9" t="s">
        <v>100</v>
      </c>
      <c r="H9" s="4" t="s">
        <v>286</v>
      </c>
      <c r="I9" s="41">
        <v>27098</v>
      </c>
      <c r="J9" s="4" t="s">
        <v>338</v>
      </c>
      <c r="K9" s="65">
        <v>45901</v>
      </c>
      <c r="L9" s="4" t="s">
        <v>14</v>
      </c>
      <c r="M9" s="4" t="s">
        <v>226</v>
      </c>
      <c r="N9" s="4">
        <v>2025</v>
      </c>
    </row>
    <row r="10" spans="1:14">
      <c r="A10" s="4">
        <v>9</v>
      </c>
      <c r="B10" t="s">
        <v>33</v>
      </c>
      <c r="C10" t="s">
        <v>34</v>
      </c>
      <c r="D10" s="4" t="s">
        <v>61</v>
      </c>
      <c r="E10" s="4" t="s">
        <v>99</v>
      </c>
      <c r="G10" t="s">
        <v>100</v>
      </c>
      <c r="H10" t="s">
        <v>101</v>
      </c>
      <c r="I10" s="36">
        <v>1080</v>
      </c>
      <c r="J10" t="s">
        <v>339</v>
      </c>
      <c r="K10" s="65">
        <v>45901</v>
      </c>
      <c r="L10" s="4" t="s">
        <v>14</v>
      </c>
      <c r="M10" s="4" t="s">
        <v>226</v>
      </c>
      <c r="N10" s="4">
        <v>2025</v>
      </c>
    </row>
    <row r="11" spans="1:14">
      <c r="A11" s="4">
        <v>10</v>
      </c>
      <c r="B11" t="s">
        <v>43</v>
      </c>
      <c r="C11" t="s">
        <v>52</v>
      </c>
      <c r="D11" s="4" t="s">
        <v>61</v>
      </c>
      <c r="E11" s="4" t="s">
        <v>99</v>
      </c>
      <c r="G11" t="s">
        <v>96</v>
      </c>
      <c r="H11" t="s">
        <v>101</v>
      </c>
      <c r="I11" s="36">
        <f>2000000/1420</f>
        <v>1408.4507042253522</v>
      </c>
      <c r="J11" t="s">
        <v>335</v>
      </c>
      <c r="K11" s="65">
        <v>45869</v>
      </c>
      <c r="L11" s="4" t="s">
        <v>14</v>
      </c>
      <c r="M11" s="4" t="s">
        <v>225</v>
      </c>
      <c r="N11" s="4">
        <v>2025</v>
      </c>
    </row>
    <row r="12" spans="1:14">
      <c r="A12" s="4">
        <v>11</v>
      </c>
      <c r="B12" t="s">
        <v>43</v>
      </c>
      <c r="C12" t="s">
        <v>52</v>
      </c>
      <c r="D12" s="4" t="s">
        <v>61</v>
      </c>
      <c r="E12" s="4" t="s">
        <v>99</v>
      </c>
      <c r="G12" t="s">
        <v>96</v>
      </c>
      <c r="H12" t="s">
        <v>101</v>
      </c>
      <c r="I12" s="36">
        <f>2000000/1420</f>
        <v>1408.4507042253522</v>
      </c>
      <c r="J12" t="s">
        <v>336</v>
      </c>
      <c r="K12" s="65">
        <v>45900</v>
      </c>
      <c r="L12" s="4" t="s">
        <v>14</v>
      </c>
      <c r="M12" s="4" t="s">
        <v>226</v>
      </c>
      <c r="N12" s="4">
        <v>2025</v>
      </c>
    </row>
    <row r="13" spans="1:14">
      <c r="B13" t="s">
        <v>33</v>
      </c>
      <c r="C13" t="s">
        <v>34</v>
      </c>
      <c r="D13" s="4" t="s">
        <v>61</v>
      </c>
      <c r="E13" s="4" t="s">
        <v>99</v>
      </c>
      <c r="G13" t="s">
        <v>100</v>
      </c>
      <c r="H13" s="63" t="s">
        <v>286</v>
      </c>
      <c r="I13" s="36">
        <v>6000</v>
      </c>
      <c r="J13" t="s">
        <v>342</v>
      </c>
      <c r="K13" s="65">
        <v>45873</v>
      </c>
      <c r="L13" s="4" t="s">
        <v>14</v>
      </c>
      <c r="M13" s="4" t="s">
        <v>225</v>
      </c>
      <c r="N13" s="4">
        <v>2025</v>
      </c>
    </row>
    <row r="14" spans="1:14">
      <c r="B14" t="s">
        <v>53</v>
      </c>
      <c r="C14" t="s">
        <v>62</v>
      </c>
      <c r="D14" s="4" t="s">
        <v>61</v>
      </c>
      <c r="E14" s="4" t="s">
        <v>99</v>
      </c>
      <c r="G14" t="s">
        <v>100</v>
      </c>
      <c r="H14" s="63" t="s">
        <v>101</v>
      </c>
      <c r="I14" s="36">
        <v>22836</v>
      </c>
      <c r="J14" t="s">
        <v>343</v>
      </c>
      <c r="K14" s="65">
        <v>45873</v>
      </c>
      <c r="L14" s="4" t="s">
        <v>14</v>
      </c>
      <c r="M14" s="4" t="s">
        <v>225</v>
      </c>
      <c r="N14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900-000002000000}">
          <x14:formula1>
            <xm:f>List!$C$2:$C$3</xm:f>
          </x14:formula1>
          <xm:sqref>D2:D14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E2:E14</xm:sqref>
        </x14:dataValidation>
        <x14:dataValidation type="list" allowBlank="1" showInputMessage="1" showErrorMessage="1" xr:uid="{00000000-0002-0000-0900-000004000000}">
          <x14:formula1>
            <xm:f>List!$H$2:$H$13</xm:f>
          </x14:formula1>
          <xm:sqref>M2:M14</xm:sqref>
        </x14:dataValidation>
        <x14:dataValidation type="list" allowBlank="1" showInputMessage="1" showErrorMessage="1" xr:uid="{00000000-0002-0000-0900-000005000000}">
          <x14:formula1>
            <xm:f>List!$J$2:$J$4</xm:f>
          </x14:formula1>
          <xm:sqref>N2:N14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N12"/>
  <sheetViews>
    <sheetView workbookViewId="0">
      <selection activeCell="B2" sqref="B2:N12"/>
    </sheetView>
  </sheetViews>
  <sheetFormatPr defaultColWidth="9" defaultRowHeight="14.4"/>
  <cols>
    <col min="1" max="1" width="5.33203125" customWidth="1"/>
    <col min="2" max="2" width="9.33203125" bestFit="1" customWidth="1"/>
    <col min="3" max="3" width="9.6640625" bestFit="1" customWidth="1"/>
    <col min="4" max="4" width="8.88671875" customWidth="1"/>
    <col min="5" max="5" width="11.5546875" bestFit="1" customWidth="1"/>
    <col min="6" max="6" width="10.109375" customWidth="1"/>
    <col min="7" max="7" width="46.88671875" bestFit="1" customWidth="1"/>
    <col min="8" max="8" width="17.21875" bestFit="1" customWidth="1"/>
    <col min="9" max="9" width="18" customWidth="1"/>
    <col min="10" max="10" width="10.109375" customWidth="1"/>
    <col min="11" max="11" width="11.109375" customWidth="1"/>
    <col min="12" max="12" width="10.77734375" bestFit="1" customWidth="1"/>
    <col min="13" max="13" width="6.44140625" customWidth="1"/>
    <col min="14" max="14" width="4.77734375" customWidth="1"/>
  </cols>
  <sheetData>
    <row r="1" spans="1:14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2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</row>
    <row r="2" spans="1:14">
      <c r="A2" s="50">
        <v>1</v>
      </c>
      <c r="B2" s="50" t="s">
        <v>55</v>
      </c>
      <c r="C2" s="50" t="s">
        <v>56</v>
      </c>
      <c r="D2" s="50" t="s">
        <v>61</v>
      </c>
      <c r="E2" s="50" t="s">
        <v>103</v>
      </c>
      <c r="F2" s="50"/>
      <c r="G2" s="50" t="s">
        <v>21</v>
      </c>
      <c r="H2" s="50" t="s">
        <v>104</v>
      </c>
      <c r="I2" s="55">
        <v>4000</v>
      </c>
      <c r="J2" s="67" t="s">
        <v>14</v>
      </c>
      <c r="K2" s="67" t="s">
        <v>14</v>
      </c>
      <c r="L2" s="67" t="s">
        <v>14</v>
      </c>
      <c r="M2" s="50" t="s">
        <v>225</v>
      </c>
      <c r="N2" s="50">
        <v>2025</v>
      </c>
    </row>
    <row r="3" spans="1:14">
      <c r="A3" s="50">
        <v>2</v>
      </c>
      <c r="B3" s="50" t="s">
        <v>55</v>
      </c>
      <c r="C3" s="50" t="s">
        <v>56</v>
      </c>
      <c r="D3" s="50" t="s">
        <v>61</v>
      </c>
      <c r="E3" s="50" t="s">
        <v>103</v>
      </c>
      <c r="F3" s="50"/>
      <c r="G3" s="50" t="s">
        <v>21</v>
      </c>
      <c r="H3" s="50" t="s">
        <v>104</v>
      </c>
      <c r="I3" s="55">
        <v>4000</v>
      </c>
      <c r="J3" s="67" t="s">
        <v>14</v>
      </c>
      <c r="K3" s="67" t="s">
        <v>14</v>
      </c>
      <c r="L3" s="67" t="s">
        <v>14</v>
      </c>
      <c r="M3" s="50" t="s">
        <v>226</v>
      </c>
      <c r="N3" s="50">
        <v>2025</v>
      </c>
    </row>
    <row r="4" spans="1:14">
      <c r="A4" s="50">
        <v>3</v>
      </c>
      <c r="B4" s="53" t="s">
        <v>43</v>
      </c>
      <c r="C4" s="53" t="s">
        <v>46</v>
      </c>
      <c r="D4" s="50" t="s">
        <v>61</v>
      </c>
      <c r="E4" s="50" t="s">
        <v>103</v>
      </c>
      <c r="F4" s="50"/>
      <c r="G4" s="50" t="s">
        <v>265</v>
      </c>
      <c r="H4" s="50" t="s">
        <v>103</v>
      </c>
      <c r="I4" s="55">
        <v>12500</v>
      </c>
      <c r="J4" s="50" t="s">
        <v>349</v>
      </c>
      <c r="K4" s="45">
        <v>45826</v>
      </c>
      <c r="L4" s="50">
        <v>2025402085</v>
      </c>
      <c r="M4" s="50" t="s">
        <v>225</v>
      </c>
      <c r="N4" s="50">
        <v>2025</v>
      </c>
    </row>
    <row r="5" spans="1:14">
      <c r="A5" s="50">
        <v>4</v>
      </c>
      <c r="B5" s="53" t="s">
        <v>53</v>
      </c>
      <c r="C5" s="53" t="s">
        <v>62</v>
      </c>
      <c r="D5" s="50" t="s">
        <v>61</v>
      </c>
      <c r="E5" s="50" t="s">
        <v>103</v>
      </c>
      <c r="F5" s="50"/>
      <c r="G5" s="50" t="s">
        <v>265</v>
      </c>
      <c r="H5" s="50" t="s">
        <v>103</v>
      </c>
      <c r="I5" s="55">
        <v>15000</v>
      </c>
      <c r="J5" s="50" t="s">
        <v>350</v>
      </c>
      <c r="K5" s="45">
        <v>45879</v>
      </c>
      <c r="L5" s="50">
        <v>2025402656</v>
      </c>
      <c r="M5" s="50" t="s">
        <v>226</v>
      </c>
      <c r="N5" s="50">
        <v>2025</v>
      </c>
    </row>
    <row r="6" spans="1:14">
      <c r="A6" s="50">
        <v>5</v>
      </c>
      <c r="B6" s="53" t="s">
        <v>43</v>
      </c>
      <c r="C6" s="53" t="s">
        <v>46</v>
      </c>
      <c r="D6" s="50" t="s">
        <v>61</v>
      </c>
      <c r="E6" s="50" t="s">
        <v>103</v>
      </c>
      <c r="F6" s="50"/>
      <c r="G6" s="50" t="s">
        <v>265</v>
      </c>
      <c r="H6" s="50" t="s">
        <v>103</v>
      </c>
      <c r="I6" s="55">
        <v>5000</v>
      </c>
      <c r="J6" s="50" t="s">
        <v>349</v>
      </c>
      <c r="K6" s="45">
        <v>45887</v>
      </c>
      <c r="L6" s="50">
        <v>2025402653</v>
      </c>
      <c r="M6" s="50" t="s">
        <v>226</v>
      </c>
      <c r="N6" s="50">
        <v>2025</v>
      </c>
    </row>
    <row r="7" spans="1:14">
      <c r="A7" s="50">
        <v>6</v>
      </c>
      <c r="B7" s="50" t="s">
        <v>43</v>
      </c>
      <c r="C7" s="50" t="s">
        <v>49</v>
      </c>
      <c r="D7" s="50" t="s">
        <v>61</v>
      </c>
      <c r="E7" s="50" t="s">
        <v>103</v>
      </c>
      <c r="F7" s="50"/>
      <c r="G7" s="50" t="s">
        <v>348</v>
      </c>
      <c r="H7" s="50" t="s">
        <v>103</v>
      </c>
      <c r="I7" s="55">
        <f>1950000/1420</f>
        <v>1373.2394366197184</v>
      </c>
      <c r="J7" s="50" t="s">
        <v>351</v>
      </c>
      <c r="K7" s="45">
        <v>45829</v>
      </c>
      <c r="L7" s="50">
        <v>2025403110</v>
      </c>
      <c r="M7" s="50" t="s">
        <v>225</v>
      </c>
      <c r="N7" s="50">
        <v>2025</v>
      </c>
    </row>
    <row r="8" spans="1:14">
      <c r="A8" s="50">
        <v>7</v>
      </c>
      <c r="B8" s="50" t="s">
        <v>43</v>
      </c>
      <c r="C8" s="50" t="s">
        <v>49</v>
      </c>
      <c r="D8" s="50" t="s">
        <v>61</v>
      </c>
      <c r="E8" s="50" t="s">
        <v>103</v>
      </c>
      <c r="F8" s="50"/>
      <c r="G8" s="50" t="s">
        <v>348</v>
      </c>
      <c r="H8" s="50" t="s">
        <v>103</v>
      </c>
      <c r="I8" s="55">
        <f>1950000/1420</f>
        <v>1373.2394366197184</v>
      </c>
      <c r="J8" s="50" t="s">
        <v>352</v>
      </c>
      <c r="K8" s="45">
        <v>45859</v>
      </c>
      <c r="L8" s="50">
        <v>2025403110</v>
      </c>
      <c r="M8" s="50" t="s">
        <v>226</v>
      </c>
      <c r="N8" s="50">
        <v>2025</v>
      </c>
    </row>
    <row r="9" spans="1:14">
      <c r="A9" s="50">
        <v>8</v>
      </c>
      <c r="B9" s="50" t="s">
        <v>53</v>
      </c>
      <c r="C9" s="50" t="s">
        <v>62</v>
      </c>
      <c r="D9" s="50" t="s">
        <v>61</v>
      </c>
      <c r="E9" s="50" t="s">
        <v>103</v>
      </c>
      <c r="F9" s="50"/>
      <c r="G9" s="50" t="s">
        <v>265</v>
      </c>
      <c r="H9" s="50" t="s">
        <v>103</v>
      </c>
      <c r="I9" s="55">
        <v>5000</v>
      </c>
      <c r="J9" s="50" t="s">
        <v>353</v>
      </c>
      <c r="K9" s="45">
        <v>45966</v>
      </c>
      <c r="L9" s="50">
        <v>2025403328</v>
      </c>
      <c r="M9" s="50" t="s">
        <v>225</v>
      </c>
      <c r="N9" s="50">
        <v>2025</v>
      </c>
    </row>
    <row r="10" spans="1:14">
      <c r="A10" s="50">
        <v>9</v>
      </c>
      <c r="B10" s="50" t="s">
        <v>43</v>
      </c>
      <c r="C10" s="50" t="s">
        <v>46</v>
      </c>
      <c r="D10" s="50" t="s">
        <v>61</v>
      </c>
      <c r="E10" s="50" t="s">
        <v>103</v>
      </c>
      <c r="F10" s="50"/>
      <c r="G10" s="50" t="s">
        <v>265</v>
      </c>
      <c r="H10" s="50" t="s">
        <v>103</v>
      </c>
      <c r="I10" s="55">
        <v>2500</v>
      </c>
      <c r="J10" s="50" t="s">
        <v>354</v>
      </c>
      <c r="K10" s="45">
        <v>45980</v>
      </c>
      <c r="L10" s="50">
        <v>2025403217</v>
      </c>
      <c r="M10" s="50" t="s">
        <v>225</v>
      </c>
      <c r="N10" s="50">
        <v>2025</v>
      </c>
    </row>
    <row r="11" spans="1:14">
      <c r="A11" s="50">
        <v>10</v>
      </c>
      <c r="B11" s="50" t="s">
        <v>43</v>
      </c>
      <c r="C11" s="50" t="s">
        <v>46</v>
      </c>
      <c r="D11" s="50" t="s">
        <v>61</v>
      </c>
      <c r="E11" s="50" t="s">
        <v>103</v>
      </c>
      <c r="F11" s="50"/>
      <c r="G11" s="50" t="s">
        <v>265</v>
      </c>
      <c r="H11" s="50" t="s">
        <v>103</v>
      </c>
      <c r="I11" s="55">
        <v>2500</v>
      </c>
      <c r="J11" s="50" t="s">
        <v>355</v>
      </c>
      <c r="K11" s="45">
        <v>45980</v>
      </c>
      <c r="L11" s="50">
        <v>2025404139</v>
      </c>
      <c r="M11" s="50" t="s">
        <v>226</v>
      </c>
      <c r="N11" s="50">
        <v>2025</v>
      </c>
    </row>
    <row r="12" spans="1:14">
      <c r="A12" s="50">
        <v>11</v>
      </c>
      <c r="B12" s="50" t="s">
        <v>43</v>
      </c>
      <c r="C12" s="50" t="s">
        <v>46</v>
      </c>
      <c r="D12" s="50" t="s">
        <v>61</v>
      </c>
      <c r="E12" s="50" t="s">
        <v>103</v>
      </c>
      <c r="F12" s="50"/>
      <c r="G12" s="50" t="s">
        <v>265</v>
      </c>
      <c r="H12" s="50" t="s">
        <v>103</v>
      </c>
      <c r="I12" s="55">
        <v>2500</v>
      </c>
      <c r="J12" s="50" t="s">
        <v>355</v>
      </c>
      <c r="K12" s="45">
        <v>45980</v>
      </c>
      <c r="L12" s="50">
        <v>2025404139</v>
      </c>
      <c r="M12" s="50" t="s">
        <v>225</v>
      </c>
      <c r="N12" s="50">
        <v>2025</v>
      </c>
    </row>
  </sheetData>
  <dataValidations count="1">
    <dataValidation type="list" allowBlank="1" showInputMessage="1" showErrorMessage="1" sqref="C2:C3" xr:uid="{00000000-0002-0000-0A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0000000}">
          <x14:formula1>
            <xm:f>List!$P$2:$P$11</xm:f>
          </x14:formula1>
          <xm:sqref>B2:B3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D2:D12</xm:sqref>
        </x14:dataValidation>
        <x14:dataValidation type="list" allowBlank="1" showInputMessage="1" showErrorMessage="1" xr:uid="{00000000-0002-0000-0A00-000003000000}">
          <x14:formula1>
            <xm:f>List!$E$2:$E$32</xm:f>
          </x14:formula1>
          <xm:sqref>H4:H12 E2:E12</xm:sqref>
        </x14:dataValidation>
        <x14:dataValidation type="list" allowBlank="1" showInputMessage="1" showErrorMessage="1" xr:uid="{00000000-0002-0000-0A00-000004000000}">
          <x14:formula1>
            <xm:f>List!$H$2:$H$13</xm:f>
          </x14:formula1>
          <xm:sqref>M2:M6</xm:sqref>
        </x14:dataValidation>
        <x14:dataValidation type="list" allowBlank="1" showInputMessage="1" showErrorMessage="1" xr:uid="{00000000-0002-0000-0A00-000005000000}">
          <x14:formula1>
            <xm:f>List!$J$2:$J$4</xm:f>
          </x14:formula1>
          <xm:sqref>N2:N12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N21"/>
  <sheetViews>
    <sheetView workbookViewId="0">
      <selection activeCell="B2" sqref="B2:N21"/>
    </sheetView>
  </sheetViews>
  <sheetFormatPr defaultColWidth="9" defaultRowHeight="14.4"/>
  <cols>
    <col min="1" max="1" width="5.44140625" style="47" bestFit="1" customWidth="1"/>
    <col min="2" max="2" width="9.33203125" style="47" bestFit="1" customWidth="1"/>
    <col min="3" max="3" width="10.6640625" style="47" bestFit="1" customWidth="1"/>
    <col min="4" max="4" width="9" style="47" bestFit="1" customWidth="1"/>
    <col min="5" max="5" width="22.88671875" style="47" bestFit="1" customWidth="1"/>
    <col min="6" max="6" width="10.21875" style="47" bestFit="1" customWidth="1"/>
    <col min="7" max="7" width="13.77734375" style="47" bestFit="1" customWidth="1"/>
    <col min="8" max="8" width="19" style="47" customWidth="1"/>
    <col min="9" max="9" width="17.88671875" style="47" bestFit="1" customWidth="1"/>
    <col min="10" max="10" width="11.88671875" style="47" bestFit="1" customWidth="1"/>
    <col min="11" max="11" width="11.21875" style="47" bestFit="1" customWidth="1"/>
    <col min="12" max="12" width="10.33203125" style="47" bestFit="1" customWidth="1"/>
    <col min="13" max="13" width="6.44140625" style="47" customWidth="1"/>
    <col min="14" max="14" width="5" style="47" bestFit="1" customWidth="1"/>
    <col min="15" max="16384" width="9" style="47"/>
  </cols>
  <sheetData>
    <row r="1" spans="1:14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  <c r="N1" s="47" t="s">
        <v>13</v>
      </c>
    </row>
    <row r="2" spans="1:14">
      <c r="A2" s="47">
        <v>1</v>
      </c>
      <c r="B2" s="47" t="s">
        <v>55</v>
      </c>
      <c r="C2" s="47" t="s">
        <v>56</v>
      </c>
      <c r="D2" s="47" t="s">
        <v>61</v>
      </c>
      <c r="E2" s="47" t="s">
        <v>105</v>
      </c>
      <c r="G2" s="47" t="s">
        <v>108</v>
      </c>
      <c r="H2" s="47" t="s">
        <v>107</v>
      </c>
      <c r="I2" s="48">
        <v>1394.3661971830986</v>
      </c>
      <c r="J2" s="47" t="s">
        <v>359</v>
      </c>
      <c r="K2" s="42">
        <v>45870</v>
      </c>
      <c r="L2" s="47" t="s">
        <v>14</v>
      </c>
      <c r="M2" s="47" t="s">
        <v>225</v>
      </c>
      <c r="N2" s="47">
        <v>2025</v>
      </c>
    </row>
    <row r="3" spans="1:14">
      <c r="A3" s="47">
        <v>2</v>
      </c>
      <c r="B3" s="47" t="s">
        <v>43</v>
      </c>
      <c r="C3" s="47" t="s">
        <v>70</v>
      </c>
      <c r="D3" s="47" t="s">
        <v>61</v>
      </c>
      <c r="E3" s="47" t="s">
        <v>105</v>
      </c>
      <c r="G3" s="47" t="s">
        <v>108</v>
      </c>
      <c r="H3" s="47" t="s">
        <v>107</v>
      </c>
      <c r="I3" s="48">
        <v>1115.4929577464789</v>
      </c>
      <c r="J3" s="47" t="s">
        <v>359</v>
      </c>
      <c r="K3" s="42">
        <v>45870</v>
      </c>
      <c r="L3" s="47" t="s">
        <v>14</v>
      </c>
      <c r="M3" s="47" t="s">
        <v>225</v>
      </c>
      <c r="N3" s="47">
        <v>2025</v>
      </c>
    </row>
    <row r="4" spans="1:14">
      <c r="A4" s="47">
        <v>3</v>
      </c>
      <c r="B4" s="47" t="s">
        <v>55</v>
      </c>
      <c r="C4" s="47" t="s">
        <v>56</v>
      </c>
      <c r="D4" s="47" t="s">
        <v>61</v>
      </c>
      <c r="E4" s="47" t="s">
        <v>105</v>
      </c>
      <c r="G4" s="47" t="s">
        <v>108</v>
      </c>
      <c r="H4" s="47" t="s">
        <v>107</v>
      </c>
      <c r="I4" s="48">
        <v>1394.3661971830986</v>
      </c>
      <c r="J4" s="47" t="s">
        <v>360</v>
      </c>
      <c r="K4" s="42">
        <v>45901</v>
      </c>
      <c r="L4" s="47" t="s">
        <v>14</v>
      </c>
      <c r="M4" s="47" t="s">
        <v>226</v>
      </c>
      <c r="N4" s="47">
        <v>2025</v>
      </c>
    </row>
    <row r="5" spans="1:14">
      <c r="A5" s="47">
        <v>4</v>
      </c>
      <c r="B5" s="47" t="s">
        <v>43</v>
      </c>
      <c r="C5" s="47" t="s">
        <v>70</v>
      </c>
      <c r="D5" s="47" t="s">
        <v>61</v>
      </c>
      <c r="E5" s="47" t="s">
        <v>105</v>
      </c>
      <c r="G5" s="47" t="s">
        <v>108</v>
      </c>
      <c r="H5" s="47" t="s">
        <v>107</v>
      </c>
      <c r="I5" s="70">
        <v>1115.4929577464789</v>
      </c>
      <c r="J5" s="47" t="s">
        <v>360</v>
      </c>
      <c r="K5" s="42">
        <v>45901</v>
      </c>
      <c r="L5" s="47" t="s">
        <v>14</v>
      </c>
      <c r="M5" s="47" t="s">
        <v>226</v>
      </c>
      <c r="N5" s="47">
        <v>2025</v>
      </c>
    </row>
    <row r="6" spans="1:14">
      <c r="A6" s="47">
        <v>5</v>
      </c>
      <c r="B6" s="47" t="s">
        <v>17</v>
      </c>
      <c r="C6" s="47" t="s">
        <v>26</v>
      </c>
      <c r="D6" s="47" t="s">
        <v>61</v>
      </c>
      <c r="E6" s="47" t="s">
        <v>105</v>
      </c>
      <c r="G6" s="47" t="s">
        <v>106</v>
      </c>
      <c r="H6" s="47" t="s">
        <v>107</v>
      </c>
      <c r="I6" s="48">
        <v>1185.2112676056338</v>
      </c>
      <c r="J6" s="47" t="s">
        <v>356</v>
      </c>
      <c r="K6" s="42">
        <v>45839</v>
      </c>
      <c r="L6" s="47" t="s">
        <v>14</v>
      </c>
      <c r="M6" s="47" t="s">
        <v>225</v>
      </c>
      <c r="N6" s="47">
        <v>2025</v>
      </c>
    </row>
    <row r="7" spans="1:14">
      <c r="A7" s="47">
        <v>6</v>
      </c>
      <c r="B7" s="47" t="s">
        <v>43</v>
      </c>
      <c r="C7" s="47" t="s">
        <v>47</v>
      </c>
      <c r="D7" s="47" t="s">
        <v>61</v>
      </c>
      <c r="E7" s="47" t="s">
        <v>105</v>
      </c>
      <c r="G7" s="47" t="s">
        <v>106</v>
      </c>
      <c r="H7" s="47" t="s">
        <v>107</v>
      </c>
      <c r="I7" s="48">
        <v>1185.2112676056338</v>
      </c>
      <c r="J7" s="47" t="s">
        <v>357</v>
      </c>
      <c r="K7" s="42">
        <v>45839</v>
      </c>
      <c r="L7" s="47" t="s">
        <v>14</v>
      </c>
      <c r="M7" s="47" t="s">
        <v>225</v>
      </c>
      <c r="N7" s="47">
        <v>2025</v>
      </c>
    </row>
    <row r="8" spans="1:14">
      <c r="A8" s="47">
        <v>7</v>
      </c>
      <c r="B8" s="47" t="s">
        <v>17</v>
      </c>
      <c r="C8" s="47" t="s">
        <v>26</v>
      </c>
      <c r="D8" s="47" t="s">
        <v>61</v>
      </c>
      <c r="E8" s="47" t="s">
        <v>105</v>
      </c>
      <c r="G8" s="47" t="s">
        <v>106</v>
      </c>
      <c r="H8" s="47" t="s">
        <v>107</v>
      </c>
      <c r="I8" s="70">
        <v>1185.2112676056338</v>
      </c>
      <c r="J8" s="47" t="s">
        <v>361</v>
      </c>
      <c r="K8" s="42">
        <v>45870</v>
      </c>
      <c r="L8" s="47" t="s">
        <v>14</v>
      </c>
      <c r="M8" s="47" t="s">
        <v>226</v>
      </c>
      <c r="N8" s="47">
        <v>2025</v>
      </c>
    </row>
    <row r="9" spans="1:14">
      <c r="A9" s="47">
        <v>8</v>
      </c>
      <c r="B9" s="47" t="s">
        <v>43</v>
      </c>
      <c r="C9" s="47" t="s">
        <v>47</v>
      </c>
      <c r="D9" s="47" t="s">
        <v>61</v>
      </c>
      <c r="E9" s="47" t="s">
        <v>105</v>
      </c>
      <c r="G9" s="47" t="s">
        <v>106</v>
      </c>
      <c r="H9" s="47" t="s">
        <v>107</v>
      </c>
      <c r="I9" s="70">
        <v>1185.2112676056338</v>
      </c>
      <c r="J9" s="47" t="s">
        <v>362</v>
      </c>
      <c r="K9" s="42">
        <v>45870</v>
      </c>
      <c r="L9" s="47" t="s">
        <v>14</v>
      </c>
      <c r="M9" s="47" t="s">
        <v>226</v>
      </c>
      <c r="N9" s="47">
        <v>2025</v>
      </c>
    </row>
    <row r="10" spans="1:14">
      <c r="A10" s="47">
        <v>9</v>
      </c>
      <c r="B10" s="47" t="s">
        <v>27</v>
      </c>
      <c r="C10" s="47" t="s">
        <v>28</v>
      </c>
      <c r="D10" s="47" t="s">
        <v>61</v>
      </c>
      <c r="E10" s="47" t="s">
        <v>105</v>
      </c>
      <c r="G10" s="47" t="s">
        <v>109</v>
      </c>
      <c r="H10" s="47" t="s">
        <v>110</v>
      </c>
      <c r="I10" s="70">
        <v>982.54340728279578</v>
      </c>
      <c r="J10" s="47" t="s">
        <v>358</v>
      </c>
      <c r="K10" s="42">
        <v>45869</v>
      </c>
      <c r="L10" s="47" t="s">
        <v>14</v>
      </c>
      <c r="M10" s="47" t="s">
        <v>225</v>
      </c>
      <c r="N10" s="47">
        <v>2025</v>
      </c>
    </row>
    <row r="11" spans="1:14">
      <c r="A11" s="47">
        <v>10</v>
      </c>
      <c r="B11" s="47" t="s">
        <v>55</v>
      </c>
      <c r="C11" s="47" t="s">
        <v>56</v>
      </c>
      <c r="D11" s="47" t="s">
        <v>61</v>
      </c>
      <c r="E11" s="47" t="s">
        <v>105</v>
      </c>
      <c r="G11" s="47" t="s">
        <v>109</v>
      </c>
      <c r="H11" s="47" t="s">
        <v>110</v>
      </c>
      <c r="I11" s="70">
        <v>483.58530553246464</v>
      </c>
      <c r="J11" s="47" t="s">
        <v>358</v>
      </c>
      <c r="K11" s="42">
        <v>45869</v>
      </c>
      <c r="L11" s="47" t="s">
        <v>14</v>
      </c>
      <c r="M11" s="47" t="s">
        <v>225</v>
      </c>
      <c r="N11" s="47">
        <v>2025</v>
      </c>
    </row>
    <row r="12" spans="1:14">
      <c r="A12" s="47">
        <v>11</v>
      </c>
      <c r="B12" s="47" t="s">
        <v>59</v>
      </c>
      <c r="C12" s="47" t="s">
        <v>60</v>
      </c>
      <c r="D12" s="47" t="s">
        <v>61</v>
      </c>
      <c r="E12" s="47" t="s">
        <v>105</v>
      </c>
      <c r="G12" s="47" t="s">
        <v>109</v>
      </c>
      <c r="H12" s="47" t="s">
        <v>110</v>
      </c>
      <c r="I12" s="70">
        <v>501.39464980495097</v>
      </c>
      <c r="J12" s="47" t="s">
        <v>358</v>
      </c>
      <c r="K12" s="42">
        <v>45869</v>
      </c>
      <c r="L12" s="47" t="s">
        <v>14</v>
      </c>
      <c r="M12" s="47" t="s">
        <v>225</v>
      </c>
      <c r="N12" s="47">
        <v>2025</v>
      </c>
    </row>
    <row r="13" spans="1:14">
      <c r="A13" s="47">
        <v>12</v>
      </c>
      <c r="B13" s="47" t="s">
        <v>29</v>
      </c>
      <c r="C13" s="47" t="s">
        <v>30</v>
      </c>
      <c r="D13" s="47" t="s">
        <v>61</v>
      </c>
      <c r="E13" s="47" t="s">
        <v>105</v>
      </c>
      <c r="G13" s="47" t="s">
        <v>109</v>
      </c>
      <c r="H13" s="47" t="s">
        <v>110</v>
      </c>
      <c r="I13" s="70">
        <v>151.95845389565363</v>
      </c>
      <c r="J13" s="47" t="s">
        <v>358</v>
      </c>
      <c r="K13" s="42">
        <v>45869</v>
      </c>
      <c r="L13" s="47" t="s">
        <v>14</v>
      </c>
      <c r="M13" s="47" t="s">
        <v>225</v>
      </c>
      <c r="N13" s="47">
        <v>2025</v>
      </c>
    </row>
    <row r="14" spans="1:14">
      <c r="A14" s="47">
        <v>13</v>
      </c>
      <c r="B14" s="47" t="s">
        <v>33</v>
      </c>
      <c r="C14" s="47" t="s">
        <v>34</v>
      </c>
      <c r="D14" s="47" t="s">
        <v>61</v>
      </c>
      <c r="E14" s="47" t="s">
        <v>105</v>
      </c>
      <c r="G14" s="47" t="s">
        <v>109</v>
      </c>
      <c r="H14" s="47" t="s">
        <v>110</v>
      </c>
      <c r="I14" s="70">
        <v>2704.290407389678</v>
      </c>
      <c r="J14" s="47" t="s">
        <v>358</v>
      </c>
      <c r="K14" s="42">
        <v>45869</v>
      </c>
      <c r="L14" s="47" t="s">
        <v>14</v>
      </c>
      <c r="M14" s="47" t="s">
        <v>225</v>
      </c>
      <c r="N14" s="47">
        <v>2025</v>
      </c>
    </row>
    <row r="15" spans="1:14">
      <c r="A15" s="47">
        <v>14</v>
      </c>
      <c r="B15" s="47" t="s">
        <v>53</v>
      </c>
      <c r="C15" s="47" t="s">
        <v>62</v>
      </c>
      <c r="D15" s="47" t="s">
        <v>61</v>
      </c>
      <c r="E15" s="47" t="s">
        <v>105</v>
      </c>
      <c r="G15" s="47" t="s">
        <v>109</v>
      </c>
      <c r="H15" s="47" t="s">
        <v>110</v>
      </c>
      <c r="I15" s="70">
        <v>672.00242398178102</v>
      </c>
      <c r="J15" s="47" t="s">
        <v>358</v>
      </c>
      <c r="K15" s="42">
        <v>45869</v>
      </c>
      <c r="L15" s="47" t="s">
        <v>14</v>
      </c>
      <c r="M15" s="47" t="s">
        <v>225</v>
      </c>
      <c r="N15" s="47">
        <v>2025</v>
      </c>
    </row>
    <row r="16" spans="1:14">
      <c r="A16" s="47">
        <v>15</v>
      </c>
      <c r="B16" s="47" t="s">
        <v>27</v>
      </c>
      <c r="C16" s="47" t="s">
        <v>28</v>
      </c>
      <c r="D16" s="47" t="s">
        <v>61</v>
      </c>
      <c r="E16" s="47" t="s">
        <v>105</v>
      </c>
      <c r="G16" s="47" t="s">
        <v>109</v>
      </c>
      <c r="H16" s="47" t="s">
        <v>110</v>
      </c>
      <c r="I16" s="70">
        <v>948.13563736890296</v>
      </c>
      <c r="J16" s="47">
        <v>55</v>
      </c>
      <c r="K16" s="42">
        <v>45867</v>
      </c>
      <c r="L16" s="68" t="s">
        <v>14</v>
      </c>
      <c r="M16" s="68" t="s">
        <v>226</v>
      </c>
      <c r="N16" s="47">
        <v>2025</v>
      </c>
    </row>
    <row r="17" spans="1:14">
      <c r="A17" s="47">
        <v>16</v>
      </c>
      <c r="B17" s="47" t="s">
        <v>55</v>
      </c>
      <c r="C17" s="47" t="s">
        <v>56</v>
      </c>
      <c r="D17" s="47" t="s">
        <v>61</v>
      </c>
      <c r="E17" s="47" t="s">
        <v>105</v>
      </c>
      <c r="G17" s="47" t="s">
        <v>109</v>
      </c>
      <c r="H17" s="47" t="s">
        <v>110</v>
      </c>
      <c r="I17" s="70">
        <v>492.618298546017</v>
      </c>
      <c r="J17" s="47">
        <v>55</v>
      </c>
      <c r="K17" s="42">
        <v>45867</v>
      </c>
      <c r="L17" s="68" t="s">
        <v>14</v>
      </c>
      <c r="M17" s="68" t="s">
        <v>226</v>
      </c>
      <c r="N17" s="47">
        <v>2025</v>
      </c>
    </row>
    <row r="18" spans="1:14">
      <c r="A18" s="47">
        <v>17</v>
      </c>
      <c r="B18" s="47" t="s">
        <v>59</v>
      </c>
      <c r="C18" s="47" t="s">
        <v>60</v>
      </c>
      <c r="D18" s="47" t="s">
        <v>61</v>
      </c>
      <c r="E18" s="47" t="s">
        <v>105</v>
      </c>
      <c r="G18" s="47" t="s">
        <v>109</v>
      </c>
      <c r="H18" s="47" t="s">
        <v>110</v>
      </c>
      <c r="I18" s="70">
        <v>505.49714095361122</v>
      </c>
      <c r="J18" s="47">
        <v>55</v>
      </c>
      <c r="K18" s="42">
        <v>45867</v>
      </c>
      <c r="L18" s="68" t="s">
        <v>14</v>
      </c>
      <c r="M18" s="68" t="s">
        <v>226</v>
      </c>
      <c r="N18" s="47">
        <v>2025</v>
      </c>
    </row>
    <row r="19" spans="1:14">
      <c r="A19" s="47">
        <v>18</v>
      </c>
      <c r="B19" s="47" t="s">
        <v>29</v>
      </c>
      <c r="C19" s="47" t="s">
        <v>30</v>
      </c>
      <c r="D19" s="47" t="s">
        <v>61</v>
      </c>
      <c r="E19" s="47" t="s">
        <v>105</v>
      </c>
      <c r="G19" s="47" t="s">
        <v>109</v>
      </c>
      <c r="H19" s="47" t="s">
        <v>110</v>
      </c>
      <c r="I19" s="70">
        <v>204.40911170420952</v>
      </c>
      <c r="J19" s="47">
        <v>55</v>
      </c>
      <c r="K19" s="42">
        <v>45867</v>
      </c>
      <c r="L19" s="68" t="s">
        <v>14</v>
      </c>
      <c r="M19" s="68" t="s">
        <v>226</v>
      </c>
      <c r="N19" s="47">
        <v>2025</v>
      </c>
    </row>
    <row r="20" spans="1:14">
      <c r="A20" s="47">
        <v>19</v>
      </c>
      <c r="B20" s="47" t="s">
        <v>33</v>
      </c>
      <c r="C20" s="47" t="s">
        <v>34</v>
      </c>
      <c r="D20" s="47" t="s">
        <v>61</v>
      </c>
      <c r="E20" s="47" t="s">
        <v>105</v>
      </c>
      <c r="G20" s="47" t="s">
        <v>109</v>
      </c>
      <c r="H20" s="47" t="s">
        <v>110</v>
      </c>
      <c r="I20" s="70">
        <v>2452.7856705847707</v>
      </c>
      <c r="J20" s="47">
        <v>55</v>
      </c>
      <c r="K20" s="42">
        <v>45867</v>
      </c>
      <c r="L20" s="68" t="s">
        <v>14</v>
      </c>
      <c r="M20" s="68" t="s">
        <v>226</v>
      </c>
      <c r="N20" s="47">
        <v>2025</v>
      </c>
    </row>
    <row r="21" spans="1:14">
      <c r="A21" s="47">
        <v>20</v>
      </c>
      <c r="B21" s="47" t="s">
        <v>53</v>
      </c>
      <c r="C21" s="47" t="s">
        <v>62</v>
      </c>
      <c r="D21" s="47" t="s">
        <v>61</v>
      </c>
      <c r="E21" s="47" t="s">
        <v>105</v>
      </c>
      <c r="G21" s="47" t="s">
        <v>109</v>
      </c>
      <c r="H21" s="47" t="s">
        <v>110</v>
      </c>
      <c r="I21" s="70">
        <v>793.03301408192488</v>
      </c>
      <c r="J21" s="47">
        <v>55</v>
      </c>
      <c r="K21" s="42">
        <v>45867</v>
      </c>
      <c r="L21" s="68" t="s">
        <v>14</v>
      </c>
      <c r="M21" s="68" t="s">
        <v>226</v>
      </c>
      <c r="N21" s="47">
        <v>2025</v>
      </c>
    </row>
  </sheetData>
  <autoFilter ref="A1:N1" xr:uid="{00000000-0001-0000-0B00-000000000000}">
    <sortState xmlns:xlrd2="http://schemas.microsoft.com/office/spreadsheetml/2017/richdata2" ref="A2:N11">
      <sortCondition ref="G1"/>
    </sortState>
  </autoFilter>
  <dataValidations count="1">
    <dataValidation type="list" allowBlank="1" showInputMessage="1" showErrorMessage="1" sqref="C2 C5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D2:D21</xm:sqref>
        </x14:dataValidation>
        <x14:dataValidation type="list" allowBlank="1" showInputMessage="1" showErrorMessage="1" xr:uid="{00000000-0002-0000-0B00-000003000000}">
          <x14:formula1>
            <xm:f>List!$H$2:$H$13</xm:f>
          </x14:formula1>
          <xm:sqref>M2:M15</xm:sqref>
        </x14:dataValidation>
        <x14:dataValidation type="list" allowBlank="1" showInputMessage="1" showErrorMessage="1" xr:uid="{00000000-0002-0000-0B00-000004000000}">
          <x14:formula1>
            <xm:f>List!$J$2:$J$4</xm:f>
          </x14:formula1>
          <xm:sqref>N2:N21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N3"/>
  <sheetViews>
    <sheetView workbookViewId="0">
      <selection activeCell="B2" sqref="B2:N3"/>
    </sheetView>
  </sheetViews>
  <sheetFormatPr defaultColWidth="9" defaultRowHeight="14.4"/>
  <cols>
    <col min="1" max="1" width="5.33203125" customWidth="1"/>
    <col min="2" max="2" width="6.88671875" customWidth="1"/>
    <col min="3" max="3" width="9.33203125" customWidth="1"/>
    <col min="4" max="4" width="8.88671875" customWidth="1"/>
    <col min="5" max="5" width="12.44140625" customWidth="1"/>
    <col min="6" max="6" width="10.109375" customWidth="1"/>
    <col min="7" max="7" width="13.88671875" customWidth="1"/>
    <col min="8" max="8" width="12.44140625" customWidth="1"/>
    <col min="9" max="9" width="18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77734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59</v>
      </c>
      <c r="C2" t="s">
        <v>111</v>
      </c>
      <c r="D2" s="4" t="s">
        <v>61</v>
      </c>
      <c r="E2" s="4" t="s">
        <v>112</v>
      </c>
      <c r="F2" s="4"/>
      <c r="G2" t="s">
        <v>21</v>
      </c>
      <c r="H2" s="4" t="s">
        <v>112</v>
      </c>
      <c r="I2" s="7">
        <f t="shared" ref="I2" si="0">39121071/1430+693.5</f>
        <v>28050.892307692309</v>
      </c>
      <c r="J2" s="4" t="s">
        <v>14</v>
      </c>
      <c r="K2" s="4" t="s">
        <v>14</v>
      </c>
      <c r="L2" s="4" t="s">
        <v>14</v>
      </c>
      <c r="M2" s="4" t="s">
        <v>225</v>
      </c>
      <c r="N2" s="4">
        <v>2025</v>
      </c>
    </row>
    <row r="3" spans="1:14">
      <c r="A3" s="4">
        <v>1</v>
      </c>
      <c r="B3" s="4" t="s">
        <v>59</v>
      </c>
      <c r="C3" t="s">
        <v>111</v>
      </c>
      <c r="D3" s="4" t="s">
        <v>19</v>
      </c>
      <c r="E3" s="4" t="s">
        <v>112</v>
      </c>
      <c r="F3" s="4"/>
      <c r="G3" t="s">
        <v>21</v>
      </c>
      <c r="H3" s="4" t="s">
        <v>112</v>
      </c>
      <c r="I3" s="7">
        <v>25000</v>
      </c>
      <c r="J3" s="4" t="s">
        <v>14</v>
      </c>
      <c r="K3" s="4" t="s">
        <v>14</v>
      </c>
      <c r="L3" s="4" t="s">
        <v>14</v>
      </c>
      <c r="M3" s="4" t="s">
        <v>226</v>
      </c>
      <c r="N3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0000000}">
          <x14:formula1>
            <xm:f>List!$P$2:$P$11</xm:f>
          </x14:formula1>
          <xm:sqref>B2:B3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D2:D3</xm:sqref>
        </x14:dataValidation>
        <x14:dataValidation type="list" allowBlank="1" showInputMessage="1" showErrorMessage="1" xr:uid="{00000000-0002-0000-0C00-000002000000}">
          <x14:formula1>
            <xm:f>List!$H$2:$H$13</xm:f>
          </x14:formula1>
          <xm:sqref>M2:M3</xm:sqref>
        </x14:dataValidation>
        <x14:dataValidation type="list" allowBlank="1" showInputMessage="1" showErrorMessage="1" xr:uid="{00000000-0002-0000-0C00-000003000000}">
          <x14:formula1>
            <xm:f>List!$J$2:$J$4</xm:f>
          </x14:formula1>
          <xm:sqref>N2:N3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3"/>
  <sheetViews>
    <sheetView workbookViewId="0">
      <selection activeCell="B2" sqref="B2:N3"/>
    </sheetView>
  </sheetViews>
  <sheetFormatPr defaultColWidth="9" defaultRowHeight="14.4"/>
  <cols>
    <col min="1" max="1" width="5.33203125" bestFit="1" customWidth="1"/>
    <col min="2" max="2" width="6.88671875" bestFit="1" customWidth="1"/>
    <col min="3" max="3" width="9.44140625" bestFit="1" customWidth="1"/>
    <col min="5" max="5" width="15.6640625" bestFit="1" customWidth="1"/>
    <col min="6" max="6" width="10.21875" bestFit="1" customWidth="1"/>
    <col min="7" max="7" width="7" bestFit="1" customWidth="1"/>
    <col min="8" max="8" width="15.6640625" bestFit="1" customWidth="1"/>
    <col min="9" max="9" width="18.109375" bestFit="1" customWidth="1"/>
    <col min="10" max="10" width="10.109375" bestFit="1" customWidth="1"/>
    <col min="11" max="11" width="11.21875" bestFit="1" customWidth="1"/>
    <col min="12" max="12" width="10.5546875" bestFit="1" customWidth="1"/>
    <col min="13" max="13" width="6.5546875" bestFit="1" customWidth="1"/>
    <col min="14" max="14" width="4.77734375" bestFit="1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>
        <v>1</v>
      </c>
      <c r="B2" s="30" t="s">
        <v>59</v>
      </c>
      <c r="C2" s="30" t="s">
        <v>60</v>
      </c>
      <c r="D2" s="12" t="s">
        <v>61</v>
      </c>
      <c r="E2" s="30" t="s">
        <v>239</v>
      </c>
      <c r="F2" s="11"/>
      <c r="G2" s="30" t="s">
        <v>21</v>
      </c>
      <c r="H2" s="30" t="s">
        <v>239</v>
      </c>
      <c r="I2" s="13">
        <f>983419</f>
        <v>983419</v>
      </c>
      <c r="J2" s="11" t="s">
        <v>14</v>
      </c>
      <c r="K2" s="11" t="s">
        <v>14</v>
      </c>
      <c r="L2" s="11" t="s">
        <v>14</v>
      </c>
      <c r="M2" s="94" t="s">
        <v>225</v>
      </c>
      <c r="N2" s="11">
        <v>2025</v>
      </c>
    </row>
    <row r="3" spans="1:14">
      <c r="A3" s="11">
        <v>1</v>
      </c>
      <c r="B3" s="30" t="s">
        <v>59</v>
      </c>
      <c r="C3" s="30" t="s">
        <v>60</v>
      </c>
      <c r="D3" s="12" t="s">
        <v>61</v>
      </c>
      <c r="E3" s="30" t="s">
        <v>239</v>
      </c>
      <c r="F3" s="11"/>
      <c r="G3" s="30" t="s">
        <v>21</v>
      </c>
      <c r="H3" s="30" t="s">
        <v>239</v>
      </c>
      <c r="I3" s="13">
        <v>97275</v>
      </c>
      <c r="J3" s="11" t="s">
        <v>14</v>
      </c>
      <c r="K3" s="11" t="s">
        <v>14</v>
      </c>
      <c r="L3" s="11" t="s">
        <v>14</v>
      </c>
      <c r="M3" s="94" t="s">
        <v>226</v>
      </c>
      <c r="N3" s="11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D2:D3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rgb="FFFFFF00"/>
  </sheetPr>
  <dimension ref="A1:N8"/>
  <sheetViews>
    <sheetView workbookViewId="0">
      <selection activeCell="B2" sqref="B2:N8"/>
    </sheetView>
  </sheetViews>
  <sheetFormatPr defaultRowHeight="14.4"/>
  <cols>
    <col min="1" max="1" width="5.33203125" bestFit="1" customWidth="1"/>
    <col min="2" max="2" width="8.88671875" bestFit="1" customWidth="1"/>
    <col min="3" max="3" width="9.44140625" bestFit="1" customWidth="1"/>
    <col min="4" max="4" width="9" bestFit="1" customWidth="1"/>
    <col min="5" max="5" width="15.6640625" bestFit="1" customWidth="1"/>
    <col min="6" max="6" width="10.21875" bestFit="1" customWidth="1"/>
    <col min="7" max="7" width="14.5546875" bestFit="1" customWidth="1"/>
    <col min="8" max="8" width="15.6640625" bestFit="1" customWidth="1"/>
    <col min="9" max="9" width="18.109375" bestFit="1" customWidth="1"/>
    <col min="10" max="10" width="10.109375" bestFit="1" customWidth="1"/>
    <col min="11" max="11" width="11.21875" bestFit="1" customWidth="1"/>
    <col min="12" max="12" width="11" bestFit="1" customWidth="1"/>
    <col min="13" max="13" width="6.5546875" bestFit="1" customWidth="1"/>
    <col min="14" max="14" width="4.77734375" bestFit="1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>
        <v>1</v>
      </c>
      <c r="B2" s="30" t="s">
        <v>59</v>
      </c>
      <c r="C2" s="30" t="s">
        <v>60</v>
      </c>
      <c r="D2" s="31" t="s">
        <v>61</v>
      </c>
      <c r="E2" s="30" t="s">
        <v>139</v>
      </c>
      <c r="F2" s="11"/>
      <c r="G2" s="30" t="s">
        <v>240</v>
      </c>
      <c r="H2" s="30" t="s">
        <v>139</v>
      </c>
      <c r="I2" s="69">
        <f>5221000/1420+1717.6</f>
        <v>5394.3605633802817</v>
      </c>
      <c r="J2" s="50" t="s">
        <v>344</v>
      </c>
      <c r="K2" s="45">
        <v>45880</v>
      </c>
      <c r="L2" s="50">
        <v>2025403037</v>
      </c>
      <c r="M2" s="67" t="s">
        <v>225</v>
      </c>
      <c r="N2" s="50">
        <v>2025</v>
      </c>
    </row>
    <row r="3" spans="1:14">
      <c r="A3" s="11">
        <v>2</v>
      </c>
      <c r="B3" s="66" t="s">
        <v>33</v>
      </c>
      <c r="C3" s="66" t="s">
        <v>34</v>
      </c>
      <c r="D3" s="31" t="s">
        <v>61</v>
      </c>
      <c r="E3" s="66" t="s">
        <v>139</v>
      </c>
      <c r="F3" s="11"/>
      <c r="G3" s="66" t="s">
        <v>240</v>
      </c>
      <c r="H3" s="30" t="s">
        <v>139</v>
      </c>
      <c r="I3" s="69">
        <v>1959</v>
      </c>
      <c r="J3" s="50" t="s">
        <v>344</v>
      </c>
      <c r="K3" s="45">
        <v>45880</v>
      </c>
      <c r="L3" s="50">
        <v>2025403037</v>
      </c>
      <c r="M3" s="67" t="s">
        <v>225</v>
      </c>
      <c r="N3" s="50">
        <v>2025</v>
      </c>
    </row>
    <row r="4" spans="1:14">
      <c r="A4" s="11">
        <v>3</v>
      </c>
      <c r="B4" s="66" t="s">
        <v>59</v>
      </c>
      <c r="C4" s="66" t="s">
        <v>60</v>
      </c>
      <c r="D4" s="31" t="s">
        <v>61</v>
      </c>
      <c r="E4" s="30" t="s">
        <v>139</v>
      </c>
      <c r="F4" s="11"/>
      <c r="G4" s="30" t="s">
        <v>240</v>
      </c>
      <c r="H4" s="30" t="s">
        <v>139</v>
      </c>
      <c r="I4" s="69">
        <v>990</v>
      </c>
      <c r="J4" s="50" t="s">
        <v>345</v>
      </c>
      <c r="K4" s="45">
        <v>45880</v>
      </c>
      <c r="L4" s="50">
        <v>2025403036</v>
      </c>
      <c r="M4" s="67" t="s">
        <v>225</v>
      </c>
      <c r="N4" s="50">
        <v>2025</v>
      </c>
    </row>
    <row r="5" spans="1:14">
      <c r="A5" s="11">
        <v>4</v>
      </c>
      <c r="B5" s="66" t="s">
        <v>33</v>
      </c>
      <c r="C5" s="66" t="s">
        <v>34</v>
      </c>
      <c r="D5" s="31" t="s">
        <v>61</v>
      </c>
      <c r="E5" s="30" t="s">
        <v>139</v>
      </c>
      <c r="F5" s="11"/>
      <c r="G5" s="30" t="s">
        <v>240</v>
      </c>
      <c r="H5" s="30" t="s">
        <v>139</v>
      </c>
      <c r="I5" s="69">
        <v>1987</v>
      </c>
      <c r="J5" s="50" t="s">
        <v>345</v>
      </c>
      <c r="K5" s="45">
        <v>45880</v>
      </c>
      <c r="L5" s="50">
        <v>2025403036</v>
      </c>
      <c r="M5" s="67" t="s">
        <v>225</v>
      </c>
      <c r="N5" s="50">
        <v>2025</v>
      </c>
    </row>
    <row r="6" spans="1:14">
      <c r="A6" s="11">
        <v>5</v>
      </c>
      <c r="B6" s="66" t="s">
        <v>33</v>
      </c>
      <c r="C6" s="66" t="s">
        <v>34</v>
      </c>
      <c r="D6" s="31" t="s">
        <v>61</v>
      </c>
      <c r="E6" s="30" t="s">
        <v>139</v>
      </c>
      <c r="F6" s="11"/>
      <c r="G6" s="30" t="s">
        <v>240</v>
      </c>
      <c r="H6" s="30" t="s">
        <v>139</v>
      </c>
      <c r="I6" s="37">
        <f>416000/1420</f>
        <v>292.95774647887322</v>
      </c>
      <c r="J6" s="50" t="s">
        <v>346</v>
      </c>
      <c r="K6" s="45">
        <v>45917</v>
      </c>
      <c r="L6" s="50">
        <v>2025403439</v>
      </c>
      <c r="M6" s="67" t="s">
        <v>226</v>
      </c>
      <c r="N6" s="50">
        <v>2025</v>
      </c>
    </row>
    <row r="7" spans="1:14">
      <c r="A7" s="11">
        <v>6</v>
      </c>
      <c r="B7" s="66" t="s">
        <v>59</v>
      </c>
      <c r="C7" s="66" t="s">
        <v>60</v>
      </c>
      <c r="D7" s="31" t="s">
        <v>61</v>
      </c>
      <c r="E7" s="30" t="s">
        <v>139</v>
      </c>
      <c r="F7" s="11"/>
      <c r="G7" s="30" t="s">
        <v>240</v>
      </c>
      <c r="H7" s="30" t="s">
        <v>139</v>
      </c>
      <c r="I7" s="37">
        <v>2149</v>
      </c>
      <c r="J7" s="50" t="s">
        <v>347</v>
      </c>
      <c r="K7" s="45">
        <v>45917</v>
      </c>
      <c r="L7" s="50">
        <v>2025403441</v>
      </c>
      <c r="M7" s="67" t="s">
        <v>226</v>
      </c>
      <c r="N7" s="50">
        <v>2025</v>
      </c>
    </row>
    <row r="8" spans="1:14">
      <c r="A8" s="11">
        <v>7</v>
      </c>
      <c r="B8" s="66" t="s">
        <v>33</v>
      </c>
      <c r="C8" s="66" t="s">
        <v>34</v>
      </c>
      <c r="D8" s="31" t="s">
        <v>61</v>
      </c>
      <c r="E8" s="30" t="s">
        <v>139</v>
      </c>
      <c r="F8" s="11"/>
      <c r="G8" s="30" t="s">
        <v>240</v>
      </c>
      <c r="H8" s="30" t="s">
        <v>139</v>
      </c>
      <c r="I8" s="37">
        <v>2958</v>
      </c>
      <c r="J8" s="50" t="s">
        <v>347</v>
      </c>
      <c r="K8" s="45">
        <v>45917</v>
      </c>
      <c r="L8" s="50">
        <v>2025403441</v>
      </c>
      <c r="M8" s="67" t="s">
        <v>226</v>
      </c>
      <c r="N8" s="50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D2:D8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N707"/>
  <sheetViews>
    <sheetView topLeftCell="H681" workbookViewId="0">
      <selection activeCell="B2" sqref="B2:N707"/>
    </sheetView>
  </sheetViews>
  <sheetFormatPr defaultColWidth="9" defaultRowHeight="14.4"/>
  <cols>
    <col min="1" max="1" width="5.33203125" style="4" customWidth="1"/>
    <col min="2" max="4" width="18.44140625" style="4" customWidth="1"/>
    <col min="5" max="5" width="33.6640625" style="4" customWidth="1"/>
    <col min="6" max="6" width="10.6640625" style="4" customWidth="1"/>
    <col min="7" max="7" width="44.33203125" style="4" customWidth="1"/>
    <col min="8" max="8" width="23.21875" style="4" bestFit="1" customWidth="1"/>
    <col min="9" max="13" width="18.44140625" style="4" customWidth="1"/>
    <col min="14" max="14" width="10.33203125" style="4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</v>
      </c>
      <c r="B2" s="4" t="s">
        <v>53</v>
      </c>
      <c r="C2" s="4" t="s">
        <v>62</v>
      </c>
      <c r="D2" s="4" t="s">
        <v>61</v>
      </c>
      <c r="E2" s="4" t="s">
        <v>71</v>
      </c>
      <c r="G2" s="4" t="s">
        <v>124</v>
      </c>
      <c r="H2" s="4" t="s">
        <v>125</v>
      </c>
      <c r="I2" s="40">
        <v>2852.1126760563379</v>
      </c>
      <c r="J2" s="4" t="s">
        <v>1070</v>
      </c>
      <c r="K2" s="15">
        <v>45885</v>
      </c>
      <c r="L2" s="4">
        <v>2025402962</v>
      </c>
      <c r="M2" s="4" t="s">
        <v>226</v>
      </c>
      <c r="N2" s="4">
        <v>2025</v>
      </c>
    </row>
    <row r="3" spans="1:14">
      <c r="A3" s="4">
        <v>2</v>
      </c>
      <c r="B3" s="4" t="s">
        <v>17</v>
      </c>
      <c r="C3" s="4" t="s">
        <v>22</v>
      </c>
      <c r="D3" s="4" t="s">
        <v>61</v>
      </c>
      <c r="E3" s="4" t="s">
        <v>71</v>
      </c>
      <c r="G3" s="4" t="s">
        <v>124</v>
      </c>
      <c r="H3" s="4" t="s">
        <v>125</v>
      </c>
      <c r="I3" s="40">
        <v>1661.9718309859154</v>
      </c>
      <c r="J3" s="4" t="s">
        <v>1148</v>
      </c>
      <c r="K3" s="15">
        <v>45882</v>
      </c>
      <c r="L3" s="4">
        <v>2025403709</v>
      </c>
      <c r="M3" s="4" t="s">
        <v>226</v>
      </c>
      <c r="N3" s="4">
        <v>2025</v>
      </c>
    </row>
    <row r="4" spans="1:14">
      <c r="A4" s="4">
        <v>3</v>
      </c>
      <c r="B4" s="4" t="s">
        <v>55</v>
      </c>
      <c r="C4" s="4" t="s">
        <v>98</v>
      </c>
      <c r="D4" s="4" t="s">
        <v>61</v>
      </c>
      <c r="E4" s="4" t="s">
        <v>71</v>
      </c>
      <c r="G4" s="4" t="s">
        <v>250</v>
      </c>
      <c r="H4" s="4" t="s">
        <v>283</v>
      </c>
      <c r="I4" s="40">
        <v>11267.605633802817</v>
      </c>
      <c r="J4" s="4" t="s">
        <v>1154</v>
      </c>
      <c r="K4" s="15">
        <v>45864</v>
      </c>
      <c r="L4" s="4">
        <v>2025402884</v>
      </c>
      <c r="M4" s="4" t="s">
        <v>226</v>
      </c>
      <c r="N4" s="4">
        <v>2025</v>
      </c>
    </row>
    <row r="5" spans="1:14">
      <c r="A5" s="4">
        <v>4</v>
      </c>
      <c r="B5" s="4" t="s">
        <v>273</v>
      </c>
      <c r="C5" s="4" t="s">
        <v>56</v>
      </c>
      <c r="D5" s="4" t="s">
        <v>61</v>
      </c>
      <c r="E5" s="4" t="s">
        <v>71</v>
      </c>
      <c r="G5" s="4" t="s">
        <v>479</v>
      </c>
      <c r="H5" s="4" t="s">
        <v>71</v>
      </c>
      <c r="I5" s="90">
        <v>10150</v>
      </c>
      <c r="J5" s="4" t="s">
        <v>580</v>
      </c>
      <c r="K5" s="15">
        <v>45845</v>
      </c>
      <c r="L5" s="4">
        <v>2025402300</v>
      </c>
      <c r="M5" s="28" t="s">
        <v>225</v>
      </c>
      <c r="N5" s="4">
        <v>2025</v>
      </c>
    </row>
    <row r="6" spans="1:14">
      <c r="A6" s="4">
        <v>5</v>
      </c>
      <c r="B6" s="4" t="s">
        <v>55</v>
      </c>
      <c r="C6" s="4" t="s">
        <v>56</v>
      </c>
      <c r="D6" s="4" t="s">
        <v>61</v>
      </c>
      <c r="E6" s="28" t="s">
        <v>71</v>
      </c>
      <c r="G6" s="4" t="s">
        <v>479</v>
      </c>
      <c r="H6" s="4" t="s">
        <v>71</v>
      </c>
      <c r="I6" s="90">
        <v>8350</v>
      </c>
      <c r="J6" s="4" t="s">
        <v>746</v>
      </c>
      <c r="K6" s="15">
        <v>45875</v>
      </c>
      <c r="L6" s="4">
        <v>2025402464</v>
      </c>
      <c r="M6" s="28" t="s">
        <v>226</v>
      </c>
      <c r="N6" s="4">
        <v>2025</v>
      </c>
    </row>
    <row r="7" spans="1:14">
      <c r="A7" s="4">
        <v>6</v>
      </c>
      <c r="B7" s="4" t="s">
        <v>43</v>
      </c>
      <c r="C7" s="4" t="s">
        <v>46</v>
      </c>
      <c r="D7" s="4" t="s">
        <v>61</v>
      </c>
      <c r="E7" s="4" t="s">
        <v>71</v>
      </c>
      <c r="G7" s="4" t="s">
        <v>496</v>
      </c>
      <c r="H7" s="4" t="s">
        <v>71</v>
      </c>
      <c r="I7" s="40">
        <v>10299.295774647888</v>
      </c>
      <c r="J7" s="4" t="s">
        <v>253</v>
      </c>
      <c r="K7" s="15">
        <v>45874</v>
      </c>
      <c r="L7" s="4">
        <v>2025402920</v>
      </c>
      <c r="M7" s="4" t="s">
        <v>226</v>
      </c>
      <c r="N7" s="4">
        <v>2025</v>
      </c>
    </row>
    <row r="8" spans="1:14">
      <c r="A8" s="4">
        <v>7</v>
      </c>
      <c r="B8" s="4" t="s">
        <v>17</v>
      </c>
      <c r="C8" s="4" t="s">
        <v>23</v>
      </c>
      <c r="D8" s="4" t="s">
        <v>61</v>
      </c>
      <c r="E8" s="4" t="s">
        <v>71</v>
      </c>
      <c r="G8" s="4" t="s">
        <v>263</v>
      </c>
      <c r="H8" s="4" t="s">
        <v>261</v>
      </c>
      <c r="I8" s="40">
        <v>3271.1267605633802</v>
      </c>
      <c r="J8" s="4" t="s">
        <v>1117</v>
      </c>
      <c r="K8" s="15">
        <v>45901</v>
      </c>
      <c r="L8" s="4">
        <v>2025403288</v>
      </c>
      <c r="M8" s="4" t="s">
        <v>226</v>
      </c>
      <c r="N8" s="4">
        <v>2025</v>
      </c>
    </row>
    <row r="9" spans="1:14">
      <c r="A9" s="4">
        <v>8</v>
      </c>
      <c r="B9" s="4" t="s">
        <v>17</v>
      </c>
      <c r="C9" s="4" t="s">
        <v>25</v>
      </c>
      <c r="D9" s="4" t="s">
        <v>61</v>
      </c>
      <c r="E9" s="4" t="s">
        <v>71</v>
      </c>
      <c r="G9" s="4" t="s">
        <v>263</v>
      </c>
      <c r="H9" s="4" t="s">
        <v>261</v>
      </c>
      <c r="I9" s="40">
        <v>2535.211267605634</v>
      </c>
      <c r="J9" s="38" t="s">
        <v>866</v>
      </c>
      <c r="K9" s="88">
        <v>45871</v>
      </c>
      <c r="L9" s="4">
        <v>2025402702</v>
      </c>
      <c r="M9" s="4" t="s">
        <v>225</v>
      </c>
      <c r="N9" s="4">
        <v>2025</v>
      </c>
    </row>
    <row r="10" spans="1:14">
      <c r="A10" s="4">
        <v>9</v>
      </c>
      <c r="B10" s="4" t="s">
        <v>55</v>
      </c>
      <c r="C10" s="4" t="s">
        <v>56</v>
      </c>
      <c r="D10" s="4" t="s">
        <v>61</v>
      </c>
      <c r="E10" s="28" t="s">
        <v>71</v>
      </c>
      <c r="G10" s="4" t="s">
        <v>126</v>
      </c>
      <c r="H10" s="4" t="s">
        <v>284</v>
      </c>
      <c r="I10" s="40">
        <v>774.64788732394368</v>
      </c>
      <c r="J10" s="4" t="s">
        <v>780</v>
      </c>
      <c r="K10" s="15">
        <v>45845</v>
      </c>
      <c r="L10" s="4">
        <v>2025402529</v>
      </c>
      <c r="M10" s="28" t="s">
        <v>225</v>
      </c>
      <c r="N10" s="4">
        <v>2025</v>
      </c>
    </row>
    <row r="11" spans="1:14">
      <c r="A11" s="4">
        <v>10</v>
      </c>
      <c r="B11" s="4" t="s">
        <v>55</v>
      </c>
      <c r="C11" s="4" t="s">
        <v>56</v>
      </c>
      <c r="D11" s="4" t="s">
        <v>61</v>
      </c>
      <c r="E11" s="28" t="s">
        <v>71</v>
      </c>
      <c r="G11" s="4" t="s">
        <v>126</v>
      </c>
      <c r="H11" s="4" t="s">
        <v>284</v>
      </c>
      <c r="I11" s="40">
        <v>404.92957746478874</v>
      </c>
      <c r="J11" s="4" t="s">
        <v>779</v>
      </c>
      <c r="K11" s="15">
        <v>45854</v>
      </c>
      <c r="L11" s="4">
        <v>2025402529</v>
      </c>
      <c r="M11" s="28" t="s">
        <v>225</v>
      </c>
      <c r="N11" s="4">
        <v>2025</v>
      </c>
    </row>
    <row r="12" spans="1:14">
      <c r="A12" s="4">
        <v>11</v>
      </c>
      <c r="B12" s="4" t="s">
        <v>55</v>
      </c>
      <c r="C12" s="4" t="s">
        <v>56</v>
      </c>
      <c r="D12" s="4" t="s">
        <v>61</v>
      </c>
      <c r="E12" s="4" t="s">
        <v>71</v>
      </c>
      <c r="G12" s="4" t="s">
        <v>126</v>
      </c>
      <c r="H12" s="4" t="s">
        <v>284</v>
      </c>
      <c r="I12" s="40">
        <v>404.92957746478874</v>
      </c>
      <c r="J12" s="4" t="s">
        <v>1092</v>
      </c>
      <c r="K12" s="15">
        <v>45887</v>
      </c>
      <c r="L12" s="4">
        <v>2025402641</v>
      </c>
      <c r="M12" s="4" t="s">
        <v>226</v>
      </c>
      <c r="N12" s="4">
        <v>2025</v>
      </c>
    </row>
    <row r="13" spans="1:14">
      <c r="A13" s="4">
        <v>12</v>
      </c>
      <c r="B13" s="4" t="s">
        <v>53</v>
      </c>
      <c r="C13" s="4" t="s">
        <v>62</v>
      </c>
      <c r="D13" s="4" t="s">
        <v>61</v>
      </c>
      <c r="E13" s="4" t="s">
        <v>71</v>
      </c>
      <c r="G13" s="4" t="s">
        <v>274</v>
      </c>
      <c r="H13" s="4" t="s">
        <v>71</v>
      </c>
      <c r="I13" s="90">
        <v>7555</v>
      </c>
      <c r="J13" s="38" t="s">
        <v>899</v>
      </c>
      <c r="K13" s="88">
        <v>45874</v>
      </c>
      <c r="L13" s="4">
        <v>2025402701</v>
      </c>
      <c r="M13" s="4" t="s">
        <v>226</v>
      </c>
      <c r="N13" s="4">
        <v>2025</v>
      </c>
    </row>
    <row r="14" spans="1:14">
      <c r="A14" s="4">
        <v>13</v>
      </c>
      <c r="B14" s="4" t="s">
        <v>53</v>
      </c>
      <c r="C14" s="4" t="s">
        <v>62</v>
      </c>
      <c r="D14" s="4" t="s">
        <v>61</v>
      </c>
      <c r="E14" s="4" t="s">
        <v>71</v>
      </c>
      <c r="G14" s="4" t="s">
        <v>274</v>
      </c>
      <c r="H14" s="4" t="s">
        <v>71</v>
      </c>
      <c r="I14" s="90">
        <v>11690</v>
      </c>
      <c r="J14" s="4" t="s">
        <v>990</v>
      </c>
      <c r="K14" s="15">
        <v>45874</v>
      </c>
      <c r="L14" s="4">
        <v>2025402719</v>
      </c>
      <c r="M14" s="4" t="s">
        <v>226</v>
      </c>
      <c r="N14" s="4">
        <v>2025</v>
      </c>
    </row>
    <row r="15" spans="1:14">
      <c r="A15" s="4">
        <v>14</v>
      </c>
      <c r="B15" s="4" t="s">
        <v>43</v>
      </c>
      <c r="C15" s="4" t="s">
        <v>51</v>
      </c>
      <c r="D15" s="4" t="s">
        <v>61</v>
      </c>
      <c r="E15" s="4" t="s">
        <v>71</v>
      </c>
      <c r="G15" s="4" t="s">
        <v>490</v>
      </c>
      <c r="H15" s="4" t="s">
        <v>71</v>
      </c>
      <c r="I15" s="40">
        <v>9849.2957746478878</v>
      </c>
      <c r="J15" s="4" t="s">
        <v>1007</v>
      </c>
      <c r="K15" s="15">
        <v>45880</v>
      </c>
      <c r="L15" s="4">
        <v>2025402900</v>
      </c>
      <c r="M15" s="4" t="s">
        <v>226</v>
      </c>
      <c r="N15" s="4">
        <v>2025</v>
      </c>
    </row>
    <row r="16" spans="1:14">
      <c r="A16" s="4">
        <v>15</v>
      </c>
      <c r="B16" s="4" t="s">
        <v>43</v>
      </c>
      <c r="C16" s="4" t="s">
        <v>45</v>
      </c>
      <c r="D16" s="4" t="s">
        <v>61</v>
      </c>
      <c r="E16" s="4" t="s">
        <v>71</v>
      </c>
      <c r="G16" s="4" t="s">
        <v>260</v>
      </c>
      <c r="H16" s="4" t="s">
        <v>261</v>
      </c>
      <c r="I16" s="90">
        <v>720</v>
      </c>
      <c r="J16" s="4" t="s">
        <v>1104</v>
      </c>
      <c r="K16" s="15">
        <v>45870</v>
      </c>
      <c r="L16" s="4">
        <v>2025403223</v>
      </c>
      <c r="M16" s="4" t="s">
        <v>225</v>
      </c>
      <c r="N16" s="4">
        <v>2025</v>
      </c>
    </row>
    <row r="17" spans="1:14">
      <c r="A17" s="4">
        <v>16</v>
      </c>
      <c r="B17" s="4" t="s">
        <v>35</v>
      </c>
      <c r="C17" s="4" t="s">
        <v>37</v>
      </c>
      <c r="D17" s="4" t="s">
        <v>61</v>
      </c>
      <c r="E17" s="4" t="s">
        <v>71</v>
      </c>
      <c r="G17" s="4" t="s">
        <v>260</v>
      </c>
      <c r="H17" s="4" t="s">
        <v>261</v>
      </c>
      <c r="I17" s="90">
        <v>345</v>
      </c>
      <c r="J17" s="4" t="s">
        <v>1104</v>
      </c>
      <c r="K17" s="15">
        <v>45870</v>
      </c>
      <c r="L17" s="4">
        <v>2025403223</v>
      </c>
      <c r="M17" s="4" t="s">
        <v>225</v>
      </c>
      <c r="N17" s="4">
        <v>2025</v>
      </c>
    </row>
    <row r="18" spans="1:14">
      <c r="A18" s="4">
        <v>17</v>
      </c>
      <c r="B18" s="4" t="s">
        <v>43</v>
      </c>
      <c r="C18" s="4" t="s">
        <v>51</v>
      </c>
      <c r="D18" s="4" t="s">
        <v>61</v>
      </c>
      <c r="E18" s="4" t="s">
        <v>71</v>
      </c>
      <c r="G18" s="4" t="s">
        <v>260</v>
      </c>
      <c r="H18" s="4" t="s">
        <v>261</v>
      </c>
      <c r="I18" s="90">
        <v>31165</v>
      </c>
      <c r="J18" s="4" t="s">
        <v>1104</v>
      </c>
      <c r="K18" s="15">
        <v>45870</v>
      </c>
      <c r="L18" s="4">
        <v>2025403223</v>
      </c>
      <c r="M18" s="4" t="s">
        <v>225</v>
      </c>
      <c r="N18" s="4">
        <v>2025</v>
      </c>
    </row>
    <row r="19" spans="1:14">
      <c r="A19" s="4">
        <v>18</v>
      </c>
      <c r="B19" s="4" t="s">
        <v>43</v>
      </c>
      <c r="C19" s="4" t="s">
        <v>51</v>
      </c>
      <c r="D19" s="4" t="s">
        <v>61</v>
      </c>
      <c r="E19" s="4" t="s">
        <v>71</v>
      </c>
      <c r="G19" s="4" t="s">
        <v>260</v>
      </c>
      <c r="H19" s="4" t="s">
        <v>261</v>
      </c>
      <c r="I19" s="90">
        <v>1710</v>
      </c>
      <c r="J19" s="4" t="s">
        <v>1104</v>
      </c>
      <c r="K19" s="15">
        <v>45870</v>
      </c>
      <c r="L19" s="4">
        <v>2025403223</v>
      </c>
      <c r="M19" s="4" t="s">
        <v>225</v>
      </c>
      <c r="N19" s="4">
        <v>2025</v>
      </c>
    </row>
    <row r="20" spans="1:14">
      <c r="A20" s="4">
        <v>19</v>
      </c>
      <c r="B20" s="4" t="s">
        <v>43</v>
      </c>
      <c r="C20" s="4" t="s">
        <v>51</v>
      </c>
      <c r="D20" s="4" t="s">
        <v>61</v>
      </c>
      <c r="E20" s="4" t="s">
        <v>71</v>
      </c>
      <c r="G20" s="4" t="s">
        <v>260</v>
      </c>
      <c r="H20" s="4" t="s">
        <v>261</v>
      </c>
      <c r="I20" s="90">
        <v>12420</v>
      </c>
      <c r="J20" s="4" t="s">
        <v>1104</v>
      </c>
      <c r="K20" s="15">
        <v>45870</v>
      </c>
      <c r="L20" s="4">
        <v>2025403223</v>
      </c>
      <c r="M20" s="4" t="s">
        <v>225</v>
      </c>
      <c r="N20" s="4">
        <v>2025</v>
      </c>
    </row>
    <row r="21" spans="1:14">
      <c r="A21" s="4">
        <v>20</v>
      </c>
      <c r="B21" s="4" t="s">
        <v>43</v>
      </c>
      <c r="C21" s="4" t="s">
        <v>51</v>
      </c>
      <c r="D21" s="4" t="s">
        <v>61</v>
      </c>
      <c r="E21" s="4" t="s">
        <v>71</v>
      </c>
      <c r="G21" s="4" t="s">
        <v>260</v>
      </c>
      <c r="H21" s="4" t="s">
        <v>261</v>
      </c>
      <c r="I21" s="90">
        <v>5310</v>
      </c>
      <c r="J21" s="4" t="s">
        <v>1104</v>
      </c>
      <c r="K21" s="15">
        <v>45870</v>
      </c>
      <c r="L21" s="4">
        <v>2025403223</v>
      </c>
      <c r="M21" s="4" t="s">
        <v>225</v>
      </c>
      <c r="N21" s="4">
        <v>2025</v>
      </c>
    </row>
    <row r="22" spans="1:14">
      <c r="A22" s="4">
        <v>21</v>
      </c>
      <c r="B22" s="4" t="s">
        <v>55</v>
      </c>
      <c r="C22" s="4" t="s">
        <v>98</v>
      </c>
      <c r="D22" s="4" t="s">
        <v>61</v>
      </c>
      <c r="E22" s="4" t="s">
        <v>71</v>
      </c>
      <c r="G22" s="4" t="s">
        <v>260</v>
      </c>
      <c r="H22" s="4" t="s">
        <v>261</v>
      </c>
      <c r="I22" s="90">
        <v>9142.5</v>
      </c>
      <c r="J22" s="4" t="s">
        <v>1104</v>
      </c>
      <c r="K22" s="15">
        <v>45870</v>
      </c>
      <c r="L22" s="4">
        <v>2025403223</v>
      </c>
      <c r="M22" s="4" t="s">
        <v>225</v>
      </c>
      <c r="N22" s="4">
        <v>2025</v>
      </c>
    </row>
    <row r="23" spans="1:14">
      <c r="A23" s="4">
        <v>22</v>
      </c>
      <c r="B23" s="4" t="s">
        <v>55</v>
      </c>
      <c r="C23" s="4" t="s">
        <v>98</v>
      </c>
      <c r="D23" s="4" t="s">
        <v>61</v>
      </c>
      <c r="E23" s="4" t="s">
        <v>71</v>
      </c>
      <c r="G23" s="4" t="s">
        <v>260</v>
      </c>
      <c r="H23" s="4" t="s">
        <v>261</v>
      </c>
      <c r="I23" s="90">
        <v>4800</v>
      </c>
      <c r="J23" s="4" t="s">
        <v>1104</v>
      </c>
      <c r="K23" s="15">
        <v>45870</v>
      </c>
      <c r="L23" s="4">
        <v>2025403223</v>
      </c>
      <c r="M23" s="4" t="s">
        <v>225</v>
      </c>
      <c r="N23" s="4">
        <v>2025</v>
      </c>
    </row>
    <row r="24" spans="1:14">
      <c r="A24" s="4">
        <v>23</v>
      </c>
      <c r="B24" s="4" t="s">
        <v>53</v>
      </c>
      <c r="C24" s="4" t="s">
        <v>62</v>
      </c>
      <c r="D24" s="4" t="s">
        <v>61</v>
      </c>
      <c r="E24" s="4" t="s">
        <v>71</v>
      </c>
      <c r="G24" s="4" t="s">
        <v>260</v>
      </c>
      <c r="H24" s="4" t="s">
        <v>261</v>
      </c>
      <c r="I24" s="90">
        <v>5635</v>
      </c>
      <c r="J24" s="4" t="s">
        <v>1116</v>
      </c>
      <c r="K24" s="15">
        <v>45901</v>
      </c>
      <c r="L24" s="4">
        <v>2025403292</v>
      </c>
      <c r="M24" s="4" t="s">
        <v>226</v>
      </c>
      <c r="N24" s="4">
        <v>2025</v>
      </c>
    </row>
    <row r="25" spans="1:14">
      <c r="A25" s="4">
        <v>24</v>
      </c>
      <c r="B25" s="4" t="s">
        <v>43</v>
      </c>
      <c r="C25" s="4" t="s">
        <v>73</v>
      </c>
      <c r="D25" s="4" t="s">
        <v>61</v>
      </c>
      <c r="E25" s="4" t="s">
        <v>71</v>
      </c>
      <c r="G25" s="4" t="s">
        <v>260</v>
      </c>
      <c r="H25" s="4" t="s">
        <v>261</v>
      </c>
      <c r="I25" s="90">
        <v>345</v>
      </c>
      <c r="J25" s="4" t="s">
        <v>1116</v>
      </c>
      <c r="K25" s="15">
        <v>45901</v>
      </c>
      <c r="L25" s="4">
        <v>2025403292</v>
      </c>
      <c r="M25" s="4" t="s">
        <v>226</v>
      </c>
      <c r="N25" s="4">
        <v>2025</v>
      </c>
    </row>
    <row r="26" spans="1:14">
      <c r="A26" s="4">
        <v>25</v>
      </c>
      <c r="B26" s="4" t="s">
        <v>43</v>
      </c>
      <c r="C26" s="4" t="s">
        <v>73</v>
      </c>
      <c r="D26" s="4" t="s">
        <v>61</v>
      </c>
      <c r="E26" s="4" t="s">
        <v>71</v>
      </c>
      <c r="G26" s="4" t="s">
        <v>260</v>
      </c>
      <c r="H26" s="4" t="s">
        <v>261</v>
      </c>
      <c r="I26" s="90">
        <v>400</v>
      </c>
      <c r="J26" s="4" t="s">
        <v>1116</v>
      </c>
      <c r="K26" s="15">
        <v>45901</v>
      </c>
      <c r="L26" s="4">
        <v>2025403292</v>
      </c>
      <c r="M26" s="4" t="s">
        <v>226</v>
      </c>
      <c r="N26" s="4">
        <v>2025</v>
      </c>
    </row>
    <row r="27" spans="1:14">
      <c r="A27" s="4">
        <v>26</v>
      </c>
      <c r="B27" s="4" t="s">
        <v>55</v>
      </c>
      <c r="C27" s="4" t="s">
        <v>56</v>
      </c>
      <c r="D27" s="4" t="s">
        <v>61</v>
      </c>
      <c r="E27" s="4" t="s">
        <v>71</v>
      </c>
      <c r="G27" s="4" t="s">
        <v>260</v>
      </c>
      <c r="H27" s="4" t="s">
        <v>261</v>
      </c>
      <c r="I27" s="90">
        <v>4945</v>
      </c>
      <c r="J27" s="4" t="s">
        <v>1116</v>
      </c>
      <c r="K27" s="15">
        <v>45901</v>
      </c>
      <c r="L27" s="4">
        <v>2025403292</v>
      </c>
      <c r="M27" s="4" t="s">
        <v>226</v>
      </c>
      <c r="N27" s="4">
        <v>2025</v>
      </c>
    </row>
    <row r="28" spans="1:14">
      <c r="A28" s="4">
        <v>27</v>
      </c>
      <c r="B28" s="4" t="s">
        <v>43</v>
      </c>
      <c r="C28" s="4" t="s">
        <v>51</v>
      </c>
      <c r="D28" s="4" t="s">
        <v>61</v>
      </c>
      <c r="E28" s="4" t="s">
        <v>71</v>
      </c>
      <c r="G28" s="4" t="s">
        <v>260</v>
      </c>
      <c r="H28" s="4" t="s">
        <v>261</v>
      </c>
      <c r="I28" s="90">
        <v>2990</v>
      </c>
      <c r="J28" s="4" t="s">
        <v>1116</v>
      </c>
      <c r="K28" s="15">
        <v>45901</v>
      </c>
      <c r="L28" s="4">
        <v>2025403292</v>
      </c>
      <c r="M28" s="4" t="s">
        <v>226</v>
      </c>
      <c r="N28" s="4">
        <v>2025</v>
      </c>
    </row>
    <row r="29" spans="1:14">
      <c r="A29" s="4">
        <v>28</v>
      </c>
      <c r="B29" s="4" t="s">
        <v>43</v>
      </c>
      <c r="C29" s="4" t="s">
        <v>51</v>
      </c>
      <c r="D29" s="4" t="s">
        <v>61</v>
      </c>
      <c r="E29" s="4" t="s">
        <v>71</v>
      </c>
      <c r="G29" s="4" t="s">
        <v>260</v>
      </c>
      <c r="H29" s="4" t="s">
        <v>261</v>
      </c>
      <c r="I29" s="90">
        <v>1170</v>
      </c>
      <c r="J29" s="4" t="s">
        <v>1116</v>
      </c>
      <c r="K29" s="15">
        <v>45901</v>
      </c>
      <c r="L29" s="4">
        <v>2025403292</v>
      </c>
      <c r="M29" s="4" t="s">
        <v>226</v>
      </c>
      <c r="N29" s="4">
        <v>2025</v>
      </c>
    </row>
    <row r="30" spans="1:14">
      <c r="A30" s="4">
        <v>29</v>
      </c>
      <c r="B30" s="4" t="s">
        <v>43</v>
      </c>
      <c r="C30" s="4" t="s">
        <v>51</v>
      </c>
      <c r="D30" s="4" t="s">
        <v>61</v>
      </c>
      <c r="E30" s="4" t="s">
        <v>71</v>
      </c>
      <c r="G30" s="4" t="s">
        <v>260</v>
      </c>
      <c r="H30" s="4" t="s">
        <v>261</v>
      </c>
      <c r="I30" s="90">
        <v>18170</v>
      </c>
      <c r="J30" s="4" t="s">
        <v>1116</v>
      </c>
      <c r="K30" s="15">
        <v>45901</v>
      </c>
      <c r="L30" s="4">
        <v>2025403292</v>
      </c>
      <c r="M30" s="4" t="s">
        <v>226</v>
      </c>
      <c r="N30" s="4">
        <v>2025</v>
      </c>
    </row>
    <row r="31" spans="1:14">
      <c r="A31" s="4">
        <v>30</v>
      </c>
      <c r="B31" s="4" t="s">
        <v>43</v>
      </c>
      <c r="C31" s="4" t="s">
        <v>51</v>
      </c>
      <c r="D31" s="4" t="s">
        <v>61</v>
      </c>
      <c r="E31" s="4" t="s">
        <v>71</v>
      </c>
      <c r="G31" s="4" t="s">
        <v>260</v>
      </c>
      <c r="H31" s="4" t="s">
        <v>261</v>
      </c>
      <c r="I31" s="90">
        <v>2610</v>
      </c>
      <c r="J31" s="4" t="s">
        <v>1116</v>
      </c>
      <c r="K31" s="15">
        <v>45901</v>
      </c>
      <c r="L31" s="4">
        <v>2025403292</v>
      </c>
      <c r="M31" s="4" t="s">
        <v>226</v>
      </c>
      <c r="N31" s="4">
        <v>2025</v>
      </c>
    </row>
    <row r="32" spans="1:14">
      <c r="A32" s="4">
        <v>31</v>
      </c>
      <c r="B32" s="4" t="s">
        <v>53</v>
      </c>
      <c r="C32" s="4" t="s">
        <v>62</v>
      </c>
      <c r="D32" s="4" t="s">
        <v>61</v>
      </c>
      <c r="E32" s="4" t="s">
        <v>71</v>
      </c>
      <c r="G32" s="4" t="s">
        <v>489</v>
      </c>
      <c r="H32" s="4" t="s">
        <v>71</v>
      </c>
      <c r="I32" s="40">
        <v>18309.859154929578</v>
      </c>
      <c r="J32" s="4" t="s">
        <v>1071</v>
      </c>
      <c r="K32" s="15">
        <v>45878</v>
      </c>
      <c r="L32" s="4">
        <v>2025402961</v>
      </c>
      <c r="M32" s="4" t="s">
        <v>226</v>
      </c>
      <c r="N32" s="4">
        <v>2025</v>
      </c>
    </row>
    <row r="33" spans="1:14">
      <c r="A33" s="4">
        <v>32</v>
      </c>
      <c r="B33" s="4" t="s">
        <v>53</v>
      </c>
      <c r="C33" s="4" t="s">
        <v>62</v>
      </c>
      <c r="D33" s="4" t="s">
        <v>61</v>
      </c>
      <c r="E33" s="4" t="s">
        <v>71</v>
      </c>
      <c r="G33" s="4" t="s">
        <v>489</v>
      </c>
      <c r="H33" s="4" t="s">
        <v>71</v>
      </c>
      <c r="I33" s="40">
        <v>1690.1408450704225</v>
      </c>
      <c r="J33" s="4" t="s">
        <v>998</v>
      </c>
      <c r="K33" s="15">
        <v>45857</v>
      </c>
      <c r="L33" s="4">
        <v>2025402742</v>
      </c>
      <c r="M33" s="4" t="s">
        <v>225</v>
      </c>
      <c r="N33" s="4">
        <v>2025</v>
      </c>
    </row>
    <row r="34" spans="1:14">
      <c r="A34" s="4">
        <v>33</v>
      </c>
      <c r="B34" s="4" t="s">
        <v>53</v>
      </c>
      <c r="C34" s="4" t="s">
        <v>62</v>
      </c>
      <c r="D34" s="4" t="s">
        <v>61</v>
      </c>
      <c r="E34" s="4" t="s">
        <v>71</v>
      </c>
      <c r="G34" s="4" t="s">
        <v>489</v>
      </c>
      <c r="H34" s="4" t="s">
        <v>71</v>
      </c>
      <c r="I34" s="40">
        <v>739.43661971830988</v>
      </c>
      <c r="J34" s="4" t="s">
        <v>1110</v>
      </c>
      <c r="K34" s="15">
        <v>45881</v>
      </c>
      <c r="L34" s="4">
        <v>2025403193</v>
      </c>
      <c r="M34" s="4" t="s">
        <v>226</v>
      </c>
      <c r="N34" s="4">
        <v>2025</v>
      </c>
    </row>
    <row r="35" spans="1:14">
      <c r="A35" s="4">
        <v>34</v>
      </c>
      <c r="B35" s="4" t="s">
        <v>43</v>
      </c>
      <c r="C35" s="4" t="s">
        <v>51</v>
      </c>
      <c r="D35" s="4" t="s">
        <v>61</v>
      </c>
      <c r="E35" s="4" t="s">
        <v>71</v>
      </c>
      <c r="G35" s="4" t="s">
        <v>489</v>
      </c>
      <c r="H35" s="4" t="s">
        <v>71</v>
      </c>
      <c r="I35" s="40">
        <v>232.3943661971831</v>
      </c>
      <c r="J35" s="4" t="s">
        <v>1164</v>
      </c>
      <c r="K35" s="15">
        <v>45889</v>
      </c>
      <c r="L35" s="4">
        <v>2025403722</v>
      </c>
      <c r="M35" s="4" t="s">
        <v>226</v>
      </c>
      <c r="N35" s="4">
        <v>2025</v>
      </c>
    </row>
    <row r="36" spans="1:14">
      <c r="A36" s="4">
        <v>35</v>
      </c>
      <c r="B36" s="4" t="s">
        <v>29</v>
      </c>
      <c r="C36" s="4" t="s">
        <v>237</v>
      </c>
      <c r="D36" s="4" t="s">
        <v>61</v>
      </c>
      <c r="E36" s="28" t="s">
        <v>71</v>
      </c>
      <c r="G36" s="4" t="s">
        <v>127</v>
      </c>
      <c r="H36" s="4" t="s">
        <v>128</v>
      </c>
      <c r="I36" s="90">
        <v>69660</v>
      </c>
      <c r="J36" s="4" t="s">
        <v>643</v>
      </c>
      <c r="K36" s="15">
        <v>45862</v>
      </c>
      <c r="L36" s="4">
        <v>2025402419</v>
      </c>
      <c r="M36" s="28" t="s">
        <v>225</v>
      </c>
      <c r="N36" s="4">
        <v>2025</v>
      </c>
    </row>
    <row r="37" spans="1:14">
      <c r="A37" s="4">
        <v>36</v>
      </c>
      <c r="B37" s="4" t="s">
        <v>55</v>
      </c>
      <c r="C37" s="4" t="s">
        <v>98</v>
      </c>
      <c r="D37" s="4" t="s">
        <v>61</v>
      </c>
      <c r="E37" s="28" t="s">
        <v>71</v>
      </c>
      <c r="G37" s="4" t="s">
        <v>127</v>
      </c>
      <c r="H37" s="4" t="s">
        <v>128</v>
      </c>
      <c r="I37" s="90">
        <v>12848.1</v>
      </c>
      <c r="J37" s="4" t="s">
        <v>718</v>
      </c>
      <c r="K37" s="15">
        <v>45862</v>
      </c>
      <c r="L37" s="4">
        <v>2025402417</v>
      </c>
      <c r="M37" s="28" t="s">
        <v>225</v>
      </c>
      <c r="N37" s="4">
        <v>2025</v>
      </c>
    </row>
    <row r="38" spans="1:14">
      <c r="A38" s="4">
        <v>37</v>
      </c>
      <c r="B38" s="4" t="s">
        <v>35</v>
      </c>
      <c r="C38" s="4" t="s">
        <v>37</v>
      </c>
      <c r="D38" s="4" t="s">
        <v>61</v>
      </c>
      <c r="E38" s="28" t="s">
        <v>71</v>
      </c>
      <c r="G38" s="4" t="s">
        <v>127</v>
      </c>
      <c r="H38" s="4" t="s">
        <v>128</v>
      </c>
      <c r="I38" s="90">
        <v>1634.8</v>
      </c>
      <c r="J38" s="4" t="s">
        <v>720</v>
      </c>
      <c r="K38" s="15">
        <v>45860</v>
      </c>
      <c r="L38" s="4">
        <v>2025402399</v>
      </c>
      <c r="M38" s="28" t="s">
        <v>225</v>
      </c>
      <c r="N38" s="4">
        <v>2025</v>
      </c>
    </row>
    <row r="39" spans="1:14">
      <c r="A39" s="4">
        <v>38</v>
      </c>
      <c r="B39" s="4" t="s">
        <v>53</v>
      </c>
      <c r="C39" s="4" t="s">
        <v>62</v>
      </c>
      <c r="D39" s="4" t="s">
        <v>61</v>
      </c>
      <c r="E39" s="28" t="s">
        <v>71</v>
      </c>
      <c r="G39" s="4" t="s">
        <v>127</v>
      </c>
      <c r="H39" s="4" t="s">
        <v>128</v>
      </c>
      <c r="I39" s="90">
        <v>40940</v>
      </c>
      <c r="J39" s="4" t="s">
        <v>721</v>
      </c>
      <c r="K39" s="15">
        <v>45865</v>
      </c>
      <c r="L39" s="4">
        <v>2025402422</v>
      </c>
      <c r="M39" s="28" t="s">
        <v>225</v>
      </c>
      <c r="N39" s="4">
        <v>2025</v>
      </c>
    </row>
    <row r="40" spans="1:14">
      <c r="A40" s="4">
        <v>39</v>
      </c>
      <c r="B40" s="28" t="s">
        <v>53</v>
      </c>
      <c r="C40" s="28" t="s">
        <v>62</v>
      </c>
      <c r="D40" s="4" t="s">
        <v>61</v>
      </c>
      <c r="E40" s="4" t="s">
        <v>71</v>
      </c>
      <c r="G40" s="4" t="s">
        <v>127</v>
      </c>
      <c r="H40" s="4" t="s">
        <v>128</v>
      </c>
      <c r="I40" s="90">
        <v>71200</v>
      </c>
      <c r="J40" s="4" t="s">
        <v>722</v>
      </c>
      <c r="K40" s="15">
        <v>45860</v>
      </c>
      <c r="L40" s="4">
        <v>2025402385</v>
      </c>
      <c r="M40" s="28" t="s">
        <v>225</v>
      </c>
      <c r="N40" s="4">
        <v>2025</v>
      </c>
    </row>
    <row r="41" spans="1:14">
      <c r="A41" s="4">
        <v>40</v>
      </c>
      <c r="B41" s="4" t="s">
        <v>53</v>
      </c>
      <c r="C41" s="4" t="s">
        <v>62</v>
      </c>
      <c r="D41" s="4" t="s">
        <v>61</v>
      </c>
      <c r="E41" s="28" t="s">
        <v>71</v>
      </c>
      <c r="G41" s="4" t="s">
        <v>127</v>
      </c>
      <c r="H41" s="4" t="s">
        <v>128</v>
      </c>
      <c r="I41" s="90">
        <v>46280</v>
      </c>
      <c r="J41" s="4" t="s">
        <v>723</v>
      </c>
      <c r="K41" s="15">
        <v>45860</v>
      </c>
      <c r="L41" s="4">
        <v>2025402384</v>
      </c>
      <c r="M41" s="28" t="s">
        <v>225</v>
      </c>
      <c r="N41" s="4">
        <v>2025</v>
      </c>
    </row>
    <row r="42" spans="1:14">
      <c r="A42" s="4">
        <v>41</v>
      </c>
      <c r="B42" s="4" t="s">
        <v>43</v>
      </c>
      <c r="C42" s="4" t="s">
        <v>51</v>
      </c>
      <c r="D42" s="4" t="s">
        <v>61</v>
      </c>
      <c r="E42" s="28" t="s">
        <v>71</v>
      </c>
      <c r="G42" s="4" t="s">
        <v>127</v>
      </c>
      <c r="H42" s="4" t="s">
        <v>128</v>
      </c>
      <c r="I42" s="90">
        <v>8667.5</v>
      </c>
      <c r="J42" s="4" t="s">
        <v>725</v>
      </c>
      <c r="K42" s="15">
        <v>45862</v>
      </c>
      <c r="L42" s="4">
        <v>2025402411</v>
      </c>
      <c r="M42" s="28" t="s">
        <v>225</v>
      </c>
      <c r="N42" s="4">
        <v>2025</v>
      </c>
    </row>
    <row r="43" spans="1:14">
      <c r="A43" s="4">
        <v>42</v>
      </c>
      <c r="B43" s="4" t="s">
        <v>17</v>
      </c>
      <c r="C43" s="4" t="s">
        <v>26</v>
      </c>
      <c r="D43" s="4" t="s">
        <v>61</v>
      </c>
      <c r="E43" s="28" t="s">
        <v>71</v>
      </c>
      <c r="G43" s="4" t="s">
        <v>127</v>
      </c>
      <c r="H43" s="4" t="s">
        <v>128</v>
      </c>
      <c r="I43" s="90">
        <v>1112.4000000000001</v>
      </c>
      <c r="J43" s="4" t="s">
        <v>744</v>
      </c>
      <c r="K43" s="15">
        <v>45873</v>
      </c>
      <c r="L43" s="4">
        <v>2025402556</v>
      </c>
      <c r="M43" s="28" t="s">
        <v>226</v>
      </c>
      <c r="N43" s="4">
        <v>2025</v>
      </c>
    </row>
    <row r="44" spans="1:14">
      <c r="A44" s="4">
        <v>43</v>
      </c>
      <c r="B44" s="4" t="s">
        <v>29</v>
      </c>
      <c r="C44" s="4" t="s">
        <v>237</v>
      </c>
      <c r="D44" s="4" t="s">
        <v>61</v>
      </c>
      <c r="E44" s="28" t="s">
        <v>71</v>
      </c>
      <c r="G44" s="4" t="s">
        <v>127</v>
      </c>
      <c r="H44" s="4" t="s">
        <v>128</v>
      </c>
      <c r="I44" s="90">
        <v>38776.300000000003</v>
      </c>
      <c r="J44" s="4" t="s">
        <v>785</v>
      </c>
      <c r="K44" s="15">
        <v>45874</v>
      </c>
      <c r="L44" s="4">
        <v>2025402573</v>
      </c>
      <c r="M44" s="28" t="s">
        <v>226</v>
      </c>
      <c r="N44" s="4">
        <v>2025</v>
      </c>
    </row>
    <row r="45" spans="1:14">
      <c r="A45" s="4">
        <v>44</v>
      </c>
      <c r="B45" s="4" t="s">
        <v>17</v>
      </c>
      <c r="C45" s="4" t="s">
        <v>22</v>
      </c>
      <c r="D45" s="4" t="s">
        <v>61</v>
      </c>
      <c r="E45" s="28" t="s">
        <v>71</v>
      </c>
      <c r="G45" s="4" t="s">
        <v>127</v>
      </c>
      <c r="H45" s="4" t="s">
        <v>128</v>
      </c>
      <c r="I45" s="90">
        <v>529.79999999999995</v>
      </c>
      <c r="J45" s="4" t="s">
        <v>801</v>
      </c>
      <c r="K45" s="15">
        <v>45876</v>
      </c>
      <c r="L45" s="4">
        <v>2025402593</v>
      </c>
      <c r="M45" s="28" t="s">
        <v>226</v>
      </c>
      <c r="N45" s="4">
        <v>2025</v>
      </c>
    </row>
    <row r="46" spans="1:14">
      <c r="A46" s="4">
        <v>45</v>
      </c>
      <c r="B46" s="28" t="s">
        <v>55</v>
      </c>
      <c r="C46" s="28" t="s">
        <v>98</v>
      </c>
      <c r="D46" s="4" t="s">
        <v>61</v>
      </c>
      <c r="E46" s="28" t="s">
        <v>71</v>
      </c>
      <c r="G46" s="28" t="s">
        <v>127</v>
      </c>
      <c r="H46" s="4" t="s">
        <v>128</v>
      </c>
      <c r="I46" s="90">
        <v>1928</v>
      </c>
      <c r="J46" s="4" t="s">
        <v>802</v>
      </c>
      <c r="K46" s="15">
        <v>45876</v>
      </c>
      <c r="L46" s="4">
        <v>2025402598</v>
      </c>
      <c r="M46" s="28" t="s">
        <v>226</v>
      </c>
      <c r="N46" s="4">
        <v>2025</v>
      </c>
    </row>
    <row r="47" spans="1:14">
      <c r="A47" s="4">
        <v>46</v>
      </c>
      <c r="B47" s="4" t="s">
        <v>53</v>
      </c>
      <c r="C47" s="4" t="s">
        <v>62</v>
      </c>
      <c r="D47" s="4" t="s">
        <v>61</v>
      </c>
      <c r="E47" s="28" t="s">
        <v>71</v>
      </c>
      <c r="G47" s="4" t="s">
        <v>127</v>
      </c>
      <c r="H47" s="4" t="s">
        <v>128</v>
      </c>
      <c r="I47" s="90">
        <v>2732.4</v>
      </c>
      <c r="J47" s="4" t="s">
        <v>821</v>
      </c>
      <c r="K47" s="15">
        <v>45866</v>
      </c>
      <c r="L47" s="4">
        <v>2025402454</v>
      </c>
      <c r="M47" s="28" t="s">
        <v>225</v>
      </c>
      <c r="N47" s="4">
        <v>2025</v>
      </c>
    </row>
    <row r="48" spans="1:14">
      <c r="A48" s="4">
        <v>47</v>
      </c>
      <c r="B48" s="4" t="s">
        <v>55</v>
      </c>
      <c r="C48" s="4" t="s">
        <v>98</v>
      </c>
      <c r="D48" s="4" t="s">
        <v>61</v>
      </c>
      <c r="E48" s="4" t="s">
        <v>71</v>
      </c>
      <c r="G48" s="4" t="s">
        <v>127</v>
      </c>
      <c r="H48" s="4" t="s">
        <v>128</v>
      </c>
      <c r="I48" s="90">
        <v>2088</v>
      </c>
      <c r="J48" s="4" t="s">
        <v>826</v>
      </c>
      <c r="K48" s="15">
        <v>45879</v>
      </c>
      <c r="L48" s="4">
        <v>2025402572</v>
      </c>
      <c r="M48" s="28" t="s">
        <v>226</v>
      </c>
      <c r="N48" s="4">
        <v>2025</v>
      </c>
    </row>
    <row r="49" spans="1:14">
      <c r="A49" s="4">
        <v>48</v>
      </c>
      <c r="B49" s="4" t="s">
        <v>53</v>
      </c>
      <c r="C49" s="4" t="s">
        <v>62</v>
      </c>
      <c r="D49" s="4" t="s">
        <v>61</v>
      </c>
      <c r="E49" s="28" t="s">
        <v>71</v>
      </c>
      <c r="G49" s="4" t="s">
        <v>127</v>
      </c>
      <c r="H49" s="4" t="s">
        <v>128</v>
      </c>
      <c r="I49" s="90">
        <v>3446.5</v>
      </c>
      <c r="J49" s="4" t="s">
        <v>846</v>
      </c>
      <c r="K49" s="15">
        <v>45886</v>
      </c>
      <c r="L49" s="4">
        <v>2025402595</v>
      </c>
      <c r="M49" s="28" t="s">
        <v>226</v>
      </c>
      <c r="N49" s="4">
        <v>2025</v>
      </c>
    </row>
    <row r="50" spans="1:14">
      <c r="A50" s="4">
        <v>49</v>
      </c>
      <c r="B50" s="4" t="s">
        <v>53</v>
      </c>
      <c r="C50" s="4" t="s">
        <v>62</v>
      </c>
      <c r="D50" s="4" t="s">
        <v>61</v>
      </c>
      <c r="E50" s="4" t="s">
        <v>71</v>
      </c>
      <c r="G50" s="4" t="s">
        <v>127</v>
      </c>
      <c r="H50" s="4" t="s">
        <v>128</v>
      </c>
      <c r="I50" s="90">
        <v>9825</v>
      </c>
      <c r="J50" s="38" t="s">
        <v>879</v>
      </c>
      <c r="K50" s="88">
        <v>45889</v>
      </c>
      <c r="L50" s="4">
        <v>2025402726</v>
      </c>
      <c r="M50" s="4" t="s">
        <v>226</v>
      </c>
      <c r="N50" s="4">
        <v>2025</v>
      </c>
    </row>
    <row r="51" spans="1:14">
      <c r="A51" s="4">
        <v>50</v>
      </c>
      <c r="B51" s="4" t="s">
        <v>17</v>
      </c>
      <c r="C51" s="4" t="s">
        <v>26</v>
      </c>
      <c r="D51" s="4" t="s">
        <v>61</v>
      </c>
      <c r="E51" s="4" t="s">
        <v>71</v>
      </c>
      <c r="G51" s="4" t="s">
        <v>127</v>
      </c>
      <c r="H51" s="4" t="s">
        <v>128</v>
      </c>
      <c r="I51" s="90">
        <v>1232.4000000000001</v>
      </c>
      <c r="J51" s="38" t="s">
        <v>881</v>
      </c>
      <c r="K51" s="88">
        <v>45889</v>
      </c>
      <c r="L51" s="4">
        <v>2025402727</v>
      </c>
      <c r="M51" s="4" t="s">
        <v>226</v>
      </c>
      <c r="N51" s="4">
        <v>2025</v>
      </c>
    </row>
    <row r="52" spans="1:14">
      <c r="A52" s="4">
        <v>51</v>
      </c>
      <c r="B52" s="4" t="s">
        <v>55</v>
      </c>
      <c r="C52" s="4" t="s">
        <v>98</v>
      </c>
      <c r="D52" s="4" t="s">
        <v>61</v>
      </c>
      <c r="E52" s="4" t="s">
        <v>71</v>
      </c>
      <c r="G52" s="4" t="s">
        <v>127</v>
      </c>
      <c r="H52" s="4" t="s">
        <v>128</v>
      </c>
      <c r="I52" s="90">
        <v>1156.8</v>
      </c>
      <c r="J52" s="38" t="s">
        <v>882</v>
      </c>
      <c r="K52" s="88">
        <v>45889</v>
      </c>
      <c r="L52" s="4">
        <v>2025402722</v>
      </c>
      <c r="M52" s="4" t="s">
        <v>226</v>
      </c>
      <c r="N52" s="4">
        <v>2025</v>
      </c>
    </row>
    <row r="53" spans="1:14">
      <c r="A53" s="4">
        <v>52</v>
      </c>
      <c r="B53" s="4" t="s">
        <v>53</v>
      </c>
      <c r="C53" s="4" t="s">
        <v>62</v>
      </c>
      <c r="D53" s="4" t="s">
        <v>61</v>
      </c>
      <c r="E53" s="4" t="s">
        <v>71</v>
      </c>
      <c r="G53" s="4" t="s">
        <v>127</v>
      </c>
      <c r="H53" s="4" t="s">
        <v>128</v>
      </c>
      <c r="I53" s="90">
        <v>11180</v>
      </c>
      <c r="J53" s="38" t="s">
        <v>891</v>
      </c>
      <c r="K53" s="88">
        <v>45889</v>
      </c>
      <c r="L53" s="4">
        <v>2025402576</v>
      </c>
      <c r="M53" s="4" t="s">
        <v>226</v>
      </c>
      <c r="N53" s="4">
        <v>2025</v>
      </c>
    </row>
    <row r="54" spans="1:14">
      <c r="A54" s="4">
        <v>53</v>
      </c>
      <c r="B54" s="4" t="s">
        <v>17</v>
      </c>
      <c r="C54" s="4" t="s">
        <v>25</v>
      </c>
      <c r="D54" s="4" t="s">
        <v>61</v>
      </c>
      <c r="E54" s="4" t="s">
        <v>71</v>
      </c>
      <c r="G54" s="4" t="s">
        <v>127</v>
      </c>
      <c r="H54" s="4" t="s">
        <v>128</v>
      </c>
      <c r="I54" s="90">
        <v>8600</v>
      </c>
      <c r="J54" s="38" t="s">
        <v>896</v>
      </c>
      <c r="K54" s="88">
        <v>45892</v>
      </c>
      <c r="L54" s="4">
        <v>2025402776</v>
      </c>
      <c r="M54" s="4" t="s">
        <v>226</v>
      </c>
      <c r="N54" s="4">
        <v>2025</v>
      </c>
    </row>
    <row r="55" spans="1:14">
      <c r="A55" s="4">
        <v>54</v>
      </c>
      <c r="B55" s="4" t="s">
        <v>53</v>
      </c>
      <c r="C55" s="4" t="s">
        <v>62</v>
      </c>
      <c r="D55" s="4" t="s">
        <v>61</v>
      </c>
      <c r="E55" s="4" t="s">
        <v>71</v>
      </c>
      <c r="G55" s="4" t="s">
        <v>127</v>
      </c>
      <c r="H55" s="4" t="s">
        <v>128</v>
      </c>
      <c r="I55" s="90">
        <v>3408.9</v>
      </c>
      <c r="J55" s="4" t="s">
        <v>1032</v>
      </c>
      <c r="K55" s="15">
        <v>45892</v>
      </c>
      <c r="L55" s="4">
        <v>2025402725</v>
      </c>
      <c r="M55" s="4" t="s">
        <v>226</v>
      </c>
      <c r="N55" s="4">
        <v>2025</v>
      </c>
    </row>
    <row r="56" spans="1:14">
      <c r="A56" s="4">
        <v>55</v>
      </c>
      <c r="B56" s="4" t="s">
        <v>43</v>
      </c>
      <c r="C56" s="4" t="s">
        <v>51</v>
      </c>
      <c r="D56" s="4" t="s">
        <v>61</v>
      </c>
      <c r="E56" s="4" t="s">
        <v>71</v>
      </c>
      <c r="G56" s="4" t="s">
        <v>127</v>
      </c>
      <c r="H56" s="4" t="s">
        <v>128</v>
      </c>
      <c r="I56" s="90">
        <v>22661.200000000001</v>
      </c>
      <c r="J56" s="4" t="s">
        <v>1033</v>
      </c>
      <c r="K56" s="15">
        <v>45896</v>
      </c>
      <c r="L56" s="4">
        <v>2025402875</v>
      </c>
      <c r="M56" s="4" t="s">
        <v>226</v>
      </c>
      <c r="N56" s="4">
        <v>2025</v>
      </c>
    </row>
    <row r="57" spans="1:14">
      <c r="A57" s="4">
        <v>56</v>
      </c>
      <c r="B57" s="4" t="s">
        <v>29</v>
      </c>
      <c r="C57" s="4" t="s">
        <v>237</v>
      </c>
      <c r="D57" s="4" t="s">
        <v>61</v>
      </c>
      <c r="E57" s="4" t="s">
        <v>71</v>
      </c>
      <c r="G57" s="4" t="s">
        <v>127</v>
      </c>
      <c r="H57" s="4" t="s">
        <v>128</v>
      </c>
      <c r="I57" s="90">
        <v>10071.200000000001</v>
      </c>
      <c r="J57" s="4" t="s">
        <v>1046</v>
      </c>
      <c r="K57" s="15">
        <v>45895</v>
      </c>
      <c r="L57" s="4">
        <v>2025402897</v>
      </c>
      <c r="M57" s="4" t="s">
        <v>226</v>
      </c>
      <c r="N57" s="4">
        <v>2025</v>
      </c>
    </row>
    <row r="58" spans="1:14">
      <c r="A58" s="4">
        <v>57</v>
      </c>
      <c r="B58" s="4" t="s">
        <v>53</v>
      </c>
      <c r="C58" s="4" t="s">
        <v>62</v>
      </c>
      <c r="D58" s="4" t="s">
        <v>61</v>
      </c>
      <c r="E58" s="4" t="s">
        <v>71</v>
      </c>
      <c r="G58" s="4" t="s">
        <v>127</v>
      </c>
      <c r="H58" s="4" t="s">
        <v>128</v>
      </c>
      <c r="I58" s="90">
        <v>32040</v>
      </c>
      <c r="J58" s="4" t="s">
        <v>1047</v>
      </c>
      <c r="K58" s="15">
        <v>45892</v>
      </c>
      <c r="L58" s="4">
        <v>2025402756</v>
      </c>
      <c r="M58" s="4" t="s">
        <v>226</v>
      </c>
      <c r="N58" s="4">
        <v>2025</v>
      </c>
    </row>
    <row r="59" spans="1:14">
      <c r="A59" s="4">
        <v>58</v>
      </c>
      <c r="B59" s="4" t="s">
        <v>55</v>
      </c>
      <c r="C59" s="4" t="s">
        <v>98</v>
      </c>
      <c r="D59" s="4" t="s">
        <v>61</v>
      </c>
      <c r="E59" s="4" t="s">
        <v>71</v>
      </c>
      <c r="G59" s="4" t="s">
        <v>127</v>
      </c>
      <c r="H59" s="4" t="s">
        <v>128</v>
      </c>
      <c r="I59" s="90">
        <v>1670.4</v>
      </c>
      <c r="J59" s="4" t="s">
        <v>1063</v>
      </c>
      <c r="K59" s="15">
        <v>45892</v>
      </c>
      <c r="L59" s="4">
        <v>2025402778</v>
      </c>
      <c r="M59" s="4" t="s">
        <v>226</v>
      </c>
      <c r="N59" s="4">
        <v>2025</v>
      </c>
    </row>
    <row r="60" spans="1:14">
      <c r="A60" s="4">
        <v>59</v>
      </c>
      <c r="B60" s="4" t="s">
        <v>55</v>
      </c>
      <c r="C60" s="4" t="s">
        <v>98</v>
      </c>
      <c r="D60" s="4" t="s">
        <v>61</v>
      </c>
      <c r="E60" s="4" t="s">
        <v>71</v>
      </c>
      <c r="G60" s="4" t="s">
        <v>127</v>
      </c>
      <c r="H60" s="4" t="s">
        <v>128</v>
      </c>
      <c r="I60" s="90">
        <v>22203</v>
      </c>
      <c r="J60" s="4" t="s">
        <v>1078</v>
      </c>
      <c r="K60" s="15">
        <v>45899</v>
      </c>
      <c r="L60" s="4">
        <v>2025402876</v>
      </c>
      <c r="M60" s="4" t="s">
        <v>226</v>
      </c>
      <c r="N60" s="4">
        <v>2025</v>
      </c>
    </row>
    <row r="61" spans="1:14">
      <c r="A61" s="4">
        <v>60</v>
      </c>
      <c r="B61" s="4" t="s">
        <v>29</v>
      </c>
      <c r="C61" s="4" t="s">
        <v>237</v>
      </c>
      <c r="D61" s="4" t="s">
        <v>61</v>
      </c>
      <c r="E61" s="4" t="s">
        <v>71</v>
      </c>
      <c r="G61" s="4" t="s">
        <v>127</v>
      </c>
      <c r="H61" s="4" t="s">
        <v>128</v>
      </c>
      <c r="I61" s="90">
        <v>16030.4</v>
      </c>
      <c r="J61" s="4" t="s">
        <v>1080</v>
      </c>
      <c r="K61" s="15">
        <v>45902</v>
      </c>
      <c r="L61" s="4">
        <v>2025402997</v>
      </c>
      <c r="M61" s="4" t="s">
        <v>226</v>
      </c>
      <c r="N61" s="4">
        <v>2025</v>
      </c>
    </row>
    <row r="62" spans="1:14">
      <c r="A62" s="4">
        <v>61</v>
      </c>
      <c r="B62" s="4" t="s">
        <v>29</v>
      </c>
      <c r="C62" s="4" t="s">
        <v>237</v>
      </c>
      <c r="D62" s="4" t="s">
        <v>61</v>
      </c>
      <c r="E62" s="4" t="s">
        <v>71</v>
      </c>
      <c r="G62" s="4" t="s">
        <v>127</v>
      </c>
      <c r="H62" s="4" t="s">
        <v>128</v>
      </c>
      <c r="I62" s="90">
        <v>73960</v>
      </c>
      <c r="J62" s="4" t="s">
        <v>1081</v>
      </c>
      <c r="K62" s="15">
        <v>45902</v>
      </c>
      <c r="L62" s="4">
        <v>2025402995</v>
      </c>
      <c r="M62" s="4" t="s">
        <v>226</v>
      </c>
      <c r="N62" s="4">
        <v>2025</v>
      </c>
    </row>
    <row r="63" spans="1:14">
      <c r="A63" s="4">
        <v>62</v>
      </c>
      <c r="B63" s="4" t="s">
        <v>17</v>
      </c>
      <c r="C63" s="4" t="s">
        <v>25</v>
      </c>
      <c r="D63" s="4" t="s">
        <v>61</v>
      </c>
      <c r="E63" s="4" t="s">
        <v>71</v>
      </c>
      <c r="G63" s="4" t="s">
        <v>127</v>
      </c>
      <c r="H63" s="4" t="s">
        <v>128</v>
      </c>
      <c r="I63" s="90">
        <v>3075.4</v>
      </c>
      <c r="J63" s="4" t="s">
        <v>1101</v>
      </c>
      <c r="K63" s="15">
        <v>45892</v>
      </c>
      <c r="L63" s="4">
        <v>2025402730</v>
      </c>
      <c r="M63" s="4" t="s">
        <v>226</v>
      </c>
      <c r="N63" s="4">
        <v>2025</v>
      </c>
    </row>
    <row r="64" spans="1:14">
      <c r="A64" s="4">
        <v>63</v>
      </c>
      <c r="B64" s="4" t="s">
        <v>29</v>
      </c>
      <c r="C64" s="4" t="s">
        <v>237</v>
      </c>
      <c r="D64" s="4" t="s">
        <v>61</v>
      </c>
      <c r="E64" s="4" t="s">
        <v>71</v>
      </c>
      <c r="G64" s="4" t="s">
        <v>262</v>
      </c>
      <c r="H64" s="4" t="s">
        <v>261</v>
      </c>
      <c r="I64" s="40">
        <v>94190.74327973742</v>
      </c>
      <c r="J64" s="4" t="s">
        <v>279</v>
      </c>
      <c r="K64" s="15">
        <v>45901</v>
      </c>
      <c r="L64" s="4">
        <v>2025403220</v>
      </c>
      <c r="M64" s="4" t="s">
        <v>226</v>
      </c>
      <c r="N64" s="4">
        <v>2025</v>
      </c>
    </row>
    <row r="65" spans="1:14">
      <c r="A65" s="4">
        <v>64</v>
      </c>
      <c r="B65" s="4" t="s">
        <v>53</v>
      </c>
      <c r="C65" s="4" t="s">
        <v>62</v>
      </c>
      <c r="D65" s="4" t="s">
        <v>61</v>
      </c>
      <c r="E65" s="4" t="s">
        <v>71</v>
      </c>
      <c r="G65" s="4" t="s">
        <v>262</v>
      </c>
      <c r="H65" s="4" t="s">
        <v>261</v>
      </c>
      <c r="I65" s="40">
        <v>19980.281690140844</v>
      </c>
      <c r="J65" s="4" t="s">
        <v>1105</v>
      </c>
      <c r="K65" s="15">
        <v>45871</v>
      </c>
      <c r="L65" s="4">
        <v>2025403137</v>
      </c>
      <c r="M65" s="4" t="s">
        <v>225</v>
      </c>
      <c r="N65" s="4">
        <v>2025</v>
      </c>
    </row>
    <row r="66" spans="1:14">
      <c r="A66" s="4">
        <v>65</v>
      </c>
      <c r="B66" s="4" t="s">
        <v>53</v>
      </c>
      <c r="C66" s="4" t="s">
        <v>62</v>
      </c>
      <c r="D66" s="4" t="s">
        <v>61</v>
      </c>
      <c r="E66" s="4" t="s">
        <v>71</v>
      </c>
      <c r="G66" s="4" t="s">
        <v>262</v>
      </c>
      <c r="H66" s="4" t="s">
        <v>261</v>
      </c>
      <c r="I66" s="40">
        <v>15013.482072375256</v>
      </c>
      <c r="J66" s="4" t="s">
        <v>279</v>
      </c>
      <c r="K66" s="15">
        <v>45901</v>
      </c>
      <c r="L66" s="4">
        <v>2025403220</v>
      </c>
      <c r="M66" s="4" t="s">
        <v>226</v>
      </c>
      <c r="N66" s="4">
        <v>2025</v>
      </c>
    </row>
    <row r="67" spans="1:14">
      <c r="A67" s="4">
        <v>66</v>
      </c>
      <c r="B67" s="4" t="s">
        <v>55</v>
      </c>
      <c r="C67" s="4" t="s">
        <v>98</v>
      </c>
      <c r="D67" s="4" t="s">
        <v>61</v>
      </c>
      <c r="E67" s="28" t="s">
        <v>71</v>
      </c>
      <c r="G67" s="4" t="s">
        <v>481</v>
      </c>
      <c r="H67" s="28" t="s">
        <v>71</v>
      </c>
      <c r="I67" s="40">
        <v>5633.8028169014087</v>
      </c>
      <c r="J67" s="4" t="s">
        <v>696</v>
      </c>
      <c r="K67" s="15">
        <v>45850</v>
      </c>
      <c r="L67" s="4">
        <v>2025402406</v>
      </c>
      <c r="M67" s="28" t="s">
        <v>225</v>
      </c>
      <c r="N67" s="4">
        <v>2025</v>
      </c>
    </row>
    <row r="68" spans="1:14">
      <c r="A68" s="4">
        <v>67</v>
      </c>
      <c r="B68" s="4" t="s">
        <v>55</v>
      </c>
      <c r="C68" s="4" t="s">
        <v>56</v>
      </c>
      <c r="D68" s="4" t="s">
        <v>61</v>
      </c>
      <c r="E68" s="4" t="s">
        <v>71</v>
      </c>
      <c r="G68" s="4" t="s">
        <v>481</v>
      </c>
      <c r="H68" s="28" t="s">
        <v>71</v>
      </c>
      <c r="I68" s="41">
        <v>900</v>
      </c>
      <c r="J68" s="4" t="s">
        <v>604</v>
      </c>
      <c r="K68" s="15">
        <v>45855</v>
      </c>
      <c r="L68" s="4">
        <v>2025402268</v>
      </c>
      <c r="M68" s="28" t="s">
        <v>225</v>
      </c>
      <c r="N68" s="4">
        <v>2025</v>
      </c>
    </row>
    <row r="69" spans="1:14">
      <c r="A69" s="4">
        <v>68</v>
      </c>
      <c r="B69" s="4" t="s">
        <v>53</v>
      </c>
      <c r="C69" s="4" t="s">
        <v>62</v>
      </c>
      <c r="D69" s="4" t="s">
        <v>61</v>
      </c>
      <c r="E69" s="28" t="s">
        <v>71</v>
      </c>
      <c r="G69" s="4" t="s">
        <v>303</v>
      </c>
      <c r="H69" s="28" t="s">
        <v>71</v>
      </c>
      <c r="I69" s="40">
        <v>5281.6901408450703</v>
      </c>
      <c r="J69" s="4" t="s">
        <v>844</v>
      </c>
      <c r="K69" s="15">
        <v>45847</v>
      </c>
      <c r="L69" s="4">
        <v>2025402589</v>
      </c>
      <c r="M69" s="28" t="s">
        <v>225</v>
      </c>
      <c r="N69" s="4">
        <v>2025</v>
      </c>
    </row>
    <row r="70" spans="1:14">
      <c r="A70" s="4">
        <v>69</v>
      </c>
      <c r="B70" s="4" t="s">
        <v>55</v>
      </c>
      <c r="C70" s="4" t="s">
        <v>56</v>
      </c>
      <c r="D70" s="4" t="s">
        <v>61</v>
      </c>
      <c r="E70" s="4" t="s">
        <v>71</v>
      </c>
      <c r="G70" s="4" t="s">
        <v>488</v>
      </c>
      <c r="H70" s="28" t="s">
        <v>71</v>
      </c>
      <c r="I70" s="40">
        <v>2464.788732394366</v>
      </c>
      <c r="J70" s="4" t="s">
        <v>1130</v>
      </c>
      <c r="K70" s="15">
        <v>45847</v>
      </c>
      <c r="L70" s="4">
        <v>2025402698</v>
      </c>
      <c r="M70" s="4" t="s">
        <v>225</v>
      </c>
      <c r="N70" s="4">
        <v>2025</v>
      </c>
    </row>
    <row r="71" spans="1:14">
      <c r="A71" s="4">
        <v>70</v>
      </c>
      <c r="B71" s="4" t="s">
        <v>55</v>
      </c>
      <c r="C71" s="4" t="s">
        <v>98</v>
      </c>
      <c r="D71" s="4" t="s">
        <v>61</v>
      </c>
      <c r="E71" s="4" t="s">
        <v>71</v>
      </c>
      <c r="G71" s="38" t="s">
        <v>488</v>
      </c>
      <c r="H71" s="28" t="s">
        <v>71</v>
      </c>
      <c r="I71" s="40">
        <v>2112.676056338028</v>
      </c>
      <c r="J71" s="38" t="s">
        <v>875</v>
      </c>
      <c r="K71" s="88">
        <v>45867</v>
      </c>
      <c r="L71" s="4">
        <v>2025402745</v>
      </c>
      <c r="M71" s="4" t="s">
        <v>225</v>
      </c>
      <c r="N71" s="4">
        <v>2025</v>
      </c>
    </row>
    <row r="72" spans="1:14">
      <c r="A72" s="4">
        <v>71</v>
      </c>
      <c r="B72" s="4" t="s">
        <v>55</v>
      </c>
      <c r="C72" s="4" t="s">
        <v>56</v>
      </c>
      <c r="D72" s="4" t="s">
        <v>61</v>
      </c>
      <c r="E72" s="4" t="s">
        <v>71</v>
      </c>
      <c r="G72" s="4" t="s">
        <v>488</v>
      </c>
      <c r="H72" s="28" t="s">
        <v>71</v>
      </c>
      <c r="I72" s="40">
        <v>704.22535211267609</v>
      </c>
      <c r="J72" s="38" t="s">
        <v>877</v>
      </c>
      <c r="K72" s="88">
        <v>45854</v>
      </c>
      <c r="L72" s="4">
        <v>2025402736</v>
      </c>
      <c r="M72" s="4" t="s">
        <v>225</v>
      </c>
      <c r="N72" s="4">
        <v>2025</v>
      </c>
    </row>
    <row r="73" spans="1:14">
      <c r="A73" s="4">
        <v>72</v>
      </c>
      <c r="B73" s="4" t="s">
        <v>35</v>
      </c>
      <c r="C73" s="4" t="s">
        <v>38</v>
      </c>
      <c r="D73" s="4" t="s">
        <v>61</v>
      </c>
      <c r="E73" s="4" t="s">
        <v>71</v>
      </c>
      <c r="G73" s="4" t="s">
        <v>129</v>
      </c>
      <c r="H73" s="28" t="s">
        <v>71</v>
      </c>
      <c r="I73" s="40">
        <v>2535.211267605634</v>
      </c>
      <c r="J73" s="4" t="s">
        <v>1107</v>
      </c>
      <c r="K73" s="15">
        <v>45874</v>
      </c>
      <c r="L73" s="4">
        <v>2025402874</v>
      </c>
      <c r="M73" s="4" t="s">
        <v>226</v>
      </c>
      <c r="N73" s="4">
        <v>2025</v>
      </c>
    </row>
    <row r="74" spans="1:14">
      <c r="A74" s="4">
        <v>73</v>
      </c>
      <c r="B74" s="4" t="s">
        <v>53</v>
      </c>
      <c r="C74" s="4" t="s">
        <v>62</v>
      </c>
      <c r="D74" s="4" t="s">
        <v>61</v>
      </c>
      <c r="E74" s="4" t="s">
        <v>71</v>
      </c>
      <c r="G74" s="4" t="s">
        <v>129</v>
      </c>
      <c r="H74" s="28" t="s">
        <v>71</v>
      </c>
      <c r="I74" s="40">
        <v>1969.0140845070423</v>
      </c>
      <c r="J74" s="4" t="s">
        <v>1087</v>
      </c>
      <c r="K74" s="15">
        <v>45879</v>
      </c>
      <c r="L74" s="4">
        <v>2025402700</v>
      </c>
      <c r="M74" s="4" t="s">
        <v>226</v>
      </c>
      <c r="N74" s="4">
        <v>2025</v>
      </c>
    </row>
    <row r="75" spans="1:14">
      <c r="A75" s="4">
        <v>74</v>
      </c>
      <c r="B75" s="4" t="s">
        <v>43</v>
      </c>
      <c r="C75" s="4" t="s">
        <v>48</v>
      </c>
      <c r="D75" s="4" t="s">
        <v>61</v>
      </c>
      <c r="E75" s="4" t="s">
        <v>71</v>
      </c>
      <c r="G75" s="4" t="s">
        <v>129</v>
      </c>
      <c r="H75" s="28" t="s">
        <v>71</v>
      </c>
      <c r="I75" s="40">
        <v>1814.0845070422536</v>
      </c>
      <c r="J75" s="4" t="s">
        <v>1150</v>
      </c>
      <c r="K75" s="15">
        <v>45888</v>
      </c>
      <c r="L75" s="4">
        <v>2025403246</v>
      </c>
      <c r="M75" s="4" t="s">
        <v>226</v>
      </c>
      <c r="N75" s="4">
        <v>2025</v>
      </c>
    </row>
    <row r="76" spans="1:14">
      <c r="A76" s="4">
        <v>75</v>
      </c>
      <c r="B76" s="4" t="s">
        <v>53</v>
      </c>
      <c r="C76" s="4" t="s">
        <v>62</v>
      </c>
      <c r="D76" s="4" t="s">
        <v>61</v>
      </c>
      <c r="E76" s="28" t="s">
        <v>71</v>
      </c>
      <c r="G76" s="4" t="s">
        <v>129</v>
      </c>
      <c r="H76" s="28" t="s">
        <v>71</v>
      </c>
      <c r="I76" s="40">
        <v>246.47887323943661</v>
      </c>
      <c r="J76" s="4" t="s">
        <v>800</v>
      </c>
      <c r="K76" s="15">
        <v>45864</v>
      </c>
      <c r="L76" s="4">
        <v>2025402594</v>
      </c>
      <c r="M76" s="28" t="s">
        <v>225</v>
      </c>
      <c r="N76" s="4">
        <v>2025</v>
      </c>
    </row>
    <row r="77" spans="1:14">
      <c r="A77" s="4">
        <v>76</v>
      </c>
      <c r="B77" s="4" t="s">
        <v>33</v>
      </c>
      <c r="C77" s="4" t="s">
        <v>34</v>
      </c>
      <c r="D77" s="4" t="s">
        <v>61</v>
      </c>
      <c r="E77" s="4" t="s">
        <v>71</v>
      </c>
      <c r="G77" s="4" t="s">
        <v>129</v>
      </c>
      <c r="H77" s="28" t="s">
        <v>71</v>
      </c>
      <c r="I77" s="40">
        <v>169.01408450704224</v>
      </c>
      <c r="J77" s="4" t="s">
        <v>1151</v>
      </c>
      <c r="K77" s="15">
        <v>45855</v>
      </c>
      <c r="L77" s="4">
        <v>2025402486</v>
      </c>
      <c r="M77" s="4" t="s">
        <v>225</v>
      </c>
      <c r="N77" s="4">
        <v>2025</v>
      </c>
    </row>
    <row r="78" spans="1:14">
      <c r="A78" s="4">
        <v>77</v>
      </c>
      <c r="B78" s="4" t="s">
        <v>43</v>
      </c>
      <c r="C78" s="4" t="s">
        <v>50</v>
      </c>
      <c r="D78" s="4" t="s">
        <v>61</v>
      </c>
      <c r="E78" s="4" t="s">
        <v>71</v>
      </c>
      <c r="G78" s="4" t="s">
        <v>129</v>
      </c>
      <c r="H78" s="28" t="s">
        <v>71</v>
      </c>
      <c r="I78" s="40">
        <v>105.63380281690141</v>
      </c>
      <c r="J78" s="4" t="s">
        <v>1108</v>
      </c>
      <c r="K78" s="15">
        <v>45887</v>
      </c>
      <c r="L78" s="4">
        <v>2025402921</v>
      </c>
      <c r="M78" s="4" t="s">
        <v>226</v>
      </c>
      <c r="N78" s="4">
        <v>2025</v>
      </c>
    </row>
    <row r="79" spans="1:14">
      <c r="A79" s="4">
        <v>78</v>
      </c>
      <c r="B79" s="4" t="s">
        <v>35</v>
      </c>
      <c r="C79" s="4" t="s">
        <v>37</v>
      </c>
      <c r="D79" s="4" t="s">
        <v>61</v>
      </c>
      <c r="E79" s="28" t="s">
        <v>71</v>
      </c>
      <c r="G79" s="4" t="s">
        <v>129</v>
      </c>
      <c r="H79" s="28" t="s">
        <v>71</v>
      </c>
      <c r="I79" s="40">
        <v>38.732394366197184</v>
      </c>
      <c r="J79" s="4" t="s">
        <v>520</v>
      </c>
      <c r="K79" s="15">
        <v>45840</v>
      </c>
      <c r="L79" s="4">
        <v>2025402244</v>
      </c>
      <c r="M79" s="28" t="s">
        <v>225</v>
      </c>
      <c r="N79" s="4">
        <v>2025</v>
      </c>
    </row>
    <row r="80" spans="1:14">
      <c r="A80" s="4">
        <v>79</v>
      </c>
      <c r="B80" s="4" t="s">
        <v>53</v>
      </c>
      <c r="C80" s="4" t="s">
        <v>62</v>
      </c>
      <c r="D80" s="4" t="s">
        <v>61</v>
      </c>
      <c r="E80" s="4" t="s">
        <v>71</v>
      </c>
      <c r="G80" s="4" t="s">
        <v>129</v>
      </c>
      <c r="H80" s="28" t="s">
        <v>71</v>
      </c>
      <c r="I80" s="40">
        <v>21.12676056338028</v>
      </c>
      <c r="J80" s="4" t="s">
        <v>1088</v>
      </c>
      <c r="K80" s="15">
        <v>45894</v>
      </c>
      <c r="L80" s="4">
        <v>2025403033</v>
      </c>
      <c r="M80" s="4" t="s">
        <v>226</v>
      </c>
      <c r="N80" s="4">
        <v>2025</v>
      </c>
    </row>
    <row r="81" spans="1:14">
      <c r="A81" s="4">
        <v>80</v>
      </c>
      <c r="B81" s="28" t="s">
        <v>35</v>
      </c>
      <c r="C81" s="28" t="s">
        <v>37</v>
      </c>
      <c r="D81" s="4" t="s">
        <v>61</v>
      </c>
      <c r="E81" s="4" t="s">
        <v>71</v>
      </c>
      <c r="G81" s="4" t="s">
        <v>129</v>
      </c>
      <c r="H81" s="28" t="s">
        <v>71</v>
      </c>
      <c r="I81" s="40">
        <v>13.380281690140846</v>
      </c>
      <c r="J81" s="4" t="s">
        <v>745</v>
      </c>
      <c r="K81" s="15">
        <v>45861</v>
      </c>
      <c r="L81" s="4">
        <v>2025402577</v>
      </c>
      <c r="M81" s="28" t="s">
        <v>225</v>
      </c>
      <c r="N81" s="4">
        <v>2025</v>
      </c>
    </row>
    <row r="82" spans="1:14">
      <c r="A82" s="4">
        <v>81</v>
      </c>
      <c r="B82" s="4" t="s">
        <v>35</v>
      </c>
      <c r="C82" s="4" t="s">
        <v>37</v>
      </c>
      <c r="D82" s="4" t="s">
        <v>61</v>
      </c>
      <c r="E82" s="4" t="s">
        <v>71</v>
      </c>
      <c r="G82" s="4" t="s">
        <v>129</v>
      </c>
      <c r="H82" s="28" t="s">
        <v>71</v>
      </c>
      <c r="I82" s="40">
        <v>7.746478873239437</v>
      </c>
      <c r="J82" s="4" t="s">
        <v>1114</v>
      </c>
      <c r="K82" s="15">
        <v>45888</v>
      </c>
      <c r="L82" s="4">
        <v>2025403247</v>
      </c>
      <c r="M82" s="4" t="s">
        <v>226</v>
      </c>
      <c r="N82" s="4">
        <v>2025</v>
      </c>
    </row>
    <row r="83" spans="1:14">
      <c r="A83" s="4">
        <v>82</v>
      </c>
      <c r="B83" s="4" t="s">
        <v>55</v>
      </c>
      <c r="C83" s="4" t="s">
        <v>56</v>
      </c>
      <c r="D83" s="4" t="s">
        <v>61</v>
      </c>
      <c r="E83" s="28" t="s">
        <v>71</v>
      </c>
      <c r="G83" s="4" t="s">
        <v>129</v>
      </c>
      <c r="H83" s="28" t="s">
        <v>71</v>
      </c>
      <c r="I83" s="90">
        <v>300</v>
      </c>
      <c r="J83" s="4" t="s">
        <v>776</v>
      </c>
      <c r="K83" s="15">
        <v>45861</v>
      </c>
      <c r="L83" s="4">
        <v>2025402574</v>
      </c>
      <c r="M83" s="28" t="s">
        <v>225</v>
      </c>
      <c r="N83" s="4">
        <v>2025</v>
      </c>
    </row>
    <row r="84" spans="1:14">
      <c r="A84" s="4">
        <v>83</v>
      </c>
      <c r="B84" s="4" t="s">
        <v>43</v>
      </c>
      <c r="C84" s="4" t="s">
        <v>48</v>
      </c>
      <c r="D84" s="4" t="s">
        <v>61</v>
      </c>
      <c r="E84" s="28" t="s">
        <v>71</v>
      </c>
      <c r="G84" s="4" t="s">
        <v>129</v>
      </c>
      <c r="H84" s="28" t="s">
        <v>71</v>
      </c>
      <c r="I84" s="90">
        <v>490</v>
      </c>
      <c r="J84" s="4" t="s">
        <v>778</v>
      </c>
      <c r="K84" s="15">
        <v>45861</v>
      </c>
      <c r="L84" s="4">
        <v>2025402560</v>
      </c>
      <c r="M84" s="28" t="s">
        <v>225</v>
      </c>
      <c r="N84" s="4">
        <v>2025</v>
      </c>
    </row>
    <row r="85" spans="1:14">
      <c r="A85" s="4">
        <v>84</v>
      </c>
      <c r="B85" s="4" t="s">
        <v>43</v>
      </c>
      <c r="C85" s="4" t="s">
        <v>46</v>
      </c>
      <c r="D85" s="4" t="s">
        <v>61</v>
      </c>
      <c r="E85" s="4" t="s">
        <v>71</v>
      </c>
      <c r="G85" s="4" t="s">
        <v>129</v>
      </c>
      <c r="H85" s="28" t="s">
        <v>71</v>
      </c>
      <c r="I85" s="90">
        <v>48</v>
      </c>
      <c r="J85" s="38" t="s">
        <v>874</v>
      </c>
      <c r="K85" s="88">
        <v>45873</v>
      </c>
      <c r="L85" s="4">
        <v>2025402723</v>
      </c>
      <c r="M85" s="4" t="s">
        <v>226</v>
      </c>
      <c r="N85" s="4">
        <v>2025</v>
      </c>
    </row>
    <row r="86" spans="1:14">
      <c r="A86" s="4">
        <v>85</v>
      </c>
      <c r="B86" s="4" t="s">
        <v>43</v>
      </c>
      <c r="C86" s="4" t="s">
        <v>46</v>
      </c>
      <c r="D86" s="4" t="s">
        <v>61</v>
      </c>
      <c r="E86" s="4" t="s">
        <v>71</v>
      </c>
      <c r="G86" s="4" t="s">
        <v>129</v>
      </c>
      <c r="H86" s="28" t="s">
        <v>71</v>
      </c>
      <c r="I86" s="90">
        <v>39</v>
      </c>
      <c r="J86" s="38" t="s">
        <v>895</v>
      </c>
      <c r="K86" s="88">
        <v>45887</v>
      </c>
      <c r="L86" s="4">
        <v>2025402772</v>
      </c>
      <c r="M86" s="4" t="s">
        <v>226</v>
      </c>
      <c r="N86" s="4">
        <v>2025</v>
      </c>
    </row>
    <row r="87" spans="1:14">
      <c r="A87" s="4">
        <v>86</v>
      </c>
      <c r="B87" s="4" t="s">
        <v>55</v>
      </c>
      <c r="C87" s="4" t="s">
        <v>56</v>
      </c>
      <c r="D87" s="4" t="s">
        <v>61</v>
      </c>
      <c r="E87" s="28" t="s">
        <v>71</v>
      </c>
      <c r="G87" s="4" t="s">
        <v>484</v>
      </c>
      <c r="H87" s="28" t="s">
        <v>71</v>
      </c>
      <c r="I87" s="90">
        <v>4200</v>
      </c>
      <c r="J87" s="4" t="s">
        <v>253</v>
      </c>
      <c r="K87" s="15">
        <v>45852</v>
      </c>
      <c r="L87" s="4">
        <v>2025402322</v>
      </c>
      <c r="M87" s="28" t="s">
        <v>225</v>
      </c>
      <c r="N87" s="4">
        <v>2025</v>
      </c>
    </row>
    <row r="88" spans="1:14">
      <c r="A88" s="4">
        <v>87</v>
      </c>
      <c r="B88" s="4" t="s">
        <v>55</v>
      </c>
      <c r="C88" s="4" t="s">
        <v>56</v>
      </c>
      <c r="D88" s="4" t="s">
        <v>61</v>
      </c>
      <c r="E88" s="4" t="s">
        <v>71</v>
      </c>
      <c r="G88" s="4" t="s">
        <v>251</v>
      </c>
      <c r="H88" s="91" t="s">
        <v>256</v>
      </c>
      <c r="I88" s="40">
        <v>8596.4788732394372</v>
      </c>
      <c r="J88" s="4" t="s">
        <v>1090</v>
      </c>
      <c r="K88" s="15">
        <v>45890</v>
      </c>
      <c r="L88" s="4">
        <v>2025403016</v>
      </c>
      <c r="M88" s="4" t="s">
        <v>226</v>
      </c>
      <c r="N88" s="4">
        <v>2025</v>
      </c>
    </row>
    <row r="89" spans="1:14">
      <c r="A89" s="4">
        <v>88</v>
      </c>
      <c r="B89" s="4" t="s">
        <v>55</v>
      </c>
      <c r="C89" s="4" t="s">
        <v>56</v>
      </c>
      <c r="D89" s="4" t="s">
        <v>61</v>
      </c>
      <c r="E89" s="28" t="s">
        <v>71</v>
      </c>
      <c r="G89" s="4" t="s">
        <v>251</v>
      </c>
      <c r="H89" s="91" t="s">
        <v>256</v>
      </c>
      <c r="I89" s="40">
        <v>5712.6760563380285</v>
      </c>
      <c r="J89" s="4" t="s">
        <v>539</v>
      </c>
      <c r="K89" s="15">
        <v>45845</v>
      </c>
      <c r="L89" s="4">
        <v>2025402231</v>
      </c>
      <c r="M89" s="28" t="s">
        <v>225</v>
      </c>
      <c r="N89" s="4">
        <v>2025</v>
      </c>
    </row>
    <row r="90" spans="1:14">
      <c r="A90" s="4">
        <v>89</v>
      </c>
      <c r="B90" s="4" t="s">
        <v>53</v>
      </c>
      <c r="C90" s="4" t="s">
        <v>62</v>
      </c>
      <c r="D90" s="4" t="s">
        <v>61</v>
      </c>
      <c r="E90" s="28" t="s">
        <v>71</v>
      </c>
      <c r="G90" s="4" t="s">
        <v>251</v>
      </c>
      <c r="H90" s="91" t="s">
        <v>256</v>
      </c>
      <c r="I90" s="40">
        <v>5712.6760563380285</v>
      </c>
      <c r="J90" s="4" t="s">
        <v>583</v>
      </c>
      <c r="K90" s="15">
        <v>45852</v>
      </c>
      <c r="L90" s="4">
        <v>2025401503</v>
      </c>
      <c r="M90" s="28" t="s">
        <v>225</v>
      </c>
      <c r="N90" s="4">
        <v>2025</v>
      </c>
    </row>
    <row r="91" spans="1:14">
      <c r="A91" s="4">
        <v>90</v>
      </c>
      <c r="B91" s="4" t="s">
        <v>273</v>
      </c>
      <c r="C91" s="4" t="s">
        <v>56</v>
      </c>
      <c r="D91" s="4" t="s">
        <v>61</v>
      </c>
      <c r="E91" s="28" t="s">
        <v>71</v>
      </c>
      <c r="G91" s="4" t="s">
        <v>251</v>
      </c>
      <c r="H91" s="91" t="s">
        <v>256</v>
      </c>
      <c r="I91" s="40">
        <v>5712.6760563380285</v>
      </c>
      <c r="J91" s="4" t="s">
        <v>637</v>
      </c>
      <c r="K91" s="15">
        <v>45851</v>
      </c>
      <c r="L91" s="4">
        <v>2025402317</v>
      </c>
      <c r="M91" s="28" t="s">
        <v>225</v>
      </c>
      <c r="N91" s="4">
        <v>2025</v>
      </c>
    </row>
    <row r="92" spans="1:14">
      <c r="A92" s="4">
        <v>91</v>
      </c>
      <c r="B92" s="4" t="s">
        <v>55</v>
      </c>
      <c r="C92" s="4" t="s">
        <v>56</v>
      </c>
      <c r="D92" s="4" t="s">
        <v>61</v>
      </c>
      <c r="E92" s="28" t="s">
        <v>71</v>
      </c>
      <c r="G92" s="4" t="s">
        <v>251</v>
      </c>
      <c r="H92" s="91" t="s">
        <v>256</v>
      </c>
      <c r="I92" s="40">
        <v>5712.6760563380285</v>
      </c>
      <c r="J92" s="4" t="s">
        <v>657</v>
      </c>
      <c r="K92" s="15">
        <v>45859</v>
      </c>
      <c r="L92" s="4">
        <v>2025402389</v>
      </c>
      <c r="M92" s="28" t="s">
        <v>225</v>
      </c>
      <c r="N92" s="4">
        <v>2025</v>
      </c>
    </row>
    <row r="93" spans="1:14">
      <c r="A93" s="4">
        <v>92</v>
      </c>
      <c r="B93" s="4" t="s">
        <v>55</v>
      </c>
      <c r="C93" s="4" t="s">
        <v>56</v>
      </c>
      <c r="D93" s="4" t="s">
        <v>61</v>
      </c>
      <c r="E93" s="28" t="s">
        <v>71</v>
      </c>
      <c r="G93" s="4" t="s">
        <v>251</v>
      </c>
      <c r="H93" s="91" t="s">
        <v>256</v>
      </c>
      <c r="I93" s="40">
        <v>5712.6760563380285</v>
      </c>
      <c r="J93" s="4" t="s">
        <v>658</v>
      </c>
      <c r="K93" s="15">
        <v>45855</v>
      </c>
      <c r="L93" s="4">
        <v>2025402390</v>
      </c>
      <c r="M93" s="28" t="s">
        <v>225</v>
      </c>
      <c r="N93" s="4">
        <v>2025</v>
      </c>
    </row>
    <row r="94" spans="1:14">
      <c r="A94" s="4">
        <v>93</v>
      </c>
      <c r="B94" s="4" t="s">
        <v>55</v>
      </c>
      <c r="C94" s="4" t="s">
        <v>56</v>
      </c>
      <c r="D94" s="4" t="s">
        <v>61</v>
      </c>
      <c r="E94" s="28" t="s">
        <v>71</v>
      </c>
      <c r="G94" s="4" t="s">
        <v>251</v>
      </c>
      <c r="H94" s="91" t="s">
        <v>256</v>
      </c>
      <c r="I94" s="40">
        <v>5712.6760563380285</v>
      </c>
      <c r="J94" s="4" t="s">
        <v>707</v>
      </c>
      <c r="K94" s="15">
        <v>45865</v>
      </c>
      <c r="L94" s="4">
        <v>2025402462</v>
      </c>
      <c r="M94" s="28" t="s">
        <v>225</v>
      </c>
      <c r="N94" s="4">
        <v>2025</v>
      </c>
    </row>
    <row r="95" spans="1:14">
      <c r="A95" s="4">
        <v>94</v>
      </c>
      <c r="B95" s="4" t="s">
        <v>55</v>
      </c>
      <c r="C95" s="4" t="s">
        <v>56</v>
      </c>
      <c r="D95" s="4" t="s">
        <v>61</v>
      </c>
      <c r="E95" s="28" t="s">
        <v>71</v>
      </c>
      <c r="G95" s="4" t="s">
        <v>251</v>
      </c>
      <c r="H95" s="91" t="s">
        <v>256</v>
      </c>
      <c r="I95" s="40">
        <v>5712.6760563380285</v>
      </c>
      <c r="J95" s="4" t="s">
        <v>735</v>
      </c>
      <c r="K95" s="15">
        <v>45869</v>
      </c>
      <c r="L95" s="4">
        <v>2025402530</v>
      </c>
      <c r="M95" s="28" t="s">
        <v>225</v>
      </c>
      <c r="N95" s="4">
        <v>2025</v>
      </c>
    </row>
    <row r="96" spans="1:14">
      <c r="A96" s="4">
        <v>95</v>
      </c>
      <c r="B96" s="28" t="s">
        <v>55</v>
      </c>
      <c r="C96" s="28" t="s">
        <v>56</v>
      </c>
      <c r="D96" s="4" t="s">
        <v>61</v>
      </c>
      <c r="E96" s="4" t="s">
        <v>71</v>
      </c>
      <c r="G96" s="4" t="s">
        <v>251</v>
      </c>
      <c r="H96" s="91" t="s">
        <v>256</v>
      </c>
      <c r="I96" s="40">
        <v>5712.6760563380285</v>
      </c>
      <c r="J96" s="4" t="s">
        <v>824</v>
      </c>
      <c r="K96" s="15">
        <v>45875</v>
      </c>
      <c r="L96" s="4">
        <v>2025402644</v>
      </c>
      <c r="M96" s="28" t="s">
        <v>226</v>
      </c>
      <c r="N96" s="4">
        <v>2025</v>
      </c>
    </row>
    <row r="97" spans="1:14">
      <c r="A97" s="4">
        <v>96</v>
      </c>
      <c r="B97" s="4" t="s">
        <v>55</v>
      </c>
      <c r="C97" s="4" t="s">
        <v>56</v>
      </c>
      <c r="D97" s="4" t="s">
        <v>61</v>
      </c>
      <c r="E97" s="4" t="s">
        <v>71</v>
      </c>
      <c r="G97" s="4" t="s">
        <v>251</v>
      </c>
      <c r="H97" s="91" t="s">
        <v>256</v>
      </c>
      <c r="I97" s="40">
        <v>5712.6760563380285</v>
      </c>
      <c r="J97" s="38" t="s">
        <v>867</v>
      </c>
      <c r="K97" s="88">
        <v>45886</v>
      </c>
      <c r="L97" s="4">
        <v>2025402704</v>
      </c>
      <c r="M97" s="4" t="s">
        <v>226</v>
      </c>
      <c r="N97" s="4">
        <v>2025</v>
      </c>
    </row>
    <row r="98" spans="1:14">
      <c r="A98" s="4">
        <v>97</v>
      </c>
      <c r="B98" s="4" t="s">
        <v>53</v>
      </c>
      <c r="C98" s="4" t="s">
        <v>62</v>
      </c>
      <c r="D98" s="4" t="s">
        <v>61</v>
      </c>
      <c r="E98" s="4" t="s">
        <v>71</v>
      </c>
      <c r="G98" s="4" t="s">
        <v>251</v>
      </c>
      <c r="H98" s="91" t="s">
        <v>256</v>
      </c>
      <c r="I98" s="40">
        <v>5712.6760563380285</v>
      </c>
      <c r="J98" s="4" t="s">
        <v>1066</v>
      </c>
      <c r="K98" s="15">
        <v>45892</v>
      </c>
      <c r="L98" s="4">
        <v>2025402563</v>
      </c>
      <c r="M98" s="4" t="s">
        <v>226</v>
      </c>
      <c r="N98" s="4">
        <v>2025</v>
      </c>
    </row>
    <row r="99" spans="1:14">
      <c r="A99" s="4">
        <v>98</v>
      </c>
      <c r="B99" s="4" t="s">
        <v>53</v>
      </c>
      <c r="C99" s="4" t="s">
        <v>62</v>
      </c>
      <c r="D99" s="4" t="s">
        <v>61</v>
      </c>
      <c r="E99" s="4" t="s">
        <v>71</v>
      </c>
      <c r="G99" s="4" t="s">
        <v>251</v>
      </c>
      <c r="H99" s="91" t="s">
        <v>256</v>
      </c>
      <c r="I99" s="40">
        <v>5712.6760563380285</v>
      </c>
      <c r="J99" s="4" t="s">
        <v>1066</v>
      </c>
      <c r="K99" s="15">
        <v>45892</v>
      </c>
      <c r="L99" s="4">
        <v>2025402969</v>
      </c>
      <c r="M99" s="4" t="s">
        <v>226</v>
      </c>
      <c r="N99" s="4">
        <v>2025</v>
      </c>
    </row>
    <row r="100" spans="1:14">
      <c r="A100" s="4">
        <v>99</v>
      </c>
      <c r="B100" s="4" t="s">
        <v>17</v>
      </c>
      <c r="C100" s="4" t="s">
        <v>25</v>
      </c>
      <c r="D100" s="4" t="s">
        <v>61</v>
      </c>
      <c r="E100" s="28" t="s">
        <v>71</v>
      </c>
      <c r="G100" s="4" t="s">
        <v>251</v>
      </c>
      <c r="H100" s="91" t="s">
        <v>256</v>
      </c>
      <c r="I100" s="40">
        <v>5492.9577464788736</v>
      </c>
      <c r="J100" s="4" t="s">
        <v>553</v>
      </c>
      <c r="K100" s="15">
        <v>45850</v>
      </c>
      <c r="L100" s="4">
        <v>2025402276</v>
      </c>
      <c r="M100" s="28" t="s">
        <v>225</v>
      </c>
      <c r="N100" s="4">
        <v>2025</v>
      </c>
    </row>
    <row r="101" spans="1:14">
      <c r="A101" s="4">
        <v>100</v>
      </c>
      <c r="B101" s="4" t="s">
        <v>43</v>
      </c>
      <c r="C101" s="4" t="s">
        <v>50</v>
      </c>
      <c r="D101" s="4" t="s">
        <v>61</v>
      </c>
      <c r="E101" s="28" t="s">
        <v>71</v>
      </c>
      <c r="G101" s="4" t="s">
        <v>251</v>
      </c>
      <c r="H101" s="91" t="s">
        <v>256</v>
      </c>
      <c r="I101" s="40">
        <v>4119.7183098591549</v>
      </c>
      <c r="J101" s="4" t="s">
        <v>551</v>
      </c>
      <c r="K101" s="15">
        <v>45850</v>
      </c>
      <c r="L101" s="4">
        <v>2025402278</v>
      </c>
      <c r="M101" s="28" t="s">
        <v>225</v>
      </c>
      <c r="N101" s="4">
        <v>2025</v>
      </c>
    </row>
    <row r="102" spans="1:14">
      <c r="A102" s="4">
        <v>101</v>
      </c>
      <c r="B102" s="28" t="s">
        <v>43</v>
      </c>
      <c r="C102" s="28" t="s">
        <v>51</v>
      </c>
      <c r="D102" s="4" t="s">
        <v>61</v>
      </c>
      <c r="E102" s="28" t="s">
        <v>71</v>
      </c>
      <c r="G102" s="28" t="s">
        <v>251</v>
      </c>
      <c r="H102" s="91" t="s">
        <v>256</v>
      </c>
      <c r="I102" s="40">
        <v>4119.7183098591549</v>
      </c>
      <c r="J102" s="4" t="s">
        <v>552</v>
      </c>
      <c r="K102" s="15">
        <v>45850</v>
      </c>
      <c r="L102" s="4">
        <v>2025402279</v>
      </c>
      <c r="M102" s="28" t="s">
        <v>225</v>
      </c>
      <c r="N102" s="4">
        <v>2025</v>
      </c>
    </row>
    <row r="103" spans="1:14">
      <c r="A103" s="4">
        <v>102</v>
      </c>
      <c r="B103" s="4" t="s">
        <v>43</v>
      </c>
      <c r="C103" s="4" t="s">
        <v>51</v>
      </c>
      <c r="D103" s="4" t="s">
        <v>61</v>
      </c>
      <c r="E103" s="28" t="s">
        <v>71</v>
      </c>
      <c r="G103" s="4" t="s">
        <v>251</v>
      </c>
      <c r="H103" s="91" t="s">
        <v>256</v>
      </c>
      <c r="I103" s="40">
        <v>4119.7183098591549</v>
      </c>
      <c r="J103" s="4" t="s">
        <v>706</v>
      </c>
      <c r="K103" s="15">
        <v>45866</v>
      </c>
      <c r="L103" s="4">
        <v>2025402463</v>
      </c>
      <c r="M103" s="28" t="s">
        <v>225</v>
      </c>
      <c r="N103" s="4">
        <v>2025</v>
      </c>
    </row>
    <row r="104" spans="1:14">
      <c r="A104" s="4">
        <v>103</v>
      </c>
      <c r="B104" s="4" t="s">
        <v>43</v>
      </c>
      <c r="C104" s="4" t="s">
        <v>51</v>
      </c>
      <c r="D104" s="4" t="s">
        <v>61</v>
      </c>
      <c r="E104" s="4" t="s">
        <v>71</v>
      </c>
      <c r="G104" s="4" t="s">
        <v>251</v>
      </c>
      <c r="H104" s="91" t="s">
        <v>256</v>
      </c>
      <c r="I104" s="40">
        <v>4119.7183098591549</v>
      </c>
      <c r="J104" s="4" t="s">
        <v>1120</v>
      </c>
      <c r="K104" s="15">
        <v>45894</v>
      </c>
      <c r="L104" s="4">
        <v>2025403347</v>
      </c>
      <c r="M104" s="4" t="s">
        <v>226</v>
      </c>
      <c r="N104" s="4">
        <v>2025</v>
      </c>
    </row>
    <row r="105" spans="1:14">
      <c r="A105" s="4">
        <v>104</v>
      </c>
      <c r="B105" s="28" t="s">
        <v>273</v>
      </c>
      <c r="C105" s="28" t="s">
        <v>56</v>
      </c>
      <c r="D105" s="4" t="s">
        <v>61</v>
      </c>
      <c r="E105" s="4" t="s">
        <v>71</v>
      </c>
      <c r="G105" s="4" t="s">
        <v>302</v>
      </c>
      <c r="H105" s="4" t="s">
        <v>71</v>
      </c>
      <c r="I105" s="40">
        <v>228.87323943661971</v>
      </c>
      <c r="J105" s="4" t="s">
        <v>253</v>
      </c>
      <c r="K105" s="15">
        <v>45846</v>
      </c>
      <c r="L105" s="4">
        <v>2025402437</v>
      </c>
      <c r="M105" s="28" t="s">
        <v>225</v>
      </c>
      <c r="N105" s="4">
        <v>2025</v>
      </c>
    </row>
    <row r="106" spans="1:14">
      <c r="A106" s="4">
        <v>105</v>
      </c>
      <c r="B106" s="28" t="s">
        <v>273</v>
      </c>
      <c r="C106" s="28" t="s">
        <v>56</v>
      </c>
      <c r="D106" s="4" t="s">
        <v>61</v>
      </c>
      <c r="E106" s="4" t="s">
        <v>71</v>
      </c>
      <c r="G106" s="4" t="s">
        <v>302</v>
      </c>
      <c r="H106" s="4" t="s">
        <v>71</v>
      </c>
      <c r="I106" s="90">
        <v>1900</v>
      </c>
      <c r="J106" s="4" t="s">
        <v>253</v>
      </c>
      <c r="K106" s="15">
        <v>45846</v>
      </c>
      <c r="L106" s="4">
        <v>2025402287</v>
      </c>
      <c r="M106" s="28" t="s">
        <v>225</v>
      </c>
      <c r="N106" s="4">
        <v>2025</v>
      </c>
    </row>
    <row r="107" spans="1:14">
      <c r="A107" s="4">
        <v>106</v>
      </c>
      <c r="B107" s="4" t="s">
        <v>55</v>
      </c>
      <c r="C107" s="4" t="s">
        <v>56</v>
      </c>
      <c r="D107" s="4" t="s">
        <v>61</v>
      </c>
      <c r="E107" s="4" t="s">
        <v>71</v>
      </c>
      <c r="G107" s="4" t="s">
        <v>302</v>
      </c>
      <c r="H107" s="4" t="s">
        <v>71</v>
      </c>
      <c r="I107" s="90">
        <v>21000</v>
      </c>
      <c r="J107" s="4" t="s">
        <v>1096</v>
      </c>
      <c r="K107" s="15">
        <v>45865</v>
      </c>
      <c r="L107" s="4">
        <v>2025402562</v>
      </c>
      <c r="M107" s="4" t="s">
        <v>225</v>
      </c>
      <c r="N107" s="4">
        <v>2025</v>
      </c>
    </row>
    <row r="108" spans="1:14">
      <c r="A108" s="4">
        <v>107</v>
      </c>
      <c r="B108" s="4" t="s">
        <v>17</v>
      </c>
      <c r="C108" s="4" t="s">
        <v>22</v>
      </c>
      <c r="D108" s="4" t="s">
        <v>61</v>
      </c>
      <c r="E108" s="4" t="s">
        <v>71</v>
      </c>
      <c r="G108" s="4" t="s">
        <v>130</v>
      </c>
      <c r="H108" s="4" t="s">
        <v>71</v>
      </c>
      <c r="I108" s="40">
        <v>2057.8873239436621</v>
      </c>
      <c r="J108" s="4" t="s">
        <v>1153</v>
      </c>
      <c r="K108" s="15">
        <v>45871</v>
      </c>
      <c r="L108" s="4">
        <v>2025403929</v>
      </c>
      <c r="M108" s="4" t="s">
        <v>226</v>
      </c>
      <c r="N108" s="4">
        <v>2025</v>
      </c>
    </row>
    <row r="109" spans="1:14">
      <c r="A109" s="4">
        <v>108</v>
      </c>
      <c r="B109" s="4" t="s">
        <v>33</v>
      </c>
      <c r="C109" s="4" t="s">
        <v>34</v>
      </c>
      <c r="D109" s="4" t="s">
        <v>61</v>
      </c>
      <c r="E109" s="4" t="s">
        <v>71</v>
      </c>
      <c r="G109" s="4" t="s">
        <v>248</v>
      </c>
      <c r="H109" s="4" t="s">
        <v>257</v>
      </c>
      <c r="I109" s="40">
        <v>7478.8732394366198</v>
      </c>
      <c r="J109" s="4" t="s">
        <v>1118</v>
      </c>
      <c r="K109" s="15">
        <v>45896</v>
      </c>
      <c r="L109" s="4">
        <v>2025403034</v>
      </c>
      <c r="M109" s="4" t="s">
        <v>226</v>
      </c>
      <c r="N109" s="4">
        <v>2025</v>
      </c>
    </row>
    <row r="110" spans="1:14">
      <c r="A110" s="4">
        <v>109</v>
      </c>
      <c r="B110" s="4" t="s">
        <v>29</v>
      </c>
      <c r="C110" s="4" t="s">
        <v>237</v>
      </c>
      <c r="D110" s="4" t="s">
        <v>61</v>
      </c>
      <c r="E110" s="28" t="s">
        <v>71</v>
      </c>
      <c r="G110" s="4" t="s">
        <v>248</v>
      </c>
      <c r="H110" s="4" t="s">
        <v>257</v>
      </c>
      <c r="I110" s="40">
        <v>6267.6056338028166</v>
      </c>
      <c r="J110" s="4" t="s">
        <v>708</v>
      </c>
      <c r="K110" s="15">
        <v>45866</v>
      </c>
      <c r="L110" s="4">
        <v>2025402480</v>
      </c>
      <c r="M110" s="28" t="s">
        <v>225</v>
      </c>
      <c r="N110" s="4">
        <v>2025</v>
      </c>
    </row>
    <row r="111" spans="1:14">
      <c r="A111" s="4">
        <v>110</v>
      </c>
      <c r="B111" s="4" t="s">
        <v>17</v>
      </c>
      <c r="C111" s="4" t="s">
        <v>25</v>
      </c>
      <c r="D111" s="4" t="s">
        <v>61</v>
      </c>
      <c r="E111" s="4" t="s">
        <v>71</v>
      </c>
      <c r="G111" s="4" t="s">
        <v>248</v>
      </c>
      <c r="H111" s="4" t="s">
        <v>257</v>
      </c>
      <c r="I111" s="40">
        <v>4753.5211267605637</v>
      </c>
      <c r="J111" s="4" t="s">
        <v>1010</v>
      </c>
      <c r="K111" s="15">
        <v>45889</v>
      </c>
      <c r="L111" s="4">
        <v>2025402779</v>
      </c>
      <c r="M111" s="4" t="s">
        <v>226</v>
      </c>
      <c r="N111" s="4">
        <v>2025</v>
      </c>
    </row>
    <row r="112" spans="1:14">
      <c r="A112" s="4">
        <v>111</v>
      </c>
      <c r="B112" s="4" t="s">
        <v>43</v>
      </c>
      <c r="C112" s="4" t="s">
        <v>51</v>
      </c>
      <c r="D112" s="4" t="s">
        <v>61</v>
      </c>
      <c r="E112" s="4" t="s">
        <v>71</v>
      </c>
      <c r="G112" s="4" t="s">
        <v>248</v>
      </c>
      <c r="H112" s="4" t="s">
        <v>257</v>
      </c>
      <c r="I112" s="40">
        <v>3169.0140845070423</v>
      </c>
      <c r="J112" s="4" t="s">
        <v>726</v>
      </c>
      <c r="K112" s="15">
        <v>45850</v>
      </c>
      <c r="L112" s="4">
        <v>2025402412</v>
      </c>
      <c r="M112" s="28" t="s">
        <v>225</v>
      </c>
      <c r="N112" s="4">
        <v>2025</v>
      </c>
    </row>
    <row r="113" spans="1:14">
      <c r="A113" s="4">
        <v>112</v>
      </c>
      <c r="B113" s="4" t="s">
        <v>43</v>
      </c>
      <c r="C113" s="4" t="s">
        <v>51</v>
      </c>
      <c r="D113" s="4" t="s">
        <v>61</v>
      </c>
      <c r="E113" s="4" t="s">
        <v>71</v>
      </c>
      <c r="G113" s="4" t="s">
        <v>248</v>
      </c>
      <c r="H113" s="4" t="s">
        <v>257</v>
      </c>
      <c r="I113" s="40">
        <v>3169.0140845070423</v>
      </c>
      <c r="J113" s="4" t="s">
        <v>1003</v>
      </c>
      <c r="K113" s="15">
        <v>45886</v>
      </c>
      <c r="L113" s="4">
        <v>2025402773</v>
      </c>
      <c r="M113" s="4" t="s">
        <v>226</v>
      </c>
      <c r="N113" s="4">
        <v>2025</v>
      </c>
    </row>
    <row r="114" spans="1:14">
      <c r="A114" s="4">
        <v>113</v>
      </c>
      <c r="B114" s="4" t="s">
        <v>29</v>
      </c>
      <c r="C114" s="4" t="s">
        <v>237</v>
      </c>
      <c r="D114" s="4" t="s">
        <v>61</v>
      </c>
      <c r="E114" s="28" t="s">
        <v>71</v>
      </c>
      <c r="G114" s="4" t="s">
        <v>248</v>
      </c>
      <c r="H114" s="4" t="s">
        <v>257</v>
      </c>
      <c r="I114" s="40">
        <v>2435.211267605634</v>
      </c>
      <c r="J114" s="4" t="s">
        <v>587</v>
      </c>
      <c r="K114" s="15">
        <v>45845</v>
      </c>
      <c r="L114" s="4">
        <v>2025402329</v>
      </c>
      <c r="M114" s="28" t="s">
        <v>225</v>
      </c>
      <c r="N114" s="4">
        <v>2025</v>
      </c>
    </row>
    <row r="115" spans="1:14">
      <c r="A115" s="4">
        <v>114</v>
      </c>
      <c r="B115" s="4" t="s">
        <v>55</v>
      </c>
      <c r="C115" s="4" t="s">
        <v>98</v>
      </c>
      <c r="D115" s="4" t="s">
        <v>61</v>
      </c>
      <c r="E115" s="4" t="s">
        <v>71</v>
      </c>
      <c r="G115" s="4" t="s">
        <v>248</v>
      </c>
      <c r="H115" s="4" t="s">
        <v>257</v>
      </c>
      <c r="I115" s="40">
        <v>1433.0985915492959</v>
      </c>
      <c r="J115" s="4" t="s">
        <v>584</v>
      </c>
      <c r="K115" s="15">
        <v>45848</v>
      </c>
      <c r="L115" s="4">
        <v>2025402330</v>
      </c>
      <c r="M115" s="28" t="s">
        <v>225</v>
      </c>
      <c r="N115" s="4">
        <v>2025</v>
      </c>
    </row>
    <row r="116" spans="1:14">
      <c r="A116" s="4">
        <v>115</v>
      </c>
      <c r="B116" s="4" t="s">
        <v>273</v>
      </c>
      <c r="C116" s="4" t="s">
        <v>98</v>
      </c>
      <c r="D116" s="4" t="s">
        <v>61</v>
      </c>
      <c r="E116" s="4" t="s">
        <v>71</v>
      </c>
      <c r="G116" s="4" t="s">
        <v>248</v>
      </c>
      <c r="H116" s="4" t="s">
        <v>257</v>
      </c>
      <c r="I116" s="40">
        <v>1328.8732394366198</v>
      </c>
      <c r="J116" s="4" t="s">
        <v>585</v>
      </c>
      <c r="K116" s="15">
        <v>45848</v>
      </c>
      <c r="L116" s="4">
        <v>2025402331</v>
      </c>
      <c r="M116" s="28" t="s">
        <v>225</v>
      </c>
      <c r="N116" s="4">
        <v>2025</v>
      </c>
    </row>
    <row r="117" spans="1:14">
      <c r="A117" s="4">
        <v>116</v>
      </c>
      <c r="B117" s="4" t="s">
        <v>55</v>
      </c>
      <c r="C117" s="4" t="s">
        <v>56</v>
      </c>
      <c r="D117" s="4" t="s">
        <v>61</v>
      </c>
      <c r="E117" s="4" t="s">
        <v>71</v>
      </c>
      <c r="G117" s="4" t="s">
        <v>275</v>
      </c>
      <c r="H117" s="4" t="s">
        <v>258</v>
      </c>
      <c r="I117" s="40">
        <v>7535.211267605634</v>
      </c>
      <c r="J117" s="4" t="s">
        <v>1034</v>
      </c>
      <c r="K117" s="15">
        <v>45889</v>
      </c>
      <c r="L117" s="4">
        <v>2025402565</v>
      </c>
      <c r="M117" s="4" t="s">
        <v>226</v>
      </c>
      <c r="N117" s="4">
        <v>2025</v>
      </c>
    </row>
    <row r="118" spans="1:14">
      <c r="A118" s="4">
        <v>117</v>
      </c>
      <c r="B118" s="28" t="s">
        <v>55</v>
      </c>
      <c r="C118" s="28" t="s">
        <v>56</v>
      </c>
      <c r="D118" s="4" t="s">
        <v>61</v>
      </c>
      <c r="E118" s="28" t="s">
        <v>71</v>
      </c>
      <c r="G118" s="28" t="s">
        <v>275</v>
      </c>
      <c r="H118" s="4" t="s">
        <v>258</v>
      </c>
      <c r="I118" s="40">
        <v>6901.4084507042253</v>
      </c>
      <c r="J118" s="4" t="s">
        <v>609</v>
      </c>
      <c r="K118" s="15">
        <v>45851</v>
      </c>
      <c r="L118" s="4">
        <v>2025402232</v>
      </c>
      <c r="M118" s="28" t="s">
        <v>225</v>
      </c>
      <c r="N118" s="4">
        <v>2025</v>
      </c>
    </row>
    <row r="119" spans="1:14">
      <c r="A119" s="4">
        <v>118</v>
      </c>
      <c r="B119" s="4" t="s">
        <v>29</v>
      </c>
      <c r="C119" s="4" t="s">
        <v>237</v>
      </c>
      <c r="D119" s="4" t="s">
        <v>61</v>
      </c>
      <c r="E119" s="28" t="s">
        <v>71</v>
      </c>
      <c r="G119" s="4" t="s">
        <v>275</v>
      </c>
      <c r="H119" s="4" t="s">
        <v>258</v>
      </c>
      <c r="I119" s="40">
        <v>2957.7464788732395</v>
      </c>
      <c r="J119" s="4" t="s">
        <v>693</v>
      </c>
      <c r="K119" s="15">
        <v>45869</v>
      </c>
      <c r="L119" s="4">
        <v>2025402469</v>
      </c>
      <c r="M119" s="28" t="s">
        <v>225</v>
      </c>
      <c r="N119" s="4">
        <v>2025</v>
      </c>
    </row>
    <row r="120" spans="1:14">
      <c r="A120" s="4">
        <v>119</v>
      </c>
      <c r="B120" s="4" t="s">
        <v>29</v>
      </c>
      <c r="C120" s="4" t="s">
        <v>237</v>
      </c>
      <c r="D120" s="4" t="s">
        <v>61</v>
      </c>
      <c r="E120" s="4" t="s">
        <v>71</v>
      </c>
      <c r="G120" s="4" t="s">
        <v>275</v>
      </c>
      <c r="H120" s="4" t="s">
        <v>258</v>
      </c>
      <c r="I120" s="90">
        <v>2400</v>
      </c>
      <c r="J120" s="4" t="s">
        <v>642</v>
      </c>
      <c r="K120" s="15">
        <v>45857</v>
      </c>
      <c r="L120" s="4">
        <v>2025402416</v>
      </c>
      <c r="M120" s="28" t="s">
        <v>225</v>
      </c>
      <c r="N120" s="4">
        <v>2025</v>
      </c>
    </row>
    <row r="121" spans="1:14">
      <c r="A121" s="4">
        <v>120</v>
      </c>
      <c r="B121" s="4" t="s">
        <v>29</v>
      </c>
      <c r="C121" s="4" t="s">
        <v>237</v>
      </c>
      <c r="D121" s="4" t="s">
        <v>61</v>
      </c>
      <c r="E121" s="28" t="s">
        <v>71</v>
      </c>
      <c r="G121" s="4" t="s">
        <v>275</v>
      </c>
      <c r="H121" s="4" t="s">
        <v>258</v>
      </c>
      <c r="I121" s="90">
        <v>3200</v>
      </c>
      <c r="J121" s="4" t="s">
        <v>694</v>
      </c>
      <c r="K121" s="15">
        <v>45869</v>
      </c>
      <c r="L121" s="4">
        <v>2025402471</v>
      </c>
      <c r="M121" s="28" t="s">
        <v>225</v>
      </c>
      <c r="N121" s="4">
        <v>2025</v>
      </c>
    </row>
    <row r="122" spans="1:14">
      <c r="A122" s="4">
        <v>121</v>
      </c>
      <c r="B122" s="4" t="s">
        <v>29</v>
      </c>
      <c r="C122" s="4" t="s">
        <v>237</v>
      </c>
      <c r="D122" s="4" t="s">
        <v>61</v>
      </c>
      <c r="E122" s="4" t="s">
        <v>71</v>
      </c>
      <c r="G122" s="4" t="s">
        <v>275</v>
      </c>
      <c r="H122" s="4" t="s">
        <v>258</v>
      </c>
      <c r="I122" s="90">
        <v>5000</v>
      </c>
      <c r="J122" s="38" t="s">
        <v>898</v>
      </c>
      <c r="K122" s="88">
        <v>45892</v>
      </c>
      <c r="L122" s="4">
        <v>2025402915</v>
      </c>
      <c r="M122" s="4" t="s">
        <v>226</v>
      </c>
      <c r="N122" s="4">
        <v>2025</v>
      </c>
    </row>
    <row r="123" spans="1:14">
      <c r="A123" s="4">
        <v>122</v>
      </c>
      <c r="B123" s="4" t="s">
        <v>273</v>
      </c>
      <c r="C123" s="4" t="s">
        <v>56</v>
      </c>
      <c r="D123" s="4" t="s">
        <v>61</v>
      </c>
      <c r="E123" s="28" t="s">
        <v>71</v>
      </c>
      <c r="G123" s="4" t="s">
        <v>276</v>
      </c>
      <c r="H123" s="4" t="s">
        <v>285</v>
      </c>
      <c r="I123" s="90">
        <v>3625</v>
      </c>
      <c r="J123" s="4" t="s">
        <v>646</v>
      </c>
      <c r="K123" s="15">
        <v>45852</v>
      </c>
      <c r="L123" s="4">
        <v>2025402323</v>
      </c>
      <c r="M123" s="28" t="s">
        <v>225</v>
      </c>
      <c r="N123" s="4">
        <v>2025</v>
      </c>
    </row>
    <row r="124" spans="1:14">
      <c r="A124" s="4">
        <v>123</v>
      </c>
      <c r="B124" s="4" t="s">
        <v>55</v>
      </c>
      <c r="C124" s="4" t="s">
        <v>56</v>
      </c>
      <c r="D124" s="4" t="s">
        <v>61</v>
      </c>
      <c r="E124" s="28" t="s">
        <v>71</v>
      </c>
      <c r="G124" s="4" t="s">
        <v>276</v>
      </c>
      <c r="H124" s="4" t="s">
        <v>285</v>
      </c>
      <c r="I124" s="90">
        <v>7250</v>
      </c>
      <c r="J124" s="4" t="s">
        <v>728</v>
      </c>
      <c r="K124" s="15">
        <v>45862</v>
      </c>
      <c r="L124" s="4">
        <v>2025402443</v>
      </c>
      <c r="M124" s="28" t="s">
        <v>225</v>
      </c>
      <c r="N124" s="4">
        <v>2025</v>
      </c>
    </row>
    <row r="125" spans="1:14">
      <c r="A125" s="4">
        <v>124</v>
      </c>
      <c r="B125" s="4" t="s">
        <v>43</v>
      </c>
      <c r="C125" s="4" t="s">
        <v>51</v>
      </c>
      <c r="D125" s="4" t="s">
        <v>61</v>
      </c>
      <c r="E125" s="4" t="s">
        <v>71</v>
      </c>
      <c r="G125" s="4" t="s">
        <v>247</v>
      </c>
      <c r="H125" s="28" t="s">
        <v>71</v>
      </c>
      <c r="I125" s="40">
        <v>4611.4084507042253</v>
      </c>
      <c r="J125" s="4" t="s">
        <v>597</v>
      </c>
      <c r="K125" s="15">
        <v>45875</v>
      </c>
      <c r="L125" s="4">
        <v>2025403075</v>
      </c>
      <c r="M125" s="4" t="s">
        <v>226</v>
      </c>
      <c r="N125" s="4">
        <v>2025</v>
      </c>
    </row>
    <row r="126" spans="1:14">
      <c r="A126" s="4">
        <v>125</v>
      </c>
      <c r="B126" s="4" t="s">
        <v>35</v>
      </c>
      <c r="C126" s="4" t="s">
        <v>41</v>
      </c>
      <c r="D126" s="4" t="s">
        <v>61</v>
      </c>
      <c r="E126" s="28" t="s">
        <v>71</v>
      </c>
      <c r="G126" s="4" t="s">
        <v>247</v>
      </c>
      <c r="H126" s="28" t="s">
        <v>71</v>
      </c>
      <c r="I126" s="40">
        <v>3653.1690140845071</v>
      </c>
      <c r="J126" s="4" t="s">
        <v>673</v>
      </c>
      <c r="K126" s="15">
        <v>45862</v>
      </c>
      <c r="L126" s="4">
        <v>2025402220</v>
      </c>
      <c r="M126" s="28" t="s">
        <v>225</v>
      </c>
      <c r="N126" s="4">
        <v>2025</v>
      </c>
    </row>
    <row r="127" spans="1:14">
      <c r="A127" s="4">
        <v>126</v>
      </c>
      <c r="B127" s="4" t="s">
        <v>55</v>
      </c>
      <c r="C127" s="4" t="s">
        <v>98</v>
      </c>
      <c r="D127" s="4" t="s">
        <v>61</v>
      </c>
      <c r="E127" s="4" t="s">
        <v>71</v>
      </c>
      <c r="G127" s="4" t="s">
        <v>247</v>
      </c>
      <c r="H127" s="28" t="s">
        <v>71</v>
      </c>
      <c r="I127" s="40">
        <v>2274.6478873239435</v>
      </c>
      <c r="J127" s="4" t="s">
        <v>1147</v>
      </c>
      <c r="K127" s="15">
        <v>45862</v>
      </c>
      <c r="L127" s="4">
        <v>2025403745</v>
      </c>
      <c r="M127" s="4" t="s">
        <v>225</v>
      </c>
      <c r="N127" s="4">
        <v>2025</v>
      </c>
    </row>
    <row r="128" spans="1:14">
      <c r="A128" s="4">
        <v>127</v>
      </c>
      <c r="B128" s="4" t="s">
        <v>53</v>
      </c>
      <c r="C128" s="4" t="s">
        <v>62</v>
      </c>
      <c r="D128" s="4" t="s">
        <v>61</v>
      </c>
      <c r="E128" s="28" t="s">
        <v>71</v>
      </c>
      <c r="G128" s="4" t="s">
        <v>247</v>
      </c>
      <c r="H128" s="28" t="s">
        <v>71</v>
      </c>
      <c r="I128" s="40">
        <v>1901.4084507042253</v>
      </c>
      <c r="J128" s="4" t="s">
        <v>845</v>
      </c>
      <c r="K128" s="15">
        <v>45866</v>
      </c>
      <c r="L128" s="4">
        <v>2025402559</v>
      </c>
      <c r="M128" s="28" t="s">
        <v>225</v>
      </c>
      <c r="N128" s="4">
        <v>2025</v>
      </c>
    </row>
    <row r="129" spans="1:14">
      <c r="A129" s="4">
        <v>128</v>
      </c>
      <c r="B129" s="4" t="s">
        <v>43</v>
      </c>
      <c r="C129" s="4" t="s">
        <v>47</v>
      </c>
      <c r="D129" s="4" t="s">
        <v>61</v>
      </c>
      <c r="E129" s="4" t="s">
        <v>71</v>
      </c>
      <c r="G129" s="4" t="s">
        <v>247</v>
      </c>
      <c r="H129" s="28" t="s">
        <v>71</v>
      </c>
      <c r="I129" s="40">
        <v>1172.5352112676057</v>
      </c>
      <c r="J129" s="4" t="s">
        <v>991</v>
      </c>
      <c r="K129" s="15">
        <v>45873</v>
      </c>
      <c r="L129" s="4">
        <v>2025402824</v>
      </c>
      <c r="M129" s="4" t="s">
        <v>226</v>
      </c>
      <c r="N129" s="4">
        <v>2025</v>
      </c>
    </row>
    <row r="130" spans="1:14">
      <c r="A130" s="4">
        <v>129</v>
      </c>
      <c r="B130" s="4" t="s">
        <v>43</v>
      </c>
      <c r="C130" s="4" t="s">
        <v>51</v>
      </c>
      <c r="D130" s="4" t="s">
        <v>61</v>
      </c>
      <c r="E130" s="4" t="s">
        <v>71</v>
      </c>
      <c r="G130" s="4" t="s">
        <v>247</v>
      </c>
      <c r="H130" s="28" t="s">
        <v>71</v>
      </c>
      <c r="I130" s="40">
        <v>880.28169014084506</v>
      </c>
      <c r="J130" s="4" t="s">
        <v>1093</v>
      </c>
      <c r="K130" s="15">
        <v>45895</v>
      </c>
      <c r="L130" s="4">
        <v>2025402908</v>
      </c>
      <c r="M130" s="4" t="s">
        <v>226</v>
      </c>
      <c r="N130" s="4">
        <v>2025</v>
      </c>
    </row>
    <row r="131" spans="1:14">
      <c r="A131" s="4">
        <v>130</v>
      </c>
      <c r="B131" s="4" t="s">
        <v>17</v>
      </c>
      <c r="C131" s="4" t="s">
        <v>25</v>
      </c>
      <c r="D131" s="4" t="s">
        <v>61</v>
      </c>
      <c r="E131" s="4" t="s">
        <v>71</v>
      </c>
      <c r="G131" s="4" t="s">
        <v>247</v>
      </c>
      <c r="H131" s="28" t="s">
        <v>71</v>
      </c>
      <c r="I131" s="40">
        <v>560.56338028169012</v>
      </c>
      <c r="J131" s="4" t="s">
        <v>1067</v>
      </c>
      <c r="K131" s="15">
        <v>45876</v>
      </c>
      <c r="L131" s="4">
        <v>2025402858</v>
      </c>
      <c r="M131" s="4" t="s">
        <v>226</v>
      </c>
      <c r="N131" s="4">
        <v>2025</v>
      </c>
    </row>
    <row r="132" spans="1:14">
      <c r="A132" s="4">
        <v>131</v>
      </c>
      <c r="B132" s="4" t="s">
        <v>43</v>
      </c>
      <c r="C132" s="4" t="s">
        <v>51</v>
      </c>
      <c r="D132" s="4" t="s">
        <v>61</v>
      </c>
      <c r="E132" s="28" t="s">
        <v>71</v>
      </c>
      <c r="G132" s="4" t="s">
        <v>247</v>
      </c>
      <c r="H132" s="28" t="s">
        <v>71</v>
      </c>
      <c r="I132" s="40">
        <v>221.83098591549296</v>
      </c>
      <c r="J132" s="4" t="s">
        <v>589</v>
      </c>
      <c r="K132" s="15">
        <v>45850</v>
      </c>
      <c r="L132" s="4">
        <v>2025402297</v>
      </c>
      <c r="M132" s="28" t="s">
        <v>225</v>
      </c>
      <c r="N132" s="4">
        <v>2025</v>
      </c>
    </row>
    <row r="133" spans="1:14">
      <c r="A133" s="4">
        <v>132</v>
      </c>
      <c r="B133" s="4" t="s">
        <v>29</v>
      </c>
      <c r="C133" s="4" t="s">
        <v>237</v>
      </c>
      <c r="D133" s="4" t="s">
        <v>61</v>
      </c>
      <c r="E133" s="28" t="s">
        <v>71</v>
      </c>
      <c r="G133" s="4" t="s">
        <v>277</v>
      </c>
      <c r="H133" s="28" t="s">
        <v>71</v>
      </c>
      <c r="I133" s="40">
        <v>14788.732394366198</v>
      </c>
      <c r="J133" s="4" t="s">
        <v>645</v>
      </c>
      <c r="K133" s="15">
        <v>45850</v>
      </c>
      <c r="L133" s="4">
        <v>2025402421</v>
      </c>
      <c r="M133" s="28" t="s">
        <v>225</v>
      </c>
      <c r="N133" s="4">
        <v>2025</v>
      </c>
    </row>
    <row r="134" spans="1:14">
      <c r="A134" s="4">
        <v>133</v>
      </c>
      <c r="B134" s="4" t="s">
        <v>55</v>
      </c>
      <c r="C134" s="4" t="s">
        <v>56</v>
      </c>
      <c r="D134" s="4" t="s">
        <v>61</v>
      </c>
      <c r="E134" s="4" t="s">
        <v>71</v>
      </c>
      <c r="G134" s="4" t="s">
        <v>277</v>
      </c>
      <c r="H134" s="28" t="s">
        <v>71</v>
      </c>
      <c r="I134" s="40">
        <v>13855.633802816901</v>
      </c>
      <c r="J134" s="4" t="s">
        <v>1002</v>
      </c>
      <c r="K134" s="15">
        <v>45869</v>
      </c>
      <c r="L134" s="4">
        <v>2025402570</v>
      </c>
      <c r="M134" s="4" t="s">
        <v>226</v>
      </c>
      <c r="N134" s="4">
        <v>2025</v>
      </c>
    </row>
    <row r="135" spans="1:14">
      <c r="A135" s="4">
        <v>134</v>
      </c>
      <c r="B135" s="4" t="s">
        <v>35</v>
      </c>
      <c r="C135" s="4" t="s">
        <v>37</v>
      </c>
      <c r="D135" s="4" t="s">
        <v>61</v>
      </c>
      <c r="E135" s="28" t="s">
        <v>71</v>
      </c>
      <c r="G135" s="4" t="s">
        <v>277</v>
      </c>
      <c r="H135" s="28" t="s">
        <v>71</v>
      </c>
      <c r="I135" s="40">
        <v>12323.943661971831</v>
      </c>
      <c r="J135" s="4" t="s">
        <v>719</v>
      </c>
      <c r="K135" s="15">
        <v>45850</v>
      </c>
      <c r="L135" s="4">
        <v>2025402418</v>
      </c>
      <c r="M135" s="28" t="s">
        <v>225</v>
      </c>
      <c r="N135" s="4">
        <v>2025</v>
      </c>
    </row>
    <row r="136" spans="1:14">
      <c r="A136" s="4">
        <v>135</v>
      </c>
      <c r="B136" s="4" t="s">
        <v>55</v>
      </c>
      <c r="C136" s="4" t="s">
        <v>56</v>
      </c>
      <c r="D136" s="4" t="s">
        <v>61</v>
      </c>
      <c r="E136" s="4" t="s">
        <v>71</v>
      </c>
      <c r="G136" s="4" t="s">
        <v>277</v>
      </c>
      <c r="H136" s="28" t="s">
        <v>71</v>
      </c>
      <c r="I136" s="40">
        <v>10845.070422535211</v>
      </c>
      <c r="J136" s="4" t="s">
        <v>1006</v>
      </c>
      <c r="K136" s="15">
        <v>45867</v>
      </c>
      <c r="L136" s="4">
        <v>2025402569</v>
      </c>
      <c r="M136" s="4" t="s">
        <v>226</v>
      </c>
      <c r="N136" s="4">
        <v>2025</v>
      </c>
    </row>
    <row r="137" spans="1:14">
      <c r="A137" s="4">
        <v>136</v>
      </c>
      <c r="B137" s="4" t="s">
        <v>29</v>
      </c>
      <c r="C137" s="4" t="s">
        <v>237</v>
      </c>
      <c r="D137" s="4" t="s">
        <v>61</v>
      </c>
      <c r="E137" s="4" t="s">
        <v>71</v>
      </c>
      <c r="G137" s="4" t="s">
        <v>277</v>
      </c>
      <c r="H137" s="28" t="s">
        <v>71</v>
      </c>
      <c r="I137" s="40">
        <v>4929.577464788732</v>
      </c>
      <c r="J137" s="4" t="s">
        <v>644</v>
      </c>
      <c r="K137" s="15">
        <v>45850</v>
      </c>
      <c r="L137" s="4">
        <v>2025402420</v>
      </c>
      <c r="M137" s="28" t="s">
        <v>225</v>
      </c>
      <c r="N137" s="4">
        <v>2025</v>
      </c>
    </row>
    <row r="138" spans="1:14">
      <c r="A138" s="4">
        <v>137</v>
      </c>
      <c r="B138" s="4" t="s">
        <v>43</v>
      </c>
      <c r="C138" s="4" t="s">
        <v>48</v>
      </c>
      <c r="D138" s="4" t="s">
        <v>61</v>
      </c>
      <c r="E138" s="4" t="s">
        <v>71</v>
      </c>
      <c r="G138" s="4" t="s">
        <v>277</v>
      </c>
      <c r="H138" s="28" t="s">
        <v>71</v>
      </c>
      <c r="I138" s="40">
        <v>4746.4788732394363</v>
      </c>
      <c r="J138" s="4" t="s">
        <v>1068</v>
      </c>
      <c r="K138" s="15">
        <v>45894</v>
      </c>
      <c r="L138" s="4">
        <v>2025402916</v>
      </c>
      <c r="M138" s="4" t="s">
        <v>226</v>
      </c>
      <c r="N138" s="4">
        <v>2025</v>
      </c>
    </row>
    <row r="139" spans="1:14">
      <c r="A139" s="4">
        <v>138</v>
      </c>
      <c r="B139" s="4" t="s">
        <v>17</v>
      </c>
      <c r="C139" s="4" t="s">
        <v>25</v>
      </c>
      <c r="D139" s="4" t="s">
        <v>61</v>
      </c>
      <c r="E139" s="4" t="s">
        <v>71</v>
      </c>
      <c r="G139" s="4" t="s">
        <v>491</v>
      </c>
      <c r="H139" s="28" t="s">
        <v>71</v>
      </c>
      <c r="I139" s="40">
        <v>1133.8028169014085</v>
      </c>
      <c r="J139" s="4" t="s">
        <v>1086</v>
      </c>
      <c r="K139" s="15">
        <v>45876</v>
      </c>
      <c r="L139" s="4">
        <v>2025402790</v>
      </c>
      <c r="M139" s="4" t="s">
        <v>226</v>
      </c>
      <c r="N139" s="4">
        <v>2025</v>
      </c>
    </row>
    <row r="140" spans="1:14">
      <c r="A140" s="4">
        <v>139</v>
      </c>
      <c r="B140" s="4" t="s">
        <v>55</v>
      </c>
      <c r="C140" s="4" t="s">
        <v>56</v>
      </c>
      <c r="D140" s="4" t="s">
        <v>61</v>
      </c>
      <c r="E140" s="4" t="s">
        <v>71</v>
      </c>
      <c r="G140" s="4" t="s">
        <v>495</v>
      </c>
      <c r="H140" s="28" t="s">
        <v>71</v>
      </c>
      <c r="I140" s="40">
        <v>3380.2816901408451</v>
      </c>
      <c r="J140" s="4" t="s">
        <v>1106</v>
      </c>
      <c r="K140" s="15">
        <v>45894</v>
      </c>
      <c r="L140" s="4">
        <v>2025403141</v>
      </c>
      <c r="M140" s="4" t="s">
        <v>226</v>
      </c>
      <c r="N140" s="4">
        <v>2025</v>
      </c>
    </row>
    <row r="141" spans="1:14">
      <c r="A141" s="4">
        <v>140</v>
      </c>
      <c r="B141" s="4" t="s">
        <v>55</v>
      </c>
      <c r="C141" s="4" t="s">
        <v>98</v>
      </c>
      <c r="D141" s="4" t="s">
        <v>61</v>
      </c>
      <c r="E141" s="28" t="s">
        <v>71</v>
      </c>
      <c r="G141" s="29" t="s">
        <v>131</v>
      </c>
      <c r="H141" s="28" t="s">
        <v>71</v>
      </c>
      <c r="I141" s="90">
        <v>2608.8000000000002</v>
      </c>
      <c r="J141" s="29" t="s">
        <v>502</v>
      </c>
      <c r="K141" s="39">
        <v>45839</v>
      </c>
      <c r="L141" s="29">
        <v>2025401999</v>
      </c>
      <c r="M141" s="28" t="s">
        <v>225</v>
      </c>
      <c r="N141" s="4">
        <v>2025</v>
      </c>
    </row>
    <row r="142" spans="1:14">
      <c r="A142" s="4">
        <v>141</v>
      </c>
      <c r="B142" s="4" t="s">
        <v>43</v>
      </c>
      <c r="C142" s="4" t="s">
        <v>51</v>
      </c>
      <c r="D142" s="4" t="s">
        <v>61</v>
      </c>
      <c r="E142" s="4" t="s">
        <v>71</v>
      </c>
      <c r="G142" s="4" t="s">
        <v>131</v>
      </c>
      <c r="H142" s="28" t="s">
        <v>71</v>
      </c>
      <c r="I142" s="90">
        <v>950</v>
      </c>
      <c r="J142" s="4" t="s">
        <v>503</v>
      </c>
      <c r="K142" s="15">
        <v>45840</v>
      </c>
      <c r="L142" s="4">
        <v>2025401807</v>
      </c>
      <c r="M142" s="28" t="s">
        <v>225</v>
      </c>
      <c r="N142" s="4">
        <v>2025</v>
      </c>
    </row>
    <row r="143" spans="1:14">
      <c r="A143" s="4">
        <v>142</v>
      </c>
      <c r="B143" s="4" t="s">
        <v>17</v>
      </c>
      <c r="C143" s="4" t="s">
        <v>23</v>
      </c>
      <c r="D143" s="4" t="s">
        <v>61</v>
      </c>
      <c r="E143" s="4" t="s">
        <v>71</v>
      </c>
      <c r="G143" s="4" t="s">
        <v>131</v>
      </c>
      <c r="H143" s="28" t="s">
        <v>71</v>
      </c>
      <c r="I143" s="90">
        <v>40</v>
      </c>
      <c r="J143" s="4" t="s">
        <v>504</v>
      </c>
      <c r="K143" s="15">
        <v>45839</v>
      </c>
      <c r="L143" s="4">
        <v>2024403769</v>
      </c>
      <c r="M143" s="28" t="s">
        <v>225</v>
      </c>
      <c r="N143" s="4">
        <v>2025</v>
      </c>
    </row>
    <row r="144" spans="1:14">
      <c r="A144" s="4">
        <v>143</v>
      </c>
      <c r="B144" s="4" t="s">
        <v>17</v>
      </c>
      <c r="C144" s="4" t="s">
        <v>23</v>
      </c>
      <c r="D144" s="4" t="s">
        <v>61</v>
      </c>
      <c r="E144" s="28" t="s">
        <v>71</v>
      </c>
      <c r="G144" s="4" t="s">
        <v>131</v>
      </c>
      <c r="H144" s="28" t="s">
        <v>71</v>
      </c>
      <c r="I144" s="90">
        <v>273</v>
      </c>
      <c r="J144" s="4" t="s">
        <v>505</v>
      </c>
      <c r="K144" s="15">
        <v>45840</v>
      </c>
      <c r="L144" s="4">
        <v>2024403768</v>
      </c>
      <c r="M144" s="28" t="s">
        <v>225</v>
      </c>
      <c r="N144" s="4">
        <v>2025</v>
      </c>
    </row>
    <row r="145" spans="1:14">
      <c r="A145" s="4">
        <v>144</v>
      </c>
      <c r="B145" s="4" t="s">
        <v>55</v>
      </c>
      <c r="C145" s="4" t="s">
        <v>56</v>
      </c>
      <c r="D145" s="4" t="s">
        <v>61</v>
      </c>
      <c r="E145" s="28" t="s">
        <v>71</v>
      </c>
      <c r="G145" s="4" t="s">
        <v>131</v>
      </c>
      <c r="H145" s="28" t="s">
        <v>71</v>
      </c>
      <c r="I145" s="90">
        <v>170.4</v>
      </c>
      <c r="J145" s="4" t="s">
        <v>506</v>
      </c>
      <c r="K145" s="15">
        <v>45840</v>
      </c>
      <c r="L145" s="4">
        <v>2025402062</v>
      </c>
      <c r="M145" s="28" t="s">
        <v>225</v>
      </c>
      <c r="N145" s="4">
        <v>2025</v>
      </c>
    </row>
    <row r="146" spans="1:14">
      <c r="A146" s="4">
        <v>145</v>
      </c>
      <c r="B146" s="4" t="s">
        <v>53</v>
      </c>
      <c r="C146" s="4" t="s">
        <v>62</v>
      </c>
      <c r="D146" s="4" t="s">
        <v>61</v>
      </c>
      <c r="E146" s="28" t="s">
        <v>71</v>
      </c>
      <c r="G146" s="4" t="s">
        <v>131</v>
      </c>
      <c r="H146" s="28" t="s">
        <v>71</v>
      </c>
      <c r="I146" s="90">
        <v>490.8</v>
      </c>
      <c r="J146" s="4" t="s">
        <v>507</v>
      </c>
      <c r="K146" s="15">
        <v>45840</v>
      </c>
      <c r="L146" s="4">
        <v>2025401836</v>
      </c>
      <c r="M146" s="28" t="s">
        <v>225</v>
      </c>
      <c r="N146" s="4">
        <v>2025</v>
      </c>
    </row>
    <row r="147" spans="1:14">
      <c r="A147" s="4">
        <v>146</v>
      </c>
      <c r="B147" s="4" t="s">
        <v>53</v>
      </c>
      <c r="C147" s="4" t="s">
        <v>62</v>
      </c>
      <c r="D147" s="4" t="s">
        <v>61</v>
      </c>
      <c r="E147" s="28" t="s">
        <v>71</v>
      </c>
      <c r="G147" s="4" t="s">
        <v>131</v>
      </c>
      <c r="H147" s="28" t="s">
        <v>71</v>
      </c>
      <c r="I147" s="90">
        <v>2258.1</v>
      </c>
      <c r="J147" s="4" t="s">
        <v>508</v>
      </c>
      <c r="K147" s="15">
        <v>45840</v>
      </c>
      <c r="L147" s="4">
        <v>2025401837</v>
      </c>
      <c r="M147" s="28" t="s">
        <v>225</v>
      </c>
      <c r="N147" s="4">
        <v>2025</v>
      </c>
    </row>
    <row r="148" spans="1:14">
      <c r="A148" s="4">
        <v>147</v>
      </c>
      <c r="B148" s="4" t="s">
        <v>43</v>
      </c>
      <c r="C148" s="4" t="s">
        <v>51</v>
      </c>
      <c r="D148" s="4" t="s">
        <v>61</v>
      </c>
      <c r="E148" s="28" t="s">
        <v>71</v>
      </c>
      <c r="G148" s="4" t="s">
        <v>131</v>
      </c>
      <c r="H148" s="28" t="s">
        <v>71</v>
      </c>
      <c r="I148" s="90">
        <v>117.5</v>
      </c>
      <c r="J148" s="4" t="s">
        <v>522</v>
      </c>
      <c r="K148" s="15">
        <v>45850</v>
      </c>
      <c r="L148" s="4">
        <v>2025402218</v>
      </c>
      <c r="M148" s="28" t="s">
        <v>225</v>
      </c>
      <c r="N148" s="4">
        <v>2025</v>
      </c>
    </row>
    <row r="149" spans="1:14">
      <c r="A149" s="4">
        <v>148</v>
      </c>
      <c r="B149" s="4" t="s">
        <v>33</v>
      </c>
      <c r="C149" s="4" t="s">
        <v>34</v>
      </c>
      <c r="D149" s="4" t="s">
        <v>61</v>
      </c>
      <c r="E149" s="28" t="s">
        <v>71</v>
      </c>
      <c r="G149" s="4" t="s">
        <v>131</v>
      </c>
      <c r="H149" s="28" t="s">
        <v>71</v>
      </c>
      <c r="I149" s="90">
        <v>161.69999999999999</v>
      </c>
      <c r="J149" s="4" t="s">
        <v>526</v>
      </c>
      <c r="K149" s="39">
        <v>45847</v>
      </c>
      <c r="L149" s="4">
        <v>2025402119</v>
      </c>
      <c r="M149" s="28" t="s">
        <v>225</v>
      </c>
      <c r="N149" s="4">
        <v>2025</v>
      </c>
    </row>
    <row r="150" spans="1:14">
      <c r="A150" s="4">
        <v>149</v>
      </c>
      <c r="B150" s="4" t="s">
        <v>33</v>
      </c>
      <c r="C150" s="4" t="s">
        <v>34</v>
      </c>
      <c r="D150" s="4" t="s">
        <v>61</v>
      </c>
      <c r="E150" s="28" t="s">
        <v>71</v>
      </c>
      <c r="G150" s="4" t="s">
        <v>131</v>
      </c>
      <c r="H150" s="28" t="s">
        <v>71</v>
      </c>
      <c r="I150" s="90">
        <v>608.57000000000005</v>
      </c>
      <c r="J150" s="4" t="s">
        <v>528</v>
      </c>
      <c r="K150" s="15">
        <v>45846</v>
      </c>
      <c r="L150" s="4">
        <v>2025402058</v>
      </c>
      <c r="M150" s="28" t="s">
        <v>225</v>
      </c>
      <c r="N150" s="4">
        <v>2025</v>
      </c>
    </row>
    <row r="151" spans="1:14">
      <c r="A151" s="4">
        <v>150</v>
      </c>
      <c r="B151" s="4" t="s">
        <v>17</v>
      </c>
      <c r="C151" s="4" t="s">
        <v>23</v>
      </c>
      <c r="D151" s="4" t="s">
        <v>61</v>
      </c>
      <c r="E151" s="28" t="s">
        <v>71</v>
      </c>
      <c r="G151" s="4" t="s">
        <v>131</v>
      </c>
      <c r="H151" s="28" t="s">
        <v>71</v>
      </c>
      <c r="I151" s="90">
        <v>920</v>
      </c>
      <c r="J151" s="4" t="s">
        <v>529</v>
      </c>
      <c r="K151" s="15">
        <v>45846</v>
      </c>
      <c r="L151" s="4">
        <v>2025402143</v>
      </c>
      <c r="M151" s="28" t="s">
        <v>225</v>
      </c>
      <c r="N151" s="4">
        <v>2025</v>
      </c>
    </row>
    <row r="152" spans="1:14">
      <c r="A152" s="4">
        <v>151</v>
      </c>
      <c r="B152" s="4" t="s">
        <v>29</v>
      </c>
      <c r="C152" s="4" t="s">
        <v>237</v>
      </c>
      <c r="D152" s="4" t="s">
        <v>61</v>
      </c>
      <c r="E152" s="28" t="s">
        <v>71</v>
      </c>
      <c r="G152" s="4" t="s">
        <v>131</v>
      </c>
      <c r="H152" s="28" t="s">
        <v>71</v>
      </c>
      <c r="I152" s="90">
        <v>2762.07</v>
      </c>
      <c r="J152" s="4" t="s">
        <v>530</v>
      </c>
      <c r="K152" s="15">
        <v>45848</v>
      </c>
      <c r="L152" s="4">
        <v>2025402116</v>
      </c>
      <c r="M152" s="28" t="s">
        <v>225</v>
      </c>
      <c r="N152" s="4">
        <v>2025</v>
      </c>
    </row>
    <row r="153" spans="1:14">
      <c r="A153" s="4">
        <v>152</v>
      </c>
      <c r="B153" s="4" t="s">
        <v>53</v>
      </c>
      <c r="C153" s="4" t="s">
        <v>62</v>
      </c>
      <c r="D153" s="4" t="s">
        <v>61</v>
      </c>
      <c r="E153" s="4" t="s">
        <v>71</v>
      </c>
      <c r="G153" s="4" t="s">
        <v>131</v>
      </c>
      <c r="H153" s="28" t="s">
        <v>71</v>
      </c>
      <c r="I153" s="90">
        <v>1051.17</v>
      </c>
      <c r="J153" s="4" t="s">
        <v>531</v>
      </c>
      <c r="K153" s="15">
        <v>45846</v>
      </c>
      <c r="L153" s="4">
        <v>2025402059</v>
      </c>
      <c r="M153" s="28" t="s">
        <v>225</v>
      </c>
      <c r="N153" s="4">
        <v>2025</v>
      </c>
    </row>
    <row r="154" spans="1:14">
      <c r="A154" s="4">
        <v>153</v>
      </c>
      <c r="B154" s="4" t="s">
        <v>55</v>
      </c>
      <c r="C154" s="4" t="s">
        <v>98</v>
      </c>
      <c r="D154" s="4" t="s">
        <v>61</v>
      </c>
      <c r="E154" s="28" t="s">
        <v>71</v>
      </c>
      <c r="G154" s="4" t="s">
        <v>131</v>
      </c>
      <c r="H154" s="28" t="s">
        <v>71</v>
      </c>
      <c r="I154" s="90">
        <v>280</v>
      </c>
      <c r="J154" s="4" t="s">
        <v>532</v>
      </c>
      <c r="K154" s="15">
        <v>45846</v>
      </c>
      <c r="L154" s="4">
        <v>2025402064</v>
      </c>
      <c r="M154" s="28" t="s">
        <v>225</v>
      </c>
      <c r="N154" s="4">
        <v>2025</v>
      </c>
    </row>
    <row r="155" spans="1:14">
      <c r="A155" s="4">
        <v>154</v>
      </c>
      <c r="B155" s="4" t="s">
        <v>59</v>
      </c>
      <c r="C155" s="4" t="s">
        <v>60</v>
      </c>
      <c r="D155" s="4" t="s">
        <v>61</v>
      </c>
      <c r="E155" s="28" t="s">
        <v>71</v>
      </c>
      <c r="G155" s="4" t="s">
        <v>131</v>
      </c>
      <c r="H155" s="28" t="s">
        <v>71</v>
      </c>
      <c r="I155" s="90">
        <v>3671.1</v>
      </c>
      <c r="J155" s="4" t="s">
        <v>533</v>
      </c>
      <c r="K155" s="15">
        <v>45847</v>
      </c>
      <c r="L155" s="4">
        <v>2025401936</v>
      </c>
      <c r="M155" s="28" t="s">
        <v>225</v>
      </c>
      <c r="N155" s="4">
        <v>2025</v>
      </c>
    </row>
    <row r="156" spans="1:14">
      <c r="A156" s="4">
        <v>155</v>
      </c>
      <c r="B156" s="4" t="s">
        <v>59</v>
      </c>
      <c r="C156" s="4" t="s">
        <v>60</v>
      </c>
      <c r="D156" s="4" t="s">
        <v>61</v>
      </c>
      <c r="E156" s="28" t="s">
        <v>71</v>
      </c>
      <c r="G156" s="4" t="s">
        <v>131</v>
      </c>
      <c r="H156" s="28" t="s">
        <v>71</v>
      </c>
      <c r="I156" s="90">
        <v>3410.2</v>
      </c>
      <c r="J156" s="4" t="s">
        <v>534</v>
      </c>
      <c r="K156" s="15">
        <v>45847</v>
      </c>
      <c r="L156" s="4">
        <v>2025401988</v>
      </c>
      <c r="M156" s="28" t="s">
        <v>225</v>
      </c>
      <c r="N156" s="4">
        <v>2025</v>
      </c>
    </row>
    <row r="157" spans="1:14">
      <c r="A157" s="4">
        <v>156</v>
      </c>
      <c r="B157" s="4" t="s">
        <v>55</v>
      </c>
      <c r="C157" s="4" t="s">
        <v>98</v>
      </c>
      <c r="D157" s="4" t="s">
        <v>61</v>
      </c>
      <c r="E157" s="28" t="s">
        <v>71</v>
      </c>
      <c r="G157" s="4" t="s">
        <v>131</v>
      </c>
      <c r="H157" s="28" t="s">
        <v>71</v>
      </c>
      <c r="I157" s="90">
        <v>2215.4</v>
      </c>
      <c r="J157" s="4" t="s">
        <v>535</v>
      </c>
      <c r="K157" s="15">
        <v>45846</v>
      </c>
      <c r="L157" s="4">
        <v>2025402026</v>
      </c>
      <c r="M157" s="28" t="s">
        <v>225</v>
      </c>
      <c r="N157" s="4">
        <v>2025</v>
      </c>
    </row>
    <row r="158" spans="1:14">
      <c r="A158" s="4">
        <v>157</v>
      </c>
      <c r="B158" s="4" t="s">
        <v>55</v>
      </c>
      <c r="C158" s="4" t="s">
        <v>98</v>
      </c>
      <c r="D158" s="4" t="s">
        <v>61</v>
      </c>
      <c r="E158" s="28" t="s">
        <v>71</v>
      </c>
      <c r="G158" s="4" t="s">
        <v>131</v>
      </c>
      <c r="H158" s="28" t="s">
        <v>71</v>
      </c>
      <c r="I158" s="90">
        <v>2215.4</v>
      </c>
      <c r="J158" s="4" t="s">
        <v>536</v>
      </c>
      <c r="K158" s="15">
        <v>45845</v>
      </c>
      <c r="L158" s="4">
        <v>2025401994</v>
      </c>
      <c r="M158" s="28" t="s">
        <v>225</v>
      </c>
      <c r="N158" s="4">
        <v>2025</v>
      </c>
    </row>
    <row r="159" spans="1:14">
      <c r="A159" s="4">
        <v>158</v>
      </c>
      <c r="B159" s="4" t="s">
        <v>55</v>
      </c>
      <c r="C159" s="4" t="s">
        <v>98</v>
      </c>
      <c r="D159" s="4" t="s">
        <v>61</v>
      </c>
      <c r="E159" s="4" t="s">
        <v>71</v>
      </c>
      <c r="G159" s="4" t="s">
        <v>131</v>
      </c>
      <c r="H159" s="28" t="s">
        <v>71</v>
      </c>
      <c r="I159" s="90">
        <v>1701.8</v>
      </c>
      <c r="J159" s="4" t="s">
        <v>537</v>
      </c>
      <c r="K159" s="15">
        <v>45846</v>
      </c>
      <c r="L159" s="4">
        <v>2025402012</v>
      </c>
      <c r="M159" s="28" t="s">
        <v>225</v>
      </c>
      <c r="N159" s="4">
        <v>2025</v>
      </c>
    </row>
    <row r="160" spans="1:14">
      <c r="A160" s="4">
        <v>159</v>
      </c>
      <c r="B160" s="4" t="s">
        <v>55</v>
      </c>
      <c r="C160" s="4" t="s">
        <v>98</v>
      </c>
      <c r="D160" s="4" t="s">
        <v>61</v>
      </c>
      <c r="E160" s="28" t="s">
        <v>71</v>
      </c>
      <c r="G160" s="4" t="s">
        <v>131</v>
      </c>
      <c r="H160" s="28" t="s">
        <v>71</v>
      </c>
      <c r="I160" s="90">
        <v>2585.6</v>
      </c>
      <c r="J160" s="4" t="s">
        <v>538</v>
      </c>
      <c r="K160" s="15">
        <v>45846</v>
      </c>
      <c r="L160" s="4">
        <v>2025401996</v>
      </c>
      <c r="M160" s="28" t="s">
        <v>225</v>
      </c>
      <c r="N160" s="4">
        <v>2025</v>
      </c>
    </row>
    <row r="161" spans="1:14">
      <c r="A161" s="4">
        <v>160</v>
      </c>
      <c r="B161" s="4" t="s">
        <v>55</v>
      </c>
      <c r="C161" s="4" t="s">
        <v>98</v>
      </c>
      <c r="D161" s="4" t="s">
        <v>61</v>
      </c>
      <c r="E161" s="28" t="s">
        <v>71</v>
      </c>
      <c r="G161" s="4" t="s">
        <v>131</v>
      </c>
      <c r="H161" s="28" t="s">
        <v>71</v>
      </c>
      <c r="I161" s="90">
        <v>693.3</v>
      </c>
      <c r="J161" s="4" t="s">
        <v>548</v>
      </c>
      <c r="K161" s="15">
        <v>45852</v>
      </c>
      <c r="L161" s="4">
        <v>2025402223</v>
      </c>
      <c r="M161" s="28" t="s">
        <v>225</v>
      </c>
      <c r="N161" s="4">
        <v>2025</v>
      </c>
    </row>
    <row r="162" spans="1:14">
      <c r="A162" s="4">
        <v>161</v>
      </c>
      <c r="B162" s="4" t="s">
        <v>55</v>
      </c>
      <c r="C162" s="4" t="s">
        <v>98</v>
      </c>
      <c r="D162" s="4" t="s">
        <v>61</v>
      </c>
      <c r="E162" s="28" t="s">
        <v>71</v>
      </c>
      <c r="G162" s="4" t="s">
        <v>131</v>
      </c>
      <c r="H162" s="28" t="s">
        <v>71</v>
      </c>
      <c r="I162" s="90">
        <v>3768.7</v>
      </c>
      <c r="J162" s="4" t="s">
        <v>599</v>
      </c>
      <c r="K162" s="15">
        <v>45858</v>
      </c>
      <c r="L162" s="4">
        <v>2025402185</v>
      </c>
      <c r="M162" s="28" t="s">
        <v>225</v>
      </c>
      <c r="N162" s="4">
        <v>2025</v>
      </c>
    </row>
    <row r="163" spans="1:14">
      <c r="A163" s="4">
        <v>162</v>
      </c>
      <c r="B163" s="4" t="s">
        <v>29</v>
      </c>
      <c r="C163" s="4" t="s">
        <v>237</v>
      </c>
      <c r="D163" s="4" t="s">
        <v>61</v>
      </c>
      <c r="E163" s="28" t="s">
        <v>71</v>
      </c>
      <c r="G163" s="4" t="s">
        <v>131</v>
      </c>
      <c r="H163" s="28" t="s">
        <v>71</v>
      </c>
      <c r="I163" s="90">
        <v>497.44</v>
      </c>
      <c r="J163" s="4" t="s">
        <v>607</v>
      </c>
      <c r="K163" s="15">
        <v>45851</v>
      </c>
      <c r="L163" s="4">
        <v>2025402236</v>
      </c>
      <c r="M163" s="28" t="s">
        <v>225</v>
      </c>
      <c r="N163" s="4">
        <v>2025</v>
      </c>
    </row>
    <row r="164" spans="1:14">
      <c r="A164" s="4">
        <v>163</v>
      </c>
      <c r="B164" s="4" t="s">
        <v>35</v>
      </c>
      <c r="C164" s="4" t="s">
        <v>37</v>
      </c>
      <c r="D164" s="4" t="s">
        <v>61</v>
      </c>
      <c r="E164" s="28" t="s">
        <v>71</v>
      </c>
      <c r="G164" s="4" t="s">
        <v>131</v>
      </c>
      <c r="H164" s="28" t="s">
        <v>71</v>
      </c>
      <c r="I164" s="90">
        <v>127.98</v>
      </c>
      <c r="J164" s="4" t="s">
        <v>610</v>
      </c>
      <c r="K164" s="15">
        <v>45860</v>
      </c>
      <c r="L164" s="4">
        <v>2025402374</v>
      </c>
      <c r="M164" s="28" t="s">
        <v>225</v>
      </c>
      <c r="N164" s="4">
        <v>2025</v>
      </c>
    </row>
    <row r="165" spans="1:14">
      <c r="A165" s="4">
        <v>164</v>
      </c>
      <c r="B165" s="4" t="s">
        <v>17</v>
      </c>
      <c r="C165" s="4" t="s">
        <v>22</v>
      </c>
      <c r="D165" s="4" t="s">
        <v>61</v>
      </c>
      <c r="E165" s="28" t="s">
        <v>71</v>
      </c>
      <c r="G165" s="4" t="s">
        <v>131</v>
      </c>
      <c r="H165" s="28" t="s">
        <v>71</v>
      </c>
      <c r="I165" s="90">
        <v>2847.49</v>
      </c>
      <c r="J165" s="4" t="s">
        <v>611</v>
      </c>
      <c r="K165" s="15">
        <v>45840</v>
      </c>
      <c r="L165" s="4">
        <v>2025402121</v>
      </c>
      <c r="M165" s="28" t="s">
        <v>225</v>
      </c>
      <c r="N165" s="4">
        <v>2025</v>
      </c>
    </row>
    <row r="166" spans="1:14">
      <c r="A166" s="4">
        <v>165</v>
      </c>
      <c r="B166" s="4" t="s">
        <v>53</v>
      </c>
      <c r="C166" s="4" t="s">
        <v>62</v>
      </c>
      <c r="D166" s="4" t="s">
        <v>61</v>
      </c>
      <c r="E166" s="28" t="s">
        <v>71</v>
      </c>
      <c r="G166" s="4" t="s">
        <v>131</v>
      </c>
      <c r="H166" s="28" t="s">
        <v>71</v>
      </c>
      <c r="I166" s="90">
        <v>2894.15</v>
      </c>
      <c r="J166" s="4" t="s">
        <v>612</v>
      </c>
      <c r="K166" s="15">
        <v>45854</v>
      </c>
      <c r="L166" s="4">
        <v>2025402296</v>
      </c>
      <c r="M166" s="28" t="s">
        <v>225</v>
      </c>
      <c r="N166" s="4">
        <v>2025</v>
      </c>
    </row>
    <row r="167" spans="1:14">
      <c r="A167" s="4">
        <v>166</v>
      </c>
      <c r="B167" s="4" t="s">
        <v>29</v>
      </c>
      <c r="C167" s="4" t="s">
        <v>237</v>
      </c>
      <c r="D167" s="4" t="s">
        <v>61</v>
      </c>
      <c r="E167" s="28" t="s">
        <v>71</v>
      </c>
      <c r="G167" s="4" t="s">
        <v>131</v>
      </c>
      <c r="H167" s="28" t="s">
        <v>71</v>
      </c>
      <c r="I167" s="90">
        <v>42.64</v>
      </c>
      <c r="J167" s="4" t="s">
        <v>613</v>
      </c>
      <c r="K167" s="15">
        <v>45860</v>
      </c>
      <c r="L167" s="4">
        <v>2025402352</v>
      </c>
      <c r="M167" s="28" t="s">
        <v>225</v>
      </c>
      <c r="N167" s="4">
        <v>2025</v>
      </c>
    </row>
    <row r="168" spans="1:14">
      <c r="A168" s="4">
        <v>167</v>
      </c>
      <c r="B168" s="4" t="s">
        <v>43</v>
      </c>
      <c r="C168" s="4" t="s">
        <v>51</v>
      </c>
      <c r="D168" s="4" t="s">
        <v>61</v>
      </c>
      <c r="E168" s="28" t="s">
        <v>71</v>
      </c>
      <c r="G168" s="4" t="s">
        <v>131</v>
      </c>
      <c r="H168" s="28" t="s">
        <v>71</v>
      </c>
      <c r="I168" s="90">
        <v>838.91</v>
      </c>
      <c r="J168" s="4" t="s">
        <v>632</v>
      </c>
      <c r="K168" s="15">
        <v>45840</v>
      </c>
      <c r="L168" s="4">
        <v>2025402057</v>
      </c>
      <c r="M168" s="28" t="s">
        <v>225</v>
      </c>
      <c r="N168" s="4">
        <v>2025</v>
      </c>
    </row>
    <row r="169" spans="1:14">
      <c r="A169" s="4">
        <v>168</v>
      </c>
      <c r="B169" s="4" t="s">
        <v>17</v>
      </c>
      <c r="C169" s="4" t="s">
        <v>25</v>
      </c>
      <c r="D169" s="4" t="s">
        <v>61</v>
      </c>
      <c r="E169" s="4" t="s">
        <v>71</v>
      </c>
      <c r="G169" s="4" t="s">
        <v>131</v>
      </c>
      <c r="H169" s="28" t="s">
        <v>71</v>
      </c>
      <c r="I169" s="90">
        <v>230.6</v>
      </c>
      <c r="J169" s="4" t="s">
        <v>647</v>
      </c>
      <c r="K169" s="15">
        <v>45862</v>
      </c>
      <c r="L169" s="4">
        <v>2025402285</v>
      </c>
      <c r="M169" s="28" t="s">
        <v>225</v>
      </c>
      <c r="N169" s="4">
        <v>2025</v>
      </c>
    </row>
    <row r="170" spans="1:14">
      <c r="A170" s="4">
        <v>169</v>
      </c>
      <c r="B170" s="4" t="s">
        <v>17</v>
      </c>
      <c r="C170" s="4" t="s">
        <v>25</v>
      </c>
      <c r="D170" s="4" t="s">
        <v>61</v>
      </c>
      <c r="E170" s="28" t="s">
        <v>71</v>
      </c>
      <c r="G170" s="4" t="s">
        <v>131</v>
      </c>
      <c r="H170" s="28" t="s">
        <v>71</v>
      </c>
      <c r="I170" s="90">
        <v>169.6</v>
      </c>
      <c r="J170" s="4" t="s">
        <v>648</v>
      </c>
      <c r="K170" s="15">
        <v>45860</v>
      </c>
      <c r="L170" s="4">
        <v>2025402382</v>
      </c>
      <c r="M170" s="28" t="s">
        <v>225</v>
      </c>
      <c r="N170" s="4">
        <v>2025</v>
      </c>
    </row>
    <row r="171" spans="1:14">
      <c r="A171" s="4">
        <v>170</v>
      </c>
      <c r="B171" s="4" t="s">
        <v>29</v>
      </c>
      <c r="C171" s="4" t="s">
        <v>237</v>
      </c>
      <c r="D171" s="4" t="s">
        <v>61</v>
      </c>
      <c r="E171" s="28" t="s">
        <v>71</v>
      </c>
      <c r="G171" s="4" t="s">
        <v>131</v>
      </c>
      <c r="H171" s="28" t="s">
        <v>71</v>
      </c>
      <c r="I171" s="90">
        <v>3063.74</v>
      </c>
      <c r="J171" s="4" t="s">
        <v>649</v>
      </c>
      <c r="K171" s="15">
        <v>45861</v>
      </c>
      <c r="L171" s="4">
        <v>2025402402</v>
      </c>
      <c r="M171" s="28" t="s">
        <v>225</v>
      </c>
      <c r="N171" s="4">
        <v>2025</v>
      </c>
    </row>
    <row r="172" spans="1:14">
      <c r="A172" s="4">
        <v>171</v>
      </c>
      <c r="B172" s="4" t="s">
        <v>53</v>
      </c>
      <c r="C172" s="4" t="s">
        <v>62</v>
      </c>
      <c r="D172" s="4" t="s">
        <v>61</v>
      </c>
      <c r="E172" s="28" t="s">
        <v>71</v>
      </c>
      <c r="G172" s="4" t="s">
        <v>131</v>
      </c>
      <c r="H172" s="28" t="s">
        <v>71</v>
      </c>
      <c r="I172" s="90">
        <v>22.21</v>
      </c>
      <c r="J172" s="4" t="s">
        <v>650</v>
      </c>
      <c r="K172" s="15">
        <v>45861</v>
      </c>
      <c r="L172" s="4">
        <v>2025402404</v>
      </c>
      <c r="M172" s="28" t="s">
        <v>225</v>
      </c>
      <c r="N172" s="4">
        <v>2025</v>
      </c>
    </row>
    <row r="173" spans="1:14">
      <c r="A173" s="4">
        <v>172</v>
      </c>
      <c r="B173" s="28" t="s">
        <v>43</v>
      </c>
      <c r="C173" s="28" t="s">
        <v>51</v>
      </c>
      <c r="D173" s="4" t="s">
        <v>61</v>
      </c>
      <c r="E173" s="4" t="s">
        <v>71</v>
      </c>
      <c r="G173" s="4" t="s">
        <v>131</v>
      </c>
      <c r="H173" s="28" t="s">
        <v>71</v>
      </c>
      <c r="I173" s="90">
        <v>213.12</v>
      </c>
      <c r="J173" s="4" t="s">
        <v>659</v>
      </c>
      <c r="K173" s="15">
        <v>45858</v>
      </c>
      <c r="L173" s="4">
        <v>2025402309</v>
      </c>
      <c r="M173" s="28" t="s">
        <v>225</v>
      </c>
      <c r="N173" s="4">
        <v>2025</v>
      </c>
    </row>
    <row r="174" spans="1:14">
      <c r="A174" s="4">
        <v>173</v>
      </c>
      <c r="B174" s="4" t="s">
        <v>43</v>
      </c>
      <c r="C174" s="4" t="s">
        <v>51</v>
      </c>
      <c r="D174" s="4" t="s">
        <v>61</v>
      </c>
      <c r="E174" s="4" t="s">
        <v>71</v>
      </c>
      <c r="G174" s="4" t="s">
        <v>131</v>
      </c>
      <c r="H174" s="28" t="s">
        <v>71</v>
      </c>
      <c r="I174" s="90">
        <v>1869.7</v>
      </c>
      <c r="J174" s="4" t="s">
        <v>660</v>
      </c>
      <c r="K174" s="15">
        <v>45846</v>
      </c>
      <c r="L174" s="4">
        <v>2025402099</v>
      </c>
      <c r="M174" s="28" t="s">
        <v>225</v>
      </c>
      <c r="N174" s="4">
        <v>2025</v>
      </c>
    </row>
    <row r="175" spans="1:14">
      <c r="A175" s="4">
        <v>174</v>
      </c>
      <c r="B175" s="4" t="s">
        <v>43</v>
      </c>
      <c r="C175" s="4" t="s">
        <v>73</v>
      </c>
      <c r="D175" s="4" t="s">
        <v>61</v>
      </c>
      <c r="E175" s="28" t="s">
        <v>71</v>
      </c>
      <c r="G175" s="4" t="s">
        <v>131</v>
      </c>
      <c r="H175" s="28" t="s">
        <v>71</v>
      </c>
      <c r="I175" s="90">
        <v>3372.5</v>
      </c>
      <c r="J175" s="4" t="s">
        <v>661</v>
      </c>
      <c r="K175" s="15">
        <v>45862</v>
      </c>
      <c r="L175" s="4">
        <v>2025402284</v>
      </c>
      <c r="M175" s="28" t="s">
        <v>225</v>
      </c>
      <c r="N175" s="4">
        <v>2025</v>
      </c>
    </row>
    <row r="176" spans="1:14">
      <c r="A176" s="4">
        <v>175</v>
      </c>
      <c r="B176" s="4" t="s">
        <v>43</v>
      </c>
      <c r="C176" s="4" t="s">
        <v>50</v>
      </c>
      <c r="D176" s="4" t="s">
        <v>61</v>
      </c>
      <c r="E176" s="4" t="s">
        <v>71</v>
      </c>
      <c r="G176" s="4" t="s">
        <v>131</v>
      </c>
      <c r="H176" s="28" t="s">
        <v>71</v>
      </c>
      <c r="I176" s="90">
        <v>662.25</v>
      </c>
      <c r="J176" s="4" t="s">
        <v>662</v>
      </c>
      <c r="K176" s="15">
        <v>45861</v>
      </c>
      <c r="L176" s="4">
        <v>2025402286</v>
      </c>
      <c r="M176" s="28" t="s">
        <v>225</v>
      </c>
      <c r="N176" s="4">
        <v>2025</v>
      </c>
    </row>
    <row r="177" spans="1:14">
      <c r="A177" s="4">
        <v>176</v>
      </c>
      <c r="B177" s="4" t="s">
        <v>33</v>
      </c>
      <c r="C177" s="4" t="s">
        <v>34</v>
      </c>
      <c r="D177" s="4" t="s">
        <v>61</v>
      </c>
      <c r="E177" s="28" t="s">
        <v>71</v>
      </c>
      <c r="G177" s="4" t="s">
        <v>131</v>
      </c>
      <c r="H177" s="28" t="s">
        <v>71</v>
      </c>
      <c r="I177" s="90">
        <v>471</v>
      </c>
      <c r="J177" s="4" t="s">
        <v>663</v>
      </c>
      <c r="K177" s="15">
        <v>45861</v>
      </c>
      <c r="L177" s="4">
        <v>2025402373</v>
      </c>
      <c r="M177" s="28" t="s">
        <v>225</v>
      </c>
      <c r="N177" s="4">
        <v>2025</v>
      </c>
    </row>
    <row r="178" spans="1:14">
      <c r="A178" s="4">
        <v>177</v>
      </c>
      <c r="B178" s="4" t="s">
        <v>43</v>
      </c>
      <c r="C178" s="4" t="s">
        <v>50</v>
      </c>
      <c r="D178" s="4" t="s">
        <v>61</v>
      </c>
      <c r="E178" s="28" t="s">
        <v>71</v>
      </c>
      <c r="G178" s="4" t="s">
        <v>131</v>
      </c>
      <c r="H178" s="28" t="s">
        <v>71</v>
      </c>
      <c r="I178" s="90">
        <v>322.8</v>
      </c>
      <c r="J178" s="4" t="s">
        <v>664</v>
      </c>
      <c r="K178" s="15">
        <v>45861</v>
      </c>
      <c r="L178" s="4">
        <v>2025402371</v>
      </c>
      <c r="M178" s="28" t="s">
        <v>225</v>
      </c>
      <c r="N178" s="4">
        <v>2025</v>
      </c>
    </row>
    <row r="179" spans="1:14">
      <c r="A179" s="4">
        <v>178</v>
      </c>
      <c r="B179" s="4" t="s">
        <v>43</v>
      </c>
      <c r="C179" s="4" t="s">
        <v>50</v>
      </c>
      <c r="D179" s="4" t="s">
        <v>61</v>
      </c>
      <c r="E179" s="28" t="s">
        <v>71</v>
      </c>
      <c r="G179" s="4" t="s">
        <v>131</v>
      </c>
      <c r="H179" s="28" t="s">
        <v>71</v>
      </c>
      <c r="I179" s="90">
        <v>117.69</v>
      </c>
      <c r="J179" s="4" t="s">
        <v>665</v>
      </c>
      <c r="K179" s="15">
        <v>45861</v>
      </c>
      <c r="L179" s="4">
        <v>2025402375</v>
      </c>
      <c r="M179" s="28" t="s">
        <v>225</v>
      </c>
      <c r="N179" s="4">
        <v>2025</v>
      </c>
    </row>
    <row r="180" spans="1:14">
      <c r="A180" s="4">
        <v>179</v>
      </c>
      <c r="B180" s="4" t="s">
        <v>33</v>
      </c>
      <c r="C180" s="4" t="s">
        <v>34</v>
      </c>
      <c r="D180" s="4" t="s">
        <v>61</v>
      </c>
      <c r="E180" s="28" t="s">
        <v>71</v>
      </c>
      <c r="G180" s="4" t="s">
        <v>131</v>
      </c>
      <c r="H180" s="28" t="s">
        <v>71</v>
      </c>
      <c r="I180" s="90">
        <v>101.82</v>
      </c>
      <c r="J180" s="4" t="s">
        <v>666</v>
      </c>
      <c r="K180" s="15">
        <v>45861</v>
      </c>
      <c r="L180" s="4">
        <v>2025402367</v>
      </c>
      <c r="M180" s="28" t="s">
        <v>225</v>
      </c>
      <c r="N180" s="4">
        <v>2025</v>
      </c>
    </row>
    <row r="181" spans="1:14">
      <c r="A181" s="4">
        <v>180</v>
      </c>
      <c r="B181" s="4" t="s">
        <v>53</v>
      </c>
      <c r="C181" s="4" t="s">
        <v>62</v>
      </c>
      <c r="D181" s="4" t="s">
        <v>61</v>
      </c>
      <c r="E181" s="28" t="s">
        <v>71</v>
      </c>
      <c r="G181" s="4" t="s">
        <v>131</v>
      </c>
      <c r="H181" s="28" t="s">
        <v>71</v>
      </c>
      <c r="I181" s="90">
        <v>1733.29</v>
      </c>
      <c r="J181" s="4" t="s">
        <v>667</v>
      </c>
      <c r="K181" s="15">
        <v>45861</v>
      </c>
      <c r="L181" s="4">
        <v>2025402370</v>
      </c>
      <c r="M181" s="28" t="s">
        <v>225</v>
      </c>
      <c r="N181" s="4">
        <v>2025</v>
      </c>
    </row>
    <row r="182" spans="1:14">
      <c r="A182" s="4">
        <v>181</v>
      </c>
      <c r="B182" s="4" t="s">
        <v>53</v>
      </c>
      <c r="C182" s="4" t="s">
        <v>62</v>
      </c>
      <c r="D182" s="4" t="s">
        <v>61</v>
      </c>
      <c r="E182" s="28" t="s">
        <v>71</v>
      </c>
      <c r="G182" s="4" t="s">
        <v>131</v>
      </c>
      <c r="H182" s="28" t="s">
        <v>71</v>
      </c>
      <c r="I182" s="90">
        <v>1378.83</v>
      </c>
      <c r="J182" s="4" t="s">
        <v>668</v>
      </c>
      <c r="K182" s="15">
        <v>45861</v>
      </c>
      <c r="L182" s="4">
        <v>2025402369</v>
      </c>
      <c r="M182" s="28" t="s">
        <v>225</v>
      </c>
      <c r="N182" s="4">
        <v>2025</v>
      </c>
    </row>
    <row r="183" spans="1:14">
      <c r="A183" s="4">
        <v>182</v>
      </c>
      <c r="B183" s="28" t="s">
        <v>33</v>
      </c>
      <c r="C183" s="28" t="s">
        <v>34</v>
      </c>
      <c r="D183" s="4" t="s">
        <v>61</v>
      </c>
      <c r="E183" s="28" t="s">
        <v>71</v>
      </c>
      <c r="G183" s="28" t="s">
        <v>131</v>
      </c>
      <c r="H183" s="28" t="s">
        <v>71</v>
      </c>
      <c r="I183" s="90">
        <v>154.77000000000001</v>
      </c>
      <c r="J183" s="4" t="s">
        <v>669</v>
      </c>
      <c r="K183" s="15">
        <v>45861</v>
      </c>
      <c r="L183" s="4">
        <v>2025402347</v>
      </c>
      <c r="M183" s="28" t="s">
        <v>225</v>
      </c>
      <c r="N183" s="4">
        <v>2025</v>
      </c>
    </row>
    <row r="184" spans="1:14">
      <c r="A184" s="4">
        <v>183</v>
      </c>
      <c r="B184" s="4" t="s">
        <v>35</v>
      </c>
      <c r="C184" s="4" t="s">
        <v>37</v>
      </c>
      <c r="D184" s="4" t="s">
        <v>61</v>
      </c>
      <c r="E184" s="28" t="s">
        <v>71</v>
      </c>
      <c r="G184" s="4" t="s">
        <v>131</v>
      </c>
      <c r="H184" s="28" t="s">
        <v>71</v>
      </c>
      <c r="I184" s="90">
        <v>1154.3</v>
      </c>
      <c r="J184" s="4" t="s">
        <v>670</v>
      </c>
      <c r="K184" s="15">
        <v>45862</v>
      </c>
      <c r="L184" s="4">
        <v>2025402360</v>
      </c>
      <c r="M184" s="28" t="s">
        <v>225</v>
      </c>
      <c r="N184" s="4">
        <v>2025</v>
      </c>
    </row>
    <row r="185" spans="1:14">
      <c r="A185" s="4">
        <v>184</v>
      </c>
      <c r="B185" s="4" t="s">
        <v>33</v>
      </c>
      <c r="C185" s="4" t="s">
        <v>34</v>
      </c>
      <c r="D185" s="4" t="s">
        <v>61</v>
      </c>
      <c r="E185" s="28" t="s">
        <v>71</v>
      </c>
      <c r="G185" s="4" t="s">
        <v>131</v>
      </c>
      <c r="H185" s="28" t="s">
        <v>71</v>
      </c>
      <c r="I185" s="90">
        <v>706.5</v>
      </c>
      <c r="J185" s="4" t="s">
        <v>671</v>
      </c>
      <c r="K185" s="15">
        <v>45862</v>
      </c>
      <c r="L185" s="4">
        <v>2025402366</v>
      </c>
      <c r="M185" s="28" t="s">
        <v>225</v>
      </c>
      <c r="N185" s="4">
        <v>2025</v>
      </c>
    </row>
    <row r="186" spans="1:14">
      <c r="A186" s="4">
        <v>185</v>
      </c>
      <c r="B186" s="28" t="s">
        <v>43</v>
      </c>
      <c r="C186" s="28" t="s">
        <v>51</v>
      </c>
      <c r="D186" s="4" t="s">
        <v>61</v>
      </c>
      <c r="E186" s="4" t="s">
        <v>71</v>
      </c>
      <c r="G186" s="4" t="s">
        <v>131</v>
      </c>
      <c r="H186" s="28" t="s">
        <v>71</v>
      </c>
      <c r="I186" s="90">
        <v>26.6</v>
      </c>
      <c r="J186" s="4" t="s">
        <v>672</v>
      </c>
      <c r="K186" s="15">
        <v>45861</v>
      </c>
      <c r="L186" s="4">
        <v>2025402354</v>
      </c>
      <c r="M186" s="28" t="s">
        <v>225</v>
      </c>
      <c r="N186" s="4">
        <v>2025</v>
      </c>
    </row>
    <row r="187" spans="1:14">
      <c r="A187" s="4">
        <v>186</v>
      </c>
      <c r="B187" s="4" t="s">
        <v>43</v>
      </c>
      <c r="C187" s="4" t="s">
        <v>50</v>
      </c>
      <c r="D187" s="4" t="s">
        <v>61</v>
      </c>
      <c r="E187" s="28" t="s">
        <v>71</v>
      </c>
      <c r="G187" s="4" t="s">
        <v>131</v>
      </c>
      <c r="H187" s="28" t="s">
        <v>71</v>
      </c>
      <c r="I187" s="90">
        <v>913.2</v>
      </c>
      <c r="J187" s="4" t="s">
        <v>675</v>
      </c>
      <c r="K187" s="15">
        <v>45866</v>
      </c>
      <c r="L187" s="4">
        <v>2025402400</v>
      </c>
      <c r="M187" s="28" t="s">
        <v>225</v>
      </c>
      <c r="N187" s="4">
        <v>2025</v>
      </c>
    </row>
    <row r="188" spans="1:14">
      <c r="A188" s="4">
        <v>187</v>
      </c>
      <c r="B188" s="4" t="s">
        <v>43</v>
      </c>
      <c r="C188" s="4" t="s">
        <v>52</v>
      </c>
      <c r="D188" s="4" t="s">
        <v>61</v>
      </c>
      <c r="E188" s="28" t="s">
        <v>71</v>
      </c>
      <c r="G188" s="4" t="s">
        <v>131</v>
      </c>
      <c r="H188" s="28" t="s">
        <v>71</v>
      </c>
      <c r="I188" s="90">
        <v>337.5</v>
      </c>
      <c r="J188" s="4" t="s">
        <v>676</v>
      </c>
      <c r="K188" s="15">
        <v>45866</v>
      </c>
      <c r="L188" s="4">
        <v>2025402395</v>
      </c>
      <c r="M188" s="28" t="s">
        <v>225</v>
      </c>
      <c r="N188" s="4">
        <v>2025</v>
      </c>
    </row>
    <row r="189" spans="1:14">
      <c r="A189" s="4">
        <v>188</v>
      </c>
      <c r="B189" s="4" t="s">
        <v>43</v>
      </c>
      <c r="C189" s="4" t="s">
        <v>47</v>
      </c>
      <c r="D189" s="4" t="s">
        <v>61</v>
      </c>
      <c r="E189" s="28" t="s">
        <v>71</v>
      </c>
      <c r="G189" s="4" t="s">
        <v>131</v>
      </c>
      <c r="H189" s="28" t="s">
        <v>71</v>
      </c>
      <c r="I189" s="90">
        <v>557.22</v>
      </c>
      <c r="J189" s="4" t="s">
        <v>677</v>
      </c>
      <c r="K189" s="15">
        <v>45866</v>
      </c>
      <c r="L189" s="4">
        <v>2025402392</v>
      </c>
      <c r="M189" s="28" t="s">
        <v>225</v>
      </c>
      <c r="N189" s="4">
        <v>2025</v>
      </c>
    </row>
    <row r="190" spans="1:14">
      <c r="A190" s="4">
        <v>189</v>
      </c>
      <c r="B190" s="4" t="s">
        <v>53</v>
      </c>
      <c r="C190" s="4" t="s">
        <v>62</v>
      </c>
      <c r="D190" s="4" t="s">
        <v>61</v>
      </c>
      <c r="E190" s="4" t="s">
        <v>71</v>
      </c>
      <c r="G190" s="4" t="s">
        <v>131</v>
      </c>
      <c r="H190" s="28" t="s">
        <v>71</v>
      </c>
      <c r="I190" s="90">
        <v>2376</v>
      </c>
      <c r="J190" s="4" t="s">
        <v>678</v>
      </c>
      <c r="K190" s="15">
        <v>45865</v>
      </c>
      <c r="L190" s="4">
        <v>2025402429</v>
      </c>
      <c r="M190" s="28" t="s">
        <v>225</v>
      </c>
      <c r="N190" s="4">
        <v>2025</v>
      </c>
    </row>
    <row r="191" spans="1:14">
      <c r="A191" s="4">
        <v>190</v>
      </c>
      <c r="B191" s="4" t="s">
        <v>29</v>
      </c>
      <c r="C191" s="4" t="s">
        <v>237</v>
      </c>
      <c r="D191" s="4" t="s">
        <v>61</v>
      </c>
      <c r="E191" s="28" t="s">
        <v>71</v>
      </c>
      <c r="G191" s="4" t="s">
        <v>131</v>
      </c>
      <c r="H191" s="28" t="s">
        <v>71</v>
      </c>
      <c r="I191" s="90">
        <v>980</v>
      </c>
      <c r="J191" s="4" t="s">
        <v>680</v>
      </c>
      <c r="K191" s="15">
        <v>45866</v>
      </c>
      <c r="L191" s="4">
        <v>2025402398</v>
      </c>
      <c r="M191" s="28" t="s">
        <v>225</v>
      </c>
      <c r="N191" s="4">
        <v>2025</v>
      </c>
    </row>
    <row r="192" spans="1:14">
      <c r="A192" s="4">
        <v>191</v>
      </c>
      <c r="B192" s="4" t="s">
        <v>35</v>
      </c>
      <c r="C192" s="4" t="s">
        <v>39</v>
      </c>
      <c r="D192" s="4" t="s">
        <v>61</v>
      </c>
      <c r="E192" s="4" t="s">
        <v>71</v>
      </c>
      <c r="G192" s="4" t="s">
        <v>131</v>
      </c>
      <c r="H192" s="28" t="s">
        <v>71</v>
      </c>
      <c r="I192" s="90">
        <v>178.8</v>
      </c>
      <c r="J192" s="4" t="s">
        <v>681</v>
      </c>
      <c r="K192" s="15">
        <v>45861</v>
      </c>
      <c r="L192" s="4">
        <v>2025402356</v>
      </c>
      <c r="M192" s="28" t="s">
        <v>225</v>
      </c>
      <c r="N192" s="4">
        <v>2025</v>
      </c>
    </row>
    <row r="193" spans="1:14">
      <c r="A193" s="4">
        <v>192</v>
      </c>
      <c r="B193" s="4" t="s">
        <v>35</v>
      </c>
      <c r="C193" s="4" t="s">
        <v>37</v>
      </c>
      <c r="D193" s="4" t="s">
        <v>61</v>
      </c>
      <c r="E193" s="28" t="s">
        <v>71</v>
      </c>
      <c r="G193" s="4" t="s">
        <v>131</v>
      </c>
      <c r="H193" s="28" t="s">
        <v>71</v>
      </c>
      <c r="I193" s="90">
        <v>168.35</v>
      </c>
      <c r="J193" s="4" t="s">
        <v>682</v>
      </c>
      <c r="K193" s="15">
        <v>45866</v>
      </c>
      <c r="L193" s="4">
        <v>2025402346</v>
      </c>
      <c r="M193" s="28" t="s">
        <v>225</v>
      </c>
      <c r="N193" s="4">
        <v>2025</v>
      </c>
    </row>
    <row r="194" spans="1:14">
      <c r="A194" s="4">
        <v>193</v>
      </c>
      <c r="B194" s="4" t="s">
        <v>43</v>
      </c>
      <c r="C194" s="4" t="s">
        <v>45</v>
      </c>
      <c r="D194" s="4" t="s">
        <v>61</v>
      </c>
      <c r="E194" s="28" t="s">
        <v>71</v>
      </c>
      <c r="G194" s="4" t="s">
        <v>131</v>
      </c>
      <c r="H194" s="28" t="s">
        <v>71</v>
      </c>
      <c r="I194" s="90">
        <v>236</v>
      </c>
      <c r="J194" s="4" t="s">
        <v>683</v>
      </c>
      <c r="K194" s="15">
        <v>45861</v>
      </c>
      <c r="L194" s="4">
        <v>2025402368</v>
      </c>
      <c r="M194" s="28" t="s">
        <v>225</v>
      </c>
      <c r="N194" s="4">
        <v>2025</v>
      </c>
    </row>
    <row r="195" spans="1:14">
      <c r="A195" s="4">
        <v>194</v>
      </c>
      <c r="B195" s="4" t="s">
        <v>43</v>
      </c>
      <c r="C195" s="4" t="s">
        <v>50</v>
      </c>
      <c r="D195" s="4" t="s">
        <v>61</v>
      </c>
      <c r="E195" s="28" t="s">
        <v>71</v>
      </c>
      <c r="G195" s="4" t="s">
        <v>131</v>
      </c>
      <c r="H195" s="28" t="s">
        <v>71</v>
      </c>
      <c r="I195" s="90">
        <v>360</v>
      </c>
      <c r="J195" s="4" t="s">
        <v>684</v>
      </c>
      <c r="K195" s="15">
        <v>45865</v>
      </c>
      <c r="L195" s="4">
        <v>2025402377</v>
      </c>
      <c r="M195" s="28" t="s">
        <v>225</v>
      </c>
      <c r="N195" s="4">
        <v>2025</v>
      </c>
    </row>
    <row r="196" spans="1:14">
      <c r="A196" s="4">
        <v>195</v>
      </c>
      <c r="B196" s="4" t="s">
        <v>43</v>
      </c>
      <c r="C196" s="4" t="s">
        <v>50</v>
      </c>
      <c r="D196" s="4" t="s">
        <v>61</v>
      </c>
      <c r="E196" s="4" t="s">
        <v>71</v>
      </c>
      <c r="G196" s="4" t="s">
        <v>131</v>
      </c>
      <c r="H196" s="28" t="s">
        <v>71</v>
      </c>
      <c r="I196" s="90">
        <v>1954.95</v>
      </c>
      <c r="J196" s="4" t="s">
        <v>685</v>
      </c>
      <c r="K196" s="15">
        <v>45862</v>
      </c>
      <c r="L196" s="4">
        <v>2025402312</v>
      </c>
      <c r="M196" s="28" t="s">
        <v>225</v>
      </c>
      <c r="N196" s="4">
        <v>2025</v>
      </c>
    </row>
    <row r="197" spans="1:14">
      <c r="A197" s="4">
        <v>196</v>
      </c>
      <c r="B197" s="4" t="s">
        <v>29</v>
      </c>
      <c r="C197" s="4" t="s">
        <v>237</v>
      </c>
      <c r="D197" s="4" t="s">
        <v>61</v>
      </c>
      <c r="E197" s="28" t="s">
        <v>71</v>
      </c>
      <c r="G197" s="4" t="s">
        <v>131</v>
      </c>
      <c r="H197" s="28" t="s">
        <v>71</v>
      </c>
      <c r="I197" s="90">
        <v>1112.5</v>
      </c>
      <c r="J197" s="4" t="s">
        <v>686</v>
      </c>
      <c r="K197" s="15">
        <v>45861</v>
      </c>
      <c r="L197" s="4">
        <v>2025402378</v>
      </c>
      <c r="M197" s="28" t="s">
        <v>225</v>
      </c>
      <c r="N197" s="4">
        <v>2025</v>
      </c>
    </row>
    <row r="198" spans="1:14">
      <c r="A198" s="4">
        <v>197</v>
      </c>
      <c r="B198" s="4" t="s">
        <v>55</v>
      </c>
      <c r="C198" s="4" t="s">
        <v>56</v>
      </c>
      <c r="D198" s="4" t="s">
        <v>61</v>
      </c>
      <c r="E198" s="28" t="s">
        <v>71</v>
      </c>
      <c r="G198" s="4" t="s">
        <v>131</v>
      </c>
      <c r="H198" s="28" t="s">
        <v>71</v>
      </c>
      <c r="I198" s="90">
        <v>200</v>
      </c>
      <c r="J198" s="4" t="s">
        <v>687</v>
      </c>
      <c r="K198" s="15">
        <v>45861</v>
      </c>
      <c r="L198" s="4">
        <v>2025402379</v>
      </c>
      <c r="M198" s="28" t="s">
        <v>225</v>
      </c>
      <c r="N198" s="4">
        <v>2025</v>
      </c>
    </row>
    <row r="199" spans="1:14">
      <c r="A199" s="4">
        <v>198</v>
      </c>
      <c r="B199" s="4" t="s">
        <v>43</v>
      </c>
      <c r="C199" s="4" t="s">
        <v>50</v>
      </c>
      <c r="D199" s="4" t="s">
        <v>61</v>
      </c>
      <c r="E199" s="28" t="s">
        <v>71</v>
      </c>
      <c r="G199" s="4" t="s">
        <v>131</v>
      </c>
      <c r="H199" s="28" t="s">
        <v>71</v>
      </c>
      <c r="I199" s="90">
        <v>142.21</v>
      </c>
      <c r="J199" s="4" t="s">
        <v>705</v>
      </c>
      <c r="K199" s="15">
        <v>45867</v>
      </c>
      <c r="L199" s="4">
        <v>2025402445</v>
      </c>
      <c r="M199" s="28" t="s">
        <v>225</v>
      </c>
      <c r="N199" s="4">
        <v>2025</v>
      </c>
    </row>
    <row r="200" spans="1:14">
      <c r="A200" s="4">
        <v>199</v>
      </c>
      <c r="B200" s="4" t="s">
        <v>43</v>
      </c>
      <c r="C200" s="4" t="s">
        <v>47</v>
      </c>
      <c r="D200" s="4" t="s">
        <v>61</v>
      </c>
      <c r="E200" s="28" t="s">
        <v>71</v>
      </c>
      <c r="G200" s="4" t="s">
        <v>131</v>
      </c>
      <c r="H200" s="28" t="s">
        <v>71</v>
      </c>
      <c r="I200" s="90">
        <v>2554</v>
      </c>
      <c r="J200" s="4" t="s">
        <v>715</v>
      </c>
      <c r="K200" s="15">
        <v>45868</v>
      </c>
      <c r="L200" s="4">
        <v>2025402501</v>
      </c>
      <c r="M200" s="28" t="s">
        <v>225</v>
      </c>
      <c r="N200" s="4">
        <v>2025</v>
      </c>
    </row>
    <row r="201" spans="1:14">
      <c r="A201" s="4">
        <v>200</v>
      </c>
      <c r="B201" s="4" t="s">
        <v>43</v>
      </c>
      <c r="C201" s="4" t="s">
        <v>52</v>
      </c>
      <c r="D201" s="4" t="s">
        <v>61</v>
      </c>
      <c r="E201" s="28" t="s">
        <v>71</v>
      </c>
      <c r="G201" s="4" t="s">
        <v>131</v>
      </c>
      <c r="H201" s="28" t="s">
        <v>71</v>
      </c>
      <c r="I201" s="90">
        <v>958.88</v>
      </c>
      <c r="J201" s="4" t="s">
        <v>733</v>
      </c>
      <c r="K201" s="15">
        <v>45868</v>
      </c>
      <c r="L201" s="4">
        <v>2025402503</v>
      </c>
      <c r="M201" s="28" t="s">
        <v>225</v>
      </c>
      <c r="N201" s="4">
        <v>2025</v>
      </c>
    </row>
    <row r="202" spans="1:14">
      <c r="A202" s="4">
        <v>201</v>
      </c>
      <c r="B202" s="4" t="s">
        <v>53</v>
      </c>
      <c r="C202" s="4" t="s">
        <v>62</v>
      </c>
      <c r="D202" s="4" t="s">
        <v>61</v>
      </c>
      <c r="E202" s="4" t="s">
        <v>71</v>
      </c>
      <c r="G202" s="4" t="s">
        <v>131</v>
      </c>
      <c r="H202" s="28" t="s">
        <v>71</v>
      </c>
      <c r="I202" s="90">
        <v>406.08</v>
      </c>
      <c r="J202" s="4" t="s">
        <v>748</v>
      </c>
      <c r="K202" s="15">
        <v>45872</v>
      </c>
      <c r="L202" s="4">
        <v>2025402519</v>
      </c>
      <c r="M202" s="28" t="s">
        <v>226</v>
      </c>
      <c r="N202" s="4">
        <v>2025</v>
      </c>
    </row>
    <row r="203" spans="1:14">
      <c r="A203" s="4">
        <v>202</v>
      </c>
      <c r="B203" s="28" t="s">
        <v>53</v>
      </c>
      <c r="C203" s="28" t="s">
        <v>62</v>
      </c>
      <c r="D203" s="4" t="s">
        <v>61</v>
      </c>
      <c r="E203" s="4" t="s">
        <v>71</v>
      </c>
      <c r="G203" s="4" t="s">
        <v>131</v>
      </c>
      <c r="H203" s="28" t="s">
        <v>71</v>
      </c>
      <c r="I203" s="90">
        <v>618.29999999999995</v>
      </c>
      <c r="J203" s="4" t="s">
        <v>749</v>
      </c>
      <c r="K203" s="15">
        <v>45873</v>
      </c>
      <c r="L203" s="4">
        <v>2025402376</v>
      </c>
      <c r="M203" s="28" t="s">
        <v>226</v>
      </c>
      <c r="N203" s="4">
        <v>2025</v>
      </c>
    </row>
    <row r="204" spans="1:14">
      <c r="A204" s="4">
        <v>203</v>
      </c>
      <c r="B204" s="4" t="s">
        <v>53</v>
      </c>
      <c r="C204" s="4" t="s">
        <v>62</v>
      </c>
      <c r="D204" s="4" t="s">
        <v>61</v>
      </c>
      <c r="E204" s="4" t="s">
        <v>71</v>
      </c>
      <c r="G204" s="4" t="s">
        <v>131</v>
      </c>
      <c r="H204" s="28" t="s">
        <v>71</v>
      </c>
      <c r="I204" s="90">
        <v>373.9</v>
      </c>
      <c r="J204" s="4" t="s">
        <v>750</v>
      </c>
      <c r="K204" s="15">
        <v>45873</v>
      </c>
      <c r="L204" s="4">
        <v>2025402523</v>
      </c>
      <c r="M204" s="28" t="s">
        <v>226</v>
      </c>
      <c r="N204" s="4">
        <v>2025</v>
      </c>
    </row>
    <row r="205" spans="1:14">
      <c r="A205" s="4">
        <v>204</v>
      </c>
      <c r="B205" s="4" t="s">
        <v>53</v>
      </c>
      <c r="C205" s="4" t="s">
        <v>62</v>
      </c>
      <c r="D205" s="4" t="s">
        <v>61</v>
      </c>
      <c r="E205" s="4" t="s">
        <v>71</v>
      </c>
      <c r="G205" s="4" t="s">
        <v>131</v>
      </c>
      <c r="H205" s="28" t="s">
        <v>71</v>
      </c>
      <c r="I205" s="90">
        <v>82.17</v>
      </c>
      <c r="J205" s="4" t="s">
        <v>751</v>
      </c>
      <c r="K205" s="15">
        <v>45873</v>
      </c>
      <c r="L205" s="4">
        <v>2025402518</v>
      </c>
      <c r="M205" s="28" t="s">
        <v>226</v>
      </c>
      <c r="N205" s="4">
        <v>2025</v>
      </c>
    </row>
    <row r="206" spans="1:14">
      <c r="A206" s="4">
        <v>205</v>
      </c>
      <c r="B206" s="4" t="s">
        <v>43</v>
      </c>
      <c r="C206" s="4" t="s">
        <v>50</v>
      </c>
      <c r="D206" s="4" t="s">
        <v>61</v>
      </c>
      <c r="E206" s="4" t="s">
        <v>71</v>
      </c>
      <c r="G206" s="4" t="s">
        <v>131</v>
      </c>
      <c r="H206" s="28" t="s">
        <v>71</v>
      </c>
      <c r="I206" s="90">
        <v>295.8</v>
      </c>
      <c r="J206" s="4" t="s">
        <v>752</v>
      </c>
      <c r="K206" s="15">
        <v>45873</v>
      </c>
      <c r="L206" s="4">
        <v>2025402536</v>
      </c>
      <c r="M206" s="28" t="s">
        <v>226</v>
      </c>
      <c r="N206" s="4">
        <v>2025</v>
      </c>
    </row>
    <row r="207" spans="1:14">
      <c r="A207" s="4">
        <v>206</v>
      </c>
      <c r="B207" s="4" t="s">
        <v>53</v>
      </c>
      <c r="C207" s="4" t="s">
        <v>62</v>
      </c>
      <c r="D207" s="4" t="s">
        <v>61</v>
      </c>
      <c r="E207" s="4" t="s">
        <v>71</v>
      </c>
      <c r="G207" s="4" t="s">
        <v>131</v>
      </c>
      <c r="H207" s="28" t="s">
        <v>71</v>
      </c>
      <c r="I207" s="90">
        <v>63.22</v>
      </c>
      <c r="J207" s="4" t="s">
        <v>753</v>
      </c>
      <c r="K207" s="15">
        <v>45873</v>
      </c>
      <c r="L207" s="4">
        <v>2025402533</v>
      </c>
      <c r="M207" s="28" t="s">
        <v>226</v>
      </c>
      <c r="N207" s="4">
        <v>2025</v>
      </c>
    </row>
    <row r="208" spans="1:14">
      <c r="A208" s="4">
        <v>207</v>
      </c>
      <c r="B208" s="4" t="s">
        <v>55</v>
      </c>
      <c r="C208" s="4" t="s">
        <v>98</v>
      </c>
      <c r="D208" s="4" t="s">
        <v>61</v>
      </c>
      <c r="E208" s="28" t="s">
        <v>71</v>
      </c>
      <c r="G208" s="4" t="s">
        <v>131</v>
      </c>
      <c r="H208" s="28" t="s">
        <v>71</v>
      </c>
      <c r="I208" s="90">
        <v>116.5</v>
      </c>
      <c r="J208" s="4" t="s">
        <v>754</v>
      </c>
      <c r="K208" s="15">
        <v>45873</v>
      </c>
      <c r="L208" s="4">
        <v>2025402546</v>
      </c>
      <c r="M208" s="28" t="s">
        <v>226</v>
      </c>
      <c r="N208" s="4">
        <v>2025</v>
      </c>
    </row>
    <row r="209" spans="1:14">
      <c r="A209" s="4">
        <v>208</v>
      </c>
      <c r="B209" s="4" t="s">
        <v>53</v>
      </c>
      <c r="C209" s="4" t="s">
        <v>62</v>
      </c>
      <c r="D209" s="4" t="s">
        <v>61</v>
      </c>
      <c r="E209" s="28" t="s">
        <v>71</v>
      </c>
      <c r="G209" s="4" t="s">
        <v>131</v>
      </c>
      <c r="H209" s="28" t="s">
        <v>71</v>
      </c>
      <c r="I209" s="90">
        <v>1708.47</v>
      </c>
      <c r="J209" s="4" t="s">
        <v>755</v>
      </c>
      <c r="K209" s="15">
        <v>45873</v>
      </c>
      <c r="L209" s="4">
        <v>2025402527</v>
      </c>
      <c r="M209" s="28" t="s">
        <v>226</v>
      </c>
      <c r="N209" s="4">
        <v>2025</v>
      </c>
    </row>
    <row r="210" spans="1:14">
      <c r="A210" s="4">
        <v>209</v>
      </c>
      <c r="B210" s="4" t="s">
        <v>55</v>
      </c>
      <c r="C210" s="4" t="s">
        <v>56</v>
      </c>
      <c r="D210" s="4" t="s">
        <v>61</v>
      </c>
      <c r="E210" s="28" t="s">
        <v>71</v>
      </c>
      <c r="G210" s="4" t="s">
        <v>131</v>
      </c>
      <c r="H210" s="28" t="s">
        <v>71</v>
      </c>
      <c r="I210" s="90">
        <v>257.8</v>
      </c>
      <c r="J210" s="4" t="s">
        <v>756</v>
      </c>
      <c r="K210" s="15">
        <v>45873</v>
      </c>
      <c r="L210" s="4">
        <v>2025402515</v>
      </c>
      <c r="M210" s="28" t="s">
        <v>226</v>
      </c>
      <c r="N210" s="4">
        <v>2025</v>
      </c>
    </row>
    <row r="211" spans="1:14">
      <c r="A211" s="4">
        <v>210</v>
      </c>
      <c r="B211" s="4" t="s">
        <v>43</v>
      </c>
      <c r="C211" s="4" t="s">
        <v>50</v>
      </c>
      <c r="D211" s="4" t="s">
        <v>61</v>
      </c>
      <c r="E211" s="4" t="s">
        <v>71</v>
      </c>
      <c r="G211" s="4" t="s">
        <v>131</v>
      </c>
      <c r="H211" s="28" t="s">
        <v>71</v>
      </c>
      <c r="I211" s="90">
        <v>842.66</v>
      </c>
      <c r="J211" s="4" t="s">
        <v>781</v>
      </c>
      <c r="K211" s="15">
        <v>45861</v>
      </c>
      <c r="L211" s="4">
        <v>2025402403</v>
      </c>
      <c r="M211" s="28" t="s">
        <v>225</v>
      </c>
      <c r="N211" s="4">
        <v>2025</v>
      </c>
    </row>
    <row r="212" spans="1:14">
      <c r="A212" s="4">
        <v>211</v>
      </c>
      <c r="B212" s="4" t="s">
        <v>43</v>
      </c>
      <c r="C212" s="4" t="s">
        <v>49</v>
      </c>
      <c r="D212" s="4" t="s">
        <v>61</v>
      </c>
      <c r="E212" s="28" t="s">
        <v>71</v>
      </c>
      <c r="G212" s="4" t="s">
        <v>131</v>
      </c>
      <c r="H212" s="28" t="s">
        <v>71</v>
      </c>
      <c r="I212" s="90">
        <v>166.5</v>
      </c>
      <c r="J212" s="4" t="s">
        <v>784</v>
      </c>
      <c r="K212" s="15">
        <v>45875</v>
      </c>
      <c r="L212" s="4">
        <v>2025402583</v>
      </c>
      <c r="M212" s="28" t="s">
        <v>226</v>
      </c>
      <c r="N212" s="4">
        <v>2025</v>
      </c>
    </row>
    <row r="213" spans="1:14">
      <c r="A213" s="4">
        <v>212</v>
      </c>
      <c r="B213" s="4" t="s">
        <v>17</v>
      </c>
      <c r="C213" s="4" t="s">
        <v>23</v>
      </c>
      <c r="D213" s="4" t="s">
        <v>61</v>
      </c>
      <c r="E213" s="28" t="s">
        <v>71</v>
      </c>
      <c r="G213" s="4" t="s">
        <v>131</v>
      </c>
      <c r="H213" s="28" t="s">
        <v>71</v>
      </c>
      <c r="I213" s="90">
        <v>645</v>
      </c>
      <c r="J213" s="4" t="s">
        <v>786</v>
      </c>
      <c r="K213" s="15">
        <v>45875</v>
      </c>
      <c r="L213" s="4">
        <v>2025402545</v>
      </c>
      <c r="M213" s="28" t="s">
        <v>226</v>
      </c>
      <c r="N213" s="4">
        <v>2025</v>
      </c>
    </row>
    <row r="214" spans="1:14">
      <c r="A214" s="4">
        <v>213</v>
      </c>
      <c r="B214" s="28" t="s">
        <v>35</v>
      </c>
      <c r="C214" s="28" t="s">
        <v>38</v>
      </c>
      <c r="D214" s="4" t="s">
        <v>61</v>
      </c>
      <c r="E214" s="4" t="s">
        <v>71</v>
      </c>
      <c r="G214" s="4" t="s">
        <v>131</v>
      </c>
      <c r="H214" s="28" t="s">
        <v>71</v>
      </c>
      <c r="I214" s="90">
        <v>62</v>
      </c>
      <c r="J214" s="4" t="s">
        <v>787</v>
      </c>
      <c r="K214" s="15">
        <v>45875</v>
      </c>
      <c r="L214" s="4">
        <v>2025402538</v>
      </c>
      <c r="M214" s="28" t="s">
        <v>226</v>
      </c>
      <c r="N214" s="4">
        <v>2025</v>
      </c>
    </row>
    <row r="215" spans="1:14">
      <c r="A215" s="4">
        <v>214</v>
      </c>
      <c r="B215" s="4" t="s">
        <v>35</v>
      </c>
      <c r="C215" s="4" t="s">
        <v>37</v>
      </c>
      <c r="D215" s="4" t="s">
        <v>61</v>
      </c>
      <c r="E215" s="28" t="s">
        <v>71</v>
      </c>
      <c r="G215" s="4" t="s">
        <v>131</v>
      </c>
      <c r="H215" s="28" t="s">
        <v>71</v>
      </c>
      <c r="I215" s="90">
        <v>2458.15</v>
      </c>
      <c r="J215" s="4" t="s">
        <v>788</v>
      </c>
      <c r="K215" s="15">
        <v>45875</v>
      </c>
      <c r="L215" s="4">
        <v>2025402535</v>
      </c>
      <c r="M215" s="28" t="s">
        <v>226</v>
      </c>
      <c r="N215" s="4">
        <v>2025</v>
      </c>
    </row>
    <row r="216" spans="1:14">
      <c r="A216" s="4">
        <v>215</v>
      </c>
      <c r="B216" s="4" t="s">
        <v>43</v>
      </c>
      <c r="C216" s="4" t="s">
        <v>50</v>
      </c>
      <c r="D216" s="4" t="s">
        <v>61</v>
      </c>
      <c r="E216" s="28" t="s">
        <v>71</v>
      </c>
      <c r="G216" s="4" t="s">
        <v>131</v>
      </c>
      <c r="H216" s="28" t="s">
        <v>71</v>
      </c>
      <c r="I216" s="90">
        <v>504.81</v>
      </c>
      <c r="J216" s="4" t="s">
        <v>789</v>
      </c>
      <c r="K216" s="15">
        <v>45875</v>
      </c>
      <c r="L216" s="4">
        <v>2025402537</v>
      </c>
      <c r="M216" s="28" t="s">
        <v>226</v>
      </c>
      <c r="N216" s="4">
        <v>2025</v>
      </c>
    </row>
    <row r="217" spans="1:14">
      <c r="A217" s="4">
        <v>216</v>
      </c>
      <c r="B217" s="4" t="s">
        <v>43</v>
      </c>
      <c r="C217" s="4" t="s">
        <v>47</v>
      </c>
      <c r="D217" s="4" t="s">
        <v>61</v>
      </c>
      <c r="E217" s="28" t="s">
        <v>71</v>
      </c>
      <c r="G217" s="4" t="s">
        <v>131</v>
      </c>
      <c r="H217" s="28" t="s">
        <v>71</v>
      </c>
      <c r="I217" s="90">
        <v>1436.99</v>
      </c>
      <c r="J217" s="4" t="s">
        <v>790</v>
      </c>
      <c r="K217" s="15">
        <v>45875</v>
      </c>
      <c r="L217" s="4">
        <v>2025402532</v>
      </c>
      <c r="M217" s="28" t="s">
        <v>226</v>
      </c>
      <c r="N217" s="4">
        <v>2025</v>
      </c>
    </row>
    <row r="218" spans="1:14">
      <c r="A218" s="4">
        <v>217</v>
      </c>
      <c r="B218" s="4" t="s">
        <v>53</v>
      </c>
      <c r="C218" s="4" t="s">
        <v>62</v>
      </c>
      <c r="D218" s="4" t="s">
        <v>61</v>
      </c>
      <c r="E218" s="28" t="s">
        <v>71</v>
      </c>
      <c r="G218" s="4" t="s">
        <v>131</v>
      </c>
      <c r="H218" s="28" t="s">
        <v>71</v>
      </c>
      <c r="I218" s="90">
        <v>228.49</v>
      </c>
      <c r="J218" s="4" t="s">
        <v>791</v>
      </c>
      <c r="K218" s="15">
        <v>45875</v>
      </c>
      <c r="L218" s="4">
        <v>2025402526</v>
      </c>
      <c r="M218" s="28" t="s">
        <v>226</v>
      </c>
      <c r="N218" s="4">
        <v>2025</v>
      </c>
    </row>
    <row r="219" spans="1:14">
      <c r="A219" s="4">
        <v>218</v>
      </c>
      <c r="B219" s="4" t="s">
        <v>53</v>
      </c>
      <c r="C219" s="4" t="s">
        <v>62</v>
      </c>
      <c r="D219" s="4" t="s">
        <v>61</v>
      </c>
      <c r="E219" s="28" t="s">
        <v>71</v>
      </c>
      <c r="G219" s="4" t="s">
        <v>131</v>
      </c>
      <c r="H219" s="28" t="s">
        <v>71</v>
      </c>
      <c r="I219" s="90">
        <v>1825.47</v>
      </c>
      <c r="J219" s="4" t="s">
        <v>792</v>
      </c>
      <c r="K219" s="15">
        <v>45875</v>
      </c>
      <c r="L219" s="4">
        <v>2025402524</v>
      </c>
      <c r="M219" s="28" t="s">
        <v>226</v>
      </c>
      <c r="N219" s="4">
        <v>2025</v>
      </c>
    </row>
    <row r="220" spans="1:14">
      <c r="A220" s="4">
        <v>219</v>
      </c>
      <c r="B220" s="4" t="s">
        <v>43</v>
      </c>
      <c r="C220" s="4" t="s">
        <v>51</v>
      </c>
      <c r="D220" s="4" t="s">
        <v>61</v>
      </c>
      <c r="E220" s="28" t="s">
        <v>71</v>
      </c>
      <c r="G220" s="4" t="s">
        <v>131</v>
      </c>
      <c r="H220" s="28" t="s">
        <v>71</v>
      </c>
      <c r="I220" s="90">
        <v>134.19999999999999</v>
      </c>
      <c r="J220" s="4" t="s">
        <v>793</v>
      </c>
      <c r="K220" s="15">
        <v>45875</v>
      </c>
      <c r="L220" s="4">
        <v>2025402446</v>
      </c>
      <c r="M220" s="28" t="s">
        <v>226</v>
      </c>
      <c r="N220" s="4">
        <v>2025</v>
      </c>
    </row>
    <row r="221" spans="1:14">
      <c r="A221" s="4">
        <v>220</v>
      </c>
      <c r="B221" s="4" t="s">
        <v>43</v>
      </c>
      <c r="C221" s="4" t="s">
        <v>50</v>
      </c>
      <c r="D221" s="4" t="s">
        <v>61</v>
      </c>
      <c r="E221" s="28" t="s">
        <v>71</v>
      </c>
      <c r="G221" s="4" t="s">
        <v>131</v>
      </c>
      <c r="H221" s="28" t="s">
        <v>71</v>
      </c>
      <c r="I221" s="90">
        <v>289.04000000000002</v>
      </c>
      <c r="J221" s="4" t="s">
        <v>794</v>
      </c>
      <c r="K221" s="15">
        <v>45868</v>
      </c>
      <c r="L221" s="4">
        <v>2025402504</v>
      </c>
      <c r="M221" s="28" t="s">
        <v>225</v>
      </c>
      <c r="N221" s="4">
        <v>2025</v>
      </c>
    </row>
    <row r="222" spans="1:14">
      <c r="A222" s="4">
        <v>221</v>
      </c>
      <c r="B222" s="28" t="s">
        <v>55</v>
      </c>
      <c r="C222" s="28" t="s">
        <v>98</v>
      </c>
      <c r="D222" s="4" t="s">
        <v>61</v>
      </c>
      <c r="E222" s="4" t="s">
        <v>71</v>
      </c>
      <c r="G222" s="4" t="s">
        <v>131</v>
      </c>
      <c r="H222" s="28" t="s">
        <v>71</v>
      </c>
      <c r="I222" s="90">
        <v>1555.44</v>
      </c>
      <c r="J222" s="4" t="s">
        <v>795</v>
      </c>
      <c r="K222" s="15">
        <v>45875</v>
      </c>
      <c r="L222" s="4">
        <v>2025402506</v>
      </c>
      <c r="M222" s="28" t="s">
        <v>226</v>
      </c>
      <c r="N222" s="4">
        <v>2025</v>
      </c>
    </row>
    <row r="223" spans="1:14">
      <c r="A223" s="4">
        <v>222</v>
      </c>
      <c r="B223" s="28" t="s">
        <v>53</v>
      </c>
      <c r="C223" s="28" t="s">
        <v>62</v>
      </c>
      <c r="D223" s="4" t="s">
        <v>61</v>
      </c>
      <c r="E223" s="4" t="s">
        <v>71</v>
      </c>
      <c r="G223" s="4" t="s">
        <v>131</v>
      </c>
      <c r="H223" s="28" t="s">
        <v>71</v>
      </c>
      <c r="I223" s="90">
        <v>1943.37</v>
      </c>
      <c r="J223" s="4" t="s">
        <v>796</v>
      </c>
      <c r="K223" s="15">
        <v>45875</v>
      </c>
      <c r="L223" s="4">
        <v>2025402514</v>
      </c>
      <c r="M223" s="28" t="s">
        <v>226</v>
      </c>
      <c r="N223" s="4">
        <v>2025</v>
      </c>
    </row>
    <row r="224" spans="1:14">
      <c r="A224" s="4">
        <v>223</v>
      </c>
      <c r="B224" s="4" t="s">
        <v>35</v>
      </c>
      <c r="C224" s="4" t="s">
        <v>37</v>
      </c>
      <c r="D224" s="4" t="s">
        <v>61</v>
      </c>
      <c r="E224" s="28" t="s">
        <v>71</v>
      </c>
      <c r="G224" s="4" t="s">
        <v>131</v>
      </c>
      <c r="H224" s="28" t="s">
        <v>71</v>
      </c>
      <c r="I224" s="90">
        <v>44</v>
      </c>
      <c r="J224" s="4" t="s">
        <v>797</v>
      </c>
      <c r="K224" s="15">
        <v>45875</v>
      </c>
      <c r="L224" s="4">
        <v>2025402534</v>
      </c>
      <c r="M224" s="28" t="s">
        <v>226</v>
      </c>
      <c r="N224" s="4">
        <v>2025</v>
      </c>
    </row>
    <row r="225" spans="1:14">
      <c r="A225" s="4">
        <v>224</v>
      </c>
      <c r="B225" s="4" t="s">
        <v>55</v>
      </c>
      <c r="C225" s="4" t="s">
        <v>98</v>
      </c>
      <c r="D225" s="4" t="s">
        <v>61</v>
      </c>
      <c r="E225" s="28" t="s">
        <v>71</v>
      </c>
      <c r="G225" s="4" t="s">
        <v>131</v>
      </c>
      <c r="H225" s="28" t="s">
        <v>71</v>
      </c>
      <c r="I225" s="90">
        <v>2320</v>
      </c>
      <c r="J225" s="4" t="s">
        <v>798</v>
      </c>
      <c r="K225" s="15">
        <v>45868</v>
      </c>
      <c r="L225" s="4">
        <v>2025402474</v>
      </c>
      <c r="M225" s="28" t="s">
        <v>225</v>
      </c>
      <c r="N225" s="4">
        <v>2025</v>
      </c>
    </row>
    <row r="226" spans="1:14">
      <c r="A226" s="4">
        <v>225</v>
      </c>
      <c r="B226" s="4" t="s">
        <v>43</v>
      </c>
      <c r="C226" s="4" t="s">
        <v>50</v>
      </c>
      <c r="D226" s="4" t="s">
        <v>61</v>
      </c>
      <c r="E226" s="28" t="s">
        <v>71</v>
      </c>
      <c r="G226" s="4" t="s">
        <v>131</v>
      </c>
      <c r="H226" s="28" t="s">
        <v>71</v>
      </c>
      <c r="I226" s="90">
        <v>98.8</v>
      </c>
      <c r="J226" s="4" t="s">
        <v>799</v>
      </c>
      <c r="K226" s="15">
        <v>45874</v>
      </c>
      <c r="L226" s="4">
        <v>2025402517</v>
      </c>
      <c r="M226" s="28" t="s">
        <v>226</v>
      </c>
      <c r="N226" s="4">
        <v>2025</v>
      </c>
    </row>
    <row r="227" spans="1:14">
      <c r="A227" s="4">
        <v>226</v>
      </c>
      <c r="B227" s="4" t="s">
        <v>43</v>
      </c>
      <c r="C227" s="4" t="s">
        <v>51</v>
      </c>
      <c r="D227" s="4" t="s">
        <v>61</v>
      </c>
      <c r="E227" s="4" t="s">
        <v>71</v>
      </c>
      <c r="G227" s="4" t="s">
        <v>131</v>
      </c>
      <c r="H227" s="28" t="s">
        <v>71</v>
      </c>
      <c r="I227" s="90">
        <v>133</v>
      </c>
      <c r="J227" s="4" t="s">
        <v>803</v>
      </c>
      <c r="K227" s="15">
        <v>45840</v>
      </c>
      <c r="L227" s="4">
        <v>2025402056</v>
      </c>
      <c r="M227" s="28" t="s">
        <v>225</v>
      </c>
      <c r="N227" s="4">
        <v>2025</v>
      </c>
    </row>
    <row r="228" spans="1:14">
      <c r="A228" s="4">
        <v>227</v>
      </c>
      <c r="B228" s="4" t="s">
        <v>43</v>
      </c>
      <c r="C228" s="4" t="s">
        <v>51</v>
      </c>
      <c r="D228" s="4" t="s">
        <v>61</v>
      </c>
      <c r="E228" s="28" t="s">
        <v>71</v>
      </c>
      <c r="G228" s="4" t="s">
        <v>131</v>
      </c>
      <c r="H228" s="28" t="s">
        <v>71</v>
      </c>
      <c r="I228" s="90">
        <v>1982.66</v>
      </c>
      <c r="J228" s="4" t="s">
        <v>827</v>
      </c>
      <c r="K228" s="15">
        <v>45861</v>
      </c>
      <c r="L228" s="4">
        <v>2025402350</v>
      </c>
      <c r="M228" s="28" t="s">
        <v>225</v>
      </c>
      <c r="N228" s="4">
        <v>2025</v>
      </c>
    </row>
    <row r="229" spans="1:14">
      <c r="A229" s="4">
        <v>228</v>
      </c>
      <c r="B229" s="4" t="s">
        <v>35</v>
      </c>
      <c r="C229" s="4" t="s">
        <v>41</v>
      </c>
      <c r="D229" s="4" t="s">
        <v>61</v>
      </c>
      <c r="E229" s="28" t="s">
        <v>71</v>
      </c>
      <c r="G229" s="4" t="s">
        <v>131</v>
      </c>
      <c r="H229" s="28" t="s">
        <v>71</v>
      </c>
      <c r="I229" s="90">
        <v>3266</v>
      </c>
      <c r="J229" s="4" t="s">
        <v>828</v>
      </c>
      <c r="K229" s="15">
        <v>45873</v>
      </c>
      <c r="L229" s="4">
        <v>2025402502</v>
      </c>
      <c r="M229" s="28" t="s">
        <v>226</v>
      </c>
      <c r="N229" s="4">
        <v>2025</v>
      </c>
    </row>
    <row r="230" spans="1:14">
      <c r="A230" s="4">
        <v>229</v>
      </c>
      <c r="B230" s="28" t="s">
        <v>35</v>
      </c>
      <c r="C230" s="28" t="s">
        <v>38</v>
      </c>
      <c r="D230" s="4" t="s">
        <v>61</v>
      </c>
      <c r="E230" s="4" t="s">
        <v>71</v>
      </c>
      <c r="G230" s="4" t="s">
        <v>131</v>
      </c>
      <c r="H230" s="28" t="s">
        <v>71</v>
      </c>
      <c r="I230" s="90">
        <v>44.4</v>
      </c>
      <c r="J230" s="4" t="s">
        <v>829</v>
      </c>
      <c r="K230" s="15">
        <v>45873</v>
      </c>
      <c r="L230" s="4">
        <v>2025402495</v>
      </c>
      <c r="M230" s="28" t="s">
        <v>226</v>
      </c>
      <c r="N230" s="4">
        <v>2025</v>
      </c>
    </row>
    <row r="231" spans="1:14">
      <c r="A231" s="4">
        <v>230</v>
      </c>
      <c r="B231" s="4" t="s">
        <v>43</v>
      </c>
      <c r="C231" s="4" t="s">
        <v>51</v>
      </c>
      <c r="D231" s="4" t="s">
        <v>61</v>
      </c>
      <c r="E231" s="28" t="s">
        <v>71</v>
      </c>
      <c r="G231" s="4" t="s">
        <v>131</v>
      </c>
      <c r="H231" s="28" t="s">
        <v>71</v>
      </c>
      <c r="I231" s="90">
        <v>392</v>
      </c>
      <c r="J231" s="4" t="s">
        <v>830</v>
      </c>
      <c r="K231" s="15">
        <v>45876</v>
      </c>
      <c r="L231" s="4">
        <v>2025402582</v>
      </c>
      <c r="M231" s="28" t="s">
        <v>226</v>
      </c>
      <c r="N231" s="4">
        <v>2025</v>
      </c>
    </row>
    <row r="232" spans="1:14">
      <c r="A232" s="4">
        <v>231</v>
      </c>
      <c r="B232" s="4" t="s">
        <v>43</v>
      </c>
      <c r="C232" s="4" t="s">
        <v>51</v>
      </c>
      <c r="D232" s="4" t="s">
        <v>61</v>
      </c>
      <c r="E232" s="4" t="s">
        <v>71</v>
      </c>
      <c r="G232" s="4" t="s">
        <v>131</v>
      </c>
      <c r="H232" s="28" t="s">
        <v>71</v>
      </c>
      <c r="I232" s="90">
        <v>3144.25</v>
      </c>
      <c r="J232" s="4" t="s">
        <v>832</v>
      </c>
      <c r="K232" s="15">
        <v>45883</v>
      </c>
      <c r="L232" s="4">
        <v>2025402498</v>
      </c>
      <c r="M232" s="28" t="s">
        <v>226</v>
      </c>
      <c r="N232" s="4">
        <v>2025</v>
      </c>
    </row>
    <row r="233" spans="1:14">
      <c r="A233" s="4">
        <v>232</v>
      </c>
      <c r="B233" s="4" t="s">
        <v>43</v>
      </c>
      <c r="C233" s="4" t="s">
        <v>51</v>
      </c>
      <c r="D233" s="4" t="s">
        <v>61</v>
      </c>
      <c r="E233" s="28" t="s">
        <v>71</v>
      </c>
      <c r="G233" s="4" t="s">
        <v>131</v>
      </c>
      <c r="H233" s="28" t="s">
        <v>71</v>
      </c>
      <c r="I233" s="90">
        <v>337.45</v>
      </c>
      <c r="J233" s="4" t="s">
        <v>833</v>
      </c>
      <c r="K233" s="15">
        <v>45883</v>
      </c>
      <c r="L233" s="4">
        <v>2025402500</v>
      </c>
      <c r="M233" s="28" t="s">
        <v>226</v>
      </c>
      <c r="N233" s="4">
        <v>2025</v>
      </c>
    </row>
    <row r="234" spans="1:14">
      <c r="A234" s="4">
        <v>233</v>
      </c>
      <c r="B234" s="4" t="s">
        <v>43</v>
      </c>
      <c r="C234" s="4" t="s">
        <v>50</v>
      </c>
      <c r="D234" s="4" t="s">
        <v>61</v>
      </c>
      <c r="E234" s="28" t="s">
        <v>71</v>
      </c>
      <c r="G234" s="4" t="s">
        <v>131</v>
      </c>
      <c r="H234" s="28" t="s">
        <v>71</v>
      </c>
      <c r="I234" s="90">
        <v>43.8</v>
      </c>
      <c r="J234" s="4" t="s">
        <v>834</v>
      </c>
      <c r="K234" s="15">
        <v>45876</v>
      </c>
      <c r="L234" s="4">
        <v>2025402522</v>
      </c>
      <c r="M234" s="28" t="s">
        <v>226</v>
      </c>
      <c r="N234" s="4">
        <v>2025</v>
      </c>
    </row>
    <row r="235" spans="1:14">
      <c r="A235" s="4">
        <v>234</v>
      </c>
      <c r="B235" s="4" t="s">
        <v>55</v>
      </c>
      <c r="C235" s="4" t="s">
        <v>98</v>
      </c>
      <c r="D235" s="4" t="s">
        <v>61</v>
      </c>
      <c r="E235" s="28" t="s">
        <v>71</v>
      </c>
      <c r="G235" s="4" t="s">
        <v>131</v>
      </c>
      <c r="H235" s="28" t="s">
        <v>71</v>
      </c>
      <c r="I235" s="90">
        <v>851.22</v>
      </c>
      <c r="J235" s="4" t="s">
        <v>837</v>
      </c>
      <c r="K235" s="15">
        <v>45872</v>
      </c>
      <c r="L235" s="4">
        <v>2025402547</v>
      </c>
      <c r="M235" s="28" t="s">
        <v>226</v>
      </c>
      <c r="N235" s="4">
        <v>2025</v>
      </c>
    </row>
    <row r="236" spans="1:14">
      <c r="A236" s="4">
        <v>235</v>
      </c>
      <c r="B236" s="4" t="s">
        <v>35</v>
      </c>
      <c r="C236" s="4" t="s">
        <v>37</v>
      </c>
      <c r="D236" s="4" t="s">
        <v>61</v>
      </c>
      <c r="E236" s="28" t="s">
        <v>71</v>
      </c>
      <c r="G236" s="4" t="s">
        <v>131</v>
      </c>
      <c r="H236" s="28" t="s">
        <v>71</v>
      </c>
      <c r="I236" s="90">
        <v>213.6</v>
      </c>
      <c r="J236" s="4" t="s">
        <v>839</v>
      </c>
      <c r="K236" s="15">
        <v>45885</v>
      </c>
      <c r="L236" s="4">
        <v>2025402658</v>
      </c>
      <c r="M236" s="28" t="s">
        <v>226</v>
      </c>
      <c r="N236" s="4">
        <v>2025</v>
      </c>
    </row>
    <row r="237" spans="1:14">
      <c r="A237" s="4">
        <v>236</v>
      </c>
      <c r="B237" s="4" t="s">
        <v>53</v>
      </c>
      <c r="C237" s="4" t="s">
        <v>62</v>
      </c>
      <c r="D237" s="4" t="s">
        <v>61</v>
      </c>
      <c r="E237" s="28" t="s">
        <v>71</v>
      </c>
      <c r="G237" s="4" t="s">
        <v>131</v>
      </c>
      <c r="H237" s="28" t="s">
        <v>71</v>
      </c>
      <c r="I237" s="90">
        <v>1774.25</v>
      </c>
      <c r="J237" s="4" t="s">
        <v>841</v>
      </c>
      <c r="K237" s="15">
        <v>45868</v>
      </c>
      <c r="L237" s="4">
        <v>2025402499</v>
      </c>
      <c r="M237" s="28" t="s">
        <v>226</v>
      </c>
      <c r="N237" s="4">
        <v>2025</v>
      </c>
    </row>
    <row r="238" spans="1:14">
      <c r="A238" s="4">
        <v>237</v>
      </c>
      <c r="B238" s="4" t="s">
        <v>35</v>
      </c>
      <c r="C238" s="4" t="s">
        <v>39</v>
      </c>
      <c r="D238" s="4" t="s">
        <v>61</v>
      </c>
      <c r="E238" s="4" t="s">
        <v>71</v>
      </c>
      <c r="G238" s="4" t="s">
        <v>131</v>
      </c>
      <c r="H238" s="28" t="s">
        <v>71</v>
      </c>
      <c r="I238" s="90">
        <v>923.2</v>
      </c>
      <c r="J238" s="38" t="s">
        <v>865</v>
      </c>
      <c r="K238" s="88">
        <v>45886</v>
      </c>
      <c r="L238" s="4">
        <v>2025402548</v>
      </c>
      <c r="M238" s="4" t="s">
        <v>226</v>
      </c>
      <c r="N238" s="4">
        <v>2025</v>
      </c>
    </row>
    <row r="239" spans="1:14">
      <c r="A239" s="4">
        <v>238</v>
      </c>
      <c r="B239" s="4" t="s">
        <v>43</v>
      </c>
      <c r="C239" s="4" t="s">
        <v>47</v>
      </c>
      <c r="D239" s="4" t="s">
        <v>61</v>
      </c>
      <c r="E239" s="4" t="s">
        <v>71</v>
      </c>
      <c r="G239" s="4" t="s">
        <v>131</v>
      </c>
      <c r="H239" s="28" t="s">
        <v>71</v>
      </c>
      <c r="I239" s="90">
        <v>2490.0500000000002</v>
      </c>
      <c r="J239" s="38" t="s">
        <v>892</v>
      </c>
      <c r="K239" s="88">
        <v>45888</v>
      </c>
      <c r="L239" s="4">
        <v>2025402662</v>
      </c>
      <c r="M239" s="4" t="s">
        <v>226</v>
      </c>
      <c r="N239" s="4">
        <v>2025</v>
      </c>
    </row>
    <row r="240" spans="1:14">
      <c r="A240" s="4">
        <v>239</v>
      </c>
      <c r="B240" s="4" t="s">
        <v>17</v>
      </c>
      <c r="C240" s="4" t="s">
        <v>22</v>
      </c>
      <c r="D240" s="4" t="s">
        <v>61</v>
      </c>
      <c r="E240" s="4" t="s">
        <v>71</v>
      </c>
      <c r="G240" s="4" t="s">
        <v>131</v>
      </c>
      <c r="H240" s="28" t="s">
        <v>71</v>
      </c>
      <c r="I240" s="90">
        <v>33</v>
      </c>
      <c r="J240" s="38" t="s">
        <v>894</v>
      </c>
      <c r="K240" s="88">
        <v>45888</v>
      </c>
      <c r="L240" s="4">
        <v>2025402699</v>
      </c>
      <c r="M240" s="4" t="s">
        <v>226</v>
      </c>
      <c r="N240" s="4">
        <v>2025</v>
      </c>
    </row>
    <row r="241" spans="1:14">
      <c r="A241" s="4">
        <v>240</v>
      </c>
      <c r="B241" s="4" t="s">
        <v>35</v>
      </c>
      <c r="C241" s="4" t="s">
        <v>38</v>
      </c>
      <c r="D241" s="4" t="s">
        <v>61</v>
      </c>
      <c r="E241" s="4" t="s">
        <v>71</v>
      </c>
      <c r="G241" s="4" t="s">
        <v>131</v>
      </c>
      <c r="H241" s="28" t="s">
        <v>71</v>
      </c>
      <c r="I241" s="90">
        <v>1135.56</v>
      </c>
      <c r="J241" s="38" t="s">
        <v>897</v>
      </c>
      <c r="K241" s="88">
        <v>45888</v>
      </c>
      <c r="L241" s="4">
        <v>2025402689</v>
      </c>
      <c r="M241" s="4" t="s">
        <v>226</v>
      </c>
      <c r="N241" s="4">
        <v>2025</v>
      </c>
    </row>
    <row r="242" spans="1:14">
      <c r="A242" s="4">
        <v>241</v>
      </c>
      <c r="B242" s="4" t="s">
        <v>76</v>
      </c>
      <c r="C242" s="4" t="s">
        <v>237</v>
      </c>
      <c r="D242" s="4" t="s">
        <v>61</v>
      </c>
      <c r="E242" s="4" t="s">
        <v>71</v>
      </c>
      <c r="G242" s="4" t="s">
        <v>131</v>
      </c>
      <c r="H242" s="28" t="s">
        <v>71</v>
      </c>
      <c r="I242" s="90">
        <v>99.99</v>
      </c>
      <c r="J242" s="4" t="s">
        <v>992</v>
      </c>
      <c r="K242" s="15">
        <v>45871</v>
      </c>
      <c r="L242" s="4">
        <v>2025402769</v>
      </c>
      <c r="M242" s="4" t="s">
        <v>226</v>
      </c>
      <c r="N242" s="4">
        <v>2025</v>
      </c>
    </row>
    <row r="243" spans="1:14">
      <c r="A243" s="4">
        <v>242</v>
      </c>
      <c r="B243" s="4" t="s">
        <v>499</v>
      </c>
      <c r="C243" s="4" t="s">
        <v>37</v>
      </c>
      <c r="D243" s="4" t="s">
        <v>61</v>
      </c>
      <c r="E243" s="4" t="s">
        <v>71</v>
      </c>
      <c r="G243" s="4" t="s">
        <v>131</v>
      </c>
      <c r="H243" s="28" t="s">
        <v>71</v>
      </c>
      <c r="I243" s="90">
        <v>14.21</v>
      </c>
      <c r="J243" s="4" t="s">
        <v>1000</v>
      </c>
      <c r="K243" s="15">
        <v>45893</v>
      </c>
      <c r="L243" s="4">
        <v>2025402825</v>
      </c>
      <c r="M243" s="4" t="s">
        <v>226</v>
      </c>
      <c r="N243" s="4">
        <v>2025</v>
      </c>
    </row>
    <row r="244" spans="1:14">
      <c r="A244" s="4">
        <v>243</v>
      </c>
      <c r="B244" s="4" t="s">
        <v>55</v>
      </c>
      <c r="C244" s="4" t="s">
        <v>98</v>
      </c>
      <c r="D244" s="4" t="s">
        <v>61</v>
      </c>
      <c r="E244" s="4" t="s">
        <v>71</v>
      </c>
      <c r="G244" s="4" t="s">
        <v>131</v>
      </c>
      <c r="H244" s="28" t="s">
        <v>71</v>
      </c>
      <c r="I244" s="90">
        <v>1275.42</v>
      </c>
      <c r="J244" s="4" t="s">
        <v>1013</v>
      </c>
      <c r="K244" s="15">
        <v>45897</v>
      </c>
      <c r="L244" s="4">
        <v>2025402852</v>
      </c>
      <c r="M244" s="4" t="s">
        <v>226</v>
      </c>
      <c r="N244" s="4">
        <v>2025</v>
      </c>
    </row>
    <row r="245" spans="1:14">
      <c r="A245" s="4">
        <v>244</v>
      </c>
      <c r="B245" s="4" t="s">
        <v>43</v>
      </c>
      <c r="C245" s="4" t="s">
        <v>51</v>
      </c>
      <c r="D245" s="4" t="s">
        <v>61</v>
      </c>
      <c r="E245" s="4" t="s">
        <v>71</v>
      </c>
      <c r="G245" s="4" t="s">
        <v>131</v>
      </c>
      <c r="H245" s="28" t="s">
        <v>71</v>
      </c>
      <c r="I245" s="90">
        <v>1034.3599999999999</v>
      </c>
      <c r="J245" s="4" t="s">
        <v>1014</v>
      </c>
      <c r="K245" s="15">
        <v>45900</v>
      </c>
      <c r="L245" s="4">
        <v>2025402910</v>
      </c>
      <c r="M245" s="4" t="s">
        <v>226</v>
      </c>
      <c r="N245" s="4">
        <v>2025</v>
      </c>
    </row>
    <row r="246" spans="1:14">
      <c r="A246" s="4">
        <v>245</v>
      </c>
      <c r="B246" s="4" t="s">
        <v>43</v>
      </c>
      <c r="C246" s="4" t="s">
        <v>51</v>
      </c>
      <c r="D246" s="4" t="s">
        <v>61</v>
      </c>
      <c r="E246" s="4" t="s">
        <v>71</v>
      </c>
      <c r="G246" s="4" t="s">
        <v>131</v>
      </c>
      <c r="H246" s="28" t="s">
        <v>71</v>
      </c>
      <c r="I246" s="90">
        <v>231</v>
      </c>
      <c r="J246" s="4" t="s">
        <v>1020</v>
      </c>
      <c r="K246" s="15">
        <v>45900</v>
      </c>
      <c r="L246" s="4">
        <v>2025402516</v>
      </c>
      <c r="M246" s="4" t="s">
        <v>226</v>
      </c>
      <c r="N246" s="4">
        <v>2025</v>
      </c>
    </row>
    <row r="247" spans="1:14">
      <c r="A247" s="4">
        <v>246</v>
      </c>
      <c r="B247" s="4" t="s">
        <v>17</v>
      </c>
      <c r="C247" s="4" t="s">
        <v>23</v>
      </c>
      <c r="D247" s="4" t="s">
        <v>61</v>
      </c>
      <c r="E247" s="4" t="s">
        <v>71</v>
      </c>
      <c r="G247" s="4" t="s">
        <v>131</v>
      </c>
      <c r="H247" s="28" t="s">
        <v>71</v>
      </c>
      <c r="I247" s="90">
        <v>1206.27</v>
      </c>
      <c r="J247" s="4" t="s">
        <v>1021</v>
      </c>
      <c r="K247" s="15">
        <v>45896</v>
      </c>
      <c r="L247" s="4">
        <v>2025402759</v>
      </c>
      <c r="M247" s="4" t="s">
        <v>226</v>
      </c>
      <c r="N247" s="4">
        <v>2025</v>
      </c>
    </row>
    <row r="248" spans="1:14">
      <c r="A248" s="4">
        <v>247</v>
      </c>
      <c r="B248" s="4" t="s">
        <v>35</v>
      </c>
      <c r="C248" s="4" t="s">
        <v>37</v>
      </c>
      <c r="D248" s="4" t="s">
        <v>61</v>
      </c>
      <c r="E248" s="4" t="s">
        <v>71</v>
      </c>
      <c r="G248" s="4" t="s">
        <v>131</v>
      </c>
      <c r="H248" s="28" t="s">
        <v>71</v>
      </c>
      <c r="I248" s="90">
        <v>1222.2</v>
      </c>
      <c r="J248" s="4" t="s">
        <v>1022</v>
      </c>
      <c r="K248" s="15">
        <v>45900</v>
      </c>
      <c r="L248" s="4">
        <v>2025402821</v>
      </c>
      <c r="M248" s="4" t="s">
        <v>226</v>
      </c>
      <c r="N248" s="4">
        <v>2025</v>
      </c>
    </row>
    <row r="249" spans="1:14">
      <c r="A249" s="4">
        <v>248</v>
      </c>
      <c r="B249" s="4" t="s">
        <v>43</v>
      </c>
      <c r="C249" s="4" t="s">
        <v>50</v>
      </c>
      <c r="D249" s="4" t="s">
        <v>61</v>
      </c>
      <c r="E249" s="4" t="s">
        <v>71</v>
      </c>
      <c r="G249" s="4" t="s">
        <v>131</v>
      </c>
      <c r="H249" s="28" t="s">
        <v>71</v>
      </c>
      <c r="I249" s="90">
        <v>399.23</v>
      </c>
      <c r="J249" s="4" t="s">
        <v>1023</v>
      </c>
      <c r="K249" s="15">
        <v>45900</v>
      </c>
      <c r="L249" s="4">
        <v>2025402826</v>
      </c>
      <c r="M249" s="4" t="s">
        <v>226</v>
      </c>
      <c r="N249" s="4">
        <v>2025</v>
      </c>
    </row>
    <row r="250" spans="1:14">
      <c r="A250" s="4">
        <v>249</v>
      </c>
      <c r="B250" s="4" t="s">
        <v>43</v>
      </c>
      <c r="C250" s="4" t="s">
        <v>44</v>
      </c>
      <c r="D250" s="4" t="s">
        <v>61</v>
      </c>
      <c r="E250" s="4" t="s">
        <v>71</v>
      </c>
      <c r="G250" s="4" t="s">
        <v>131</v>
      </c>
      <c r="H250" s="28" t="s">
        <v>71</v>
      </c>
      <c r="I250" s="90">
        <v>3015.7</v>
      </c>
      <c r="J250" s="4" t="s">
        <v>1024</v>
      </c>
      <c r="K250" s="15">
        <v>45900</v>
      </c>
      <c r="L250" s="4">
        <v>2025402625</v>
      </c>
      <c r="M250" s="4" t="s">
        <v>226</v>
      </c>
      <c r="N250" s="4">
        <v>2025</v>
      </c>
    </row>
    <row r="251" spans="1:14">
      <c r="A251" s="4">
        <v>250</v>
      </c>
      <c r="B251" s="4" t="s">
        <v>35</v>
      </c>
      <c r="C251" s="4" t="s">
        <v>38</v>
      </c>
      <c r="D251" s="4" t="s">
        <v>61</v>
      </c>
      <c r="E251" s="4" t="s">
        <v>71</v>
      </c>
      <c r="G251" s="4" t="s">
        <v>131</v>
      </c>
      <c r="H251" s="28" t="s">
        <v>71</v>
      </c>
      <c r="I251" s="90">
        <v>155</v>
      </c>
      <c r="J251" s="4" t="s">
        <v>1025</v>
      </c>
      <c r="K251" s="15">
        <v>45875</v>
      </c>
      <c r="L251" s="4">
        <v>2025402549</v>
      </c>
      <c r="M251" s="4" t="s">
        <v>226</v>
      </c>
      <c r="N251" s="4">
        <v>2025</v>
      </c>
    </row>
    <row r="252" spans="1:14">
      <c r="A252" s="4">
        <v>251</v>
      </c>
      <c r="B252" s="4" t="s">
        <v>53</v>
      </c>
      <c r="C252" s="4" t="s">
        <v>62</v>
      </c>
      <c r="D252" s="4" t="s">
        <v>61</v>
      </c>
      <c r="E252" s="4" t="s">
        <v>71</v>
      </c>
      <c r="G252" s="4" t="s">
        <v>131</v>
      </c>
      <c r="H252" s="28" t="s">
        <v>71</v>
      </c>
      <c r="I252" s="90">
        <v>421.88</v>
      </c>
      <c r="J252" s="4" t="s">
        <v>1026</v>
      </c>
      <c r="K252" s="15">
        <v>45893</v>
      </c>
      <c r="L252" s="4">
        <v>2025402520</v>
      </c>
      <c r="M252" s="4" t="s">
        <v>226</v>
      </c>
      <c r="N252" s="4">
        <v>2025</v>
      </c>
    </row>
    <row r="253" spans="1:14">
      <c r="A253" s="4">
        <v>252</v>
      </c>
      <c r="B253" s="4" t="s">
        <v>43</v>
      </c>
      <c r="C253" s="4" t="s">
        <v>51</v>
      </c>
      <c r="D253" s="4" t="s">
        <v>61</v>
      </c>
      <c r="E253" s="4" t="s">
        <v>71</v>
      </c>
      <c r="G253" s="4" t="s">
        <v>131</v>
      </c>
      <c r="H253" s="28" t="s">
        <v>71</v>
      </c>
      <c r="I253" s="90">
        <v>108.36</v>
      </c>
      <c r="J253" s="4" t="s">
        <v>1028</v>
      </c>
      <c r="K253" s="15">
        <v>45900</v>
      </c>
      <c r="L253" s="4">
        <v>2025402846</v>
      </c>
      <c r="M253" s="4" t="s">
        <v>226</v>
      </c>
      <c r="N253" s="4">
        <v>2025</v>
      </c>
    </row>
    <row r="254" spans="1:14">
      <c r="A254" s="4">
        <v>253</v>
      </c>
      <c r="B254" s="4" t="s">
        <v>43</v>
      </c>
      <c r="C254" s="4" t="s">
        <v>51</v>
      </c>
      <c r="D254" s="4" t="s">
        <v>61</v>
      </c>
      <c r="E254" s="4" t="s">
        <v>71</v>
      </c>
      <c r="G254" s="4" t="s">
        <v>131</v>
      </c>
      <c r="H254" s="28" t="s">
        <v>71</v>
      </c>
      <c r="I254" s="90">
        <v>730.14</v>
      </c>
      <c r="J254" s="4" t="s">
        <v>1029</v>
      </c>
      <c r="K254" s="15">
        <v>45897</v>
      </c>
      <c r="L254" s="4">
        <v>2025402842</v>
      </c>
      <c r="M254" s="4" t="s">
        <v>226</v>
      </c>
      <c r="N254" s="4">
        <v>2025</v>
      </c>
    </row>
    <row r="255" spans="1:14">
      <c r="A255" s="4">
        <v>254</v>
      </c>
      <c r="B255" s="4" t="s">
        <v>17</v>
      </c>
      <c r="C255" s="4" t="s">
        <v>22</v>
      </c>
      <c r="D255" s="4" t="s">
        <v>61</v>
      </c>
      <c r="E255" s="4" t="s">
        <v>71</v>
      </c>
      <c r="G255" s="4" t="s">
        <v>131</v>
      </c>
      <c r="H255" s="28" t="s">
        <v>71</v>
      </c>
      <c r="I255" s="90">
        <v>422.96</v>
      </c>
      <c r="J255" s="4" t="s">
        <v>1030</v>
      </c>
      <c r="K255" s="15">
        <v>45896</v>
      </c>
      <c r="L255" s="4">
        <v>2025402856</v>
      </c>
      <c r="M255" s="4" t="s">
        <v>226</v>
      </c>
      <c r="N255" s="4">
        <v>2025</v>
      </c>
    </row>
    <row r="256" spans="1:14">
      <c r="A256" s="4">
        <v>255</v>
      </c>
      <c r="B256" s="4" t="s">
        <v>17</v>
      </c>
      <c r="C256" s="4" t="s">
        <v>23</v>
      </c>
      <c r="D256" s="4" t="s">
        <v>61</v>
      </c>
      <c r="E256" s="4" t="s">
        <v>71</v>
      </c>
      <c r="G256" s="4" t="s">
        <v>131</v>
      </c>
      <c r="H256" s="28" t="s">
        <v>71</v>
      </c>
      <c r="I256" s="90">
        <v>541</v>
      </c>
      <c r="J256" s="4" t="s">
        <v>1031</v>
      </c>
      <c r="K256" s="15">
        <v>45900</v>
      </c>
      <c r="L256" s="4">
        <v>2025402855</v>
      </c>
      <c r="M256" s="4" t="s">
        <v>226</v>
      </c>
      <c r="N256" s="4">
        <v>2025</v>
      </c>
    </row>
    <row r="257" spans="1:14">
      <c r="A257" s="4">
        <v>256</v>
      </c>
      <c r="B257" s="4" t="s">
        <v>53</v>
      </c>
      <c r="C257" s="4" t="s">
        <v>62</v>
      </c>
      <c r="D257" s="4" t="s">
        <v>61</v>
      </c>
      <c r="E257" s="4" t="s">
        <v>71</v>
      </c>
      <c r="G257" s="4" t="s">
        <v>131</v>
      </c>
      <c r="H257" s="28" t="s">
        <v>71</v>
      </c>
      <c r="I257" s="90">
        <v>57.7</v>
      </c>
      <c r="J257" s="4" t="s">
        <v>1035</v>
      </c>
      <c r="K257" s="15">
        <v>45897</v>
      </c>
      <c r="L257" s="4">
        <v>2025402841</v>
      </c>
      <c r="M257" s="4" t="s">
        <v>226</v>
      </c>
      <c r="N257" s="4">
        <v>2025</v>
      </c>
    </row>
    <row r="258" spans="1:14">
      <c r="A258" s="4">
        <v>257</v>
      </c>
      <c r="B258" s="4" t="s">
        <v>29</v>
      </c>
      <c r="C258" s="4" t="s">
        <v>237</v>
      </c>
      <c r="D258" s="4" t="s">
        <v>61</v>
      </c>
      <c r="E258" s="4" t="s">
        <v>71</v>
      </c>
      <c r="G258" s="4" t="s">
        <v>131</v>
      </c>
      <c r="H258" s="28" t="s">
        <v>71</v>
      </c>
      <c r="I258" s="90">
        <v>312</v>
      </c>
      <c r="J258" s="4" t="s">
        <v>1036</v>
      </c>
      <c r="K258" s="15">
        <v>45897</v>
      </c>
      <c r="L258" s="4">
        <v>2025402861</v>
      </c>
      <c r="M258" s="4" t="s">
        <v>226</v>
      </c>
      <c r="N258" s="4">
        <v>2025</v>
      </c>
    </row>
    <row r="259" spans="1:14">
      <c r="A259" s="4">
        <v>258</v>
      </c>
      <c r="B259" s="4" t="s">
        <v>53</v>
      </c>
      <c r="C259" s="4" t="s">
        <v>62</v>
      </c>
      <c r="D259" s="4" t="s">
        <v>61</v>
      </c>
      <c r="E259" s="4" t="s">
        <v>71</v>
      </c>
      <c r="G259" s="4" t="s">
        <v>131</v>
      </c>
      <c r="H259" s="28" t="s">
        <v>71</v>
      </c>
      <c r="I259" s="90">
        <v>353.42</v>
      </c>
      <c r="J259" s="4" t="s">
        <v>1037</v>
      </c>
      <c r="K259" s="15">
        <v>45897</v>
      </c>
      <c r="L259" s="4">
        <v>2025402829</v>
      </c>
      <c r="M259" s="4" t="s">
        <v>226</v>
      </c>
      <c r="N259" s="4">
        <v>2025</v>
      </c>
    </row>
    <row r="260" spans="1:14">
      <c r="A260" s="4">
        <v>259</v>
      </c>
      <c r="B260" s="4" t="s">
        <v>53</v>
      </c>
      <c r="C260" s="4" t="s">
        <v>62</v>
      </c>
      <c r="D260" s="4" t="s">
        <v>61</v>
      </c>
      <c r="E260" s="4" t="s">
        <v>71</v>
      </c>
      <c r="G260" s="4" t="s">
        <v>131</v>
      </c>
      <c r="H260" s="28" t="s">
        <v>71</v>
      </c>
      <c r="I260" s="90">
        <v>261.20999999999998</v>
      </c>
      <c r="J260" s="4" t="s">
        <v>1038</v>
      </c>
      <c r="K260" s="15">
        <v>45897</v>
      </c>
      <c r="L260" s="4">
        <v>2025402845</v>
      </c>
      <c r="M260" s="4" t="s">
        <v>226</v>
      </c>
      <c r="N260" s="4">
        <v>2025</v>
      </c>
    </row>
    <row r="261" spans="1:14">
      <c r="A261" s="4">
        <v>260</v>
      </c>
      <c r="B261" s="4" t="s">
        <v>43</v>
      </c>
      <c r="C261" s="4" t="s">
        <v>50</v>
      </c>
      <c r="D261" s="4" t="s">
        <v>61</v>
      </c>
      <c r="E261" s="4" t="s">
        <v>71</v>
      </c>
      <c r="G261" s="4" t="s">
        <v>131</v>
      </c>
      <c r="H261" s="28" t="s">
        <v>71</v>
      </c>
      <c r="I261" s="90">
        <v>240.75</v>
      </c>
      <c r="J261" s="4" t="s">
        <v>1040</v>
      </c>
      <c r="K261" s="15">
        <v>45900</v>
      </c>
      <c r="L261" s="4">
        <v>2025402833</v>
      </c>
      <c r="M261" s="4" t="s">
        <v>226</v>
      </c>
      <c r="N261" s="4">
        <v>2025</v>
      </c>
    </row>
    <row r="262" spans="1:14">
      <c r="A262" s="4">
        <v>261</v>
      </c>
      <c r="B262" s="4" t="s">
        <v>33</v>
      </c>
      <c r="C262" s="4" t="s">
        <v>34</v>
      </c>
      <c r="D262" s="4" t="s">
        <v>61</v>
      </c>
      <c r="E262" s="4" t="s">
        <v>71</v>
      </c>
      <c r="G262" s="4" t="s">
        <v>131</v>
      </c>
      <c r="H262" s="28" t="s">
        <v>71</v>
      </c>
      <c r="I262" s="90">
        <v>152.68</v>
      </c>
      <c r="J262" s="4" t="s">
        <v>1041</v>
      </c>
      <c r="K262" s="15">
        <v>45899</v>
      </c>
      <c r="L262" s="4">
        <v>2025402832</v>
      </c>
      <c r="M262" s="4" t="s">
        <v>226</v>
      </c>
      <c r="N262" s="4">
        <v>2025</v>
      </c>
    </row>
    <row r="263" spans="1:14">
      <c r="A263" s="4">
        <v>262</v>
      </c>
      <c r="B263" s="4" t="s">
        <v>33</v>
      </c>
      <c r="C263" s="4" t="s">
        <v>34</v>
      </c>
      <c r="D263" s="4" t="s">
        <v>61</v>
      </c>
      <c r="E263" s="4" t="s">
        <v>71</v>
      </c>
      <c r="G263" s="4" t="s">
        <v>131</v>
      </c>
      <c r="H263" s="28" t="s">
        <v>71</v>
      </c>
      <c r="I263" s="90">
        <v>1117.48</v>
      </c>
      <c r="J263" s="4" t="s">
        <v>1042</v>
      </c>
      <c r="K263" s="15">
        <v>45896</v>
      </c>
      <c r="L263" s="4">
        <v>2025402831</v>
      </c>
      <c r="M263" s="4" t="s">
        <v>226</v>
      </c>
      <c r="N263" s="4">
        <v>2025</v>
      </c>
    </row>
    <row r="264" spans="1:14">
      <c r="A264" s="4">
        <v>263</v>
      </c>
      <c r="B264" s="4" t="s">
        <v>33</v>
      </c>
      <c r="C264" s="4" t="s">
        <v>34</v>
      </c>
      <c r="D264" s="4" t="s">
        <v>61</v>
      </c>
      <c r="E264" s="4" t="s">
        <v>71</v>
      </c>
      <c r="G264" s="4" t="s">
        <v>131</v>
      </c>
      <c r="H264" s="28" t="s">
        <v>71</v>
      </c>
      <c r="I264" s="90">
        <v>350</v>
      </c>
      <c r="J264" s="4" t="s">
        <v>1043</v>
      </c>
      <c r="K264" s="15">
        <v>45899</v>
      </c>
      <c r="L264" s="4">
        <v>2025402836</v>
      </c>
      <c r="M264" s="4" t="s">
        <v>226</v>
      </c>
      <c r="N264" s="4">
        <v>2025</v>
      </c>
    </row>
    <row r="265" spans="1:14">
      <c r="A265" s="4">
        <v>264</v>
      </c>
      <c r="B265" s="4" t="s">
        <v>53</v>
      </c>
      <c r="C265" s="4" t="s">
        <v>62</v>
      </c>
      <c r="D265" s="4" t="s">
        <v>61</v>
      </c>
      <c r="E265" s="4" t="s">
        <v>71</v>
      </c>
      <c r="G265" s="4" t="s">
        <v>131</v>
      </c>
      <c r="H265" s="28" t="s">
        <v>71</v>
      </c>
      <c r="I265" s="90">
        <v>1106.03</v>
      </c>
      <c r="J265" s="4" t="s">
        <v>1044</v>
      </c>
      <c r="K265" s="15">
        <v>45897</v>
      </c>
      <c r="L265" s="4">
        <v>2025402849</v>
      </c>
      <c r="M265" s="4" t="s">
        <v>226</v>
      </c>
      <c r="N265" s="4">
        <v>2025</v>
      </c>
    </row>
    <row r="266" spans="1:14">
      <c r="A266" s="4">
        <v>265</v>
      </c>
      <c r="B266" s="4" t="s">
        <v>43</v>
      </c>
      <c r="C266" s="4" t="s">
        <v>50</v>
      </c>
      <c r="D266" s="4" t="s">
        <v>61</v>
      </c>
      <c r="E266" s="4" t="s">
        <v>71</v>
      </c>
      <c r="G266" s="4" t="s">
        <v>131</v>
      </c>
      <c r="H266" s="28" t="s">
        <v>71</v>
      </c>
      <c r="I266" s="90">
        <v>488.88</v>
      </c>
      <c r="J266" s="4" t="s">
        <v>1045</v>
      </c>
      <c r="K266" s="15">
        <v>45900</v>
      </c>
      <c r="L266" s="4">
        <v>2025402847</v>
      </c>
      <c r="M266" s="4" t="s">
        <v>226</v>
      </c>
      <c r="N266" s="4">
        <v>2025</v>
      </c>
    </row>
    <row r="267" spans="1:14">
      <c r="A267" s="4">
        <v>266</v>
      </c>
      <c r="B267" s="4" t="s">
        <v>43</v>
      </c>
      <c r="C267" s="4" t="s">
        <v>51</v>
      </c>
      <c r="D267" s="4" t="s">
        <v>61</v>
      </c>
      <c r="E267" s="4" t="s">
        <v>71</v>
      </c>
      <c r="G267" s="4" t="s">
        <v>131</v>
      </c>
      <c r="H267" s="28" t="s">
        <v>71</v>
      </c>
      <c r="I267" s="90">
        <v>421.15</v>
      </c>
      <c r="J267" s="4" t="s">
        <v>1049</v>
      </c>
      <c r="K267" s="15">
        <v>45900</v>
      </c>
      <c r="L267" s="4">
        <v>2025402848</v>
      </c>
      <c r="M267" s="4" t="s">
        <v>226</v>
      </c>
      <c r="N267" s="4">
        <v>2025</v>
      </c>
    </row>
    <row r="268" spans="1:14">
      <c r="A268" s="4">
        <v>267</v>
      </c>
      <c r="B268" s="4" t="s">
        <v>43</v>
      </c>
      <c r="C268" s="4" t="s">
        <v>51</v>
      </c>
      <c r="D268" s="4" t="s">
        <v>61</v>
      </c>
      <c r="E268" s="4" t="s">
        <v>71</v>
      </c>
      <c r="G268" s="4" t="s">
        <v>131</v>
      </c>
      <c r="H268" s="28" t="s">
        <v>71</v>
      </c>
      <c r="I268" s="90">
        <v>287.89999999999998</v>
      </c>
      <c r="J268" s="4" t="s">
        <v>1050</v>
      </c>
      <c r="K268" s="15">
        <v>45900</v>
      </c>
      <c r="L268" s="4">
        <v>2025402843</v>
      </c>
      <c r="M268" s="4" t="s">
        <v>226</v>
      </c>
      <c r="N268" s="4">
        <v>2025</v>
      </c>
    </row>
    <row r="269" spans="1:14">
      <c r="A269" s="4">
        <v>268</v>
      </c>
      <c r="B269" s="4" t="s">
        <v>43</v>
      </c>
      <c r="C269" s="4" t="s">
        <v>50</v>
      </c>
      <c r="D269" s="4" t="s">
        <v>61</v>
      </c>
      <c r="E269" s="4" t="s">
        <v>71</v>
      </c>
      <c r="G269" s="4" t="s">
        <v>131</v>
      </c>
      <c r="H269" s="28" t="s">
        <v>71</v>
      </c>
      <c r="I269" s="90">
        <v>106.43</v>
      </c>
      <c r="J269" s="4" t="s">
        <v>1051</v>
      </c>
      <c r="K269" s="15">
        <v>45899</v>
      </c>
      <c r="L269" s="4">
        <v>2025402837</v>
      </c>
      <c r="M269" s="4" t="s">
        <v>226</v>
      </c>
      <c r="N269" s="4">
        <v>2025</v>
      </c>
    </row>
    <row r="270" spans="1:14">
      <c r="A270" s="4">
        <v>269</v>
      </c>
      <c r="B270" s="4" t="s">
        <v>43</v>
      </c>
      <c r="C270" s="4" t="s">
        <v>51</v>
      </c>
      <c r="D270" s="4" t="s">
        <v>61</v>
      </c>
      <c r="E270" s="4" t="s">
        <v>71</v>
      </c>
      <c r="G270" s="4" t="s">
        <v>131</v>
      </c>
      <c r="H270" s="28" t="s">
        <v>71</v>
      </c>
      <c r="I270" s="90">
        <v>180</v>
      </c>
      <c r="J270" s="4" t="s">
        <v>1052</v>
      </c>
      <c r="K270" s="15">
        <v>45897</v>
      </c>
      <c r="L270" s="4">
        <v>2025402828</v>
      </c>
      <c r="M270" s="4" t="s">
        <v>226</v>
      </c>
      <c r="N270" s="4">
        <v>2025</v>
      </c>
    </row>
    <row r="271" spans="1:14">
      <c r="A271" s="4">
        <v>270</v>
      </c>
      <c r="B271" s="4" t="s">
        <v>35</v>
      </c>
      <c r="C271" s="4" t="s">
        <v>37</v>
      </c>
      <c r="D271" s="4" t="s">
        <v>61</v>
      </c>
      <c r="E271" s="4" t="s">
        <v>71</v>
      </c>
      <c r="G271" s="4" t="s">
        <v>131</v>
      </c>
      <c r="H271" s="28" t="s">
        <v>71</v>
      </c>
      <c r="I271" s="90">
        <v>115.4</v>
      </c>
      <c r="J271" s="4" t="s">
        <v>1053</v>
      </c>
      <c r="K271" s="15">
        <v>45899</v>
      </c>
      <c r="L271" s="4">
        <v>2025402838</v>
      </c>
      <c r="M271" s="4" t="s">
        <v>226</v>
      </c>
      <c r="N271" s="4">
        <v>2025</v>
      </c>
    </row>
    <row r="272" spans="1:14">
      <c r="A272" s="4">
        <v>271</v>
      </c>
      <c r="B272" s="4" t="s">
        <v>35</v>
      </c>
      <c r="C272" s="4" t="s">
        <v>37</v>
      </c>
      <c r="D272" s="4" t="s">
        <v>61</v>
      </c>
      <c r="E272" s="4" t="s">
        <v>71</v>
      </c>
      <c r="G272" s="4" t="s">
        <v>131</v>
      </c>
      <c r="H272" s="28" t="s">
        <v>71</v>
      </c>
      <c r="I272" s="90">
        <v>1061.2</v>
      </c>
      <c r="J272" s="4" t="s">
        <v>1054</v>
      </c>
      <c r="K272" s="15">
        <v>45899</v>
      </c>
      <c r="L272" s="4">
        <v>2025402830</v>
      </c>
      <c r="M272" s="4" t="s">
        <v>226</v>
      </c>
      <c r="N272" s="4">
        <v>2025</v>
      </c>
    </row>
    <row r="273" spans="1:14">
      <c r="A273" s="4">
        <v>272</v>
      </c>
      <c r="B273" s="4" t="s">
        <v>17</v>
      </c>
      <c r="C273" s="4" t="s">
        <v>22</v>
      </c>
      <c r="D273" s="4" t="s">
        <v>61</v>
      </c>
      <c r="E273" s="4" t="s">
        <v>71</v>
      </c>
      <c r="G273" s="4" t="s">
        <v>131</v>
      </c>
      <c r="H273" s="28" t="s">
        <v>71</v>
      </c>
      <c r="I273" s="90">
        <v>315.24</v>
      </c>
      <c r="J273" s="4" t="s">
        <v>1056</v>
      </c>
      <c r="K273" s="15">
        <v>45900</v>
      </c>
      <c r="L273" s="4">
        <v>2025402857</v>
      </c>
      <c r="M273" s="4" t="s">
        <v>226</v>
      </c>
      <c r="N273" s="4">
        <v>2025</v>
      </c>
    </row>
    <row r="274" spans="1:14">
      <c r="A274" s="4">
        <v>273</v>
      </c>
      <c r="B274" s="4" t="s">
        <v>35</v>
      </c>
      <c r="C274" s="4" t="s">
        <v>41</v>
      </c>
      <c r="D274" s="4" t="s">
        <v>61</v>
      </c>
      <c r="E274" s="4" t="s">
        <v>71</v>
      </c>
      <c r="G274" s="4" t="s">
        <v>131</v>
      </c>
      <c r="H274" s="28" t="s">
        <v>71</v>
      </c>
      <c r="I274" s="90">
        <v>69</v>
      </c>
      <c r="J274" s="4" t="s">
        <v>1057</v>
      </c>
      <c r="K274" s="15">
        <v>45899</v>
      </c>
      <c r="L274" s="4">
        <v>2025402839</v>
      </c>
      <c r="M274" s="4" t="s">
        <v>226</v>
      </c>
      <c r="N274" s="4">
        <v>2025</v>
      </c>
    </row>
    <row r="275" spans="1:14">
      <c r="A275" s="4">
        <v>274</v>
      </c>
      <c r="B275" s="4" t="s">
        <v>43</v>
      </c>
      <c r="C275" s="4" t="s">
        <v>45</v>
      </c>
      <c r="D275" s="4" t="s">
        <v>61</v>
      </c>
      <c r="E275" s="4" t="s">
        <v>71</v>
      </c>
      <c r="G275" s="4" t="s">
        <v>131</v>
      </c>
      <c r="H275" s="28" t="s">
        <v>71</v>
      </c>
      <c r="I275" s="90">
        <v>198</v>
      </c>
      <c r="J275" s="4" t="s">
        <v>1058</v>
      </c>
      <c r="K275" s="15">
        <v>45899</v>
      </c>
      <c r="L275" s="4">
        <v>2025402840</v>
      </c>
      <c r="M275" s="4" t="s">
        <v>226</v>
      </c>
      <c r="N275" s="4">
        <v>2025</v>
      </c>
    </row>
    <row r="276" spans="1:14">
      <c r="A276" s="4">
        <v>275</v>
      </c>
      <c r="B276" s="4" t="s">
        <v>43</v>
      </c>
      <c r="C276" s="4" t="s">
        <v>45</v>
      </c>
      <c r="D276" s="4" t="s">
        <v>61</v>
      </c>
      <c r="E276" s="4" t="s">
        <v>71</v>
      </c>
      <c r="G276" s="4" t="s">
        <v>131</v>
      </c>
      <c r="H276" s="28" t="s">
        <v>71</v>
      </c>
      <c r="I276" s="90">
        <v>11.08</v>
      </c>
      <c r="J276" s="4" t="s">
        <v>1059</v>
      </c>
      <c r="K276" s="15">
        <v>45900</v>
      </c>
      <c r="L276" s="4">
        <v>2025402827</v>
      </c>
      <c r="M276" s="4" t="s">
        <v>226</v>
      </c>
      <c r="N276" s="4">
        <v>2025</v>
      </c>
    </row>
    <row r="277" spans="1:14">
      <c r="A277" s="4">
        <v>276</v>
      </c>
      <c r="B277" s="4" t="s">
        <v>43</v>
      </c>
      <c r="C277" s="4" t="s">
        <v>44</v>
      </c>
      <c r="D277" s="4" t="s">
        <v>61</v>
      </c>
      <c r="E277" s="4" t="s">
        <v>71</v>
      </c>
      <c r="G277" s="4" t="s">
        <v>131</v>
      </c>
      <c r="H277" s="28" t="s">
        <v>71</v>
      </c>
      <c r="I277" s="90">
        <v>1365.54</v>
      </c>
      <c r="J277" s="4" t="s">
        <v>1060</v>
      </c>
      <c r="K277" s="15">
        <v>45899</v>
      </c>
      <c r="L277" s="4">
        <v>2025402835</v>
      </c>
      <c r="M277" s="4" t="s">
        <v>226</v>
      </c>
      <c r="N277" s="4">
        <v>2025</v>
      </c>
    </row>
    <row r="278" spans="1:14">
      <c r="A278" s="4">
        <v>277</v>
      </c>
      <c r="B278" s="4" t="s">
        <v>55</v>
      </c>
      <c r="C278" s="4" t="s">
        <v>98</v>
      </c>
      <c r="D278" s="4" t="s">
        <v>61</v>
      </c>
      <c r="E278" s="4" t="s">
        <v>71</v>
      </c>
      <c r="G278" s="4" t="s">
        <v>131</v>
      </c>
      <c r="H278" s="28" t="s">
        <v>71</v>
      </c>
      <c r="I278" s="90">
        <v>311.11</v>
      </c>
      <c r="J278" s="4" t="s">
        <v>1064</v>
      </c>
      <c r="K278" s="15">
        <v>45899</v>
      </c>
      <c r="L278" s="4">
        <v>2025402853</v>
      </c>
      <c r="M278" s="4" t="s">
        <v>226</v>
      </c>
      <c r="N278" s="4">
        <v>2025</v>
      </c>
    </row>
    <row r="279" spans="1:14">
      <c r="A279" s="4">
        <v>278</v>
      </c>
      <c r="B279" s="4" t="s">
        <v>17</v>
      </c>
      <c r="C279" s="4" t="s">
        <v>25</v>
      </c>
      <c r="D279" s="4" t="s">
        <v>61</v>
      </c>
      <c r="E279" s="4" t="s">
        <v>71</v>
      </c>
      <c r="G279" s="4" t="s">
        <v>131</v>
      </c>
      <c r="H279" s="28" t="s">
        <v>71</v>
      </c>
      <c r="I279" s="90">
        <v>253</v>
      </c>
      <c r="J279" s="4" t="s">
        <v>1069</v>
      </c>
      <c r="K279" s="15">
        <v>45900</v>
      </c>
      <c r="L279" s="4">
        <v>2025402951</v>
      </c>
      <c r="M279" s="4" t="s">
        <v>226</v>
      </c>
      <c r="N279" s="4">
        <v>2025</v>
      </c>
    </row>
    <row r="280" spans="1:14">
      <c r="A280" s="4">
        <v>279</v>
      </c>
      <c r="B280" s="4" t="s">
        <v>17</v>
      </c>
      <c r="C280" s="4" t="s">
        <v>25</v>
      </c>
      <c r="D280" s="4" t="s">
        <v>61</v>
      </c>
      <c r="E280" s="4" t="s">
        <v>71</v>
      </c>
      <c r="G280" s="4" t="s">
        <v>131</v>
      </c>
      <c r="H280" s="28" t="s">
        <v>71</v>
      </c>
      <c r="I280" s="90">
        <v>586.65</v>
      </c>
      <c r="J280" s="4" t="s">
        <v>1076</v>
      </c>
      <c r="K280" s="15">
        <v>45901</v>
      </c>
      <c r="L280" s="4">
        <v>2025402950</v>
      </c>
      <c r="M280" s="4" t="s">
        <v>226</v>
      </c>
      <c r="N280" s="4">
        <v>2025</v>
      </c>
    </row>
    <row r="281" spans="1:14">
      <c r="A281" s="4">
        <v>280</v>
      </c>
      <c r="B281" s="4" t="s">
        <v>55</v>
      </c>
      <c r="C281" s="4" t="s">
        <v>56</v>
      </c>
      <c r="D281" s="4" t="s">
        <v>61</v>
      </c>
      <c r="E281" s="4" t="s">
        <v>71</v>
      </c>
      <c r="G281" s="4" t="s">
        <v>131</v>
      </c>
      <c r="H281" s="28" t="s">
        <v>71</v>
      </c>
      <c r="I281" s="90">
        <v>332.6</v>
      </c>
      <c r="J281" s="4" t="s">
        <v>1077</v>
      </c>
      <c r="K281" s="15">
        <v>45899</v>
      </c>
      <c r="L281" s="4">
        <v>2025402850</v>
      </c>
      <c r="M281" s="4" t="s">
        <v>226</v>
      </c>
      <c r="N281" s="4">
        <v>2025</v>
      </c>
    </row>
    <row r="282" spans="1:14">
      <c r="A282" s="4">
        <v>281</v>
      </c>
      <c r="B282" s="4" t="s">
        <v>43</v>
      </c>
      <c r="C282" s="4" t="s">
        <v>50</v>
      </c>
      <c r="D282" s="4" t="s">
        <v>61</v>
      </c>
      <c r="E282" s="4" t="s">
        <v>71</v>
      </c>
      <c r="G282" s="4" t="s">
        <v>131</v>
      </c>
      <c r="H282" s="28" t="s">
        <v>71</v>
      </c>
      <c r="I282" s="90">
        <v>50.7</v>
      </c>
      <c r="J282" s="4" t="s">
        <v>1085</v>
      </c>
      <c r="K282" s="15">
        <v>45900</v>
      </c>
      <c r="L282" s="4">
        <v>2025402834</v>
      </c>
      <c r="M282" s="4" t="s">
        <v>226</v>
      </c>
      <c r="N282" s="4">
        <v>2025</v>
      </c>
    </row>
    <row r="283" spans="1:14">
      <c r="A283" s="4">
        <v>282</v>
      </c>
      <c r="B283" s="4" t="s">
        <v>35</v>
      </c>
      <c r="C283" s="4" t="s">
        <v>38</v>
      </c>
      <c r="D283" s="4" t="s">
        <v>61</v>
      </c>
      <c r="E283" s="4" t="s">
        <v>71</v>
      </c>
      <c r="G283" s="4" t="s">
        <v>131</v>
      </c>
      <c r="H283" s="28" t="s">
        <v>71</v>
      </c>
      <c r="I283" s="90">
        <v>957</v>
      </c>
      <c r="J283" s="4" t="s">
        <v>1094</v>
      </c>
      <c r="K283" s="15">
        <v>45889</v>
      </c>
      <c r="L283" s="4">
        <v>2024403734</v>
      </c>
      <c r="M283" s="4" t="s">
        <v>226</v>
      </c>
      <c r="N283" s="4">
        <v>2025</v>
      </c>
    </row>
    <row r="284" spans="1:14">
      <c r="A284" s="4">
        <v>283</v>
      </c>
      <c r="B284" s="4" t="s">
        <v>43</v>
      </c>
      <c r="C284" s="4" t="s">
        <v>50</v>
      </c>
      <c r="D284" s="4" t="s">
        <v>61</v>
      </c>
      <c r="E284" s="4" t="s">
        <v>71</v>
      </c>
      <c r="G284" s="4" t="s">
        <v>131</v>
      </c>
      <c r="H284" s="28" t="s">
        <v>71</v>
      </c>
      <c r="I284" s="90">
        <v>495</v>
      </c>
      <c r="J284" s="4" t="s">
        <v>1095</v>
      </c>
      <c r="K284" s="15">
        <v>45889</v>
      </c>
      <c r="L284" s="4">
        <v>2024403740</v>
      </c>
      <c r="M284" s="4" t="s">
        <v>226</v>
      </c>
      <c r="N284" s="4">
        <v>2025</v>
      </c>
    </row>
    <row r="285" spans="1:14">
      <c r="A285" s="4">
        <v>284</v>
      </c>
      <c r="B285" s="4" t="s">
        <v>55</v>
      </c>
      <c r="C285" s="4" t="s">
        <v>56</v>
      </c>
      <c r="D285" s="4" t="s">
        <v>61</v>
      </c>
      <c r="E285" s="4" t="s">
        <v>71</v>
      </c>
      <c r="G285" s="4" t="s">
        <v>131</v>
      </c>
      <c r="H285" s="28" t="s">
        <v>71</v>
      </c>
      <c r="I285" s="90">
        <v>2763.35</v>
      </c>
      <c r="J285" s="4" t="s">
        <v>1098</v>
      </c>
      <c r="K285" s="15">
        <v>45888</v>
      </c>
      <c r="L285" s="4">
        <v>2024403731</v>
      </c>
      <c r="M285" s="4" t="s">
        <v>226</v>
      </c>
      <c r="N285" s="4">
        <v>2025</v>
      </c>
    </row>
    <row r="286" spans="1:14">
      <c r="A286" s="4">
        <v>285</v>
      </c>
      <c r="B286" s="4" t="s">
        <v>17</v>
      </c>
      <c r="C286" s="4" t="s">
        <v>26</v>
      </c>
      <c r="D286" s="4" t="s">
        <v>61</v>
      </c>
      <c r="E286" s="4" t="s">
        <v>71</v>
      </c>
      <c r="G286" s="4" t="s">
        <v>131</v>
      </c>
      <c r="H286" s="28" t="s">
        <v>71</v>
      </c>
      <c r="I286" s="90">
        <v>2345.8000000000002</v>
      </c>
      <c r="J286" s="4" t="s">
        <v>1102</v>
      </c>
      <c r="K286" s="15">
        <v>45889</v>
      </c>
      <c r="L286" s="4">
        <v>2024403568</v>
      </c>
      <c r="M286" s="4" t="s">
        <v>226</v>
      </c>
      <c r="N286" s="4">
        <v>2025</v>
      </c>
    </row>
    <row r="287" spans="1:14">
      <c r="A287" s="4">
        <v>286</v>
      </c>
      <c r="B287" s="4" t="s">
        <v>55</v>
      </c>
      <c r="C287" s="4" t="s">
        <v>98</v>
      </c>
      <c r="D287" s="4" t="s">
        <v>61</v>
      </c>
      <c r="E287" s="4" t="s">
        <v>71</v>
      </c>
      <c r="G287" s="4" t="s">
        <v>131</v>
      </c>
      <c r="H287" s="28" t="s">
        <v>71</v>
      </c>
      <c r="I287" s="90">
        <v>771</v>
      </c>
      <c r="J287" s="4" t="s">
        <v>1109</v>
      </c>
      <c r="K287" s="15">
        <v>45889</v>
      </c>
      <c r="L287" s="4">
        <v>2024403736</v>
      </c>
      <c r="M287" s="4" t="s">
        <v>226</v>
      </c>
      <c r="N287" s="4">
        <v>2025</v>
      </c>
    </row>
    <row r="288" spans="1:14">
      <c r="A288" s="4">
        <v>287</v>
      </c>
      <c r="B288" s="4" t="s">
        <v>53</v>
      </c>
      <c r="C288" s="4" t="s">
        <v>62</v>
      </c>
      <c r="D288" s="4" t="s">
        <v>61</v>
      </c>
      <c r="E288" s="4" t="s">
        <v>71</v>
      </c>
      <c r="G288" s="4" t="s">
        <v>131</v>
      </c>
      <c r="H288" s="28" t="s">
        <v>71</v>
      </c>
      <c r="I288" s="90">
        <v>1507.28</v>
      </c>
      <c r="J288" s="4" t="s">
        <v>1115</v>
      </c>
      <c r="K288" s="15">
        <v>45900</v>
      </c>
      <c r="L288" s="4">
        <v>2025402844</v>
      </c>
      <c r="M288" s="4" t="s">
        <v>226</v>
      </c>
      <c r="N288" s="4">
        <v>2025</v>
      </c>
    </row>
    <row r="289" spans="1:14">
      <c r="A289" s="4">
        <v>288</v>
      </c>
      <c r="B289" s="4" t="s">
        <v>17</v>
      </c>
      <c r="C289" s="4" t="s">
        <v>23</v>
      </c>
      <c r="D289" s="4" t="s">
        <v>61</v>
      </c>
      <c r="E289" s="4" t="s">
        <v>71</v>
      </c>
      <c r="G289" s="4" t="s">
        <v>131</v>
      </c>
      <c r="H289" s="28" t="s">
        <v>71</v>
      </c>
      <c r="I289" s="90">
        <v>1106.2</v>
      </c>
      <c r="J289" s="4" t="s">
        <v>1124</v>
      </c>
      <c r="K289" s="15">
        <v>45889</v>
      </c>
      <c r="L289" s="4">
        <v>2024403733</v>
      </c>
      <c r="M289" s="4" t="s">
        <v>226</v>
      </c>
      <c r="N289" s="4">
        <v>2025</v>
      </c>
    </row>
    <row r="290" spans="1:14">
      <c r="A290" s="4">
        <v>289</v>
      </c>
      <c r="B290" s="4" t="s">
        <v>17</v>
      </c>
      <c r="C290" s="4" t="s">
        <v>23</v>
      </c>
      <c r="D290" s="4" t="s">
        <v>61</v>
      </c>
      <c r="E290" s="4" t="s">
        <v>71</v>
      </c>
      <c r="G290" s="4" t="s">
        <v>131</v>
      </c>
      <c r="H290" s="28" t="s">
        <v>71</v>
      </c>
      <c r="I290" s="90">
        <v>849.2</v>
      </c>
      <c r="J290" s="4" t="s">
        <v>1125</v>
      </c>
      <c r="K290" s="15">
        <v>45889</v>
      </c>
      <c r="L290" s="4">
        <v>2024403730</v>
      </c>
      <c r="M290" s="4" t="s">
        <v>226</v>
      </c>
      <c r="N290" s="4">
        <v>2025</v>
      </c>
    </row>
    <row r="291" spans="1:14">
      <c r="A291" s="4">
        <v>290</v>
      </c>
      <c r="B291" s="4" t="s">
        <v>17</v>
      </c>
      <c r="C291" s="4" t="s">
        <v>25</v>
      </c>
      <c r="D291" s="4" t="s">
        <v>61</v>
      </c>
      <c r="E291" s="4" t="s">
        <v>71</v>
      </c>
      <c r="G291" s="4" t="s">
        <v>131</v>
      </c>
      <c r="H291" s="28" t="s">
        <v>71</v>
      </c>
      <c r="I291" s="90">
        <v>1532.37</v>
      </c>
      <c r="J291" s="4" t="s">
        <v>1132</v>
      </c>
      <c r="K291" s="15">
        <v>45899</v>
      </c>
      <c r="L291" s="4">
        <v>2025402854</v>
      </c>
      <c r="M291" s="4" t="s">
        <v>226</v>
      </c>
      <c r="N291" s="4">
        <v>2025</v>
      </c>
    </row>
    <row r="292" spans="1:14">
      <c r="A292" s="4">
        <v>291</v>
      </c>
      <c r="B292" s="4" t="s">
        <v>35</v>
      </c>
      <c r="C292" s="4" t="s">
        <v>38</v>
      </c>
      <c r="D292" s="4" t="s">
        <v>61</v>
      </c>
      <c r="E292" s="4" t="s">
        <v>71</v>
      </c>
      <c r="G292" s="4" t="s">
        <v>131</v>
      </c>
      <c r="H292" s="28" t="s">
        <v>71</v>
      </c>
      <c r="I292" s="90">
        <v>450</v>
      </c>
      <c r="J292" s="4" t="s">
        <v>1133</v>
      </c>
      <c r="K292" s="15">
        <v>45876</v>
      </c>
      <c r="L292" s="4">
        <v>2025402219</v>
      </c>
      <c r="M292" s="4" t="s">
        <v>226</v>
      </c>
      <c r="N292" s="4">
        <v>2025</v>
      </c>
    </row>
    <row r="293" spans="1:14">
      <c r="A293" s="4">
        <v>292</v>
      </c>
      <c r="B293" s="4" t="s">
        <v>55</v>
      </c>
      <c r="C293" s="4" t="s">
        <v>56</v>
      </c>
      <c r="D293" s="4" t="s">
        <v>61</v>
      </c>
      <c r="E293" s="4" t="s">
        <v>71</v>
      </c>
      <c r="G293" s="4" t="s">
        <v>131</v>
      </c>
      <c r="H293" s="28" t="s">
        <v>71</v>
      </c>
      <c r="I293" s="90">
        <v>235.55</v>
      </c>
      <c r="J293" s="4" t="s">
        <v>1134</v>
      </c>
      <c r="K293" s="15">
        <v>45861</v>
      </c>
      <c r="L293" s="4">
        <v>2025402380</v>
      </c>
      <c r="M293" s="4" t="s">
        <v>225</v>
      </c>
      <c r="N293" s="4">
        <v>2025</v>
      </c>
    </row>
    <row r="294" spans="1:14">
      <c r="A294" s="4">
        <v>293</v>
      </c>
      <c r="B294" s="4" t="s">
        <v>43</v>
      </c>
      <c r="C294" s="4" t="s">
        <v>49</v>
      </c>
      <c r="D294" s="4" t="s">
        <v>61</v>
      </c>
      <c r="E294" s="4" t="s">
        <v>71</v>
      </c>
      <c r="G294" s="4" t="s">
        <v>131</v>
      </c>
      <c r="H294" s="28" t="s">
        <v>71</v>
      </c>
      <c r="I294" s="90">
        <v>730</v>
      </c>
      <c r="J294" s="4" t="s">
        <v>1135</v>
      </c>
      <c r="K294" s="15">
        <v>45862</v>
      </c>
      <c r="L294" s="4">
        <v>2025402405</v>
      </c>
      <c r="M294" s="4" t="s">
        <v>225</v>
      </c>
      <c r="N294" s="4">
        <v>2025</v>
      </c>
    </row>
    <row r="295" spans="1:14">
      <c r="A295" s="4">
        <v>294</v>
      </c>
      <c r="B295" s="4" t="s">
        <v>43</v>
      </c>
      <c r="C295" s="4" t="s">
        <v>44</v>
      </c>
      <c r="D295" s="4" t="s">
        <v>61</v>
      </c>
      <c r="E295" s="4" t="s">
        <v>71</v>
      </c>
      <c r="G295" s="4" t="s">
        <v>131</v>
      </c>
      <c r="H295" s="28" t="s">
        <v>71</v>
      </c>
      <c r="I295" s="90">
        <v>574.15</v>
      </c>
      <c r="J295" s="4" t="s">
        <v>1136</v>
      </c>
      <c r="K295" s="15">
        <v>45872</v>
      </c>
      <c r="L295" s="4">
        <v>2025402525</v>
      </c>
      <c r="M295" s="4" t="s">
        <v>226</v>
      </c>
      <c r="N295" s="4">
        <v>2025</v>
      </c>
    </row>
    <row r="296" spans="1:14">
      <c r="A296" s="4">
        <v>295</v>
      </c>
      <c r="B296" s="4" t="s">
        <v>272</v>
      </c>
      <c r="C296" s="4" t="s">
        <v>32</v>
      </c>
      <c r="D296" s="4" t="s">
        <v>61</v>
      </c>
      <c r="E296" s="4" t="s">
        <v>71</v>
      </c>
      <c r="G296" s="4" t="s">
        <v>131</v>
      </c>
      <c r="H296" s="28" t="s">
        <v>71</v>
      </c>
      <c r="I296" s="90">
        <v>267.76</v>
      </c>
      <c r="J296" s="4" t="s">
        <v>1137</v>
      </c>
      <c r="K296" s="15">
        <v>45860</v>
      </c>
      <c r="L296" s="4">
        <v>2025402372</v>
      </c>
      <c r="M296" s="4" t="s">
        <v>225</v>
      </c>
      <c r="N296" s="4">
        <v>2025</v>
      </c>
    </row>
    <row r="297" spans="1:14">
      <c r="A297" s="4">
        <v>296</v>
      </c>
      <c r="B297" s="4" t="s">
        <v>33</v>
      </c>
      <c r="C297" s="4" t="s">
        <v>34</v>
      </c>
      <c r="D297" s="4" t="s">
        <v>61</v>
      </c>
      <c r="E297" s="4" t="s">
        <v>71</v>
      </c>
      <c r="G297" s="4" t="s">
        <v>131</v>
      </c>
      <c r="H297" s="28" t="s">
        <v>71</v>
      </c>
      <c r="I297" s="90">
        <v>184.62</v>
      </c>
      <c r="J297" s="4" t="s">
        <v>1138</v>
      </c>
      <c r="K297" s="15">
        <v>45873</v>
      </c>
      <c r="L297" s="4">
        <v>2025402494</v>
      </c>
      <c r="M297" s="4" t="s">
        <v>226</v>
      </c>
      <c r="N297" s="4">
        <v>2025</v>
      </c>
    </row>
    <row r="298" spans="1:14">
      <c r="A298" s="4">
        <v>297</v>
      </c>
      <c r="B298" s="4" t="s">
        <v>33</v>
      </c>
      <c r="C298" s="4" t="s">
        <v>34</v>
      </c>
      <c r="D298" s="4" t="s">
        <v>61</v>
      </c>
      <c r="E298" s="4" t="s">
        <v>71</v>
      </c>
      <c r="G298" s="4" t="s">
        <v>131</v>
      </c>
      <c r="H298" s="28" t="s">
        <v>71</v>
      </c>
      <c r="I298" s="90">
        <v>315.55</v>
      </c>
      <c r="J298" s="4" t="s">
        <v>1139</v>
      </c>
      <c r="K298" s="15">
        <v>45876</v>
      </c>
      <c r="L298" s="4">
        <v>2025402521</v>
      </c>
      <c r="M298" s="4" t="s">
        <v>226</v>
      </c>
      <c r="N298" s="4">
        <v>2025</v>
      </c>
    </row>
    <row r="299" spans="1:14">
      <c r="A299" s="4">
        <v>298</v>
      </c>
      <c r="B299" s="4" t="s">
        <v>55</v>
      </c>
      <c r="C299" s="4" t="s">
        <v>56</v>
      </c>
      <c r="D299" s="4" t="s">
        <v>61</v>
      </c>
      <c r="E299" s="4" t="s">
        <v>71</v>
      </c>
      <c r="G299" s="4" t="s">
        <v>131</v>
      </c>
      <c r="H299" s="28" t="s">
        <v>71</v>
      </c>
      <c r="I299" s="90">
        <v>88</v>
      </c>
      <c r="J299" s="4" t="s">
        <v>1140</v>
      </c>
      <c r="K299" s="15">
        <v>45873</v>
      </c>
      <c r="L299" s="4">
        <v>2025402540</v>
      </c>
      <c r="M299" s="4" t="s">
        <v>226</v>
      </c>
      <c r="N299" s="4">
        <v>2025</v>
      </c>
    </row>
    <row r="300" spans="1:14">
      <c r="A300" s="4">
        <v>299</v>
      </c>
      <c r="B300" s="4" t="s">
        <v>33</v>
      </c>
      <c r="C300" s="4" t="s">
        <v>34</v>
      </c>
      <c r="D300" s="4" t="s">
        <v>61</v>
      </c>
      <c r="E300" s="4" t="s">
        <v>71</v>
      </c>
      <c r="G300" s="4" t="s">
        <v>131</v>
      </c>
      <c r="H300" s="28" t="s">
        <v>71</v>
      </c>
      <c r="I300" s="90">
        <v>1700</v>
      </c>
      <c r="J300" s="4" t="s">
        <v>1141</v>
      </c>
      <c r="K300" s="15">
        <v>45837</v>
      </c>
      <c r="L300" s="4">
        <v>2025401917</v>
      </c>
      <c r="M300" s="4" t="s">
        <v>225</v>
      </c>
      <c r="N300" s="4">
        <v>2025</v>
      </c>
    </row>
    <row r="301" spans="1:14">
      <c r="A301" s="4">
        <v>300</v>
      </c>
      <c r="B301" s="4" t="s">
        <v>33</v>
      </c>
      <c r="C301" s="4" t="s">
        <v>34</v>
      </c>
      <c r="D301" s="4" t="s">
        <v>61</v>
      </c>
      <c r="E301" s="4" t="s">
        <v>71</v>
      </c>
      <c r="G301" s="4" t="s">
        <v>131</v>
      </c>
      <c r="H301" s="28" t="s">
        <v>71</v>
      </c>
      <c r="I301" s="90">
        <v>1925.84</v>
      </c>
      <c r="J301" s="4" t="s">
        <v>1142</v>
      </c>
      <c r="K301" s="15">
        <v>45837</v>
      </c>
      <c r="L301" s="4">
        <v>2025401916</v>
      </c>
      <c r="M301" s="4" t="s">
        <v>225</v>
      </c>
      <c r="N301" s="4">
        <v>2025</v>
      </c>
    </row>
    <row r="302" spans="1:14">
      <c r="A302" s="4">
        <v>301</v>
      </c>
      <c r="B302" s="4" t="s">
        <v>33</v>
      </c>
      <c r="C302" s="4" t="s">
        <v>34</v>
      </c>
      <c r="D302" s="4" t="s">
        <v>61</v>
      </c>
      <c r="E302" s="4" t="s">
        <v>71</v>
      </c>
      <c r="G302" s="4" t="s">
        <v>131</v>
      </c>
      <c r="H302" s="28" t="s">
        <v>71</v>
      </c>
      <c r="I302" s="90">
        <v>1439.7</v>
      </c>
      <c r="J302" s="4" t="s">
        <v>1143</v>
      </c>
      <c r="K302" s="15">
        <v>45837</v>
      </c>
      <c r="L302" s="4">
        <v>2025401915</v>
      </c>
      <c r="M302" s="4" t="s">
        <v>225</v>
      </c>
      <c r="N302" s="4">
        <v>2025</v>
      </c>
    </row>
    <row r="303" spans="1:14">
      <c r="A303" s="4">
        <v>302</v>
      </c>
      <c r="B303" s="4" t="s">
        <v>53</v>
      </c>
      <c r="C303" s="4" t="s">
        <v>62</v>
      </c>
      <c r="D303" s="4" t="s">
        <v>61</v>
      </c>
      <c r="E303" s="4" t="s">
        <v>71</v>
      </c>
      <c r="G303" s="4" t="s">
        <v>131</v>
      </c>
      <c r="H303" s="28" t="s">
        <v>71</v>
      </c>
      <c r="I303" s="90">
        <v>1337.65</v>
      </c>
      <c r="J303" s="4" t="s">
        <v>1144</v>
      </c>
      <c r="K303" s="15">
        <v>45839</v>
      </c>
      <c r="L303" s="4">
        <v>2025401911</v>
      </c>
      <c r="M303" s="4" t="s">
        <v>225</v>
      </c>
      <c r="N303" s="4">
        <v>2025</v>
      </c>
    </row>
    <row r="304" spans="1:14">
      <c r="A304" s="4">
        <v>303</v>
      </c>
      <c r="B304" s="4" t="s">
        <v>43</v>
      </c>
      <c r="C304" s="4" t="s">
        <v>52</v>
      </c>
      <c r="D304" s="4" t="s">
        <v>61</v>
      </c>
      <c r="E304" s="4" t="s">
        <v>71</v>
      </c>
      <c r="G304" s="4" t="s">
        <v>131</v>
      </c>
      <c r="H304" s="28" t="s">
        <v>71</v>
      </c>
      <c r="I304" s="90">
        <v>488.88</v>
      </c>
      <c r="J304" s="4" t="s">
        <v>1146</v>
      </c>
      <c r="K304" s="15">
        <v>45946</v>
      </c>
      <c r="L304" s="4">
        <v>2025403638</v>
      </c>
      <c r="M304" s="4" t="s">
        <v>226</v>
      </c>
      <c r="N304" s="4">
        <v>2025</v>
      </c>
    </row>
    <row r="305" spans="1:14">
      <c r="A305" s="4">
        <v>304</v>
      </c>
      <c r="B305" s="4" t="s">
        <v>43</v>
      </c>
      <c r="C305" s="4" t="s">
        <v>47</v>
      </c>
      <c r="D305" s="4" t="s">
        <v>61</v>
      </c>
      <c r="E305" s="4" t="s">
        <v>71</v>
      </c>
      <c r="G305" s="4" t="s">
        <v>131</v>
      </c>
      <c r="H305" s="28" t="s">
        <v>71</v>
      </c>
      <c r="I305" s="90">
        <v>2268.21</v>
      </c>
      <c r="J305" s="4" t="s">
        <v>1155</v>
      </c>
      <c r="K305" s="15">
        <v>45962</v>
      </c>
      <c r="L305" s="4">
        <v>2025403957</v>
      </c>
      <c r="M305" s="4" t="s">
        <v>225</v>
      </c>
      <c r="N305" s="4">
        <v>2025</v>
      </c>
    </row>
    <row r="306" spans="1:14">
      <c r="A306" s="4">
        <v>305</v>
      </c>
      <c r="B306" s="4" t="s">
        <v>17</v>
      </c>
      <c r="C306" s="4" t="s">
        <v>23</v>
      </c>
      <c r="D306" s="4" t="s">
        <v>61</v>
      </c>
      <c r="E306" s="4" t="s">
        <v>71</v>
      </c>
      <c r="G306" s="4" t="s">
        <v>131</v>
      </c>
      <c r="H306" s="28" t="s">
        <v>71</v>
      </c>
      <c r="I306" s="90">
        <v>1813.89</v>
      </c>
      <c r="J306" s="4" t="s">
        <v>1165</v>
      </c>
      <c r="K306" s="15">
        <v>45977</v>
      </c>
      <c r="L306" s="4">
        <v>2025403956</v>
      </c>
      <c r="M306" s="4" t="s">
        <v>225</v>
      </c>
      <c r="N306" s="4">
        <v>2025</v>
      </c>
    </row>
    <row r="307" spans="1:14">
      <c r="A307" s="4">
        <v>306</v>
      </c>
      <c r="B307" s="4" t="s">
        <v>43</v>
      </c>
      <c r="C307" s="4" t="s">
        <v>46</v>
      </c>
      <c r="D307" s="4" t="s">
        <v>61</v>
      </c>
      <c r="E307" s="4" t="s">
        <v>71</v>
      </c>
      <c r="G307" s="4" t="s">
        <v>131</v>
      </c>
      <c r="H307" s="28" t="s">
        <v>71</v>
      </c>
      <c r="I307" s="90">
        <v>1110.72</v>
      </c>
      <c r="J307" s="4" t="s">
        <v>1171</v>
      </c>
      <c r="K307" s="15">
        <v>45840</v>
      </c>
      <c r="L307" s="4">
        <v>2025402130</v>
      </c>
      <c r="M307" s="4" t="s">
        <v>225</v>
      </c>
      <c r="N307" s="4">
        <v>2025</v>
      </c>
    </row>
    <row r="308" spans="1:14">
      <c r="A308" s="4">
        <v>307</v>
      </c>
      <c r="B308" s="4" t="s">
        <v>53</v>
      </c>
      <c r="C308" s="4" t="s">
        <v>62</v>
      </c>
      <c r="D308" s="4" t="s">
        <v>61</v>
      </c>
      <c r="E308" s="4" t="s">
        <v>71</v>
      </c>
      <c r="G308" s="4" t="s">
        <v>131</v>
      </c>
      <c r="H308" s="28" t="s">
        <v>71</v>
      </c>
      <c r="I308" s="90">
        <v>1975.93</v>
      </c>
      <c r="J308" s="4" t="s">
        <v>1172</v>
      </c>
      <c r="K308" s="15">
        <v>45984</v>
      </c>
      <c r="L308" s="4">
        <v>2025404262</v>
      </c>
      <c r="M308" s="4" t="s">
        <v>226</v>
      </c>
      <c r="N308" s="4">
        <v>2025</v>
      </c>
    </row>
    <row r="309" spans="1:14">
      <c r="A309" s="4">
        <v>308</v>
      </c>
      <c r="B309" s="4" t="s">
        <v>53</v>
      </c>
      <c r="C309" s="4" t="s">
        <v>62</v>
      </c>
      <c r="D309" s="4" t="s">
        <v>61</v>
      </c>
      <c r="E309" s="4" t="s">
        <v>71</v>
      </c>
      <c r="G309" s="4" t="s">
        <v>131</v>
      </c>
      <c r="H309" s="28" t="s">
        <v>71</v>
      </c>
      <c r="I309" s="90">
        <v>2006.45</v>
      </c>
      <c r="J309" s="4" t="s">
        <v>1173</v>
      </c>
      <c r="K309" s="15">
        <v>45984</v>
      </c>
      <c r="L309" s="4">
        <v>2025403976</v>
      </c>
      <c r="M309" s="4" t="s">
        <v>226</v>
      </c>
      <c r="N309" s="4">
        <v>2025</v>
      </c>
    </row>
    <row r="310" spans="1:14">
      <c r="A310" s="4">
        <v>309</v>
      </c>
      <c r="B310" s="4" t="s">
        <v>55</v>
      </c>
      <c r="C310" s="4" t="s">
        <v>56</v>
      </c>
      <c r="D310" s="4" t="s">
        <v>61</v>
      </c>
      <c r="E310" s="4" t="s">
        <v>71</v>
      </c>
      <c r="G310" s="4" t="s">
        <v>252</v>
      </c>
      <c r="H310" s="4" t="s">
        <v>255</v>
      </c>
      <c r="I310" s="40">
        <v>40492.957746478874</v>
      </c>
      <c r="J310" s="4" t="s">
        <v>281</v>
      </c>
      <c r="K310" s="15">
        <v>45854</v>
      </c>
      <c r="L310" s="4">
        <v>2025402388</v>
      </c>
      <c r="M310" s="4" t="s">
        <v>225</v>
      </c>
      <c r="N310" s="4">
        <v>2025</v>
      </c>
    </row>
    <row r="311" spans="1:14">
      <c r="A311" s="4">
        <v>310</v>
      </c>
      <c r="B311" s="28" t="s">
        <v>55</v>
      </c>
      <c r="C311" s="28" t="s">
        <v>56</v>
      </c>
      <c r="D311" s="4" t="s">
        <v>61</v>
      </c>
      <c r="E311" s="28" t="s">
        <v>71</v>
      </c>
      <c r="G311" s="28" t="s">
        <v>252</v>
      </c>
      <c r="H311" s="4" t="s">
        <v>255</v>
      </c>
      <c r="I311" s="40">
        <v>16197.183098591549</v>
      </c>
      <c r="J311" s="4" t="s">
        <v>775</v>
      </c>
      <c r="K311" s="15">
        <v>45874</v>
      </c>
      <c r="L311" s="4">
        <v>2025402305</v>
      </c>
      <c r="M311" s="28" t="s">
        <v>226</v>
      </c>
      <c r="N311" s="4">
        <v>2025</v>
      </c>
    </row>
    <row r="312" spans="1:14">
      <c r="A312" s="4">
        <v>311</v>
      </c>
      <c r="B312" s="4" t="s">
        <v>55</v>
      </c>
      <c r="C312" s="4" t="s">
        <v>56</v>
      </c>
      <c r="D312" s="4" t="s">
        <v>61</v>
      </c>
      <c r="E312" s="4" t="s">
        <v>71</v>
      </c>
      <c r="G312" s="4" t="s">
        <v>252</v>
      </c>
      <c r="H312" s="4" t="s">
        <v>255</v>
      </c>
      <c r="I312" s="40">
        <v>10211.267605633802</v>
      </c>
      <c r="J312" s="4" t="s">
        <v>1073</v>
      </c>
      <c r="K312" s="15">
        <v>45872</v>
      </c>
      <c r="L312" s="4">
        <v>2025402531</v>
      </c>
      <c r="M312" s="4" t="s">
        <v>226</v>
      </c>
      <c r="N312" s="4">
        <v>2025</v>
      </c>
    </row>
    <row r="313" spans="1:14">
      <c r="A313" s="4">
        <v>312</v>
      </c>
      <c r="B313" s="4" t="s">
        <v>55</v>
      </c>
      <c r="C313" s="4" t="s">
        <v>56</v>
      </c>
      <c r="D313" s="4" t="s">
        <v>61</v>
      </c>
      <c r="E313" s="28" t="s">
        <v>71</v>
      </c>
      <c r="G313" s="4" t="s">
        <v>252</v>
      </c>
      <c r="H313" s="4" t="s">
        <v>255</v>
      </c>
      <c r="I313" s="40">
        <v>7605.6338028169012</v>
      </c>
      <c r="J313" s="4" t="s">
        <v>729</v>
      </c>
      <c r="K313" s="15">
        <v>45866</v>
      </c>
      <c r="L313" s="4">
        <v>2025402461</v>
      </c>
      <c r="M313" s="28" t="s">
        <v>225</v>
      </c>
      <c r="N313" s="4">
        <v>2025</v>
      </c>
    </row>
    <row r="314" spans="1:14">
      <c r="A314" s="4">
        <v>313</v>
      </c>
      <c r="B314" s="4" t="s">
        <v>273</v>
      </c>
      <c r="C314" s="4" t="s">
        <v>56</v>
      </c>
      <c r="D314" s="4" t="s">
        <v>61</v>
      </c>
      <c r="E314" s="28" t="s">
        <v>71</v>
      </c>
      <c r="G314" s="4" t="s">
        <v>483</v>
      </c>
      <c r="H314" s="28" t="s">
        <v>71</v>
      </c>
      <c r="I314" s="40">
        <v>2112.676056338028</v>
      </c>
      <c r="J314" s="4" t="s">
        <v>651</v>
      </c>
      <c r="K314" s="15">
        <v>45858</v>
      </c>
      <c r="L314" s="4">
        <v>2025402424</v>
      </c>
      <c r="M314" s="28" t="s">
        <v>225</v>
      </c>
      <c r="N314" s="4">
        <v>2025</v>
      </c>
    </row>
    <row r="315" spans="1:14">
      <c r="A315" s="4">
        <v>314</v>
      </c>
      <c r="B315" s="4" t="s">
        <v>43</v>
      </c>
      <c r="C315" s="4" t="s">
        <v>51</v>
      </c>
      <c r="D315" s="4" t="s">
        <v>61</v>
      </c>
      <c r="E315" s="4" t="s">
        <v>71</v>
      </c>
      <c r="G315" s="4" t="s">
        <v>492</v>
      </c>
      <c r="H315" s="28" t="s">
        <v>71</v>
      </c>
      <c r="I315" s="40">
        <v>3327.4647887323945</v>
      </c>
      <c r="J315" s="4" t="s">
        <v>1089</v>
      </c>
      <c r="K315" s="15">
        <v>45893</v>
      </c>
      <c r="L315" s="4">
        <v>2025402918</v>
      </c>
      <c r="M315" s="4" t="s">
        <v>226</v>
      </c>
      <c r="N315" s="4">
        <v>2025</v>
      </c>
    </row>
    <row r="316" spans="1:14">
      <c r="A316" s="4">
        <v>315</v>
      </c>
      <c r="B316" s="4" t="s">
        <v>17</v>
      </c>
      <c r="C316" s="4" t="s">
        <v>24</v>
      </c>
      <c r="D316" s="4" t="s">
        <v>61</v>
      </c>
      <c r="E316" s="28" t="s">
        <v>71</v>
      </c>
      <c r="G316" s="4" t="s">
        <v>132</v>
      </c>
      <c r="H316" s="28" t="s">
        <v>71</v>
      </c>
      <c r="I316" s="90">
        <v>54</v>
      </c>
      <c r="J316" s="4" t="s">
        <v>512</v>
      </c>
      <c r="K316" s="15">
        <v>45845</v>
      </c>
      <c r="L316" s="4">
        <v>2025401990</v>
      </c>
      <c r="M316" s="28" t="s">
        <v>225</v>
      </c>
      <c r="N316" s="4">
        <v>2025</v>
      </c>
    </row>
    <row r="317" spans="1:14">
      <c r="A317" s="4">
        <v>316</v>
      </c>
      <c r="B317" s="4" t="s">
        <v>43</v>
      </c>
      <c r="C317" s="4" t="s">
        <v>47</v>
      </c>
      <c r="D317" s="4" t="s">
        <v>61</v>
      </c>
      <c r="E317" s="28" t="s">
        <v>71</v>
      </c>
      <c r="G317" s="4" t="s">
        <v>132</v>
      </c>
      <c r="H317" s="28" t="s">
        <v>71</v>
      </c>
      <c r="I317" s="90">
        <v>445</v>
      </c>
      <c r="J317" s="4" t="s">
        <v>513</v>
      </c>
      <c r="K317" s="39">
        <v>45845</v>
      </c>
      <c r="L317" s="4">
        <v>2025402061</v>
      </c>
      <c r="M317" s="28" t="s">
        <v>225</v>
      </c>
      <c r="N317" s="4">
        <v>2025</v>
      </c>
    </row>
    <row r="318" spans="1:14">
      <c r="A318" s="4">
        <v>317</v>
      </c>
      <c r="B318" s="4" t="s">
        <v>35</v>
      </c>
      <c r="C318" s="4" t="s">
        <v>37</v>
      </c>
      <c r="D318" s="4" t="s">
        <v>61</v>
      </c>
      <c r="E318" s="28" t="s">
        <v>71</v>
      </c>
      <c r="G318" s="29" t="s">
        <v>132</v>
      </c>
      <c r="H318" s="28" t="s">
        <v>71</v>
      </c>
      <c r="I318" s="90">
        <v>254.13</v>
      </c>
      <c r="J318" s="29" t="s">
        <v>514</v>
      </c>
      <c r="K318" s="15">
        <v>45845</v>
      </c>
      <c r="L318" s="29">
        <v>2025402052</v>
      </c>
      <c r="M318" s="28" t="s">
        <v>225</v>
      </c>
      <c r="N318" s="4">
        <v>2025</v>
      </c>
    </row>
    <row r="319" spans="1:14">
      <c r="A319" s="4">
        <v>318</v>
      </c>
      <c r="B319" s="4" t="s">
        <v>35</v>
      </c>
      <c r="C319" s="4" t="s">
        <v>42</v>
      </c>
      <c r="D319" s="4" t="s">
        <v>61</v>
      </c>
      <c r="E319" s="28" t="s">
        <v>71</v>
      </c>
      <c r="G319" s="4" t="s">
        <v>132</v>
      </c>
      <c r="H319" s="28" t="s">
        <v>71</v>
      </c>
      <c r="I319" s="90">
        <v>28.8</v>
      </c>
      <c r="J319" s="4" t="s">
        <v>515</v>
      </c>
      <c r="K319" s="15">
        <v>45845</v>
      </c>
      <c r="L319" s="4">
        <v>2025401872</v>
      </c>
      <c r="M319" s="28" t="s">
        <v>225</v>
      </c>
      <c r="N319" s="4">
        <v>2025</v>
      </c>
    </row>
    <row r="320" spans="1:14">
      <c r="A320" s="4">
        <v>319</v>
      </c>
      <c r="B320" s="4" t="s">
        <v>43</v>
      </c>
      <c r="C320" s="4" t="s">
        <v>50</v>
      </c>
      <c r="D320" s="4" t="s">
        <v>61</v>
      </c>
      <c r="E320" s="28" t="s">
        <v>71</v>
      </c>
      <c r="G320" s="4" t="s">
        <v>132</v>
      </c>
      <c r="H320" s="28" t="s">
        <v>71</v>
      </c>
      <c r="I320" s="90">
        <v>591.4</v>
      </c>
      <c r="J320" s="4" t="s">
        <v>516</v>
      </c>
      <c r="K320" s="15">
        <v>45845</v>
      </c>
      <c r="L320" s="4">
        <v>2025402095</v>
      </c>
      <c r="M320" s="28" t="s">
        <v>225</v>
      </c>
      <c r="N320" s="4">
        <v>2025</v>
      </c>
    </row>
    <row r="321" spans="1:14">
      <c r="A321" s="4">
        <v>320</v>
      </c>
      <c r="B321" s="4" t="s">
        <v>29</v>
      </c>
      <c r="C321" s="4" t="s">
        <v>237</v>
      </c>
      <c r="D321" s="4" t="s">
        <v>61</v>
      </c>
      <c r="E321" s="28" t="s">
        <v>71</v>
      </c>
      <c r="G321" s="4" t="s">
        <v>132</v>
      </c>
      <c r="H321" s="28" t="s">
        <v>71</v>
      </c>
      <c r="I321" s="90">
        <v>3055.16</v>
      </c>
      <c r="J321" s="4" t="s">
        <v>517</v>
      </c>
      <c r="K321" s="15">
        <v>45845</v>
      </c>
      <c r="L321" s="4">
        <v>2025402044</v>
      </c>
      <c r="M321" s="28" t="s">
        <v>225</v>
      </c>
      <c r="N321" s="4">
        <v>2025</v>
      </c>
    </row>
    <row r="322" spans="1:14">
      <c r="A322" s="4">
        <v>321</v>
      </c>
      <c r="B322" s="4" t="s">
        <v>35</v>
      </c>
      <c r="C322" s="4" t="s">
        <v>37</v>
      </c>
      <c r="D322" s="4" t="s">
        <v>61</v>
      </c>
      <c r="E322" s="28" t="s">
        <v>71</v>
      </c>
      <c r="G322" s="4" t="s">
        <v>132</v>
      </c>
      <c r="H322" s="28" t="s">
        <v>71</v>
      </c>
      <c r="I322" s="90">
        <v>942.8</v>
      </c>
      <c r="J322" s="4" t="s">
        <v>540</v>
      </c>
      <c r="K322" s="15">
        <v>45850</v>
      </c>
      <c r="L322" s="4">
        <v>2025402189</v>
      </c>
      <c r="M322" s="28" t="s">
        <v>225</v>
      </c>
      <c r="N322" s="4">
        <v>2025</v>
      </c>
    </row>
    <row r="323" spans="1:14">
      <c r="A323" s="4">
        <v>322</v>
      </c>
      <c r="B323" s="4" t="s">
        <v>35</v>
      </c>
      <c r="C323" s="4" t="s">
        <v>37</v>
      </c>
      <c r="D323" s="4" t="s">
        <v>61</v>
      </c>
      <c r="E323" s="28" t="s">
        <v>71</v>
      </c>
      <c r="G323" s="4" t="s">
        <v>132</v>
      </c>
      <c r="H323" s="28" t="s">
        <v>71</v>
      </c>
      <c r="I323" s="90">
        <v>115.71</v>
      </c>
      <c r="J323" s="4" t="s">
        <v>541</v>
      </c>
      <c r="K323" s="15">
        <v>45850</v>
      </c>
      <c r="L323" s="4">
        <v>2025402187</v>
      </c>
      <c r="M323" s="28" t="s">
        <v>225</v>
      </c>
      <c r="N323" s="4">
        <v>2025</v>
      </c>
    </row>
    <row r="324" spans="1:14">
      <c r="A324" s="4">
        <v>323</v>
      </c>
      <c r="B324" s="4" t="s">
        <v>17</v>
      </c>
      <c r="C324" s="4" t="s">
        <v>22</v>
      </c>
      <c r="D324" s="4" t="s">
        <v>61</v>
      </c>
      <c r="E324" s="28" t="s">
        <v>71</v>
      </c>
      <c r="G324" s="4" t="s">
        <v>132</v>
      </c>
      <c r="H324" s="28" t="s">
        <v>71</v>
      </c>
      <c r="I324" s="90">
        <v>402.38</v>
      </c>
      <c r="J324" s="4" t="s">
        <v>542</v>
      </c>
      <c r="K324" s="15">
        <v>45850</v>
      </c>
      <c r="L324" s="4">
        <v>2025402184</v>
      </c>
      <c r="M324" s="28" t="s">
        <v>225</v>
      </c>
      <c r="N324" s="4">
        <v>2025</v>
      </c>
    </row>
    <row r="325" spans="1:14">
      <c r="A325" s="4">
        <v>324</v>
      </c>
      <c r="B325" s="4" t="s">
        <v>53</v>
      </c>
      <c r="C325" s="4" t="s">
        <v>62</v>
      </c>
      <c r="D325" s="4" t="s">
        <v>61</v>
      </c>
      <c r="E325" s="28" t="s">
        <v>71</v>
      </c>
      <c r="G325" s="4" t="s">
        <v>132</v>
      </c>
      <c r="H325" s="28" t="s">
        <v>71</v>
      </c>
      <c r="I325" s="90">
        <v>515.28</v>
      </c>
      <c r="J325" s="4" t="s">
        <v>543</v>
      </c>
      <c r="K325" s="15">
        <v>45850</v>
      </c>
      <c r="L325" s="4">
        <v>2025402190</v>
      </c>
      <c r="M325" s="28" t="s">
        <v>225</v>
      </c>
      <c r="N325" s="4">
        <v>2025</v>
      </c>
    </row>
    <row r="326" spans="1:14">
      <c r="A326" s="4">
        <v>325</v>
      </c>
      <c r="B326" s="4" t="s">
        <v>43</v>
      </c>
      <c r="C326" s="4" t="s">
        <v>50</v>
      </c>
      <c r="D326" s="4" t="s">
        <v>61</v>
      </c>
      <c r="E326" s="28" t="s">
        <v>71</v>
      </c>
      <c r="G326" s="4" t="s">
        <v>132</v>
      </c>
      <c r="H326" s="28" t="s">
        <v>71</v>
      </c>
      <c r="I326" s="90">
        <v>267.01</v>
      </c>
      <c r="J326" s="4" t="s">
        <v>544</v>
      </c>
      <c r="K326" s="15">
        <v>45850</v>
      </c>
      <c r="L326" s="4">
        <v>2025402186</v>
      </c>
      <c r="M326" s="28" t="s">
        <v>225</v>
      </c>
      <c r="N326" s="4">
        <v>2025</v>
      </c>
    </row>
    <row r="327" spans="1:14">
      <c r="A327" s="4">
        <v>326</v>
      </c>
      <c r="B327" s="4" t="s">
        <v>29</v>
      </c>
      <c r="C327" s="4" t="s">
        <v>237</v>
      </c>
      <c r="D327" s="4" t="s">
        <v>61</v>
      </c>
      <c r="E327" s="28" t="s">
        <v>71</v>
      </c>
      <c r="G327" s="4" t="s">
        <v>132</v>
      </c>
      <c r="H327" s="28" t="s">
        <v>71</v>
      </c>
      <c r="I327" s="90">
        <v>773.56</v>
      </c>
      <c r="J327" s="4" t="s">
        <v>545</v>
      </c>
      <c r="K327" s="15">
        <v>45850</v>
      </c>
      <c r="L327" s="4">
        <v>2025402235</v>
      </c>
      <c r="M327" s="28" t="s">
        <v>225</v>
      </c>
      <c r="N327" s="4">
        <v>2025</v>
      </c>
    </row>
    <row r="328" spans="1:14">
      <c r="A328" s="4">
        <v>327</v>
      </c>
      <c r="B328" s="4" t="s">
        <v>35</v>
      </c>
      <c r="C328" s="4" t="s">
        <v>38</v>
      </c>
      <c r="D328" s="4" t="s">
        <v>61</v>
      </c>
      <c r="E328" s="28" t="s">
        <v>71</v>
      </c>
      <c r="G328" s="4" t="s">
        <v>132</v>
      </c>
      <c r="H328" s="28" t="s">
        <v>71</v>
      </c>
      <c r="I328" s="90">
        <v>54.8</v>
      </c>
      <c r="J328" s="4" t="s">
        <v>546</v>
      </c>
      <c r="K328" s="15">
        <v>45850</v>
      </c>
      <c r="L328" s="4">
        <v>2025402188</v>
      </c>
      <c r="M328" s="28" t="s">
        <v>225</v>
      </c>
      <c r="N328" s="4">
        <v>2025</v>
      </c>
    </row>
    <row r="329" spans="1:14">
      <c r="A329" s="4">
        <v>328</v>
      </c>
      <c r="B329" s="4" t="s">
        <v>43</v>
      </c>
      <c r="C329" s="4" t="s">
        <v>46</v>
      </c>
      <c r="D329" s="4" t="s">
        <v>61</v>
      </c>
      <c r="E329" s="28" t="s">
        <v>71</v>
      </c>
      <c r="G329" s="4" t="s">
        <v>132</v>
      </c>
      <c r="H329" s="28" t="s">
        <v>71</v>
      </c>
      <c r="I329" s="90">
        <v>657.12</v>
      </c>
      <c r="J329" s="4" t="s">
        <v>554</v>
      </c>
      <c r="K329" s="15">
        <v>45852</v>
      </c>
      <c r="L329" s="4">
        <v>2025402191</v>
      </c>
      <c r="M329" s="28" t="s">
        <v>225</v>
      </c>
      <c r="N329" s="4">
        <v>2025</v>
      </c>
    </row>
    <row r="330" spans="1:14">
      <c r="A330" s="4">
        <v>329</v>
      </c>
      <c r="B330" s="4" t="s">
        <v>17</v>
      </c>
      <c r="C330" s="4" t="s">
        <v>22</v>
      </c>
      <c r="D330" s="4" t="s">
        <v>61</v>
      </c>
      <c r="E330" s="28" t="s">
        <v>71</v>
      </c>
      <c r="G330" s="4" t="s">
        <v>132</v>
      </c>
      <c r="H330" s="28" t="s">
        <v>71</v>
      </c>
      <c r="I330" s="90">
        <v>565.08000000000004</v>
      </c>
      <c r="J330" s="4" t="s">
        <v>555</v>
      </c>
      <c r="K330" s="15">
        <v>45852</v>
      </c>
      <c r="L330" s="4">
        <v>2024403233</v>
      </c>
      <c r="M330" s="28" t="s">
        <v>225</v>
      </c>
      <c r="N330" s="4">
        <v>2025</v>
      </c>
    </row>
    <row r="331" spans="1:14">
      <c r="A331" s="4">
        <v>330</v>
      </c>
      <c r="B331" s="4" t="s">
        <v>43</v>
      </c>
      <c r="C331" s="4" t="s">
        <v>51</v>
      </c>
      <c r="D331" s="4" t="s">
        <v>61</v>
      </c>
      <c r="E331" s="28" t="s">
        <v>71</v>
      </c>
      <c r="G331" s="4" t="s">
        <v>132</v>
      </c>
      <c r="H331" s="28" t="s">
        <v>71</v>
      </c>
      <c r="I331" s="90">
        <v>457.7</v>
      </c>
      <c r="J331" s="4" t="s">
        <v>605</v>
      </c>
      <c r="K331" s="15">
        <v>45855</v>
      </c>
      <c r="L331" s="4">
        <v>2025402281</v>
      </c>
      <c r="M331" s="28" t="s">
        <v>225</v>
      </c>
      <c r="N331" s="4">
        <v>2025</v>
      </c>
    </row>
    <row r="332" spans="1:14">
      <c r="A332" s="4">
        <v>331</v>
      </c>
      <c r="B332" s="4" t="s">
        <v>43</v>
      </c>
      <c r="C332" s="4" t="s">
        <v>44</v>
      </c>
      <c r="D332" s="4" t="s">
        <v>61</v>
      </c>
      <c r="E332" s="4" t="s">
        <v>71</v>
      </c>
      <c r="G332" s="4" t="s">
        <v>132</v>
      </c>
      <c r="H332" s="28" t="s">
        <v>71</v>
      </c>
      <c r="I332" s="90">
        <v>97.68</v>
      </c>
      <c r="J332" s="4" t="s">
        <v>606</v>
      </c>
      <c r="K332" s="15">
        <v>45855</v>
      </c>
      <c r="L332" s="4">
        <v>2025402211</v>
      </c>
      <c r="M332" s="28" t="s">
        <v>225</v>
      </c>
      <c r="N332" s="4">
        <v>2025</v>
      </c>
    </row>
    <row r="333" spans="1:14">
      <c r="A333" s="4">
        <v>332</v>
      </c>
      <c r="B333" s="4" t="s">
        <v>53</v>
      </c>
      <c r="C333" s="4" t="s">
        <v>62</v>
      </c>
      <c r="D333" s="4" t="s">
        <v>61</v>
      </c>
      <c r="E333" s="28" t="s">
        <v>71</v>
      </c>
      <c r="G333" s="4" t="s">
        <v>132</v>
      </c>
      <c r="H333" s="28" t="s">
        <v>71</v>
      </c>
      <c r="I333" s="90">
        <v>265.74</v>
      </c>
      <c r="J333" s="4" t="s">
        <v>614</v>
      </c>
      <c r="K333" s="15">
        <v>45859</v>
      </c>
      <c r="L333" s="4">
        <v>2025402271</v>
      </c>
      <c r="M333" s="28" t="s">
        <v>225</v>
      </c>
      <c r="N333" s="4">
        <v>2025</v>
      </c>
    </row>
    <row r="334" spans="1:14">
      <c r="A334" s="4">
        <v>333</v>
      </c>
      <c r="B334" s="28" t="s">
        <v>29</v>
      </c>
      <c r="C334" s="28" t="s">
        <v>237</v>
      </c>
      <c r="D334" s="4" t="s">
        <v>61</v>
      </c>
      <c r="E334" s="28" t="s">
        <v>71</v>
      </c>
      <c r="G334" s="28" t="s">
        <v>132</v>
      </c>
      <c r="H334" s="28" t="s">
        <v>71</v>
      </c>
      <c r="I334" s="90">
        <v>178.3</v>
      </c>
      <c r="J334" s="4" t="s">
        <v>615</v>
      </c>
      <c r="K334" s="15">
        <v>45859</v>
      </c>
      <c r="L334" s="4">
        <v>2025402269</v>
      </c>
      <c r="M334" s="28" t="s">
        <v>225</v>
      </c>
      <c r="N334" s="4">
        <v>2025</v>
      </c>
    </row>
    <row r="335" spans="1:14">
      <c r="A335" s="4">
        <v>334</v>
      </c>
      <c r="B335" s="4" t="s">
        <v>35</v>
      </c>
      <c r="C335" s="4" t="s">
        <v>39</v>
      </c>
      <c r="D335" s="4" t="s">
        <v>61</v>
      </c>
      <c r="E335" s="28" t="s">
        <v>71</v>
      </c>
      <c r="G335" s="4" t="s">
        <v>132</v>
      </c>
      <c r="H335" s="28" t="s">
        <v>71</v>
      </c>
      <c r="I335" s="90">
        <v>128.58000000000001</v>
      </c>
      <c r="J335" s="4" t="s">
        <v>629</v>
      </c>
      <c r="K335" s="15">
        <v>45859</v>
      </c>
      <c r="L335" s="4">
        <v>2025402282</v>
      </c>
      <c r="M335" s="28" t="s">
        <v>225</v>
      </c>
      <c r="N335" s="4">
        <v>2025</v>
      </c>
    </row>
    <row r="336" spans="1:14">
      <c r="A336" s="4">
        <v>335</v>
      </c>
      <c r="B336" s="4" t="s">
        <v>29</v>
      </c>
      <c r="C336" s="4" t="s">
        <v>237</v>
      </c>
      <c r="D336" s="4" t="s">
        <v>61</v>
      </c>
      <c r="E336" s="28" t="s">
        <v>71</v>
      </c>
      <c r="G336" s="4" t="s">
        <v>132</v>
      </c>
      <c r="H336" s="28" t="s">
        <v>71</v>
      </c>
      <c r="I336" s="90">
        <v>1392.85</v>
      </c>
      <c r="J336" s="4" t="s">
        <v>630</v>
      </c>
      <c r="K336" s="15">
        <v>45859</v>
      </c>
      <c r="L336" s="4">
        <v>2025402333</v>
      </c>
      <c r="M336" s="28" t="s">
        <v>225</v>
      </c>
      <c r="N336" s="4">
        <v>2025</v>
      </c>
    </row>
    <row r="337" spans="1:14">
      <c r="A337" s="4">
        <v>336</v>
      </c>
      <c r="B337" s="4" t="s">
        <v>53</v>
      </c>
      <c r="C337" s="4" t="s">
        <v>62</v>
      </c>
      <c r="D337" s="4" t="s">
        <v>61</v>
      </c>
      <c r="E337" s="4" t="s">
        <v>71</v>
      </c>
      <c r="G337" s="4" t="s">
        <v>132</v>
      </c>
      <c r="H337" s="28" t="s">
        <v>71</v>
      </c>
      <c r="I337" s="90">
        <v>164.58</v>
      </c>
      <c r="J337" s="4" t="s">
        <v>631</v>
      </c>
      <c r="K337" s="15">
        <v>45858</v>
      </c>
      <c r="L337" s="4">
        <v>2025402161</v>
      </c>
      <c r="M337" s="28" t="s">
        <v>225</v>
      </c>
      <c r="N337" s="4">
        <v>2025</v>
      </c>
    </row>
    <row r="338" spans="1:14">
      <c r="A338" s="4">
        <v>337</v>
      </c>
      <c r="B338" s="4" t="s">
        <v>43</v>
      </c>
      <c r="C338" s="4" t="s">
        <v>51</v>
      </c>
      <c r="D338" s="4" t="s">
        <v>61</v>
      </c>
      <c r="E338" s="28" t="s">
        <v>71</v>
      </c>
      <c r="G338" s="4" t="s">
        <v>132</v>
      </c>
      <c r="H338" s="28" t="s">
        <v>71</v>
      </c>
      <c r="I338" s="90">
        <v>485</v>
      </c>
      <c r="J338" s="4" t="s">
        <v>634</v>
      </c>
      <c r="K338" s="15">
        <v>45860</v>
      </c>
      <c r="L338" s="4">
        <v>2025402349</v>
      </c>
      <c r="M338" s="28" t="s">
        <v>225</v>
      </c>
      <c r="N338" s="4">
        <v>2025</v>
      </c>
    </row>
    <row r="339" spans="1:14">
      <c r="A339" s="4">
        <v>338</v>
      </c>
      <c r="B339" s="4" t="s">
        <v>35</v>
      </c>
      <c r="C339" s="4" t="s">
        <v>37</v>
      </c>
      <c r="D339" s="4" t="s">
        <v>61</v>
      </c>
      <c r="E339" s="28" t="s">
        <v>71</v>
      </c>
      <c r="G339" s="4" t="s">
        <v>132</v>
      </c>
      <c r="H339" s="28" t="s">
        <v>71</v>
      </c>
      <c r="I339" s="90">
        <v>702.96</v>
      </c>
      <c r="J339" s="4" t="s">
        <v>635</v>
      </c>
      <c r="K339" s="15">
        <v>45860</v>
      </c>
      <c r="L339" s="4">
        <v>2025402345</v>
      </c>
      <c r="M339" s="28" t="s">
        <v>225</v>
      </c>
      <c r="N339" s="4">
        <v>2025</v>
      </c>
    </row>
    <row r="340" spans="1:14">
      <c r="A340" s="4">
        <v>339</v>
      </c>
      <c r="B340" s="4" t="s">
        <v>43</v>
      </c>
      <c r="C340" s="4" t="s">
        <v>50</v>
      </c>
      <c r="D340" s="4" t="s">
        <v>61</v>
      </c>
      <c r="E340" s="28" t="s">
        <v>71</v>
      </c>
      <c r="G340" s="4" t="s">
        <v>132</v>
      </c>
      <c r="H340" s="28" t="s">
        <v>71</v>
      </c>
      <c r="I340" s="90">
        <v>1535.16</v>
      </c>
      <c r="J340" s="4" t="s">
        <v>636</v>
      </c>
      <c r="K340" s="15">
        <v>45860</v>
      </c>
      <c r="L340" s="4">
        <v>2025402344</v>
      </c>
      <c r="M340" s="28" t="s">
        <v>225</v>
      </c>
      <c r="N340" s="4">
        <v>2025</v>
      </c>
    </row>
    <row r="341" spans="1:14">
      <c r="A341" s="4">
        <v>340</v>
      </c>
      <c r="B341" s="4" t="s">
        <v>35</v>
      </c>
      <c r="C341" s="4" t="s">
        <v>37</v>
      </c>
      <c r="D341" s="4" t="s">
        <v>61</v>
      </c>
      <c r="E341" s="28" t="s">
        <v>71</v>
      </c>
      <c r="G341" s="4" t="s">
        <v>132</v>
      </c>
      <c r="H341" s="28" t="s">
        <v>71</v>
      </c>
      <c r="I341" s="90">
        <v>1822</v>
      </c>
      <c r="J341" s="4" t="s">
        <v>652</v>
      </c>
      <c r="K341" s="15">
        <v>45862</v>
      </c>
      <c r="L341" s="4">
        <v>2025402396</v>
      </c>
      <c r="M341" s="28" t="s">
        <v>225</v>
      </c>
      <c r="N341" s="4">
        <v>2025</v>
      </c>
    </row>
    <row r="342" spans="1:14">
      <c r="A342" s="4">
        <v>341</v>
      </c>
      <c r="B342" s="4" t="s">
        <v>53</v>
      </c>
      <c r="C342" s="4" t="s">
        <v>62</v>
      </c>
      <c r="D342" s="4" t="s">
        <v>61</v>
      </c>
      <c r="E342" s="4" t="s">
        <v>71</v>
      </c>
      <c r="G342" s="4" t="s">
        <v>132</v>
      </c>
      <c r="H342" s="28" t="s">
        <v>71</v>
      </c>
      <c r="I342" s="90">
        <v>1054.3</v>
      </c>
      <c r="J342" s="4" t="s">
        <v>653</v>
      </c>
      <c r="K342" s="15">
        <v>45862</v>
      </c>
      <c r="L342" s="4">
        <v>2025402327</v>
      </c>
      <c r="M342" s="28" t="s">
        <v>225</v>
      </c>
      <c r="N342" s="4">
        <v>2025</v>
      </c>
    </row>
    <row r="343" spans="1:14">
      <c r="A343" s="4">
        <v>342</v>
      </c>
      <c r="B343" s="4" t="s">
        <v>17</v>
      </c>
      <c r="C343" s="4" t="s">
        <v>25</v>
      </c>
      <c r="D343" s="4" t="s">
        <v>61</v>
      </c>
      <c r="E343" s="4" t="s">
        <v>71</v>
      </c>
      <c r="G343" s="4" t="s">
        <v>132</v>
      </c>
      <c r="H343" s="28" t="s">
        <v>71</v>
      </c>
      <c r="I343" s="90">
        <v>1002.87</v>
      </c>
      <c r="J343" s="4" t="s">
        <v>654</v>
      </c>
      <c r="K343" s="15">
        <v>45862</v>
      </c>
      <c r="L343" s="4">
        <v>2025402326</v>
      </c>
      <c r="M343" s="28" t="s">
        <v>225</v>
      </c>
      <c r="N343" s="4">
        <v>2025</v>
      </c>
    </row>
    <row r="344" spans="1:14">
      <c r="A344" s="4">
        <v>343</v>
      </c>
      <c r="B344" s="4" t="s">
        <v>17</v>
      </c>
      <c r="C344" s="4" t="s">
        <v>25</v>
      </c>
      <c r="D344" s="4" t="s">
        <v>61</v>
      </c>
      <c r="E344" s="28" t="s">
        <v>71</v>
      </c>
      <c r="G344" s="4" t="s">
        <v>132</v>
      </c>
      <c r="H344" s="28" t="s">
        <v>71</v>
      </c>
      <c r="I344" s="90">
        <v>299.95</v>
      </c>
      <c r="J344" s="4" t="s">
        <v>655</v>
      </c>
      <c r="K344" s="15">
        <v>45862</v>
      </c>
      <c r="L344" s="4">
        <v>2025402318</v>
      </c>
      <c r="M344" s="28" t="s">
        <v>225</v>
      </c>
      <c r="N344" s="4">
        <v>2025</v>
      </c>
    </row>
    <row r="345" spans="1:14">
      <c r="A345" s="4">
        <v>344</v>
      </c>
      <c r="B345" s="4" t="s">
        <v>17</v>
      </c>
      <c r="C345" s="4" t="s">
        <v>25</v>
      </c>
      <c r="D345" s="4" t="s">
        <v>61</v>
      </c>
      <c r="E345" s="28" t="s">
        <v>71</v>
      </c>
      <c r="G345" s="4" t="s">
        <v>132</v>
      </c>
      <c r="H345" s="28" t="s">
        <v>71</v>
      </c>
      <c r="I345" s="90">
        <v>325.72000000000003</v>
      </c>
      <c r="J345" s="4" t="s">
        <v>656</v>
      </c>
      <c r="K345" s="15">
        <v>45862</v>
      </c>
      <c r="L345" s="4">
        <v>2025402325</v>
      </c>
      <c r="M345" s="28" t="s">
        <v>225</v>
      </c>
      <c r="N345" s="4">
        <v>2025</v>
      </c>
    </row>
    <row r="346" spans="1:14">
      <c r="A346" s="4">
        <v>345</v>
      </c>
      <c r="B346" s="4" t="s">
        <v>35</v>
      </c>
      <c r="C346" s="4" t="s">
        <v>37</v>
      </c>
      <c r="D346" s="4" t="s">
        <v>61</v>
      </c>
      <c r="E346" s="4" t="s">
        <v>71</v>
      </c>
      <c r="G346" s="4" t="s">
        <v>132</v>
      </c>
      <c r="H346" s="28" t="s">
        <v>71</v>
      </c>
      <c r="I346" s="90">
        <v>92.56</v>
      </c>
      <c r="J346" s="4" t="s">
        <v>701</v>
      </c>
      <c r="K346" s="15">
        <v>45867</v>
      </c>
      <c r="L346" s="4">
        <v>2025402448</v>
      </c>
      <c r="M346" s="28" t="s">
        <v>225</v>
      </c>
      <c r="N346" s="4">
        <v>2025</v>
      </c>
    </row>
    <row r="347" spans="1:14">
      <c r="A347" s="4">
        <v>346</v>
      </c>
      <c r="B347" s="4" t="s">
        <v>43</v>
      </c>
      <c r="C347" s="4" t="s">
        <v>51</v>
      </c>
      <c r="D347" s="4" t="s">
        <v>61</v>
      </c>
      <c r="E347" s="28" t="s">
        <v>71</v>
      </c>
      <c r="G347" s="4" t="s">
        <v>132</v>
      </c>
      <c r="H347" s="28" t="s">
        <v>71</v>
      </c>
      <c r="I347" s="90">
        <v>2678.61</v>
      </c>
      <c r="J347" s="4" t="s">
        <v>702</v>
      </c>
      <c r="K347" s="15">
        <v>45867</v>
      </c>
      <c r="L347" s="4">
        <v>2025402315</v>
      </c>
      <c r="M347" s="28" t="s">
        <v>225</v>
      </c>
      <c r="N347" s="4">
        <v>2025</v>
      </c>
    </row>
    <row r="348" spans="1:14">
      <c r="A348" s="4">
        <v>347</v>
      </c>
      <c r="B348" s="28" t="s">
        <v>33</v>
      </c>
      <c r="C348" s="28" t="s">
        <v>34</v>
      </c>
      <c r="D348" s="4" t="s">
        <v>61</v>
      </c>
      <c r="E348" s="4" t="s">
        <v>71</v>
      </c>
      <c r="G348" s="4" t="s">
        <v>132</v>
      </c>
      <c r="H348" s="28" t="s">
        <v>71</v>
      </c>
      <c r="I348" s="90">
        <v>457.68</v>
      </c>
      <c r="J348" s="4" t="s">
        <v>703</v>
      </c>
      <c r="K348" s="15">
        <v>45867</v>
      </c>
      <c r="L348" s="4">
        <v>2025402397</v>
      </c>
      <c r="M348" s="28" t="s">
        <v>225</v>
      </c>
      <c r="N348" s="4">
        <v>2025</v>
      </c>
    </row>
    <row r="349" spans="1:14">
      <c r="A349" s="4">
        <v>348</v>
      </c>
      <c r="B349" s="28" t="s">
        <v>53</v>
      </c>
      <c r="C349" s="28" t="s">
        <v>62</v>
      </c>
      <c r="D349" s="4" t="s">
        <v>61</v>
      </c>
      <c r="E349" s="4" t="s">
        <v>71</v>
      </c>
      <c r="G349" s="4" t="s">
        <v>132</v>
      </c>
      <c r="H349" s="28" t="s">
        <v>71</v>
      </c>
      <c r="I349" s="90">
        <v>1671.42</v>
      </c>
      <c r="J349" s="4" t="s">
        <v>709</v>
      </c>
      <c r="K349" s="15">
        <v>45868</v>
      </c>
      <c r="L349" s="4">
        <v>2025402438</v>
      </c>
      <c r="M349" s="28" t="s">
        <v>225</v>
      </c>
      <c r="N349" s="4">
        <v>2025</v>
      </c>
    </row>
    <row r="350" spans="1:14">
      <c r="A350" s="4">
        <v>349</v>
      </c>
      <c r="B350" s="4" t="s">
        <v>43</v>
      </c>
      <c r="C350" s="4" t="s">
        <v>50</v>
      </c>
      <c r="D350" s="4" t="s">
        <v>61</v>
      </c>
      <c r="E350" s="4" t="s">
        <v>71</v>
      </c>
      <c r="G350" s="4" t="s">
        <v>132</v>
      </c>
      <c r="H350" s="28" t="s">
        <v>71</v>
      </c>
      <c r="I350" s="90">
        <v>1936.86</v>
      </c>
      <c r="J350" s="4" t="s">
        <v>710</v>
      </c>
      <c r="K350" s="15">
        <v>45867</v>
      </c>
      <c r="L350" s="4">
        <v>2025402450</v>
      </c>
      <c r="M350" s="28" t="s">
        <v>225</v>
      </c>
      <c r="N350" s="4">
        <v>2025</v>
      </c>
    </row>
    <row r="351" spans="1:14">
      <c r="A351" s="4">
        <v>350</v>
      </c>
      <c r="B351" s="4" t="s">
        <v>43</v>
      </c>
      <c r="C351" s="4" t="s">
        <v>50</v>
      </c>
      <c r="D351" s="4" t="s">
        <v>61</v>
      </c>
      <c r="E351" s="4" t="s">
        <v>71</v>
      </c>
      <c r="G351" s="4" t="s">
        <v>132</v>
      </c>
      <c r="H351" s="28" t="s">
        <v>71</v>
      </c>
      <c r="I351" s="90">
        <v>965.34</v>
      </c>
      <c r="J351" s="4" t="s">
        <v>711</v>
      </c>
      <c r="K351" s="15">
        <v>45867</v>
      </c>
      <c r="L351" s="4">
        <v>2025402447</v>
      </c>
      <c r="M351" s="28" t="s">
        <v>225</v>
      </c>
      <c r="N351" s="4">
        <v>2025</v>
      </c>
    </row>
    <row r="352" spans="1:14">
      <c r="A352" s="4">
        <v>351</v>
      </c>
      <c r="B352" s="4" t="s">
        <v>55</v>
      </c>
      <c r="C352" s="4" t="s">
        <v>98</v>
      </c>
      <c r="D352" s="4" t="s">
        <v>61</v>
      </c>
      <c r="E352" s="4" t="s">
        <v>71</v>
      </c>
      <c r="G352" s="4" t="s">
        <v>132</v>
      </c>
      <c r="H352" s="28" t="s">
        <v>71</v>
      </c>
      <c r="I352" s="90">
        <v>124.14</v>
      </c>
      <c r="J352" s="4" t="s">
        <v>712</v>
      </c>
      <c r="K352" s="15">
        <v>45867</v>
      </c>
      <c r="L352" s="4">
        <v>2025402394</v>
      </c>
      <c r="M352" s="28" t="s">
        <v>225</v>
      </c>
      <c r="N352" s="4">
        <v>2025</v>
      </c>
    </row>
    <row r="353" spans="1:14">
      <c r="A353" s="4">
        <v>352</v>
      </c>
      <c r="B353" s="4" t="s">
        <v>55</v>
      </c>
      <c r="C353" s="4" t="s">
        <v>98</v>
      </c>
      <c r="D353" s="4" t="s">
        <v>61</v>
      </c>
      <c r="E353" s="28" t="s">
        <v>71</v>
      </c>
      <c r="G353" s="4" t="s">
        <v>132</v>
      </c>
      <c r="H353" s="28" t="s">
        <v>71</v>
      </c>
      <c r="I353" s="90">
        <v>2313</v>
      </c>
      <c r="J353" s="4" t="s">
        <v>713</v>
      </c>
      <c r="K353" s="15">
        <v>45867</v>
      </c>
      <c r="L353" s="4">
        <v>2025402457</v>
      </c>
      <c r="M353" s="28" t="s">
        <v>225</v>
      </c>
      <c r="N353" s="4">
        <v>2025</v>
      </c>
    </row>
    <row r="354" spans="1:14">
      <c r="A354" s="4">
        <v>353</v>
      </c>
      <c r="B354" s="4" t="s">
        <v>43</v>
      </c>
      <c r="C354" s="4" t="s">
        <v>50</v>
      </c>
      <c r="D354" s="4" t="s">
        <v>61</v>
      </c>
      <c r="E354" s="28" t="s">
        <v>71</v>
      </c>
      <c r="G354" s="4" t="s">
        <v>132</v>
      </c>
      <c r="H354" s="28" t="s">
        <v>71</v>
      </c>
      <c r="I354" s="90">
        <v>53.03</v>
      </c>
      <c r="J354" s="4" t="s">
        <v>737</v>
      </c>
      <c r="K354" s="15">
        <v>45872</v>
      </c>
      <c r="L354" s="4">
        <v>2025402543</v>
      </c>
      <c r="M354" s="28" t="s">
        <v>226</v>
      </c>
      <c r="N354" s="4">
        <v>2025</v>
      </c>
    </row>
    <row r="355" spans="1:14">
      <c r="A355" s="4">
        <v>354</v>
      </c>
      <c r="B355" s="4" t="s">
        <v>29</v>
      </c>
      <c r="C355" s="4" t="s">
        <v>237</v>
      </c>
      <c r="D355" s="4" t="s">
        <v>61</v>
      </c>
      <c r="E355" s="28" t="s">
        <v>71</v>
      </c>
      <c r="G355" s="4" t="s">
        <v>132</v>
      </c>
      <c r="H355" s="28" t="s">
        <v>71</v>
      </c>
      <c r="I355" s="90">
        <v>1369.72</v>
      </c>
      <c r="J355" s="4" t="s">
        <v>738</v>
      </c>
      <c r="K355" s="15">
        <v>45872</v>
      </c>
      <c r="L355" s="4">
        <v>2025402505</v>
      </c>
      <c r="M355" s="28" t="s">
        <v>226</v>
      </c>
      <c r="N355" s="4">
        <v>2025</v>
      </c>
    </row>
    <row r="356" spans="1:14">
      <c r="A356" s="4">
        <v>355</v>
      </c>
      <c r="B356" s="4" t="s">
        <v>29</v>
      </c>
      <c r="C356" s="4" t="s">
        <v>237</v>
      </c>
      <c r="D356" s="4" t="s">
        <v>61</v>
      </c>
      <c r="E356" s="28" t="s">
        <v>71</v>
      </c>
      <c r="G356" s="4" t="s">
        <v>132</v>
      </c>
      <c r="H356" s="28" t="s">
        <v>71</v>
      </c>
      <c r="I356" s="90">
        <v>67.599999999999994</v>
      </c>
      <c r="J356" s="4" t="s">
        <v>739</v>
      </c>
      <c r="K356" s="15">
        <v>45872</v>
      </c>
      <c r="L356" s="4">
        <v>2025402460</v>
      </c>
      <c r="M356" s="28" t="s">
        <v>226</v>
      </c>
      <c r="N356" s="4">
        <v>2025</v>
      </c>
    </row>
    <row r="357" spans="1:14">
      <c r="A357" s="4">
        <v>356</v>
      </c>
      <c r="B357" s="4" t="s">
        <v>43</v>
      </c>
      <c r="C357" s="4" t="s">
        <v>44</v>
      </c>
      <c r="D357" s="4" t="s">
        <v>61</v>
      </c>
      <c r="E357" s="28" t="s">
        <v>71</v>
      </c>
      <c r="G357" s="4" t="s">
        <v>132</v>
      </c>
      <c r="H357" s="28" t="s">
        <v>71</v>
      </c>
      <c r="I357" s="90">
        <v>1321.8</v>
      </c>
      <c r="J357" s="4" t="s">
        <v>740</v>
      </c>
      <c r="K357" s="15">
        <v>45872</v>
      </c>
      <c r="L357" s="4">
        <v>2025402449</v>
      </c>
      <c r="M357" s="28" t="s">
        <v>226</v>
      </c>
      <c r="N357" s="4">
        <v>2025</v>
      </c>
    </row>
    <row r="358" spans="1:14">
      <c r="A358" s="4">
        <v>357</v>
      </c>
      <c r="B358" s="28" t="s">
        <v>55</v>
      </c>
      <c r="C358" s="28" t="s">
        <v>98</v>
      </c>
      <c r="D358" s="4" t="s">
        <v>61</v>
      </c>
      <c r="E358" s="4" t="s">
        <v>71</v>
      </c>
      <c r="G358" s="28" t="s">
        <v>132</v>
      </c>
      <c r="H358" s="28" t="s">
        <v>71</v>
      </c>
      <c r="I358" s="90">
        <v>5680</v>
      </c>
      <c r="J358" s="4" t="s">
        <v>741</v>
      </c>
      <c r="K358" s="15">
        <v>45872</v>
      </c>
      <c r="L358" s="4">
        <v>2025402459</v>
      </c>
      <c r="M358" s="28" t="s">
        <v>226</v>
      </c>
      <c r="N358" s="4">
        <v>2025</v>
      </c>
    </row>
    <row r="359" spans="1:14">
      <c r="A359" s="4">
        <v>358</v>
      </c>
      <c r="B359" s="4" t="s">
        <v>59</v>
      </c>
      <c r="C359" s="4" t="s">
        <v>60</v>
      </c>
      <c r="D359" s="4" t="s">
        <v>61</v>
      </c>
      <c r="E359" s="4" t="s">
        <v>71</v>
      </c>
      <c r="G359" s="4" t="s">
        <v>132</v>
      </c>
      <c r="H359" s="28" t="s">
        <v>71</v>
      </c>
      <c r="I359" s="90">
        <v>836.84</v>
      </c>
      <c r="J359" s="4" t="s">
        <v>782</v>
      </c>
      <c r="K359" s="15">
        <v>45874</v>
      </c>
      <c r="L359" s="4">
        <v>2025402555</v>
      </c>
      <c r="M359" s="28" t="s">
        <v>226</v>
      </c>
      <c r="N359" s="4">
        <v>2025</v>
      </c>
    </row>
    <row r="360" spans="1:14">
      <c r="A360" s="4">
        <v>359</v>
      </c>
      <c r="B360" s="28" t="s">
        <v>17</v>
      </c>
      <c r="C360" s="28" t="s">
        <v>22</v>
      </c>
      <c r="D360" s="4" t="s">
        <v>61</v>
      </c>
      <c r="E360" s="4" t="s">
        <v>71</v>
      </c>
      <c r="G360" s="4" t="s">
        <v>132</v>
      </c>
      <c r="H360" s="28" t="s">
        <v>71</v>
      </c>
      <c r="I360" s="90">
        <v>53.04</v>
      </c>
      <c r="J360" s="4" t="s">
        <v>783</v>
      </c>
      <c r="K360" s="15">
        <v>45874</v>
      </c>
      <c r="L360" s="4">
        <v>2025402542</v>
      </c>
      <c r="M360" s="28" t="s">
        <v>226</v>
      </c>
      <c r="N360" s="4">
        <v>2025</v>
      </c>
    </row>
    <row r="361" spans="1:14">
      <c r="A361" s="4">
        <v>360</v>
      </c>
      <c r="B361" s="4" t="s">
        <v>55</v>
      </c>
      <c r="C361" s="4" t="s">
        <v>98</v>
      </c>
      <c r="D361" s="4" t="s">
        <v>61</v>
      </c>
      <c r="E361" s="28" t="s">
        <v>71</v>
      </c>
      <c r="G361" s="4" t="s">
        <v>132</v>
      </c>
      <c r="H361" s="28" t="s">
        <v>71</v>
      </c>
      <c r="I361" s="90">
        <v>1040</v>
      </c>
      <c r="J361" s="4" t="s">
        <v>835</v>
      </c>
      <c r="K361" s="15">
        <v>45885</v>
      </c>
      <c r="L361" s="4">
        <v>2025402599</v>
      </c>
      <c r="M361" s="28" t="s">
        <v>226</v>
      </c>
      <c r="N361" s="4">
        <v>2025</v>
      </c>
    </row>
    <row r="362" spans="1:14">
      <c r="A362" s="4">
        <v>361</v>
      </c>
      <c r="B362" s="4" t="s">
        <v>53</v>
      </c>
      <c r="C362" s="4" t="s">
        <v>62</v>
      </c>
      <c r="D362" s="4" t="s">
        <v>61</v>
      </c>
      <c r="E362" s="28" t="s">
        <v>71</v>
      </c>
      <c r="G362" s="4" t="s">
        <v>132</v>
      </c>
      <c r="H362" s="28" t="s">
        <v>71</v>
      </c>
      <c r="I362" s="90">
        <v>220.93</v>
      </c>
      <c r="J362" s="4" t="s">
        <v>836</v>
      </c>
      <c r="K362" s="15">
        <v>45885</v>
      </c>
      <c r="L362" s="4">
        <v>2025401989</v>
      </c>
      <c r="M362" s="28" t="s">
        <v>226</v>
      </c>
      <c r="N362" s="4">
        <v>2025</v>
      </c>
    </row>
    <row r="363" spans="1:14">
      <c r="A363" s="4">
        <v>362</v>
      </c>
      <c r="B363" s="4" t="s">
        <v>53</v>
      </c>
      <c r="C363" s="4" t="s">
        <v>62</v>
      </c>
      <c r="D363" s="4" t="s">
        <v>61</v>
      </c>
      <c r="E363" s="28" t="s">
        <v>71</v>
      </c>
      <c r="G363" s="4" t="s">
        <v>132</v>
      </c>
      <c r="H363" s="28" t="s">
        <v>71</v>
      </c>
      <c r="I363" s="90">
        <v>2321.2800000000002</v>
      </c>
      <c r="J363" s="4" t="s">
        <v>842</v>
      </c>
      <c r="K363" s="15">
        <v>45886</v>
      </c>
      <c r="L363" s="4">
        <v>2025402477</v>
      </c>
      <c r="M363" s="28" t="s">
        <v>226</v>
      </c>
      <c r="N363" s="4">
        <v>2025</v>
      </c>
    </row>
    <row r="364" spans="1:14">
      <c r="A364" s="4">
        <v>363</v>
      </c>
      <c r="B364" s="4" t="s">
        <v>43</v>
      </c>
      <c r="C364" s="4" t="s">
        <v>45</v>
      </c>
      <c r="D364" s="4" t="s">
        <v>61</v>
      </c>
      <c r="E364" s="28" t="s">
        <v>71</v>
      </c>
      <c r="G364" s="4" t="s">
        <v>132</v>
      </c>
      <c r="H364" s="28" t="s">
        <v>71</v>
      </c>
      <c r="I364" s="90">
        <v>1301.79</v>
      </c>
      <c r="J364" s="4" t="s">
        <v>847</v>
      </c>
      <c r="K364" s="15">
        <v>45886</v>
      </c>
      <c r="L364" s="4">
        <v>2025402636</v>
      </c>
      <c r="M364" s="28" t="s">
        <v>226</v>
      </c>
      <c r="N364" s="4">
        <v>2025</v>
      </c>
    </row>
    <row r="365" spans="1:14">
      <c r="A365" s="4">
        <v>364</v>
      </c>
      <c r="B365" s="4" t="s">
        <v>35</v>
      </c>
      <c r="C365" s="4" t="s">
        <v>37</v>
      </c>
      <c r="D365" s="4" t="s">
        <v>61</v>
      </c>
      <c r="E365" s="28" t="s">
        <v>71</v>
      </c>
      <c r="G365" s="4" t="s">
        <v>132</v>
      </c>
      <c r="H365" s="28" t="s">
        <v>71</v>
      </c>
      <c r="I365" s="90">
        <v>60.6</v>
      </c>
      <c r="J365" s="4" t="s">
        <v>849</v>
      </c>
      <c r="K365" s="15">
        <v>45887</v>
      </c>
      <c r="L365" s="4">
        <v>2025402646</v>
      </c>
      <c r="M365" s="28" t="s">
        <v>226</v>
      </c>
      <c r="N365" s="4">
        <v>2025</v>
      </c>
    </row>
    <row r="366" spans="1:14">
      <c r="A366" s="4">
        <v>365</v>
      </c>
      <c r="B366" s="4" t="s">
        <v>55</v>
      </c>
      <c r="C366" s="4" t="s">
        <v>98</v>
      </c>
      <c r="D366" s="4" t="s">
        <v>61</v>
      </c>
      <c r="E366" s="28" t="s">
        <v>71</v>
      </c>
      <c r="G366" s="4" t="s">
        <v>132</v>
      </c>
      <c r="H366" s="28" t="s">
        <v>71</v>
      </c>
      <c r="I366" s="90">
        <v>197.25</v>
      </c>
      <c r="J366" s="4" t="s">
        <v>850</v>
      </c>
      <c r="K366" s="15">
        <v>45887</v>
      </c>
      <c r="L366" s="4">
        <v>2025402630</v>
      </c>
      <c r="M366" s="28" t="s">
        <v>226</v>
      </c>
      <c r="N366" s="4">
        <v>2025</v>
      </c>
    </row>
    <row r="367" spans="1:14">
      <c r="A367" s="4">
        <v>366</v>
      </c>
      <c r="B367" s="4" t="s">
        <v>55</v>
      </c>
      <c r="C367" s="4" t="s">
        <v>56</v>
      </c>
      <c r="D367" s="4" t="s">
        <v>61</v>
      </c>
      <c r="E367" s="28" t="s">
        <v>71</v>
      </c>
      <c r="G367" s="4" t="s">
        <v>132</v>
      </c>
      <c r="H367" s="28" t="s">
        <v>71</v>
      </c>
      <c r="I367" s="90">
        <v>900.71</v>
      </c>
      <c r="J367" s="4" t="s">
        <v>851</v>
      </c>
      <c r="K367" s="15">
        <v>45887</v>
      </c>
      <c r="L367" s="4">
        <v>2025402629</v>
      </c>
      <c r="M367" s="28" t="s">
        <v>226</v>
      </c>
      <c r="N367" s="4">
        <v>2025</v>
      </c>
    </row>
    <row r="368" spans="1:14">
      <c r="A368" s="4">
        <v>367</v>
      </c>
      <c r="B368" s="4" t="s">
        <v>53</v>
      </c>
      <c r="C368" s="4" t="s">
        <v>62</v>
      </c>
      <c r="D368" s="4" t="s">
        <v>61</v>
      </c>
      <c r="E368" s="4" t="s">
        <v>71</v>
      </c>
      <c r="G368" s="4" t="s">
        <v>132</v>
      </c>
      <c r="H368" s="28" t="s">
        <v>71</v>
      </c>
      <c r="I368" s="90">
        <v>548.55999999999995</v>
      </c>
      <c r="J368" s="4" t="s">
        <v>852</v>
      </c>
      <c r="K368" s="15">
        <v>45887</v>
      </c>
      <c r="L368" s="4">
        <v>2025402651</v>
      </c>
      <c r="M368" s="28" t="s">
        <v>226</v>
      </c>
      <c r="N368" s="4">
        <v>2025</v>
      </c>
    </row>
    <row r="369" spans="1:14">
      <c r="A369" s="4">
        <v>368</v>
      </c>
      <c r="B369" s="4" t="s">
        <v>53</v>
      </c>
      <c r="C369" s="4" t="s">
        <v>62</v>
      </c>
      <c r="D369" s="4" t="s">
        <v>61</v>
      </c>
      <c r="E369" s="4" t="s">
        <v>71</v>
      </c>
      <c r="G369" s="4" t="s">
        <v>132</v>
      </c>
      <c r="H369" s="28" t="s">
        <v>71</v>
      </c>
      <c r="I369" s="90">
        <v>207.3</v>
      </c>
      <c r="J369" s="4" t="s">
        <v>853</v>
      </c>
      <c r="K369" s="15">
        <v>45887</v>
      </c>
      <c r="L369" s="4">
        <v>2025402638</v>
      </c>
      <c r="M369" s="28" t="s">
        <v>226</v>
      </c>
      <c r="N369" s="4">
        <v>2025</v>
      </c>
    </row>
    <row r="370" spans="1:14">
      <c r="A370" s="4">
        <v>369</v>
      </c>
      <c r="B370" s="4" t="s">
        <v>53</v>
      </c>
      <c r="C370" s="4" t="s">
        <v>62</v>
      </c>
      <c r="D370" s="4" t="s">
        <v>61</v>
      </c>
      <c r="E370" s="4" t="s">
        <v>71</v>
      </c>
      <c r="G370" s="4" t="s">
        <v>132</v>
      </c>
      <c r="H370" s="28" t="s">
        <v>71</v>
      </c>
      <c r="I370" s="90">
        <v>154.29</v>
      </c>
      <c r="J370" s="4" t="s">
        <v>854</v>
      </c>
      <c r="K370" s="15">
        <v>45887</v>
      </c>
      <c r="L370" s="4">
        <v>2025402642</v>
      </c>
      <c r="M370" s="28" t="s">
        <v>226</v>
      </c>
      <c r="N370" s="4">
        <v>2025</v>
      </c>
    </row>
    <row r="371" spans="1:14">
      <c r="A371" s="4">
        <v>370</v>
      </c>
      <c r="B371" s="4" t="s">
        <v>53</v>
      </c>
      <c r="C371" s="4" t="s">
        <v>62</v>
      </c>
      <c r="D371" s="4" t="s">
        <v>61</v>
      </c>
      <c r="E371" s="4" t="s">
        <v>71</v>
      </c>
      <c r="G371" s="4" t="s">
        <v>132</v>
      </c>
      <c r="H371" s="28" t="s">
        <v>71</v>
      </c>
      <c r="I371" s="90">
        <v>391.02</v>
      </c>
      <c r="J371" s="4" t="s">
        <v>855</v>
      </c>
      <c r="K371" s="15">
        <v>45887</v>
      </c>
      <c r="L371" s="4">
        <v>2025402635</v>
      </c>
      <c r="M371" s="28" t="s">
        <v>226</v>
      </c>
      <c r="N371" s="4">
        <v>2025</v>
      </c>
    </row>
    <row r="372" spans="1:14">
      <c r="A372" s="4">
        <v>371</v>
      </c>
      <c r="B372" s="4" t="s">
        <v>53</v>
      </c>
      <c r="C372" s="4" t="s">
        <v>62</v>
      </c>
      <c r="D372" s="4" t="s">
        <v>61</v>
      </c>
      <c r="E372" s="4" t="s">
        <v>71</v>
      </c>
      <c r="G372" s="4" t="s">
        <v>132</v>
      </c>
      <c r="H372" s="28" t="s">
        <v>71</v>
      </c>
      <c r="I372" s="90">
        <v>182.14</v>
      </c>
      <c r="J372" s="4" t="s">
        <v>856</v>
      </c>
      <c r="K372" s="15">
        <v>45887</v>
      </c>
      <c r="L372" s="4">
        <v>2025402634</v>
      </c>
      <c r="M372" s="28" t="s">
        <v>226</v>
      </c>
      <c r="N372" s="4">
        <v>2025</v>
      </c>
    </row>
    <row r="373" spans="1:14">
      <c r="A373" s="4">
        <v>372</v>
      </c>
      <c r="B373" s="38" t="s">
        <v>53</v>
      </c>
      <c r="C373" s="38" t="s">
        <v>62</v>
      </c>
      <c r="D373" s="4" t="s">
        <v>61</v>
      </c>
      <c r="E373" s="4" t="s">
        <v>71</v>
      </c>
      <c r="G373" s="38" t="s">
        <v>132</v>
      </c>
      <c r="H373" s="28" t="s">
        <v>71</v>
      </c>
      <c r="I373" s="90">
        <v>100.38</v>
      </c>
      <c r="J373" s="38" t="s">
        <v>857</v>
      </c>
      <c r="K373" s="88">
        <v>45887</v>
      </c>
      <c r="L373" s="4">
        <v>2025402633</v>
      </c>
      <c r="M373" s="28" t="s">
        <v>226</v>
      </c>
      <c r="N373" s="4">
        <v>2025</v>
      </c>
    </row>
    <row r="374" spans="1:14">
      <c r="A374" s="4">
        <v>373</v>
      </c>
      <c r="B374" s="4" t="s">
        <v>43</v>
      </c>
      <c r="C374" s="4" t="s">
        <v>50</v>
      </c>
      <c r="D374" s="4" t="s">
        <v>61</v>
      </c>
      <c r="E374" s="4" t="s">
        <v>71</v>
      </c>
      <c r="G374" s="4" t="s">
        <v>132</v>
      </c>
      <c r="H374" s="28" t="s">
        <v>71</v>
      </c>
      <c r="I374" s="41">
        <v>63.45</v>
      </c>
      <c r="J374" s="4" t="s">
        <v>858</v>
      </c>
      <c r="K374" s="15">
        <v>45887</v>
      </c>
      <c r="L374" s="4">
        <v>2025402621</v>
      </c>
      <c r="M374" s="4" t="s">
        <v>226</v>
      </c>
      <c r="N374" s="4">
        <v>2025</v>
      </c>
    </row>
    <row r="375" spans="1:14">
      <c r="A375" s="4">
        <v>374</v>
      </c>
      <c r="B375" s="38" t="s">
        <v>33</v>
      </c>
      <c r="C375" s="38" t="s">
        <v>34</v>
      </c>
      <c r="D375" s="4" t="s">
        <v>61</v>
      </c>
      <c r="E375" s="4" t="s">
        <v>71</v>
      </c>
      <c r="G375" s="4" t="s">
        <v>132</v>
      </c>
      <c r="H375" s="28" t="s">
        <v>71</v>
      </c>
      <c r="I375" s="90">
        <v>530.36</v>
      </c>
      <c r="J375" s="38" t="s">
        <v>859</v>
      </c>
      <c r="K375" s="88">
        <v>45887</v>
      </c>
      <c r="L375" s="4">
        <v>2025402637</v>
      </c>
      <c r="M375" s="4" t="s">
        <v>226</v>
      </c>
      <c r="N375" s="4">
        <v>2025</v>
      </c>
    </row>
    <row r="376" spans="1:14">
      <c r="A376" s="4">
        <v>375</v>
      </c>
      <c r="B376" s="38" t="s">
        <v>43</v>
      </c>
      <c r="C376" s="38" t="s">
        <v>51</v>
      </c>
      <c r="D376" s="4" t="s">
        <v>61</v>
      </c>
      <c r="E376" s="4" t="s">
        <v>71</v>
      </c>
      <c r="G376" s="4" t="s">
        <v>132</v>
      </c>
      <c r="H376" s="28" t="s">
        <v>71</v>
      </c>
      <c r="I376" s="90">
        <v>1707.29</v>
      </c>
      <c r="J376" s="38" t="s">
        <v>860</v>
      </c>
      <c r="K376" s="88">
        <v>45887</v>
      </c>
      <c r="L376" s="4">
        <v>2025402620</v>
      </c>
      <c r="M376" s="4" t="s">
        <v>226</v>
      </c>
      <c r="N376" s="4">
        <v>2025</v>
      </c>
    </row>
    <row r="377" spans="1:14">
      <c r="A377" s="4">
        <v>376</v>
      </c>
      <c r="B377" s="38" t="s">
        <v>43</v>
      </c>
      <c r="C377" s="38" t="s">
        <v>51</v>
      </c>
      <c r="D377" s="4" t="s">
        <v>61</v>
      </c>
      <c r="E377" s="4" t="s">
        <v>71</v>
      </c>
      <c r="G377" s="4" t="s">
        <v>132</v>
      </c>
      <c r="H377" s="28" t="s">
        <v>71</v>
      </c>
      <c r="I377" s="90">
        <v>518.5</v>
      </c>
      <c r="J377" s="38" t="s">
        <v>861</v>
      </c>
      <c r="K377" s="88">
        <v>45887</v>
      </c>
      <c r="L377" s="4">
        <v>2025402650</v>
      </c>
      <c r="M377" s="4" t="s">
        <v>226</v>
      </c>
      <c r="N377" s="4">
        <v>2025</v>
      </c>
    </row>
    <row r="378" spans="1:14">
      <c r="A378" s="4">
        <v>377</v>
      </c>
      <c r="B378" s="38" t="s">
        <v>43</v>
      </c>
      <c r="C378" s="38" t="s">
        <v>51</v>
      </c>
      <c r="D378" s="4" t="s">
        <v>61</v>
      </c>
      <c r="E378" s="4" t="s">
        <v>71</v>
      </c>
      <c r="G378" s="4" t="s">
        <v>132</v>
      </c>
      <c r="H378" s="28" t="s">
        <v>71</v>
      </c>
      <c r="I378" s="90">
        <v>106.08</v>
      </c>
      <c r="J378" s="38" t="s">
        <v>862</v>
      </c>
      <c r="K378" s="88">
        <v>45887</v>
      </c>
      <c r="L378" s="4">
        <v>2025402649</v>
      </c>
      <c r="M378" s="4" t="s">
        <v>226</v>
      </c>
      <c r="N378" s="4">
        <v>2025</v>
      </c>
    </row>
    <row r="379" spans="1:14">
      <c r="A379" s="4">
        <v>378</v>
      </c>
      <c r="B379" s="4" t="s">
        <v>43</v>
      </c>
      <c r="C379" s="4" t="s">
        <v>51</v>
      </c>
      <c r="D379" s="4" t="s">
        <v>61</v>
      </c>
      <c r="E379" s="4" t="s">
        <v>71</v>
      </c>
      <c r="G379" s="4" t="s">
        <v>132</v>
      </c>
      <c r="H379" s="28" t="s">
        <v>71</v>
      </c>
      <c r="I379" s="90">
        <v>525.54</v>
      </c>
      <c r="J379" s="38" t="s">
        <v>863</v>
      </c>
      <c r="K379" s="88">
        <v>45887</v>
      </c>
      <c r="L379" s="4">
        <v>2025402640</v>
      </c>
      <c r="M379" s="4" t="s">
        <v>226</v>
      </c>
      <c r="N379" s="4">
        <v>2025</v>
      </c>
    </row>
    <row r="380" spans="1:14">
      <c r="A380" s="4">
        <v>379</v>
      </c>
      <c r="B380" s="4" t="s">
        <v>43</v>
      </c>
      <c r="C380" s="4" t="s">
        <v>45</v>
      </c>
      <c r="D380" s="4" t="s">
        <v>61</v>
      </c>
      <c r="E380" s="4" t="s">
        <v>71</v>
      </c>
      <c r="G380" s="4" t="s">
        <v>132</v>
      </c>
      <c r="H380" s="28" t="s">
        <v>71</v>
      </c>
      <c r="I380" s="90">
        <v>140</v>
      </c>
      <c r="J380" s="38" t="s">
        <v>864</v>
      </c>
      <c r="K380" s="88">
        <v>45887</v>
      </c>
      <c r="L380" s="4">
        <v>2025402648</v>
      </c>
      <c r="M380" s="4" t="s">
        <v>226</v>
      </c>
      <c r="N380" s="4">
        <v>2025</v>
      </c>
    </row>
    <row r="381" spans="1:14">
      <c r="A381" s="4">
        <v>380</v>
      </c>
      <c r="B381" s="4" t="s">
        <v>43</v>
      </c>
      <c r="C381" s="4" t="s">
        <v>50</v>
      </c>
      <c r="D381" s="4" t="s">
        <v>61</v>
      </c>
      <c r="E381" s="4" t="s">
        <v>71</v>
      </c>
      <c r="G381" s="4" t="s">
        <v>132</v>
      </c>
      <c r="H381" s="28" t="s">
        <v>71</v>
      </c>
      <c r="I381" s="90">
        <v>231.42</v>
      </c>
      <c r="J381" s="38" t="s">
        <v>868</v>
      </c>
      <c r="K381" s="88">
        <v>45888</v>
      </c>
      <c r="L381" s="4">
        <v>2025402693</v>
      </c>
      <c r="M381" s="4" t="s">
        <v>226</v>
      </c>
      <c r="N381" s="4">
        <v>2025</v>
      </c>
    </row>
    <row r="382" spans="1:14">
      <c r="A382" s="4">
        <v>381</v>
      </c>
      <c r="B382" s="4" t="s">
        <v>35</v>
      </c>
      <c r="C382" s="4" t="s">
        <v>37</v>
      </c>
      <c r="D382" s="4" t="s">
        <v>61</v>
      </c>
      <c r="E382" s="4" t="s">
        <v>71</v>
      </c>
      <c r="G382" s="4" t="s">
        <v>132</v>
      </c>
      <c r="H382" s="28" t="s">
        <v>71</v>
      </c>
      <c r="I382" s="90">
        <v>16.07</v>
      </c>
      <c r="J382" s="38" t="s">
        <v>869</v>
      </c>
      <c r="K382" s="88">
        <v>45888</v>
      </c>
      <c r="L382" s="4">
        <v>2025402703</v>
      </c>
      <c r="M382" s="4" t="s">
        <v>226</v>
      </c>
      <c r="N382" s="4">
        <v>2025</v>
      </c>
    </row>
    <row r="383" spans="1:14">
      <c r="A383" s="4">
        <v>382</v>
      </c>
      <c r="B383" s="4" t="s">
        <v>43</v>
      </c>
      <c r="C383" s="4" t="s">
        <v>48</v>
      </c>
      <c r="D383" s="4" t="s">
        <v>61</v>
      </c>
      <c r="E383" s="4" t="s">
        <v>71</v>
      </c>
      <c r="G383" s="4" t="s">
        <v>132</v>
      </c>
      <c r="H383" s="28" t="s">
        <v>71</v>
      </c>
      <c r="I383" s="90">
        <v>1428.44</v>
      </c>
      <c r="J383" s="38" t="s">
        <v>870</v>
      </c>
      <c r="K383" s="88">
        <v>45888</v>
      </c>
      <c r="L383" s="4">
        <v>2025402478</v>
      </c>
      <c r="M383" s="4" t="s">
        <v>226</v>
      </c>
      <c r="N383" s="4">
        <v>2025</v>
      </c>
    </row>
    <row r="384" spans="1:14">
      <c r="A384" s="4">
        <v>383</v>
      </c>
      <c r="B384" s="4" t="s">
        <v>43</v>
      </c>
      <c r="C384" s="4" t="s">
        <v>50</v>
      </c>
      <c r="D384" s="4" t="s">
        <v>61</v>
      </c>
      <c r="E384" s="4" t="s">
        <v>71</v>
      </c>
      <c r="G384" s="4" t="s">
        <v>132</v>
      </c>
      <c r="H384" s="28" t="s">
        <v>71</v>
      </c>
      <c r="I384" s="90">
        <v>379.84</v>
      </c>
      <c r="J384" s="38" t="s">
        <v>871</v>
      </c>
      <c r="K384" s="88">
        <v>45888</v>
      </c>
      <c r="L384" s="4">
        <v>2025402696</v>
      </c>
      <c r="M384" s="4" t="s">
        <v>226</v>
      </c>
      <c r="N384" s="4">
        <v>2025</v>
      </c>
    </row>
    <row r="385" spans="1:14">
      <c r="A385" s="4">
        <v>384</v>
      </c>
      <c r="B385" s="4" t="s">
        <v>43</v>
      </c>
      <c r="C385" s="4" t="s">
        <v>48</v>
      </c>
      <c r="D385" s="4" t="s">
        <v>61</v>
      </c>
      <c r="E385" s="4" t="s">
        <v>71</v>
      </c>
      <c r="G385" s="4" t="s">
        <v>132</v>
      </c>
      <c r="H385" s="28" t="s">
        <v>71</v>
      </c>
      <c r="I385" s="90">
        <v>58.9</v>
      </c>
      <c r="J385" s="38" t="s">
        <v>872</v>
      </c>
      <c r="K385" s="88">
        <v>45888</v>
      </c>
      <c r="L385" s="4">
        <v>2025402645</v>
      </c>
      <c r="M385" s="4" t="s">
        <v>226</v>
      </c>
      <c r="N385" s="4">
        <v>2025</v>
      </c>
    </row>
    <row r="386" spans="1:14">
      <c r="A386" s="4">
        <v>385</v>
      </c>
      <c r="B386" s="4" t="s">
        <v>35</v>
      </c>
      <c r="C386" s="4" t="s">
        <v>40</v>
      </c>
      <c r="D386" s="4" t="s">
        <v>61</v>
      </c>
      <c r="E386" s="4" t="s">
        <v>71</v>
      </c>
      <c r="G386" s="4" t="s">
        <v>132</v>
      </c>
      <c r="H386" s="28" t="s">
        <v>71</v>
      </c>
      <c r="I386" s="90">
        <v>17.12</v>
      </c>
      <c r="J386" s="38" t="s">
        <v>873</v>
      </c>
      <c r="K386" s="88">
        <v>45888</v>
      </c>
      <c r="L386" s="4">
        <v>2025402639</v>
      </c>
      <c r="M386" s="4" t="s">
        <v>226</v>
      </c>
      <c r="N386" s="4">
        <v>2025</v>
      </c>
    </row>
    <row r="387" spans="1:14">
      <c r="A387" s="4">
        <v>386</v>
      </c>
      <c r="B387" s="4" t="s">
        <v>55</v>
      </c>
      <c r="C387" s="4" t="s">
        <v>98</v>
      </c>
      <c r="D387" s="4" t="s">
        <v>61</v>
      </c>
      <c r="E387" s="4" t="s">
        <v>71</v>
      </c>
      <c r="G387" s="4" t="s">
        <v>132</v>
      </c>
      <c r="H387" s="28" t="s">
        <v>71</v>
      </c>
      <c r="I387" s="90">
        <v>3771.45</v>
      </c>
      <c r="J387" s="38" t="s">
        <v>883</v>
      </c>
      <c r="K387" s="88">
        <v>45889</v>
      </c>
      <c r="L387" s="4">
        <v>2025402720</v>
      </c>
      <c r="M387" s="4" t="s">
        <v>226</v>
      </c>
      <c r="N387" s="4">
        <v>2025</v>
      </c>
    </row>
    <row r="388" spans="1:14">
      <c r="A388" s="4">
        <v>387</v>
      </c>
      <c r="B388" s="4" t="s">
        <v>17</v>
      </c>
      <c r="C388" s="4" t="s">
        <v>25</v>
      </c>
      <c r="D388" s="4" t="s">
        <v>61</v>
      </c>
      <c r="E388" s="4" t="s">
        <v>71</v>
      </c>
      <c r="G388" s="4" t="s">
        <v>132</v>
      </c>
      <c r="H388" s="28" t="s">
        <v>71</v>
      </c>
      <c r="I388" s="90">
        <v>2005.6</v>
      </c>
      <c r="J388" s="38" t="s">
        <v>884</v>
      </c>
      <c r="K388" s="88">
        <v>45889</v>
      </c>
      <c r="L388" s="4">
        <v>2025402733</v>
      </c>
      <c r="M388" s="4" t="s">
        <v>226</v>
      </c>
      <c r="N388" s="4">
        <v>2025</v>
      </c>
    </row>
    <row r="389" spans="1:14">
      <c r="A389" s="4">
        <v>388</v>
      </c>
      <c r="B389" s="4" t="s">
        <v>43</v>
      </c>
      <c r="C389" s="4" t="s">
        <v>51</v>
      </c>
      <c r="D389" s="4" t="s">
        <v>61</v>
      </c>
      <c r="E389" s="4" t="s">
        <v>71</v>
      </c>
      <c r="G389" s="4" t="s">
        <v>132</v>
      </c>
      <c r="H389" s="28" t="s">
        <v>71</v>
      </c>
      <c r="I389" s="90">
        <v>119.98</v>
      </c>
      <c r="J389" s="38" t="s">
        <v>885</v>
      </c>
      <c r="K389" s="88">
        <v>45889</v>
      </c>
      <c r="L389" s="4">
        <v>2025402708</v>
      </c>
      <c r="M389" s="4" t="s">
        <v>226</v>
      </c>
      <c r="N389" s="4">
        <v>2025</v>
      </c>
    </row>
    <row r="390" spans="1:14">
      <c r="A390" s="4">
        <v>389</v>
      </c>
      <c r="B390" s="4" t="s">
        <v>43</v>
      </c>
      <c r="C390" s="4" t="s">
        <v>51</v>
      </c>
      <c r="D390" s="4" t="s">
        <v>61</v>
      </c>
      <c r="E390" s="4" t="s">
        <v>71</v>
      </c>
      <c r="G390" s="4" t="s">
        <v>132</v>
      </c>
      <c r="H390" s="28" t="s">
        <v>71</v>
      </c>
      <c r="I390" s="90">
        <v>589.25</v>
      </c>
      <c r="J390" s="38" t="s">
        <v>886</v>
      </c>
      <c r="K390" s="88">
        <v>45889</v>
      </c>
      <c r="L390" s="4">
        <v>2025402706</v>
      </c>
      <c r="M390" s="4" t="s">
        <v>226</v>
      </c>
      <c r="N390" s="4">
        <v>2025</v>
      </c>
    </row>
    <row r="391" spans="1:14">
      <c r="A391" s="4">
        <v>390</v>
      </c>
      <c r="B391" s="4" t="s">
        <v>43</v>
      </c>
      <c r="C391" s="4" t="s">
        <v>51</v>
      </c>
      <c r="D391" s="4" t="s">
        <v>61</v>
      </c>
      <c r="E391" s="4" t="s">
        <v>71</v>
      </c>
      <c r="G391" s="4" t="s">
        <v>132</v>
      </c>
      <c r="H391" s="28" t="s">
        <v>71</v>
      </c>
      <c r="I391" s="90">
        <v>150</v>
      </c>
      <c r="J391" s="38" t="s">
        <v>887</v>
      </c>
      <c r="K391" s="88">
        <v>45889</v>
      </c>
      <c r="L391" s="4">
        <v>2025402663</v>
      </c>
      <c r="M391" s="4" t="s">
        <v>226</v>
      </c>
      <c r="N391" s="4">
        <v>2025</v>
      </c>
    </row>
    <row r="392" spans="1:14">
      <c r="A392" s="4">
        <v>391</v>
      </c>
      <c r="B392" s="4" t="s">
        <v>17</v>
      </c>
      <c r="C392" s="4" t="s">
        <v>23</v>
      </c>
      <c r="D392" s="4" t="s">
        <v>61</v>
      </c>
      <c r="E392" s="4" t="s">
        <v>71</v>
      </c>
      <c r="G392" s="4" t="s">
        <v>132</v>
      </c>
      <c r="H392" s="28" t="s">
        <v>71</v>
      </c>
      <c r="I392" s="90">
        <v>197.61</v>
      </c>
      <c r="J392" s="38" t="s">
        <v>888</v>
      </c>
      <c r="K392" s="88">
        <v>45889</v>
      </c>
      <c r="L392" s="4">
        <v>2025402743</v>
      </c>
      <c r="M392" s="4" t="s">
        <v>226</v>
      </c>
      <c r="N392" s="4">
        <v>2025</v>
      </c>
    </row>
    <row r="393" spans="1:14">
      <c r="A393" s="4">
        <v>392</v>
      </c>
      <c r="B393" s="4" t="s">
        <v>17</v>
      </c>
      <c r="C393" s="4" t="s">
        <v>22</v>
      </c>
      <c r="D393" s="4" t="s">
        <v>61</v>
      </c>
      <c r="E393" s="4" t="s">
        <v>71</v>
      </c>
      <c r="G393" s="4" t="s">
        <v>132</v>
      </c>
      <c r="H393" s="28" t="s">
        <v>71</v>
      </c>
      <c r="I393" s="90">
        <v>172.7</v>
      </c>
      <c r="J393" s="38" t="s">
        <v>889</v>
      </c>
      <c r="K393" s="88">
        <v>45889</v>
      </c>
      <c r="L393" s="4">
        <v>2025402717</v>
      </c>
      <c r="M393" s="4" t="s">
        <v>226</v>
      </c>
      <c r="N393" s="4">
        <v>2025</v>
      </c>
    </row>
    <row r="394" spans="1:14">
      <c r="A394" s="4">
        <v>393</v>
      </c>
      <c r="B394" s="4" t="s">
        <v>43</v>
      </c>
      <c r="C394" s="4" t="s">
        <v>46</v>
      </c>
      <c r="D394" s="4" t="s">
        <v>61</v>
      </c>
      <c r="E394" s="4" t="s">
        <v>71</v>
      </c>
      <c r="G394" s="4" t="s">
        <v>132</v>
      </c>
      <c r="H394" s="28" t="s">
        <v>71</v>
      </c>
      <c r="I394" s="90">
        <v>1344.6</v>
      </c>
      <c r="J394" s="38" t="s">
        <v>893</v>
      </c>
      <c r="K394" s="88">
        <v>45889</v>
      </c>
      <c r="L394" s="4">
        <v>2025402585</v>
      </c>
      <c r="M394" s="4" t="s">
        <v>226</v>
      </c>
      <c r="N394" s="4">
        <v>2025</v>
      </c>
    </row>
    <row r="395" spans="1:14">
      <c r="A395" s="4">
        <v>394</v>
      </c>
      <c r="B395" s="4" t="s">
        <v>43</v>
      </c>
      <c r="C395" s="4" t="s">
        <v>498</v>
      </c>
      <c r="D395" s="4" t="s">
        <v>61</v>
      </c>
      <c r="E395" s="4" t="s">
        <v>71</v>
      </c>
      <c r="G395" s="4" t="s">
        <v>132</v>
      </c>
      <c r="H395" s="28" t="s">
        <v>71</v>
      </c>
      <c r="I395" s="90">
        <v>426.48</v>
      </c>
      <c r="J395" s="4" t="s">
        <v>993</v>
      </c>
      <c r="K395" s="15">
        <v>45892</v>
      </c>
      <c r="L395" s="4">
        <v>2025402766</v>
      </c>
      <c r="M395" s="4" t="s">
        <v>226</v>
      </c>
      <c r="N395" s="4">
        <v>2025</v>
      </c>
    </row>
    <row r="396" spans="1:14">
      <c r="A396" s="4">
        <v>395</v>
      </c>
      <c r="B396" s="4" t="s">
        <v>53</v>
      </c>
      <c r="C396" s="4" t="s">
        <v>62</v>
      </c>
      <c r="D396" s="4" t="s">
        <v>61</v>
      </c>
      <c r="E396" s="4" t="s">
        <v>71</v>
      </c>
      <c r="G396" s="4" t="s">
        <v>132</v>
      </c>
      <c r="H396" s="28" t="s">
        <v>71</v>
      </c>
      <c r="I396" s="90">
        <v>1061.0999999999999</v>
      </c>
      <c r="J396" s="4" t="s">
        <v>994</v>
      </c>
      <c r="K396" s="15">
        <v>45892</v>
      </c>
      <c r="L396" s="4">
        <v>2025402584</v>
      </c>
      <c r="M396" s="4" t="s">
        <v>226</v>
      </c>
      <c r="N396" s="4">
        <v>2025</v>
      </c>
    </row>
    <row r="397" spans="1:14">
      <c r="A397" s="4">
        <v>396</v>
      </c>
      <c r="B397" s="4" t="s">
        <v>43</v>
      </c>
      <c r="C397" s="4" t="s">
        <v>51</v>
      </c>
      <c r="D397" s="4" t="s">
        <v>61</v>
      </c>
      <c r="E397" s="4" t="s">
        <v>71</v>
      </c>
      <c r="G397" s="4" t="s">
        <v>132</v>
      </c>
      <c r="H397" s="28" t="s">
        <v>71</v>
      </c>
      <c r="I397" s="90">
        <v>1023.2</v>
      </c>
      <c r="J397" s="4" t="s">
        <v>995</v>
      </c>
      <c r="K397" s="15">
        <v>45892</v>
      </c>
      <c r="L397" s="4">
        <v>2025402705</v>
      </c>
      <c r="M397" s="4" t="s">
        <v>226</v>
      </c>
      <c r="N397" s="4">
        <v>2025</v>
      </c>
    </row>
    <row r="398" spans="1:14">
      <c r="A398" s="4">
        <v>397</v>
      </c>
      <c r="B398" s="4" t="s">
        <v>499</v>
      </c>
      <c r="C398" s="4" t="s">
        <v>38</v>
      </c>
      <c r="D398" s="4" t="s">
        <v>61</v>
      </c>
      <c r="E398" s="4" t="s">
        <v>71</v>
      </c>
      <c r="G398" s="4" t="s">
        <v>132</v>
      </c>
      <c r="H398" s="28" t="s">
        <v>71</v>
      </c>
      <c r="I398" s="90">
        <v>1871.64</v>
      </c>
      <c r="J398" s="4" t="s">
        <v>996</v>
      </c>
      <c r="K398" s="15">
        <v>45892</v>
      </c>
      <c r="L398" s="4">
        <v>2025402667</v>
      </c>
      <c r="M398" s="4" t="s">
        <v>226</v>
      </c>
      <c r="N398" s="4">
        <v>2025</v>
      </c>
    </row>
    <row r="399" spans="1:14">
      <c r="A399" s="4">
        <v>398</v>
      </c>
      <c r="B399" s="4" t="s">
        <v>17</v>
      </c>
      <c r="C399" s="4" t="s">
        <v>500</v>
      </c>
      <c r="D399" s="4" t="s">
        <v>61</v>
      </c>
      <c r="E399" s="4" t="s">
        <v>71</v>
      </c>
      <c r="G399" s="4" t="s">
        <v>132</v>
      </c>
      <c r="H399" s="28" t="s">
        <v>71</v>
      </c>
      <c r="I399" s="90">
        <v>2805.52</v>
      </c>
      <c r="J399" s="4" t="s">
        <v>997</v>
      </c>
      <c r="K399" s="15">
        <v>45892</v>
      </c>
      <c r="L399" s="4">
        <v>2025402758</v>
      </c>
      <c r="M399" s="4" t="s">
        <v>226</v>
      </c>
      <c r="N399" s="4">
        <v>2025</v>
      </c>
    </row>
    <row r="400" spans="1:14">
      <c r="A400" s="4">
        <v>399</v>
      </c>
      <c r="B400" s="4" t="s">
        <v>17</v>
      </c>
      <c r="C400" s="4" t="s">
        <v>25</v>
      </c>
      <c r="D400" s="4" t="s">
        <v>61</v>
      </c>
      <c r="E400" s="4" t="s">
        <v>71</v>
      </c>
      <c r="G400" s="4" t="s">
        <v>132</v>
      </c>
      <c r="H400" s="28" t="s">
        <v>71</v>
      </c>
      <c r="I400" s="90">
        <v>510.88</v>
      </c>
      <c r="J400" s="4" t="s">
        <v>1015</v>
      </c>
      <c r="K400" s="15">
        <v>45894</v>
      </c>
      <c r="L400" s="4">
        <v>2025402738</v>
      </c>
      <c r="M400" s="4" t="s">
        <v>226</v>
      </c>
      <c r="N400" s="4">
        <v>2025</v>
      </c>
    </row>
    <row r="401" spans="1:14">
      <c r="A401" s="4">
        <v>400</v>
      </c>
      <c r="B401" s="4" t="s">
        <v>53</v>
      </c>
      <c r="C401" s="4" t="s">
        <v>62</v>
      </c>
      <c r="D401" s="4" t="s">
        <v>61</v>
      </c>
      <c r="E401" s="4" t="s">
        <v>71</v>
      </c>
      <c r="G401" s="4" t="s">
        <v>132</v>
      </c>
      <c r="H401" s="28" t="s">
        <v>71</v>
      </c>
      <c r="I401" s="90">
        <v>286.88</v>
      </c>
      <c r="J401" s="4" t="s">
        <v>1016</v>
      </c>
      <c r="K401" s="15">
        <v>45894</v>
      </c>
      <c r="L401" s="4">
        <v>2025402558</v>
      </c>
      <c r="M401" s="4" t="s">
        <v>226</v>
      </c>
      <c r="N401" s="4">
        <v>2025</v>
      </c>
    </row>
    <row r="402" spans="1:14">
      <c r="A402" s="4">
        <v>401</v>
      </c>
      <c r="B402" s="4" t="s">
        <v>17</v>
      </c>
      <c r="C402" s="4" t="s">
        <v>22</v>
      </c>
      <c r="D402" s="4" t="s">
        <v>61</v>
      </c>
      <c r="E402" s="4" t="s">
        <v>71</v>
      </c>
      <c r="G402" s="4" t="s">
        <v>132</v>
      </c>
      <c r="H402" s="28" t="s">
        <v>71</v>
      </c>
      <c r="I402" s="90">
        <v>131.19999999999999</v>
      </c>
      <c r="J402" s="4" t="s">
        <v>1017</v>
      </c>
      <c r="K402" s="15">
        <v>45894</v>
      </c>
      <c r="L402" s="4">
        <v>2025402740</v>
      </c>
      <c r="M402" s="4" t="s">
        <v>226</v>
      </c>
      <c r="N402" s="4">
        <v>2025</v>
      </c>
    </row>
    <row r="403" spans="1:14">
      <c r="A403" s="4">
        <v>402</v>
      </c>
      <c r="B403" s="4" t="s">
        <v>53</v>
      </c>
      <c r="C403" s="4" t="s">
        <v>62</v>
      </c>
      <c r="D403" s="4" t="s">
        <v>61</v>
      </c>
      <c r="E403" s="4" t="s">
        <v>71</v>
      </c>
      <c r="G403" s="4" t="s">
        <v>132</v>
      </c>
      <c r="H403" s="28" t="s">
        <v>71</v>
      </c>
      <c r="I403" s="90">
        <v>1030.8</v>
      </c>
      <c r="J403" s="4" t="s">
        <v>1018</v>
      </c>
      <c r="K403" s="15">
        <v>45894</v>
      </c>
      <c r="L403" s="4">
        <v>2025402647</v>
      </c>
      <c r="M403" s="4" t="s">
        <v>226</v>
      </c>
      <c r="N403" s="4">
        <v>2025</v>
      </c>
    </row>
    <row r="404" spans="1:14">
      <c r="A404" s="4">
        <v>403</v>
      </c>
      <c r="B404" s="4" t="s">
        <v>53</v>
      </c>
      <c r="C404" s="4" t="s">
        <v>62</v>
      </c>
      <c r="D404" s="4" t="s">
        <v>61</v>
      </c>
      <c r="E404" s="4" t="s">
        <v>71</v>
      </c>
      <c r="G404" s="4" t="s">
        <v>132</v>
      </c>
      <c r="H404" s="28" t="s">
        <v>71</v>
      </c>
      <c r="I404" s="90">
        <v>3758.46</v>
      </c>
      <c r="J404" s="4" t="s">
        <v>1019</v>
      </c>
      <c r="K404" s="15">
        <v>45894</v>
      </c>
      <c r="L404" s="4">
        <v>2025402680</v>
      </c>
      <c r="M404" s="4" t="s">
        <v>226</v>
      </c>
      <c r="N404" s="4">
        <v>2025</v>
      </c>
    </row>
    <row r="405" spans="1:14">
      <c r="A405" s="4">
        <v>404</v>
      </c>
      <c r="B405" s="4" t="s">
        <v>17</v>
      </c>
      <c r="C405" s="4" t="s">
        <v>25</v>
      </c>
      <c r="D405" s="4" t="s">
        <v>61</v>
      </c>
      <c r="E405" s="4" t="s">
        <v>71</v>
      </c>
      <c r="G405" s="4" t="s">
        <v>132</v>
      </c>
      <c r="H405" s="28" t="s">
        <v>71</v>
      </c>
      <c r="I405" s="90">
        <v>833.36</v>
      </c>
      <c r="J405" s="4" t="s">
        <v>1145</v>
      </c>
      <c r="K405" s="15">
        <v>45944</v>
      </c>
      <c r="L405" s="4">
        <v>2025403064</v>
      </c>
      <c r="M405" s="4" t="s">
        <v>226</v>
      </c>
      <c r="N405" s="4">
        <v>2025</v>
      </c>
    </row>
    <row r="406" spans="1:14">
      <c r="A406" s="4">
        <v>405</v>
      </c>
      <c r="B406" s="4" t="s">
        <v>43</v>
      </c>
      <c r="C406" s="4" t="s">
        <v>48</v>
      </c>
      <c r="D406" s="4" t="s">
        <v>61</v>
      </c>
      <c r="E406" s="4" t="s">
        <v>71</v>
      </c>
      <c r="G406" s="4" t="s">
        <v>132</v>
      </c>
      <c r="H406" s="28" t="s">
        <v>71</v>
      </c>
      <c r="I406" s="90">
        <v>36.4</v>
      </c>
      <c r="J406" s="4" t="s">
        <v>1156</v>
      </c>
      <c r="K406" s="15">
        <v>45962</v>
      </c>
      <c r="L406" s="4">
        <v>2025402927</v>
      </c>
      <c r="M406" s="4" t="s">
        <v>226</v>
      </c>
      <c r="N406" s="4">
        <v>2025</v>
      </c>
    </row>
    <row r="407" spans="1:14">
      <c r="A407" s="4">
        <v>406</v>
      </c>
      <c r="B407" s="4" t="s">
        <v>33</v>
      </c>
      <c r="C407" s="4" t="s">
        <v>34</v>
      </c>
      <c r="D407" s="4" t="s">
        <v>61</v>
      </c>
      <c r="E407" s="4" t="s">
        <v>71</v>
      </c>
      <c r="G407" s="4" t="s">
        <v>122</v>
      </c>
      <c r="H407" s="4" t="s">
        <v>71</v>
      </c>
      <c r="I407" s="40">
        <v>22453.362676056338</v>
      </c>
      <c r="J407" s="4" t="s">
        <v>1011</v>
      </c>
      <c r="K407" s="15">
        <v>45899</v>
      </c>
      <c r="L407" s="4">
        <v>0</v>
      </c>
      <c r="M407" s="4" t="s">
        <v>226</v>
      </c>
      <c r="N407" s="4">
        <v>2025</v>
      </c>
    </row>
    <row r="408" spans="1:14">
      <c r="A408" s="4">
        <v>407</v>
      </c>
      <c r="B408" s="4" t="s">
        <v>53</v>
      </c>
      <c r="C408" s="4" t="s">
        <v>62</v>
      </c>
      <c r="D408" s="4" t="s">
        <v>61</v>
      </c>
      <c r="E408" s="28" t="s">
        <v>71</v>
      </c>
      <c r="G408" s="4" t="s">
        <v>238</v>
      </c>
      <c r="H408" s="4" t="s">
        <v>71</v>
      </c>
      <c r="I408" s="90">
        <v>2370</v>
      </c>
      <c r="J408" s="4" t="s">
        <v>282</v>
      </c>
      <c r="K408" s="15">
        <v>45866</v>
      </c>
      <c r="L408" s="4">
        <v>2025402465</v>
      </c>
      <c r="M408" s="28" t="s">
        <v>225</v>
      </c>
      <c r="N408" s="4">
        <v>2025</v>
      </c>
    </row>
    <row r="409" spans="1:14">
      <c r="A409" s="4">
        <v>408</v>
      </c>
      <c r="B409" s="4" t="s">
        <v>17</v>
      </c>
      <c r="C409" s="4" t="s">
        <v>25</v>
      </c>
      <c r="D409" s="4" t="s">
        <v>61</v>
      </c>
      <c r="E409" s="28" t="s">
        <v>71</v>
      </c>
      <c r="G409" s="4" t="s">
        <v>238</v>
      </c>
      <c r="H409" s="4" t="s">
        <v>71</v>
      </c>
      <c r="I409" s="90">
        <v>3540</v>
      </c>
      <c r="J409" s="4" t="s">
        <v>282</v>
      </c>
      <c r="K409" s="15">
        <v>45876</v>
      </c>
      <c r="L409" s="4">
        <v>2025402466</v>
      </c>
      <c r="M409" s="28" t="s">
        <v>226</v>
      </c>
      <c r="N409" s="4">
        <v>2025</v>
      </c>
    </row>
    <row r="410" spans="1:14">
      <c r="A410" s="4">
        <v>409</v>
      </c>
      <c r="B410" s="4" t="s">
        <v>53</v>
      </c>
      <c r="C410" s="4" t="s">
        <v>62</v>
      </c>
      <c r="D410" s="4" t="s">
        <v>61</v>
      </c>
      <c r="E410" s="4" t="s">
        <v>71</v>
      </c>
      <c r="G410" s="4" t="s">
        <v>238</v>
      </c>
      <c r="H410" s="4" t="s">
        <v>71</v>
      </c>
      <c r="I410" s="90">
        <v>3560</v>
      </c>
      <c r="J410" s="4" t="s">
        <v>1083</v>
      </c>
      <c r="K410" s="15">
        <v>45900</v>
      </c>
      <c r="L410" s="4">
        <v>2025402685</v>
      </c>
      <c r="M410" s="4" t="s">
        <v>226</v>
      </c>
      <c r="N410" s="4">
        <v>2025</v>
      </c>
    </row>
    <row r="411" spans="1:14">
      <c r="A411" s="4">
        <v>410</v>
      </c>
      <c r="B411" s="4" t="s">
        <v>35</v>
      </c>
      <c r="C411" s="4" t="s">
        <v>38</v>
      </c>
      <c r="D411" s="4" t="s">
        <v>61</v>
      </c>
      <c r="E411" s="4" t="s">
        <v>71</v>
      </c>
      <c r="G411" s="4" t="s">
        <v>238</v>
      </c>
      <c r="H411" s="4" t="s">
        <v>71</v>
      </c>
      <c r="I411" s="90">
        <v>2420</v>
      </c>
      <c r="J411" s="4" t="s">
        <v>785</v>
      </c>
      <c r="K411" s="15">
        <v>45900</v>
      </c>
      <c r="L411" s="4">
        <v>2025402965</v>
      </c>
      <c r="M411" s="4" t="s">
        <v>226</v>
      </c>
      <c r="N411" s="4">
        <v>2025</v>
      </c>
    </row>
    <row r="412" spans="1:14">
      <c r="A412" s="4">
        <v>411</v>
      </c>
      <c r="B412" s="4" t="s">
        <v>43</v>
      </c>
      <c r="C412" s="4" t="s">
        <v>73</v>
      </c>
      <c r="D412" s="4" t="s">
        <v>61</v>
      </c>
      <c r="E412" s="4" t="s">
        <v>71</v>
      </c>
      <c r="G412" s="4" t="s">
        <v>259</v>
      </c>
      <c r="H412" s="4" t="s">
        <v>71</v>
      </c>
      <c r="I412" s="90">
        <v>48043.85</v>
      </c>
      <c r="J412" s="4" t="s">
        <v>999</v>
      </c>
      <c r="K412" s="15">
        <v>45889</v>
      </c>
      <c r="L412" s="4">
        <v>2025402892</v>
      </c>
      <c r="M412" s="4" t="s">
        <v>226</v>
      </c>
      <c r="N412" s="4">
        <v>2025</v>
      </c>
    </row>
    <row r="413" spans="1:14">
      <c r="A413" s="4">
        <v>412</v>
      </c>
      <c r="B413" s="4" t="s">
        <v>43</v>
      </c>
      <c r="C413" s="4" t="s">
        <v>50</v>
      </c>
      <c r="D413" s="4" t="s">
        <v>61</v>
      </c>
      <c r="E413" s="4" t="s">
        <v>71</v>
      </c>
      <c r="G413" s="4" t="s">
        <v>259</v>
      </c>
      <c r="H413" s="4" t="s">
        <v>71</v>
      </c>
      <c r="I413" s="90">
        <v>7388.45</v>
      </c>
      <c r="J413" s="4" t="s">
        <v>1119</v>
      </c>
      <c r="K413" s="15">
        <v>45874</v>
      </c>
      <c r="L413" s="4">
        <v>2025401493</v>
      </c>
      <c r="M413" s="4" t="s">
        <v>226</v>
      </c>
      <c r="N413" s="4">
        <v>2025</v>
      </c>
    </row>
    <row r="414" spans="1:14">
      <c r="A414" s="4">
        <v>413</v>
      </c>
      <c r="B414" s="4" t="s">
        <v>43</v>
      </c>
      <c r="C414" s="4" t="s">
        <v>50</v>
      </c>
      <c r="D414" s="4" t="s">
        <v>61</v>
      </c>
      <c r="E414" s="4" t="s">
        <v>71</v>
      </c>
      <c r="G414" s="4" t="s">
        <v>259</v>
      </c>
      <c r="H414" s="4" t="s">
        <v>71</v>
      </c>
      <c r="I414" s="90">
        <v>2175.207084468665</v>
      </c>
      <c r="J414" s="4" t="s">
        <v>1121</v>
      </c>
      <c r="K414" s="15">
        <v>45851</v>
      </c>
      <c r="L414" s="4">
        <v>2025401675</v>
      </c>
      <c r="M414" s="4" t="s">
        <v>225</v>
      </c>
      <c r="N414" s="4">
        <v>2025</v>
      </c>
    </row>
    <row r="415" spans="1:14">
      <c r="A415" s="4">
        <v>414</v>
      </c>
      <c r="B415" s="4" t="s">
        <v>43</v>
      </c>
      <c r="C415" s="4" t="s">
        <v>50</v>
      </c>
      <c r="D415" s="4" t="s">
        <v>61</v>
      </c>
      <c r="E415" s="4" t="s">
        <v>71</v>
      </c>
      <c r="G415" s="4" t="s">
        <v>259</v>
      </c>
      <c r="H415" s="4" t="s">
        <v>71</v>
      </c>
      <c r="I415" s="90">
        <v>2230.19</v>
      </c>
      <c r="J415" s="4" t="s">
        <v>1122</v>
      </c>
      <c r="K415" s="15">
        <v>45846</v>
      </c>
      <c r="L415" s="4">
        <v>2025401410</v>
      </c>
      <c r="M415" s="4" t="s">
        <v>225</v>
      </c>
      <c r="N415" s="4">
        <v>2025</v>
      </c>
    </row>
    <row r="416" spans="1:14">
      <c r="A416" s="4">
        <v>415</v>
      </c>
      <c r="B416" s="4" t="s">
        <v>43</v>
      </c>
      <c r="C416" s="4" t="s">
        <v>50</v>
      </c>
      <c r="D416" s="4" t="s">
        <v>61</v>
      </c>
      <c r="E416" s="4" t="s">
        <v>71</v>
      </c>
      <c r="G416" s="4" t="s">
        <v>259</v>
      </c>
      <c r="H416" s="4" t="s">
        <v>71</v>
      </c>
      <c r="I416" s="90">
        <v>686.39782016348772</v>
      </c>
      <c r="J416" s="4" t="s">
        <v>1123</v>
      </c>
      <c r="K416" s="15">
        <v>45859</v>
      </c>
      <c r="L416" s="4">
        <v>2025401403</v>
      </c>
      <c r="M416" s="4" t="s">
        <v>225</v>
      </c>
      <c r="N416" s="4">
        <v>2025</v>
      </c>
    </row>
    <row r="417" spans="1:14">
      <c r="A417" s="4">
        <v>416</v>
      </c>
      <c r="B417" s="4" t="s">
        <v>55</v>
      </c>
      <c r="C417" s="4" t="s">
        <v>56</v>
      </c>
      <c r="D417" s="4" t="s">
        <v>61</v>
      </c>
      <c r="E417" s="4" t="s">
        <v>71</v>
      </c>
      <c r="G417" s="4" t="s">
        <v>259</v>
      </c>
      <c r="H417" s="4" t="s">
        <v>71</v>
      </c>
      <c r="I417" s="90">
        <v>9386.92</v>
      </c>
      <c r="J417" s="4" t="s">
        <v>1128</v>
      </c>
      <c r="K417" s="15">
        <v>45874</v>
      </c>
      <c r="L417" s="4">
        <v>2025402643</v>
      </c>
      <c r="M417" s="4" t="s">
        <v>226</v>
      </c>
      <c r="N417" s="4">
        <v>2025</v>
      </c>
    </row>
    <row r="418" spans="1:14">
      <c r="A418" s="4">
        <v>417</v>
      </c>
      <c r="B418" s="4" t="s">
        <v>53</v>
      </c>
      <c r="C418" s="4" t="s">
        <v>62</v>
      </c>
      <c r="D418" s="4" t="s">
        <v>61</v>
      </c>
      <c r="E418" s="28" t="s">
        <v>71</v>
      </c>
      <c r="G418" s="4" t="s">
        <v>482</v>
      </c>
      <c r="H418" s="4" t="s">
        <v>71</v>
      </c>
      <c r="I418" s="90">
        <v>976</v>
      </c>
      <c r="J418" s="4" t="s">
        <v>639</v>
      </c>
      <c r="K418" s="15">
        <v>45853</v>
      </c>
      <c r="L418" s="4">
        <v>2025402262</v>
      </c>
      <c r="M418" s="28" t="s">
        <v>225</v>
      </c>
      <c r="N418" s="4">
        <v>2025</v>
      </c>
    </row>
    <row r="419" spans="1:14">
      <c r="A419" s="4">
        <v>418</v>
      </c>
      <c r="B419" s="4" t="s">
        <v>17</v>
      </c>
      <c r="C419" s="4" t="s">
        <v>26</v>
      </c>
      <c r="D419" s="4" t="s">
        <v>61</v>
      </c>
      <c r="E419" s="28" t="s">
        <v>71</v>
      </c>
      <c r="G419" s="4" t="s">
        <v>482</v>
      </c>
      <c r="H419" s="4" t="s">
        <v>71</v>
      </c>
      <c r="I419" s="90">
        <v>300</v>
      </c>
      <c r="J419" s="4" t="s">
        <v>640</v>
      </c>
      <c r="K419" s="15">
        <v>45858</v>
      </c>
      <c r="L419" s="4">
        <v>2025402225</v>
      </c>
      <c r="M419" s="28" t="s">
        <v>225</v>
      </c>
      <c r="N419" s="4">
        <v>2025</v>
      </c>
    </row>
    <row r="420" spans="1:14">
      <c r="A420" s="4">
        <v>419</v>
      </c>
      <c r="B420" s="4" t="s">
        <v>33</v>
      </c>
      <c r="C420" s="4" t="s">
        <v>34</v>
      </c>
      <c r="D420" s="4" t="s">
        <v>61</v>
      </c>
      <c r="E420" s="28" t="s">
        <v>71</v>
      </c>
      <c r="G420" s="4" t="s">
        <v>482</v>
      </c>
      <c r="H420" s="4" t="s">
        <v>71</v>
      </c>
      <c r="I420" s="90">
        <v>2145</v>
      </c>
      <c r="J420" s="4" t="s">
        <v>641</v>
      </c>
      <c r="K420" s="15">
        <v>45848</v>
      </c>
      <c r="L420" s="4">
        <v>2025402226</v>
      </c>
      <c r="M420" s="28" t="s">
        <v>225</v>
      </c>
      <c r="N420" s="4">
        <v>2025</v>
      </c>
    </row>
    <row r="421" spans="1:14">
      <c r="A421" s="4">
        <v>420</v>
      </c>
      <c r="B421" s="4" t="s">
        <v>17</v>
      </c>
      <c r="C421" s="4" t="s">
        <v>22</v>
      </c>
      <c r="D421" s="4" t="s">
        <v>61</v>
      </c>
      <c r="E421" s="4" t="s">
        <v>71</v>
      </c>
      <c r="G421" s="4" t="s">
        <v>482</v>
      </c>
      <c r="H421" s="4" t="s">
        <v>71</v>
      </c>
      <c r="I421" s="41">
        <v>415</v>
      </c>
      <c r="J421" s="4" t="s">
        <v>716</v>
      </c>
      <c r="K421" s="15">
        <v>45864</v>
      </c>
      <c r="L421" s="4">
        <v>2025402489</v>
      </c>
      <c r="M421" s="28" t="s">
        <v>225</v>
      </c>
      <c r="N421" s="4">
        <v>2025</v>
      </c>
    </row>
    <row r="422" spans="1:14">
      <c r="A422" s="4">
        <v>421</v>
      </c>
      <c r="B422" s="4" t="s">
        <v>43</v>
      </c>
      <c r="C422" s="4" t="s">
        <v>51</v>
      </c>
      <c r="D422" s="4" t="s">
        <v>61</v>
      </c>
      <c r="E422" s="28" t="s">
        <v>71</v>
      </c>
      <c r="G422" s="4" t="s">
        <v>243</v>
      </c>
      <c r="H422" s="91" t="s">
        <v>254</v>
      </c>
      <c r="I422" s="90">
        <v>475</v>
      </c>
      <c r="J422" s="4" t="s">
        <v>519</v>
      </c>
      <c r="K422" s="15">
        <v>45846</v>
      </c>
      <c r="L422" s="29">
        <v>2025402212</v>
      </c>
      <c r="M422" s="28" t="s">
        <v>225</v>
      </c>
      <c r="N422" s="4">
        <v>2025</v>
      </c>
    </row>
    <row r="423" spans="1:14">
      <c r="A423" s="4">
        <v>422</v>
      </c>
      <c r="B423" s="4" t="s">
        <v>55</v>
      </c>
      <c r="C423" s="4" t="s">
        <v>56</v>
      </c>
      <c r="D423" s="4" t="s">
        <v>61</v>
      </c>
      <c r="E423" s="28" t="s">
        <v>71</v>
      </c>
      <c r="G423" s="4" t="s">
        <v>243</v>
      </c>
      <c r="H423" s="91" t="s">
        <v>254</v>
      </c>
      <c r="I423" s="90">
        <v>3770</v>
      </c>
      <c r="J423" s="4" t="s">
        <v>550</v>
      </c>
      <c r="K423" s="15">
        <v>45848</v>
      </c>
      <c r="L423" s="4">
        <v>2025402233</v>
      </c>
      <c r="M423" s="28" t="s">
        <v>225</v>
      </c>
      <c r="N423" s="4">
        <v>2025</v>
      </c>
    </row>
    <row r="424" spans="1:14">
      <c r="A424" s="4">
        <v>423</v>
      </c>
      <c r="B424" s="4" t="s">
        <v>273</v>
      </c>
      <c r="C424" s="4" t="s">
        <v>56</v>
      </c>
      <c r="D424" s="4" t="s">
        <v>61</v>
      </c>
      <c r="E424" s="4" t="s">
        <v>71</v>
      </c>
      <c r="G424" s="4" t="s">
        <v>243</v>
      </c>
      <c r="H424" s="91" t="s">
        <v>254</v>
      </c>
      <c r="I424" s="90">
        <v>7800</v>
      </c>
      <c r="J424" s="4" t="s">
        <v>581</v>
      </c>
      <c r="K424" s="15">
        <v>45853</v>
      </c>
      <c r="L424" s="4">
        <v>2025402273</v>
      </c>
      <c r="M424" s="28" t="s">
        <v>225</v>
      </c>
      <c r="N424" s="4">
        <v>2025</v>
      </c>
    </row>
    <row r="425" spans="1:14">
      <c r="A425" s="4">
        <v>424</v>
      </c>
      <c r="B425" s="4" t="s">
        <v>53</v>
      </c>
      <c r="C425" s="4" t="s">
        <v>62</v>
      </c>
      <c r="D425" s="4" t="s">
        <v>61</v>
      </c>
      <c r="E425" s="28" t="s">
        <v>71</v>
      </c>
      <c r="G425" s="4" t="s">
        <v>243</v>
      </c>
      <c r="H425" s="91" t="s">
        <v>254</v>
      </c>
      <c r="I425" s="90">
        <v>15200</v>
      </c>
      <c r="J425" s="4" t="s">
        <v>704</v>
      </c>
      <c r="K425" s="15">
        <v>45867</v>
      </c>
      <c r="L425" s="4">
        <v>2025402304</v>
      </c>
      <c r="M425" s="28" t="s">
        <v>225</v>
      </c>
      <c r="N425" s="4">
        <v>2025</v>
      </c>
    </row>
    <row r="426" spans="1:14">
      <c r="A426" s="4">
        <v>425</v>
      </c>
      <c r="B426" s="4" t="s">
        <v>55</v>
      </c>
      <c r="C426" s="4" t="s">
        <v>56</v>
      </c>
      <c r="D426" s="4" t="s">
        <v>61</v>
      </c>
      <c r="E426" s="28" t="s">
        <v>71</v>
      </c>
      <c r="G426" s="4" t="s">
        <v>243</v>
      </c>
      <c r="H426" s="91" t="s">
        <v>254</v>
      </c>
      <c r="I426" s="90">
        <v>1572</v>
      </c>
      <c r="J426" s="4" t="s">
        <v>731</v>
      </c>
      <c r="K426" s="15">
        <v>45861</v>
      </c>
      <c r="L426" s="4">
        <v>2025402319</v>
      </c>
      <c r="M426" s="28" t="s">
        <v>225</v>
      </c>
      <c r="N426" s="4">
        <v>2025</v>
      </c>
    </row>
    <row r="427" spans="1:14">
      <c r="A427" s="4">
        <v>426</v>
      </c>
      <c r="B427" s="4" t="s">
        <v>55</v>
      </c>
      <c r="C427" s="4" t="s">
        <v>56</v>
      </c>
      <c r="D427" s="4" t="s">
        <v>61</v>
      </c>
      <c r="E427" s="4" t="s">
        <v>71</v>
      </c>
      <c r="G427" s="4" t="s">
        <v>243</v>
      </c>
      <c r="H427" s="91" t="s">
        <v>254</v>
      </c>
      <c r="I427" s="90">
        <v>756</v>
      </c>
      <c r="J427" s="38" t="s">
        <v>880</v>
      </c>
      <c r="K427" s="88">
        <v>45889</v>
      </c>
      <c r="L427" s="4">
        <v>2025402695</v>
      </c>
      <c r="M427" s="4" t="s">
        <v>226</v>
      </c>
      <c r="N427" s="4">
        <v>2025</v>
      </c>
    </row>
    <row r="428" spans="1:14">
      <c r="A428" s="4">
        <v>427</v>
      </c>
      <c r="B428" s="4" t="s">
        <v>55</v>
      </c>
      <c r="C428" s="4" t="s">
        <v>56</v>
      </c>
      <c r="D428" s="4" t="s">
        <v>61</v>
      </c>
      <c r="E428" s="4" t="s">
        <v>71</v>
      </c>
      <c r="G428" s="4" t="s">
        <v>243</v>
      </c>
      <c r="H428" s="91" t="s">
        <v>254</v>
      </c>
      <c r="I428" s="90">
        <v>36492</v>
      </c>
      <c r="J428" s="4" t="s">
        <v>1079</v>
      </c>
      <c r="K428" s="15">
        <v>45900</v>
      </c>
      <c r="L428" s="4">
        <v>2025402979</v>
      </c>
      <c r="M428" s="4" t="s">
        <v>226</v>
      </c>
      <c r="N428" s="4">
        <v>2025</v>
      </c>
    </row>
    <row r="429" spans="1:14">
      <c r="A429" s="4">
        <v>428</v>
      </c>
      <c r="B429" s="4" t="s">
        <v>53</v>
      </c>
      <c r="C429" s="4" t="s">
        <v>62</v>
      </c>
      <c r="D429" s="4" t="s">
        <v>61</v>
      </c>
      <c r="E429" s="4" t="s">
        <v>71</v>
      </c>
      <c r="G429" s="4" t="s">
        <v>249</v>
      </c>
      <c r="H429" s="4" t="s">
        <v>71</v>
      </c>
      <c r="I429" s="40">
        <v>5140.8450704225352</v>
      </c>
      <c r="J429" s="4" t="s">
        <v>1001</v>
      </c>
      <c r="K429" s="15">
        <v>45876</v>
      </c>
      <c r="L429" s="4">
        <v>2025402822</v>
      </c>
      <c r="M429" s="4" t="s">
        <v>226</v>
      </c>
      <c r="N429" s="4">
        <v>2025</v>
      </c>
    </row>
    <row r="430" spans="1:14">
      <c r="A430" s="4">
        <v>429</v>
      </c>
      <c r="B430" s="4" t="s">
        <v>17</v>
      </c>
      <c r="C430" s="4" t="s">
        <v>23</v>
      </c>
      <c r="D430" s="4" t="s">
        <v>61</v>
      </c>
      <c r="E430" s="4" t="s">
        <v>71</v>
      </c>
      <c r="G430" s="4" t="s">
        <v>249</v>
      </c>
      <c r="H430" s="4" t="s">
        <v>71</v>
      </c>
      <c r="I430" s="40">
        <v>3380.2816901408451</v>
      </c>
      <c r="J430" s="4" t="s">
        <v>1129</v>
      </c>
      <c r="K430" s="15">
        <v>45855</v>
      </c>
      <c r="L430" s="4">
        <v>2025403459</v>
      </c>
      <c r="M430" s="4" t="s">
        <v>225</v>
      </c>
      <c r="N430" s="4">
        <v>2025</v>
      </c>
    </row>
    <row r="431" spans="1:14">
      <c r="A431" s="4">
        <v>430</v>
      </c>
      <c r="B431" s="4" t="s">
        <v>53</v>
      </c>
      <c r="C431" s="4" t="s">
        <v>62</v>
      </c>
      <c r="D431" s="4" t="s">
        <v>61</v>
      </c>
      <c r="E431" s="28" t="s">
        <v>71</v>
      </c>
      <c r="G431" s="4" t="s">
        <v>249</v>
      </c>
      <c r="H431" s="4" t="s">
        <v>71</v>
      </c>
      <c r="I431" s="40">
        <v>2816.9014084507044</v>
      </c>
      <c r="J431" s="4" t="s">
        <v>825</v>
      </c>
      <c r="K431" s="15">
        <v>45868</v>
      </c>
      <c r="L431" s="4">
        <v>2025402618</v>
      </c>
      <c r="M431" s="28" t="s">
        <v>225</v>
      </c>
      <c r="N431" s="4">
        <v>2025</v>
      </c>
    </row>
    <row r="432" spans="1:14">
      <c r="A432" s="4">
        <v>431</v>
      </c>
      <c r="B432" s="4" t="s">
        <v>273</v>
      </c>
      <c r="C432" s="4" t="s">
        <v>56</v>
      </c>
      <c r="D432" s="4" t="s">
        <v>61</v>
      </c>
      <c r="E432" s="4" t="s">
        <v>71</v>
      </c>
      <c r="G432" s="4" t="s">
        <v>249</v>
      </c>
      <c r="H432" s="4" t="s">
        <v>71</v>
      </c>
      <c r="I432" s="40">
        <v>2376.7605633802818</v>
      </c>
      <c r="J432" s="4" t="s">
        <v>588</v>
      </c>
      <c r="K432" s="15">
        <v>45848</v>
      </c>
      <c r="L432" s="4">
        <v>2025402298</v>
      </c>
      <c r="M432" s="28" t="s">
        <v>225</v>
      </c>
      <c r="N432" s="4">
        <v>2025</v>
      </c>
    </row>
    <row r="433" spans="1:14">
      <c r="A433" s="4">
        <v>432</v>
      </c>
      <c r="B433" s="4" t="s">
        <v>43</v>
      </c>
      <c r="C433" s="4" t="s">
        <v>51</v>
      </c>
      <c r="D433" s="4" t="s">
        <v>61</v>
      </c>
      <c r="E433" s="4" t="s">
        <v>71</v>
      </c>
      <c r="G433" s="4" t="s">
        <v>249</v>
      </c>
      <c r="H433" s="4" t="s">
        <v>71</v>
      </c>
      <c r="I433" s="40">
        <v>2056.3380281690143</v>
      </c>
      <c r="J433" s="4" t="s">
        <v>1008</v>
      </c>
      <c r="K433" s="15">
        <v>45889</v>
      </c>
      <c r="L433" s="4">
        <v>2025402823</v>
      </c>
      <c r="M433" s="4" t="s">
        <v>226</v>
      </c>
      <c r="N433" s="4">
        <v>2025</v>
      </c>
    </row>
    <row r="434" spans="1:14">
      <c r="A434" s="4">
        <v>433</v>
      </c>
      <c r="B434" s="4" t="s">
        <v>76</v>
      </c>
      <c r="C434" s="4" t="s">
        <v>501</v>
      </c>
      <c r="D434" s="4" t="s">
        <v>61</v>
      </c>
      <c r="E434" s="4" t="s">
        <v>71</v>
      </c>
      <c r="G434" s="4" t="s">
        <v>249</v>
      </c>
      <c r="H434" s="4" t="s">
        <v>71</v>
      </c>
      <c r="I434" s="40">
        <v>1901.4084507042253</v>
      </c>
      <c r="J434" s="4" t="s">
        <v>1004</v>
      </c>
      <c r="K434" s="15">
        <v>45859</v>
      </c>
      <c r="L434" s="4">
        <v>2025402496</v>
      </c>
      <c r="M434" s="4" t="s">
        <v>225</v>
      </c>
      <c r="N434" s="4">
        <v>2025</v>
      </c>
    </row>
    <row r="435" spans="1:14">
      <c r="A435" s="4">
        <v>434</v>
      </c>
      <c r="B435" s="28" t="s">
        <v>35</v>
      </c>
      <c r="C435" s="28" t="s">
        <v>37</v>
      </c>
      <c r="D435" s="4" t="s">
        <v>61</v>
      </c>
      <c r="E435" s="28" t="s">
        <v>71</v>
      </c>
      <c r="G435" s="28" t="s">
        <v>249</v>
      </c>
      <c r="H435" s="4" t="s">
        <v>71</v>
      </c>
      <c r="I435" s="40">
        <v>1426.056338028169</v>
      </c>
      <c r="J435" s="4" t="s">
        <v>843</v>
      </c>
      <c r="K435" s="15">
        <v>45871</v>
      </c>
      <c r="L435" s="4">
        <v>2025402631</v>
      </c>
      <c r="M435" s="28" t="s">
        <v>226</v>
      </c>
      <c r="N435" s="4">
        <v>2025</v>
      </c>
    </row>
    <row r="436" spans="1:14">
      <c r="A436" s="4">
        <v>435</v>
      </c>
      <c r="B436" s="4" t="s">
        <v>43</v>
      </c>
      <c r="C436" s="4" t="s">
        <v>45</v>
      </c>
      <c r="D436" s="4" t="s">
        <v>61</v>
      </c>
      <c r="E436" s="28" t="s">
        <v>71</v>
      </c>
      <c r="G436" s="4" t="s">
        <v>244</v>
      </c>
      <c r="H436" s="4" t="s">
        <v>128</v>
      </c>
      <c r="I436" s="90">
        <v>546</v>
      </c>
      <c r="J436" s="4" t="s">
        <v>586</v>
      </c>
      <c r="K436" s="15">
        <v>45840</v>
      </c>
      <c r="L436" s="4">
        <v>2025402332</v>
      </c>
      <c r="M436" s="28" t="s">
        <v>225</v>
      </c>
      <c r="N436" s="4">
        <v>2025</v>
      </c>
    </row>
    <row r="437" spans="1:14">
      <c r="A437" s="4">
        <v>436</v>
      </c>
      <c r="B437" s="4" t="s">
        <v>43</v>
      </c>
      <c r="C437" s="4" t="s">
        <v>51</v>
      </c>
      <c r="D437" s="4" t="s">
        <v>61</v>
      </c>
      <c r="E437" s="28" t="s">
        <v>71</v>
      </c>
      <c r="G437" s="4" t="s">
        <v>244</v>
      </c>
      <c r="H437" s="4" t="s">
        <v>128</v>
      </c>
      <c r="I437" s="90">
        <v>75</v>
      </c>
      <c r="J437" s="4" t="s">
        <v>608</v>
      </c>
      <c r="K437" s="15">
        <v>45848</v>
      </c>
      <c r="L437" s="4">
        <v>2025402336</v>
      </c>
      <c r="M437" s="28" t="s">
        <v>225</v>
      </c>
      <c r="N437" s="4">
        <v>2025</v>
      </c>
    </row>
    <row r="438" spans="1:14">
      <c r="A438" s="4">
        <v>437</v>
      </c>
      <c r="B438" s="4" t="s">
        <v>55</v>
      </c>
      <c r="C438" s="4" t="s">
        <v>98</v>
      </c>
      <c r="D438" s="4" t="s">
        <v>61</v>
      </c>
      <c r="E438" s="28" t="s">
        <v>71</v>
      </c>
      <c r="G438" s="4" t="s">
        <v>244</v>
      </c>
      <c r="H438" s="4" t="s">
        <v>128</v>
      </c>
      <c r="I438" s="90">
        <v>2450</v>
      </c>
      <c r="J438" s="4" t="s">
        <v>695</v>
      </c>
      <c r="K438" s="15">
        <v>45850</v>
      </c>
      <c r="L438" s="4">
        <v>2025402455</v>
      </c>
      <c r="M438" s="28" t="s">
        <v>225</v>
      </c>
      <c r="N438" s="4">
        <v>2025</v>
      </c>
    </row>
    <row r="439" spans="1:14">
      <c r="A439" s="4">
        <v>438</v>
      </c>
      <c r="B439" s="4" t="s">
        <v>53</v>
      </c>
      <c r="C439" s="4" t="s">
        <v>62</v>
      </c>
      <c r="D439" s="4" t="s">
        <v>61</v>
      </c>
      <c r="E439" s="28" t="s">
        <v>71</v>
      </c>
      <c r="G439" s="4" t="s">
        <v>244</v>
      </c>
      <c r="H439" s="4" t="s">
        <v>128</v>
      </c>
      <c r="I439" s="90">
        <v>1040</v>
      </c>
      <c r="J439" s="4" t="s">
        <v>697</v>
      </c>
      <c r="K439" s="15">
        <v>45852</v>
      </c>
      <c r="L439" s="4">
        <v>2025402435</v>
      </c>
      <c r="M439" s="28" t="s">
        <v>225</v>
      </c>
      <c r="N439" s="4">
        <v>2025</v>
      </c>
    </row>
    <row r="440" spans="1:14">
      <c r="A440" s="4">
        <v>439</v>
      </c>
      <c r="B440" s="4" t="s">
        <v>53</v>
      </c>
      <c r="C440" s="4" t="s">
        <v>62</v>
      </c>
      <c r="D440" s="4" t="s">
        <v>61</v>
      </c>
      <c r="E440" s="28" t="s">
        <v>71</v>
      </c>
      <c r="G440" s="4" t="s">
        <v>244</v>
      </c>
      <c r="H440" s="4" t="s">
        <v>128</v>
      </c>
      <c r="I440" s="90">
        <v>4016</v>
      </c>
      <c r="J440" s="4" t="s">
        <v>698</v>
      </c>
      <c r="K440" s="15">
        <v>45851</v>
      </c>
      <c r="L440" s="4">
        <v>2025402423</v>
      </c>
      <c r="M440" s="28" t="s">
        <v>225</v>
      </c>
      <c r="N440" s="4">
        <v>2025</v>
      </c>
    </row>
    <row r="441" spans="1:14">
      <c r="A441" s="4">
        <v>440</v>
      </c>
      <c r="B441" s="4" t="s">
        <v>55</v>
      </c>
      <c r="C441" s="4" t="s">
        <v>98</v>
      </c>
      <c r="D441" s="4" t="s">
        <v>61</v>
      </c>
      <c r="E441" s="28" t="s">
        <v>71</v>
      </c>
      <c r="G441" s="4" t="s">
        <v>244</v>
      </c>
      <c r="H441" s="4" t="s">
        <v>128</v>
      </c>
      <c r="I441" s="90">
        <v>1650</v>
      </c>
      <c r="J441" s="4" t="s">
        <v>699</v>
      </c>
      <c r="K441" s="15">
        <v>45853</v>
      </c>
      <c r="L441" s="4">
        <v>2025402456</v>
      </c>
      <c r="M441" s="28" t="s">
        <v>225</v>
      </c>
      <c r="N441" s="4">
        <v>2025</v>
      </c>
    </row>
    <row r="442" spans="1:14">
      <c r="A442" s="4">
        <v>441</v>
      </c>
      <c r="B442" s="28" t="s">
        <v>55</v>
      </c>
      <c r="C442" s="28" t="s">
        <v>98</v>
      </c>
      <c r="D442" s="4" t="s">
        <v>61</v>
      </c>
      <c r="E442" s="28" t="s">
        <v>71</v>
      </c>
      <c r="G442" s="28" t="s">
        <v>244</v>
      </c>
      <c r="H442" s="4" t="s">
        <v>128</v>
      </c>
      <c r="I442" s="90">
        <v>14962</v>
      </c>
      <c r="J442" s="4" t="s">
        <v>700</v>
      </c>
      <c r="K442" s="15">
        <v>45848</v>
      </c>
      <c r="L442" s="4">
        <v>2025402485</v>
      </c>
      <c r="M442" s="28" t="s">
        <v>225</v>
      </c>
      <c r="N442" s="4">
        <v>2025</v>
      </c>
    </row>
    <row r="443" spans="1:14">
      <c r="A443" s="4">
        <v>442</v>
      </c>
      <c r="B443" s="4" t="s">
        <v>55</v>
      </c>
      <c r="C443" s="4" t="s">
        <v>98</v>
      </c>
      <c r="D443" s="4" t="s">
        <v>61</v>
      </c>
      <c r="E443" s="28" t="s">
        <v>71</v>
      </c>
      <c r="G443" s="4" t="s">
        <v>244</v>
      </c>
      <c r="H443" s="4" t="s">
        <v>128</v>
      </c>
      <c r="I443" s="90">
        <v>654</v>
      </c>
      <c r="J443" s="4" t="s">
        <v>724</v>
      </c>
      <c r="K443" s="15">
        <v>45861</v>
      </c>
      <c r="L443" s="4">
        <v>2025402510</v>
      </c>
      <c r="M443" s="28" t="s">
        <v>225</v>
      </c>
      <c r="N443" s="4">
        <v>2025</v>
      </c>
    </row>
    <row r="444" spans="1:14">
      <c r="A444" s="4">
        <v>443</v>
      </c>
      <c r="B444" s="4" t="s">
        <v>55</v>
      </c>
      <c r="C444" s="4" t="s">
        <v>98</v>
      </c>
      <c r="D444" s="4" t="s">
        <v>61</v>
      </c>
      <c r="E444" s="28" t="s">
        <v>71</v>
      </c>
      <c r="G444" s="4" t="s">
        <v>244</v>
      </c>
      <c r="H444" s="4" t="s">
        <v>128</v>
      </c>
      <c r="I444" s="90">
        <v>17832</v>
      </c>
      <c r="J444" s="4" t="s">
        <v>747</v>
      </c>
      <c r="K444" s="15">
        <v>45853</v>
      </c>
      <c r="L444" s="4">
        <v>2025402575</v>
      </c>
      <c r="M444" s="28" t="s">
        <v>225</v>
      </c>
      <c r="N444" s="4">
        <v>2025</v>
      </c>
    </row>
    <row r="445" spans="1:14">
      <c r="A445" s="4">
        <v>444</v>
      </c>
      <c r="B445" s="4" t="s">
        <v>43</v>
      </c>
      <c r="C445" s="4" t="s">
        <v>47</v>
      </c>
      <c r="D445" s="4" t="s">
        <v>61</v>
      </c>
      <c r="E445" s="28" t="s">
        <v>71</v>
      </c>
      <c r="G445" s="4" t="s">
        <v>244</v>
      </c>
      <c r="H445" s="4" t="s">
        <v>128</v>
      </c>
      <c r="I445" s="90">
        <v>1302</v>
      </c>
      <c r="J445" s="4" t="s">
        <v>777</v>
      </c>
      <c r="K445" s="15">
        <v>45853</v>
      </c>
      <c r="L445" s="4">
        <v>2025402541</v>
      </c>
      <c r="M445" s="28" t="s">
        <v>225</v>
      </c>
      <c r="N445" s="4">
        <v>2025</v>
      </c>
    </row>
    <row r="446" spans="1:14">
      <c r="A446" s="4">
        <v>445</v>
      </c>
      <c r="B446" s="4" t="s">
        <v>17</v>
      </c>
      <c r="C446" s="4" t="s">
        <v>25</v>
      </c>
      <c r="D446" s="4" t="s">
        <v>61</v>
      </c>
      <c r="E446" s="4" t="s">
        <v>71</v>
      </c>
      <c r="G446" s="4" t="s">
        <v>244</v>
      </c>
      <c r="H446" s="4" t="s">
        <v>128</v>
      </c>
      <c r="I446" s="90">
        <v>16380</v>
      </c>
      <c r="J446" s="4" t="s">
        <v>1103</v>
      </c>
      <c r="K446" s="15">
        <v>45860</v>
      </c>
      <c r="L446" s="4">
        <v>2025402996</v>
      </c>
      <c r="M446" s="4" t="s">
        <v>225</v>
      </c>
      <c r="N446" s="4">
        <v>2025</v>
      </c>
    </row>
    <row r="447" spans="1:14">
      <c r="A447" s="4">
        <v>446</v>
      </c>
      <c r="B447" s="4" t="s">
        <v>17</v>
      </c>
      <c r="C447" s="4" t="s">
        <v>25</v>
      </c>
      <c r="D447" s="4" t="s">
        <v>61</v>
      </c>
      <c r="E447" s="4" t="s">
        <v>71</v>
      </c>
      <c r="G447" s="4" t="s">
        <v>244</v>
      </c>
      <c r="H447" s="4" t="s">
        <v>128</v>
      </c>
      <c r="I447" s="90">
        <v>1290</v>
      </c>
      <c r="J447" s="4" t="s">
        <v>1113</v>
      </c>
      <c r="K447" s="15">
        <v>45900</v>
      </c>
      <c r="L447" s="4">
        <v>2025403243</v>
      </c>
      <c r="M447" s="4" t="s">
        <v>226</v>
      </c>
      <c r="N447" s="4">
        <v>2025</v>
      </c>
    </row>
    <row r="448" spans="1:14">
      <c r="A448" s="4">
        <v>447</v>
      </c>
      <c r="B448" s="4" t="s">
        <v>55</v>
      </c>
      <c r="C448" s="4" t="s">
        <v>98</v>
      </c>
      <c r="D448" s="4" t="s">
        <v>61</v>
      </c>
      <c r="E448" s="4" t="s">
        <v>71</v>
      </c>
      <c r="G448" s="4" t="s">
        <v>244</v>
      </c>
      <c r="H448" s="4" t="s">
        <v>128</v>
      </c>
      <c r="I448" s="90">
        <v>13466</v>
      </c>
      <c r="J448" s="4" t="s">
        <v>1149</v>
      </c>
      <c r="K448" s="15">
        <v>45848</v>
      </c>
      <c r="L448" s="4">
        <v>2025403860</v>
      </c>
      <c r="M448" s="4" t="s">
        <v>225</v>
      </c>
      <c r="N448" s="4">
        <v>2025</v>
      </c>
    </row>
    <row r="449" spans="1:14">
      <c r="A449" s="4">
        <v>448</v>
      </c>
      <c r="B449" s="4" t="s">
        <v>43</v>
      </c>
      <c r="C449" s="4" t="s">
        <v>47</v>
      </c>
      <c r="D449" s="4" t="s">
        <v>61</v>
      </c>
      <c r="E449" s="4" t="s">
        <v>71</v>
      </c>
      <c r="G449" s="4" t="s">
        <v>244</v>
      </c>
      <c r="H449" s="4" t="s">
        <v>128</v>
      </c>
      <c r="I449" s="90">
        <v>1051</v>
      </c>
      <c r="J449" s="4" t="s">
        <v>1170</v>
      </c>
      <c r="K449" s="15">
        <v>45892</v>
      </c>
      <c r="L449" s="4">
        <v>2025404257</v>
      </c>
      <c r="M449" s="4" t="s">
        <v>226</v>
      </c>
      <c r="N449" s="4">
        <v>2025</v>
      </c>
    </row>
    <row r="450" spans="1:14">
      <c r="A450" s="4">
        <v>449</v>
      </c>
      <c r="B450" s="4" t="s">
        <v>55</v>
      </c>
      <c r="C450" s="4" t="s">
        <v>56</v>
      </c>
      <c r="D450" s="4" t="s">
        <v>61</v>
      </c>
      <c r="E450" s="4" t="s">
        <v>71</v>
      </c>
      <c r="G450" s="4" t="s">
        <v>497</v>
      </c>
      <c r="H450" s="4" t="s">
        <v>71</v>
      </c>
      <c r="I450" s="90">
        <v>55000</v>
      </c>
      <c r="J450" s="4" t="s">
        <v>1131</v>
      </c>
      <c r="K450" s="15">
        <v>45866</v>
      </c>
      <c r="L450" s="4">
        <v>2025401691</v>
      </c>
      <c r="M450" s="4" t="s">
        <v>226</v>
      </c>
      <c r="N450" s="4">
        <v>2025</v>
      </c>
    </row>
    <row r="451" spans="1:14">
      <c r="A451" s="4">
        <v>450</v>
      </c>
      <c r="B451" s="4" t="s">
        <v>273</v>
      </c>
      <c r="C451" s="4" t="s">
        <v>56</v>
      </c>
      <c r="D451" s="4" t="s">
        <v>61</v>
      </c>
      <c r="E451" s="28" t="s">
        <v>71</v>
      </c>
      <c r="G451" s="4" t="s">
        <v>278</v>
      </c>
      <c r="H451" s="4" t="s">
        <v>71</v>
      </c>
      <c r="I451" s="40">
        <v>7000</v>
      </c>
      <c r="J451" s="4" t="s">
        <v>253</v>
      </c>
      <c r="K451" s="15">
        <v>45851</v>
      </c>
      <c r="L451" s="4">
        <v>2025402414</v>
      </c>
      <c r="M451" s="28" t="s">
        <v>225</v>
      </c>
      <c r="N451" s="4">
        <v>2025</v>
      </c>
    </row>
    <row r="452" spans="1:14">
      <c r="A452" s="4">
        <v>451</v>
      </c>
      <c r="B452" s="4" t="s">
        <v>55</v>
      </c>
      <c r="C452" s="4" t="s">
        <v>98</v>
      </c>
      <c r="D452" s="4" t="s">
        <v>61</v>
      </c>
      <c r="E452" s="4" t="s">
        <v>71</v>
      </c>
      <c r="G452" s="4" t="s">
        <v>304</v>
      </c>
      <c r="H452" s="4" t="s">
        <v>71</v>
      </c>
      <c r="I452" s="40">
        <v>4929.577464788732</v>
      </c>
      <c r="J452" s="4" t="s">
        <v>1111</v>
      </c>
      <c r="K452" s="15">
        <v>45879</v>
      </c>
      <c r="L452" s="4">
        <v>2025403154</v>
      </c>
      <c r="M452" s="4" t="s">
        <v>226</v>
      </c>
      <c r="N452" s="4">
        <v>2025</v>
      </c>
    </row>
    <row r="453" spans="1:14">
      <c r="A453" s="4">
        <v>452</v>
      </c>
      <c r="B453" s="4" t="s">
        <v>55</v>
      </c>
      <c r="C453" s="4" t="s">
        <v>98</v>
      </c>
      <c r="D453" s="4" t="s">
        <v>61</v>
      </c>
      <c r="E453" s="4" t="s">
        <v>71</v>
      </c>
      <c r="G453" s="4" t="s">
        <v>304</v>
      </c>
      <c r="H453" s="4" t="s">
        <v>71</v>
      </c>
      <c r="I453" s="40">
        <v>2957.7464788732395</v>
      </c>
      <c r="J453" s="4" t="s">
        <v>1112</v>
      </c>
      <c r="K453" s="15">
        <v>45879</v>
      </c>
      <c r="L453" s="4">
        <v>2025403153</v>
      </c>
      <c r="M453" s="4" t="s">
        <v>226</v>
      </c>
      <c r="N453" s="4">
        <v>2025</v>
      </c>
    </row>
    <row r="454" spans="1:14">
      <c r="A454" s="4">
        <v>453</v>
      </c>
      <c r="B454" s="28" t="s">
        <v>55</v>
      </c>
      <c r="C454" s="28" t="s">
        <v>98</v>
      </c>
      <c r="D454" s="4" t="s">
        <v>61</v>
      </c>
      <c r="E454" s="28" t="s">
        <v>71</v>
      </c>
      <c r="G454" s="28" t="s">
        <v>133</v>
      </c>
      <c r="H454" s="4" t="s">
        <v>71</v>
      </c>
      <c r="I454" s="40">
        <v>3626.7605633802818</v>
      </c>
      <c r="J454" s="4" t="s">
        <v>727</v>
      </c>
      <c r="K454" s="15">
        <v>45851</v>
      </c>
      <c r="L454" s="4">
        <v>2025402513</v>
      </c>
      <c r="M454" s="28" t="s">
        <v>225</v>
      </c>
      <c r="N454" s="4">
        <v>2025</v>
      </c>
    </row>
    <row r="455" spans="1:14">
      <c r="A455" s="4">
        <v>454</v>
      </c>
      <c r="B455" s="4" t="s">
        <v>55</v>
      </c>
      <c r="C455" s="4" t="s">
        <v>98</v>
      </c>
      <c r="D455" s="4" t="s">
        <v>61</v>
      </c>
      <c r="E455" s="4" t="s">
        <v>71</v>
      </c>
      <c r="G455" s="4" t="s">
        <v>133</v>
      </c>
      <c r="H455" s="4" t="s">
        <v>71</v>
      </c>
      <c r="I455" s="40">
        <v>2746.4788732394368</v>
      </c>
      <c r="J455" s="38" t="s">
        <v>876</v>
      </c>
      <c r="K455" s="88">
        <v>45873</v>
      </c>
      <c r="L455" s="4">
        <v>2025402731</v>
      </c>
      <c r="M455" s="4" t="s">
        <v>226</v>
      </c>
      <c r="N455" s="4">
        <v>2025</v>
      </c>
    </row>
    <row r="456" spans="1:14">
      <c r="A456" s="4">
        <v>455</v>
      </c>
      <c r="B456" s="4" t="s">
        <v>55</v>
      </c>
      <c r="C456" s="4" t="s">
        <v>56</v>
      </c>
      <c r="D456" s="4" t="s">
        <v>61</v>
      </c>
      <c r="E456" s="4" t="s">
        <v>71</v>
      </c>
      <c r="G456" s="4" t="s">
        <v>493</v>
      </c>
      <c r="H456" s="4" t="s">
        <v>71</v>
      </c>
      <c r="I456" s="90">
        <v>6800</v>
      </c>
      <c r="J456" s="4" t="s">
        <v>1091</v>
      </c>
      <c r="K456" s="15">
        <v>45866</v>
      </c>
      <c r="L456" s="4">
        <v>2025402564</v>
      </c>
      <c r="M456" s="4" t="s">
        <v>225</v>
      </c>
      <c r="N456" s="4">
        <v>2025</v>
      </c>
    </row>
    <row r="457" spans="1:14">
      <c r="A457" s="4">
        <v>456</v>
      </c>
      <c r="B457" s="4" t="s">
        <v>55</v>
      </c>
      <c r="C457" s="4" t="s">
        <v>98</v>
      </c>
      <c r="D457" s="4" t="s">
        <v>61</v>
      </c>
      <c r="E457" s="28" t="s">
        <v>71</v>
      </c>
      <c r="G457" s="4" t="s">
        <v>486</v>
      </c>
      <c r="H457" s="4" t="s">
        <v>71</v>
      </c>
      <c r="I457" s="90">
        <v>9000</v>
      </c>
      <c r="J457" s="4" t="s">
        <v>253</v>
      </c>
      <c r="K457" s="15">
        <v>45869</v>
      </c>
      <c r="L457" s="4">
        <v>2025402452</v>
      </c>
      <c r="M457" s="28" t="s">
        <v>225</v>
      </c>
      <c r="N457" s="4">
        <v>2025</v>
      </c>
    </row>
    <row r="458" spans="1:14">
      <c r="A458" s="4">
        <v>457</v>
      </c>
      <c r="B458" s="4" t="s">
        <v>273</v>
      </c>
      <c r="C458" s="4" t="s">
        <v>98</v>
      </c>
      <c r="D458" s="4" t="s">
        <v>61</v>
      </c>
      <c r="E458" s="4" t="s">
        <v>71</v>
      </c>
      <c r="G458" s="4" t="s">
        <v>480</v>
      </c>
      <c r="H458" s="4" t="s">
        <v>71</v>
      </c>
      <c r="I458" s="90">
        <v>1800</v>
      </c>
      <c r="J458" s="4" t="s">
        <v>596</v>
      </c>
      <c r="K458" s="15">
        <v>45857</v>
      </c>
      <c r="L458" s="4">
        <v>2025402206</v>
      </c>
      <c r="M458" s="28" t="s">
        <v>225</v>
      </c>
      <c r="N458" s="4">
        <v>2025</v>
      </c>
    </row>
    <row r="459" spans="1:14">
      <c r="A459" s="4">
        <v>458</v>
      </c>
      <c r="B459" s="4" t="s">
        <v>29</v>
      </c>
      <c r="C459" s="4" t="s">
        <v>237</v>
      </c>
      <c r="D459" s="4" t="s">
        <v>61</v>
      </c>
      <c r="E459" s="28" t="s">
        <v>71</v>
      </c>
      <c r="G459" s="4" t="s">
        <v>480</v>
      </c>
      <c r="H459" s="4" t="s">
        <v>71</v>
      </c>
      <c r="I459" s="90">
        <v>500</v>
      </c>
      <c r="J459" s="4" t="s">
        <v>597</v>
      </c>
      <c r="K459" s="15">
        <v>45857</v>
      </c>
      <c r="L459" s="4">
        <v>2025402138</v>
      </c>
      <c r="M459" s="28" t="s">
        <v>225</v>
      </c>
      <c r="N459" s="4">
        <v>2025</v>
      </c>
    </row>
    <row r="460" spans="1:14">
      <c r="A460" s="4">
        <v>459</v>
      </c>
      <c r="B460" s="4" t="s">
        <v>33</v>
      </c>
      <c r="C460" s="4" t="s">
        <v>34</v>
      </c>
      <c r="D460" s="4" t="s">
        <v>61</v>
      </c>
      <c r="E460" s="28" t="s">
        <v>71</v>
      </c>
      <c r="G460" s="4" t="s">
        <v>480</v>
      </c>
      <c r="H460" s="4" t="s">
        <v>71</v>
      </c>
      <c r="I460" s="90">
        <v>1000</v>
      </c>
      <c r="J460" s="4" t="s">
        <v>717</v>
      </c>
      <c r="K460" s="15">
        <v>45868</v>
      </c>
      <c r="L460" s="4">
        <v>2025402383</v>
      </c>
      <c r="M460" s="28" t="s">
        <v>225</v>
      </c>
      <c r="N460" s="4">
        <v>2025</v>
      </c>
    </row>
    <row r="461" spans="1:14">
      <c r="A461" s="4">
        <v>460</v>
      </c>
      <c r="B461" s="4" t="s">
        <v>43</v>
      </c>
      <c r="C461" s="4" t="s">
        <v>48</v>
      </c>
      <c r="D461" s="4" t="s">
        <v>61</v>
      </c>
      <c r="E461" s="4" t="s">
        <v>71</v>
      </c>
      <c r="G461" s="4" t="s">
        <v>245</v>
      </c>
      <c r="H461" s="4" t="s">
        <v>71</v>
      </c>
      <c r="I461" s="90">
        <v>700</v>
      </c>
      <c r="J461" s="4" t="s">
        <v>1012</v>
      </c>
      <c r="K461" s="15">
        <v>45892</v>
      </c>
      <c r="L461" s="4">
        <v>2025402919</v>
      </c>
      <c r="M461" s="4" t="s">
        <v>226</v>
      </c>
      <c r="N461" s="4">
        <v>2025</v>
      </c>
    </row>
    <row r="462" spans="1:14">
      <c r="A462" s="4">
        <v>461</v>
      </c>
      <c r="B462" s="4" t="s">
        <v>35</v>
      </c>
      <c r="C462" s="4" t="s">
        <v>38</v>
      </c>
      <c r="D462" s="4" t="s">
        <v>61</v>
      </c>
      <c r="E462" s="4" t="s">
        <v>71</v>
      </c>
      <c r="G462" s="4" t="s">
        <v>245</v>
      </c>
      <c r="H462" s="4" t="s">
        <v>71</v>
      </c>
      <c r="I462" s="90">
        <v>330</v>
      </c>
      <c r="J462" s="4" t="s">
        <v>1127</v>
      </c>
      <c r="K462" s="15">
        <v>45889</v>
      </c>
      <c r="L462" s="4">
        <v>2025402914</v>
      </c>
      <c r="M462" s="4" t="s">
        <v>226</v>
      </c>
      <c r="N462" s="4">
        <v>2025</v>
      </c>
    </row>
    <row r="463" spans="1:14">
      <c r="A463" s="4">
        <v>462</v>
      </c>
      <c r="B463" s="4" t="s">
        <v>43</v>
      </c>
      <c r="C463" s="4" t="s">
        <v>50</v>
      </c>
      <c r="D463" s="4" t="s">
        <v>61</v>
      </c>
      <c r="E463" s="28" t="s">
        <v>71</v>
      </c>
      <c r="G463" s="4" t="s">
        <v>485</v>
      </c>
      <c r="H463" s="4" t="s">
        <v>71</v>
      </c>
      <c r="I463" s="40">
        <v>5176.0563380281692</v>
      </c>
      <c r="J463" s="4" t="s">
        <v>736</v>
      </c>
      <c r="K463" s="15">
        <v>45862</v>
      </c>
      <c r="L463" s="4">
        <v>2025402509</v>
      </c>
      <c r="M463" s="28" t="s">
        <v>225</v>
      </c>
      <c r="N463" s="4">
        <v>2025</v>
      </c>
    </row>
    <row r="464" spans="1:14">
      <c r="A464" s="4">
        <v>463</v>
      </c>
      <c r="B464" s="4" t="s">
        <v>43</v>
      </c>
      <c r="C464" s="4" t="s">
        <v>50</v>
      </c>
      <c r="D464" s="4" t="s">
        <v>61</v>
      </c>
      <c r="E464" s="4" t="s">
        <v>71</v>
      </c>
      <c r="G464" s="4" t="s">
        <v>485</v>
      </c>
      <c r="H464" s="4" t="s">
        <v>71</v>
      </c>
      <c r="I464" s="40">
        <v>957.74647887323943</v>
      </c>
      <c r="J464" s="4" t="s">
        <v>1100</v>
      </c>
      <c r="K464" s="15">
        <v>45889</v>
      </c>
      <c r="L464" s="4">
        <v>2025402939</v>
      </c>
      <c r="M464" s="4" t="s">
        <v>226</v>
      </c>
      <c r="N464" s="4">
        <v>2025</v>
      </c>
    </row>
    <row r="465" spans="1:14">
      <c r="A465" s="4">
        <v>464</v>
      </c>
      <c r="B465" s="28" t="s">
        <v>273</v>
      </c>
      <c r="C465" s="28" t="s">
        <v>56</v>
      </c>
      <c r="D465" s="4" t="s">
        <v>61</v>
      </c>
      <c r="E465" s="28" t="s">
        <v>71</v>
      </c>
      <c r="G465" s="28" t="s">
        <v>246</v>
      </c>
      <c r="H465" s="4" t="s">
        <v>71</v>
      </c>
      <c r="I465" s="40">
        <v>6596.4788732394363</v>
      </c>
      <c r="J465" s="4" t="s">
        <v>633</v>
      </c>
      <c r="K465" s="15">
        <v>45863</v>
      </c>
      <c r="L465" s="4">
        <v>2025402289</v>
      </c>
      <c r="M465" s="28" t="s">
        <v>225</v>
      </c>
      <c r="N465" s="4">
        <v>2025</v>
      </c>
    </row>
    <row r="466" spans="1:14">
      <c r="A466" s="4">
        <v>465</v>
      </c>
      <c r="B466" s="4" t="s">
        <v>43</v>
      </c>
      <c r="C466" s="4" t="s">
        <v>51</v>
      </c>
      <c r="D466" s="4" t="s">
        <v>61</v>
      </c>
      <c r="E466" s="4" t="s">
        <v>71</v>
      </c>
      <c r="G466" s="4" t="s">
        <v>246</v>
      </c>
      <c r="H466" s="4" t="s">
        <v>71</v>
      </c>
      <c r="I466" s="40">
        <v>2657.7464788732395</v>
      </c>
      <c r="J466" s="4" t="s">
        <v>1009</v>
      </c>
      <c r="K466" s="15">
        <v>45888</v>
      </c>
      <c r="L466" s="4">
        <v>2025402784</v>
      </c>
      <c r="M466" s="4" t="s">
        <v>226</v>
      </c>
      <c r="N466" s="4">
        <v>2025</v>
      </c>
    </row>
    <row r="467" spans="1:14">
      <c r="A467" s="4">
        <v>466</v>
      </c>
      <c r="B467" s="4" t="s">
        <v>43</v>
      </c>
      <c r="C467" s="4" t="s">
        <v>46</v>
      </c>
      <c r="D467" s="4" t="s">
        <v>61</v>
      </c>
      <c r="E467" s="28" t="s">
        <v>71</v>
      </c>
      <c r="G467" s="4" t="s">
        <v>246</v>
      </c>
      <c r="H467" s="4" t="s">
        <v>71</v>
      </c>
      <c r="I467" s="40">
        <v>577.46478873239437</v>
      </c>
      <c r="J467" s="4" t="s">
        <v>547</v>
      </c>
      <c r="K467" s="15">
        <v>45846</v>
      </c>
      <c r="L467" s="4">
        <v>2025402260</v>
      </c>
      <c r="M467" s="28" t="s">
        <v>225</v>
      </c>
      <c r="N467" s="4">
        <v>2025</v>
      </c>
    </row>
    <row r="468" spans="1:14">
      <c r="A468" s="4">
        <v>467</v>
      </c>
      <c r="B468" s="4" t="s">
        <v>17</v>
      </c>
      <c r="C468" s="4" t="s">
        <v>25</v>
      </c>
      <c r="D468" s="4" t="s">
        <v>61</v>
      </c>
      <c r="E468" s="4" t="s">
        <v>71</v>
      </c>
      <c r="G468" s="4" t="s">
        <v>246</v>
      </c>
      <c r="H468" s="4" t="s">
        <v>71</v>
      </c>
      <c r="I468" s="40">
        <v>475.35211267605632</v>
      </c>
      <c r="J468" s="4" t="s">
        <v>1005</v>
      </c>
      <c r="K468" s="15">
        <v>45869</v>
      </c>
      <c r="L468" s="4">
        <v>2025402737</v>
      </c>
      <c r="M468" s="4" t="s">
        <v>226</v>
      </c>
      <c r="N468" s="4">
        <v>2025</v>
      </c>
    </row>
    <row r="469" spans="1:14">
      <c r="A469" s="4">
        <v>468</v>
      </c>
      <c r="B469" s="4" t="s">
        <v>273</v>
      </c>
      <c r="C469" s="4" t="s">
        <v>98</v>
      </c>
      <c r="D469" s="4" t="s">
        <v>61</v>
      </c>
      <c r="E469" s="28" t="s">
        <v>71</v>
      </c>
      <c r="G469" s="4" t="s">
        <v>246</v>
      </c>
      <c r="H469" s="4" t="s">
        <v>71</v>
      </c>
      <c r="I469" s="40">
        <v>201.40845070422534</v>
      </c>
      <c r="J469" s="4" t="s">
        <v>638</v>
      </c>
      <c r="K469" s="15">
        <v>45850</v>
      </c>
      <c r="L469" s="4">
        <v>2025402205</v>
      </c>
      <c r="M469" s="28" t="s">
        <v>225</v>
      </c>
      <c r="N469" s="4">
        <v>2025</v>
      </c>
    </row>
    <row r="470" spans="1:14">
      <c r="A470" s="4">
        <v>469</v>
      </c>
      <c r="B470" s="4" t="s">
        <v>53</v>
      </c>
      <c r="C470" s="4" t="s">
        <v>62</v>
      </c>
      <c r="D470" s="4" t="s">
        <v>61</v>
      </c>
      <c r="E470" s="4" t="s">
        <v>71</v>
      </c>
      <c r="G470" s="4" t="s">
        <v>92</v>
      </c>
      <c r="H470" s="4" t="s">
        <v>71</v>
      </c>
      <c r="I470" s="40">
        <v>66611.971830985916</v>
      </c>
      <c r="J470" s="4" t="s">
        <v>1072</v>
      </c>
      <c r="K470" s="15">
        <v>45901</v>
      </c>
      <c r="L470" s="4">
        <v>2025402977</v>
      </c>
      <c r="M470" s="4" t="s">
        <v>225</v>
      </c>
      <c r="N470" s="4">
        <v>2025</v>
      </c>
    </row>
    <row r="471" spans="1:14">
      <c r="A471" s="4">
        <v>470</v>
      </c>
      <c r="B471" s="4" t="s">
        <v>59</v>
      </c>
      <c r="C471" s="4" t="s">
        <v>60</v>
      </c>
      <c r="D471" s="4" t="s">
        <v>61</v>
      </c>
      <c r="E471" s="4" t="s">
        <v>71</v>
      </c>
      <c r="G471" s="4" t="s">
        <v>92</v>
      </c>
      <c r="H471" s="4" t="s">
        <v>71</v>
      </c>
      <c r="I471" s="40">
        <v>27645.774647887323</v>
      </c>
      <c r="J471" s="4" t="s">
        <v>1084</v>
      </c>
      <c r="K471" s="15">
        <v>45901</v>
      </c>
      <c r="L471" s="4">
        <v>2025402980</v>
      </c>
      <c r="M471" s="4" t="s">
        <v>225</v>
      </c>
      <c r="N471" s="4">
        <v>2025</v>
      </c>
    </row>
    <row r="472" spans="1:14">
      <c r="A472" s="4">
        <v>471</v>
      </c>
      <c r="B472" s="4" t="s">
        <v>273</v>
      </c>
      <c r="C472" s="4" t="s">
        <v>56</v>
      </c>
      <c r="D472" s="4" t="s">
        <v>61</v>
      </c>
      <c r="E472" s="4" t="s">
        <v>71</v>
      </c>
      <c r="G472" s="4" t="s">
        <v>92</v>
      </c>
      <c r="H472" s="4" t="s">
        <v>71</v>
      </c>
      <c r="I472" s="40">
        <v>5676.7605633802814</v>
      </c>
      <c r="J472" s="4">
        <v>512</v>
      </c>
      <c r="K472" s="15">
        <v>45873</v>
      </c>
      <c r="L472" s="4">
        <v>2025402566</v>
      </c>
      <c r="M472" s="4" t="s">
        <v>225</v>
      </c>
      <c r="N472" s="4">
        <v>2025</v>
      </c>
    </row>
    <row r="473" spans="1:14">
      <c r="A473" s="4">
        <v>472</v>
      </c>
      <c r="B473" s="4" t="s">
        <v>53</v>
      </c>
      <c r="C473" s="4" t="s">
        <v>62</v>
      </c>
      <c r="D473" s="4" t="s">
        <v>61</v>
      </c>
      <c r="E473" s="4" t="s">
        <v>71</v>
      </c>
      <c r="G473" s="4" t="s">
        <v>494</v>
      </c>
      <c r="H473" s="4" t="s">
        <v>71</v>
      </c>
      <c r="I473" s="90">
        <v>3668.61</v>
      </c>
      <c r="J473" s="4" t="s">
        <v>1099</v>
      </c>
      <c r="K473" s="15">
        <v>45873</v>
      </c>
      <c r="L473" s="4">
        <v>0</v>
      </c>
      <c r="M473" s="4" t="s">
        <v>226</v>
      </c>
      <c r="N473" s="4">
        <v>2025</v>
      </c>
    </row>
    <row r="474" spans="1:14">
      <c r="A474" s="4">
        <v>473</v>
      </c>
      <c r="B474" s="4" t="s">
        <v>55</v>
      </c>
      <c r="C474" s="4" t="s">
        <v>56</v>
      </c>
      <c r="D474" s="4" t="s">
        <v>61</v>
      </c>
      <c r="E474" s="28" t="s">
        <v>71</v>
      </c>
      <c r="G474" s="4" t="s">
        <v>487</v>
      </c>
      <c r="H474" s="4" t="s">
        <v>71</v>
      </c>
      <c r="I474" s="90">
        <v>102850</v>
      </c>
      <c r="J474" s="4" t="s">
        <v>820</v>
      </c>
      <c r="K474" s="15">
        <v>45763</v>
      </c>
      <c r="L474" s="4">
        <v>2025401411</v>
      </c>
      <c r="M474" s="28" t="s">
        <v>226</v>
      </c>
      <c r="N474" s="4">
        <v>2025</v>
      </c>
    </row>
    <row r="475" spans="1:14">
      <c r="A475" s="4">
        <v>474</v>
      </c>
      <c r="B475" s="4" t="s">
        <v>59</v>
      </c>
      <c r="C475" s="4" t="s">
        <v>60</v>
      </c>
      <c r="D475" s="4" t="s">
        <v>61</v>
      </c>
      <c r="E475" s="28" t="s">
        <v>71</v>
      </c>
      <c r="G475" s="4" t="s">
        <v>134</v>
      </c>
      <c r="H475" s="4" t="s">
        <v>71</v>
      </c>
      <c r="I475" s="90">
        <v>2166.1</v>
      </c>
      <c r="J475" s="4" t="s">
        <v>509</v>
      </c>
      <c r="K475" s="39">
        <v>45840</v>
      </c>
      <c r="L475" s="4">
        <v>2025401885</v>
      </c>
      <c r="M475" s="28" t="s">
        <v>225</v>
      </c>
      <c r="N475" s="4">
        <v>2025</v>
      </c>
    </row>
    <row r="476" spans="1:14">
      <c r="A476" s="4">
        <v>475</v>
      </c>
      <c r="B476" s="4" t="s">
        <v>59</v>
      </c>
      <c r="C476" s="4" t="s">
        <v>60</v>
      </c>
      <c r="D476" s="4" t="s">
        <v>61</v>
      </c>
      <c r="E476" s="28" t="s">
        <v>71</v>
      </c>
      <c r="G476" s="29" t="s">
        <v>134</v>
      </c>
      <c r="H476" s="4" t="s">
        <v>71</v>
      </c>
      <c r="I476" s="90">
        <v>2875</v>
      </c>
      <c r="J476" s="29" t="s">
        <v>510</v>
      </c>
      <c r="K476" s="15">
        <v>45840</v>
      </c>
      <c r="L476" s="29">
        <v>2025401864</v>
      </c>
      <c r="M476" s="28" t="s">
        <v>225</v>
      </c>
      <c r="N476" s="4">
        <v>2025</v>
      </c>
    </row>
    <row r="477" spans="1:14">
      <c r="A477" s="4">
        <v>476</v>
      </c>
      <c r="B477" s="4" t="s">
        <v>53</v>
      </c>
      <c r="C477" s="4" t="s">
        <v>62</v>
      </c>
      <c r="D477" s="4" t="s">
        <v>61</v>
      </c>
      <c r="E477" s="28" t="s">
        <v>71</v>
      </c>
      <c r="G477" s="4" t="s">
        <v>134</v>
      </c>
      <c r="H477" s="4" t="s">
        <v>71</v>
      </c>
      <c r="I477" s="90">
        <v>1925.9</v>
      </c>
      <c r="J477" s="4" t="s">
        <v>511</v>
      </c>
      <c r="K477" s="15">
        <v>45838</v>
      </c>
      <c r="L477" s="4">
        <v>2025402013</v>
      </c>
      <c r="M477" s="28" t="s">
        <v>225</v>
      </c>
      <c r="N477" s="4">
        <v>2025</v>
      </c>
    </row>
    <row r="478" spans="1:14">
      <c r="A478" s="4">
        <v>477</v>
      </c>
      <c r="B478" s="4" t="s">
        <v>53</v>
      </c>
      <c r="C478" s="4" t="s">
        <v>62</v>
      </c>
      <c r="D478" s="4" t="s">
        <v>61</v>
      </c>
      <c r="E478" s="28" t="s">
        <v>71</v>
      </c>
      <c r="G478" s="4" t="s">
        <v>134</v>
      </c>
      <c r="H478" s="4" t="s">
        <v>71</v>
      </c>
      <c r="I478" s="90">
        <v>2608.6</v>
      </c>
      <c r="J478" s="4" t="s">
        <v>518</v>
      </c>
      <c r="K478" s="15">
        <v>45846</v>
      </c>
      <c r="L478" s="4">
        <v>2025402146</v>
      </c>
      <c r="M478" s="28" t="s">
        <v>225</v>
      </c>
      <c r="N478" s="4">
        <v>2025</v>
      </c>
    </row>
    <row r="479" spans="1:14">
      <c r="A479" s="4">
        <v>478</v>
      </c>
      <c r="B479" s="4" t="s">
        <v>53</v>
      </c>
      <c r="C479" s="4" t="s">
        <v>62</v>
      </c>
      <c r="D479" s="4" t="s">
        <v>61</v>
      </c>
      <c r="E479" s="28" t="s">
        <v>71</v>
      </c>
      <c r="G479" s="4" t="s">
        <v>134</v>
      </c>
      <c r="H479" s="4" t="s">
        <v>71</v>
      </c>
      <c r="I479" s="90">
        <v>2000</v>
      </c>
      <c r="J479" s="4" t="s">
        <v>521</v>
      </c>
      <c r="K479" s="15">
        <v>45850</v>
      </c>
      <c r="L479" s="4">
        <v>2025402137</v>
      </c>
      <c r="M479" s="28" t="s">
        <v>225</v>
      </c>
      <c r="N479" s="4">
        <v>2025</v>
      </c>
    </row>
    <row r="480" spans="1:14">
      <c r="A480" s="4">
        <v>479</v>
      </c>
      <c r="B480" s="4" t="s">
        <v>53</v>
      </c>
      <c r="C480" s="4" t="s">
        <v>62</v>
      </c>
      <c r="D480" s="4" t="s">
        <v>61</v>
      </c>
      <c r="E480" s="28" t="s">
        <v>71</v>
      </c>
      <c r="G480" s="4" t="s">
        <v>134</v>
      </c>
      <c r="H480" s="4" t="s">
        <v>71</v>
      </c>
      <c r="I480" s="90">
        <v>1600.75</v>
      </c>
      <c r="J480" s="4" t="s">
        <v>523</v>
      </c>
      <c r="K480" s="15">
        <v>45846</v>
      </c>
      <c r="L480" s="4">
        <v>2025402145</v>
      </c>
      <c r="M480" s="28" t="s">
        <v>225</v>
      </c>
      <c r="N480" s="4">
        <v>2025</v>
      </c>
    </row>
    <row r="481" spans="1:14">
      <c r="A481" s="4">
        <v>480</v>
      </c>
      <c r="B481" s="4" t="s">
        <v>35</v>
      </c>
      <c r="C481" s="4" t="s">
        <v>38</v>
      </c>
      <c r="D481" s="4" t="s">
        <v>61</v>
      </c>
      <c r="E481" s="28" t="s">
        <v>71</v>
      </c>
      <c r="G481" s="4" t="s">
        <v>134</v>
      </c>
      <c r="H481" s="4" t="s">
        <v>71</v>
      </c>
      <c r="I481" s="90">
        <v>1020</v>
      </c>
      <c r="J481" s="4" t="s">
        <v>524</v>
      </c>
      <c r="K481" s="15">
        <v>45848</v>
      </c>
      <c r="L481" s="4">
        <v>2025402169</v>
      </c>
      <c r="M481" s="28" t="s">
        <v>225</v>
      </c>
      <c r="N481" s="4">
        <v>2025</v>
      </c>
    </row>
    <row r="482" spans="1:14">
      <c r="A482" s="4">
        <v>481</v>
      </c>
      <c r="B482" s="4" t="s">
        <v>33</v>
      </c>
      <c r="C482" s="4" t="s">
        <v>34</v>
      </c>
      <c r="D482" s="4" t="s">
        <v>61</v>
      </c>
      <c r="E482" s="28" t="s">
        <v>71</v>
      </c>
      <c r="G482" s="4" t="s">
        <v>134</v>
      </c>
      <c r="H482" s="4" t="s">
        <v>71</v>
      </c>
      <c r="I482" s="90">
        <v>709.4</v>
      </c>
      <c r="J482" s="4" t="s">
        <v>525</v>
      </c>
      <c r="K482" s="15">
        <v>45850</v>
      </c>
      <c r="L482" s="4">
        <v>2025402176</v>
      </c>
      <c r="M482" s="28" t="s">
        <v>225</v>
      </c>
      <c r="N482" s="4">
        <v>2025</v>
      </c>
    </row>
    <row r="483" spans="1:14">
      <c r="A483" s="4">
        <v>482</v>
      </c>
      <c r="B483" s="4" t="s">
        <v>17</v>
      </c>
      <c r="C483" s="4" t="s">
        <v>25</v>
      </c>
      <c r="D483" s="4" t="s">
        <v>61</v>
      </c>
      <c r="E483" s="28" t="s">
        <v>71</v>
      </c>
      <c r="G483" s="29" t="s">
        <v>134</v>
      </c>
      <c r="H483" s="4" t="s">
        <v>71</v>
      </c>
      <c r="I483" s="90">
        <v>2317.5</v>
      </c>
      <c r="J483" s="29" t="s">
        <v>527</v>
      </c>
      <c r="K483" s="15">
        <v>45850</v>
      </c>
      <c r="L483" s="29">
        <v>2025402162</v>
      </c>
      <c r="M483" s="28" t="s">
        <v>225</v>
      </c>
      <c r="N483" s="4">
        <v>2025</v>
      </c>
    </row>
    <row r="484" spans="1:14">
      <c r="A484" s="4">
        <v>483</v>
      </c>
      <c r="B484" s="4" t="s">
        <v>29</v>
      </c>
      <c r="C484" s="4" t="s">
        <v>237</v>
      </c>
      <c r="D484" s="4" t="s">
        <v>61</v>
      </c>
      <c r="E484" s="28" t="s">
        <v>71</v>
      </c>
      <c r="G484" s="4" t="s">
        <v>134</v>
      </c>
      <c r="H484" s="4" t="s">
        <v>71</v>
      </c>
      <c r="I484" s="90">
        <v>254.2</v>
      </c>
      <c r="J484" s="4" t="s">
        <v>549</v>
      </c>
      <c r="K484" s="15">
        <v>45846</v>
      </c>
      <c r="L484" s="4">
        <v>2025402136</v>
      </c>
      <c r="M484" s="28" t="s">
        <v>225</v>
      </c>
      <c r="N484" s="4">
        <v>2025</v>
      </c>
    </row>
    <row r="485" spans="1:14">
      <c r="A485" s="4">
        <v>484</v>
      </c>
      <c r="B485" s="4" t="s">
        <v>59</v>
      </c>
      <c r="C485" s="4" t="s">
        <v>60</v>
      </c>
      <c r="D485" s="4" t="s">
        <v>61</v>
      </c>
      <c r="E485" s="28" t="s">
        <v>71</v>
      </c>
      <c r="G485" s="4" t="s">
        <v>134</v>
      </c>
      <c r="H485" s="4" t="s">
        <v>71</v>
      </c>
      <c r="I485" s="90">
        <v>1889.1</v>
      </c>
      <c r="J485" s="4" t="s">
        <v>556</v>
      </c>
      <c r="K485" s="15">
        <v>45851</v>
      </c>
      <c r="L485" s="4">
        <v>2025401646</v>
      </c>
      <c r="M485" s="28" t="s">
        <v>225</v>
      </c>
      <c r="N485" s="4">
        <v>2025</v>
      </c>
    </row>
    <row r="486" spans="1:14">
      <c r="A486" s="4">
        <v>485</v>
      </c>
      <c r="B486" s="4" t="s">
        <v>59</v>
      </c>
      <c r="C486" s="4" t="s">
        <v>60</v>
      </c>
      <c r="D486" s="4" t="s">
        <v>61</v>
      </c>
      <c r="E486" s="4" t="s">
        <v>71</v>
      </c>
      <c r="G486" s="4" t="s">
        <v>134</v>
      </c>
      <c r="H486" s="4" t="s">
        <v>71</v>
      </c>
      <c r="I486" s="90">
        <v>5788.4</v>
      </c>
      <c r="J486" s="4" t="s">
        <v>280</v>
      </c>
      <c r="K486" s="15">
        <v>45850</v>
      </c>
      <c r="L486" s="4">
        <v>2025401539</v>
      </c>
      <c r="M486" s="28" t="s">
        <v>225</v>
      </c>
      <c r="N486" s="4">
        <v>2025</v>
      </c>
    </row>
    <row r="487" spans="1:14">
      <c r="A487" s="4">
        <v>486</v>
      </c>
      <c r="B487" s="4" t="s">
        <v>43</v>
      </c>
      <c r="C487" s="4" t="s">
        <v>50</v>
      </c>
      <c r="D487" s="4" t="s">
        <v>61</v>
      </c>
      <c r="E487" s="28" t="s">
        <v>71</v>
      </c>
      <c r="G487" s="4" t="s">
        <v>134</v>
      </c>
      <c r="H487" s="4" t="s">
        <v>71</v>
      </c>
      <c r="I487" s="90">
        <v>205</v>
      </c>
      <c r="J487" s="4" t="s">
        <v>557</v>
      </c>
      <c r="K487" s="15">
        <v>45846</v>
      </c>
      <c r="L487" s="4">
        <v>2025402053</v>
      </c>
      <c r="M487" s="28" t="s">
        <v>225</v>
      </c>
      <c r="N487" s="4">
        <v>2025</v>
      </c>
    </row>
    <row r="488" spans="1:14">
      <c r="A488" s="4">
        <v>487</v>
      </c>
      <c r="B488" s="4" t="s">
        <v>59</v>
      </c>
      <c r="C488" s="4" t="s">
        <v>60</v>
      </c>
      <c r="D488" s="4" t="s">
        <v>61</v>
      </c>
      <c r="E488" s="28" t="s">
        <v>71</v>
      </c>
      <c r="G488" s="4" t="s">
        <v>134</v>
      </c>
      <c r="H488" s="4" t="s">
        <v>71</v>
      </c>
      <c r="I488" s="90">
        <v>2875</v>
      </c>
      <c r="J488" s="4" t="s">
        <v>558</v>
      </c>
      <c r="K488" s="15">
        <v>45850</v>
      </c>
      <c r="L488" s="4">
        <v>2025401884</v>
      </c>
      <c r="M488" s="28" t="s">
        <v>225</v>
      </c>
      <c r="N488" s="4">
        <v>2025</v>
      </c>
    </row>
    <row r="489" spans="1:14">
      <c r="A489" s="4">
        <v>488</v>
      </c>
      <c r="B489" s="4" t="s">
        <v>43</v>
      </c>
      <c r="C489" s="4" t="s">
        <v>51</v>
      </c>
      <c r="D489" s="4" t="s">
        <v>61</v>
      </c>
      <c r="E489" s="4" t="s">
        <v>71</v>
      </c>
      <c r="G489" s="4" t="s">
        <v>134</v>
      </c>
      <c r="H489" s="4" t="s">
        <v>71</v>
      </c>
      <c r="I489" s="90">
        <v>1406</v>
      </c>
      <c r="J489" s="4" t="s">
        <v>559</v>
      </c>
      <c r="K489" s="15">
        <v>45846</v>
      </c>
      <c r="L489" s="4">
        <v>2025402048</v>
      </c>
      <c r="M489" s="28" t="s">
        <v>225</v>
      </c>
      <c r="N489" s="4">
        <v>2025</v>
      </c>
    </row>
    <row r="490" spans="1:14">
      <c r="A490" s="4">
        <v>489</v>
      </c>
      <c r="B490" s="4" t="s">
        <v>17</v>
      </c>
      <c r="C490" s="4" t="s">
        <v>24</v>
      </c>
      <c r="D490" s="4" t="s">
        <v>61</v>
      </c>
      <c r="E490" s="28" t="s">
        <v>71</v>
      </c>
      <c r="G490" s="4" t="s">
        <v>134</v>
      </c>
      <c r="H490" s="4" t="s">
        <v>71</v>
      </c>
      <c r="I490" s="90">
        <v>575.1</v>
      </c>
      <c r="J490" s="4" t="s">
        <v>560</v>
      </c>
      <c r="K490" s="39">
        <v>45846</v>
      </c>
      <c r="L490" s="4">
        <v>2025402107</v>
      </c>
      <c r="M490" s="28" t="s">
        <v>225</v>
      </c>
      <c r="N490" s="4">
        <v>2025</v>
      </c>
    </row>
    <row r="491" spans="1:14">
      <c r="A491" s="4">
        <v>490</v>
      </c>
      <c r="B491" s="4" t="s">
        <v>55</v>
      </c>
      <c r="C491" s="4" t="s">
        <v>56</v>
      </c>
      <c r="D491" s="4" t="s">
        <v>61</v>
      </c>
      <c r="E491" s="28" t="s">
        <v>71</v>
      </c>
      <c r="G491" s="29" t="s">
        <v>134</v>
      </c>
      <c r="H491" s="4" t="s">
        <v>71</v>
      </c>
      <c r="I491" s="90">
        <v>5740</v>
      </c>
      <c r="J491" s="29" t="s">
        <v>561</v>
      </c>
      <c r="K491" s="15">
        <v>45846</v>
      </c>
      <c r="L491" s="29">
        <v>2025402106</v>
      </c>
      <c r="M491" s="28" t="s">
        <v>225</v>
      </c>
      <c r="N491" s="4">
        <v>2025</v>
      </c>
    </row>
    <row r="492" spans="1:14">
      <c r="A492" s="4">
        <v>491</v>
      </c>
      <c r="B492" s="4" t="s">
        <v>17</v>
      </c>
      <c r="C492" s="4" t="s">
        <v>23</v>
      </c>
      <c r="D492" s="4" t="s">
        <v>61</v>
      </c>
      <c r="E492" s="28" t="s">
        <v>71</v>
      </c>
      <c r="G492" s="4" t="s">
        <v>134</v>
      </c>
      <c r="H492" s="4" t="s">
        <v>71</v>
      </c>
      <c r="I492" s="90">
        <v>172.5</v>
      </c>
      <c r="J492" s="4" t="s">
        <v>562</v>
      </c>
      <c r="K492" s="15">
        <v>45846</v>
      </c>
      <c r="L492" s="4">
        <v>2025402120</v>
      </c>
      <c r="M492" s="28" t="s">
        <v>225</v>
      </c>
      <c r="N492" s="4">
        <v>2025</v>
      </c>
    </row>
    <row r="493" spans="1:14">
      <c r="A493" s="4">
        <v>492</v>
      </c>
      <c r="B493" s="4" t="s">
        <v>35</v>
      </c>
      <c r="C493" s="4" t="s">
        <v>42</v>
      </c>
      <c r="D493" s="4" t="s">
        <v>61</v>
      </c>
      <c r="E493" s="28" t="s">
        <v>71</v>
      </c>
      <c r="G493" s="4" t="s">
        <v>134</v>
      </c>
      <c r="H493" s="4" t="s">
        <v>71</v>
      </c>
      <c r="I493" s="90">
        <v>280</v>
      </c>
      <c r="J493" s="4" t="s">
        <v>563</v>
      </c>
      <c r="K493" s="15">
        <v>45846</v>
      </c>
      <c r="L493" s="4">
        <v>2025402142</v>
      </c>
      <c r="M493" s="28" t="s">
        <v>225</v>
      </c>
      <c r="N493" s="4">
        <v>2025</v>
      </c>
    </row>
    <row r="494" spans="1:14">
      <c r="A494" s="4">
        <v>493</v>
      </c>
      <c r="B494" s="4" t="s">
        <v>35</v>
      </c>
      <c r="C494" s="4" t="s">
        <v>38</v>
      </c>
      <c r="D494" s="4" t="s">
        <v>61</v>
      </c>
      <c r="E494" s="4" t="s">
        <v>71</v>
      </c>
      <c r="G494" s="4" t="s">
        <v>134</v>
      </c>
      <c r="H494" s="4" t="s">
        <v>71</v>
      </c>
      <c r="I494" s="90">
        <v>3106.1</v>
      </c>
      <c r="J494" s="4" t="s">
        <v>564</v>
      </c>
      <c r="K494" s="15">
        <v>45848</v>
      </c>
      <c r="L494" s="4">
        <v>2025402140</v>
      </c>
      <c r="M494" s="28" t="s">
        <v>225</v>
      </c>
      <c r="N494" s="4">
        <v>2025</v>
      </c>
    </row>
    <row r="495" spans="1:14">
      <c r="A495" s="4">
        <v>494</v>
      </c>
      <c r="B495" s="4" t="s">
        <v>29</v>
      </c>
      <c r="C495" s="4" t="s">
        <v>237</v>
      </c>
      <c r="D495" s="4" t="s">
        <v>61</v>
      </c>
      <c r="E495" s="4" t="s">
        <v>71</v>
      </c>
      <c r="G495" s="4" t="s">
        <v>134</v>
      </c>
      <c r="H495" s="4" t="s">
        <v>71</v>
      </c>
      <c r="I495" s="90">
        <v>1025</v>
      </c>
      <c r="J495" s="4" t="s">
        <v>565</v>
      </c>
      <c r="K495" s="15">
        <v>45846</v>
      </c>
      <c r="L495" s="4">
        <v>2025402102</v>
      </c>
      <c r="M495" s="28" t="s">
        <v>225</v>
      </c>
      <c r="N495" s="4">
        <v>2025</v>
      </c>
    </row>
    <row r="496" spans="1:14">
      <c r="A496" s="4">
        <v>495</v>
      </c>
      <c r="B496" s="4" t="s">
        <v>29</v>
      </c>
      <c r="C496" s="4" t="s">
        <v>237</v>
      </c>
      <c r="D496" s="4" t="s">
        <v>61</v>
      </c>
      <c r="E496" s="4" t="s">
        <v>71</v>
      </c>
      <c r="G496" s="4" t="s">
        <v>134</v>
      </c>
      <c r="H496" s="4" t="s">
        <v>71</v>
      </c>
      <c r="I496" s="90">
        <v>2910.6</v>
      </c>
      <c r="J496" s="4" t="s">
        <v>566</v>
      </c>
      <c r="K496" s="15">
        <v>45848</v>
      </c>
      <c r="L496" s="4">
        <v>2025402040</v>
      </c>
      <c r="M496" s="28" t="s">
        <v>225</v>
      </c>
      <c r="N496" s="4">
        <v>2025</v>
      </c>
    </row>
    <row r="497" spans="1:14">
      <c r="A497" s="4">
        <v>496</v>
      </c>
      <c r="B497" s="4" t="s">
        <v>29</v>
      </c>
      <c r="C497" s="4" t="s">
        <v>237</v>
      </c>
      <c r="D497" s="4" t="s">
        <v>61</v>
      </c>
      <c r="E497" s="28" t="s">
        <v>71</v>
      </c>
      <c r="G497" s="4" t="s">
        <v>134</v>
      </c>
      <c r="H497" s="4" t="s">
        <v>71</v>
      </c>
      <c r="I497" s="90">
        <v>2885.3</v>
      </c>
      <c r="J497" s="4" t="s">
        <v>567</v>
      </c>
      <c r="K497" s="15">
        <v>45846</v>
      </c>
      <c r="L497" s="4">
        <v>2025402123</v>
      </c>
      <c r="M497" s="28" t="s">
        <v>225</v>
      </c>
      <c r="N497" s="4">
        <v>2025</v>
      </c>
    </row>
    <row r="498" spans="1:14">
      <c r="A498" s="4">
        <v>497</v>
      </c>
      <c r="B498" s="4" t="s">
        <v>43</v>
      </c>
      <c r="C498" s="4" t="s">
        <v>51</v>
      </c>
      <c r="D498" s="4" t="s">
        <v>61</v>
      </c>
      <c r="E498" s="4" t="s">
        <v>71</v>
      </c>
      <c r="G498" s="4" t="s">
        <v>134</v>
      </c>
      <c r="H498" s="4" t="s">
        <v>71</v>
      </c>
      <c r="I498" s="90">
        <v>1604.6</v>
      </c>
      <c r="J498" s="4" t="s">
        <v>568</v>
      </c>
      <c r="K498" s="15">
        <v>45848</v>
      </c>
      <c r="L498" s="4">
        <v>2025402117</v>
      </c>
      <c r="M498" s="28" t="s">
        <v>225</v>
      </c>
      <c r="N498" s="4">
        <v>2025</v>
      </c>
    </row>
    <row r="499" spans="1:14">
      <c r="A499" s="4">
        <v>498</v>
      </c>
      <c r="B499" s="4" t="s">
        <v>35</v>
      </c>
      <c r="C499" s="4" t="s">
        <v>37</v>
      </c>
      <c r="D499" s="4" t="s">
        <v>61</v>
      </c>
      <c r="E499" s="28" t="s">
        <v>71</v>
      </c>
      <c r="G499" s="4" t="s">
        <v>134</v>
      </c>
      <c r="H499" s="4" t="s">
        <v>71</v>
      </c>
      <c r="I499" s="90">
        <v>990</v>
      </c>
      <c r="J499" s="4" t="s">
        <v>569</v>
      </c>
      <c r="K499" s="15">
        <v>45848</v>
      </c>
      <c r="L499" s="4">
        <v>2025402093</v>
      </c>
      <c r="M499" s="28" t="s">
        <v>225</v>
      </c>
      <c r="N499" s="4">
        <v>2025</v>
      </c>
    </row>
    <row r="500" spans="1:14">
      <c r="A500" s="4">
        <v>499</v>
      </c>
      <c r="B500" s="28" t="s">
        <v>43</v>
      </c>
      <c r="C500" s="28" t="s">
        <v>50</v>
      </c>
      <c r="D500" s="4" t="s">
        <v>61</v>
      </c>
      <c r="E500" s="28" t="s">
        <v>71</v>
      </c>
      <c r="G500" s="28" t="s">
        <v>134</v>
      </c>
      <c r="H500" s="4" t="s">
        <v>71</v>
      </c>
      <c r="I500" s="90">
        <v>224</v>
      </c>
      <c r="J500" s="4" t="s">
        <v>570</v>
      </c>
      <c r="K500" s="15">
        <v>45850</v>
      </c>
      <c r="L500" s="4">
        <v>2025402166</v>
      </c>
      <c r="M500" s="28" t="s">
        <v>225</v>
      </c>
      <c r="N500" s="4">
        <v>2025</v>
      </c>
    </row>
    <row r="501" spans="1:14">
      <c r="A501" s="4">
        <v>500</v>
      </c>
      <c r="B501" s="4" t="s">
        <v>43</v>
      </c>
      <c r="C501" s="4" t="s">
        <v>50</v>
      </c>
      <c r="D501" s="4" t="s">
        <v>61</v>
      </c>
      <c r="E501" s="4" t="s">
        <v>71</v>
      </c>
      <c r="G501" s="4" t="s">
        <v>134</v>
      </c>
      <c r="H501" s="4" t="s">
        <v>71</v>
      </c>
      <c r="I501" s="90">
        <v>90</v>
      </c>
      <c r="J501" s="4" t="s">
        <v>571</v>
      </c>
      <c r="K501" s="15">
        <v>45848</v>
      </c>
      <c r="L501" s="4">
        <v>2025402150</v>
      </c>
      <c r="M501" s="28" t="s">
        <v>225</v>
      </c>
      <c r="N501" s="4">
        <v>2025</v>
      </c>
    </row>
    <row r="502" spans="1:14">
      <c r="A502" s="4">
        <v>501</v>
      </c>
      <c r="B502" s="28" t="s">
        <v>53</v>
      </c>
      <c r="C502" s="28" t="s">
        <v>62</v>
      </c>
      <c r="D502" s="4" t="s">
        <v>61</v>
      </c>
      <c r="E502" s="4" t="s">
        <v>71</v>
      </c>
      <c r="G502" s="4" t="s">
        <v>134</v>
      </c>
      <c r="H502" s="4" t="s">
        <v>71</v>
      </c>
      <c r="I502" s="90">
        <v>1441.5</v>
      </c>
      <c r="J502" s="4" t="s">
        <v>572</v>
      </c>
      <c r="K502" s="15">
        <v>45848</v>
      </c>
      <c r="L502" s="4">
        <v>2025402167</v>
      </c>
      <c r="M502" s="28" t="s">
        <v>225</v>
      </c>
      <c r="N502" s="4">
        <v>2025</v>
      </c>
    </row>
    <row r="503" spans="1:14">
      <c r="A503" s="4">
        <v>502</v>
      </c>
      <c r="B503" s="4" t="s">
        <v>43</v>
      </c>
      <c r="C503" s="4" t="s">
        <v>44</v>
      </c>
      <c r="D503" s="4" t="s">
        <v>61</v>
      </c>
      <c r="E503" s="28" t="s">
        <v>71</v>
      </c>
      <c r="G503" s="4" t="s">
        <v>134</v>
      </c>
      <c r="H503" s="4" t="s">
        <v>71</v>
      </c>
      <c r="I503" s="90">
        <v>328</v>
      </c>
      <c r="J503" s="4" t="s">
        <v>573</v>
      </c>
      <c r="K503" s="15">
        <v>45848</v>
      </c>
      <c r="L503" s="4">
        <v>2025401967</v>
      </c>
      <c r="M503" s="28" t="s">
        <v>225</v>
      </c>
      <c r="N503" s="4">
        <v>2025</v>
      </c>
    </row>
    <row r="504" spans="1:14">
      <c r="A504" s="4">
        <v>503</v>
      </c>
      <c r="B504" s="4" t="s">
        <v>53</v>
      </c>
      <c r="C504" s="4" t="s">
        <v>62</v>
      </c>
      <c r="D504" s="4" t="s">
        <v>61</v>
      </c>
      <c r="E504" s="28" t="s">
        <v>71</v>
      </c>
      <c r="G504" s="4" t="s">
        <v>134</v>
      </c>
      <c r="H504" s="4" t="s">
        <v>71</v>
      </c>
      <c r="I504" s="90">
        <v>1579.2</v>
      </c>
      <c r="J504" s="4" t="s">
        <v>574</v>
      </c>
      <c r="K504" s="15">
        <v>45846</v>
      </c>
      <c r="L504" s="4">
        <v>2025402148</v>
      </c>
      <c r="M504" s="28" t="s">
        <v>225</v>
      </c>
      <c r="N504" s="4">
        <v>2025</v>
      </c>
    </row>
    <row r="505" spans="1:14">
      <c r="A505" s="4">
        <v>504</v>
      </c>
      <c r="B505" s="28" t="s">
        <v>53</v>
      </c>
      <c r="C505" s="28" t="s">
        <v>62</v>
      </c>
      <c r="D505" s="4" t="s">
        <v>61</v>
      </c>
      <c r="E505" s="28" t="s">
        <v>71</v>
      </c>
      <c r="G505" s="28" t="s">
        <v>134</v>
      </c>
      <c r="H505" s="4" t="s">
        <v>71</v>
      </c>
      <c r="I505" s="90">
        <v>348</v>
      </c>
      <c r="J505" s="4" t="s">
        <v>575</v>
      </c>
      <c r="K505" s="15">
        <v>45846</v>
      </c>
      <c r="L505" s="4">
        <v>2025402147</v>
      </c>
      <c r="M505" s="28" t="s">
        <v>225</v>
      </c>
      <c r="N505" s="4">
        <v>2025</v>
      </c>
    </row>
    <row r="506" spans="1:14">
      <c r="A506" s="4">
        <v>505</v>
      </c>
      <c r="B506" s="4" t="s">
        <v>43</v>
      </c>
      <c r="C506" s="4" t="s">
        <v>51</v>
      </c>
      <c r="D506" s="4" t="s">
        <v>61</v>
      </c>
      <c r="E506" s="28" t="s">
        <v>71</v>
      </c>
      <c r="G506" s="4" t="s">
        <v>134</v>
      </c>
      <c r="H506" s="4" t="s">
        <v>71</v>
      </c>
      <c r="I506" s="90">
        <v>2397.6999999999998</v>
      </c>
      <c r="J506" s="4" t="s">
        <v>576</v>
      </c>
      <c r="K506" s="15">
        <v>45848</v>
      </c>
      <c r="L506" s="4">
        <v>2025402163</v>
      </c>
      <c r="M506" s="28" t="s">
        <v>225</v>
      </c>
      <c r="N506" s="4">
        <v>2025</v>
      </c>
    </row>
    <row r="507" spans="1:14">
      <c r="A507" s="4">
        <v>506</v>
      </c>
      <c r="B507" s="4" t="s">
        <v>35</v>
      </c>
      <c r="C507" s="4" t="s">
        <v>39</v>
      </c>
      <c r="D507" s="4" t="s">
        <v>61</v>
      </c>
      <c r="E507" s="28" t="s">
        <v>71</v>
      </c>
      <c r="G507" s="4" t="s">
        <v>134</v>
      </c>
      <c r="H507" s="4" t="s">
        <v>71</v>
      </c>
      <c r="I507" s="90">
        <v>130</v>
      </c>
      <c r="J507" s="4" t="s">
        <v>577</v>
      </c>
      <c r="K507" s="15">
        <v>45848</v>
      </c>
      <c r="L507" s="4">
        <v>2025402172</v>
      </c>
      <c r="M507" s="28" t="s">
        <v>225</v>
      </c>
      <c r="N507" s="4">
        <v>2025</v>
      </c>
    </row>
    <row r="508" spans="1:14">
      <c r="A508" s="4">
        <v>507</v>
      </c>
      <c r="B508" s="28" t="s">
        <v>43</v>
      </c>
      <c r="C508" s="28" t="s">
        <v>52</v>
      </c>
      <c r="D508" s="4" t="s">
        <v>61</v>
      </c>
      <c r="E508" s="28" t="s">
        <v>71</v>
      </c>
      <c r="G508" s="28" t="s">
        <v>134</v>
      </c>
      <c r="H508" s="4" t="s">
        <v>71</v>
      </c>
      <c r="I508" s="90">
        <v>4130.3</v>
      </c>
      <c r="J508" s="4" t="s">
        <v>578</v>
      </c>
      <c r="K508" s="15">
        <v>45848</v>
      </c>
      <c r="L508" s="4">
        <v>2025402165</v>
      </c>
      <c r="M508" s="28" t="s">
        <v>225</v>
      </c>
      <c r="N508" s="4">
        <v>2025</v>
      </c>
    </row>
    <row r="509" spans="1:14">
      <c r="A509" s="4">
        <v>508</v>
      </c>
      <c r="B509" s="4" t="s">
        <v>17</v>
      </c>
      <c r="C509" s="4" t="s">
        <v>22</v>
      </c>
      <c r="D509" s="4" t="s">
        <v>61</v>
      </c>
      <c r="E509" s="28" t="s">
        <v>71</v>
      </c>
      <c r="G509" s="4" t="s">
        <v>134</v>
      </c>
      <c r="H509" s="4" t="s">
        <v>71</v>
      </c>
      <c r="I509" s="90">
        <v>1120</v>
      </c>
      <c r="J509" s="4" t="s">
        <v>579</v>
      </c>
      <c r="K509" s="15">
        <v>45848</v>
      </c>
      <c r="L509" s="4">
        <v>2025402118</v>
      </c>
      <c r="M509" s="28" t="s">
        <v>225</v>
      </c>
      <c r="N509" s="4">
        <v>2025</v>
      </c>
    </row>
    <row r="510" spans="1:14">
      <c r="A510" s="4">
        <v>509</v>
      </c>
      <c r="B510" s="4" t="s">
        <v>35</v>
      </c>
      <c r="C510" s="4" t="s">
        <v>37</v>
      </c>
      <c r="D510" s="4" t="s">
        <v>61</v>
      </c>
      <c r="E510" s="4" t="s">
        <v>71</v>
      </c>
      <c r="G510" s="4" t="s">
        <v>134</v>
      </c>
      <c r="H510" s="4" t="s">
        <v>71</v>
      </c>
      <c r="I510" s="90">
        <v>1871.2</v>
      </c>
      <c r="J510" s="4" t="s">
        <v>582</v>
      </c>
      <c r="K510" s="15">
        <v>45846</v>
      </c>
      <c r="L510" s="4">
        <v>2025402134</v>
      </c>
      <c r="M510" s="28" t="s">
        <v>225</v>
      </c>
      <c r="N510" s="4">
        <v>2025</v>
      </c>
    </row>
    <row r="511" spans="1:14">
      <c r="A511" s="4">
        <v>510</v>
      </c>
      <c r="B511" s="4" t="s">
        <v>53</v>
      </c>
      <c r="C511" s="4" t="s">
        <v>62</v>
      </c>
      <c r="D511" s="4" t="s">
        <v>61</v>
      </c>
      <c r="E511" s="28" t="s">
        <v>71</v>
      </c>
      <c r="G511" s="4" t="s">
        <v>134</v>
      </c>
      <c r="H511" s="4" t="s">
        <v>71</v>
      </c>
      <c r="I511" s="90">
        <v>165</v>
      </c>
      <c r="J511" s="4" t="s">
        <v>590</v>
      </c>
      <c r="K511" s="15">
        <v>45855</v>
      </c>
      <c r="L511" s="4">
        <v>2025402261</v>
      </c>
      <c r="M511" s="28" t="s">
        <v>225</v>
      </c>
      <c r="N511" s="4">
        <v>2025</v>
      </c>
    </row>
    <row r="512" spans="1:14">
      <c r="A512" s="4">
        <v>511</v>
      </c>
      <c r="B512" s="4" t="s">
        <v>17</v>
      </c>
      <c r="C512" s="4" t="s">
        <v>23</v>
      </c>
      <c r="D512" s="4" t="s">
        <v>61</v>
      </c>
      <c r="E512" s="28" t="s">
        <v>71</v>
      </c>
      <c r="G512" s="4" t="s">
        <v>134</v>
      </c>
      <c r="H512" s="4" t="s">
        <v>71</v>
      </c>
      <c r="I512" s="90">
        <v>30</v>
      </c>
      <c r="J512" s="4" t="s">
        <v>591</v>
      </c>
      <c r="K512" s="15">
        <v>45855</v>
      </c>
      <c r="L512" s="4">
        <v>2025402263</v>
      </c>
      <c r="M512" s="28" t="s">
        <v>225</v>
      </c>
      <c r="N512" s="4">
        <v>2025</v>
      </c>
    </row>
    <row r="513" spans="1:14">
      <c r="A513" s="4">
        <v>512</v>
      </c>
      <c r="B513" s="4" t="s">
        <v>43</v>
      </c>
      <c r="C513" s="4" t="s">
        <v>51</v>
      </c>
      <c r="D513" s="4" t="s">
        <v>61</v>
      </c>
      <c r="E513" s="28" t="s">
        <v>71</v>
      </c>
      <c r="G513" s="4" t="s">
        <v>134</v>
      </c>
      <c r="H513" s="4" t="s">
        <v>71</v>
      </c>
      <c r="I513" s="90">
        <v>910</v>
      </c>
      <c r="J513" s="4" t="s">
        <v>592</v>
      </c>
      <c r="K513" s="15">
        <v>45855</v>
      </c>
      <c r="L513" s="4">
        <v>2025402155</v>
      </c>
      <c r="M513" s="28" t="s">
        <v>225</v>
      </c>
      <c r="N513" s="4">
        <v>2025</v>
      </c>
    </row>
    <row r="514" spans="1:14">
      <c r="A514" s="4">
        <v>513</v>
      </c>
      <c r="B514" s="4" t="s">
        <v>29</v>
      </c>
      <c r="C514" s="4" t="s">
        <v>237</v>
      </c>
      <c r="D514" s="4" t="s">
        <v>61</v>
      </c>
      <c r="E514" s="28" t="s">
        <v>71</v>
      </c>
      <c r="G514" s="4" t="s">
        <v>134</v>
      </c>
      <c r="H514" s="4" t="s">
        <v>71</v>
      </c>
      <c r="I514" s="90">
        <v>5896.2</v>
      </c>
      <c r="J514" s="4" t="s">
        <v>593</v>
      </c>
      <c r="K514" s="15">
        <v>45855</v>
      </c>
      <c r="L514" s="4">
        <v>2025402240</v>
      </c>
      <c r="M514" s="28" t="s">
        <v>225</v>
      </c>
      <c r="N514" s="4">
        <v>2025</v>
      </c>
    </row>
    <row r="515" spans="1:14">
      <c r="A515" s="4">
        <v>514</v>
      </c>
      <c r="B515" s="4" t="s">
        <v>17</v>
      </c>
      <c r="C515" s="4" t="s">
        <v>22</v>
      </c>
      <c r="D515" s="4" t="s">
        <v>61</v>
      </c>
      <c r="E515" s="28" t="s">
        <v>71</v>
      </c>
      <c r="G515" s="4" t="s">
        <v>134</v>
      </c>
      <c r="H515" s="4" t="s">
        <v>71</v>
      </c>
      <c r="I515" s="90">
        <v>1625</v>
      </c>
      <c r="J515" s="4" t="s">
        <v>594</v>
      </c>
      <c r="K515" s="15">
        <v>45855</v>
      </c>
      <c r="L515" s="4">
        <v>2025402277</v>
      </c>
      <c r="M515" s="28" t="s">
        <v>225</v>
      </c>
      <c r="N515" s="4">
        <v>2025</v>
      </c>
    </row>
    <row r="516" spans="1:14">
      <c r="A516" s="4">
        <v>515</v>
      </c>
      <c r="B516" s="28" t="s">
        <v>43</v>
      </c>
      <c r="C516" s="28" t="s">
        <v>51</v>
      </c>
      <c r="D516" s="4" t="s">
        <v>61</v>
      </c>
      <c r="E516" s="28" t="s">
        <v>71</v>
      </c>
      <c r="G516" s="28" t="s">
        <v>134</v>
      </c>
      <c r="H516" s="4" t="s">
        <v>71</v>
      </c>
      <c r="I516" s="90">
        <v>1450</v>
      </c>
      <c r="J516" s="4" t="s">
        <v>595</v>
      </c>
      <c r="K516" s="15">
        <v>45855</v>
      </c>
      <c r="L516" s="4">
        <v>2025402160</v>
      </c>
      <c r="M516" s="28" t="s">
        <v>225</v>
      </c>
      <c r="N516" s="4">
        <v>2025</v>
      </c>
    </row>
    <row r="517" spans="1:14">
      <c r="A517" s="4">
        <v>516</v>
      </c>
      <c r="B517" s="4" t="s">
        <v>43</v>
      </c>
      <c r="C517" s="4" t="s">
        <v>49</v>
      </c>
      <c r="D517" s="4" t="s">
        <v>61</v>
      </c>
      <c r="E517" s="4" t="s">
        <v>71</v>
      </c>
      <c r="G517" s="4" t="s">
        <v>134</v>
      </c>
      <c r="H517" s="4" t="s">
        <v>71</v>
      </c>
      <c r="I517" s="90">
        <v>1224.8</v>
      </c>
      <c r="J517" s="4" t="s">
        <v>598</v>
      </c>
      <c r="K517" s="15">
        <v>45855</v>
      </c>
      <c r="L517" s="4">
        <v>2025402245</v>
      </c>
      <c r="M517" s="28" t="s">
        <v>225</v>
      </c>
      <c r="N517" s="4">
        <v>2025</v>
      </c>
    </row>
    <row r="518" spans="1:14">
      <c r="A518" s="4">
        <v>517</v>
      </c>
      <c r="B518" s="4" t="s">
        <v>53</v>
      </c>
      <c r="C518" s="4" t="s">
        <v>62</v>
      </c>
      <c r="D518" s="4" t="s">
        <v>61</v>
      </c>
      <c r="E518" s="28" t="s">
        <v>71</v>
      </c>
      <c r="G518" s="4" t="s">
        <v>134</v>
      </c>
      <c r="H518" s="4" t="s">
        <v>71</v>
      </c>
      <c r="I518" s="90">
        <v>398.9</v>
      </c>
      <c r="J518" s="4" t="s">
        <v>600</v>
      </c>
      <c r="K518" s="15">
        <v>45848</v>
      </c>
      <c r="L518" s="4">
        <v>2025402170</v>
      </c>
      <c r="M518" s="28" t="s">
        <v>225</v>
      </c>
      <c r="N518" s="4">
        <v>2025</v>
      </c>
    </row>
    <row r="519" spans="1:14">
      <c r="A519" s="4">
        <v>518</v>
      </c>
      <c r="B519" s="4" t="s">
        <v>53</v>
      </c>
      <c r="C519" s="4" t="s">
        <v>62</v>
      </c>
      <c r="D519" s="4" t="s">
        <v>61</v>
      </c>
      <c r="E519" s="28" t="s">
        <v>71</v>
      </c>
      <c r="G519" s="4" t="s">
        <v>134</v>
      </c>
      <c r="H519" s="4" t="s">
        <v>71</v>
      </c>
      <c r="I519" s="90">
        <v>350</v>
      </c>
      <c r="J519" s="4" t="s">
        <v>601</v>
      </c>
      <c r="K519" s="15">
        <v>45848</v>
      </c>
      <c r="L519" s="4">
        <v>2025402171</v>
      </c>
      <c r="M519" s="28" t="s">
        <v>225</v>
      </c>
      <c r="N519" s="4">
        <v>2025</v>
      </c>
    </row>
    <row r="520" spans="1:14">
      <c r="A520" s="4">
        <v>519</v>
      </c>
      <c r="B520" s="28" t="s">
        <v>53</v>
      </c>
      <c r="C520" s="28" t="s">
        <v>62</v>
      </c>
      <c r="D520" s="4" t="s">
        <v>61</v>
      </c>
      <c r="E520" s="28" t="s">
        <v>71</v>
      </c>
      <c r="G520" s="28" t="s">
        <v>134</v>
      </c>
      <c r="H520" s="4" t="s">
        <v>71</v>
      </c>
      <c r="I520" s="90">
        <v>97.5</v>
      </c>
      <c r="J520" s="4" t="s">
        <v>602</v>
      </c>
      <c r="K520" s="15">
        <v>45848</v>
      </c>
      <c r="L520" s="4">
        <v>2025402173</v>
      </c>
      <c r="M520" s="28" t="s">
        <v>225</v>
      </c>
      <c r="N520" s="4">
        <v>2025</v>
      </c>
    </row>
    <row r="521" spans="1:14">
      <c r="A521" s="4">
        <v>520</v>
      </c>
      <c r="B521" s="4" t="s">
        <v>35</v>
      </c>
      <c r="C521" s="4" t="s">
        <v>38</v>
      </c>
      <c r="D521" s="4" t="s">
        <v>61</v>
      </c>
      <c r="E521" s="28" t="s">
        <v>71</v>
      </c>
      <c r="G521" s="4" t="s">
        <v>134</v>
      </c>
      <c r="H521" s="4" t="s">
        <v>71</v>
      </c>
      <c r="I521" s="90">
        <v>443.6</v>
      </c>
      <c r="J521" s="4" t="s">
        <v>603</v>
      </c>
      <c r="K521" s="15">
        <v>45846</v>
      </c>
      <c r="L521" s="4">
        <v>2025402135</v>
      </c>
      <c r="M521" s="28" t="s">
        <v>225</v>
      </c>
      <c r="N521" s="4">
        <v>2025</v>
      </c>
    </row>
    <row r="522" spans="1:14">
      <c r="A522" s="4">
        <v>521</v>
      </c>
      <c r="B522" s="4" t="s">
        <v>53</v>
      </c>
      <c r="C522" s="4" t="s">
        <v>62</v>
      </c>
      <c r="D522" s="4" t="s">
        <v>61</v>
      </c>
      <c r="E522" s="28" t="s">
        <v>71</v>
      </c>
      <c r="G522" s="4" t="s">
        <v>134</v>
      </c>
      <c r="H522" s="4" t="s">
        <v>71</v>
      </c>
      <c r="I522" s="90">
        <v>1608.9</v>
      </c>
      <c r="J522" s="4" t="s">
        <v>616</v>
      </c>
      <c r="K522" s="15">
        <v>45855</v>
      </c>
      <c r="L522" s="4">
        <v>2025402156</v>
      </c>
      <c r="M522" s="28" t="s">
        <v>225</v>
      </c>
      <c r="N522" s="4">
        <v>2025</v>
      </c>
    </row>
    <row r="523" spans="1:14">
      <c r="A523" s="4">
        <v>522</v>
      </c>
      <c r="B523" s="4" t="s">
        <v>35</v>
      </c>
      <c r="C523" s="4" t="s">
        <v>37</v>
      </c>
      <c r="D523" s="4" t="s">
        <v>61</v>
      </c>
      <c r="E523" s="28" t="s">
        <v>71</v>
      </c>
      <c r="G523" s="4" t="s">
        <v>134</v>
      </c>
      <c r="H523" s="4" t="s">
        <v>71</v>
      </c>
      <c r="I523" s="90">
        <v>410</v>
      </c>
      <c r="J523" s="4" t="s">
        <v>617</v>
      </c>
      <c r="K523" s="15">
        <v>45855</v>
      </c>
      <c r="L523" s="4">
        <v>2025402159</v>
      </c>
      <c r="M523" s="28" t="s">
        <v>225</v>
      </c>
      <c r="N523" s="4">
        <v>2025</v>
      </c>
    </row>
    <row r="524" spans="1:14">
      <c r="A524" s="4">
        <v>523</v>
      </c>
      <c r="B524" s="4" t="s">
        <v>35</v>
      </c>
      <c r="C524" s="4" t="s">
        <v>37</v>
      </c>
      <c r="D524" s="4" t="s">
        <v>61</v>
      </c>
      <c r="E524" s="4" t="s">
        <v>71</v>
      </c>
      <c r="G524" s="4" t="s">
        <v>134</v>
      </c>
      <c r="H524" s="4" t="s">
        <v>71</v>
      </c>
      <c r="I524" s="90">
        <v>221.8</v>
      </c>
      <c r="J524" s="4" t="s">
        <v>618</v>
      </c>
      <c r="K524" s="15">
        <v>45855</v>
      </c>
      <c r="L524" s="4">
        <v>2025402157</v>
      </c>
      <c r="M524" s="28" t="s">
        <v>225</v>
      </c>
      <c r="N524" s="4">
        <v>2025</v>
      </c>
    </row>
    <row r="525" spans="1:14">
      <c r="A525" s="4">
        <v>524</v>
      </c>
      <c r="B525" s="4" t="s">
        <v>53</v>
      </c>
      <c r="C525" s="4" t="s">
        <v>62</v>
      </c>
      <c r="D525" s="4" t="s">
        <v>61</v>
      </c>
      <c r="E525" s="28" t="s">
        <v>71</v>
      </c>
      <c r="G525" s="4" t="s">
        <v>134</v>
      </c>
      <c r="H525" s="4" t="s">
        <v>71</v>
      </c>
      <c r="I525" s="90">
        <v>456</v>
      </c>
      <c r="J525" s="4" t="s">
        <v>619</v>
      </c>
      <c r="K525" s="15">
        <v>45855</v>
      </c>
      <c r="L525" s="4">
        <v>2025402154</v>
      </c>
      <c r="M525" s="28" t="s">
        <v>225</v>
      </c>
      <c r="N525" s="4">
        <v>2025</v>
      </c>
    </row>
    <row r="526" spans="1:14">
      <c r="A526" s="4">
        <v>525</v>
      </c>
      <c r="B526" s="4" t="s">
        <v>53</v>
      </c>
      <c r="C526" s="4" t="s">
        <v>62</v>
      </c>
      <c r="D526" s="4" t="s">
        <v>61</v>
      </c>
      <c r="E526" s="4" t="s">
        <v>71</v>
      </c>
      <c r="G526" s="4" t="s">
        <v>134</v>
      </c>
      <c r="H526" s="4" t="s">
        <v>71</v>
      </c>
      <c r="I526" s="90">
        <v>5658.2</v>
      </c>
      <c r="J526" s="4" t="s">
        <v>620</v>
      </c>
      <c r="K526" s="15">
        <v>45850</v>
      </c>
      <c r="L526" s="4">
        <v>2025402139</v>
      </c>
      <c r="M526" s="28" t="s">
        <v>225</v>
      </c>
      <c r="N526" s="4">
        <v>2025</v>
      </c>
    </row>
    <row r="527" spans="1:14">
      <c r="A527" s="4">
        <v>526</v>
      </c>
      <c r="B527" s="4" t="s">
        <v>29</v>
      </c>
      <c r="C527" s="4" t="s">
        <v>237</v>
      </c>
      <c r="D527" s="4" t="s">
        <v>61</v>
      </c>
      <c r="E527" s="28" t="s">
        <v>71</v>
      </c>
      <c r="G527" s="4" t="s">
        <v>134</v>
      </c>
      <c r="H527" s="4" t="s">
        <v>71</v>
      </c>
      <c r="I527" s="90">
        <v>1109</v>
      </c>
      <c r="J527" s="4" t="s">
        <v>621</v>
      </c>
      <c r="K527" s="15">
        <v>45855</v>
      </c>
      <c r="L527" s="4">
        <v>2025402234</v>
      </c>
      <c r="M527" s="28" t="s">
        <v>225</v>
      </c>
      <c r="N527" s="4">
        <v>2025</v>
      </c>
    </row>
    <row r="528" spans="1:14">
      <c r="A528" s="4">
        <v>527</v>
      </c>
      <c r="B528" s="4" t="s">
        <v>35</v>
      </c>
      <c r="C528" s="4" t="s">
        <v>37</v>
      </c>
      <c r="D528" s="4" t="s">
        <v>61</v>
      </c>
      <c r="E528" s="28" t="s">
        <v>71</v>
      </c>
      <c r="G528" s="4" t="s">
        <v>134</v>
      </c>
      <c r="H528" s="4" t="s">
        <v>71</v>
      </c>
      <c r="I528" s="90">
        <v>80</v>
      </c>
      <c r="J528" s="4" t="s">
        <v>622</v>
      </c>
      <c r="K528" s="15">
        <v>45855</v>
      </c>
      <c r="L528" s="4">
        <v>2025402192</v>
      </c>
      <c r="M528" s="28" t="s">
        <v>225</v>
      </c>
      <c r="N528" s="4">
        <v>2025</v>
      </c>
    </row>
    <row r="529" spans="1:14">
      <c r="A529" s="4">
        <v>528</v>
      </c>
      <c r="B529" s="4" t="s">
        <v>43</v>
      </c>
      <c r="C529" s="4" t="s">
        <v>51</v>
      </c>
      <c r="D529" s="4" t="s">
        <v>61</v>
      </c>
      <c r="E529" s="28" t="s">
        <v>71</v>
      </c>
      <c r="G529" s="4" t="s">
        <v>134</v>
      </c>
      <c r="H529" s="4" t="s">
        <v>71</v>
      </c>
      <c r="I529" s="90">
        <v>2318</v>
      </c>
      <c r="J529" s="4" t="s">
        <v>623</v>
      </c>
      <c r="K529" s="15">
        <v>45855</v>
      </c>
      <c r="L529" s="4">
        <v>2025402243</v>
      </c>
      <c r="M529" s="28" t="s">
        <v>225</v>
      </c>
      <c r="N529" s="4">
        <v>2025</v>
      </c>
    </row>
    <row r="530" spans="1:14">
      <c r="A530" s="4">
        <v>529</v>
      </c>
      <c r="B530" s="4" t="s">
        <v>43</v>
      </c>
      <c r="C530" s="4" t="s">
        <v>50</v>
      </c>
      <c r="D530" s="4" t="s">
        <v>61</v>
      </c>
      <c r="E530" s="28" t="s">
        <v>71</v>
      </c>
      <c r="G530" s="4" t="s">
        <v>134</v>
      </c>
      <c r="H530" s="4" t="s">
        <v>71</v>
      </c>
      <c r="I530" s="90">
        <v>1567</v>
      </c>
      <c r="J530" s="4" t="s">
        <v>624</v>
      </c>
      <c r="K530" s="15">
        <v>45855</v>
      </c>
      <c r="L530" s="4">
        <v>2025402194</v>
      </c>
      <c r="M530" s="28" t="s">
        <v>225</v>
      </c>
      <c r="N530" s="4">
        <v>2025</v>
      </c>
    </row>
    <row r="531" spans="1:14">
      <c r="A531" s="4">
        <v>530</v>
      </c>
      <c r="B531" s="4" t="s">
        <v>43</v>
      </c>
      <c r="C531" s="4" t="s">
        <v>51</v>
      </c>
      <c r="D531" s="4" t="s">
        <v>61</v>
      </c>
      <c r="E531" s="28" t="s">
        <v>71</v>
      </c>
      <c r="G531" s="4" t="s">
        <v>134</v>
      </c>
      <c r="H531" s="4" t="s">
        <v>71</v>
      </c>
      <c r="I531" s="90">
        <v>668</v>
      </c>
      <c r="J531" s="4" t="s">
        <v>625</v>
      </c>
      <c r="K531" s="15">
        <v>45855</v>
      </c>
      <c r="L531" s="4">
        <v>2025402193</v>
      </c>
      <c r="M531" s="28" t="s">
        <v>225</v>
      </c>
      <c r="N531" s="4">
        <v>2025</v>
      </c>
    </row>
    <row r="532" spans="1:14">
      <c r="A532" s="4">
        <v>531</v>
      </c>
      <c r="B532" s="4" t="s">
        <v>273</v>
      </c>
      <c r="C532" s="4" t="s">
        <v>98</v>
      </c>
      <c r="D532" s="4" t="s">
        <v>61</v>
      </c>
      <c r="E532" s="4" t="s">
        <v>71</v>
      </c>
      <c r="G532" s="4" t="s">
        <v>134</v>
      </c>
      <c r="H532" s="4" t="s">
        <v>71</v>
      </c>
      <c r="I532" s="90">
        <v>780</v>
      </c>
      <c r="J532" s="4" t="s">
        <v>626</v>
      </c>
      <c r="K532" s="15">
        <v>45855</v>
      </c>
      <c r="L532" s="4">
        <v>2025402217</v>
      </c>
      <c r="M532" s="28" t="s">
        <v>225</v>
      </c>
      <c r="N532" s="4">
        <v>2025</v>
      </c>
    </row>
    <row r="533" spans="1:14">
      <c r="A533" s="4">
        <v>532</v>
      </c>
      <c r="B533" s="4" t="s">
        <v>273</v>
      </c>
      <c r="C533" s="4" t="s">
        <v>56</v>
      </c>
      <c r="D533" s="4" t="s">
        <v>61</v>
      </c>
      <c r="E533" s="28" t="s">
        <v>71</v>
      </c>
      <c r="G533" s="4" t="s">
        <v>134</v>
      </c>
      <c r="H533" s="4" t="s">
        <v>71</v>
      </c>
      <c r="I533" s="90">
        <v>795</v>
      </c>
      <c r="J533" s="4" t="s">
        <v>627</v>
      </c>
      <c r="K533" s="15">
        <v>45855</v>
      </c>
      <c r="L533" s="4">
        <v>2025402228</v>
      </c>
      <c r="M533" s="28" t="s">
        <v>225</v>
      </c>
      <c r="N533" s="4">
        <v>2025</v>
      </c>
    </row>
    <row r="534" spans="1:14">
      <c r="A534" s="4">
        <v>533</v>
      </c>
      <c r="B534" s="4" t="s">
        <v>17</v>
      </c>
      <c r="C534" s="4" t="s">
        <v>25</v>
      </c>
      <c r="D534" s="4" t="s">
        <v>61</v>
      </c>
      <c r="E534" s="28" t="s">
        <v>71</v>
      </c>
      <c r="G534" s="4" t="s">
        <v>134</v>
      </c>
      <c r="H534" s="4" t="s">
        <v>71</v>
      </c>
      <c r="I534" s="90">
        <v>1507.5</v>
      </c>
      <c r="J534" s="4" t="s">
        <v>628</v>
      </c>
      <c r="K534" s="15">
        <v>45855</v>
      </c>
      <c r="L534" s="4">
        <v>2025402248</v>
      </c>
      <c r="M534" s="28" t="s">
        <v>225</v>
      </c>
      <c r="N534" s="4">
        <v>2025</v>
      </c>
    </row>
    <row r="535" spans="1:14">
      <c r="A535" s="4">
        <v>534</v>
      </c>
      <c r="B535" s="4" t="s">
        <v>53</v>
      </c>
      <c r="C535" s="4" t="s">
        <v>62</v>
      </c>
      <c r="D535" s="4" t="s">
        <v>61</v>
      </c>
      <c r="E535" s="4" t="s">
        <v>71</v>
      </c>
      <c r="G535" s="4" t="s">
        <v>134</v>
      </c>
      <c r="H535" s="4" t="s">
        <v>71</v>
      </c>
      <c r="I535" s="90">
        <v>214</v>
      </c>
      <c r="J535" s="4" t="s">
        <v>674</v>
      </c>
      <c r="K535" s="15">
        <v>45865</v>
      </c>
      <c r="L535" s="4">
        <v>2025402359</v>
      </c>
      <c r="M535" s="28" t="s">
        <v>225</v>
      </c>
      <c r="N535" s="4">
        <v>2025</v>
      </c>
    </row>
    <row r="536" spans="1:14">
      <c r="A536" s="4">
        <v>535</v>
      </c>
      <c r="B536" s="4" t="s">
        <v>43</v>
      </c>
      <c r="C536" s="4" t="s">
        <v>44</v>
      </c>
      <c r="D536" s="4" t="s">
        <v>61</v>
      </c>
      <c r="E536" s="4" t="s">
        <v>71</v>
      </c>
      <c r="G536" s="4" t="s">
        <v>134</v>
      </c>
      <c r="H536" s="4" t="s">
        <v>71</v>
      </c>
      <c r="I536" s="90">
        <v>1364</v>
      </c>
      <c r="J536" s="4" t="s">
        <v>679</v>
      </c>
      <c r="K536" s="15">
        <v>45865</v>
      </c>
      <c r="L536" s="4">
        <v>2025402348</v>
      </c>
      <c r="M536" s="28" t="s">
        <v>225</v>
      </c>
      <c r="N536" s="4">
        <v>2025</v>
      </c>
    </row>
    <row r="537" spans="1:14">
      <c r="A537" s="4">
        <v>536</v>
      </c>
      <c r="B537" s="4" t="s">
        <v>43</v>
      </c>
      <c r="C537" s="4" t="s">
        <v>50</v>
      </c>
      <c r="D537" s="4" t="s">
        <v>61</v>
      </c>
      <c r="E537" s="28" t="s">
        <v>71</v>
      </c>
      <c r="G537" s="4" t="s">
        <v>134</v>
      </c>
      <c r="H537" s="4" t="s">
        <v>71</v>
      </c>
      <c r="I537" s="90">
        <v>135</v>
      </c>
      <c r="J537" s="4" t="s">
        <v>688</v>
      </c>
      <c r="K537" s="15">
        <v>45855</v>
      </c>
      <c r="L537" s="4">
        <v>2025402158</v>
      </c>
      <c r="M537" s="28" t="s">
        <v>225</v>
      </c>
      <c r="N537" s="4">
        <v>2025</v>
      </c>
    </row>
    <row r="538" spans="1:14">
      <c r="A538" s="4">
        <v>537</v>
      </c>
      <c r="B538" s="4" t="s">
        <v>29</v>
      </c>
      <c r="C538" s="4" t="s">
        <v>237</v>
      </c>
      <c r="D538" s="4" t="s">
        <v>61</v>
      </c>
      <c r="E538" s="28" t="s">
        <v>71</v>
      </c>
      <c r="G538" s="4" t="s">
        <v>134</v>
      </c>
      <c r="H538" s="4" t="s">
        <v>71</v>
      </c>
      <c r="I538" s="90">
        <v>1700</v>
      </c>
      <c r="J538" s="4" t="s">
        <v>689</v>
      </c>
      <c r="K538" s="15">
        <v>45865</v>
      </c>
      <c r="L538" s="4">
        <v>2025402351</v>
      </c>
      <c r="M538" s="28" t="s">
        <v>225</v>
      </c>
      <c r="N538" s="4">
        <v>2025</v>
      </c>
    </row>
    <row r="539" spans="1:14">
      <c r="A539" s="4">
        <v>538</v>
      </c>
      <c r="B539" s="4" t="s">
        <v>53</v>
      </c>
      <c r="C539" s="4" t="s">
        <v>62</v>
      </c>
      <c r="D539" s="4" t="s">
        <v>61</v>
      </c>
      <c r="E539" s="28" t="s">
        <v>71</v>
      </c>
      <c r="G539" s="4" t="s">
        <v>134</v>
      </c>
      <c r="H539" s="4" t="s">
        <v>71</v>
      </c>
      <c r="I539" s="90">
        <v>2293</v>
      </c>
      <c r="J539" s="4" t="s">
        <v>690</v>
      </c>
      <c r="K539" s="15">
        <v>45865</v>
      </c>
      <c r="L539" s="4">
        <v>2025402353</v>
      </c>
      <c r="M539" s="28" t="s">
        <v>225</v>
      </c>
      <c r="N539" s="4">
        <v>2025</v>
      </c>
    </row>
    <row r="540" spans="1:14">
      <c r="A540" s="4">
        <v>539</v>
      </c>
      <c r="B540" s="4" t="s">
        <v>35</v>
      </c>
      <c r="C540" s="4" t="s">
        <v>37</v>
      </c>
      <c r="D540" s="4" t="s">
        <v>61</v>
      </c>
      <c r="E540" s="28" t="s">
        <v>71</v>
      </c>
      <c r="G540" s="4" t="s">
        <v>134</v>
      </c>
      <c r="H540" s="4" t="s">
        <v>71</v>
      </c>
      <c r="I540" s="90">
        <v>1200</v>
      </c>
      <c r="J540" s="4" t="s">
        <v>691</v>
      </c>
      <c r="K540" s="15">
        <v>45865</v>
      </c>
      <c r="L540" s="4">
        <v>2025402355</v>
      </c>
      <c r="M540" s="28" t="s">
        <v>225</v>
      </c>
      <c r="N540" s="4">
        <v>2025</v>
      </c>
    </row>
    <row r="541" spans="1:14">
      <c r="A541" s="4">
        <v>540</v>
      </c>
      <c r="B541" s="4" t="s">
        <v>35</v>
      </c>
      <c r="C541" s="4" t="s">
        <v>39</v>
      </c>
      <c r="D541" s="4" t="s">
        <v>61</v>
      </c>
      <c r="E541" s="28" t="s">
        <v>71</v>
      </c>
      <c r="G541" s="4" t="s">
        <v>134</v>
      </c>
      <c r="H541" s="4" t="s">
        <v>71</v>
      </c>
      <c r="I541" s="90">
        <v>438</v>
      </c>
      <c r="J541" s="4" t="s">
        <v>692</v>
      </c>
      <c r="K541" s="15">
        <v>45865</v>
      </c>
      <c r="L541" s="4">
        <v>2025402357</v>
      </c>
      <c r="M541" s="28" t="s">
        <v>225</v>
      </c>
      <c r="N541" s="4">
        <v>2025</v>
      </c>
    </row>
    <row r="542" spans="1:14">
      <c r="A542" s="4">
        <v>541</v>
      </c>
      <c r="B542" s="4" t="s">
        <v>43</v>
      </c>
      <c r="C542" s="4" t="s">
        <v>52</v>
      </c>
      <c r="D542" s="4" t="s">
        <v>61</v>
      </c>
      <c r="E542" s="28" t="s">
        <v>71</v>
      </c>
      <c r="G542" s="4" t="s">
        <v>134</v>
      </c>
      <c r="H542" s="4" t="s">
        <v>71</v>
      </c>
      <c r="I542" s="90">
        <v>799.5</v>
      </c>
      <c r="J542" s="4" t="s">
        <v>714</v>
      </c>
      <c r="K542" s="15">
        <v>45855</v>
      </c>
      <c r="L542" s="4">
        <v>2025402230</v>
      </c>
      <c r="M542" s="28" t="s">
        <v>225</v>
      </c>
      <c r="N542" s="4">
        <v>2025</v>
      </c>
    </row>
    <row r="543" spans="1:14">
      <c r="A543" s="4">
        <v>542</v>
      </c>
      <c r="B543" s="4" t="s">
        <v>55</v>
      </c>
      <c r="C543" s="4" t="s">
        <v>56</v>
      </c>
      <c r="D543" s="4" t="s">
        <v>61</v>
      </c>
      <c r="E543" s="28" t="s">
        <v>71</v>
      </c>
      <c r="G543" s="4" t="s">
        <v>134</v>
      </c>
      <c r="H543" s="4" t="s">
        <v>71</v>
      </c>
      <c r="I543" s="90">
        <v>1002.2</v>
      </c>
      <c r="J543" s="4" t="s">
        <v>730</v>
      </c>
      <c r="K543" s="15">
        <v>45867</v>
      </c>
      <c r="L543" s="4">
        <v>2025402391</v>
      </c>
      <c r="M543" s="28" t="s">
        <v>225</v>
      </c>
      <c r="N543" s="4">
        <v>2025</v>
      </c>
    </row>
    <row r="544" spans="1:14">
      <c r="A544" s="4">
        <v>543</v>
      </c>
      <c r="B544" s="4" t="s">
        <v>53</v>
      </c>
      <c r="C544" s="4" t="s">
        <v>62</v>
      </c>
      <c r="D544" s="4" t="s">
        <v>61</v>
      </c>
      <c r="E544" s="28" t="s">
        <v>71</v>
      </c>
      <c r="G544" s="4" t="s">
        <v>134</v>
      </c>
      <c r="H544" s="4" t="s">
        <v>71</v>
      </c>
      <c r="I544" s="90">
        <v>304</v>
      </c>
      <c r="J544" s="4" t="s">
        <v>732</v>
      </c>
      <c r="K544" s="15">
        <v>45872</v>
      </c>
      <c r="L544" s="4">
        <v>2025402415</v>
      </c>
      <c r="M544" s="28" t="s">
        <v>226</v>
      </c>
      <c r="N544" s="4">
        <v>2025</v>
      </c>
    </row>
    <row r="545" spans="1:14">
      <c r="A545" s="4">
        <v>544</v>
      </c>
      <c r="B545" s="4" t="s">
        <v>17</v>
      </c>
      <c r="C545" s="4" t="s">
        <v>23</v>
      </c>
      <c r="D545" s="4" t="s">
        <v>61</v>
      </c>
      <c r="E545" s="28" t="s">
        <v>71</v>
      </c>
      <c r="G545" s="4" t="s">
        <v>134</v>
      </c>
      <c r="H545" s="4" t="s">
        <v>71</v>
      </c>
      <c r="I545" s="90">
        <v>453.6</v>
      </c>
      <c r="J545" s="4" t="s">
        <v>734</v>
      </c>
      <c r="K545" s="15">
        <v>45865</v>
      </c>
      <c r="L545" s="4">
        <v>2025402335</v>
      </c>
      <c r="M545" s="28" t="s">
        <v>225</v>
      </c>
      <c r="N545" s="4">
        <v>2025</v>
      </c>
    </row>
    <row r="546" spans="1:14">
      <c r="A546" s="4">
        <v>545</v>
      </c>
      <c r="B546" s="28" t="s">
        <v>55</v>
      </c>
      <c r="C546" s="28" t="s">
        <v>56</v>
      </c>
      <c r="D546" s="4" t="s">
        <v>61</v>
      </c>
      <c r="E546" s="4" t="s">
        <v>71</v>
      </c>
      <c r="G546" s="4" t="s">
        <v>134</v>
      </c>
      <c r="H546" s="4" t="s">
        <v>71</v>
      </c>
      <c r="I546" s="90">
        <v>2437.1999999999998</v>
      </c>
      <c r="J546" s="4" t="s">
        <v>742</v>
      </c>
      <c r="K546" s="15">
        <v>45873</v>
      </c>
      <c r="L546" s="4">
        <v>2025402267</v>
      </c>
      <c r="M546" s="28" t="s">
        <v>226</v>
      </c>
      <c r="N546" s="4">
        <v>2025</v>
      </c>
    </row>
    <row r="547" spans="1:14">
      <c r="A547" s="4">
        <v>546</v>
      </c>
      <c r="B547" s="28" t="s">
        <v>55</v>
      </c>
      <c r="C547" s="28" t="s">
        <v>56</v>
      </c>
      <c r="D547" s="4" t="s">
        <v>61</v>
      </c>
      <c r="E547" s="4" t="s">
        <v>71</v>
      </c>
      <c r="G547" s="4" t="s">
        <v>134</v>
      </c>
      <c r="H547" s="4" t="s">
        <v>71</v>
      </c>
      <c r="I547" s="90">
        <v>2350</v>
      </c>
      <c r="J547" s="4" t="s">
        <v>743</v>
      </c>
      <c r="K547" s="15">
        <v>45855</v>
      </c>
      <c r="L547" s="4">
        <v>2025402227</v>
      </c>
      <c r="M547" s="28" t="s">
        <v>225</v>
      </c>
      <c r="N547" s="4">
        <v>2025</v>
      </c>
    </row>
    <row r="548" spans="1:14">
      <c r="A548" s="4">
        <v>547</v>
      </c>
      <c r="B548" s="4" t="s">
        <v>43</v>
      </c>
      <c r="C548" s="4" t="s">
        <v>52</v>
      </c>
      <c r="D548" s="4" t="s">
        <v>61</v>
      </c>
      <c r="E548" s="28" t="s">
        <v>71</v>
      </c>
      <c r="G548" s="4" t="s">
        <v>134</v>
      </c>
      <c r="H548" s="4" t="s">
        <v>71</v>
      </c>
      <c r="I548" s="90">
        <v>1200</v>
      </c>
      <c r="J548" s="4" t="s">
        <v>757</v>
      </c>
      <c r="K548" s="15">
        <v>45873</v>
      </c>
      <c r="L548" s="4">
        <v>2025402544</v>
      </c>
      <c r="M548" s="28" t="s">
        <v>226</v>
      </c>
      <c r="N548" s="4">
        <v>2025</v>
      </c>
    </row>
    <row r="549" spans="1:14">
      <c r="A549" s="4">
        <v>548</v>
      </c>
      <c r="B549" s="28" t="s">
        <v>55</v>
      </c>
      <c r="C549" s="28" t="s">
        <v>98</v>
      </c>
      <c r="D549" s="4" t="s">
        <v>61</v>
      </c>
      <c r="E549" s="4" t="s">
        <v>71</v>
      </c>
      <c r="G549" s="4" t="s">
        <v>134</v>
      </c>
      <c r="H549" s="4" t="s">
        <v>71</v>
      </c>
      <c r="I549" s="90">
        <v>259.5</v>
      </c>
      <c r="J549" s="4" t="s">
        <v>758</v>
      </c>
      <c r="K549" s="15">
        <v>45873</v>
      </c>
      <c r="L549" s="4">
        <v>2025402507</v>
      </c>
      <c r="M549" s="28" t="s">
        <v>226</v>
      </c>
      <c r="N549" s="4">
        <v>2025</v>
      </c>
    </row>
    <row r="550" spans="1:14">
      <c r="A550" s="4">
        <v>549</v>
      </c>
      <c r="B550" s="4" t="s">
        <v>53</v>
      </c>
      <c r="C550" s="4" t="s">
        <v>62</v>
      </c>
      <c r="D550" s="4" t="s">
        <v>61</v>
      </c>
      <c r="E550" s="28" t="s">
        <v>71</v>
      </c>
      <c r="G550" s="4" t="s">
        <v>134</v>
      </c>
      <c r="H550" s="4" t="s">
        <v>71</v>
      </c>
      <c r="I550" s="90">
        <v>412</v>
      </c>
      <c r="J550" s="4" t="s">
        <v>759</v>
      </c>
      <c r="K550" s="15">
        <v>45873</v>
      </c>
      <c r="L550" s="4">
        <v>2025402484</v>
      </c>
      <c r="M550" s="28" t="s">
        <v>226</v>
      </c>
      <c r="N550" s="4">
        <v>2025</v>
      </c>
    </row>
    <row r="551" spans="1:14">
      <c r="A551" s="4">
        <v>550</v>
      </c>
      <c r="B551" s="4" t="s">
        <v>55</v>
      </c>
      <c r="C551" s="4" t="s">
        <v>98</v>
      </c>
      <c r="D551" s="4" t="s">
        <v>61</v>
      </c>
      <c r="E551" s="28" t="s">
        <v>71</v>
      </c>
      <c r="G551" s="4" t="s">
        <v>134</v>
      </c>
      <c r="H551" s="4" t="s">
        <v>71</v>
      </c>
      <c r="I551" s="90">
        <v>698.4</v>
      </c>
      <c r="J551" s="4" t="s">
        <v>760</v>
      </c>
      <c r="K551" s="15">
        <v>45872</v>
      </c>
      <c r="L551" s="4">
        <v>2025402337</v>
      </c>
      <c r="M551" s="28" t="s">
        <v>226</v>
      </c>
      <c r="N551" s="4">
        <v>2025</v>
      </c>
    </row>
    <row r="552" spans="1:14">
      <c r="A552" s="4">
        <v>551</v>
      </c>
      <c r="B552" s="4" t="s">
        <v>43</v>
      </c>
      <c r="C552" s="4" t="s">
        <v>45</v>
      </c>
      <c r="D552" s="4" t="s">
        <v>61</v>
      </c>
      <c r="E552" s="28" t="s">
        <v>71</v>
      </c>
      <c r="G552" s="4" t="s">
        <v>134</v>
      </c>
      <c r="H552" s="4" t="s">
        <v>71</v>
      </c>
      <c r="I552" s="90">
        <v>1012</v>
      </c>
      <c r="J552" s="4" t="s">
        <v>761</v>
      </c>
      <c r="K552" s="15">
        <v>45872</v>
      </c>
      <c r="L552" s="4">
        <v>2025402320</v>
      </c>
      <c r="M552" s="28" t="s">
        <v>226</v>
      </c>
      <c r="N552" s="4">
        <v>2025</v>
      </c>
    </row>
    <row r="553" spans="1:14">
      <c r="A553" s="4">
        <v>552</v>
      </c>
      <c r="B553" s="28" t="s">
        <v>43</v>
      </c>
      <c r="C553" s="28" t="s">
        <v>51</v>
      </c>
      <c r="D553" s="4" t="s">
        <v>61</v>
      </c>
      <c r="E553" s="4" t="s">
        <v>71</v>
      </c>
      <c r="G553" s="4" t="s">
        <v>134</v>
      </c>
      <c r="H553" s="4" t="s">
        <v>71</v>
      </c>
      <c r="I553" s="41">
        <v>683.5</v>
      </c>
      <c r="J553" s="4" t="s">
        <v>762</v>
      </c>
      <c r="K553" s="15">
        <v>45872</v>
      </c>
      <c r="L553" s="4">
        <v>2025402321</v>
      </c>
      <c r="M553" s="28" t="s">
        <v>226</v>
      </c>
      <c r="N553" s="4">
        <v>2025</v>
      </c>
    </row>
    <row r="554" spans="1:14">
      <c r="A554" s="4">
        <v>553</v>
      </c>
      <c r="B554" s="4" t="s">
        <v>55</v>
      </c>
      <c r="C554" s="4" t="s">
        <v>98</v>
      </c>
      <c r="D554" s="4" t="s">
        <v>61</v>
      </c>
      <c r="E554" s="4" t="s">
        <v>71</v>
      </c>
      <c r="G554" s="4" t="s">
        <v>134</v>
      </c>
      <c r="H554" s="4" t="s">
        <v>71</v>
      </c>
      <c r="I554" s="90">
        <v>1160.7</v>
      </c>
      <c r="J554" s="4" t="s">
        <v>763</v>
      </c>
      <c r="K554" s="15">
        <v>45872</v>
      </c>
      <c r="L554" s="4">
        <v>2025402430</v>
      </c>
      <c r="M554" s="28" t="s">
        <v>226</v>
      </c>
      <c r="N554" s="4">
        <v>2025</v>
      </c>
    </row>
    <row r="555" spans="1:14">
      <c r="A555" s="4">
        <v>554</v>
      </c>
      <c r="B555" s="4" t="s">
        <v>53</v>
      </c>
      <c r="C555" s="4" t="s">
        <v>62</v>
      </c>
      <c r="D555" s="4" t="s">
        <v>61</v>
      </c>
      <c r="E555" s="28" t="s">
        <v>71</v>
      </c>
      <c r="G555" s="4" t="s">
        <v>134</v>
      </c>
      <c r="H555" s="4" t="s">
        <v>71</v>
      </c>
      <c r="I555" s="90">
        <v>80</v>
      </c>
      <c r="J555" s="4" t="s">
        <v>764</v>
      </c>
      <c r="K555" s="15">
        <v>45872</v>
      </c>
      <c r="L555" s="4">
        <v>2025402428</v>
      </c>
      <c r="M555" s="28" t="s">
        <v>226</v>
      </c>
      <c r="N555" s="4">
        <v>2025</v>
      </c>
    </row>
    <row r="556" spans="1:14">
      <c r="A556" s="4">
        <v>555</v>
      </c>
      <c r="B556" s="4" t="s">
        <v>29</v>
      </c>
      <c r="C556" s="4" t="s">
        <v>237</v>
      </c>
      <c r="D556" s="4" t="s">
        <v>61</v>
      </c>
      <c r="E556" s="28" t="s">
        <v>71</v>
      </c>
      <c r="G556" s="4" t="s">
        <v>134</v>
      </c>
      <c r="H556" s="4" t="s">
        <v>71</v>
      </c>
      <c r="I556" s="90">
        <v>3388.5</v>
      </c>
      <c r="J556" s="4" t="s">
        <v>765</v>
      </c>
      <c r="K556" s="15">
        <v>45872</v>
      </c>
      <c r="L556" s="4">
        <v>2025402324</v>
      </c>
      <c r="M556" s="28" t="s">
        <v>226</v>
      </c>
      <c r="N556" s="4">
        <v>2025</v>
      </c>
    </row>
    <row r="557" spans="1:14">
      <c r="A557" s="4">
        <v>556</v>
      </c>
      <c r="B557" s="4" t="s">
        <v>17</v>
      </c>
      <c r="C557" s="4" t="s">
        <v>23</v>
      </c>
      <c r="D557" s="4" t="s">
        <v>61</v>
      </c>
      <c r="E557" s="28" t="s">
        <v>71</v>
      </c>
      <c r="G557" s="4" t="s">
        <v>134</v>
      </c>
      <c r="H557" s="4" t="s">
        <v>71</v>
      </c>
      <c r="I557" s="90">
        <v>380</v>
      </c>
      <c r="J557" s="4" t="s">
        <v>766</v>
      </c>
      <c r="K557" s="15">
        <v>45872</v>
      </c>
      <c r="L557" s="4">
        <v>2025402401</v>
      </c>
      <c r="M557" s="28" t="s">
        <v>226</v>
      </c>
      <c r="N557" s="4">
        <v>2025</v>
      </c>
    </row>
    <row r="558" spans="1:14">
      <c r="A558" s="4">
        <v>557</v>
      </c>
      <c r="B558" s="4" t="s">
        <v>17</v>
      </c>
      <c r="C558" s="4" t="s">
        <v>22</v>
      </c>
      <c r="D558" s="4" t="s">
        <v>61</v>
      </c>
      <c r="E558" s="28" t="s">
        <v>71</v>
      </c>
      <c r="G558" s="4" t="s">
        <v>134</v>
      </c>
      <c r="H558" s="4" t="s">
        <v>71</v>
      </c>
      <c r="I558" s="90">
        <v>2569</v>
      </c>
      <c r="J558" s="4" t="s">
        <v>767</v>
      </c>
      <c r="K558" s="15">
        <v>45867</v>
      </c>
      <c r="L558" s="4">
        <v>2025402295</v>
      </c>
      <c r="M558" s="28" t="s">
        <v>225</v>
      </c>
      <c r="N558" s="4">
        <v>2025</v>
      </c>
    </row>
    <row r="559" spans="1:14">
      <c r="A559" s="4">
        <v>558</v>
      </c>
      <c r="B559" s="4" t="s">
        <v>53</v>
      </c>
      <c r="C559" s="4" t="s">
        <v>62</v>
      </c>
      <c r="D559" s="4" t="s">
        <v>61</v>
      </c>
      <c r="E559" s="28" t="s">
        <v>71</v>
      </c>
      <c r="G559" s="4" t="s">
        <v>134</v>
      </c>
      <c r="H559" s="4" t="s">
        <v>71</v>
      </c>
      <c r="I559" s="90">
        <v>2850</v>
      </c>
      <c r="J559" s="4" t="s">
        <v>768</v>
      </c>
      <c r="K559" s="15">
        <v>45865</v>
      </c>
      <c r="L559" s="4">
        <v>2025402358</v>
      </c>
      <c r="M559" s="28" t="s">
        <v>225</v>
      </c>
      <c r="N559" s="4">
        <v>2025</v>
      </c>
    </row>
    <row r="560" spans="1:14">
      <c r="A560" s="4">
        <v>559</v>
      </c>
      <c r="B560" s="4" t="s">
        <v>55</v>
      </c>
      <c r="C560" s="4" t="s">
        <v>98</v>
      </c>
      <c r="D560" s="4" t="s">
        <v>61</v>
      </c>
      <c r="E560" s="28" t="s">
        <v>71</v>
      </c>
      <c r="G560" s="4" t="s">
        <v>134</v>
      </c>
      <c r="H560" s="4" t="s">
        <v>71</v>
      </c>
      <c r="I560" s="90">
        <v>2835</v>
      </c>
      <c r="J560" s="4" t="s">
        <v>769</v>
      </c>
      <c r="K560" s="15">
        <v>45867</v>
      </c>
      <c r="L560" s="4">
        <v>2025402361</v>
      </c>
      <c r="M560" s="28" t="s">
        <v>225</v>
      </c>
      <c r="N560" s="4">
        <v>2025</v>
      </c>
    </row>
    <row r="561" spans="1:14">
      <c r="A561" s="4">
        <v>560</v>
      </c>
      <c r="B561" s="4" t="s">
        <v>59</v>
      </c>
      <c r="C561" s="4" t="s">
        <v>60</v>
      </c>
      <c r="D561" s="4" t="s">
        <v>61</v>
      </c>
      <c r="E561" s="28" t="s">
        <v>71</v>
      </c>
      <c r="G561" s="4" t="s">
        <v>134</v>
      </c>
      <c r="H561" s="4" t="s">
        <v>71</v>
      </c>
      <c r="I561" s="90">
        <v>3082.1</v>
      </c>
      <c r="J561" s="4" t="s">
        <v>770</v>
      </c>
      <c r="K561" s="15">
        <v>45867</v>
      </c>
      <c r="L561" s="4">
        <v>2025402311</v>
      </c>
      <c r="M561" s="28" t="s">
        <v>225</v>
      </c>
      <c r="N561" s="4">
        <v>2025</v>
      </c>
    </row>
    <row r="562" spans="1:14">
      <c r="A562" s="4">
        <v>561</v>
      </c>
      <c r="B562" s="4" t="s">
        <v>59</v>
      </c>
      <c r="C562" s="4" t="s">
        <v>60</v>
      </c>
      <c r="D562" s="4" t="s">
        <v>61</v>
      </c>
      <c r="E562" s="28" t="s">
        <v>71</v>
      </c>
      <c r="G562" s="4" t="s">
        <v>134</v>
      </c>
      <c r="H562" s="4" t="s">
        <v>71</v>
      </c>
      <c r="I562" s="90">
        <v>3470.4</v>
      </c>
      <c r="J562" s="4" t="s">
        <v>771</v>
      </c>
      <c r="K562" s="15">
        <v>45867</v>
      </c>
      <c r="L562" s="4">
        <v>2025402283</v>
      </c>
      <c r="M562" s="28" t="s">
        <v>225</v>
      </c>
      <c r="N562" s="4">
        <v>2025</v>
      </c>
    </row>
    <row r="563" spans="1:14">
      <c r="A563" s="4">
        <v>562</v>
      </c>
      <c r="B563" s="4" t="s">
        <v>53</v>
      </c>
      <c r="C563" s="4" t="s">
        <v>62</v>
      </c>
      <c r="D563" s="4" t="s">
        <v>61</v>
      </c>
      <c r="E563" s="4" t="s">
        <v>71</v>
      </c>
      <c r="G563" s="4" t="s">
        <v>134</v>
      </c>
      <c r="H563" s="4" t="s">
        <v>71</v>
      </c>
      <c r="I563" s="90">
        <v>825</v>
      </c>
      <c r="J563" s="4" t="s">
        <v>772</v>
      </c>
      <c r="K563" s="15">
        <v>45872</v>
      </c>
      <c r="L563" s="4">
        <v>2025402310</v>
      </c>
      <c r="M563" s="28" t="s">
        <v>226</v>
      </c>
      <c r="N563" s="4">
        <v>2025</v>
      </c>
    </row>
    <row r="564" spans="1:14">
      <c r="A564" s="4">
        <v>563</v>
      </c>
      <c r="B564" s="4" t="s">
        <v>17</v>
      </c>
      <c r="C564" s="4" t="s">
        <v>22</v>
      </c>
      <c r="D564" s="4" t="s">
        <v>61</v>
      </c>
      <c r="E564" s="28" t="s">
        <v>71</v>
      </c>
      <c r="G564" s="4" t="s">
        <v>134</v>
      </c>
      <c r="H564" s="4" t="s">
        <v>71</v>
      </c>
      <c r="I564" s="90">
        <v>96</v>
      </c>
      <c r="J564" s="4" t="s">
        <v>773</v>
      </c>
      <c r="K564" s="15">
        <v>45872</v>
      </c>
      <c r="L564" s="4">
        <v>2025402239</v>
      </c>
      <c r="M564" s="28" t="s">
        <v>226</v>
      </c>
      <c r="N564" s="4">
        <v>2025</v>
      </c>
    </row>
    <row r="565" spans="1:14">
      <c r="A565" s="4">
        <v>564</v>
      </c>
      <c r="B565" s="4" t="s">
        <v>43</v>
      </c>
      <c r="C565" s="4" t="s">
        <v>51</v>
      </c>
      <c r="D565" s="4" t="s">
        <v>61</v>
      </c>
      <c r="E565" s="28" t="s">
        <v>71</v>
      </c>
      <c r="G565" s="4" t="s">
        <v>134</v>
      </c>
      <c r="H565" s="4" t="s">
        <v>71</v>
      </c>
      <c r="I565" s="90">
        <v>443.7</v>
      </c>
      <c r="J565" s="4" t="s">
        <v>774</v>
      </c>
      <c r="K565" s="15">
        <v>45872</v>
      </c>
      <c r="L565" s="4">
        <v>2025402210</v>
      </c>
      <c r="M565" s="28" t="s">
        <v>226</v>
      </c>
      <c r="N565" s="4">
        <v>2025</v>
      </c>
    </row>
    <row r="566" spans="1:14">
      <c r="A566" s="4">
        <v>565</v>
      </c>
      <c r="B566" s="4" t="s">
        <v>17</v>
      </c>
      <c r="C566" s="4" t="s">
        <v>26</v>
      </c>
      <c r="D566" s="4" t="s">
        <v>61</v>
      </c>
      <c r="E566" s="28" t="s">
        <v>71</v>
      </c>
      <c r="G566" s="4" t="s">
        <v>134</v>
      </c>
      <c r="H566" s="4" t="s">
        <v>71</v>
      </c>
      <c r="I566" s="90">
        <v>166.6</v>
      </c>
      <c r="J566" s="4" t="s">
        <v>804</v>
      </c>
      <c r="K566" s="15">
        <v>45875</v>
      </c>
      <c r="L566" s="4">
        <v>2025402034</v>
      </c>
      <c r="M566" s="28" t="s">
        <v>226</v>
      </c>
      <c r="N566" s="4">
        <v>2025</v>
      </c>
    </row>
    <row r="567" spans="1:14">
      <c r="A567" s="4">
        <v>566</v>
      </c>
      <c r="B567" s="4" t="s">
        <v>53</v>
      </c>
      <c r="C567" s="4" t="s">
        <v>62</v>
      </c>
      <c r="D567" s="4" t="s">
        <v>61</v>
      </c>
      <c r="E567" s="28" t="s">
        <v>71</v>
      </c>
      <c r="G567" s="4" t="s">
        <v>134</v>
      </c>
      <c r="H567" s="4" t="s">
        <v>71</v>
      </c>
      <c r="I567" s="90">
        <v>1146.4000000000001</v>
      </c>
      <c r="J567" s="4" t="s">
        <v>805</v>
      </c>
      <c r="K567" s="15">
        <v>45875</v>
      </c>
      <c r="L567" s="4">
        <v>2025402164</v>
      </c>
      <c r="M567" s="28" t="s">
        <v>226</v>
      </c>
      <c r="N567" s="4">
        <v>2025</v>
      </c>
    </row>
    <row r="568" spans="1:14">
      <c r="A568" s="4">
        <v>567</v>
      </c>
      <c r="B568" s="4" t="s">
        <v>55</v>
      </c>
      <c r="C568" s="4" t="s">
        <v>56</v>
      </c>
      <c r="D568" s="4" t="s">
        <v>61</v>
      </c>
      <c r="E568" s="4" t="s">
        <v>71</v>
      </c>
      <c r="G568" s="4" t="s">
        <v>134</v>
      </c>
      <c r="H568" s="4" t="s">
        <v>71</v>
      </c>
      <c r="I568" s="90">
        <v>1560</v>
      </c>
      <c r="J568" s="4" t="s">
        <v>806</v>
      </c>
      <c r="K568" s="15">
        <v>45875</v>
      </c>
      <c r="L568" s="4">
        <v>2025402177</v>
      </c>
      <c r="M568" s="28" t="s">
        <v>226</v>
      </c>
      <c r="N568" s="4">
        <v>2025</v>
      </c>
    </row>
    <row r="569" spans="1:14">
      <c r="A569" s="4">
        <v>568</v>
      </c>
      <c r="B569" s="4" t="s">
        <v>55</v>
      </c>
      <c r="C569" s="4" t="s">
        <v>56</v>
      </c>
      <c r="D569" s="4" t="s">
        <v>61</v>
      </c>
      <c r="E569" s="28" t="s">
        <v>71</v>
      </c>
      <c r="G569" s="4" t="s">
        <v>134</v>
      </c>
      <c r="H569" s="4" t="s">
        <v>71</v>
      </c>
      <c r="I569" s="90">
        <v>468.3</v>
      </c>
      <c r="J569" s="4" t="s">
        <v>807</v>
      </c>
      <c r="K569" s="15">
        <v>45875</v>
      </c>
      <c r="L569" s="4">
        <v>2025402439</v>
      </c>
      <c r="M569" s="28" t="s">
        <v>226</v>
      </c>
      <c r="N569" s="4">
        <v>2025</v>
      </c>
    </row>
    <row r="570" spans="1:14">
      <c r="A570" s="4">
        <v>569</v>
      </c>
      <c r="B570" s="4" t="s">
        <v>55</v>
      </c>
      <c r="C570" s="4" t="s">
        <v>56</v>
      </c>
      <c r="D570" s="4" t="s">
        <v>61</v>
      </c>
      <c r="E570" s="28" t="s">
        <v>71</v>
      </c>
      <c r="G570" s="4" t="s">
        <v>134</v>
      </c>
      <c r="H570" s="4" t="s">
        <v>71</v>
      </c>
      <c r="I570" s="90">
        <v>780</v>
      </c>
      <c r="J570" s="4" t="s">
        <v>808</v>
      </c>
      <c r="K570" s="15">
        <v>45875</v>
      </c>
      <c r="L570" s="4">
        <v>2025402440</v>
      </c>
      <c r="M570" s="28" t="s">
        <v>226</v>
      </c>
      <c r="N570" s="4">
        <v>2025</v>
      </c>
    </row>
    <row r="571" spans="1:14">
      <c r="A571" s="4">
        <v>570</v>
      </c>
      <c r="B571" s="4" t="s">
        <v>43</v>
      </c>
      <c r="C571" s="4" t="s">
        <v>47</v>
      </c>
      <c r="D571" s="4" t="s">
        <v>61</v>
      </c>
      <c r="E571" s="28" t="s">
        <v>71</v>
      </c>
      <c r="G571" s="4" t="s">
        <v>134</v>
      </c>
      <c r="H571" s="4" t="s">
        <v>71</v>
      </c>
      <c r="I571" s="90">
        <v>2400</v>
      </c>
      <c r="J571" s="4" t="s">
        <v>809</v>
      </c>
      <c r="K571" s="15">
        <v>45875</v>
      </c>
      <c r="L571" s="4">
        <v>2025402497</v>
      </c>
      <c r="M571" s="28" t="s">
        <v>226</v>
      </c>
      <c r="N571" s="4">
        <v>2025</v>
      </c>
    </row>
    <row r="572" spans="1:14">
      <c r="A572" s="4">
        <v>571</v>
      </c>
      <c r="B572" s="4" t="s">
        <v>53</v>
      </c>
      <c r="C572" s="4" t="s">
        <v>62</v>
      </c>
      <c r="D572" s="4" t="s">
        <v>61</v>
      </c>
      <c r="E572" s="28" t="s">
        <v>71</v>
      </c>
      <c r="G572" s="4" t="s">
        <v>134</v>
      </c>
      <c r="H572" s="4" t="s">
        <v>71</v>
      </c>
      <c r="I572" s="90">
        <v>615</v>
      </c>
      <c r="J572" s="4" t="s">
        <v>810</v>
      </c>
      <c r="K572" s="15">
        <v>45875</v>
      </c>
      <c r="L572" s="4">
        <v>2025402444</v>
      </c>
      <c r="M572" s="28" t="s">
        <v>226</v>
      </c>
      <c r="N572" s="4">
        <v>2025</v>
      </c>
    </row>
    <row r="573" spans="1:14">
      <c r="A573" s="4">
        <v>572</v>
      </c>
      <c r="B573" s="4" t="s">
        <v>43</v>
      </c>
      <c r="C573" s="4" t="s">
        <v>51</v>
      </c>
      <c r="D573" s="4" t="s">
        <v>61</v>
      </c>
      <c r="E573" s="28" t="s">
        <v>71</v>
      </c>
      <c r="G573" s="4" t="s">
        <v>134</v>
      </c>
      <c r="H573" s="4" t="s">
        <v>71</v>
      </c>
      <c r="I573" s="90">
        <v>532.6</v>
      </c>
      <c r="J573" s="4" t="s">
        <v>811</v>
      </c>
      <c r="K573" s="15">
        <v>45875</v>
      </c>
      <c r="L573" s="4">
        <v>2025402511</v>
      </c>
      <c r="M573" s="28" t="s">
        <v>226</v>
      </c>
      <c r="N573" s="4">
        <v>2025</v>
      </c>
    </row>
    <row r="574" spans="1:14">
      <c r="A574" s="4">
        <v>573</v>
      </c>
      <c r="B574" s="28" t="s">
        <v>55</v>
      </c>
      <c r="C574" s="28" t="s">
        <v>98</v>
      </c>
      <c r="D574" s="4" t="s">
        <v>61</v>
      </c>
      <c r="E574" s="4" t="s">
        <v>71</v>
      </c>
      <c r="G574" s="4" t="s">
        <v>134</v>
      </c>
      <c r="H574" s="4" t="s">
        <v>71</v>
      </c>
      <c r="I574" s="90">
        <v>2004</v>
      </c>
      <c r="J574" s="4" t="s">
        <v>812</v>
      </c>
      <c r="K574" s="15">
        <v>45875</v>
      </c>
      <c r="L574" s="4">
        <v>2025402451</v>
      </c>
      <c r="M574" s="28" t="s">
        <v>226</v>
      </c>
      <c r="N574" s="4">
        <v>2025</v>
      </c>
    </row>
    <row r="575" spans="1:14">
      <c r="A575" s="4">
        <v>574</v>
      </c>
      <c r="B575" s="4" t="s">
        <v>43</v>
      </c>
      <c r="C575" s="4" t="s">
        <v>51</v>
      </c>
      <c r="D575" s="4" t="s">
        <v>61</v>
      </c>
      <c r="E575" s="28" t="s">
        <v>71</v>
      </c>
      <c r="G575" s="4" t="s">
        <v>134</v>
      </c>
      <c r="H575" s="4" t="s">
        <v>71</v>
      </c>
      <c r="I575" s="90">
        <v>584.29999999999995</v>
      </c>
      <c r="J575" s="4" t="s">
        <v>813</v>
      </c>
      <c r="K575" s="15">
        <v>45875</v>
      </c>
      <c r="L575" s="4">
        <v>2025402442</v>
      </c>
      <c r="M575" s="28" t="s">
        <v>226</v>
      </c>
      <c r="N575" s="4">
        <v>2025</v>
      </c>
    </row>
    <row r="576" spans="1:14">
      <c r="A576" s="4">
        <v>575</v>
      </c>
      <c r="B576" s="4" t="s">
        <v>55</v>
      </c>
      <c r="C576" s="4" t="s">
        <v>56</v>
      </c>
      <c r="D576" s="4" t="s">
        <v>61</v>
      </c>
      <c r="E576" s="28" t="s">
        <v>71</v>
      </c>
      <c r="G576" s="4" t="s">
        <v>134</v>
      </c>
      <c r="H576" s="4" t="s">
        <v>71</v>
      </c>
      <c r="I576" s="90">
        <v>1255</v>
      </c>
      <c r="J576" s="4" t="s">
        <v>814</v>
      </c>
      <c r="K576" s="15">
        <v>45875</v>
      </c>
      <c r="L576" s="4">
        <v>2025402441</v>
      </c>
      <c r="M576" s="28" t="s">
        <v>226</v>
      </c>
      <c r="N576" s="4">
        <v>2025</v>
      </c>
    </row>
    <row r="577" spans="1:14">
      <c r="A577" s="4">
        <v>576</v>
      </c>
      <c r="B577" s="4" t="s">
        <v>53</v>
      </c>
      <c r="C577" s="4" t="s">
        <v>62</v>
      </c>
      <c r="D577" s="4" t="s">
        <v>61</v>
      </c>
      <c r="E577" s="28" t="s">
        <v>71</v>
      </c>
      <c r="G577" s="4" t="s">
        <v>134</v>
      </c>
      <c r="H577" s="4" t="s">
        <v>71</v>
      </c>
      <c r="I577" s="90">
        <v>931.6</v>
      </c>
      <c r="J577" s="4" t="s">
        <v>815</v>
      </c>
      <c r="K577" s="15">
        <v>45875</v>
      </c>
      <c r="L577" s="4">
        <v>2025402479</v>
      </c>
      <c r="M577" s="28" t="s">
        <v>226</v>
      </c>
      <c r="N577" s="4">
        <v>2025</v>
      </c>
    </row>
    <row r="578" spans="1:14">
      <c r="A578" s="4">
        <v>577</v>
      </c>
      <c r="B578" s="4" t="s">
        <v>53</v>
      </c>
      <c r="C578" s="4" t="s">
        <v>62</v>
      </c>
      <c r="D578" s="4" t="s">
        <v>61</v>
      </c>
      <c r="E578" s="28" t="s">
        <v>71</v>
      </c>
      <c r="G578" s="4" t="s">
        <v>134</v>
      </c>
      <c r="H578" s="4" t="s">
        <v>71</v>
      </c>
      <c r="I578" s="90">
        <v>3700</v>
      </c>
      <c r="J578" s="4" t="s">
        <v>816</v>
      </c>
      <c r="K578" s="15">
        <v>45875</v>
      </c>
      <c r="L578" s="4">
        <v>2025402580</v>
      </c>
      <c r="M578" s="28" t="s">
        <v>226</v>
      </c>
      <c r="N578" s="4">
        <v>2025</v>
      </c>
    </row>
    <row r="579" spans="1:14">
      <c r="A579" s="4">
        <v>578</v>
      </c>
      <c r="B579" s="4" t="s">
        <v>59</v>
      </c>
      <c r="C579" s="4" t="s">
        <v>60</v>
      </c>
      <c r="D579" s="4" t="s">
        <v>61</v>
      </c>
      <c r="E579" s="28" t="s">
        <v>71</v>
      </c>
      <c r="G579" s="4" t="s">
        <v>134</v>
      </c>
      <c r="H579" s="4" t="s">
        <v>71</v>
      </c>
      <c r="I579" s="90">
        <v>1500</v>
      </c>
      <c r="J579" s="4" t="s">
        <v>817</v>
      </c>
      <c r="K579" s="15">
        <v>45875</v>
      </c>
      <c r="L579" s="4">
        <v>2025402554</v>
      </c>
      <c r="M579" s="28" t="s">
        <v>226</v>
      </c>
      <c r="N579" s="4">
        <v>2025</v>
      </c>
    </row>
    <row r="580" spans="1:14">
      <c r="A580" s="4">
        <v>579</v>
      </c>
      <c r="B580" s="4" t="s">
        <v>29</v>
      </c>
      <c r="C580" s="4" t="s">
        <v>237</v>
      </c>
      <c r="D580" s="4" t="s">
        <v>61</v>
      </c>
      <c r="E580" s="28" t="s">
        <v>71</v>
      </c>
      <c r="G580" s="4" t="s">
        <v>134</v>
      </c>
      <c r="H580" s="4" t="s">
        <v>71</v>
      </c>
      <c r="I580" s="90">
        <v>3295</v>
      </c>
      <c r="J580" s="4" t="s">
        <v>818</v>
      </c>
      <c r="K580" s="15">
        <v>45875</v>
      </c>
      <c r="L580" s="4">
        <v>2025402470</v>
      </c>
      <c r="M580" s="28" t="s">
        <v>226</v>
      </c>
      <c r="N580" s="4">
        <v>2025</v>
      </c>
    </row>
    <row r="581" spans="1:14">
      <c r="A581" s="4">
        <v>580</v>
      </c>
      <c r="B581" s="4" t="s">
        <v>43</v>
      </c>
      <c r="C581" s="4" t="s">
        <v>70</v>
      </c>
      <c r="D581" s="4" t="s">
        <v>61</v>
      </c>
      <c r="E581" s="4" t="s">
        <v>71</v>
      </c>
      <c r="G581" s="4" t="s">
        <v>134</v>
      </c>
      <c r="H581" s="4" t="s">
        <v>71</v>
      </c>
      <c r="I581" s="90">
        <v>1971.6</v>
      </c>
      <c r="J581" s="4" t="s">
        <v>819</v>
      </c>
      <c r="K581" s="15">
        <v>45833</v>
      </c>
      <c r="L581" s="4">
        <v>2025401491</v>
      </c>
      <c r="M581" s="28" t="s">
        <v>226</v>
      </c>
      <c r="N581" s="4">
        <v>2025</v>
      </c>
    </row>
    <row r="582" spans="1:14">
      <c r="A582" s="4">
        <v>581</v>
      </c>
      <c r="B582" s="4" t="s">
        <v>53</v>
      </c>
      <c r="C582" s="4" t="s">
        <v>62</v>
      </c>
      <c r="D582" s="4" t="s">
        <v>61</v>
      </c>
      <c r="E582" s="28" t="s">
        <v>71</v>
      </c>
      <c r="G582" s="4" t="s">
        <v>134</v>
      </c>
      <c r="H582" s="4" t="s">
        <v>71</v>
      </c>
      <c r="I582" s="90">
        <v>2775</v>
      </c>
      <c r="J582" s="4" t="s">
        <v>822</v>
      </c>
      <c r="K582" s="15">
        <v>45875</v>
      </c>
      <c r="L582" s="4">
        <v>2025402581</v>
      </c>
      <c r="M582" s="28" t="s">
        <v>226</v>
      </c>
      <c r="N582" s="4">
        <v>2025</v>
      </c>
    </row>
    <row r="583" spans="1:14">
      <c r="A583" s="4">
        <v>582</v>
      </c>
      <c r="B583" s="4" t="s">
        <v>43</v>
      </c>
      <c r="C583" s="4" t="s">
        <v>51</v>
      </c>
      <c r="D583" s="4" t="s">
        <v>61</v>
      </c>
      <c r="E583" s="28" t="s">
        <v>71</v>
      </c>
      <c r="G583" s="4" t="s">
        <v>134</v>
      </c>
      <c r="H583" s="4" t="s">
        <v>71</v>
      </c>
      <c r="I583" s="90">
        <v>1003.6</v>
      </c>
      <c r="J583" s="4" t="s">
        <v>823</v>
      </c>
      <c r="K583" s="15">
        <v>45848</v>
      </c>
      <c r="L583" s="4">
        <v>2025402168</v>
      </c>
      <c r="M583" s="28" t="s">
        <v>225</v>
      </c>
      <c r="N583" s="4">
        <v>2025</v>
      </c>
    </row>
    <row r="584" spans="1:14">
      <c r="A584" s="4">
        <v>583</v>
      </c>
      <c r="B584" s="4" t="s">
        <v>53</v>
      </c>
      <c r="C584" s="4" t="s">
        <v>62</v>
      </c>
      <c r="D584" s="4" t="s">
        <v>61</v>
      </c>
      <c r="E584" s="28" t="s">
        <v>71</v>
      </c>
      <c r="G584" s="4" t="s">
        <v>134</v>
      </c>
      <c r="H584" s="4" t="s">
        <v>71</v>
      </c>
      <c r="I584" s="90">
        <v>175</v>
      </c>
      <c r="J584" s="4" t="s">
        <v>831</v>
      </c>
      <c r="K584" s="15">
        <v>45880</v>
      </c>
      <c r="L584" s="4">
        <v>2025402588</v>
      </c>
      <c r="M584" s="28" t="s">
        <v>226</v>
      </c>
      <c r="N584" s="4">
        <v>2025</v>
      </c>
    </row>
    <row r="585" spans="1:14">
      <c r="A585" s="4">
        <v>584</v>
      </c>
      <c r="B585" s="4" t="s">
        <v>35</v>
      </c>
      <c r="C585" s="4" t="s">
        <v>37</v>
      </c>
      <c r="D585" s="4" t="s">
        <v>61</v>
      </c>
      <c r="E585" s="28" t="s">
        <v>71</v>
      </c>
      <c r="G585" s="4" t="s">
        <v>134</v>
      </c>
      <c r="H585" s="4" t="s">
        <v>71</v>
      </c>
      <c r="I585" s="90">
        <v>435.5</v>
      </c>
      <c r="J585" s="4" t="s">
        <v>838</v>
      </c>
      <c r="K585" s="15">
        <v>45879</v>
      </c>
      <c r="L585" s="4">
        <v>2025402567</v>
      </c>
      <c r="M585" s="28" t="s">
        <v>226</v>
      </c>
      <c r="N585" s="4">
        <v>2025</v>
      </c>
    </row>
    <row r="586" spans="1:14">
      <c r="A586" s="4">
        <v>585</v>
      </c>
      <c r="B586" s="4" t="s">
        <v>53</v>
      </c>
      <c r="C586" s="4" t="s">
        <v>62</v>
      </c>
      <c r="D586" s="4" t="s">
        <v>61</v>
      </c>
      <c r="E586" s="28" t="s">
        <v>71</v>
      </c>
      <c r="G586" s="4" t="s">
        <v>134</v>
      </c>
      <c r="H586" s="4" t="s">
        <v>71</v>
      </c>
      <c r="I586" s="90">
        <v>195.4</v>
      </c>
      <c r="J586" s="4" t="s">
        <v>840</v>
      </c>
      <c r="K586" s="15">
        <v>45875</v>
      </c>
      <c r="L586" s="4">
        <v>2025402468</v>
      </c>
      <c r="M586" s="28" t="s">
        <v>226</v>
      </c>
      <c r="N586" s="4">
        <v>2025</v>
      </c>
    </row>
    <row r="587" spans="1:14">
      <c r="A587" s="4">
        <v>586</v>
      </c>
      <c r="B587" s="28" t="s">
        <v>55</v>
      </c>
      <c r="C587" s="28" t="s">
        <v>56</v>
      </c>
      <c r="D587" s="4" t="s">
        <v>61</v>
      </c>
      <c r="E587" s="4" t="s">
        <v>71</v>
      </c>
      <c r="G587" s="4" t="s">
        <v>134</v>
      </c>
      <c r="H587" s="4" t="s">
        <v>71</v>
      </c>
      <c r="I587" s="90">
        <v>680</v>
      </c>
      <c r="J587" s="4" t="s">
        <v>848</v>
      </c>
      <c r="K587" s="15">
        <v>45880</v>
      </c>
      <c r="L587" s="4">
        <v>2025402591</v>
      </c>
      <c r="M587" s="28" t="s">
        <v>226</v>
      </c>
      <c r="N587" s="4">
        <v>2025</v>
      </c>
    </row>
    <row r="588" spans="1:14">
      <c r="A588" s="4">
        <v>587</v>
      </c>
      <c r="B588" s="4" t="s">
        <v>17</v>
      </c>
      <c r="C588" s="4" t="s">
        <v>23</v>
      </c>
      <c r="D588" s="4" t="s">
        <v>61</v>
      </c>
      <c r="E588" s="4" t="s">
        <v>71</v>
      </c>
      <c r="G588" s="4" t="s">
        <v>134</v>
      </c>
      <c r="H588" s="4" t="s">
        <v>71</v>
      </c>
      <c r="I588" s="90">
        <v>60</v>
      </c>
      <c r="J588" s="38" t="s">
        <v>878</v>
      </c>
      <c r="K588" s="88">
        <v>45888</v>
      </c>
      <c r="L588" s="4">
        <v>2025402697</v>
      </c>
      <c r="M588" s="4" t="s">
        <v>226</v>
      </c>
      <c r="N588" s="4">
        <v>2025</v>
      </c>
    </row>
    <row r="589" spans="1:14">
      <c r="A589" s="4">
        <v>588</v>
      </c>
      <c r="B589" s="4" t="s">
        <v>35</v>
      </c>
      <c r="C589" s="4" t="s">
        <v>38</v>
      </c>
      <c r="D589" s="4" t="s">
        <v>61</v>
      </c>
      <c r="E589" s="4" t="s">
        <v>71</v>
      </c>
      <c r="G589" s="4" t="s">
        <v>134</v>
      </c>
      <c r="H589" s="4" t="s">
        <v>71</v>
      </c>
      <c r="I589" s="90">
        <v>225.1</v>
      </c>
      <c r="J589" s="38" t="s">
        <v>890</v>
      </c>
      <c r="K589" s="88">
        <v>45880</v>
      </c>
      <c r="L589" s="4">
        <v>2025402596</v>
      </c>
      <c r="M589" s="4" t="s">
        <v>226</v>
      </c>
      <c r="N589" s="4">
        <v>2025</v>
      </c>
    </row>
    <row r="590" spans="1:14">
      <c r="A590" s="4">
        <v>589</v>
      </c>
      <c r="B590" s="4" t="s">
        <v>53</v>
      </c>
      <c r="C590" s="4" t="s">
        <v>62</v>
      </c>
      <c r="D590" s="4" t="s">
        <v>61</v>
      </c>
      <c r="E590" s="4" t="s">
        <v>71</v>
      </c>
      <c r="G590" s="4" t="s">
        <v>134</v>
      </c>
      <c r="H590" s="4" t="s">
        <v>71</v>
      </c>
      <c r="I590" s="90">
        <v>2162</v>
      </c>
      <c r="J590" s="38" t="s">
        <v>901</v>
      </c>
      <c r="K590" s="88">
        <v>45899</v>
      </c>
      <c r="L590" s="4">
        <v>2025402757</v>
      </c>
      <c r="M590" s="4" t="s">
        <v>226</v>
      </c>
      <c r="N590" s="4">
        <v>2025</v>
      </c>
    </row>
    <row r="591" spans="1:14">
      <c r="A591" s="4">
        <v>590</v>
      </c>
      <c r="B591" s="4" t="s">
        <v>43</v>
      </c>
      <c r="C591" s="4" t="s">
        <v>47</v>
      </c>
      <c r="D591" s="4" t="s">
        <v>61</v>
      </c>
      <c r="E591" s="4" t="s">
        <v>71</v>
      </c>
      <c r="G591" s="4" t="s">
        <v>134</v>
      </c>
      <c r="H591" s="4" t="s">
        <v>71</v>
      </c>
      <c r="I591" s="90">
        <v>1686.8</v>
      </c>
      <c r="J591" s="38" t="s">
        <v>902</v>
      </c>
      <c r="K591" s="88">
        <v>45895</v>
      </c>
      <c r="L591" s="4">
        <v>2025402765</v>
      </c>
      <c r="M591" s="4" t="s">
        <v>226</v>
      </c>
      <c r="N591" s="4">
        <v>2025</v>
      </c>
    </row>
    <row r="592" spans="1:14">
      <c r="A592" s="4">
        <v>591</v>
      </c>
      <c r="B592" s="4" t="s">
        <v>35</v>
      </c>
      <c r="C592" s="4" t="s">
        <v>37</v>
      </c>
      <c r="D592" s="4" t="s">
        <v>61</v>
      </c>
      <c r="E592" s="4" t="s">
        <v>71</v>
      </c>
      <c r="G592" s="4" t="s">
        <v>134</v>
      </c>
      <c r="H592" s="4" t="s">
        <v>71</v>
      </c>
      <c r="I592" s="90">
        <v>52</v>
      </c>
      <c r="J592" s="38" t="s">
        <v>903</v>
      </c>
      <c r="K592" s="88">
        <v>45895</v>
      </c>
      <c r="L592" s="4">
        <v>2025402777</v>
      </c>
      <c r="M592" s="4" t="s">
        <v>226</v>
      </c>
      <c r="N592" s="4">
        <v>2025</v>
      </c>
    </row>
    <row r="593" spans="1:14">
      <c r="A593" s="4">
        <v>592</v>
      </c>
      <c r="B593" s="4" t="s">
        <v>55</v>
      </c>
      <c r="C593" s="4" t="s">
        <v>98</v>
      </c>
      <c r="D593" s="4" t="s">
        <v>61</v>
      </c>
      <c r="E593" s="4" t="s">
        <v>71</v>
      </c>
      <c r="G593" s="4" t="s">
        <v>134</v>
      </c>
      <c r="H593" s="4" t="s">
        <v>71</v>
      </c>
      <c r="I593" s="90">
        <v>3230</v>
      </c>
      <c r="J593" s="38" t="s">
        <v>904</v>
      </c>
      <c r="K593" s="88">
        <v>45895</v>
      </c>
      <c r="L593" s="4">
        <v>2025402764</v>
      </c>
      <c r="M593" s="4" t="s">
        <v>226</v>
      </c>
      <c r="N593" s="4">
        <v>2025</v>
      </c>
    </row>
    <row r="594" spans="1:14">
      <c r="A594" s="4">
        <v>593</v>
      </c>
      <c r="B594" s="4" t="s">
        <v>55</v>
      </c>
      <c r="C594" s="4" t="s">
        <v>98</v>
      </c>
      <c r="D594" s="4" t="s">
        <v>61</v>
      </c>
      <c r="E594" s="4" t="s">
        <v>71</v>
      </c>
      <c r="G594" s="4" t="s">
        <v>134</v>
      </c>
      <c r="H594" s="4" t="s">
        <v>71</v>
      </c>
      <c r="I594" s="90">
        <v>2282.4</v>
      </c>
      <c r="J594" s="38" t="s">
        <v>905</v>
      </c>
      <c r="K594" s="88">
        <v>45895</v>
      </c>
      <c r="L594" s="4">
        <v>2025402763</v>
      </c>
      <c r="M594" s="4" t="s">
        <v>226</v>
      </c>
      <c r="N594" s="4">
        <v>2025</v>
      </c>
    </row>
    <row r="595" spans="1:14">
      <c r="A595" s="4">
        <v>594</v>
      </c>
      <c r="B595" s="4" t="s">
        <v>43</v>
      </c>
      <c r="C595" s="4" t="s">
        <v>51</v>
      </c>
      <c r="D595" s="4" t="s">
        <v>61</v>
      </c>
      <c r="E595" s="4" t="s">
        <v>71</v>
      </c>
      <c r="G595" s="4" t="s">
        <v>134</v>
      </c>
      <c r="H595" s="4" t="s">
        <v>71</v>
      </c>
      <c r="I595" s="90">
        <v>247</v>
      </c>
      <c r="J595" s="38" t="s">
        <v>906</v>
      </c>
      <c r="K595" s="88">
        <v>45893</v>
      </c>
      <c r="L595" s="4">
        <v>2025402754</v>
      </c>
      <c r="M595" s="4" t="s">
        <v>226</v>
      </c>
      <c r="N595" s="4">
        <v>2025</v>
      </c>
    </row>
    <row r="596" spans="1:14">
      <c r="A596" s="4">
        <v>595</v>
      </c>
      <c r="B596" s="4" t="s">
        <v>35</v>
      </c>
      <c r="C596" s="4" t="s">
        <v>38</v>
      </c>
      <c r="D596" s="4" t="s">
        <v>61</v>
      </c>
      <c r="E596" s="4" t="s">
        <v>71</v>
      </c>
      <c r="G596" s="4" t="s">
        <v>134</v>
      </c>
      <c r="H596" s="4" t="s">
        <v>71</v>
      </c>
      <c r="I596" s="90">
        <v>3750</v>
      </c>
      <c r="J596" s="38" t="s">
        <v>907</v>
      </c>
      <c r="K596" s="88">
        <v>45893</v>
      </c>
      <c r="L596" s="4">
        <v>2025402755</v>
      </c>
      <c r="M596" s="4" t="s">
        <v>226</v>
      </c>
      <c r="N596" s="4">
        <v>2025</v>
      </c>
    </row>
    <row r="597" spans="1:14">
      <c r="A597" s="4">
        <v>596</v>
      </c>
      <c r="B597" s="4" t="s">
        <v>17</v>
      </c>
      <c r="C597" s="4" t="s">
        <v>25</v>
      </c>
      <c r="D597" s="4" t="s">
        <v>61</v>
      </c>
      <c r="E597" s="4" t="s">
        <v>71</v>
      </c>
      <c r="G597" s="4" t="s">
        <v>134</v>
      </c>
      <c r="H597" s="4" t="s">
        <v>71</v>
      </c>
      <c r="I597" s="90">
        <v>235.5</v>
      </c>
      <c r="J597" s="38" t="s">
        <v>908</v>
      </c>
      <c r="K597" s="88">
        <v>45893</v>
      </c>
      <c r="L597" s="4">
        <v>2025402682</v>
      </c>
      <c r="M597" s="4" t="s">
        <v>226</v>
      </c>
      <c r="N597" s="4">
        <v>2025</v>
      </c>
    </row>
    <row r="598" spans="1:14">
      <c r="A598" s="4">
        <v>597</v>
      </c>
      <c r="B598" s="4" t="s">
        <v>17</v>
      </c>
      <c r="C598" s="4" t="s">
        <v>22</v>
      </c>
      <c r="D598" s="4" t="s">
        <v>61</v>
      </c>
      <c r="E598" s="4" t="s">
        <v>71</v>
      </c>
      <c r="G598" s="4" t="s">
        <v>134</v>
      </c>
      <c r="H598" s="4" t="s">
        <v>71</v>
      </c>
      <c r="I598" s="90">
        <v>90</v>
      </c>
      <c r="J598" s="4" t="s">
        <v>909</v>
      </c>
      <c r="K598" s="15">
        <v>45889</v>
      </c>
      <c r="L598" s="4">
        <v>2025402627</v>
      </c>
      <c r="M598" s="4" t="s">
        <v>226</v>
      </c>
      <c r="N598" s="4">
        <v>2025</v>
      </c>
    </row>
    <row r="599" spans="1:14">
      <c r="A599" s="4">
        <v>598</v>
      </c>
      <c r="B599" s="4" t="s">
        <v>17</v>
      </c>
      <c r="C599" s="4" t="s">
        <v>22</v>
      </c>
      <c r="D599" s="4" t="s">
        <v>61</v>
      </c>
      <c r="E599" s="4" t="s">
        <v>71</v>
      </c>
      <c r="G599" s="4" t="s">
        <v>134</v>
      </c>
      <c r="H599" s="4" t="s">
        <v>71</v>
      </c>
      <c r="I599" s="90">
        <v>700</v>
      </c>
      <c r="J599" s="4" t="s">
        <v>910</v>
      </c>
      <c r="K599" s="15">
        <v>45893</v>
      </c>
      <c r="L599" s="4">
        <v>2025402751</v>
      </c>
      <c r="M599" s="4" t="s">
        <v>226</v>
      </c>
      <c r="N599" s="4">
        <v>2025</v>
      </c>
    </row>
    <row r="600" spans="1:14">
      <c r="A600" s="4">
        <v>599</v>
      </c>
      <c r="B600" s="4" t="s">
        <v>17</v>
      </c>
      <c r="C600" s="4" t="s">
        <v>22</v>
      </c>
      <c r="D600" s="4" t="s">
        <v>61</v>
      </c>
      <c r="E600" s="4" t="s">
        <v>71</v>
      </c>
      <c r="G600" s="4" t="s">
        <v>134</v>
      </c>
      <c r="H600" s="4" t="s">
        <v>71</v>
      </c>
      <c r="I600" s="90">
        <v>219</v>
      </c>
      <c r="J600" s="4" t="s">
        <v>911</v>
      </c>
      <c r="K600" s="15">
        <v>45893</v>
      </c>
      <c r="L600" s="4">
        <v>2025402686</v>
      </c>
      <c r="M600" s="4" t="s">
        <v>226</v>
      </c>
      <c r="N600" s="4">
        <v>2025</v>
      </c>
    </row>
    <row r="601" spans="1:14">
      <c r="A601" s="4">
        <v>600</v>
      </c>
      <c r="B601" s="4" t="s">
        <v>55</v>
      </c>
      <c r="C601" s="4" t="s">
        <v>98</v>
      </c>
      <c r="D601" s="4" t="s">
        <v>61</v>
      </c>
      <c r="E601" s="4" t="s">
        <v>71</v>
      </c>
      <c r="G601" s="4" t="s">
        <v>134</v>
      </c>
      <c r="H601" s="4" t="s">
        <v>71</v>
      </c>
      <c r="I601" s="90">
        <v>1152</v>
      </c>
      <c r="J601" s="4" t="s">
        <v>912</v>
      </c>
      <c r="K601" s="15">
        <v>45893</v>
      </c>
      <c r="L601" s="4">
        <v>2025402750</v>
      </c>
      <c r="M601" s="4" t="s">
        <v>226</v>
      </c>
      <c r="N601" s="4">
        <v>2025</v>
      </c>
    </row>
    <row r="602" spans="1:14">
      <c r="A602" s="4">
        <v>601</v>
      </c>
      <c r="B602" s="4" t="s">
        <v>17</v>
      </c>
      <c r="C602" s="4" t="s">
        <v>23</v>
      </c>
      <c r="D602" s="4" t="s">
        <v>61</v>
      </c>
      <c r="E602" s="4" t="s">
        <v>71</v>
      </c>
      <c r="G602" s="4" t="s">
        <v>134</v>
      </c>
      <c r="H602" s="4" t="s">
        <v>71</v>
      </c>
      <c r="I602" s="90">
        <v>628</v>
      </c>
      <c r="J602" s="4" t="s">
        <v>913</v>
      </c>
      <c r="K602" s="15">
        <v>45893</v>
      </c>
      <c r="L602" s="4">
        <v>2025402752</v>
      </c>
      <c r="M602" s="4" t="s">
        <v>226</v>
      </c>
      <c r="N602" s="4">
        <v>2025</v>
      </c>
    </row>
    <row r="603" spans="1:14">
      <c r="A603" s="4">
        <v>602</v>
      </c>
      <c r="B603" s="4" t="s">
        <v>35</v>
      </c>
      <c r="C603" s="4" t="s">
        <v>38</v>
      </c>
      <c r="D603" s="4" t="s">
        <v>61</v>
      </c>
      <c r="E603" s="4" t="s">
        <v>71</v>
      </c>
      <c r="G603" s="4" t="s">
        <v>134</v>
      </c>
      <c r="H603" s="4" t="s">
        <v>71</v>
      </c>
      <c r="I603" s="90">
        <v>104</v>
      </c>
      <c r="J603" s="4" t="s">
        <v>914</v>
      </c>
      <c r="K603" s="15">
        <v>45893</v>
      </c>
      <c r="L603" s="4">
        <v>2025402659</v>
      </c>
      <c r="M603" s="4" t="s">
        <v>226</v>
      </c>
      <c r="N603" s="4">
        <v>2025</v>
      </c>
    </row>
    <row r="604" spans="1:14">
      <c r="A604" s="4">
        <v>603</v>
      </c>
      <c r="B604" s="4" t="s">
        <v>29</v>
      </c>
      <c r="C604" s="4" t="s">
        <v>237</v>
      </c>
      <c r="D604" s="4" t="s">
        <v>61</v>
      </c>
      <c r="E604" s="4" t="s">
        <v>71</v>
      </c>
      <c r="G604" s="4" t="s">
        <v>134</v>
      </c>
      <c r="H604" s="4" t="s">
        <v>71</v>
      </c>
      <c r="I604" s="90">
        <v>90</v>
      </c>
      <c r="J604" s="4" t="s">
        <v>915</v>
      </c>
      <c r="K604" s="15">
        <v>45893</v>
      </c>
      <c r="L604" s="4">
        <v>2025402753</v>
      </c>
      <c r="M604" s="4" t="s">
        <v>226</v>
      </c>
      <c r="N604" s="4">
        <v>2025</v>
      </c>
    </row>
    <row r="605" spans="1:14">
      <c r="A605" s="4">
        <v>604</v>
      </c>
      <c r="B605" s="4" t="s">
        <v>55</v>
      </c>
      <c r="C605" s="4" t="s">
        <v>98</v>
      </c>
      <c r="D605" s="4" t="s">
        <v>61</v>
      </c>
      <c r="E605" s="4" t="s">
        <v>71</v>
      </c>
      <c r="G605" s="4" t="s">
        <v>134</v>
      </c>
      <c r="H605" s="4" t="s">
        <v>71</v>
      </c>
      <c r="I605" s="90">
        <v>800</v>
      </c>
      <c r="J605" s="4" t="s">
        <v>916</v>
      </c>
      <c r="K605" s="15">
        <v>45893</v>
      </c>
      <c r="L605" s="4">
        <v>2025402734</v>
      </c>
      <c r="M605" s="4" t="s">
        <v>226</v>
      </c>
      <c r="N605" s="4">
        <v>2025</v>
      </c>
    </row>
    <row r="606" spans="1:14">
      <c r="A606" s="4">
        <v>605</v>
      </c>
      <c r="B606" s="4" t="s">
        <v>35</v>
      </c>
      <c r="C606" s="4" t="s">
        <v>37</v>
      </c>
      <c r="D606" s="4" t="s">
        <v>61</v>
      </c>
      <c r="E606" s="4" t="s">
        <v>71</v>
      </c>
      <c r="G606" s="4" t="s">
        <v>134</v>
      </c>
      <c r="H606" s="4" t="s">
        <v>71</v>
      </c>
      <c r="I606" s="90">
        <v>1988</v>
      </c>
      <c r="J606" s="4" t="s">
        <v>917</v>
      </c>
      <c r="K606" s="15">
        <v>45893</v>
      </c>
      <c r="L606" s="4">
        <v>2025402678</v>
      </c>
      <c r="M606" s="4" t="s">
        <v>226</v>
      </c>
      <c r="N606" s="4">
        <v>2025</v>
      </c>
    </row>
    <row r="607" spans="1:14">
      <c r="A607" s="4">
        <v>606</v>
      </c>
      <c r="B607" s="4" t="s">
        <v>43</v>
      </c>
      <c r="C607" s="4" t="s">
        <v>51</v>
      </c>
      <c r="D607" s="4" t="s">
        <v>61</v>
      </c>
      <c r="E607" s="4" t="s">
        <v>71</v>
      </c>
      <c r="G607" s="4" t="s">
        <v>134</v>
      </c>
      <c r="H607" s="4" t="s">
        <v>71</v>
      </c>
      <c r="I607" s="90">
        <v>432</v>
      </c>
      <c r="J607" s="4" t="s">
        <v>918</v>
      </c>
      <c r="K607" s="15">
        <v>45893</v>
      </c>
      <c r="L607" s="4">
        <v>2025402661</v>
      </c>
      <c r="M607" s="4" t="s">
        <v>226</v>
      </c>
      <c r="N607" s="4">
        <v>2025</v>
      </c>
    </row>
    <row r="608" spans="1:14">
      <c r="A608" s="4">
        <v>607</v>
      </c>
      <c r="B608" s="4" t="s">
        <v>17</v>
      </c>
      <c r="C608" s="4" t="s">
        <v>25</v>
      </c>
      <c r="D608" s="4" t="s">
        <v>61</v>
      </c>
      <c r="E608" s="4" t="s">
        <v>71</v>
      </c>
      <c r="G608" s="4" t="s">
        <v>134</v>
      </c>
      <c r="H608" s="4" t="s">
        <v>71</v>
      </c>
      <c r="I608" s="90">
        <v>2998.1</v>
      </c>
      <c r="J608" s="4" t="s">
        <v>919</v>
      </c>
      <c r="K608" s="15">
        <v>45889</v>
      </c>
      <c r="L608" s="4">
        <v>2025402668</v>
      </c>
      <c r="M608" s="4" t="s">
        <v>226</v>
      </c>
      <c r="N608" s="4">
        <v>2025</v>
      </c>
    </row>
    <row r="609" spans="1:14">
      <c r="A609" s="4">
        <v>608</v>
      </c>
      <c r="B609" s="4" t="s">
        <v>17</v>
      </c>
      <c r="C609" s="4" t="s">
        <v>23</v>
      </c>
      <c r="D609" s="4" t="s">
        <v>61</v>
      </c>
      <c r="E609" s="4" t="s">
        <v>71</v>
      </c>
      <c r="G609" s="4" t="s">
        <v>134</v>
      </c>
      <c r="H609" s="4" t="s">
        <v>71</v>
      </c>
      <c r="I609" s="90">
        <v>220</v>
      </c>
      <c r="J609" s="4" t="s">
        <v>920</v>
      </c>
      <c r="K609" s="15">
        <v>45880</v>
      </c>
      <c r="L609" s="4">
        <v>2025402665</v>
      </c>
      <c r="M609" s="4" t="s">
        <v>226</v>
      </c>
      <c r="N609" s="4">
        <v>2025</v>
      </c>
    </row>
    <row r="610" spans="1:14">
      <c r="A610" s="4">
        <v>609</v>
      </c>
      <c r="B610" s="4" t="s">
        <v>29</v>
      </c>
      <c r="C610" s="4" t="s">
        <v>237</v>
      </c>
      <c r="D610" s="4" t="s">
        <v>61</v>
      </c>
      <c r="E610" s="4" t="s">
        <v>71</v>
      </c>
      <c r="G610" s="4" t="s">
        <v>134</v>
      </c>
      <c r="H610" s="4" t="s">
        <v>71</v>
      </c>
      <c r="I610" s="90">
        <v>2853</v>
      </c>
      <c r="J610" s="4" t="s">
        <v>921</v>
      </c>
      <c r="K610" s="15">
        <v>45893</v>
      </c>
      <c r="L610" s="4">
        <v>2025402681</v>
      </c>
      <c r="M610" s="4" t="s">
        <v>226</v>
      </c>
      <c r="N610" s="4">
        <v>2025</v>
      </c>
    </row>
    <row r="611" spans="1:14">
      <c r="A611" s="4">
        <v>610</v>
      </c>
      <c r="B611" s="4" t="s">
        <v>43</v>
      </c>
      <c r="C611" s="4" t="s">
        <v>50</v>
      </c>
      <c r="D611" s="4" t="s">
        <v>61</v>
      </c>
      <c r="E611" s="4" t="s">
        <v>71</v>
      </c>
      <c r="G611" s="4" t="s">
        <v>134</v>
      </c>
      <c r="H611" s="4" t="s">
        <v>71</v>
      </c>
      <c r="I611" s="90">
        <v>560</v>
      </c>
      <c r="J611" s="4" t="s">
        <v>922</v>
      </c>
      <c r="K611" s="15">
        <v>45893</v>
      </c>
      <c r="L611" s="4">
        <v>2025402694</v>
      </c>
      <c r="M611" s="4" t="s">
        <v>226</v>
      </c>
      <c r="N611" s="4">
        <v>2025</v>
      </c>
    </row>
    <row r="612" spans="1:14">
      <c r="A612" s="4">
        <v>611</v>
      </c>
      <c r="B612" s="4" t="s">
        <v>43</v>
      </c>
      <c r="C612" s="4" t="s">
        <v>50</v>
      </c>
      <c r="D612" s="4" t="s">
        <v>61</v>
      </c>
      <c r="E612" s="4" t="s">
        <v>71</v>
      </c>
      <c r="G612" s="4" t="s">
        <v>134</v>
      </c>
      <c r="H612" s="4" t="s">
        <v>71</v>
      </c>
      <c r="I612" s="90">
        <v>70</v>
      </c>
      <c r="J612" s="4" t="s">
        <v>923</v>
      </c>
      <c r="K612" s="15">
        <v>45893</v>
      </c>
      <c r="L612" s="4">
        <v>2025402692</v>
      </c>
      <c r="M612" s="4" t="s">
        <v>226</v>
      </c>
      <c r="N612" s="4">
        <v>2025</v>
      </c>
    </row>
    <row r="613" spans="1:14">
      <c r="A613" s="4">
        <v>612</v>
      </c>
      <c r="B613" s="4" t="s">
        <v>43</v>
      </c>
      <c r="C613" s="4" t="s">
        <v>50</v>
      </c>
      <c r="D613" s="4" t="s">
        <v>61</v>
      </c>
      <c r="E613" s="4" t="s">
        <v>71</v>
      </c>
      <c r="G613" s="4" t="s">
        <v>134</v>
      </c>
      <c r="H613" s="4" t="s">
        <v>71</v>
      </c>
      <c r="I613" s="90">
        <v>390</v>
      </c>
      <c r="J613" s="4" t="s">
        <v>924</v>
      </c>
      <c r="K613" s="15">
        <v>45893</v>
      </c>
      <c r="L613" s="4">
        <v>2025402676</v>
      </c>
      <c r="M613" s="4" t="s">
        <v>226</v>
      </c>
      <c r="N613" s="4">
        <v>2025</v>
      </c>
    </row>
    <row r="614" spans="1:14">
      <c r="A614" s="4">
        <v>613</v>
      </c>
      <c r="B614" s="4" t="s">
        <v>43</v>
      </c>
      <c r="C614" s="4" t="s">
        <v>50</v>
      </c>
      <c r="D614" s="4" t="s">
        <v>61</v>
      </c>
      <c r="E614" s="4" t="s">
        <v>71</v>
      </c>
      <c r="G614" s="4" t="s">
        <v>134</v>
      </c>
      <c r="H614" s="4" t="s">
        <v>71</v>
      </c>
      <c r="I614" s="90">
        <v>97</v>
      </c>
      <c r="J614" s="4" t="s">
        <v>925</v>
      </c>
      <c r="K614" s="15">
        <v>45893</v>
      </c>
      <c r="L614" s="4">
        <v>2025402690</v>
      </c>
      <c r="M614" s="4" t="s">
        <v>226</v>
      </c>
      <c r="N614" s="4">
        <v>2025</v>
      </c>
    </row>
    <row r="615" spans="1:14">
      <c r="A615" s="4">
        <v>614</v>
      </c>
      <c r="B615" s="4" t="s">
        <v>35</v>
      </c>
      <c r="C615" s="4" t="s">
        <v>37</v>
      </c>
      <c r="D615" s="4" t="s">
        <v>61</v>
      </c>
      <c r="E615" s="4" t="s">
        <v>71</v>
      </c>
      <c r="G615" s="4" t="s">
        <v>134</v>
      </c>
      <c r="H615" s="4" t="s">
        <v>71</v>
      </c>
      <c r="I615" s="90">
        <v>430</v>
      </c>
      <c r="J615" s="4" t="s">
        <v>926</v>
      </c>
      <c r="K615" s="15">
        <v>45893</v>
      </c>
      <c r="L615" s="4">
        <v>2025402664</v>
      </c>
      <c r="M615" s="4" t="s">
        <v>226</v>
      </c>
      <c r="N615" s="4">
        <v>2025</v>
      </c>
    </row>
    <row r="616" spans="1:14">
      <c r="A616" s="4">
        <v>615</v>
      </c>
      <c r="B616" s="4" t="s">
        <v>35</v>
      </c>
      <c r="C616" s="4" t="s">
        <v>38</v>
      </c>
      <c r="D616" s="4" t="s">
        <v>61</v>
      </c>
      <c r="E616" s="4" t="s">
        <v>71</v>
      </c>
      <c r="G616" s="4" t="s">
        <v>134</v>
      </c>
      <c r="H616" s="4" t="s">
        <v>71</v>
      </c>
      <c r="I616" s="90">
        <v>685.5</v>
      </c>
      <c r="J616" s="4" t="s">
        <v>927</v>
      </c>
      <c r="K616" s="15">
        <v>45889</v>
      </c>
      <c r="L616" s="4">
        <v>2025402614</v>
      </c>
      <c r="M616" s="4" t="s">
        <v>226</v>
      </c>
      <c r="N616" s="4">
        <v>2025</v>
      </c>
    </row>
    <row r="617" spans="1:14">
      <c r="A617" s="4">
        <v>616</v>
      </c>
      <c r="B617" s="4" t="s">
        <v>53</v>
      </c>
      <c r="C617" s="4" t="s">
        <v>62</v>
      </c>
      <c r="D617" s="4" t="s">
        <v>61</v>
      </c>
      <c r="E617" s="4" t="s">
        <v>71</v>
      </c>
      <c r="G617" s="4" t="s">
        <v>134</v>
      </c>
      <c r="H617" s="4" t="s">
        <v>71</v>
      </c>
      <c r="I617" s="90">
        <v>600</v>
      </c>
      <c r="J617" s="4" t="s">
        <v>928</v>
      </c>
      <c r="K617" s="15">
        <v>45893</v>
      </c>
      <c r="L617" s="4">
        <v>2025402684</v>
      </c>
      <c r="M617" s="4" t="s">
        <v>226</v>
      </c>
      <c r="N617" s="4">
        <v>2025</v>
      </c>
    </row>
    <row r="618" spans="1:14">
      <c r="A618" s="4">
        <v>617</v>
      </c>
      <c r="B618" s="4" t="s">
        <v>43</v>
      </c>
      <c r="C618" s="4" t="s">
        <v>51</v>
      </c>
      <c r="D618" s="4" t="s">
        <v>61</v>
      </c>
      <c r="E618" s="4" t="s">
        <v>71</v>
      </c>
      <c r="G618" s="4" t="s">
        <v>134</v>
      </c>
      <c r="H618" s="4" t="s">
        <v>71</v>
      </c>
      <c r="I618" s="90">
        <v>565.79999999999995</v>
      </c>
      <c r="J618" s="4" t="s">
        <v>878</v>
      </c>
      <c r="K618" s="15">
        <v>45888</v>
      </c>
      <c r="L618" s="4">
        <v>2025402671</v>
      </c>
      <c r="M618" s="4" t="s">
        <v>226</v>
      </c>
      <c r="N618" s="4">
        <v>2025</v>
      </c>
    </row>
    <row r="619" spans="1:14">
      <c r="A619" s="4">
        <v>618</v>
      </c>
      <c r="B619" s="4" t="s">
        <v>35</v>
      </c>
      <c r="C619" s="4" t="s">
        <v>42</v>
      </c>
      <c r="D619" s="4" t="s">
        <v>61</v>
      </c>
      <c r="E619" s="4" t="s">
        <v>71</v>
      </c>
      <c r="G619" s="4" t="s">
        <v>134</v>
      </c>
      <c r="H619" s="4" t="s">
        <v>71</v>
      </c>
      <c r="I619" s="90">
        <v>779.4</v>
      </c>
      <c r="J619" s="4" t="s">
        <v>929</v>
      </c>
      <c r="K619" s="15">
        <v>45889</v>
      </c>
      <c r="L619" s="4">
        <v>2025402679</v>
      </c>
      <c r="M619" s="4" t="s">
        <v>226</v>
      </c>
      <c r="N619" s="4">
        <v>2025</v>
      </c>
    </row>
    <row r="620" spans="1:14">
      <c r="A620" s="4">
        <v>619</v>
      </c>
      <c r="B620" s="4" t="s">
        <v>55</v>
      </c>
      <c r="C620" s="4" t="s">
        <v>56</v>
      </c>
      <c r="D620" s="4" t="s">
        <v>61</v>
      </c>
      <c r="E620" s="4" t="s">
        <v>71</v>
      </c>
      <c r="G620" s="4" t="s">
        <v>134</v>
      </c>
      <c r="H620" s="4" t="s">
        <v>71</v>
      </c>
      <c r="I620" s="90">
        <v>390</v>
      </c>
      <c r="J620" s="4" t="s">
        <v>930</v>
      </c>
      <c r="K620" s="15">
        <v>45889</v>
      </c>
      <c r="L620" s="4">
        <v>2025402601</v>
      </c>
      <c r="M620" s="4" t="s">
        <v>226</v>
      </c>
      <c r="N620" s="4">
        <v>2025</v>
      </c>
    </row>
    <row r="621" spans="1:14">
      <c r="A621" s="4">
        <v>620</v>
      </c>
      <c r="B621" s="4" t="s">
        <v>53</v>
      </c>
      <c r="C621" s="4" t="s">
        <v>62</v>
      </c>
      <c r="D621" s="4" t="s">
        <v>61</v>
      </c>
      <c r="E621" s="4" t="s">
        <v>71</v>
      </c>
      <c r="G621" s="4" t="s">
        <v>134</v>
      </c>
      <c r="H621" s="4" t="s">
        <v>71</v>
      </c>
      <c r="I621" s="90">
        <v>1565</v>
      </c>
      <c r="J621" s="4" t="s">
        <v>931</v>
      </c>
      <c r="K621" s="15">
        <v>45889</v>
      </c>
      <c r="L621" s="4">
        <v>2025402615</v>
      </c>
      <c r="M621" s="4" t="s">
        <v>226</v>
      </c>
      <c r="N621" s="4">
        <v>2025</v>
      </c>
    </row>
    <row r="622" spans="1:14">
      <c r="A622" s="4">
        <v>621</v>
      </c>
      <c r="B622" s="4" t="s">
        <v>43</v>
      </c>
      <c r="C622" s="4" t="s">
        <v>52</v>
      </c>
      <c r="D622" s="4" t="s">
        <v>61</v>
      </c>
      <c r="E622" s="4" t="s">
        <v>71</v>
      </c>
      <c r="G622" s="4" t="s">
        <v>134</v>
      </c>
      <c r="H622" s="4" t="s">
        <v>71</v>
      </c>
      <c r="I622" s="90">
        <v>1540</v>
      </c>
      <c r="J622" s="4" t="s">
        <v>932</v>
      </c>
      <c r="K622" s="15">
        <v>45889</v>
      </c>
      <c r="L622" s="4">
        <v>2025402607</v>
      </c>
      <c r="M622" s="4" t="s">
        <v>226</v>
      </c>
      <c r="N622" s="4">
        <v>2025</v>
      </c>
    </row>
    <row r="623" spans="1:14">
      <c r="A623" s="4">
        <v>622</v>
      </c>
      <c r="B623" s="4" t="s">
        <v>43</v>
      </c>
      <c r="C623" s="4" t="s">
        <v>52</v>
      </c>
      <c r="D623" s="4" t="s">
        <v>61</v>
      </c>
      <c r="E623" s="4" t="s">
        <v>71</v>
      </c>
      <c r="G623" s="4" t="s">
        <v>134</v>
      </c>
      <c r="H623" s="4" t="s">
        <v>71</v>
      </c>
      <c r="I623" s="90">
        <v>595</v>
      </c>
      <c r="J623" s="4" t="s">
        <v>933</v>
      </c>
      <c r="K623" s="15">
        <v>45889</v>
      </c>
      <c r="L623" s="4">
        <v>2025402610</v>
      </c>
      <c r="M623" s="4" t="s">
        <v>226</v>
      </c>
      <c r="N623" s="4">
        <v>2025</v>
      </c>
    </row>
    <row r="624" spans="1:14">
      <c r="A624" s="4">
        <v>623</v>
      </c>
      <c r="B624" s="4" t="s">
        <v>43</v>
      </c>
      <c r="C624" s="4" t="s">
        <v>50</v>
      </c>
      <c r="D624" s="4" t="s">
        <v>61</v>
      </c>
      <c r="E624" s="4" t="s">
        <v>71</v>
      </c>
      <c r="G624" s="4" t="s">
        <v>134</v>
      </c>
      <c r="H624" s="4" t="s">
        <v>71</v>
      </c>
      <c r="I624" s="90">
        <v>450</v>
      </c>
      <c r="J624" s="4" t="s">
        <v>934</v>
      </c>
      <c r="K624" s="15">
        <v>45889</v>
      </c>
      <c r="L624" s="4">
        <v>2025402617</v>
      </c>
      <c r="M624" s="4" t="s">
        <v>226</v>
      </c>
      <c r="N624" s="4">
        <v>2025</v>
      </c>
    </row>
    <row r="625" spans="1:14">
      <c r="A625" s="4">
        <v>624</v>
      </c>
      <c r="B625" s="4" t="s">
        <v>55</v>
      </c>
      <c r="C625" s="4" t="s">
        <v>56</v>
      </c>
      <c r="D625" s="4" t="s">
        <v>61</v>
      </c>
      <c r="E625" s="4" t="s">
        <v>71</v>
      </c>
      <c r="G625" s="4" t="s">
        <v>134</v>
      </c>
      <c r="H625" s="4" t="s">
        <v>71</v>
      </c>
      <c r="I625" s="90">
        <v>1950</v>
      </c>
      <c r="J625" s="4" t="s">
        <v>935</v>
      </c>
      <c r="K625" s="15">
        <v>45890</v>
      </c>
      <c r="L625" s="4">
        <v>2025402602</v>
      </c>
      <c r="M625" s="4" t="s">
        <v>226</v>
      </c>
      <c r="N625" s="4">
        <v>2025</v>
      </c>
    </row>
    <row r="626" spans="1:14">
      <c r="A626" s="4">
        <v>625</v>
      </c>
      <c r="B626" s="4" t="s">
        <v>55</v>
      </c>
      <c r="C626" s="4" t="s">
        <v>56</v>
      </c>
      <c r="D626" s="4" t="s">
        <v>61</v>
      </c>
      <c r="E626" s="4" t="s">
        <v>71</v>
      </c>
      <c r="G626" s="4" t="s">
        <v>134</v>
      </c>
      <c r="H626" s="4" t="s">
        <v>71</v>
      </c>
      <c r="I626" s="90">
        <v>145</v>
      </c>
      <c r="J626" s="4" t="s">
        <v>936</v>
      </c>
      <c r="K626" s="15">
        <v>45889</v>
      </c>
      <c r="L626" s="4">
        <v>2025402624</v>
      </c>
      <c r="M626" s="4" t="s">
        <v>226</v>
      </c>
      <c r="N626" s="4">
        <v>2025</v>
      </c>
    </row>
    <row r="627" spans="1:14">
      <c r="A627" s="4">
        <v>626</v>
      </c>
      <c r="B627" s="4" t="s">
        <v>43</v>
      </c>
      <c r="C627" s="4" t="s">
        <v>51</v>
      </c>
      <c r="D627" s="4" t="s">
        <v>61</v>
      </c>
      <c r="E627" s="4" t="s">
        <v>71</v>
      </c>
      <c r="G627" s="4" t="s">
        <v>134</v>
      </c>
      <c r="H627" s="4" t="s">
        <v>71</v>
      </c>
      <c r="I627" s="90">
        <v>3676</v>
      </c>
      <c r="J627" s="4" t="s">
        <v>937</v>
      </c>
      <c r="K627" s="15">
        <v>45892</v>
      </c>
      <c r="L627" s="4">
        <v>2025402666</v>
      </c>
      <c r="M627" s="4" t="s">
        <v>226</v>
      </c>
      <c r="N627" s="4">
        <v>2025</v>
      </c>
    </row>
    <row r="628" spans="1:14">
      <c r="A628" s="4">
        <v>627</v>
      </c>
      <c r="B628" s="4" t="s">
        <v>43</v>
      </c>
      <c r="C628" s="4" t="s">
        <v>51</v>
      </c>
      <c r="D628" s="4" t="s">
        <v>61</v>
      </c>
      <c r="E628" s="4" t="s">
        <v>71</v>
      </c>
      <c r="G628" s="4" t="s">
        <v>134</v>
      </c>
      <c r="H628" s="4" t="s">
        <v>71</v>
      </c>
      <c r="I628" s="90">
        <v>343.8</v>
      </c>
      <c r="J628" s="4" t="s">
        <v>938</v>
      </c>
      <c r="K628" s="15">
        <v>45889</v>
      </c>
      <c r="L628" s="4">
        <v>2025402606</v>
      </c>
      <c r="M628" s="4" t="s">
        <v>226</v>
      </c>
      <c r="N628" s="4">
        <v>2025</v>
      </c>
    </row>
    <row r="629" spans="1:14">
      <c r="A629" s="4">
        <v>628</v>
      </c>
      <c r="B629" s="4" t="s">
        <v>43</v>
      </c>
      <c r="C629" s="4" t="s">
        <v>51</v>
      </c>
      <c r="D629" s="4" t="s">
        <v>61</v>
      </c>
      <c r="E629" s="4" t="s">
        <v>71</v>
      </c>
      <c r="G629" s="4" t="s">
        <v>134</v>
      </c>
      <c r="H629" s="4" t="s">
        <v>71</v>
      </c>
      <c r="I629" s="90">
        <v>320</v>
      </c>
      <c r="J629" s="4" t="s">
        <v>939</v>
      </c>
      <c r="K629" s="15">
        <v>45889</v>
      </c>
      <c r="L629" s="4">
        <v>2025402605</v>
      </c>
      <c r="M629" s="4" t="s">
        <v>226</v>
      </c>
      <c r="N629" s="4">
        <v>2025</v>
      </c>
    </row>
    <row r="630" spans="1:14">
      <c r="A630" s="4">
        <v>629</v>
      </c>
      <c r="B630" s="4" t="s">
        <v>43</v>
      </c>
      <c r="C630" s="4" t="s">
        <v>51</v>
      </c>
      <c r="D630" s="4" t="s">
        <v>61</v>
      </c>
      <c r="E630" s="4" t="s">
        <v>71</v>
      </c>
      <c r="G630" s="4" t="s">
        <v>134</v>
      </c>
      <c r="H630" s="4" t="s">
        <v>71</v>
      </c>
      <c r="I630" s="90">
        <v>425</v>
      </c>
      <c r="J630" s="4" t="s">
        <v>940</v>
      </c>
      <c r="K630" s="15">
        <v>45889</v>
      </c>
      <c r="L630" s="4">
        <v>2025402604</v>
      </c>
      <c r="M630" s="4" t="s">
        <v>226</v>
      </c>
      <c r="N630" s="4">
        <v>2025</v>
      </c>
    </row>
    <row r="631" spans="1:14">
      <c r="A631" s="4">
        <v>630</v>
      </c>
      <c r="B631" s="4" t="s">
        <v>53</v>
      </c>
      <c r="C631" s="4" t="s">
        <v>62</v>
      </c>
      <c r="D631" s="4" t="s">
        <v>61</v>
      </c>
      <c r="E631" s="4" t="s">
        <v>71</v>
      </c>
      <c r="G631" s="4" t="s">
        <v>134</v>
      </c>
      <c r="H631" s="4" t="s">
        <v>71</v>
      </c>
      <c r="I631" s="90">
        <v>560</v>
      </c>
      <c r="J631" s="4" t="s">
        <v>941</v>
      </c>
      <c r="K631" s="15">
        <v>45889</v>
      </c>
      <c r="L631" s="4">
        <v>2025402609</v>
      </c>
      <c r="M631" s="4" t="s">
        <v>226</v>
      </c>
      <c r="N631" s="4">
        <v>2025</v>
      </c>
    </row>
    <row r="632" spans="1:14">
      <c r="A632" s="4">
        <v>631</v>
      </c>
      <c r="B632" s="4" t="s">
        <v>53</v>
      </c>
      <c r="C632" s="4" t="s">
        <v>62</v>
      </c>
      <c r="D632" s="4" t="s">
        <v>61</v>
      </c>
      <c r="E632" s="4" t="s">
        <v>71</v>
      </c>
      <c r="G632" s="4" t="s">
        <v>134</v>
      </c>
      <c r="H632" s="4" t="s">
        <v>71</v>
      </c>
      <c r="I632" s="90">
        <v>800</v>
      </c>
      <c r="J632" s="4" t="s">
        <v>942</v>
      </c>
      <c r="K632" s="15">
        <v>45889</v>
      </c>
      <c r="L632" s="4">
        <v>2025402616</v>
      </c>
      <c r="M632" s="4" t="s">
        <v>226</v>
      </c>
      <c r="N632" s="4">
        <v>2025</v>
      </c>
    </row>
    <row r="633" spans="1:14">
      <c r="A633" s="4">
        <v>632</v>
      </c>
      <c r="B633" s="4" t="s">
        <v>43</v>
      </c>
      <c r="C633" s="4" t="s">
        <v>47</v>
      </c>
      <c r="D633" s="4" t="s">
        <v>61</v>
      </c>
      <c r="E633" s="4" t="s">
        <v>71</v>
      </c>
      <c r="G633" s="4" t="s">
        <v>134</v>
      </c>
      <c r="H633" s="4" t="s">
        <v>71</v>
      </c>
      <c r="I633" s="90">
        <v>240</v>
      </c>
      <c r="J633" s="4" t="s">
        <v>943</v>
      </c>
      <c r="K633" s="15">
        <v>45889</v>
      </c>
      <c r="L633" s="4">
        <v>2025402608</v>
      </c>
      <c r="M633" s="4" t="s">
        <v>226</v>
      </c>
      <c r="N633" s="4">
        <v>2025</v>
      </c>
    </row>
    <row r="634" spans="1:14">
      <c r="A634" s="4">
        <v>633</v>
      </c>
      <c r="B634" s="4" t="s">
        <v>17</v>
      </c>
      <c r="C634" s="4" t="s">
        <v>25</v>
      </c>
      <c r="D634" s="4" t="s">
        <v>61</v>
      </c>
      <c r="E634" s="4" t="s">
        <v>71</v>
      </c>
      <c r="G634" s="4" t="s">
        <v>134</v>
      </c>
      <c r="H634" s="4" t="s">
        <v>71</v>
      </c>
      <c r="I634" s="90">
        <v>625</v>
      </c>
      <c r="J634" s="4" t="s">
        <v>944</v>
      </c>
      <c r="K634" s="15">
        <v>45880</v>
      </c>
      <c r="L634" s="4">
        <v>2025402628</v>
      </c>
      <c r="M634" s="4" t="s">
        <v>226</v>
      </c>
      <c r="N634" s="4">
        <v>2025</v>
      </c>
    </row>
    <row r="635" spans="1:14">
      <c r="A635" s="4">
        <v>634</v>
      </c>
      <c r="B635" s="4" t="s">
        <v>29</v>
      </c>
      <c r="C635" s="4" t="s">
        <v>237</v>
      </c>
      <c r="D635" s="4" t="s">
        <v>61</v>
      </c>
      <c r="E635" s="4" t="s">
        <v>71</v>
      </c>
      <c r="G635" s="4" t="s">
        <v>134</v>
      </c>
      <c r="H635" s="4" t="s">
        <v>71</v>
      </c>
      <c r="I635" s="90">
        <v>2690</v>
      </c>
      <c r="J635" s="4" t="s">
        <v>945</v>
      </c>
      <c r="K635" s="15">
        <v>45888</v>
      </c>
      <c r="L635" s="4">
        <v>2025402673</v>
      </c>
      <c r="M635" s="4" t="s">
        <v>226</v>
      </c>
      <c r="N635" s="4">
        <v>2025</v>
      </c>
    </row>
    <row r="636" spans="1:14">
      <c r="A636" s="4">
        <v>635</v>
      </c>
      <c r="B636" s="4" t="s">
        <v>43</v>
      </c>
      <c r="C636" s="4" t="s">
        <v>51</v>
      </c>
      <c r="D636" s="4" t="s">
        <v>61</v>
      </c>
      <c r="E636" s="4" t="s">
        <v>71</v>
      </c>
      <c r="G636" s="4" t="s">
        <v>134</v>
      </c>
      <c r="H636" s="4" t="s">
        <v>71</v>
      </c>
      <c r="I636" s="90">
        <v>125</v>
      </c>
      <c r="J636" s="4" t="s">
        <v>946</v>
      </c>
      <c r="K636" s="15">
        <v>45892</v>
      </c>
      <c r="L636" s="4">
        <v>2025402672</v>
      </c>
      <c r="M636" s="4" t="s">
        <v>226</v>
      </c>
      <c r="N636" s="4">
        <v>2025</v>
      </c>
    </row>
    <row r="637" spans="1:14">
      <c r="A637" s="4">
        <v>636</v>
      </c>
      <c r="B637" s="4" t="s">
        <v>53</v>
      </c>
      <c r="C637" s="4" t="s">
        <v>62</v>
      </c>
      <c r="D637" s="4" t="s">
        <v>61</v>
      </c>
      <c r="E637" s="4" t="s">
        <v>71</v>
      </c>
      <c r="G637" s="4" t="s">
        <v>134</v>
      </c>
      <c r="H637" s="4" t="s">
        <v>71</v>
      </c>
      <c r="I637" s="90">
        <v>309.89999999999998</v>
      </c>
      <c r="J637" s="4" t="s">
        <v>947</v>
      </c>
      <c r="K637" s="15">
        <v>45899</v>
      </c>
      <c r="L637" s="4">
        <v>2025402434</v>
      </c>
      <c r="M637" s="4" t="s">
        <v>226</v>
      </c>
      <c r="N637" s="4">
        <v>2025</v>
      </c>
    </row>
    <row r="638" spans="1:14">
      <c r="A638" s="4">
        <v>637</v>
      </c>
      <c r="B638" s="4" t="s">
        <v>43</v>
      </c>
      <c r="C638" s="4" t="s">
        <v>51</v>
      </c>
      <c r="D638" s="4" t="s">
        <v>61</v>
      </c>
      <c r="E638" s="4" t="s">
        <v>71</v>
      </c>
      <c r="G638" s="4" t="s">
        <v>134</v>
      </c>
      <c r="H638" s="4" t="s">
        <v>71</v>
      </c>
      <c r="I638" s="90">
        <v>134</v>
      </c>
      <c r="J638" s="4" t="s">
        <v>948</v>
      </c>
      <c r="K638" s="15">
        <v>45893</v>
      </c>
      <c r="L638" s="4">
        <v>2025402660</v>
      </c>
      <c r="M638" s="4" t="s">
        <v>226</v>
      </c>
      <c r="N638" s="4">
        <v>2025</v>
      </c>
    </row>
    <row r="639" spans="1:14">
      <c r="A639" s="4">
        <v>638</v>
      </c>
      <c r="B639" s="4" t="s">
        <v>53</v>
      </c>
      <c r="C639" s="4" t="s">
        <v>62</v>
      </c>
      <c r="D639" s="4" t="s">
        <v>61</v>
      </c>
      <c r="E639" s="4" t="s">
        <v>71</v>
      </c>
      <c r="G639" s="4" t="s">
        <v>134</v>
      </c>
      <c r="H639" s="4" t="s">
        <v>71</v>
      </c>
      <c r="I639" s="90">
        <v>2760</v>
      </c>
      <c r="J639" s="4" t="s">
        <v>949</v>
      </c>
      <c r="K639" s="15">
        <v>45897</v>
      </c>
      <c r="L639" s="4">
        <v>2025402791</v>
      </c>
      <c r="M639" s="4" t="s">
        <v>226</v>
      </c>
      <c r="N639" s="4">
        <v>2025</v>
      </c>
    </row>
    <row r="640" spans="1:14">
      <c r="A640" s="4">
        <v>639</v>
      </c>
      <c r="B640" s="4" t="s">
        <v>53</v>
      </c>
      <c r="C640" s="4" t="s">
        <v>62</v>
      </c>
      <c r="D640" s="4" t="s">
        <v>61</v>
      </c>
      <c r="E640" s="4" t="s">
        <v>71</v>
      </c>
      <c r="G640" s="4" t="s">
        <v>134</v>
      </c>
      <c r="H640" s="4" t="s">
        <v>71</v>
      </c>
      <c r="I640" s="90">
        <v>500</v>
      </c>
      <c r="J640" s="4" t="s">
        <v>950</v>
      </c>
      <c r="K640" s="15">
        <v>45899</v>
      </c>
      <c r="L640" s="4">
        <v>2025402792</v>
      </c>
      <c r="M640" s="4" t="s">
        <v>226</v>
      </c>
      <c r="N640" s="4">
        <v>2025</v>
      </c>
    </row>
    <row r="641" spans="1:14">
      <c r="A641" s="4">
        <v>640</v>
      </c>
      <c r="B641" s="4" t="s">
        <v>17</v>
      </c>
      <c r="C641" s="4" t="s">
        <v>26</v>
      </c>
      <c r="D641" s="4" t="s">
        <v>61</v>
      </c>
      <c r="E641" s="4" t="s">
        <v>71</v>
      </c>
      <c r="G641" s="4" t="s">
        <v>134</v>
      </c>
      <c r="H641" s="4" t="s">
        <v>71</v>
      </c>
      <c r="I641" s="90">
        <v>621</v>
      </c>
      <c r="J641" s="4" t="s">
        <v>951</v>
      </c>
      <c r="K641" s="15">
        <v>45897</v>
      </c>
      <c r="L641" s="4">
        <v>2025402785</v>
      </c>
      <c r="M641" s="4" t="s">
        <v>226</v>
      </c>
      <c r="N641" s="4">
        <v>2025</v>
      </c>
    </row>
    <row r="642" spans="1:14">
      <c r="A642" s="4">
        <v>641</v>
      </c>
      <c r="B642" s="4" t="s">
        <v>43</v>
      </c>
      <c r="C642" s="4" t="s">
        <v>51</v>
      </c>
      <c r="D642" s="4" t="s">
        <v>61</v>
      </c>
      <c r="E642" s="4" t="s">
        <v>71</v>
      </c>
      <c r="G642" s="4" t="s">
        <v>134</v>
      </c>
      <c r="H642" s="4" t="s">
        <v>71</v>
      </c>
      <c r="I642" s="90">
        <v>1840</v>
      </c>
      <c r="J642" s="4" t="s">
        <v>952</v>
      </c>
      <c r="K642" s="15">
        <v>45880</v>
      </c>
      <c r="L642" s="4">
        <v>2025402597</v>
      </c>
      <c r="M642" s="4" t="s">
        <v>226</v>
      </c>
      <c r="N642" s="4">
        <v>2025</v>
      </c>
    </row>
    <row r="643" spans="1:14">
      <c r="A643" s="4">
        <v>642</v>
      </c>
      <c r="B643" s="4" t="s">
        <v>53</v>
      </c>
      <c r="C643" s="4" t="s">
        <v>62</v>
      </c>
      <c r="D643" s="4" t="s">
        <v>61</v>
      </c>
      <c r="E643" s="4" t="s">
        <v>71</v>
      </c>
      <c r="G643" s="4" t="s">
        <v>134</v>
      </c>
      <c r="H643" s="4" t="s">
        <v>71</v>
      </c>
      <c r="I643" s="90">
        <v>1296</v>
      </c>
      <c r="J643" s="4" t="s">
        <v>953</v>
      </c>
      <c r="K643" s="15">
        <v>45893</v>
      </c>
      <c r="L643" s="4">
        <v>2025402749</v>
      </c>
      <c r="M643" s="4" t="s">
        <v>226</v>
      </c>
      <c r="N643" s="4">
        <v>2025</v>
      </c>
    </row>
    <row r="644" spans="1:14">
      <c r="A644" s="4">
        <v>643</v>
      </c>
      <c r="B644" s="4" t="s">
        <v>53</v>
      </c>
      <c r="C644" s="4" t="s">
        <v>62</v>
      </c>
      <c r="D644" s="4" t="s">
        <v>61</v>
      </c>
      <c r="E644" s="4" t="s">
        <v>71</v>
      </c>
      <c r="G644" s="4" t="s">
        <v>134</v>
      </c>
      <c r="H644" s="4" t="s">
        <v>71</v>
      </c>
      <c r="I644" s="90">
        <v>715</v>
      </c>
      <c r="J644" s="4" t="s">
        <v>954</v>
      </c>
      <c r="K644" s="15">
        <v>45893</v>
      </c>
      <c r="L644" s="4">
        <v>2025402735</v>
      </c>
      <c r="M644" s="4" t="s">
        <v>226</v>
      </c>
      <c r="N644" s="4">
        <v>2025</v>
      </c>
    </row>
    <row r="645" spans="1:14">
      <c r="A645" s="4">
        <v>644</v>
      </c>
      <c r="B645" s="4" t="s">
        <v>43</v>
      </c>
      <c r="C645" s="4" t="s">
        <v>51</v>
      </c>
      <c r="D645" s="4" t="s">
        <v>61</v>
      </c>
      <c r="E645" s="4" t="s">
        <v>71</v>
      </c>
      <c r="G645" s="4" t="s">
        <v>134</v>
      </c>
      <c r="H645" s="4" t="s">
        <v>71</v>
      </c>
      <c r="I645" s="90">
        <v>2131.5</v>
      </c>
      <c r="J645" s="4" t="s">
        <v>955</v>
      </c>
      <c r="K645" s="15">
        <v>45897</v>
      </c>
      <c r="L645" s="4">
        <v>2025402818</v>
      </c>
      <c r="M645" s="4" t="s">
        <v>226</v>
      </c>
      <c r="N645" s="4">
        <v>2025</v>
      </c>
    </row>
    <row r="646" spans="1:14">
      <c r="A646" s="4">
        <v>645</v>
      </c>
      <c r="B646" s="4" t="s">
        <v>43</v>
      </c>
      <c r="C646" s="4" t="s">
        <v>51</v>
      </c>
      <c r="D646" s="4" t="s">
        <v>61</v>
      </c>
      <c r="E646" s="4" t="s">
        <v>71</v>
      </c>
      <c r="G646" s="4" t="s">
        <v>134</v>
      </c>
      <c r="H646" s="4" t="s">
        <v>71</v>
      </c>
      <c r="I646" s="90">
        <v>750</v>
      </c>
      <c r="J646" s="4" t="s">
        <v>956</v>
      </c>
      <c r="K646" s="15">
        <v>45897</v>
      </c>
      <c r="L646" s="4">
        <v>2025402820</v>
      </c>
      <c r="M646" s="4" t="s">
        <v>226</v>
      </c>
      <c r="N646" s="4">
        <v>2025</v>
      </c>
    </row>
    <row r="647" spans="1:14">
      <c r="A647" s="4">
        <v>646</v>
      </c>
      <c r="B647" s="4" t="s">
        <v>43</v>
      </c>
      <c r="C647" s="4" t="s">
        <v>51</v>
      </c>
      <c r="D647" s="4" t="s">
        <v>61</v>
      </c>
      <c r="E647" s="4" t="s">
        <v>71</v>
      </c>
      <c r="G647" s="4" t="s">
        <v>134</v>
      </c>
      <c r="H647" s="4" t="s">
        <v>71</v>
      </c>
      <c r="I647" s="90">
        <v>1315</v>
      </c>
      <c r="J647" s="4" t="s">
        <v>957</v>
      </c>
      <c r="K647" s="15">
        <v>45897</v>
      </c>
      <c r="L647" s="4">
        <v>2025402799</v>
      </c>
      <c r="M647" s="4" t="s">
        <v>226</v>
      </c>
      <c r="N647" s="4">
        <v>2025</v>
      </c>
    </row>
    <row r="648" spans="1:14">
      <c r="A648" s="4">
        <v>647</v>
      </c>
      <c r="B648" s="4" t="s">
        <v>43</v>
      </c>
      <c r="C648" s="4" t="s">
        <v>51</v>
      </c>
      <c r="D648" s="4" t="s">
        <v>61</v>
      </c>
      <c r="E648" s="4" t="s">
        <v>71</v>
      </c>
      <c r="G648" s="4" t="s">
        <v>134</v>
      </c>
      <c r="H648" s="4" t="s">
        <v>71</v>
      </c>
      <c r="I648" s="90">
        <v>350</v>
      </c>
      <c r="J648" s="4" t="s">
        <v>958</v>
      </c>
      <c r="K648" s="15">
        <v>45897</v>
      </c>
      <c r="L648" s="4">
        <v>2025402803</v>
      </c>
      <c r="M648" s="4" t="s">
        <v>226</v>
      </c>
      <c r="N648" s="4">
        <v>2025</v>
      </c>
    </row>
    <row r="649" spans="1:14">
      <c r="A649" s="4">
        <v>648</v>
      </c>
      <c r="B649" s="4" t="s">
        <v>43</v>
      </c>
      <c r="C649" s="4" t="s">
        <v>51</v>
      </c>
      <c r="D649" s="4" t="s">
        <v>61</v>
      </c>
      <c r="E649" s="4" t="s">
        <v>71</v>
      </c>
      <c r="G649" s="4" t="s">
        <v>134</v>
      </c>
      <c r="H649" s="4" t="s">
        <v>71</v>
      </c>
      <c r="I649" s="90">
        <v>140</v>
      </c>
      <c r="J649" s="4" t="s">
        <v>959</v>
      </c>
      <c r="K649" s="15">
        <v>45897</v>
      </c>
      <c r="L649" s="4">
        <v>2025402806</v>
      </c>
      <c r="M649" s="4" t="s">
        <v>226</v>
      </c>
      <c r="N649" s="4">
        <v>2025</v>
      </c>
    </row>
    <row r="650" spans="1:14">
      <c r="A650" s="4">
        <v>649</v>
      </c>
      <c r="B650" s="4" t="s">
        <v>43</v>
      </c>
      <c r="C650" s="4" t="s">
        <v>51</v>
      </c>
      <c r="D650" s="4" t="s">
        <v>61</v>
      </c>
      <c r="E650" s="4" t="s">
        <v>71</v>
      </c>
      <c r="G650" s="4" t="s">
        <v>134</v>
      </c>
      <c r="H650" s="4" t="s">
        <v>71</v>
      </c>
      <c r="I650" s="90">
        <v>495</v>
      </c>
      <c r="J650" s="4" t="s">
        <v>960</v>
      </c>
      <c r="K650" s="15">
        <v>45897</v>
      </c>
      <c r="L650" s="4">
        <v>2025402804</v>
      </c>
      <c r="M650" s="4" t="s">
        <v>226</v>
      </c>
      <c r="N650" s="4">
        <v>2025</v>
      </c>
    </row>
    <row r="651" spans="1:14">
      <c r="A651" s="4">
        <v>650</v>
      </c>
      <c r="B651" s="4" t="s">
        <v>17</v>
      </c>
      <c r="C651" s="4" t="s">
        <v>22</v>
      </c>
      <c r="D651" s="4" t="s">
        <v>61</v>
      </c>
      <c r="E651" s="4" t="s">
        <v>71</v>
      </c>
      <c r="G651" s="4" t="s">
        <v>134</v>
      </c>
      <c r="H651" s="4" t="s">
        <v>71</v>
      </c>
      <c r="I651" s="90">
        <v>260</v>
      </c>
      <c r="J651" s="4" t="s">
        <v>961</v>
      </c>
      <c r="K651" s="15">
        <v>45897</v>
      </c>
      <c r="L651" s="4">
        <v>2025402712</v>
      </c>
      <c r="M651" s="4" t="s">
        <v>226</v>
      </c>
      <c r="N651" s="4">
        <v>2025</v>
      </c>
    </row>
    <row r="652" spans="1:14">
      <c r="A652" s="4">
        <v>651</v>
      </c>
      <c r="B652" s="4" t="s">
        <v>17</v>
      </c>
      <c r="C652" s="4" t="s">
        <v>22</v>
      </c>
      <c r="D652" s="4" t="s">
        <v>61</v>
      </c>
      <c r="E652" s="4" t="s">
        <v>71</v>
      </c>
      <c r="G652" s="4" t="s">
        <v>134</v>
      </c>
      <c r="H652" s="4" t="s">
        <v>71</v>
      </c>
      <c r="I652" s="90">
        <v>400</v>
      </c>
      <c r="J652" s="4" t="s">
        <v>962</v>
      </c>
      <c r="K652" s="15">
        <v>45897</v>
      </c>
      <c r="L652" s="4">
        <v>2025402713</v>
      </c>
      <c r="M652" s="4" t="s">
        <v>226</v>
      </c>
      <c r="N652" s="4">
        <v>2025</v>
      </c>
    </row>
    <row r="653" spans="1:14">
      <c r="A653" s="4">
        <v>652</v>
      </c>
      <c r="B653" s="4" t="s">
        <v>53</v>
      </c>
      <c r="C653" s="4" t="s">
        <v>62</v>
      </c>
      <c r="D653" s="4" t="s">
        <v>61</v>
      </c>
      <c r="E653" s="4" t="s">
        <v>71</v>
      </c>
      <c r="G653" s="4" t="s">
        <v>134</v>
      </c>
      <c r="H653" s="4" t="s">
        <v>71</v>
      </c>
      <c r="I653" s="90">
        <v>864</v>
      </c>
      <c r="J653" s="4" t="s">
        <v>963</v>
      </c>
      <c r="K653" s="15">
        <v>45895</v>
      </c>
      <c r="L653" s="4">
        <v>2025402761</v>
      </c>
      <c r="M653" s="4" t="s">
        <v>226</v>
      </c>
      <c r="N653" s="4">
        <v>2025</v>
      </c>
    </row>
    <row r="654" spans="1:14">
      <c r="A654" s="4">
        <v>653</v>
      </c>
      <c r="B654" s="4" t="s">
        <v>35</v>
      </c>
      <c r="C654" s="4" t="s">
        <v>37</v>
      </c>
      <c r="D654" s="4" t="s">
        <v>61</v>
      </c>
      <c r="E654" s="4" t="s">
        <v>71</v>
      </c>
      <c r="G654" s="4" t="s">
        <v>134</v>
      </c>
      <c r="H654" s="4" t="s">
        <v>71</v>
      </c>
      <c r="I654" s="90">
        <v>860</v>
      </c>
      <c r="J654" s="4" t="s">
        <v>964</v>
      </c>
      <c r="K654" s="15">
        <v>45897</v>
      </c>
      <c r="L654" s="4">
        <v>2025402815</v>
      </c>
      <c r="M654" s="4" t="s">
        <v>226</v>
      </c>
      <c r="N654" s="4">
        <v>2025</v>
      </c>
    </row>
    <row r="655" spans="1:14">
      <c r="A655" s="4">
        <v>654</v>
      </c>
      <c r="B655" s="4" t="s">
        <v>53</v>
      </c>
      <c r="C655" s="4" t="s">
        <v>62</v>
      </c>
      <c r="D655" s="4" t="s">
        <v>61</v>
      </c>
      <c r="E655" s="4" t="s">
        <v>71</v>
      </c>
      <c r="G655" s="4" t="s">
        <v>134</v>
      </c>
      <c r="H655" s="4" t="s">
        <v>71</v>
      </c>
      <c r="I655" s="90">
        <v>1395</v>
      </c>
      <c r="J655" s="4" t="s">
        <v>965</v>
      </c>
      <c r="K655" s="15">
        <v>45889</v>
      </c>
      <c r="L655" s="4">
        <v>2025402612</v>
      </c>
      <c r="M655" s="4" t="s">
        <v>226</v>
      </c>
      <c r="N655" s="4">
        <v>2025</v>
      </c>
    </row>
    <row r="656" spans="1:14">
      <c r="A656" s="4">
        <v>655</v>
      </c>
      <c r="B656" s="4" t="s">
        <v>35</v>
      </c>
      <c r="C656" s="4" t="s">
        <v>37</v>
      </c>
      <c r="D656" s="4" t="s">
        <v>61</v>
      </c>
      <c r="E656" s="4" t="s">
        <v>71</v>
      </c>
      <c r="G656" s="4" t="s">
        <v>134</v>
      </c>
      <c r="H656" s="4" t="s">
        <v>71</v>
      </c>
      <c r="I656" s="90">
        <v>565</v>
      </c>
      <c r="J656" s="4" t="s">
        <v>966</v>
      </c>
      <c r="K656" s="15">
        <v>45897</v>
      </c>
      <c r="L656" s="4">
        <v>2025402800</v>
      </c>
      <c r="M656" s="4" t="s">
        <v>226</v>
      </c>
      <c r="N656" s="4">
        <v>2025</v>
      </c>
    </row>
    <row r="657" spans="1:14">
      <c r="A657" s="4">
        <v>656</v>
      </c>
      <c r="B657" s="4" t="s">
        <v>43</v>
      </c>
      <c r="C657" s="4" t="s">
        <v>50</v>
      </c>
      <c r="D657" s="4" t="s">
        <v>61</v>
      </c>
      <c r="E657" s="4" t="s">
        <v>71</v>
      </c>
      <c r="G657" s="4" t="s">
        <v>134</v>
      </c>
      <c r="H657" s="4" t="s">
        <v>71</v>
      </c>
      <c r="I657" s="90">
        <v>138</v>
      </c>
      <c r="J657" s="4" t="s">
        <v>967</v>
      </c>
      <c r="K657" s="15">
        <v>45899</v>
      </c>
      <c r="L657" s="4">
        <v>2025402807</v>
      </c>
      <c r="M657" s="4" t="s">
        <v>226</v>
      </c>
      <c r="N657" s="4">
        <v>2025</v>
      </c>
    </row>
    <row r="658" spans="1:14">
      <c r="A658" s="4">
        <v>657</v>
      </c>
      <c r="B658" s="4" t="s">
        <v>43</v>
      </c>
      <c r="C658" s="4" t="s">
        <v>50</v>
      </c>
      <c r="D658" s="4" t="s">
        <v>61</v>
      </c>
      <c r="E658" s="4" t="s">
        <v>71</v>
      </c>
      <c r="G658" s="4" t="s">
        <v>134</v>
      </c>
      <c r="H658" s="4" t="s">
        <v>71</v>
      </c>
      <c r="I658" s="90">
        <v>525</v>
      </c>
      <c r="J658" s="4" t="s">
        <v>968</v>
      </c>
      <c r="K658" s="15">
        <v>45899</v>
      </c>
      <c r="L658" s="4">
        <v>2025402793</v>
      </c>
      <c r="M658" s="4" t="s">
        <v>226</v>
      </c>
      <c r="N658" s="4">
        <v>2025</v>
      </c>
    </row>
    <row r="659" spans="1:14">
      <c r="A659" s="4">
        <v>658</v>
      </c>
      <c r="B659" s="4" t="s">
        <v>29</v>
      </c>
      <c r="C659" s="4" t="s">
        <v>237</v>
      </c>
      <c r="D659" s="4" t="s">
        <v>61</v>
      </c>
      <c r="E659" s="4" t="s">
        <v>71</v>
      </c>
      <c r="G659" s="4" t="s">
        <v>134</v>
      </c>
      <c r="H659" s="4" t="s">
        <v>71</v>
      </c>
      <c r="I659" s="90">
        <v>834.9</v>
      </c>
      <c r="J659" s="4" t="s">
        <v>969</v>
      </c>
      <c r="K659" s="15">
        <v>45897</v>
      </c>
      <c r="L659" s="4">
        <v>2025402789</v>
      </c>
      <c r="M659" s="4" t="s">
        <v>226</v>
      </c>
      <c r="N659" s="4">
        <v>2025</v>
      </c>
    </row>
    <row r="660" spans="1:14">
      <c r="A660" s="4">
        <v>659</v>
      </c>
      <c r="B660" s="4" t="s">
        <v>43</v>
      </c>
      <c r="C660" s="4" t="s">
        <v>45</v>
      </c>
      <c r="D660" s="4" t="s">
        <v>61</v>
      </c>
      <c r="E660" s="4" t="s">
        <v>71</v>
      </c>
      <c r="G660" s="4" t="s">
        <v>134</v>
      </c>
      <c r="H660" s="4" t="s">
        <v>71</v>
      </c>
      <c r="I660" s="90">
        <v>200</v>
      </c>
      <c r="J660" s="4" t="s">
        <v>970</v>
      </c>
      <c r="K660" s="15">
        <v>45897</v>
      </c>
      <c r="L660" s="4">
        <v>2025402816</v>
      </c>
      <c r="M660" s="4" t="s">
        <v>226</v>
      </c>
      <c r="N660" s="4">
        <v>2025</v>
      </c>
    </row>
    <row r="661" spans="1:14">
      <c r="A661" s="4">
        <v>660</v>
      </c>
      <c r="B661" s="4" t="s">
        <v>53</v>
      </c>
      <c r="C661" s="4" t="s">
        <v>62</v>
      </c>
      <c r="D661" s="4" t="s">
        <v>61</v>
      </c>
      <c r="E661" s="4" t="s">
        <v>71</v>
      </c>
      <c r="G661" s="4" t="s">
        <v>134</v>
      </c>
      <c r="H661" s="4" t="s">
        <v>71</v>
      </c>
      <c r="I661" s="90">
        <v>2084.1</v>
      </c>
      <c r="J661" s="4" t="s">
        <v>971</v>
      </c>
      <c r="K661" s="15">
        <v>45897</v>
      </c>
      <c r="L661" s="4">
        <v>2025402814</v>
      </c>
      <c r="M661" s="4" t="s">
        <v>226</v>
      </c>
      <c r="N661" s="4">
        <v>2025</v>
      </c>
    </row>
    <row r="662" spans="1:14">
      <c r="A662" s="4">
        <v>661</v>
      </c>
      <c r="B662" s="4" t="s">
        <v>53</v>
      </c>
      <c r="C662" s="4" t="s">
        <v>62</v>
      </c>
      <c r="D662" s="4" t="s">
        <v>61</v>
      </c>
      <c r="E662" s="4" t="s">
        <v>71</v>
      </c>
      <c r="G662" s="4" t="s">
        <v>134</v>
      </c>
      <c r="H662" s="4" t="s">
        <v>71</v>
      </c>
      <c r="I662" s="90">
        <v>274.3</v>
      </c>
      <c r="J662" s="4" t="s">
        <v>972</v>
      </c>
      <c r="K662" s="15">
        <v>45897</v>
      </c>
      <c r="L662" s="4">
        <v>2025402817</v>
      </c>
      <c r="M662" s="4" t="s">
        <v>226</v>
      </c>
      <c r="N662" s="4">
        <v>2025</v>
      </c>
    </row>
    <row r="663" spans="1:14">
      <c r="A663" s="4">
        <v>662</v>
      </c>
      <c r="B663" s="4" t="s">
        <v>55</v>
      </c>
      <c r="C663" s="4" t="s">
        <v>98</v>
      </c>
      <c r="D663" s="4" t="s">
        <v>61</v>
      </c>
      <c r="E663" s="4" t="s">
        <v>71</v>
      </c>
      <c r="G663" s="4" t="s">
        <v>134</v>
      </c>
      <c r="H663" s="4" t="s">
        <v>71</v>
      </c>
      <c r="I663" s="90">
        <v>582.6</v>
      </c>
      <c r="J663" s="4" t="s">
        <v>973</v>
      </c>
      <c r="K663" s="15">
        <v>45899</v>
      </c>
      <c r="L663" s="4">
        <v>2025402715</v>
      </c>
      <c r="M663" s="4" t="s">
        <v>226</v>
      </c>
      <c r="N663" s="4">
        <v>2025</v>
      </c>
    </row>
    <row r="664" spans="1:14">
      <c r="A664" s="4">
        <v>663</v>
      </c>
      <c r="B664" s="4" t="s">
        <v>55</v>
      </c>
      <c r="C664" s="4" t="s">
        <v>98</v>
      </c>
      <c r="D664" s="4" t="s">
        <v>61</v>
      </c>
      <c r="E664" s="4" t="s">
        <v>71</v>
      </c>
      <c r="G664" s="4" t="s">
        <v>134</v>
      </c>
      <c r="H664" s="4" t="s">
        <v>71</v>
      </c>
      <c r="I664" s="90">
        <v>880</v>
      </c>
      <c r="J664" s="4" t="s">
        <v>974</v>
      </c>
      <c r="K664" s="15">
        <v>45897</v>
      </c>
      <c r="L664" s="4">
        <v>2025402714</v>
      </c>
      <c r="M664" s="4" t="s">
        <v>226</v>
      </c>
      <c r="N664" s="4">
        <v>2025</v>
      </c>
    </row>
    <row r="665" spans="1:14">
      <c r="A665" s="4">
        <v>664</v>
      </c>
      <c r="B665" s="4" t="s">
        <v>53</v>
      </c>
      <c r="C665" s="4" t="s">
        <v>62</v>
      </c>
      <c r="D665" s="4" t="s">
        <v>61</v>
      </c>
      <c r="E665" s="4" t="s">
        <v>71</v>
      </c>
      <c r="G665" s="4" t="s">
        <v>134</v>
      </c>
      <c r="H665" s="4" t="s">
        <v>71</v>
      </c>
      <c r="I665" s="90">
        <v>182</v>
      </c>
      <c r="J665" s="4" t="s">
        <v>975</v>
      </c>
      <c r="K665" s="15">
        <v>45897</v>
      </c>
      <c r="L665" s="4">
        <v>2025402707</v>
      </c>
      <c r="M665" s="4" t="s">
        <v>226</v>
      </c>
      <c r="N665" s="4">
        <v>2025</v>
      </c>
    </row>
    <row r="666" spans="1:14">
      <c r="A666" s="4">
        <v>665</v>
      </c>
      <c r="B666" s="4" t="s">
        <v>53</v>
      </c>
      <c r="C666" s="4" t="s">
        <v>62</v>
      </c>
      <c r="D666" s="4" t="s">
        <v>61</v>
      </c>
      <c r="E666" s="4" t="s">
        <v>71</v>
      </c>
      <c r="G666" s="4" t="s">
        <v>134</v>
      </c>
      <c r="H666" s="4" t="s">
        <v>71</v>
      </c>
      <c r="I666" s="90">
        <v>502.4</v>
      </c>
      <c r="J666" s="4" t="s">
        <v>976</v>
      </c>
      <c r="K666" s="15">
        <v>45899</v>
      </c>
      <c r="L666" s="4">
        <v>2025402808</v>
      </c>
      <c r="M666" s="4" t="s">
        <v>226</v>
      </c>
      <c r="N666" s="4">
        <v>2025</v>
      </c>
    </row>
    <row r="667" spans="1:14">
      <c r="A667" s="4">
        <v>666</v>
      </c>
      <c r="B667" s="4" t="s">
        <v>53</v>
      </c>
      <c r="C667" s="4" t="s">
        <v>62</v>
      </c>
      <c r="D667" s="4" t="s">
        <v>61</v>
      </c>
      <c r="E667" s="4" t="s">
        <v>71</v>
      </c>
      <c r="G667" s="4" t="s">
        <v>134</v>
      </c>
      <c r="H667" s="4" t="s">
        <v>71</v>
      </c>
      <c r="I667" s="90">
        <v>2741.3</v>
      </c>
      <c r="J667" s="4" t="s">
        <v>977</v>
      </c>
      <c r="K667" s="15">
        <v>45897</v>
      </c>
      <c r="L667" s="4">
        <v>2025402794</v>
      </c>
      <c r="M667" s="4" t="s">
        <v>226</v>
      </c>
      <c r="N667" s="4">
        <v>2025</v>
      </c>
    </row>
    <row r="668" spans="1:14">
      <c r="A668" s="4">
        <v>667</v>
      </c>
      <c r="B668" s="4" t="s">
        <v>53</v>
      </c>
      <c r="C668" s="4" t="s">
        <v>62</v>
      </c>
      <c r="D668" s="4" t="s">
        <v>61</v>
      </c>
      <c r="E668" s="4" t="s">
        <v>71</v>
      </c>
      <c r="G668" s="4" t="s">
        <v>134</v>
      </c>
      <c r="H668" s="4" t="s">
        <v>71</v>
      </c>
      <c r="I668" s="90">
        <v>2949.4</v>
      </c>
      <c r="J668" s="4" t="s">
        <v>978</v>
      </c>
      <c r="K668" s="15">
        <v>45897</v>
      </c>
      <c r="L668" s="4">
        <v>2025402795</v>
      </c>
      <c r="M668" s="4" t="s">
        <v>226</v>
      </c>
      <c r="N668" s="4">
        <v>2025</v>
      </c>
    </row>
    <row r="669" spans="1:14">
      <c r="A669" s="4">
        <v>668</v>
      </c>
      <c r="B669" s="4" t="s">
        <v>17</v>
      </c>
      <c r="C669" s="4" t="s">
        <v>22</v>
      </c>
      <c r="D669" s="4" t="s">
        <v>61</v>
      </c>
      <c r="E669" s="4" t="s">
        <v>71</v>
      </c>
      <c r="G669" s="4" t="s">
        <v>134</v>
      </c>
      <c r="H669" s="4" t="s">
        <v>71</v>
      </c>
      <c r="I669" s="90">
        <v>280</v>
      </c>
      <c r="J669" s="4" t="s">
        <v>979</v>
      </c>
      <c r="K669" s="15">
        <v>45899</v>
      </c>
      <c r="L669" s="4">
        <v>2025402709</v>
      </c>
      <c r="M669" s="4" t="s">
        <v>226</v>
      </c>
      <c r="N669" s="4">
        <v>2025</v>
      </c>
    </row>
    <row r="670" spans="1:14">
      <c r="A670" s="4">
        <v>669</v>
      </c>
      <c r="B670" s="4" t="s">
        <v>35</v>
      </c>
      <c r="C670" s="4" t="s">
        <v>39</v>
      </c>
      <c r="D670" s="4" t="s">
        <v>61</v>
      </c>
      <c r="E670" s="4" t="s">
        <v>71</v>
      </c>
      <c r="G670" s="4" t="s">
        <v>134</v>
      </c>
      <c r="H670" s="4" t="s">
        <v>71</v>
      </c>
      <c r="I670" s="90">
        <v>2813</v>
      </c>
      <c r="J670" s="4" t="s">
        <v>980</v>
      </c>
      <c r="K670" s="15">
        <v>45899</v>
      </c>
      <c r="L670" s="4">
        <v>2025402801</v>
      </c>
      <c r="M670" s="4" t="s">
        <v>226</v>
      </c>
      <c r="N670" s="4">
        <v>2025</v>
      </c>
    </row>
    <row r="671" spans="1:14">
      <c r="A671" s="4">
        <v>670</v>
      </c>
      <c r="B671" s="4" t="s">
        <v>53</v>
      </c>
      <c r="C671" s="4" t="s">
        <v>62</v>
      </c>
      <c r="D671" s="4" t="s">
        <v>61</v>
      </c>
      <c r="E671" s="4" t="s">
        <v>71</v>
      </c>
      <c r="G671" s="4" t="s">
        <v>134</v>
      </c>
      <c r="H671" s="4" t="s">
        <v>71</v>
      </c>
      <c r="I671" s="90">
        <v>2747.5</v>
      </c>
      <c r="J671" s="4" t="s">
        <v>981</v>
      </c>
      <c r="K671" s="15">
        <v>45893</v>
      </c>
      <c r="L671" s="4">
        <v>2025402652</v>
      </c>
      <c r="M671" s="4" t="s">
        <v>226</v>
      </c>
      <c r="N671" s="4">
        <v>2025</v>
      </c>
    </row>
    <row r="672" spans="1:14">
      <c r="A672" s="4">
        <v>671</v>
      </c>
      <c r="B672" s="4" t="s">
        <v>43</v>
      </c>
      <c r="C672" s="4" t="s">
        <v>52</v>
      </c>
      <c r="D672" s="4" t="s">
        <v>61</v>
      </c>
      <c r="E672" s="4" t="s">
        <v>71</v>
      </c>
      <c r="G672" s="4" t="s">
        <v>134</v>
      </c>
      <c r="H672" s="4" t="s">
        <v>71</v>
      </c>
      <c r="I672" s="90">
        <v>520</v>
      </c>
      <c r="J672" s="4" t="s">
        <v>982</v>
      </c>
      <c r="K672" s="15">
        <v>45893</v>
      </c>
      <c r="L672" s="4">
        <v>2025402747</v>
      </c>
      <c r="M672" s="4" t="s">
        <v>226</v>
      </c>
      <c r="N672" s="4">
        <v>2025</v>
      </c>
    </row>
    <row r="673" spans="1:14">
      <c r="A673" s="4">
        <v>672</v>
      </c>
      <c r="B673" s="4" t="s">
        <v>43</v>
      </c>
      <c r="C673" s="4" t="s">
        <v>47</v>
      </c>
      <c r="D673" s="4" t="s">
        <v>61</v>
      </c>
      <c r="E673" s="4" t="s">
        <v>71</v>
      </c>
      <c r="G673" s="4" t="s">
        <v>134</v>
      </c>
      <c r="H673" s="4" t="s">
        <v>71</v>
      </c>
      <c r="I673" s="90">
        <v>446.1</v>
      </c>
      <c r="J673" s="4" t="s">
        <v>983</v>
      </c>
      <c r="K673" s="15">
        <v>45897</v>
      </c>
      <c r="L673" s="4">
        <v>2025402802</v>
      </c>
      <c r="M673" s="4" t="s">
        <v>226</v>
      </c>
      <c r="N673" s="4">
        <v>2025</v>
      </c>
    </row>
    <row r="674" spans="1:14">
      <c r="A674" s="4">
        <v>673</v>
      </c>
      <c r="B674" s="4" t="s">
        <v>53</v>
      </c>
      <c r="C674" s="4" t="s">
        <v>62</v>
      </c>
      <c r="D674" s="4" t="s">
        <v>61</v>
      </c>
      <c r="E674" s="4" t="s">
        <v>71</v>
      </c>
      <c r="G674" s="4" t="s">
        <v>134</v>
      </c>
      <c r="H674" s="4" t="s">
        <v>71</v>
      </c>
      <c r="I674" s="90">
        <v>2800</v>
      </c>
      <c r="J674" s="4" t="s">
        <v>984</v>
      </c>
      <c r="K674" s="15">
        <v>45893</v>
      </c>
      <c r="L674" s="4">
        <v>2025402669</v>
      </c>
      <c r="M674" s="4" t="s">
        <v>226</v>
      </c>
      <c r="N674" s="4">
        <v>2025</v>
      </c>
    </row>
    <row r="675" spans="1:14">
      <c r="A675" s="4">
        <v>674</v>
      </c>
      <c r="B675" s="4" t="s">
        <v>53</v>
      </c>
      <c r="C675" s="4" t="s">
        <v>62</v>
      </c>
      <c r="D675" s="4" t="s">
        <v>61</v>
      </c>
      <c r="E675" s="4" t="s">
        <v>71</v>
      </c>
      <c r="G675" s="4" t="s">
        <v>134</v>
      </c>
      <c r="H675" s="4" t="s">
        <v>71</v>
      </c>
      <c r="I675" s="90">
        <v>3000</v>
      </c>
      <c r="J675" s="4" t="s">
        <v>985</v>
      </c>
      <c r="K675" s="15">
        <v>45893</v>
      </c>
      <c r="L675" s="4">
        <v>2025402670</v>
      </c>
      <c r="M675" s="4" t="s">
        <v>226</v>
      </c>
      <c r="N675" s="4">
        <v>2025</v>
      </c>
    </row>
    <row r="676" spans="1:14">
      <c r="A676" s="4">
        <v>675</v>
      </c>
      <c r="B676" s="4" t="s">
        <v>17</v>
      </c>
      <c r="C676" s="4" t="s">
        <v>25</v>
      </c>
      <c r="D676" s="4" t="s">
        <v>61</v>
      </c>
      <c r="E676" s="4" t="s">
        <v>71</v>
      </c>
      <c r="G676" s="4" t="s">
        <v>134</v>
      </c>
      <c r="H676" s="4" t="s">
        <v>71</v>
      </c>
      <c r="I676" s="90">
        <v>580</v>
      </c>
      <c r="J676" s="4" t="s">
        <v>986</v>
      </c>
      <c r="K676" s="15">
        <v>45897</v>
      </c>
      <c r="L676" s="4">
        <v>2025402786</v>
      </c>
      <c r="M676" s="4" t="s">
        <v>226</v>
      </c>
      <c r="N676" s="4">
        <v>2025</v>
      </c>
    </row>
    <row r="677" spans="1:14">
      <c r="A677" s="4">
        <v>676</v>
      </c>
      <c r="B677" s="4" t="s">
        <v>17</v>
      </c>
      <c r="C677" s="4" t="s">
        <v>22</v>
      </c>
      <c r="D677" s="4" t="s">
        <v>61</v>
      </c>
      <c r="E677" s="4" t="s">
        <v>71</v>
      </c>
      <c r="G677" s="4" t="s">
        <v>134</v>
      </c>
      <c r="H677" s="4" t="s">
        <v>71</v>
      </c>
      <c r="I677" s="90">
        <v>2112.4499999999998</v>
      </c>
      <c r="J677" s="4" t="s">
        <v>987</v>
      </c>
      <c r="K677" s="15">
        <v>45897</v>
      </c>
      <c r="L677" s="4">
        <v>2025402760</v>
      </c>
      <c r="M677" s="4" t="s">
        <v>226</v>
      </c>
      <c r="N677" s="4">
        <v>2025</v>
      </c>
    </row>
    <row r="678" spans="1:14">
      <c r="A678" s="4">
        <v>677</v>
      </c>
      <c r="B678" s="4" t="s">
        <v>53</v>
      </c>
      <c r="C678" s="4" t="s">
        <v>62</v>
      </c>
      <c r="D678" s="4" t="s">
        <v>61</v>
      </c>
      <c r="E678" s="4" t="s">
        <v>71</v>
      </c>
      <c r="G678" s="4" t="s">
        <v>134</v>
      </c>
      <c r="H678" s="4" t="s">
        <v>71</v>
      </c>
      <c r="I678" s="90">
        <v>640</v>
      </c>
      <c r="J678" s="4" t="s">
        <v>988</v>
      </c>
      <c r="K678" s="15">
        <v>45895</v>
      </c>
      <c r="L678" s="4">
        <v>2025402762</v>
      </c>
      <c r="M678" s="4" t="s">
        <v>226</v>
      </c>
      <c r="N678" s="4">
        <v>2025</v>
      </c>
    </row>
    <row r="679" spans="1:14">
      <c r="A679" s="4">
        <v>678</v>
      </c>
      <c r="B679" s="4" t="s">
        <v>53</v>
      </c>
      <c r="C679" s="4" t="s">
        <v>62</v>
      </c>
      <c r="D679" s="4" t="s">
        <v>61</v>
      </c>
      <c r="E679" s="4" t="s">
        <v>71</v>
      </c>
      <c r="G679" s="4" t="s">
        <v>134</v>
      </c>
      <c r="H679" s="4" t="s">
        <v>71</v>
      </c>
      <c r="I679" s="90">
        <v>221.8</v>
      </c>
      <c r="J679" s="4" t="s">
        <v>989</v>
      </c>
      <c r="K679" s="15">
        <v>45895</v>
      </c>
      <c r="L679" s="4">
        <v>2025402775</v>
      </c>
      <c r="M679" s="4" t="s">
        <v>226</v>
      </c>
      <c r="N679" s="4">
        <v>2025</v>
      </c>
    </row>
    <row r="680" spans="1:14">
      <c r="A680" s="4">
        <v>679</v>
      </c>
      <c r="B680" s="4" t="s">
        <v>53</v>
      </c>
      <c r="C680" s="4" t="s">
        <v>62</v>
      </c>
      <c r="D680" s="4" t="s">
        <v>61</v>
      </c>
      <c r="E680" s="4" t="s">
        <v>71</v>
      </c>
      <c r="G680" s="4" t="s">
        <v>134</v>
      </c>
      <c r="H680" s="4" t="s">
        <v>71</v>
      </c>
      <c r="I680" s="90">
        <v>777</v>
      </c>
      <c r="J680" s="4" t="s">
        <v>1027</v>
      </c>
      <c r="K680" s="15">
        <v>45897</v>
      </c>
      <c r="L680" s="4">
        <v>2025402796</v>
      </c>
      <c r="M680" s="4" t="s">
        <v>226</v>
      </c>
      <c r="N680" s="4">
        <v>2025</v>
      </c>
    </row>
    <row r="681" spans="1:14">
      <c r="A681" s="4">
        <v>680</v>
      </c>
      <c r="B681" s="4" t="s">
        <v>33</v>
      </c>
      <c r="C681" s="4" t="s">
        <v>34</v>
      </c>
      <c r="D681" s="4" t="s">
        <v>61</v>
      </c>
      <c r="E681" s="4" t="s">
        <v>71</v>
      </c>
      <c r="G681" s="4" t="s">
        <v>134</v>
      </c>
      <c r="H681" s="4" t="s">
        <v>71</v>
      </c>
      <c r="I681" s="90">
        <v>690</v>
      </c>
      <c r="J681" s="4" t="s">
        <v>1039</v>
      </c>
      <c r="K681" s="15">
        <v>45899</v>
      </c>
      <c r="L681" s="4">
        <v>2025402809</v>
      </c>
      <c r="M681" s="4" t="s">
        <v>226</v>
      </c>
      <c r="N681" s="4">
        <v>2025</v>
      </c>
    </row>
    <row r="682" spans="1:14">
      <c r="A682" s="4">
        <v>681</v>
      </c>
      <c r="B682" s="4" t="s">
        <v>53</v>
      </c>
      <c r="C682" s="4" t="s">
        <v>62</v>
      </c>
      <c r="D682" s="4" t="s">
        <v>61</v>
      </c>
      <c r="E682" s="4" t="s">
        <v>71</v>
      </c>
      <c r="G682" s="4" t="s">
        <v>134</v>
      </c>
      <c r="H682" s="4" t="s">
        <v>71</v>
      </c>
      <c r="I682" s="90">
        <v>515.5</v>
      </c>
      <c r="J682" s="4" t="s">
        <v>1048</v>
      </c>
      <c r="K682" s="15">
        <v>45897</v>
      </c>
      <c r="L682" s="4">
        <v>2025402819</v>
      </c>
      <c r="M682" s="4" t="s">
        <v>226</v>
      </c>
      <c r="N682" s="4">
        <v>2025</v>
      </c>
    </row>
    <row r="683" spans="1:14">
      <c r="A683" s="4">
        <v>682</v>
      </c>
      <c r="B683" s="4" t="s">
        <v>17</v>
      </c>
      <c r="C683" s="4" t="s">
        <v>22</v>
      </c>
      <c r="D683" s="4" t="s">
        <v>61</v>
      </c>
      <c r="E683" s="4" t="s">
        <v>71</v>
      </c>
      <c r="G683" s="4" t="s">
        <v>134</v>
      </c>
      <c r="H683" s="4" t="s">
        <v>71</v>
      </c>
      <c r="I683" s="90">
        <v>1108</v>
      </c>
      <c r="J683" s="4" t="s">
        <v>1055</v>
      </c>
      <c r="K683" s="15">
        <v>45899</v>
      </c>
      <c r="L683" s="4">
        <v>2025402787</v>
      </c>
      <c r="M683" s="4" t="s">
        <v>226</v>
      </c>
      <c r="N683" s="4">
        <v>2025</v>
      </c>
    </row>
    <row r="684" spans="1:14">
      <c r="A684" s="4">
        <v>683</v>
      </c>
      <c r="B684" s="4" t="s">
        <v>29</v>
      </c>
      <c r="C684" s="4" t="s">
        <v>237</v>
      </c>
      <c r="D684" s="4" t="s">
        <v>61</v>
      </c>
      <c r="E684" s="4" t="s">
        <v>71</v>
      </c>
      <c r="G684" s="4" t="s">
        <v>134</v>
      </c>
      <c r="H684" s="4" t="s">
        <v>71</v>
      </c>
      <c r="I684" s="90">
        <v>1910</v>
      </c>
      <c r="J684" s="4" t="s">
        <v>1061</v>
      </c>
      <c r="K684" s="15">
        <v>45897</v>
      </c>
      <c r="L684" s="4">
        <v>2025402788</v>
      </c>
      <c r="M684" s="4" t="s">
        <v>226</v>
      </c>
      <c r="N684" s="4">
        <v>2025</v>
      </c>
    </row>
    <row r="685" spans="1:14">
      <c r="A685" s="4">
        <v>684</v>
      </c>
      <c r="B685" s="4" t="s">
        <v>55</v>
      </c>
      <c r="C685" s="4" t="s">
        <v>98</v>
      </c>
      <c r="D685" s="4" t="s">
        <v>61</v>
      </c>
      <c r="E685" s="4" t="s">
        <v>71</v>
      </c>
      <c r="G685" s="4" t="s">
        <v>134</v>
      </c>
      <c r="H685" s="4" t="s">
        <v>71</v>
      </c>
      <c r="I685" s="90">
        <v>287.5</v>
      </c>
      <c r="J685" s="4" t="s">
        <v>1062</v>
      </c>
      <c r="K685" s="15">
        <v>45895</v>
      </c>
      <c r="L685" s="4">
        <v>2025402774</v>
      </c>
      <c r="M685" s="4" t="s">
        <v>226</v>
      </c>
      <c r="N685" s="4">
        <v>2025</v>
      </c>
    </row>
    <row r="686" spans="1:14">
      <c r="A686" s="4">
        <v>685</v>
      </c>
      <c r="B686" s="4" t="s">
        <v>53</v>
      </c>
      <c r="C686" s="4" t="s">
        <v>62</v>
      </c>
      <c r="D686" s="4" t="s">
        <v>61</v>
      </c>
      <c r="E686" s="4" t="s">
        <v>71</v>
      </c>
      <c r="G686" s="4" t="s">
        <v>134</v>
      </c>
      <c r="H686" s="4" t="s">
        <v>71</v>
      </c>
      <c r="I686" s="90">
        <v>609</v>
      </c>
      <c r="J686" s="4" t="s">
        <v>1065</v>
      </c>
      <c r="K686" s="15">
        <v>45897</v>
      </c>
      <c r="L686" s="4">
        <v>2025402710</v>
      </c>
      <c r="M686" s="4" t="s">
        <v>226</v>
      </c>
      <c r="N686" s="4">
        <v>2025</v>
      </c>
    </row>
    <row r="687" spans="1:14">
      <c r="A687" s="4">
        <v>686</v>
      </c>
      <c r="B687" s="4" t="s">
        <v>53</v>
      </c>
      <c r="C687" s="4" t="s">
        <v>62</v>
      </c>
      <c r="D687" s="4" t="s">
        <v>61</v>
      </c>
      <c r="E687" s="4" t="s">
        <v>71</v>
      </c>
      <c r="G687" s="4" t="s">
        <v>134</v>
      </c>
      <c r="H687" s="4" t="s">
        <v>71</v>
      </c>
      <c r="I687" s="90">
        <v>703</v>
      </c>
      <c r="J687" s="4" t="s">
        <v>1074</v>
      </c>
      <c r="K687" s="15">
        <v>45880</v>
      </c>
      <c r="L687" s="4">
        <v>2025402587</v>
      </c>
      <c r="M687" s="4" t="s">
        <v>226</v>
      </c>
      <c r="N687" s="4">
        <v>2025</v>
      </c>
    </row>
    <row r="688" spans="1:14">
      <c r="A688" s="4">
        <v>687</v>
      </c>
      <c r="B688" s="4" t="s">
        <v>35</v>
      </c>
      <c r="C688" s="4" t="s">
        <v>37</v>
      </c>
      <c r="D688" s="4" t="s">
        <v>61</v>
      </c>
      <c r="E688" s="4" t="s">
        <v>71</v>
      </c>
      <c r="G688" s="4" t="s">
        <v>134</v>
      </c>
      <c r="H688" s="4" t="s">
        <v>71</v>
      </c>
      <c r="I688" s="90">
        <v>500</v>
      </c>
      <c r="J688" s="4" t="s">
        <v>1075</v>
      </c>
      <c r="K688" s="15">
        <v>45902</v>
      </c>
      <c r="L688" s="4">
        <v>2025402905</v>
      </c>
      <c r="M688" s="4" t="s">
        <v>226</v>
      </c>
      <c r="N688" s="4">
        <v>2025</v>
      </c>
    </row>
    <row r="689" spans="1:14">
      <c r="A689" s="4">
        <v>688</v>
      </c>
      <c r="B689" s="4" t="s">
        <v>43</v>
      </c>
      <c r="C689" s="4" t="s">
        <v>50</v>
      </c>
      <c r="D689" s="4" t="s">
        <v>61</v>
      </c>
      <c r="E689" s="4" t="s">
        <v>71</v>
      </c>
      <c r="G689" s="4" t="s">
        <v>134</v>
      </c>
      <c r="H689" s="4" t="s">
        <v>71</v>
      </c>
      <c r="I689" s="90">
        <v>170</v>
      </c>
      <c r="J689" s="4" t="s">
        <v>1082</v>
      </c>
      <c r="K689" s="15">
        <v>45902</v>
      </c>
      <c r="L689" s="4">
        <v>2025402946</v>
      </c>
      <c r="M689" s="4" t="s">
        <v>226</v>
      </c>
      <c r="N689" s="4">
        <v>2025</v>
      </c>
    </row>
    <row r="690" spans="1:14">
      <c r="A690" s="4">
        <v>689</v>
      </c>
      <c r="B690" s="4" t="s">
        <v>29</v>
      </c>
      <c r="C690" s="4" t="s">
        <v>237</v>
      </c>
      <c r="D690" s="4" t="s">
        <v>61</v>
      </c>
      <c r="E690" s="4" t="s">
        <v>71</v>
      </c>
      <c r="G690" s="4" t="s">
        <v>134</v>
      </c>
      <c r="H690" s="4" t="s">
        <v>71</v>
      </c>
      <c r="I690" s="90">
        <v>114.8</v>
      </c>
      <c r="J690" s="4" t="s">
        <v>1097</v>
      </c>
      <c r="K690" s="15">
        <v>45878</v>
      </c>
      <c r="L690" s="4">
        <v>2025402568</v>
      </c>
      <c r="M690" s="4" t="s">
        <v>226</v>
      </c>
      <c r="N690" s="4">
        <v>2025</v>
      </c>
    </row>
    <row r="691" spans="1:14">
      <c r="A691" s="4">
        <v>690</v>
      </c>
      <c r="B691" s="4" t="s">
        <v>53</v>
      </c>
      <c r="C691" s="4" t="s">
        <v>62</v>
      </c>
      <c r="D691" s="4" t="s">
        <v>61</v>
      </c>
      <c r="E691" s="4" t="s">
        <v>71</v>
      </c>
      <c r="G691" s="4" t="s">
        <v>134</v>
      </c>
      <c r="H691" s="4" t="s">
        <v>71</v>
      </c>
      <c r="I691" s="90">
        <v>2151.9</v>
      </c>
      <c r="J691" s="4" t="s">
        <v>1126</v>
      </c>
      <c r="K691" s="15">
        <v>45897</v>
      </c>
      <c r="L691" s="4">
        <v>2025402797</v>
      </c>
      <c r="M691" s="4" t="s">
        <v>226</v>
      </c>
      <c r="N691" s="4">
        <v>2025</v>
      </c>
    </row>
    <row r="692" spans="1:14">
      <c r="A692" s="4">
        <v>691</v>
      </c>
      <c r="B692" s="4" t="s">
        <v>53</v>
      </c>
      <c r="C692" s="4" t="s">
        <v>62</v>
      </c>
      <c r="D692" s="4" t="s">
        <v>61</v>
      </c>
      <c r="E692" s="4" t="s">
        <v>71</v>
      </c>
      <c r="G692" s="4" t="s">
        <v>134</v>
      </c>
      <c r="H692" s="4" t="s">
        <v>71</v>
      </c>
      <c r="I692" s="90">
        <v>2015.4</v>
      </c>
      <c r="J692" s="4" t="s">
        <v>1152</v>
      </c>
      <c r="K692" s="15">
        <v>45957</v>
      </c>
      <c r="L692" s="4">
        <v>2025403067</v>
      </c>
      <c r="M692" s="4" t="s">
        <v>226</v>
      </c>
      <c r="N692" s="4">
        <v>2025</v>
      </c>
    </row>
    <row r="693" spans="1:14">
      <c r="A693" s="4">
        <v>692</v>
      </c>
      <c r="B693" s="4" t="s">
        <v>55</v>
      </c>
      <c r="C693" s="4" t="s">
        <v>98</v>
      </c>
      <c r="D693" s="4" t="s">
        <v>61</v>
      </c>
      <c r="E693" s="4" t="s">
        <v>71</v>
      </c>
      <c r="G693" s="4" t="s">
        <v>134</v>
      </c>
      <c r="H693" s="4" t="s">
        <v>71</v>
      </c>
      <c r="I693" s="90">
        <v>2367.9</v>
      </c>
      <c r="J693" s="4" t="s">
        <v>1157</v>
      </c>
      <c r="K693" s="15">
        <v>45897</v>
      </c>
      <c r="L693" s="4">
        <v>2025402716</v>
      </c>
      <c r="M693" s="4" t="s">
        <v>226</v>
      </c>
      <c r="N693" s="4">
        <v>2025</v>
      </c>
    </row>
    <row r="694" spans="1:14">
      <c r="A694" s="4">
        <v>693</v>
      </c>
      <c r="B694" s="4" t="s">
        <v>55</v>
      </c>
      <c r="C694" s="4" t="s">
        <v>56</v>
      </c>
      <c r="D694" s="4" t="s">
        <v>61</v>
      </c>
      <c r="E694" s="4" t="s">
        <v>71</v>
      </c>
      <c r="G694" s="4" t="s">
        <v>134</v>
      </c>
      <c r="H694" s="4" t="s">
        <v>71</v>
      </c>
      <c r="I694" s="90">
        <v>310</v>
      </c>
      <c r="J694" s="4" t="s">
        <v>1158</v>
      </c>
      <c r="K694" s="15">
        <v>45969</v>
      </c>
      <c r="L694" s="4">
        <v>2025403992</v>
      </c>
      <c r="M694" s="4" t="s">
        <v>226</v>
      </c>
      <c r="N694" s="4">
        <v>2025</v>
      </c>
    </row>
    <row r="695" spans="1:14">
      <c r="A695" s="4">
        <v>694</v>
      </c>
      <c r="B695" s="4" t="s">
        <v>53</v>
      </c>
      <c r="C695" s="4" t="s">
        <v>62</v>
      </c>
      <c r="D695" s="4" t="s">
        <v>61</v>
      </c>
      <c r="E695" s="4" t="s">
        <v>71</v>
      </c>
      <c r="G695" s="4" t="s">
        <v>134</v>
      </c>
      <c r="H695" s="4" t="s">
        <v>71</v>
      </c>
      <c r="I695" s="90">
        <v>2596.9</v>
      </c>
      <c r="J695" s="4" t="s">
        <v>1159</v>
      </c>
      <c r="K695" s="15">
        <v>45969</v>
      </c>
      <c r="L695" s="4">
        <v>2025404015</v>
      </c>
      <c r="M695" s="4" t="s">
        <v>225</v>
      </c>
      <c r="N695" s="4">
        <v>2025</v>
      </c>
    </row>
    <row r="696" spans="1:14">
      <c r="A696" s="4">
        <v>695</v>
      </c>
      <c r="B696" s="4" t="s">
        <v>43</v>
      </c>
      <c r="C696" s="4" t="s">
        <v>46</v>
      </c>
      <c r="D696" s="4" t="s">
        <v>61</v>
      </c>
      <c r="E696" s="4" t="s">
        <v>71</v>
      </c>
      <c r="G696" s="4" t="s">
        <v>134</v>
      </c>
      <c r="H696" s="4" t="s">
        <v>71</v>
      </c>
      <c r="I696" s="90">
        <v>2463.9</v>
      </c>
      <c r="J696" s="4" t="s">
        <v>1160</v>
      </c>
      <c r="K696" s="15">
        <v>45966</v>
      </c>
      <c r="L696" s="4">
        <v>2025404017</v>
      </c>
      <c r="M696" s="4" t="s">
        <v>225</v>
      </c>
      <c r="N696" s="4">
        <v>2025</v>
      </c>
    </row>
    <row r="697" spans="1:14">
      <c r="A697" s="4">
        <v>696</v>
      </c>
      <c r="B697" s="4" t="s">
        <v>55</v>
      </c>
      <c r="C697" s="4" t="s">
        <v>98</v>
      </c>
      <c r="D697" s="4" t="s">
        <v>61</v>
      </c>
      <c r="E697" s="4" t="s">
        <v>71</v>
      </c>
      <c r="G697" s="4" t="s">
        <v>134</v>
      </c>
      <c r="H697" s="4" t="s">
        <v>71</v>
      </c>
      <c r="I697" s="90">
        <v>330</v>
      </c>
      <c r="J697" s="4" t="s">
        <v>1161</v>
      </c>
      <c r="K697" s="15">
        <v>45965</v>
      </c>
      <c r="L697" s="4">
        <v>2025403951</v>
      </c>
      <c r="M697" s="4" t="s">
        <v>226</v>
      </c>
      <c r="N697" s="4">
        <v>2025</v>
      </c>
    </row>
    <row r="698" spans="1:14">
      <c r="A698" s="4">
        <v>697</v>
      </c>
      <c r="B698" s="4" t="s">
        <v>43</v>
      </c>
      <c r="C698" s="4" t="s">
        <v>51</v>
      </c>
      <c r="D698" s="4" t="s">
        <v>61</v>
      </c>
      <c r="E698" s="4" t="s">
        <v>71</v>
      </c>
      <c r="G698" s="4" t="s">
        <v>134</v>
      </c>
      <c r="H698" s="4" t="s">
        <v>71</v>
      </c>
      <c r="I698" s="90">
        <v>1315</v>
      </c>
      <c r="J698" s="4" t="s">
        <v>1162</v>
      </c>
      <c r="K698" s="15">
        <v>45965</v>
      </c>
      <c r="L698" s="4">
        <v>2025403960</v>
      </c>
      <c r="M698" s="4" t="s">
        <v>226</v>
      </c>
      <c r="N698" s="4">
        <v>2025</v>
      </c>
    </row>
    <row r="699" spans="1:14">
      <c r="A699" s="4">
        <v>698</v>
      </c>
      <c r="B699" s="4" t="s">
        <v>273</v>
      </c>
      <c r="C699" s="4" t="s">
        <v>98</v>
      </c>
      <c r="D699" s="4" t="s">
        <v>61</v>
      </c>
      <c r="E699" s="4" t="s">
        <v>71</v>
      </c>
      <c r="G699" s="4" t="s">
        <v>134</v>
      </c>
      <c r="H699" s="4" t="s">
        <v>71</v>
      </c>
      <c r="I699" s="90">
        <v>4074.8</v>
      </c>
      <c r="J699" s="4" t="s">
        <v>1163</v>
      </c>
      <c r="K699" s="15">
        <v>45913</v>
      </c>
      <c r="L699" s="4">
        <v>2025402413</v>
      </c>
      <c r="M699" s="4" t="s">
        <v>225</v>
      </c>
      <c r="N699" s="4">
        <v>2025</v>
      </c>
    </row>
    <row r="700" spans="1:14">
      <c r="A700" s="4">
        <v>699</v>
      </c>
      <c r="B700" s="4" t="s">
        <v>273</v>
      </c>
      <c r="C700" s="4" t="s">
        <v>98</v>
      </c>
      <c r="D700" s="4" t="s">
        <v>61</v>
      </c>
      <c r="E700" s="4" t="s">
        <v>71</v>
      </c>
      <c r="G700" s="4" t="s">
        <v>134</v>
      </c>
      <c r="H700" s="4" t="s">
        <v>71</v>
      </c>
      <c r="I700" s="90">
        <v>2819</v>
      </c>
      <c r="J700" s="4" t="s">
        <v>1166</v>
      </c>
      <c r="K700" s="15">
        <v>45976</v>
      </c>
      <c r="L700" s="4">
        <v>2025404167</v>
      </c>
      <c r="M700" s="4" t="s">
        <v>226</v>
      </c>
      <c r="N700" s="4">
        <v>2025</v>
      </c>
    </row>
    <row r="701" spans="1:14">
      <c r="A701" s="4">
        <v>700</v>
      </c>
      <c r="B701" s="4" t="s">
        <v>273</v>
      </c>
      <c r="C701" s="4" t="s">
        <v>98</v>
      </c>
      <c r="D701" s="4" t="s">
        <v>61</v>
      </c>
      <c r="E701" s="4" t="s">
        <v>71</v>
      </c>
      <c r="G701" s="4" t="s">
        <v>134</v>
      </c>
      <c r="H701" s="4" t="s">
        <v>71</v>
      </c>
      <c r="I701" s="90">
        <v>468</v>
      </c>
      <c r="J701" s="4" t="s">
        <v>1167</v>
      </c>
      <c r="K701" s="15">
        <v>45976</v>
      </c>
      <c r="L701" s="4">
        <v>2025404169</v>
      </c>
      <c r="M701" s="4" t="s">
        <v>226</v>
      </c>
      <c r="N701" s="4">
        <v>2025</v>
      </c>
    </row>
    <row r="702" spans="1:14">
      <c r="A702" s="4">
        <v>701</v>
      </c>
      <c r="B702" s="4" t="s">
        <v>273</v>
      </c>
      <c r="C702" s="4" t="s">
        <v>56</v>
      </c>
      <c r="D702" s="4" t="s">
        <v>61</v>
      </c>
      <c r="E702" s="4" t="s">
        <v>71</v>
      </c>
      <c r="G702" s="4" t="s">
        <v>134</v>
      </c>
      <c r="H702" s="4" t="s">
        <v>71</v>
      </c>
      <c r="I702" s="90">
        <v>1148</v>
      </c>
      <c r="J702" s="4" t="s">
        <v>1168</v>
      </c>
      <c r="K702" s="15">
        <v>45976</v>
      </c>
      <c r="L702" s="4">
        <v>2025404176</v>
      </c>
      <c r="M702" s="4" t="s">
        <v>226</v>
      </c>
      <c r="N702" s="4">
        <v>2025</v>
      </c>
    </row>
    <row r="703" spans="1:14">
      <c r="A703" s="4">
        <v>702</v>
      </c>
      <c r="B703" s="4" t="s">
        <v>35</v>
      </c>
      <c r="C703" s="4" t="s">
        <v>38</v>
      </c>
      <c r="D703" s="4" t="s">
        <v>61</v>
      </c>
      <c r="E703" s="4" t="s">
        <v>71</v>
      </c>
      <c r="G703" s="4" t="s">
        <v>134</v>
      </c>
      <c r="H703" s="4" t="s">
        <v>71</v>
      </c>
      <c r="I703" s="90">
        <v>436</v>
      </c>
      <c r="J703" s="4" t="s">
        <v>1169</v>
      </c>
      <c r="K703" s="15">
        <v>45979</v>
      </c>
      <c r="L703" s="4">
        <v>2025402767</v>
      </c>
      <c r="M703" s="4" t="s">
        <v>226</v>
      </c>
      <c r="N703" s="4">
        <v>2025</v>
      </c>
    </row>
    <row r="704" spans="1:14">
      <c r="A704" s="4">
        <v>703</v>
      </c>
      <c r="B704" s="4" t="s">
        <v>53</v>
      </c>
      <c r="C704" s="4" t="s">
        <v>62</v>
      </c>
      <c r="D704" s="4" t="s">
        <v>61</v>
      </c>
      <c r="E704" s="4" t="s">
        <v>71</v>
      </c>
      <c r="G704" s="4" t="s">
        <v>134</v>
      </c>
      <c r="H704" s="4" t="s">
        <v>71</v>
      </c>
      <c r="I704" s="90">
        <v>1640.6</v>
      </c>
      <c r="J704" s="38" t="s">
        <v>900</v>
      </c>
      <c r="K704" s="88">
        <v>45889</v>
      </c>
      <c r="L704" s="4">
        <v>2025402674</v>
      </c>
      <c r="M704" s="4" t="s">
        <v>226</v>
      </c>
      <c r="N704" s="4">
        <v>2025</v>
      </c>
    </row>
    <row r="705" spans="1:14">
      <c r="A705" s="4">
        <v>704</v>
      </c>
      <c r="B705" s="4" t="s">
        <v>43</v>
      </c>
      <c r="C705" s="4" t="s">
        <v>50</v>
      </c>
      <c r="D705" s="4" t="s">
        <v>61</v>
      </c>
      <c r="E705" s="4" t="s">
        <v>71</v>
      </c>
      <c r="G705" s="4" t="s">
        <v>259</v>
      </c>
      <c r="H705" s="4" t="s">
        <v>71</v>
      </c>
      <c r="I705" s="46">
        <v>1198.9100817438693</v>
      </c>
      <c r="J705" s="4" t="s">
        <v>1175</v>
      </c>
      <c r="K705" s="92">
        <v>45846</v>
      </c>
      <c r="L705" s="4" t="s">
        <v>1178</v>
      </c>
      <c r="M705" s="4" t="s">
        <v>225</v>
      </c>
      <c r="N705" s="4">
        <v>2025</v>
      </c>
    </row>
    <row r="706" spans="1:14">
      <c r="A706" s="4">
        <v>705</v>
      </c>
      <c r="B706" s="4" t="s">
        <v>43</v>
      </c>
      <c r="C706" s="4" t="s">
        <v>1174</v>
      </c>
      <c r="D706" s="4" t="s">
        <v>61</v>
      </c>
      <c r="E706" s="4" t="s">
        <v>71</v>
      </c>
      <c r="G706" s="4" t="s">
        <v>259</v>
      </c>
      <c r="H706" s="4" t="s">
        <v>71</v>
      </c>
      <c r="I706" s="46">
        <v>43504</v>
      </c>
      <c r="J706" s="4" t="s">
        <v>1176</v>
      </c>
      <c r="K706" s="92">
        <v>45893</v>
      </c>
      <c r="L706" s="4" t="s">
        <v>1179</v>
      </c>
      <c r="M706" s="4" t="s">
        <v>226</v>
      </c>
      <c r="N706" s="4">
        <v>2025</v>
      </c>
    </row>
    <row r="707" spans="1:14">
      <c r="A707" s="4">
        <v>706</v>
      </c>
      <c r="B707" s="4" t="s">
        <v>273</v>
      </c>
      <c r="C707" s="4" t="s">
        <v>98</v>
      </c>
      <c r="D707" s="4" t="s">
        <v>61</v>
      </c>
      <c r="E707" s="4" t="s">
        <v>71</v>
      </c>
      <c r="G707" s="4" t="s">
        <v>259</v>
      </c>
      <c r="H707" s="4" t="s">
        <v>71</v>
      </c>
      <c r="I707" s="46">
        <v>31105.381471389646</v>
      </c>
      <c r="J707" s="4" t="s">
        <v>1177</v>
      </c>
      <c r="K707" s="92">
        <v>45893</v>
      </c>
      <c r="L707" s="4" t="s">
        <v>1180</v>
      </c>
      <c r="M707" s="4" t="s">
        <v>226</v>
      </c>
      <c r="N707" s="4">
        <v>2025</v>
      </c>
    </row>
  </sheetData>
  <autoFilter ref="A1:N707" xr:uid="{00000000-0009-0000-0000-000011000000}">
    <sortState xmlns:xlrd2="http://schemas.microsoft.com/office/spreadsheetml/2017/richdata2" ref="A2:N704">
      <sortCondition ref="G1:G704"/>
    </sortState>
  </autoFilter>
  <conditionalFormatting sqref="L1:L1048576">
    <cfRule type="duplicateValues" dxfId="2" priority="1"/>
  </conditionalFormatting>
  <dataValidations count="1">
    <dataValidation type="list" allowBlank="1" showInputMessage="1" showErrorMessage="1" sqref="C2:C67 C366 I109:I190" xr:uid="{00000000-0002-0000-1100-000001000000}">
      <formula1>INDIRECT(B2)</formula1>
    </dataValidation>
  </dataValidations>
  <pageMargins left="0.7" right="0.7" top="0.75" bottom="0.75" header="0.3" footer="0.3"/>
  <ignoredErrors>
    <ignoredError sqref="L705 L706:L70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100-000000000000}">
          <x14:formula1>
            <xm:f>List!$P$2:$P$11</xm:f>
          </x14:formula1>
          <xm:sqref>B2:B67 B366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H5:H7 H13:H15 H32:H35 H67:H87 H105:H108 H125:H309 H314:H421 H429:H435 H450:H707 E2:E707</xm:sqref>
        </x14:dataValidation>
        <x14:dataValidation type="list" allowBlank="1" showInputMessage="1" showErrorMessage="1" xr:uid="{00000000-0002-0000-1100-000004000000}">
          <x14:formula1>
            <xm:f>List!$H$2:$H$13</xm:f>
          </x14:formula1>
          <xm:sqref>M2:M416</xm:sqref>
        </x14:dataValidation>
        <x14:dataValidation type="list" allowBlank="1" showInputMessage="1" showErrorMessage="1" xr:uid="{D7D04909-5EC2-452D-8D56-CB9294CAD752}">
          <x14:formula1>
            <xm:f>List!$C$2:$C$3</xm:f>
          </x14:formula1>
          <xm:sqref>D2:D707</xm:sqref>
        </x14:dataValidation>
        <x14:dataValidation type="list" allowBlank="1" showInputMessage="1" showErrorMessage="1" xr:uid="{00000000-0002-0000-1100-000005000000}">
          <x14:formula1>
            <xm:f>List!$J$2:$J$4</xm:f>
          </x14:formula1>
          <xm:sqref>N2:N707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N577"/>
  <sheetViews>
    <sheetView topLeftCell="F69" workbookViewId="0">
      <selection activeCell="B2" sqref="B2:N95"/>
    </sheetView>
  </sheetViews>
  <sheetFormatPr defaultColWidth="9" defaultRowHeight="14.4"/>
  <cols>
    <col min="1" max="1" width="7.77734375" bestFit="1" customWidth="1"/>
    <col min="2" max="2" width="9.44140625" bestFit="1" customWidth="1"/>
    <col min="3" max="3" width="10.6640625" bestFit="1" customWidth="1"/>
    <col min="4" max="4" width="11.44140625" bestFit="1" customWidth="1"/>
    <col min="5" max="5" width="16.88671875" bestFit="1" customWidth="1"/>
    <col min="6" max="6" width="12.77734375" bestFit="1" customWidth="1"/>
    <col min="7" max="7" width="72.88671875" bestFit="1" customWidth="1"/>
    <col min="8" max="8" width="16.5546875" bestFit="1" customWidth="1"/>
    <col min="9" max="9" width="20.88671875" style="8" bestFit="1" customWidth="1"/>
    <col min="10" max="10" width="24.77734375" bestFit="1" customWidth="1"/>
    <col min="11" max="11" width="13.6640625" bestFit="1" customWidth="1"/>
    <col min="12" max="12" width="13" bestFit="1" customWidth="1"/>
    <col min="13" max="13" width="9" bestFit="1" customWidth="1"/>
    <col min="14" max="14" width="6.88671875" bestFit="1" customWidth="1"/>
  </cols>
  <sheetData>
    <row r="1" spans="1:14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  <c r="F1" s="74" t="s">
        <v>5</v>
      </c>
      <c r="G1" s="74" t="s">
        <v>6</v>
      </c>
      <c r="H1" s="74" t="s">
        <v>7</v>
      </c>
      <c r="I1" s="74" t="s">
        <v>8</v>
      </c>
      <c r="J1" s="74" t="s">
        <v>9</v>
      </c>
      <c r="K1" s="74" t="s">
        <v>10</v>
      </c>
      <c r="L1" s="74" t="s">
        <v>11</v>
      </c>
      <c r="M1" s="74" t="s">
        <v>12</v>
      </c>
      <c r="N1" s="74" t="s">
        <v>13</v>
      </c>
    </row>
    <row r="2" spans="1:14">
      <c r="A2" s="12">
        <v>1</v>
      </c>
      <c r="B2" s="77" t="s">
        <v>43</v>
      </c>
      <c r="C2" s="77" t="s">
        <v>48</v>
      </c>
      <c r="D2" s="31" t="s">
        <v>61</v>
      </c>
      <c r="E2" s="12" t="s">
        <v>115</v>
      </c>
      <c r="F2" s="12"/>
      <c r="G2" s="12" t="s">
        <v>117</v>
      </c>
      <c r="H2" s="12" t="s">
        <v>118</v>
      </c>
      <c r="I2" s="14">
        <v>774.64788732394368</v>
      </c>
      <c r="J2" s="12" t="s">
        <v>392</v>
      </c>
      <c r="K2" s="75">
        <v>45849</v>
      </c>
      <c r="L2" s="12">
        <v>2025402339</v>
      </c>
      <c r="M2" s="12" t="s">
        <v>225</v>
      </c>
      <c r="N2" s="12">
        <v>2025</v>
      </c>
    </row>
    <row r="3" spans="1:14">
      <c r="A3" s="12">
        <v>2</v>
      </c>
      <c r="B3" s="12" t="s">
        <v>55</v>
      </c>
      <c r="C3" s="12" t="s">
        <v>56</v>
      </c>
      <c r="D3" s="12" t="s">
        <v>61</v>
      </c>
      <c r="E3" s="12" t="s">
        <v>115</v>
      </c>
      <c r="F3" s="12"/>
      <c r="G3" s="12" t="s">
        <v>117</v>
      </c>
      <c r="H3" s="12" t="s">
        <v>118</v>
      </c>
      <c r="I3" s="14">
        <v>1408.4507042253522</v>
      </c>
      <c r="J3" s="12" t="s">
        <v>453</v>
      </c>
      <c r="K3" s="75">
        <v>45892</v>
      </c>
      <c r="L3" s="12">
        <v>2025403120</v>
      </c>
      <c r="M3" s="12" t="s">
        <v>226</v>
      </c>
      <c r="N3" s="12">
        <v>2025</v>
      </c>
    </row>
    <row r="4" spans="1:14">
      <c r="A4" s="12">
        <v>3</v>
      </c>
      <c r="B4" s="12" t="s">
        <v>43</v>
      </c>
      <c r="C4" s="12" t="s">
        <v>51</v>
      </c>
      <c r="D4" s="12" t="s">
        <v>61</v>
      </c>
      <c r="E4" s="12" t="s">
        <v>115</v>
      </c>
      <c r="F4" s="12"/>
      <c r="G4" s="12" t="s">
        <v>117</v>
      </c>
      <c r="H4" s="12" t="s">
        <v>118</v>
      </c>
      <c r="I4" s="14">
        <v>316.90140845070425</v>
      </c>
      <c r="J4" s="12" t="s">
        <v>454</v>
      </c>
      <c r="K4" s="75">
        <v>45874</v>
      </c>
      <c r="L4" s="12">
        <v>2025403702</v>
      </c>
      <c r="M4" s="12" t="s">
        <v>226</v>
      </c>
      <c r="N4" s="12">
        <v>2025</v>
      </c>
    </row>
    <row r="5" spans="1:14">
      <c r="A5" s="12">
        <v>4</v>
      </c>
      <c r="B5" s="12" t="s">
        <v>43</v>
      </c>
      <c r="C5" s="12" t="s">
        <v>47</v>
      </c>
      <c r="D5" s="12" t="s">
        <v>61</v>
      </c>
      <c r="E5" s="12" t="s">
        <v>115</v>
      </c>
      <c r="F5" s="12"/>
      <c r="G5" s="12" t="s">
        <v>117</v>
      </c>
      <c r="H5" s="12" t="s">
        <v>118</v>
      </c>
      <c r="I5" s="14">
        <v>105.63380281690141</v>
      </c>
      <c r="J5" s="12" t="s">
        <v>465</v>
      </c>
      <c r="K5" s="75">
        <v>45838</v>
      </c>
      <c r="L5" s="12">
        <v>2025403732</v>
      </c>
      <c r="M5" s="12" t="s">
        <v>225</v>
      </c>
      <c r="N5" s="12">
        <v>2025</v>
      </c>
    </row>
    <row r="6" spans="1:14">
      <c r="A6" s="12">
        <v>5</v>
      </c>
      <c r="B6" s="12" t="s">
        <v>43</v>
      </c>
      <c r="C6" s="12" t="s">
        <v>46</v>
      </c>
      <c r="D6" s="12" t="s">
        <v>61</v>
      </c>
      <c r="E6" s="12" t="s">
        <v>115</v>
      </c>
      <c r="F6" s="12"/>
      <c r="G6" s="12" t="s">
        <v>117</v>
      </c>
      <c r="H6" s="12" t="s">
        <v>118</v>
      </c>
      <c r="I6" s="14">
        <v>1838.0281690140846</v>
      </c>
      <c r="J6" s="12" t="s">
        <v>466</v>
      </c>
      <c r="K6" s="75">
        <v>45869</v>
      </c>
      <c r="L6" s="12">
        <v>2025402341</v>
      </c>
      <c r="M6" s="12" t="s">
        <v>226</v>
      </c>
      <c r="N6" s="12">
        <v>2025</v>
      </c>
    </row>
    <row r="7" spans="1:14">
      <c r="A7" s="12">
        <v>6</v>
      </c>
      <c r="B7" s="77" t="s">
        <v>43</v>
      </c>
      <c r="C7" s="77" t="s">
        <v>45</v>
      </c>
      <c r="D7" s="31" t="s">
        <v>61</v>
      </c>
      <c r="E7" s="12" t="s">
        <v>115</v>
      </c>
      <c r="F7" s="12"/>
      <c r="G7" s="12" t="s">
        <v>297</v>
      </c>
      <c r="H7" s="12" t="s">
        <v>118</v>
      </c>
      <c r="I7" s="14">
        <v>1848.5915492957747</v>
      </c>
      <c r="J7" s="12" t="s">
        <v>394</v>
      </c>
      <c r="K7" s="75">
        <v>45857</v>
      </c>
      <c r="L7" s="12">
        <v>2025402065</v>
      </c>
      <c r="M7" s="12" t="s">
        <v>225</v>
      </c>
      <c r="N7" s="12">
        <v>2025</v>
      </c>
    </row>
    <row r="8" spans="1:14">
      <c r="A8" s="12">
        <v>7</v>
      </c>
      <c r="B8" s="12" t="s">
        <v>35</v>
      </c>
      <c r="C8" s="12" t="s">
        <v>38</v>
      </c>
      <c r="D8" s="12" t="s">
        <v>61</v>
      </c>
      <c r="E8" s="12" t="s">
        <v>115</v>
      </c>
      <c r="F8" s="12"/>
      <c r="G8" s="12" t="s">
        <v>298</v>
      </c>
      <c r="H8" s="12" t="s">
        <v>118</v>
      </c>
      <c r="I8" s="14">
        <v>352.11267605633805</v>
      </c>
      <c r="J8" s="12" t="s">
        <v>407</v>
      </c>
      <c r="K8" s="75">
        <v>45868</v>
      </c>
      <c r="L8" s="12">
        <v>2025402552</v>
      </c>
      <c r="M8" s="12" t="s">
        <v>225</v>
      </c>
      <c r="N8" s="12">
        <v>2025</v>
      </c>
    </row>
    <row r="9" spans="1:14">
      <c r="A9" s="12">
        <v>8</v>
      </c>
      <c r="B9" s="12" t="s">
        <v>29</v>
      </c>
      <c r="C9" s="12" t="s">
        <v>237</v>
      </c>
      <c r="D9" s="12" t="s">
        <v>61</v>
      </c>
      <c r="E9" s="12" t="s">
        <v>115</v>
      </c>
      <c r="F9" s="12"/>
      <c r="G9" s="12" t="s">
        <v>298</v>
      </c>
      <c r="H9" s="12" t="s">
        <v>118</v>
      </c>
      <c r="I9" s="14">
        <v>1803.5211267605634</v>
      </c>
      <c r="J9" s="12" t="s">
        <v>411</v>
      </c>
      <c r="K9" s="75">
        <v>45874</v>
      </c>
      <c r="L9" s="12">
        <v>2025402744</v>
      </c>
      <c r="M9" s="12" t="s">
        <v>226</v>
      </c>
      <c r="N9" s="12">
        <v>2025</v>
      </c>
    </row>
    <row r="10" spans="1:14">
      <c r="A10" s="12">
        <v>9</v>
      </c>
      <c r="B10" s="12" t="s">
        <v>43</v>
      </c>
      <c r="C10" s="12" t="s">
        <v>46</v>
      </c>
      <c r="D10" s="12" t="s">
        <v>61</v>
      </c>
      <c r="E10" s="12" t="s">
        <v>115</v>
      </c>
      <c r="F10" s="12"/>
      <c r="G10" s="12" t="s">
        <v>298</v>
      </c>
      <c r="H10" s="12" t="s">
        <v>118</v>
      </c>
      <c r="I10" s="14">
        <v>211.26760563380282</v>
      </c>
      <c r="J10" s="12" t="s">
        <v>419</v>
      </c>
      <c r="K10" s="75">
        <v>45886</v>
      </c>
      <c r="L10" s="12">
        <v>2025402942</v>
      </c>
      <c r="M10" s="12" t="s">
        <v>226</v>
      </c>
      <c r="N10" s="12">
        <v>2025</v>
      </c>
    </row>
    <row r="11" spans="1:14">
      <c r="A11" s="12">
        <v>10</v>
      </c>
      <c r="B11" s="12" t="s">
        <v>53</v>
      </c>
      <c r="C11" s="12" t="s">
        <v>62</v>
      </c>
      <c r="D11" s="12" t="s">
        <v>61</v>
      </c>
      <c r="E11" s="12" t="s">
        <v>115</v>
      </c>
      <c r="F11" s="12"/>
      <c r="G11" s="12" t="s">
        <v>381</v>
      </c>
      <c r="H11" s="12" t="s">
        <v>118</v>
      </c>
      <c r="I11" s="14">
        <v>3521.1267605633802</v>
      </c>
      <c r="J11" s="12" t="s">
        <v>420</v>
      </c>
      <c r="K11" s="75">
        <v>45878</v>
      </c>
      <c r="L11" s="12">
        <v>2025402746</v>
      </c>
      <c r="M11" s="12" t="s">
        <v>226</v>
      </c>
      <c r="N11" s="12">
        <v>2025</v>
      </c>
    </row>
    <row r="12" spans="1:14">
      <c r="A12" s="12">
        <v>11</v>
      </c>
      <c r="B12" s="77" t="s">
        <v>55</v>
      </c>
      <c r="C12" s="77" t="s">
        <v>56</v>
      </c>
      <c r="D12" s="31" t="s">
        <v>61</v>
      </c>
      <c r="E12" s="12" t="s">
        <v>115</v>
      </c>
      <c r="F12" s="12"/>
      <c r="G12" s="12" t="s">
        <v>375</v>
      </c>
      <c r="H12" s="12" t="s">
        <v>118</v>
      </c>
      <c r="I12" s="14">
        <v>10040.299999999999</v>
      </c>
      <c r="J12" s="77" t="s">
        <v>398</v>
      </c>
      <c r="K12" s="75">
        <v>45852</v>
      </c>
      <c r="L12" s="12">
        <v>2025402488</v>
      </c>
      <c r="M12" s="12" t="s">
        <v>225</v>
      </c>
      <c r="N12" s="12">
        <v>2025</v>
      </c>
    </row>
    <row r="13" spans="1:14">
      <c r="A13" s="12">
        <v>12</v>
      </c>
      <c r="B13" s="12" t="s">
        <v>55</v>
      </c>
      <c r="C13" s="12" t="s">
        <v>56</v>
      </c>
      <c r="D13" s="12" t="s">
        <v>61</v>
      </c>
      <c r="E13" s="12" t="s">
        <v>115</v>
      </c>
      <c r="F13" s="12"/>
      <c r="G13" s="12" t="s">
        <v>375</v>
      </c>
      <c r="H13" s="12" t="s">
        <v>118</v>
      </c>
      <c r="I13" s="14">
        <v>19584.400000000001</v>
      </c>
      <c r="J13" s="12" t="s">
        <v>413</v>
      </c>
      <c r="K13" s="75">
        <v>45874</v>
      </c>
      <c r="L13" s="12">
        <v>2025402893</v>
      </c>
      <c r="M13" s="12" t="s">
        <v>226</v>
      </c>
      <c r="N13" s="12">
        <v>2025</v>
      </c>
    </row>
    <row r="14" spans="1:14">
      <c r="A14" s="12">
        <v>13</v>
      </c>
      <c r="B14" s="12" t="s">
        <v>17</v>
      </c>
      <c r="C14" s="12" t="s">
        <v>24</v>
      </c>
      <c r="D14" s="12" t="s">
        <v>61</v>
      </c>
      <c r="E14" s="12" t="s">
        <v>115</v>
      </c>
      <c r="F14" s="12"/>
      <c r="G14" s="12" t="s">
        <v>375</v>
      </c>
      <c r="H14" s="12" t="s">
        <v>118</v>
      </c>
      <c r="I14" s="14">
        <v>1350</v>
      </c>
      <c r="J14" s="12" t="s">
        <v>437</v>
      </c>
      <c r="K14" s="75">
        <v>45874</v>
      </c>
      <c r="L14" s="12">
        <v>2025403227</v>
      </c>
      <c r="M14" s="12" t="s">
        <v>226</v>
      </c>
      <c r="N14" s="12">
        <v>2025</v>
      </c>
    </row>
    <row r="15" spans="1:14">
      <c r="A15" s="12">
        <v>14</v>
      </c>
      <c r="B15" s="12" t="s">
        <v>55</v>
      </c>
      <c r="C15" s="12" t="s">
        <v>56</v>
      </c>
      <c r="D15" s="12" t="s">
        <v>61</v>
      </c>
      <c r="E15" s="12" t="s">
        <v>115</v>
      </c>
      <c r="F15" s="12"/>
      <c r="G15" s="12" t="s">
        <v>375</v>
      </c>
      <c r="H15" s="12" t="s">
        <v>118</v>
      </c>
      <c r="I15" s="14">
        <v>10365.4</v>
      </c>
      <c r="J15" s="12" t="s">
        <v>440</v>
      </c>
      <c r="K15" s="75">
        <v>45925</v>
      </c>
      <c r="L15" s="12">
        <v>2025403676</v>
      </c>
      <c r="M15" s="12" t="s">
        <v>226</v>
      </c>
      <c r="N15" s="12">
        <v>2025</v>
      </c>
    </row>
    <row r="16" spans="1:14">
      <c r="A16" s="12">
        <v>15</v>
      </c>
      <c r="B16" s="12" t="s">
        <v>53</v>
      </c>
      <c r="C16" s="12" t="s">
        <v>62</v>
      </c>
      <c r="D16" s="12" t="s">
        <v>61</v>
      </c>
      <c r="E16" s="12" t="s">
        <v>115</v>
      </c>
      <c r="F16" s="12"/>
      <c r="G16" s="12" t="s">
        <v>299</v>
      </c>
      <c r="H16" s="76" t="s">
        <v>470</v>
      </c>
      <c r="I16" s="14">
        <v>11414.788732394367</v>
      </c>
      <c r="J16" s="12" t="s">
        <v>404</v>
      </c>
      <c r="K16" s="75">
        <v>45872</v>
      </c>
      <c r="L16" s="12">
        <v>2025402592</v>
      </c>
      <c r="M16" s="12" t="s">
        <v>225</v>
      </c>
      <c r="N16" s="12">
        <v>2025</v>
      </c>
    </row>
    <row r="17" spans="1:14">
      <c r="A17" s="12">
        <v>16</v>
      </c>
      <c r="B17" s="12" t="s">
        <v>43</v>
      </c>
      <c r="C17" s="12" t="s">
        <v>50</v>
      </c>
      <c r="D17" s="12" t="s">
        <v>61</v>
      </c>
      <c r="E17" s="12" t="s">
        <v>115</v>
      </c>
      <c r="F17" s="12"/>
      <c r="G17" s="12" t="s">
        <v>382</v>
      </c>
      <c r="H17" s="12" t="s">
        <v>118</v>
      </c>
      <c r="I17" s="79">
        <v>1200</v>
      </c>
      <c r="J17" s="77" t="s">
        <v>426</v>
      </c>
      <c r="K17" s="78">
        <v>45872</v>
      </c>
      <c r="L17" s="12">
        <v>2025403322</v>
      </c>
      <c r="M17" s="12" t="s">
        <v>226</v>
      </c>
      <c r="N17" s="12">
        <v>2025</v>
      </c>
    </row>
    <row r="18" spans="1:14">
      <c r="A18" s="12">
        <v>17</v>
      </c>
      <c r="B18" s="12" t="s">
        <v>29</v>
      </c>
      <c r="C18" s="12" t="s">
        <v>237</v>
      </c>
      <c r="D18" s="12" t="s">
        <v>61</v>
      </c>
      <c r="E18" s="12" t="s">
        <v>115</v>
      </c>
      <c r="F18" s="12"/>
      <c r="G18" s="12" t="s">
        <v>376</v>
      </c>
      <c r="H18" s="12" t="s">
        <v>118</v>
      </c>
      <c r="I18" s="14">
        <v>400</v>
      </c>
      <c r="J18" s="12" t="s">
        <v>405</v>
      </c>
      <c r="K18" s="75">
        <v>45874</v>
      </c>
      <c r="L18" s="12">
        <v>2025402487</v>
      </c>
      <c r="M18" s="12" t="s">
        <v>226</v>
      </c>
      <c r="N18" s="12">
        <v>2025</v>
      </c>
    </row>
    <row r="19" spans="1:14">
      <c r="A19" s="12">
        <v>18</v>
      </c>
      <c r="B19" s="12" t="s">
        <v>53</v>
      </c>
      <c r="C19" s="12" t="s">
        <v>62</v>
      </c>
      <c r="D19" s="12" t="s">
        <v>61</v>
      </c>
      <c r="E19" s="12" t="s">
        <v>115</v>
      </c>
      <c r="F19" s="12"/>
      <c r="G19" s="12" t="s">
        <v>378</v>
      </c>
      <c r="H19" s="12" t="s">
        <v>118</v>
      </c>
      <c r="I19" s="14">
        <v>14907.042253521127</v>
      </c>
      <c r="J19" s="12" t="s">
        <v>409</v>
      </c>
      <c r="K19" s="75">
        <v>45879</v>
      </c>
      <c r="L19" s="12">
        <v>2025402768</v>
      </c>
      <c r="M19" s="12" t="s">
        <v>226</v>
      </c>
      <c r="N19" s="12">
        <v>2025</v>
      </c>
    </row>
    <row r="20" spans="1:14">
      <c r="A20" s="12">
        <v>19</v>
      </c>
      <c r="B20" s="12" t="s">
        <v>43</v>
      </c>
      <c r="C20" s="12" t="s">
        <v>45</v>
      </c>
      <c r="D20" s="12" t="s">
        <v>61</v>
      </c>
      <c r="E20" s="12" t="s">
        <v>115</v>
      </c>
      <c r="F20" s="12"/>
      <c r="G20" s="12" t="s">
        <v>383</v>
      </c>
      <c r="H20" s="12" t="s">
        <v>118</v>
      </c>
      <c r="I20" s="14">
        <v>433.09859154929575</v>
      </c>
      <c r="J20" s="12" t="s">
        <v>428</v>
      </c>
      <c r="K20" s="75">
        <v>45862</v>
      </c>
      <c r="L20" s="12">
        <v>2025402458</v>
      </c>
      <c r="M20" s="12" t="s">
        <v>225</v>
      </c>
      <c r="N20" s="12">
        <v>2025</v>
      </c>
    </row>
    <row r="21" spans="1:14">
      <c r="A21" s="12">
        <v>20</v>
      </c>
      <c r="B21" s="12" t="s">
        <v>33</v>
      </c>
      <c r="C21" s="12" t="s">
        <v>34</v>
      </c>
      <c r="D21" s="12" t="s">
        <v>61</v>
      </c>
      <c r="E21" s="12" t="s">
        <v>115</v>
      </c>
      <c r="F21" s="12"/>
      <c r="G21" s="12" t="s">
        <v>383</v>
      </c>
      <c r="H21" s="12" t="s">
        <v>118</v>
      </c>
      <c r="I21" s="14">
        <v>126.7605633802817</v>
      </c>
      <c r="J21" s="12" t="s">
        <v>429</v>
      </c>
      <c r="K21" s="75">
        <v>45887</v>
      </c>
      <c r="L21" s="12">
        <v>2025402675</v>
      </c>
      <c r="M21" s="12" t="s">
        <v>226</v>
      </c>
      <c r="N21" s="12">
        <v>2025</v>
      </c>
    </row>
    <row r="22" spans="1:14">
      <c r="A22" s="12">
        <v>21</v>
      </c>
      <c r="B22" s="77" t="s">
        <v>43</v>
      </c>
      <c r="C22" s="77" t="s">
        <v>51</v>
      </c>
      <c r="D22" s="31" t="s">
        <v>61</v>
      </c>
      <c r="E22" s="12" t="s">
        <v>115</v>
      </c>
      <c r="F22" s="12"/>
      <c r="G22" s="12" t="s">
        <v>119</v>
      </c>
      <c r="H22" s="12" t="s">
        <v>118</v>
      </c>
      <c r="I22" s="14">
        <v>2501.9366197183099</v>
      </c>
      <c r="J22" s="77" t="s">
        <v>396</v>
      </c>
      <c r="K22" s="75">
        <v>45856</v>
      </c>
      <c r="L22" s="12">
        <v>2025402432</v>
      </c>
      <c r="M22" s="12" t="s">
        <v>225</v>
      </c>
      <c r="N22" s="12">
        <v>2025</v>
      </c>
    </row>
    <row r="23" spans="1:14">
      <c r="A23" s="12">
        <v>22</v>
      </c>
      <c r="B23" s="12" t="s">
        <v>55</v>
      </c>
      <c r="C23" s="12" t="s">
        <v>56</v>
      </c>
      <c r="D23" s="12" t="s">
        <v>61</v>
      </c>
      <c r="E23" s="12" t="s">
        <v>115</v>
      </c>
      <c r="F23" s="12"/>
      <c r="G23" s="12" t="s">
        <v>119</v>
      </c>
      <c r="H23" s="12" t="s">
        <v>118</v>
      </c>
      <c r="I23" s="14">
        <v>2514.0845070422533</v>
      </c>
      <c r="J23" s="12" t="s">
        <v>403</v>
      </c>
      <c r="K23" s="75">
        <v>45866</v>
      </c>
      <c r="L23" s="12">
        <v>2025402550</v>
      </c>
      <c r="M23" s="12" t="s">
        <v>225</v>
      </c>
      <c r="N23" s="12">
        <v>2025</v>
      </c>
    </row>
    <row r="24" spans="1:14">
      <c r="A24" s="12">
        <v>23</v>
      </c>
      <c r="B24" s="12" t="s">
        <v>53</v>
      </c>
      <c r="C24" s="12" t="s">
        <v>62</v>
      </c>
      <c r="D24" s="12" t="s">
        <v>61</v>
      </c>
      <c r="E24" s="12" t="s">
        <v>115</v>
      </c>
      <c r="F24" s="12"/>
      <c r="G24" s="12" t="s">
        <v>119</v>
      </c>
      <c r="H24" s="12" t="s">
        <v>118</v>
      </c>
      <c r="I24" s="14">
        <v>2881.3380281690143</v>
      </c>
      <c r="J24" s="12" t="s">
        <v>414</v>
      </c>
      <c r="K24" s="75">
        <v>45855</v>
      </c>
      <c r="L24" s="12">
        <v>2025402896</v>
      </c>
      <c r="M24" s="12" t="s">
        <v>225</v>
      </c>
      <c r="N24" s="12">
        <v>2025</v>
      </c>
    </row>
    <row r="25" spans="1:14">
      <c r="A25" s="12">
        <v>24</v>
      </c>
      <c r="B25" s="12" t="s">
        <v>53</v>
      </c>
      <c r="C25" s="12" t="s">
        <v>62</v>
      </c>
      <c r="D25" s="12" t="s">
        <v>61</v>
      </c>
      <c r="E25" s="12" t="s">
        <v>115</v>
      </c>
      <c r="F25" s="12"/>
      <c r="G25" s="12" t="s">
        <v>119</v>
      </c>
      <c r="H25" s="12" t="s">
        <v>118</v>
      </c>
      <c r="I25" s="14">
        <v>776.4084507042254</v>
      </c>
      <c r="J25" s="12" t="s">
        <v>415</v>
      </c>
      <c r="K25" s="75">
        <v>45870</v>
      </c>
      <c r="L25" s="12">
        <v>2025402959</v>
      </c>
      <c r="M25" s="12" t="s">
        <v>226</v>
      </c>
      <c r="N25" s="12">
        <v>2025</v>
      </c>
    </row>
    <row r="26" spans="1:14">
      <c r="A26" s="12">
        <v>25</v>
      </c>
      <c r="B26" s="12" t="s">
        <v>53</v>
      </c>
      <c r="C26" s="12" t="s">
        <v>62</v>
      </c>
      <c r="D26" s="12" t="s">
        <v>61</v>
      </c>
      <c r="E26" s="12" t="s">
        <v>115</v>
      </c>
      <c r="F26" s="12"/>
      <c r="G26" s="12" t="s">
        <v>119</v>
      </c>
      <c r="H26" s="12" t="s">
        <v>118</v>
      </c>
      <c r="I26" s="14">
        <v>952.3943661971831</v>
      </c>
      <c r="J26" s="12" t="s">
        <v>416</v>
      </c>
      <c r="K26" s="75">
        <v>45873</v>
      </c>
      <c r="L26" s="12">
        <v>2025402958</v>
      </c>
      <c r="M26" s="12" t="s">
        <v>226</v>
      </c>
      <c r="N26" s="12">
        <v>2025</v>
      </c>
    </row>
    <row r="27" spans="1:14">
      <c r="A27" s="12">
        <v>26</v>
      </c>
      <c r="B27" s="12" t="s">
        <v>53</v>
      </c>
      <c r="C27" s="12" t="s">
        <v>62</v>
      </c>
      <c r="D27" s="12" t="s">
        <v>61</v>
      </c>
      <c r="E27" s="12" t="s">
        <v>115</v>
      </c>
      <c r="F27" s="12"/>
      <c r="G27" s="12" t="s">
        <v>119</v>
      </c>
      <c r="H27" s="12" t="s">
        <v>118</v>
      </c>
      <c r="I27" s="14">
        <v>733.27464788732391</v>
      </c>
      <c r="J27" s="12" t="s">
        <v>417</v>
      </c>
      <c r="K27" s="75">
        <v>45868</v>
      </c>
      <c r="L27" s="12">
        <v>2025402957</v>
      </c>
      <c r="M27" s="12" t="s">
        <v>226</v>
      </c>
      <c r="N27" s="12">
        <v>2025</v>
      </c>
    </row>
    <row r="28" spans="1:14">
      <c r="A28" s="12">
        <v>27</v>
      </c>
      <c r="B28" s="12" t="s">
        <v>55</v>
      </c>
      <c r="C28" s="12" t="s">
        <v>56</v>
      </c>
      <c r="D28" s="12" t="s">
        <v>61</v>
      </c>
      <c r="E28" s="12" t="s">
        <v>115</v>
      </c>
      <c r="F28" s="12"/>
      <c r="G28" s="12" t="s">
        <v>119</v>
      </c>
      <c r="H28" s="12" t="s">
        <v>118</v>
      </c>
      <c r="I28" s="14">
        <v>2293.4859154929577</v>
      </c>
      <c r="J28" s="12" t="s">
        <v>424</v>
      </c>
      <c r="K28" s="75">
        <v>45889</v>
      </c>
      <c r="L28" s="12">
        <v>2025403256</v>
      </c>
      <c r="M28" s="12" t="s">
        <v>226</v>
      </c>
      <c r="N28" s="12">
        <v>2025</v>
      </c>
    </row>
    <row r="29" spans="1:14">
      <c r="A29" s="12">
        <v>28</v>
      </c>
      <c r="B29" s="12" t="s">
        <v>35</v>
      </c>
      <c r="C29" s="12" t="s">
        <v>38</v>
      </c>
      <c r="D29" s="12" t="s">
        <v>61</v>
      </c>
      <c r="E29" s="12" t="s">
        <v>115</v>
      </c>
      <c r="F29" s="12"/>
      <c r="G29" s="12" t="s">
        <v>119</v>
      </c>
      <c r="H29" s="12" t="s">
        <v>118</v>
      </c>
      <c r="I29" s="14">
        <v>140.8450704225352</v>
      </c>
      <c r="J29" s="12" t="s">
        <v>439</v>
      </c>
      <c r="K29" s="75">
        <v>45884</v>
      </c>
      <c r="L29" s="12">
        <v>2025403257</v>
      </c>
      <c r="M29" s="12" t="s">
        <v>226</v>
      </c>
      <c r="N29" s="12">
        <v>2025</v>
      </c>
    </row>
    <row r="30" spans="1:14">
      <c r="A30" s="12">
        <v>29</v>
      </c>
      <c r="B30" s="12" t="s">
        <v>43</v>
      </c>
      <c r="C30" s="12" t="s">
        <v>50</v>
      </c>
      <c r="D30" s="12" t="s">
        <v>61</v>
      </c>
      <c r="E30" s="12" t="s">
        <v>115</v>
      </c>
      <c r="F30" s="12"/>
      <c r="G30" s="12" t="s">
        <v>119</v>
      </c>
      <c r="H30" s="12" t="s">
        <v>118</v>
      </c>
      <c r="I30" s="14">
        <v>1963.2042253521126</v>
      </c>
      <c r="J30" s="12" t="s">
        <v>446</v>
      </c>
      <c r="K30" s="75">
        <v>45840</v>
      </c>
      <c r="L30" s="12">
        <v>2025403843</v>
      </c>
      <c r="M30" s="12" t="s">
        <v>225</v>
      </c>
      <c r="N30" s="12">
        <v>2025</v>
      </c>
    </row>
    <row r="31" spans="1:14">
      <c r="A31" s="12">
        <v>30</v>
      </c>
      <c r="B31" s="77" t="s">
        <v>53</v>
      </c>
      <c r="C31" s="77" t="s">
        <v>62</v>
      </c>
      <c r="D31" s="31" t="s">
        <v>61</v>
      </c>
      <c r="E31" s="12" t="s">
        <v>115</v>
      </c>
      <c r="F31" s="12"/>
      <c r="G31" s="12" t="s">
        <v>374</v>
      </c>
      <c r="H31" s="12" t="s">
        <v>118</v>
      </c>
      <c r="I31" s="14">
        <v>1260</v>
      </c>
      <c r="J31" s="12" t="s">
        <v>390</v>
      </c>
      <c r="K31" s="75">
        <v>45854</v>
      </c>
      <c r="L31" s="12">
        <v>2025402089</v>
      </c>
      <c r="M31" s="12" t="s">
        <v>225</v>
      </c>
      <c r="N31" s="12">
        <v>2025</v>
      </c>
    </row>
    <row r="32" spans="1:14">
      <c r="A32" s="12">
        <v>31</v>
      </c>
      <c r="B32" s="77" t="s">
        <v>53</v>
      </c>
      <c r="C32" s="77" t="s">
        <v>62</v>
      </c>
      <c r="D32" s="31" t="s">
        <v>61</v>
      </c>
      <c r="E32" s="12" t="s">
        <v>115</v>
      </c>
      <c r="F32" s="12"/>
      <c r="G32" s="12" t="s">
        <v>374</v>
      </c>
      <c r="H32" s="12" t="s">
        <v>118</v>
      </c>
      <c r="I32" s="14">
        <v>840</v>
      </c>
      <c r="J32" s="12" t="s">
        <v>391</v>
      </c>
      <c r="K32" s="75">
        <v>45854</v>
      </c>
      <c r="L32" s="12">
        <v>2025402090</v>
      </c>
      <c r="M32" s="12" t="s">
        <v>225</v>
      </c>
      <c r="N32" s="12">
        <v>2025</v>
      </c>
    </row>
    <row r="33" spans="1:14">
      <c r="A33" s="12">
        <v>32</v>
      </c>
      <c r="B33" s="77" t="s">
        <v>33</v>
      </c>
      <c r="C33" s="77" t="s">
        <v>34</v>
      </c>
      <c r="D33" s="31" t="s">
        <v>61</v>
      </c>
      <c r="E33" s="12" t="s">
        <v>115</v>
      </c>
      <c r="F33" s="12"/>
      <c r="G33" s="12" t="s">
        <v>374</v>
      </c>
      <c r="H33" s="12" t="s">
        <v>118</v>
      </c>
      <c r="I33" s="14">
        <v>320</v>
      </c>
      <c r="J33" s="77" t="s">
        <v>397</v>
      </c>
      <c r="K33" s="75">
        <v>45864</v>
      </c>
      <c r="L33" s="12">
        <v>2025402410</v>
      </c>
      <c r="M33" s="12" t="s">
        <v>225</v>
      </c>
      <c r="N33" s="12">
        <v>2025</v>
      </c>
    </row>
    <row r="34" spans="1:14">
      <c r="A34" s="12">
        <v>33</v>
      </c>
      <c r="B34" s="12" t="s">
        <v>33</v>
      </c>
      <c r="C34" s="12" t="s">
        <v>34</v>
      </c>
      <c r="D34" s="12" t="s">
        <v>61</v>
      </c>
      <c r="E34" s="12" t="s">
        <v>115</v>
      </c>
      <c r="F34" s="12"/>
      <c r="G34" s="12" t="s">
        <v>374</v>
      </c>
      <c r="H34" s="12" t="s">
        <v>118</v>
      </c>
      <c r="I34" s="14">
        <v>3120</v>
      </c>
      <c r="J34" s="12" t="s">
        <v>434</v>
      </c>
      <c r="K34" s="75">
        <v>45922</v>
      </c>
      <c r="L34" s="12">
        <v>2025403337</v>
      </c>
      <c r="M34" s="12" t="s">
        <v>226</v>
      </c>
      <c r="N34" s="12">
        <v>2025</v>
      </c>
    </row>
    <row r="35" spans="1:14">
      <c r="A35" s="12">
        <v>34</v>
      </c>
      <c r="B35" s="12" t="s">
        <v>33</v>
      </c>
      <c r="C35" s="12" t="s">
        <v>34</v>
      </c>
      <c r="D35" s="12" t="s">
        <v>61</v>
      </c>
      <c r="E35" s="12" t="s">
        <v>115</v>
      </c>
      <c r="F35" s="12"/>
      <c r="G35" s="12" t="s">
        <v>374</v>
      </c>
      <c r="H35" s="12" t="s">
        <v>118</v>
      </c>
      <c r="I35" s="14">
        <v>360</v>
      </c>
      <c r="J35" s="12" t="s">
        <v>435</v>
      </c>
      <c r="K35" s="75">
        <v>45922</v>
      </c>
      <c r="L35" s="12">
        <v>2025403365</v>
      </c>
      <c r="M35" s="12" t="s">
        <v>225</v>
      </c>
      <c r="N35" s="12">
        <v>2025</v>
      </c>
    </row>
    <row r="36" spans="1:14">
      <c r="A36" s="12">
        <v>35</v>
      </c>
      <c r="B36" s="12" t="s">
        <v>33</v>
      </c>
      <c r="C36" s="12" t="s">
        <v>34</v>
      </c>
      <c r="D36" s="12" t="s">
        <v>61</v>
      </c>
      <c r="E36" s="12" t="s">
        <v>115</v>
      </c>
      <c r="F36" s="12"/>
      <c r="G36" s="12" t="s">
        <v>374</v>
      </c>
      <c r="H36" s="12" t="s">
        <v>118</v>
      </c>
      <c r="I36" s="14">
        <v>360</v>
      </c>
      <c r="J36" s="12" t="s">
        <v>452</v>
      </c>
      <c r="K36" s="75">
        <v>45951</v>
      </c>
      <c r="L36" s="12">
        <v>2025403734</v>
      </c>
      <c r="M36" s="12" t="s">
        <v>226</v>
      </c>
      <c r="N36" s="12">
        <v>2025</v>
      </c>
    </row>
    <row r="37" spans="1:14">
      <c r="A37" s="12">
        <v>36</v>
      </c>
      <c r="B37" s="12" t="s">
        <v>53</v>
      </c>
      <c r="C37" s="12" t="s">
        <v>62</v>
      </c>
      <c r="D37" s="12" t="s">
        <v>61</v>
      </c>
      <c r="E37" s="12" t="s">
        <v>115</v>
      </c>
      <c r="F37" s="12"/>
      <c r="G37" s="12" t="s">
        <v>94</v>
      </c>
      <c r="H37" s="76" t="s">
        <v>116</v>
      </c>
      <c r="I37" s="14">
        <v>187415.17605633804</v>
      </c>
      <c r="J37" s="12">
        <v>2025000123</v>
      </c>
      <c r="K37" s="75">
        <v>45869</v>
      </c>
      <c r="L37" s="76" t="s">
        <v>14</v>
      </c>
      <c r="M37" s="12" t="s">
        <v>225</v>
      </c>
      <c r="N37" s="12">
        <v>2025</v>
      </c>
    </row>
    <row r="38" spans="1:14">
      <c r="A38" s="12">
        <v>37</v>
      </c>
      <c r="B38" s="12" t="s">
        <v>43</v>
      </c>
      <c r="C38" s="12" t="s">
        <v>45</v>
      </c>
      <c r="D38" s="12" t="s">
        <v>61</v>
      </c>
      <c r="E38" s="12" t="s">
        <v>115</v>
      </c>
      <c r="F38" s="12"/>
      <c r="G38" s="12" t="s">
        <v>94</v>
      </c>
      <c r="H38" s="76" t="s">
        <v>116</v>
      </c>
      <c r="I38" s="14">
        <v>65694.612676056335</v>
      </c>
      <c r="J38" s="12">
        <v>2025000124</v>
      </c>
      <c r="K38" s="75">
        <v>45869</v>
      </c>
      <c r="L38" s="76" t="s">
        <v>14</v>
      </c>
      <c r="M38" s="12" t="s">
        <v>225</v>
      </c>
      <c r="N38" s="12">
        <v>2025</v>
      </c>
    </row>
    <row r="39" spans="1:14">
      <c r="A39" s="12">
        <v>38</v>
      </c>
      <c r="B39" s="12" t="s">
        <v>35</v>
      </c>
      <c r="C39" s="12" t="s">
        <v>40</v>
      </c>
      <c r="D39" s="12" t="s">
        <v>61</v>
      </c>
      <c r="E39" s="12" t="s">
        <v>115</v>
      </c>
      <c r="F39" s="12"/>
      <c r="G39" s="12" t="s">
        <v>94</v>
      </c>
      <c r="H39" s="76" t="s">
        <v>116</v>
      </c>
      <c r="I39" s="14">
        <v>4107.0422535211264</v>
      </c>
      <c r="J39" s="12">
        <v>2025000125</v>
      </c>
      <c r="K39" s="75">
        <v>45869</v>
      </c>
      <c r="L39" s="76" t="s">
        <v>14</v>
      </c>
      <c r="M39" s="12" t="s">
        <v>225</v>
      </c>
      <c r="N39" s="12">
        <v>2025</v>
      </c>
    </row>
    <row r="40" spans="1:14">
      <c r="A40" s="12">
        <v>39</v>
      </c>
      <c r="B40" s="12" t="s">
        <v>43</v>
      </c>
      <c r="C40" s="12" t="s">
        <v>44</v>
      </c>
      <c r="D40" s="12" t="s">
        <v>61</v>
      </c>
      <c r="E40" s="12" t="s">
        <v>115</v>
      </c>
      <c r="F40" s="12"/>
      <c r="G40" s="12" t="s">
        <v>94</v>
      </c>
      <c r="H40" s="76" t="s">
        <v>116</v>
      </c>
      <c r="I40" s="14">
        <v>12273.591549295774</v>
      </c>
      <c r="J40" s="12">
        <v>2025000126</v>
      </c>
      <c r="K40" s="75">
        <v>45869</v>
      </c>
      <c r="L40" s="76" t="s">
        <v>14</v>
      </c>
      <c r="M40" s="12" t="s">
        <v>225</v>
      </c>
      <c r="N40" s="12">
        <v>2025</v>
      </c>
    </row>
    <row r="41" spans="1:14">
      <c r="A41" s="12">
        <v>40</v>
      </c>
      <c r="B41" s="12" t="s">
        <v>17</v>
      </c>
      <c r="C41" s="12" t="s">
        <v>24</v>
      </c>
      <c r="D41" s="12" t="s">
        <v>61</v>
      </c>
      <c r="E41" s="12" t="s">
        <v>115</v>
      </c>
      <c r="F41" s="12"/>
      <c r="G41" s="12" t="s">
        <v>94</v>
      </c>
      <c r="H41" s="76" t="s">
        <v>116</v>
      </c>
      <c r="I41" s="14">
        <v>6810.8450704225352</v>
      </c>
      <c r="J41" s="12">
        <v>2025000127</v>
      </c>
      <c r="K41" s="75">
        <v>45869</v>
      </c>
      <c r="L41" s="76" t="s">
        <v>14</v>
      </c>
      <c r="M41" s="12" t="s">
        <v>225</v>
      </c>
      <c r="N41" s="12">
        <v>2025</v>
      </c>
    </row>
    <row r="42" spans="1:14">
      <c r="A42" s="12">
        <v>41</v>
      </c>
      <c r="B42" s="12" t="s">
        <v>17</v>
      </c>
      <c r="C42" s="12" t="s">
        <v>23</v>
      </c>
      <c r="D42" s="12" t="s">
        <v>61</v>
      </c>
      <c r="E42" s="12" t="s">
        <v>115</v>
      </c>
      <c r="F42" s="12"/>
      <c r="G42" s="12" t="s">
        <v>94</v>
      </c>
      <c r="H42" s="76" t="s">
        <v>116</v>
      </c>
      <c r="I42" s="14">
        <v>3080.2816901408451</v>
      </c>
      <c r="J42" s="12">
        <v>2025000128</v>
      </c>
      <c r="K42" s="75">
        <v>45869</v>
      </c>
      <c r="L42" s="76" t="s">
        <v>14</v>
      </c>
      <c r="M42" s="12" t="s">
        <v>225</v>
      </c>
      <c r="N42" s="12">
        <v>2025</v>
      </c>
    </row>
    <row r="43" spans="1:14">
      <c r="A43" s="12">
        <v>42</v>
      </c>
      <c r="B43" s="12" t="s">
        <v>17</v>
      </c>
      <c r="C43" s="12" t="s">
        <v>26</v>
      </c>
      <c r="D43" s="12" t="s">
        <v>61</v>
      </c>
      <c r="E43" s="12" t="s">
        <v>115</v>
      </c>
      <c r="F43" s="12"/>
      <c r="G43" s="12" t="s">
        <v>94</v>
      </c>
      <c r="H43" s="76" t="s">
        <v>116</v>
      </c>
      <c r="I43" s="14">
        <v>2053.5211267605632</v>
      </c>
      <c r="J43" s="12">
        <v>2025000129</v>
      </c>
      <c r="K43" s="75">
        <v>45869</v>
      </c>
      <c r="L43" s="76" t="s">
        <v>14</v>
      </c>
      <c r="M43" s="12" t="s">
        <v>225</v>
      </c>
      <c r="N43" s="12">
        <v>2025</v>
      </c>
    </row>
    <row r="44" spans="1:14">
      <c r="A44" s="12">
        <v>43</v>
      </c>
      <c r="B44" s="12" t="s">
        <v>43</v>
      </c>
      <c r="C44" s="12" t="s">
        <v>46</v>
      </c>
      <c r="D44" s="12" t="s">
        <v>61</v>
      </c>
      <c r="E44" s="12" t="s">
        <v>115</v>
      </c>
      <c r="F44" s="12"/>
      <c r="G44" s="12" t="s">
        <v>94</v>
      </c>
      <c r="H44" s="76" t="s">
        <v>116</v>
      </c>
      <c r="I44" s="14">
        <v>8803.5211267605628</v>
      </c>
      <c r="J44" s="12">
        <v>2025000130</v>
      </c>
      <c r="K44" s="75">
        <v>45869</v>
      </c>
      <c r="L44" s="76" t="s">
        <v>14</v>
      </c>
      <c r="M44" s="12" t="s">
        <v>225</v>
      </c>
      <c r="N44" s="12">
        <v>2025</v>
      </c>
    </row>
    <row r="45" spans="1:14">
      <c r="A45" s="12">
        <v>44</v>
      </c>
      <c r="B45" s="12" t="s">
        <v>43</v>
      </c>
      <c r="C45" s="12" t="s">
        <v>52</v>
      </c>
      <c r="D45" s="12" t="s">
        <v>61</v>
      </c>
      <c r="E45" s="12" t="s">
        <v>115</v>
      </c>
      <c r="F45" s="12"/>
      <c r="G45" s="12" t="s">
        <v>94</v>
      </c>
      <c r="H45" s="76" t="s">
        <v>116</v>
      </c>
      <c r="I45" s="14">
        <v>5006.4084507042253</v>
      </c>
      <c r="J45" s="12">
        <v>2025000131</v>
      </c>
      <c r="K45" s="75">
        <v>45869</v>
      </c>
      <c r="L45" s="76" t="s">
        <v>14</v>
      </c>
      <c r="M45" s="12" t="s">
        <v>225</v>
      </c>
      <c r="N45" s="12">
        <v>2025</v>
      </c>
    </row>
    <row r="46" spans="1:14">
      <c r="A46" s="12">
        <v>45</v>
      </c>
      <c r="B46" s="12" t="s">
        <v>43</v>
      </c>
      <c r="C46" s="12" t="s">
        <v>51</v>
      </c>
      <c r="D46" s="12" t="s">
        <v>61</v>
      </c>
      <c r="E46" s="12" t="s">
        <v>115</v>
      </c>
      <c r="F46" s="12"/>
      <c r="G46" s="12" t="s">
        <v>94</v>
      </c>
      <c r="H46" s="76" t="s">
        <v>116</v>
      </c>
      <c r="I46" s="14">
        <v>1026.7605633802816</v>
      </c>
      <c r="J46" s="12" t="s">
        <v>455</v>
      </c>
      <c r="K46" s="75">
        <v>45900</v>
      </c>
      <c r="L46" s="76" t="s">
        <v>14</v>
      </c>
      <c r="M46" s="12" t="s">
        <v>226</v>
      </c>
      <c r="N46" s="12">
        <v>2025</v>
      </c>
    </row>
    <row r="47" spans="1:14">
      <c r="A47" s="12">
        <v>46</v>
      </c>
      <c r="B47" s="12" t="s">
        <v>35</v>
      </c>
      <c r="C47" s="12" t="s">
        <v>38</v>
      </c>
      <c r="D47" s="12" t="s">
        <v>61</v>
      </c>
      <c r="E47" s="12" t="s">
        <v>115</v>
      </c>
      <c r="F47" s="12"/>
      <c r="G47" s="12" t="s">
        <v>94</v>
      </c>
      <c r="H47" s="76" t="s">
        <v>116</v>
      </c>
      <c r="I47" s="14">
        <v>9572.6408450704221</v>
      </c>
      <c r="J47" s="12" t="s">
        <v>456</v>
      </c>
      <c r="K47" s="75">
        <v>45900</v>
      </c>
      <c r="L47" s="76" t="s">
        <v>14</v>
      </c>
      <c r="M47" s="12" t="s">
        <v>226</v>
      </c>
      <c r="N47" s="12">
        <v>2025</v>
      </c>
    </row>
    <row r="48" spans="1:14">
      <c r="A48" s="12">
        <v>47</v>
      </c>
      <c r="B48" s="12" t="s">
        <v>43</v>
      </c>
      <c r="C48" s="12" t="s">
        <v>44</v>
      </c>
      <c r="D48" s="12" t="s">
        <v>61</v>
      </c>
      <c r="E48" s="12" t="s">
        <v>115</v>
      </c>
      <c r="F48" s="12"/>
      <c r="G48" s="12" t="s">
        <v>94</v>
      </c>
      <c r="H48" s="76" t="s">
        <v>116</v>
      </c>
      <c r="I48" s="14">
        <v>2053.5211267605632</v>
      </c>
      <c r="J48" s="12" t="s">
        <v>457</v>
      </c>
      <c r="K48" s="75">
        <v>45900</v>
      </c>
      <c r="L48" s="76" t="s">
        <v>14</v>
      </c>
      <c r="M48" s="12" t="s">
        <v>226</v>
      </c>
      <c r="N48" s="12">
        <v>2025</v>
      </c>
    </row>
    <row r="49" spans="1:14">
      <c r="A49" s="12">
        <v>48</v>
      </c>
      <c r="B49" s="12" t="s">
        <v>43</v>
      </c>
      <c r="C49" s="12" t="s">
        <v>50</v>
      </c>
      <c r="D49" s="12" t="s">
        <v>61</v>
      </c>
      <c r="E49" s="12" t="s">
        <v>115</v>
      </c>
      <c r="F49" s="12"/>
      <c r="G49" s="12" t="s">
        <v>94</v>
      </c>
      <c r="H49" s="76" t="s">
        <v>116</v>
      </c>
      <c r="I49" s="14">
        <v>2909.1549295774648</v>
      </c>
      <c r="J49" s="12" t="s">
        <v>458</v>
      </c>
      <c r="K49" s="75">
        <v>45900</v>
      </c>
      <c r="L49" s="76" t="s">
        <v>14</v>
      </c>
      <c r="M49" s="12" t="s">
        <v>226</v>
      </c>
      <c r="N49" s="12">
        <v>2025</v>
      </c>
    </row>
    <row r="50" spans="1:14">
      <c r="A50" s="12">
        <v>49</v>
      </c>
      <c r="B50" s="12" t="s">
        <v>53</v>
      </c>
      <c r="C50" s="12" t="s">
        <v>62</v>
      </c>
      <c r="D50" s="12" t="s">
        <v>61</v>
      </c>
      <c r="E50" s="12" t="s">
        <v>115</v>
      </c>
      <c r="F50" s="12"/>
      <c r="G50" s="12" t="s">
        <v>94</v>
      </c>
      <c r="H50" s="76" t="s">
        <v>116</v>
      </c>
      <c r="I50" s="14">
        <v>157649.57746478874</v>
      </c>
      <c r="J50" s="12" t="s">
        <v>459</v>
      </c>
      <c r="K50" s="75">
        <v>45900</v>
      </c>
      <c r="L50" s="76" t="s">
        <v>14</v>
      </c>
      <c r="M50" s="12" t="s">
        <v>226</v>
      </c>
      <c r="N50" s="12">
        <v>2025</v>
      </c>
    </row>
    <row r="51" spans="1:14">
      <c r="A51" s="12">
        <v>50</v>
      </c>
      <c r="B51" s="12" t="s">
        <v>43</v>
      </c>
      <c r="C51" s="12" t="s">
        <v>45</v>
      </c>
      <c r="D51" s="12" t="s">
        <v>61</v>
      </c>
      <c r="E51" s="12" t="s">
        <v>115</v>
      </c>
      <c r="F51" s="12"/>
      <c r="G51" s="12" t="s">
        <v>94</v>
      </c>
      <c r="H51" s="76" t="s">
        <v>116</v>
      </c>
      <c r="I51" s="14">
        <v>44741.091549295772</v>
      </c>
      <c r="J51" s="12" t="s">
        <v>460</v>
      </c>
      <c r="K51" s="75">
        <v>45900</v>
      </c>
      <c r="L51" s="76" t="s">
        <v>14</v>
      </c>
      <c r="M51" s="12" t="s">
        <v>226</v>
      </c>
      <c r="N51" s="12">
        <v>2025</v>
      </c>
    </row>
    <row r="52" spans="1:14">
      <c r="A52" s="12">
        <v>51</v>
      </c>
      <c r="B52" s="12" t="s">
        <v>17</v>
      </c>
      <c r="C52" s="12" t="s">
        <v>22</v>
      </c>
      <c r="D52" s="12" t="s">
        <v>61</v>
      </c>
      <c r="E52" s="12" t="s">
        <v>115</v>
      </c>
      <c r="F52" s="12"/>
      <c r="G52" s="12" t="s">
        <v>94</v>
      </c>
      <c r="H52" s="76" t="s">
        <v>116</v>
      </c>
      <c r="I52" s="14">
        <v>1026.7605633802816</v>
      </c>
      <c r="J52" s="12" t="s">
        <v>461</v>
      </c>
      <c r="K52" s="75">
        <v>45900</v>
      </c>
      <c r="L52" s="76" t="s">
        <v>14</v>
      </c>
      <c r="M52" s="12" t="s">
        <v>226</v>
      </c>
      <c r="N52" s="12">
        <v>2025</v>
      </c>
    </row>
    <row r="53" spans="1:14">
      <c r="A53" s="12">
        <v>52</v>
      </c>
      <c r="B53" s="12" t="s">
        <v>17</v>
      </c>
      <c r="C53" s="12" t="s">
        <v>25</v>
      </c>
      <c r="D53" s="12" t="s">
        <v>61</v>
      </c>
      <c r="E53" s="12" t="s">
        <v>115</v>
      </c>
      <c r="F53" s="12"/>
      <c r="G53" s="12" t="s">
        <v>94</v>
      </c>
      <c r="H53" s="76" t="s">
        <v>116</v>
      </c>
      <c r="I53" s="14">
        <v>29815.795774647886</v>
      </c>
      <c r="J53" s="12" t="s">
        <v>462</v>
      </c>
      <c r="K53" s="75">
        <v>45900</v>
      </c>
      <c r="L53" s="76" t="s">
        <v>14</v>
      </c>
      <c r="M53" s="12" t="s">
        <v>226</v>
      </c>
      <c r="N53" s="12">
        <v>2025</v>
      </c>
    </row>
    <row r="54" spans="1:14">
      <c r="A54" s="12">
        <v>53</v>
      </c>
      <c r="B54" s="12" t="s">
        <v>35</v>
      </c>
      <c r="C54" s="12" t="s">
        <v>40</v>
      </c>
      <c r="D54" s="12" t="s">
        <v>61</v>
      </c>
      <c r="E54" s="12" t="s">
        <v>115</v>
      </c>
      <c r="F54" s="12"/>
      <c r="G54" s="12" t="s">
        <v>94</v>
      </c>
      <c r="H54" s="76" t="s">
        <v>116</v>
      </c>
      <c r="I54" s="14">
        <v>5304.929577464789</v>
      </c>
      <c r="J54" s="12" t="s">
        <v>463</v>
      </c>
      <c r="K54" s="75">
        <v>45900</v>
      </c>
      <c r="L54" s="76" t="s">
        <v>14</v>
      </c>
      <c r="M54" s="12" t="s">
        <v>226</v>
      </c>
      <c r="N54" s="12">
        <v>2025</v>
      </c>
    </row>
    <row r="55" spans="1:14">
      <c r="A55" s="12">
        <v>54</v>
      </c>
      <c r="B55" s="77" t="s">
        <v>59</v>
      </c>
      <c r="C55" s="77" t="s">
        <v>60</v>
      </c>
      <c r="D55" s="31" t="s">
        <v>61</v>
      </c>
      <c r="E55" s="12" t="s">
        <v>115</v>
      </c>
      <c r="F55" s="12"/>
      <c r="G55" s="12" t="s">
        <v>373</v>
      </c>
      <c r="H55" s="12" t="s">
        <v>118</v>
      </c>
      <c r="I55" s="14">
        <v>450</v>
      </c>
      <c r="J55" s="12" t="s">
        <v>389</v>
      </c>
      <c r="K55" s="75">
        <v>45840</v>
      </c>
      <c r="L55" s="76" t="s">
        <v>14</v>
      </c>
      <c r="M55" s="12" t="s">
        <v>225</v>
      </c>
      <c r="N55" s="12">
        <v>2025</v>
      </c>
    </row>
    <row r="56" spans="1:14">
      <c r="A56" s="12">
        <v>55</v>
      </c>
      <c r="B56" s="12" t="s">
        <v>27</v>
      </c>
      <c r="C56" s="12" t="s">
        <v>28</v>
      </c>
      <c r="D56" s="12" t="s">
        <v>61</v>
      </c>
      <c r="E56" s="12" t="s">
        <v>115</v>
      </c>
      <c r="F56" s="12"/>
      <c r="G56" s="12" t="s">
        <v>380</v>
      </c>
      <c r="H56" s="76" t="s">
        <v>471</v>
      </c>
      <c r="I56" s="14">
        <v>20683.098591549297</v>
      </c>
      <c r="J56" s="12" t="s">
        <v>412</v>
      </c>
      <c r="K56" s="75">
        <v>45889</v>
      </c>
      <c r="L56" s="76" t="s">
        <v>14</v>
      </c>
      <c r="M56" s="12" t="s">
        <v>226</v>
      </c>
      <c r="N56" s="12">
        <v>2025</v>
      </c>
    </row>
    <row r="57" spans="1:14">
      <c r="A57" s="12">
        <v>56</v>
      </c>
      <c r="B57" s="12" t="s">
        <v>17</v>
      </c>
      <c r="C57" s="12" t="s">
        <v>25</v>
      </c>
      <c r="D57" s="12" t="s">
        <v>61</v>
      </c>
      <c r="E57" s="12" t="s">
        <v>115</v>
      </c>
      <c r="F57" s="12"/>
      <c r="G57" s="12" t="s">
        <v>384</v>
      </c>
      <c r="H57" s="12" t="s">
        <v>118</v>
      </c>
      <c r="I57" s="14">
        <v>1135</v>
      </c>
      <c r="J57" s="12" t="s">
        <v>431</v>
      </c>
      <c r="K57" s="75">
        <v>45887</v>
      </c>
      <c r="L57" s="12">
        <v>2025403336</v>
      </c>
      <c r="M57" s="12" t="s">
        <v>226</v>
      </c>
      <c r="N57" s="12">
        <v>2025</v>
      </c>
    </row>
    <row r="58" spans="1:14">
      <c r="A58" s="12">
        <v>57</v>
      </c>
      <c r="B58" s="12" t="s">
        <v>53</v>
      </c>
      <c r="C58" s="12" t="s">
        <v>62</v>
      </c>
      <c r="D58" s="12" t="s">
        <v>61</v>
      </c>
      <c r="E58" s="12" t="s">
        <v>115</v>
      </c>
      <c r="F58" s="12"/>
      <c r="G58" s="12" t="s">
        <v>379</v>
      </c>
      <c r="H58" s="12" t="s">
        <v>118</v>
      </c>
      <c r="I58" s="14">
        <v>1700</v>
      </c>
      <c r="J58" s="12" t="s">
        <v>410</v>
      </c>
      <c r="K58" s="75">
        <v>45852</v>
      </c>
      <c r="L58" s="12">
        <v>2025402683</v>
      </c>
      <c r="M58" s="12" t="s">
        <v>225</v>
      </c>
      <c r="N58" s="12">
        <v>2025</v>
      </c>
    </row>
    <row r="59" spans="1:14">
      <c r="A59" s="12">
        <v>58</v>
      </c>
      <c r="B59" s="77" t="s">
        <v>43</v>
      </c>
      <c r="C59" s="77" t="s">
        <v>46</v>
      </c>
      <c r="D59" s="31" t="s">
        <v>61</v>
      </c>
      <c r="E59" s="12" t="s">
        <v>115</v>
      </c>
      <c r="F59" s="12"/>
      <c r="G59" s="12" t="s">
        <v>202</v>
      </c>
      <c r="H59" s="12" t="s">
        <v>118</v>
      </c>
      <c r="I59" s="14">
        <v>373.23943661971833</v>
      </c>
      <c r="J59" s="12" t="s">
        <v>393</v>
      </c>
      <c r="K59" s="75">
        <v>45843</v>
      </c>
      <c r="L59" s="12">
        <v>2025402274</v>
      </c>
      <c r="M59" s="12" t="s">
        <v>225</v>
      </c>
      <c r="N59" s="12">
        <v>2025</v>
      </c>
    </row>
    <row r="60" spans="1:14">
      <c r="A60" s="12">
        <v>59</v>
      </c>
      <c r="B60" s="12" t="s">
        <v>43</v>
      </c>
      <c r="C60" s="12" t="s">
        <v>51</v>
      </c>
      <c r="D60" s="12" t="s">
        <v>61</v>
      </c>
      <c r="E60" s="12" t="s">
        <v>115</v>
      </c>
      <c r="F60" s="12"/>
      <c r="G60" s="12" t="s">
        <v>202</v>
      </c>
      <c r="H60" s="12" t="s">
        <v>118</v>
      </c>
      <c r="I60" s="14">
        <v>579.57746478873241</v>
      </c>
      <c r="J60" s="12" t="s">
        <v>447</v>
      </c>
      <c r="K60" s="75">
        <v>45838</v>
      </c>
      <c r="L60" s="12">
        <v>2025403773</v>
      </c>
      <c r="M60" s="12" t="s">
        <v>225</v>
      </c>
      <c r="N60" s="12">
        <v>2025</v>
      </c>
    </row>
    <row r="61" spans="1:14">
      <c r="A61" s="12">
        <v>60</v>
      </c>
      <c r="B61" s="12" t="s">
        <v>43</v>
      </c>
      <c r="C61" s="12" t="s">
        <v>51</v>
      </c>
      <c r="D61" s="12" t="s">
        <v>61</v>
      </c>
      <c r="E61" s="12" t="s">
        <v>115</v>
      </c>
      <c r="F61" s="12"/>
      <c r="G61" s="12" t="s">
        <v>202</v>
      </c>
      <c r="H61" s="12" t="s">
        <v>118</v>
      </c>
      <c r="I61" s="14">
        <v>601.4084507042254</v>
      </c>
      <c r="J61" s="12" t="s">
        <v>448</v>
      </c>
      <c r="K61" s="75">
        <v>45900</v>
      </c>
      <c r="L61" s="12">
        <v>2025403773</v>
      </c>
      <c r="M61" s="12" t="s">
        <v>226</v>
      </c>
      <c r="N61" s="12">
        <v>2025</v>
      </c>
    </row>
    <row r="62" spans="1:14">
      <c r="A62" s="12">
        <v>61</v>
      </c>
      <c r="B62" s="12" t="s">
        <v>43</v>
      </c>
      <c r="C62" s="12" t="s">
        <v>51</v>
      </c>
      <c r="D62" s="12" t="s">
        <v>61</v>
      </c>
      <c r="E62" s="12" t="s">
        <v>115</v>
      </c>
      <c r="F62" s="12"/>
      <c r="G62" s="12" t="s">
        <v>202</v>
      </c>
      <c r="H62" s="12" t="s">
        <v>118</v>
      </c>
      <c r="I62" s="14">
        <v>1540.8450704225352</v>
      </c>
      <c r="J62" s="12" t="s">
        <v>449</v>
      </c>
      <c r="K62" s="75">
        <v>45869</v>
      </c>
      <c r="L62" s="12">
        <v>2025403773</v>
      </c>
      <c r="M62" s="12" t="s">
        <v>225</v>
      </c>
      <c r="N62" s="12">
        <v>2025</v>
      </c>
    </row>
    <row r="63" spans="1:14">
      <c r="A63" s="12">
        <v>62</v>
      </c>
      <c r="B63" s="12" t="s">
        <v>43</v>
      </c>
      <c r="C63" s="12" t="s">
        <v>51</v>
      </c>
      <c r="D63" s="12" t="s">
        <v>61</v>
      </c>
      <c r="E63" s="12" t="s">
        <v>115</v>
      </c>
      <c r="F63" s="12"/>
      <c r="G63" s="12" t="s">
        <v>202</v>
      </c>
      <c r="H63" s="12" t="s">
        <v>118</v>
      </c>
      <c r="I63" s="14">
        <v>2885.211267605634</v>
      </c>
      <c r="J63" s="12" t="s">
        <v>450</v>
      </c>
      <c r="K63" s="75">
        <v>45900</v>
      </c>
      <c r="L63" s="12">
        <v>2025403773</v>
      </c>
      <c r="M63" s="12" t="s">
        <v>226</v>
      </c>
      <c r="N63" s="12">
        <v>2025</v>
      </c>
    </row>
    <row r="64" spans="1:14">
      <c r="A64" s="12">
        <v>63</v>
      </c>
      <c r="B64" s="12" t="s">
        <v>43</v>
      </c>
      <c r="C64" s="12" t="s">
        <v>51</v>
      </c>
      <c r="D64" s="12" t="s">
        <v>61</v>
      </c>
      <c r="E64" s="12" t="s">
        <v>115</v>
      </c>
      <c r="F64" s="12"/>
      <c r="G64" s="12" t="s">
        <v>202</v>
      </c>
      <c r="H64" s="12" t="s">
        <v>118</v>
      </c>
      <c r="I64" s="14">
        <v>1228.1690140845071</v>
      </c>
      <c r="J64" s="12" t="s">
        <v>451</v>
      </c>
      <c r="K64" s="75">
        <v>45900</v>
      </c>
      <c r="L64" s="12">
        <v>2025403773</v>
      </c>
      <c r="M64" s="12" t="s">
        <v>226</v>
      </c>
      <c r="N64" s="12">
        <v>2025</v>
      </c>
    </row>
    <row r="65" spans="1:14">
      <c r="A65" s="12">
        <v>64</v>
      </c>
      <c r="B65" s="12" t="s">
        <v>55</v>
      </c>
      <c r="C65" s="12" t="s">
        <v>98</v>
      </c>
      <c r="D65" s="12" t="s">
        <v>61</v>
      </c>
      <c r="E65" s="12" t="s">
        <v>115</v>
      </c>
      <c r="F65" s="12"/>
      <c r="G65" s="12" t="s">
        <v>204</v>
      </c>
      <c r="H65" s="12" t="s">
        <v>118</v>
      </c>
      <c r="I65" s="14">
        <v>900</v>
      </c>
      <c r="J65" s="12" t="s">
        <v>402</v>
      </c>
      <c r="K65" s="75">
        <v>45864</v>
      </c>
      <c r="L65" s="12">
        <v>2025402342</v>
      </c>
      <c r="M65" s="12" t="s">
        <v>225</v>
      </c>
      <c r="N65" s="12">
        <v>2025</v>
      </c>
    </row>
    <row r="66" spans="1:14">
      <c r="A66" s="12">
        <v>65</v>
      </c>
      <c r="B66" s="12" t="s">
        <v>17</v>
      </c>
      <c r="C66" s="12" t="s">
        <v>25</v>
      </c>
      <c r="D66" s="12" t="s">
        <v>61</v>
      </c>
      <c r="E66" s="12" t="s">
        <v>115</v>
      </c>
      <c r="F66" s="12"/>
      <c r="G66" s="12" t="s">
        <v>204</v>
      </c>
      <c r="H66" s="12" t="s">
        <v>118</v>
      </c>
      <c r="I66" s="14">
        <v>3300</v>
      </c>
      <c r="J66" s="12" t="s">
        <v>442</v>
      </c>
      <c r="K66" s="75">
        <v>45865</v>
      </c>
      <c r="L66" s="12">
        <v>2025402343</v>
      </c>
      <c r="M66" s="12" t="s">
        <v>225</v>
      </c>
      <c r="N66" s="12">
        <v>2025</v>
      </c>
    </row>
    <row r="67" spans="1:14">
      <c r="A67" s="12">
        <v>66</v>
      </c>
      <c r="B67" s="12" t="s">
        <v>17</v>
      </c>
      <c r="C67" s="12" t="s">
        <v>25</v>
      </c>
      <c r="D67" s="12" t="s">
        <v>61</v>
      </c>
      <c r="E67" s="12" t="s">
        <v>115</v>
      </c>
      <c r="F67" s="12"/>
      <c r="G67" s="12" t="s">
        <v>204</v>
      </c>
      <c r="H67" s="12" t="s">
        <v>118</v>
      </c>
      <c r="I67" s="14">
        <v>600</v>
      </c>
      <c r="J67" s="12" t="s">
        <v>443</v>
      </c>
      <c r="K67" s="75">
        <v>45875</v>
      </c>
      <c r="L67" s="12">
        <v>2025402553</v>
      </c>
      <c r="M67" s="12" t="s">
        <v>226</v>
      </c>
      <c r="N67" s="12">
        <v>2025</v>
      </c>
    </row>
    <row r="68" spans="1:14">
      <c r="A68" s="12">
        <v>67</v>
      </c>
      <c r="B68" s="12" t="s">
        <v>43</v>
      </c>
      <c r="C68" s="12" t="s">
        <v>45</v>
      </c>
      <c r="D68" s="12" t="s">
        <v>61</v>
      </c>
      <c r="E68" s="12" t="s">
        <v>115</v>
      </c>
      <c r="F68" s="12"/>
      <c r="G68" s="12" t="s">
        <v>377</v>
      </c>
      <c r="H68" s="12" t="s">
        <v>118</v>
      </c>
      <c r="I68" s="14">
        <v>3600</v>
      </c>
      <c r="J68" s="12" t="s">
        <v>408</v>
      </c>
      <c r="K68" s="75">
        <v>45842</v>
      </c>
      <c r="L68" s="76" t="s">
        <v>14</v>
      </c>
      <c r="M68" s="12" t="s">
        <v>225</v>
      </c>
      <c r="N68" s="12">
        <v>2025</v>
      </c>
    </row>
    <row r="69" spans="1:14">
      <c r="A69" s="12">
        <v>68</v>
      </c>
      <c r="B69" s="12" t="s">
        <v>43</v>
      </c>
      <c r="C69" s="12" t="s">
        <v>51</v>
      </c>
      <c r="D69" s="12" t="s">
        <v>61</v>
      </c>
      <c r="E69" s="12" t="s">
        <v>115</v>
      </c>
      <c r="F69" s="12"/>
      <c r="G69" s="12" t="s">
        <v>377</v>
      </c>
      <c r="H69" s="12" t="s">
        <v>118</v>
      </c>
      <c r="I69" s="14">
        <v>3600</v>
      </c>
      <c r="J69" s="12" t="s">
        <v>408</v>
      </c>
      <c r="K69" s="75">
        <v>45842</v>
      </c>
      <c r="L69" s="76" t="s">
        <v>14</v>
      </c>
      <c r="M69" s="12" t="s">
        <v>225</v>
      </c>
      <c r="N69" s="12">
        <v>2025</v>
      </c>
    </row>
    <row r="70" spans="1:14">
      <c r="A70" s="12">
        <v>69</v>
      </c>
      <c r="B70" s="12" t="s">
        <v>59</v>
      </c>
      <c r="C70" s="12" t="s">
        <v>60</v>
      </c>
      <c r="D70" s="31" t="s">
        <v>61</v>
      </c>
      <c r="E70" s="12" t="s">
        <v>115</v>
      </c>
      <c r="F70" s="12"/>
      <c r="G70" s="12" t="s">
        <v>371</v>
      </c>
      <c r="H70" s="76" t="s">
        <v>472</v>
      </c>
      <c r="I70" s="14">
        <v>4436.5931999999993</v>
      </c>
      <c r="J70" s="12">
        <v>59</v>
      </c>
      <c r="K70" s="75">
        <v>45662</v>
      </c>
      <c r="L70" s="76" t="s">
        <v>14</v>
      </c>
      <c r="M70" s="12" t="s">
        <v>225</v>
      </c>
      <c r="N70" s="12">
        <v>2025</v>
      </c>
    </row>
    <row r="71" spans="1:14">
      <c r="A71" s="12">
        <v>70</v>
      </c>
      <c r="B71" s="77" t="s">
        <v>59</v>
      </c>
      <c r="C71" s="77" t="s">
        <v>60</v>
      </c>
      <c r="D71" s="31" t="s">
        <v>61</v>
      </c>
      <c r="E71" s="12" t="s">
        <v>115</v>
      </c>
      <c r="F71" s="12"/>
      <c r="G71" s="12" t="s">
        <v>241</v>
      </c>
      <c r="H71" s="76" t="s">
        <v>473</v>
      </c>
      <c r="I71" s="14">
        <v>3798</v>
      </c>
      <c r="J71" s="12" t="s">
        <v>388</v>
      </c>
      <c r="K71" s="75">
        <v>45839</v>
      </c>
      <c r="L71" s="76" t="s">
        <v>14</v>
      </c>
      <c r="M71" s="12" t="s">
        <v>225</v>
      </c>
      <c r="N71" s="12">
        <v>2025</v>
      </c>
    </row>
    <row r="72" spans="1:14">
      <c r="A72" s="12">
        <v>71</v>
      </c>
      <c r="B72" s="12" t="s">
        <v>59</v>
      </c>
      <c r="C72" s="12" t="s">
        <v>60</v>
      </c>
      <c r="D72" s="12" t="s">
        <v>61</v>
      </c>
      <c r="E72" s="12" t="s">
        <v>115</v>
      </c>
      <c r="F72" s="12"/>
      <c r="G72" s="12" t="s">
        <v>241</v>
      </c>
      <c r="H72" s="76" t="s">
        <v>473</v>
      </c>
      <c r="I72" s="14">
        <v>1448.9</v>
      </c>
      <c r="J72" s="12" t="s">
        <v>418</v>
      </c>
      <c r="K72" s="75">
        <v>45895</v>
      </c>
      <c r="L72" s="76" t="s">
        <v>14</v>
      </c>
      <c r="M72" s="12" t="s">
        <v>226</v>
      </c>
      <c r="N72" s="12">
        <v>2025</v>
      </c>
    </row>
    <row r="73" spans="1:14">
      <c r="A73" s="12">
        <v>72</v>
      </c>
      <c r="B73" s="12" t="s">
        <v>43</v>
      </c>
      <c r="C73" s="12" t="s">
        <v>50</v>
      </c>
      <c r="D73" s="12" t="s">
        <v>61</v>
      </c>
      <c r="E73" s="12" t="s">
        <v>115</v>
      </c>
      <c r="F73" s="12"/>
      <c r="G73" s="12" t="s">
        <v>385</v>
      </c>
      <c r="H73" s="12" t="s">
        <v>118</v>
      </c>
      <c r="I73" s="14">
        <v>50</v>
      </c>
      <c r="J73" s="12" t="s">
        <v>432</v>
      </c>
      <c r="K73" s="75">
        <v>45851</v>
      </c>
      <c r="L73" s="12">
        <v>2025403367</v>
      </c>
      <c r="M73" s="12" t="s">
        <v>225</v>
      </c>
      <c r="N73" s="12">
        <v>2025</v>
      </c>
    </row>
    <row r="74" spans="1:14">
      <c r="A74" s="12">
        <v>73</v>
      </c>
      <c r="B74" s="12" t="s">
        <v>43</v>
      </c>
      <c r="C74" s="12" t="s">
        <v>51</v>
      </c>
      <c r="D74" s="12" t="s">
        <v>61</v>
      </c>
      <c r="E74" s="12" t="s">
        <v>115</v>
      </c>
      <c r="F74" s="12"/>
      <c r="G74" s="12" t="s">
        <v>385</v>
      </c>
      <c r="H74" s="12" t="s">
        <v>118</v>
      </c>
      <c r="I74" s="14">
        <v>150</v>
      </c>
      <c r="J74" s="12" t="s">
        <v>433</v>
      </c>
      <c r="K74" s="75">
        <v>45894</v>
      </c>
      <c r="L74" s="12">
        <v>2025403368</v>
      </c>
      <c r="M74" s="12" t="s">
        <v>226</v>
      </c>
      <c r="N74" s="12">
        <v>2025</v>
      </c>
    </row>
    <row r="75" spans="1:14">
      <c r="A75" s="12">
        <v>74</v>
      </c>
      <c r="B75" s="12" t="s">
        <v>43</v>
      </c>
      <c r="C75" s="12" t="s">
        <v>52</v>
      </c>
      <c r="D75" s="12" t="s">
        <v>61</v>
      </c>
      <c r="E75" s="12" t="s">
        <v>115</v>
      </c>
      <c r="F75" s="12"/>
      <c r="G75" s="12" t="s">
        <v>385</v>
      </c>
      <c r="H75" s="12" t="s">
        <v>118</v>
      </c>
      <c r="I75" s="14">
        <v>200</v>
      </c>
      <c r="J75" s="12" t="s">
        <v>436</v>
      </c>
      <c r="K75" s="75">
        <v>45889</v>
      </c>
      <c r="L75" s="12">
        <v>2025403366</v>
      </c>
      <c r="M75" s="12" t="s">
        <v>226</v>
      </c>
      <c r="N75" s="12">
        <v>2025</v>
      </c>
    </row>
    <row r="76" spans="1:14">
      <c r="A76" s="12">
        <v>75</v>
      </c>
      <c r="B76" s="12" t="s">
        <v>29</v>
      </c>
      <c r="C76" s="12" t="s">
        <v>237</v>
      </c>
      <c r="D76" s="12" t="s">
        <v>61</v>
      </c>
      <c r="E76" s="12" t="s">
        <v>115</v>
      </c>
      <c r="F76" s="12"/>
      <c r="G76" s="12" t="s">
        <v>386</v>
      </c>
      <c r="H76" s="12" t="s">
        <v>118</v>
      </c>
      <c r="I76" s="14">
        <v>2144.3661971830984</v>
      </c>
      <c r="J76" s="12" t="s">
        <v>441</v>
      </c>
      <c r="K76" s="75">
        <v>45869</v>
      </c>
      <c r="L76" s="12">
        <v>2025403677</v>
      </c>
      <c r="M76" s="12" t="s">
        <v>225</v>
      </c>
      <c r="N76" s="12">
        <v>2025</v>
      </c>
    </row>
    <row r="77" spans="1:14">
      <c r="A77" s="12">
        <v>76</v>
      </c>
      <c r="B77" s="12" t="s">
        <v>53</v>
      </c>
      <c r="C77" s="12" t="s">
        <v>62</v>
      </c>
      <c r="D77" s="12" t="s">
        <v>61</v>
      </c>
      <c r="E77" s="12" t="s">
        <v>115</v>
      </c>
      <c r="F77" s="12"/>
      <c r="G77" s="12" t="s">
        <v>386</v>
      </c>
      <c r="H77" s="12" t="s">
        <v>118</v>
      </c>
      <c r="I77" s="14">
        <v>51.408450704225352</v>
      </c>
      <c r="J77" s="12" t="s">
        <v>464</v>
      </c>
      <c r="K77" s="75">
        <v>45869</v>
      </c>
      <c r="L77" s="12">
        <v>2025404112</v>
      </c>
      <c r="M77" s="12" t="s">
        <v>225</v>
      </c>
      <c r="N77" s="12">
        <v>2025</v>
      </c>
    </row>
    <row r="78" spans="1:14">
      <c r="A78" s="12">
        <v>77</v>
      </c>
      <c r="B78" s="12" t="s">
        <v>43</v>
      </c>
      <c r="C78" s="12" t="s">
        <v>45</v>
      </c>
      <c r="D78" s="12" t="s">
        <v>61</v>
      </c>
      <c r="E78" s="12" t="s">
        <v>115</v>
      </c>
      <c r="F78" s="12"/>
      <c r="G78" s="12" t="s">
        <v>386</v>
      </c>
      <c r="H78" s="12" t="s">
        <v>118</v>
      </c>
      <c r="I78" s="14">
        <v>2464.788732394366</v>
      </c>
      <c r="J78" s="12" t="s">
        <v>467</v>
      </c>
      <c r="K78" s="75">
        <v>45866</v>
      </c>
      <c r="L78" s="12">
        <v>2025403859</v>
      </c>
      <c r="M78" s="12" t="s">
        <v>225</v>
      </c>
      <c r="N78" s="12">
        <v>2025</v>
      </c>
    </row>
    <row r="79" spans="1:14">
      <c r="A79" s="12">
        <v>78</v>
      </c>
      <c r="B79" s="12" t="s">
        <v>53</v>
      </c>
      <c r="C79" s="12" t="s">
        <v>62</v>
      </c>
      <c r="D79" s="31" t="s">
        <v>61</v>
      </c>
      <c r="E79" s="12" t="s">
        <v>115</v>
      </c>
      <c r="F79" s="12"/>
      <c r="G79" s="12" t="s">
        <v>372</v>
      </c>
      <c r="H79" s="12" t="s">
        <v>118</v>
      </c>
      <c r="I79" s="14">
        <v>1971.8309859154929</v>
      </c>
      <c r="J79" s="12" t="s">
        <v>387</v>
      </c>
      <c r="K79" s="75">
        <v>45842</v>
      </c>
      <c r="L79" s="12">
        <v>2025402066</v>
      </c>
      <c r="M79" s="12" t="s">
        <v>225</v>
      </c>
      <c r="N79" s="12">
        <v>2025</v>
      </c>
    </row>
    <row r="80" spans="1:14">
      <c r="A80" s="12">
        <v>79</v>
      </c>
      <c r="B80" s="12" t="s">
        <v>53</v>
      </c>
      <c r="C80" s="12" t="s">
        <v>62</v>
      </c>
      <c r="D80" s="12" t="s">
        <v>61</v>
      </c>
      <c r="E80" s="12" t="s">
        <v>115</v>
      </c>
      <c r="F80" s="12"/>
      <c r="G80" s="12" t="s">
        <v>372</v>
      </c>
      <c r="H80" s="12" t="s">
        <v>118</v>
      </c>
      <c r="I80" s="14">
        <v>563.38028169014081</v>
      </c>
      <c r="J80" s="12" t="s">
        <v>444</v>
      </c>
      <c r="K80" s="75">
        <v>45867</v>
      </c>
      <c r="L80" s="12">
        <v>2025403766</v>
      </c>
      <c r="M80" s="12" t="s">
        <v>226</v>
      </c>
      <c r="N80" s="12">
        <v>2025</v>
      </c>
    </row>
    <row r="81" spans="1:14">
      <c r="A81" s="12">
        <v>80</v>
      </c>
      <c r="B81" s="77" t="s">
        <v>17</v>
      </c>
      <c r="C81" s="77" t="s">
        <v>22</v>
      </c>
      <c r="D81" s="31" t="s">
        <v>61</v>
      </c>
      <c r="E81" s="12" t="s">
        <v>115</v>
      </c>
      <c r="F81" s="12"/>
      <c r="G81" s="12" t="s">
        <v>242</v>
      </c>
      <c r="H81" s="12" t="s">
        <v>118</v>
      </c>
      <c r="I81" s="14">
        <v>400</v>
      </c>
      <c r="J81" s="77" t="s">
        <v>399</v>
      </c>
      <c r="K81" s="75">
        <v>45867</v>
      </c>
      <c r="L81" s="12">
        <v>2025401708</v>
      </c>
      <c r="M81" s="12" t="s">
        <v>225</v>
      </c>
      <c r="N81" s="12">
        <v>2025</v>
      </c>
    </row>
    <row r="82" spans="1:14">
      <c r="A82" s="12">
        <v>81</v>
      </c>
      <c r="B82" s="77" t="s">
        <v>17</v>
      </c>
      <c r="C82" s="77" t="s">
        <v>26</v>
      </c>
      <c r="D82" s="31" t="s">
        <v>61</v>
      </c>
      <c r="E82" s="12" t="s">
        <v>115</v>
      </c>
      <c r="F82" s="12"/>
      <c r="G82" s="12" t="s">
        <v>242</v>
      </c>
      <c r="H82" s="12" t="s">
        <v>118</v>
      </c>
      <c r="I82" s="14">
        <v>608</v>
      </c>
      <c r="J82" s="77" t="s">
        <v>400</v>
      </c>
      <c r="K82" s="75">
        <v>45867</v>
      </c>
      <c r="L82" s="12">
        <v>2025402087</v>
      </c>
      <c r="M82" s="12" t="s">
        <v>225</v>
      </c>
      <c r="N82" s="12">
        <v>2025</v>
      </c>
    </row>
    <row r="83" spans="1:14">
      <c r="A83" s="12">
        <v>82</v>
      </c>
      <c r="B83" s="12" t="s">
        <v>17</v>
      </c>
      <c r="C83" s="12" t="s">
        <v>26</v>
      </c>
      <c r="D83" s="12" t="s">
        <v>61</v>
      </c>
      <c r="E83" s="12" t="s">
        <v>115</v>
      </c>
      <c r="F83" s="12"/>
      <c r="G83" s="12" t="s">
        <v>242</v>
      </c>
      <c r="H83" s="12" t="s">
        <v>118</v>
      </c>
      <c r="I83" s="14">
        <v>400</v>
      </c>
      <c r="J83" s="12" t="s">
        <v>406</v>
      </c>
      <c r="K83" s="75">
        <v>45876</v>
      </c>
      <c r="L83" s="12">
        <v>2025401297</v>
      </c>
      <c r="M83" s="12" t="s">
        <v>226</v>
      </c>
      <c r="N83" s="12">
        <v>2025</v>
      </c>
    </row>
    <row r="84" spans="1:14">
      <c r="A84" s="12">
        <v>83</v>
      </c>
      <c r="B84" s="12" t="s">
        <v>17</v>
      </c>
      <c r="C84" s="12" t="s">
        <v>25</v>
      </c>
      <c r="D84" s="12" t="s">
        <v>61</v>
      </c>
      <c r="E84" s="12" t="s">
        <v>115</v>
      </c>
      <c r="F84" s="12"/>
      <c r="G84" s="12" t="s">
        <v>242</v>
      </c>
      <c r="H84" s="12" t="s">
        <v>118</v>
      </c>
      <c r="I84" s="14">
        <v>2323.9436619718308</v>
      </c>
      <c r="J84" s="77" t="s">
        <v>425</v>
      </c>
      <c r="K84" s="78">
        <v>45876</v>
      </c>
      <c r="L84" s="12">
        <v>2025403224</v>
      </c>
      <c r="M84" s="12" t="s">
        <v>226</v>
      </c>
      <c r="N84" s="12">
        <v>2025</v>
      </c>
    </row>
    <row r="85" spans="1:14">
      <c r="A85" s="12">
        <v>84</v>
      </c>
      <c r="B85" s="12" t="s">
        <v>53</v>
      </c>
      <c r="C85" s="12" t="s">
        <v>62</v>
      </c>
      <c r="D85" s="12" t="s">
        <v>61</v>
      </c>
      <c r="E85" s="12" t="s">
        <v>115</v>
      </c>
      <c r="F85" s="12"/>
      <c r="G85" s="12" t="s">
        <v>242</v>
      </c>
      <c r="H85" s="12" t="s">
        <v>118</v>
      </c>
      <c r="I85" s="14">
        <v>6300</v>
      </c>
      <c r="J85" s="12" t="s">
        <v>427</v>
      </c>
      <c r="K85" s="75">
        <v>45878</v>
      </c>
      <c r="L85" s="12">
        <v>2025403324</v>
      </c>
      <c r="M85" s="12" t="s">
        <v>226</v>
      </c>
      <c r="N85" s="12">
        <v>2025</v>
      </c>
    </row>
    <row r="86" spans="1:14">
      <c r="A86" s="12">
        <v>85</v>
      </c>
      <c r="B86" s="12" t="s">
        <v>17</v>
      </c>
      <c r="C86" s="12" t="s">
        <v>25</v>
      </c>
      <c r="D86" s="12" t="s">
        <v>61</v>
      </c>
      <c r="E86" s="12" t="s">
        <v>115</v>
      </c>
      <c r="F86" s="12"/>
      <c r="G86" s="12" t="s">
        <v>242</v>
      </c>
      <c r="H86" s="12" t="s">
        <v>118</v>
      </c>
      <c r="I86" s="14">
        <v>70.422535211267601</v>
      </c>
      <c r="J86" s="12" t="s">
        <v>430</v>
      </c>
      <c r="K86" s="75">
        <v>45894</v>
      </c>
      <c r="L86" s="12">
        <v>2025403327</v>
      </c>
      <c r="M86" s="12" t="s">
        <v>226</v>
      </c>
      <c r="N86" s="12">
        <v>2025</v>
      </c>
    </row>
    <row r="87" spans="1:14">
      <c r="A87" s="12">
        <v>86</v>
      </c>
      <c r="B87" s="12" t="s">
        <v>53</v>
      </c>
      <c r="C87" s="12" t="s">
        <v>62</v>
      </c>
      <c r="D87" s="12" t="s">
        <v>61</v>
      </c>
      <c r="E87" s="12" t="s">
        <v>115</v>
      </c>
      <c r="F87" s="12"/>
      <c r="G87" s="12" t="s">
        <v>242</v>
      </c>
      <c r="H87" s="12" t="s">
        <v>118</v>
      </c>
      <c r="I87" s="14">
        <v>1600</v>
      </c>
      <c r="J87" s="12" t="s">
        <v>438</v>
      </c>
      <c r="K87" s="75">
        <v>45859</v>
      </c>
      <c r="L87" s="12">
        <v>2025403230</v>
      </c>
      <c r="M87" s="12" t="s">
        <v>225</v>
      </c>
      <c r="N87" s="12">
        <v>2025</v>
      </c>
    </row>
    <row r="88" spans="1:14">
      <c r="A88" s="12">
        <v>87</v>
      </c>
      <c r="B88" s="12" t="s">
        <v>53</v>
      </c>
      <c r="C88" s="12" t="s">
        <v>62</v>
      </c>
      <c r="D88" s="12" t="s">
        <v>61</v>
      </c>
      <c r="E88" s="12" t="s">
        <v>115</v>
      </c>
      <c r="F88" s="12"/>
      <c r="G88" s="12" t="s">
        <v>242</v>
      </c>
      <c r="H88" s="12" t="s">
        <v>118</v>
      </c>
      <c r="I88" s="14">
        <v>600</v>
      </c>
      <c r="J88" s="12" t="s">
        <v>445</v>
      </c>
      <c r="K88" s="75">
        <v>45862</v>
      </c>
      <c r="L88" s="12">
        <v>2025403765</v>
      </c>
      <c r="M88" s="12" t="s">
        <v>225</v>
      </c>
      <c r="N88" s="12">
        <v>2025</v>
      </c>
    </row>
    <row r="89" spans="1:14">
      <c r="A89" s="12">
        <v>88</v>
      </c>
      <c r="B89" s="12" t="s">
        <v>62</v>
      </c>
      <c r="C89" s="12" t="s">
        <v>14</v>
      </c>
      <c r="D89" s="12" t="s">
        <v>61</v>
      </c>
      <c r="E89" s="12" t="s">
        <v>115</v>
      </c>
      <c r="F89" s="12"/>
      <c r="G89" s="12" t="s">
        <v>242</v>
      </c>
      <c r="H89" s="12" t="s">
        <v>118</v>
      </c>
      <c r="I89" s="14">
        <v>2211.2676056338028</v>
      </c>
      <c r="J89" s="12" t="s">
        <v>468</v>
      </c>
      <c r="K89" s="75">
        <v>45838</v>
      </c>
      <c r="L89" s="12">
        <v>2025404246</v>
      </c>
      <c r="M89" s="12" t="s">
        <v>225</v>
      </c>
      <c r="N89" s="12">
        <v>2025</v>
      </c>
    </row>
    <row r="90" spans="1:14">
      <c r="A90" s="12">
        <v>89</v>
      </c>
      <c r="B90" s="12" t="s">
        <v>62</v>
      </c>
      <c r="C90" s="12" t="s">
        <v>14</v>
      </c>
      <c r="D90" s="12" t="s">
        <v>61</v>
      </c>
      <c r="E90" s="12" t="s">
        <v>115</v>
      </c>
      <c r="F90" s="12"/>
      <c r="G90" s="12" t="s">
        <v>242</v>
      </c>
      <c r="H90" s="12" t="s">
        <v>118</v>
      </c>
      <c r="I90" s="14">
        <v>3813.3802816901407</v>
      </c>
      <c r="J90" s="12" t="s">
        <v>469</v>
      </c>
      <c r="K90" s="75">
        <v>45869</v>
      </c>
      <c r="L90" s="12">
        <v>2025404246</v>
      </c>
      <c r="M90" s="12" t="s">
        <v>226</v>
      </c>
      <c r="N90" s="12">
        <v>2025</v>
      </c>
    </row>
    <row r="91" spans="1:14">
      <c r="A91" s="12">
        <v>90</v>
      </c>
      <c r="B91" s="12" t="s">
        <v>53</v>
      </c>
      <c r="C91" s="12" t="s">
        <v>62</v>
      </c>
      <c r="D91" s="12" t="s">
        <v>61</v>
      </c>
      <c r="E91" s="12" t="s">
        <v>115</v>
      </c>
      <c r="F91" s="12"/>
      <c r="G91" s="12" t="s">
        <v>300</v>
      </c>
      <c r="H91" s="76" t="s">
        <v>82</v>
      </c>
      <c r="I91" s="14">
        <v>17253.521126760563</v>
      </c>
      <c r="J91" s="12" t="s">
        <v>401</v>
      </c>
      <c r="K91" s="75">
        <v>45863</v>
      </c>
      <c r="L91" s="12">
        <v>2025402561</v>
      </c>
      <c r="M91" s="12" t="s">
        <v>225</v>
      </c>
      <c r="N91" s="12">
        <v>2025</v>
      </c>
    </row>
    <row r="92" spans="1:14">
      <c r="A92" s="12">
        <v>91</v>
      </c>
      <c r="B92" s="77" t="s">
        <v>29</v>
      </c>
      <c r="C92" s="77" t="s">
        <v>237</v>
      </c>
      <c r="D92" s="31" t="s">
        <v>61</v>
      </c>
      <c r="E92" s="12" t="s">
        <v>115</v>
      </c>
      <c r="F92" s="12"/>
      <c r="G92" s="12" t="s">
        <v>208</v>
      </c>
      <c r="H92" s="76" t="s">
        <v>474</v>
      </c>
      <c r="I92" s="14">
        <v>1161.9718309859154</v>
      </c>
      <c r="J92" s="12" t="s">
        <v>395</v>
      </c>
      <c r="K92" s="75">
        <v>45850</v>
      </c>
      <c r="L92" s="12">
        <v>2025402427</v>
      </c>
      <c r="M92" s="12" t="s">
        <v>225</v>
      </c>
      <c r="N92" s="12">
        <v>2025</v>
      </c>
    </row>
    <row r="93" spans="1:14">
      <c r="A93" s="12">
        <v>92</v>
      </c>
      <c r="B93" s="12" t="s">
        <v>29</v>
      </c>
      <c r="C93" s="12" t="s">
        <v>237</v>
      </c>
      <c r="D93" s="12" t="s">
        <v>61</v>
      </c>
      <c r="E93" s="12" t="s">
        <v>115</v>
      </c>
      <c r="F93" s="12"/>
      <c r="G93" s="12" t="s">
        <v>208</v>
      </c>
      <c r="H93" s="76" t="s">
        <v>474</v>
      </c>
      <c r="I93" s="14">
        <v>1971.8309859154929</v>
      </c>
      <c r="J93" s="12" t="s">
        <v>421</v>
      </c>
      <c r="K93" s="75">
        <v>45894</v>
      </c>
      <c r="L93" s="12">
        <v>2025403156</v>
      </c>
      <c r="M93" s="12" t="s">
        <v>225</v>
      </c>
      <c r="N93" s="12">
        <v>2025</v>
      </c>
    </row>
    <row r="94" spans="1:14">
      <c r="A94" s="12">
        <v>93</v>
      </c>
      <c r="B94" s="12" t="s">
        <v>29</v>
      </c>
      <c r="C94" s="12" t="s">
        <v>237</v>
      </c>
      <c r="D94" s="12" t="s">
        <v>61</v>
      </c>
      <c r="E94" s="12" t="s">
        <v>115</v>
      </c>
      <c r="F94" s="12"/>
      <c r="G94" s="12" t="s">
        <v>208</v>
      </c>
      <c r="H94" s="76" t="s">
        <v>474</v>
      </c>
      <c r="I94" s="14">
        <v>1056.338028169014</v>
      </c>
      <c r="J94" s="12" t="s">
        <v>422</v>
      </c>
      <c r="K94" s="75">
        <v>45895</v>
      </c>
      <c r="L94" s="12">
        <v>2025403156</v>
      </c>
      <c r="M94" s="12" t="s">
        <v>226</v>
      </c>
      <c r="N94" s="12">
        <v>2025</v>
      </c>
    </row>
    <row r="95" spans="1:14">
      <c r="A95" s="12">
        <v>94</v>
      </c>
      <c r="B95" s="12" t="s">
        <v>29</v>
      </c>
      <c r="C95" s="12" t="s">
        <v>237</v>
      </c>
      <c r="D95" s="12" t="s">
        <v>61</v>
      </c>
      <c r="E95" s="12" t="s">
        <v>115</v>
      </c>
      <c r="F95" s="12"/>
      <c r="G95" s="12" t="s">
        <v>208</v>
      </c>
      <c r="H95" s="76" t="s">
        <v>474</v>
      </c>
      <c r="I95" s="14">
        <v>704.22535211267609</v>
      </c>
      <c r="J95" s="12" t="s">
        <v>423</v>
      </c>
      <c r="K95" s="75">
        <v>45901</v>
      </c>
      <c r="L95" s="12">
        <v>2025403156</v>
      </c>
      <c r="M95" s="12" t="s">
        <v>226</v>
      </c>
      <c r="N95" s="12">
        <v>2025</v>
      </c>
    </row>
    <row r="96" spans="1:14">
      <c r="A96" s="4"/>
      <c r="B96" s="4"/>
      <c r="C96" s="4"/>
      <c r="D96" s="4"/>
      <c r="E96" s="4"/>
      <c r="F96" s="4"/>
      <c r="G96" s="4"/>
      <c r="H96" s="76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</sheetData>
  <autoFilter ref="A1:N1" xr:uid="{00000000-0009-0000-0000-00000F000000}">
    <sortState xmlns:xlrd2="http://schemas.microsoft.com/office/spreadsheetml/2017/richdata2" ref="A2:N95">
      <sortCondition ref="G1"/>
    </sortState>
  </autoFilter>
  <conditionalFormatting sqref="L51">
    <cfRule type="duplicateValues" dxfId="1" priority="2"/>
  </conditionalFormatting>
  <conditionalFormatting sqref="L52">
    <cfRule type="duplicateValues" dxfId="0" priority="1"/>
  </conditionalFormatting>
  <dataValidations count="1">
    <dataValidation type="list" allowBlank="1" showInputMessage="1" showErrorMessage="1" sqref="C2:C3 C44:C50 C53:C577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B2:B3 B44:B50 B53:B577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E96:E577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D2:D577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M2:M577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N2:N577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N54"/>
  <sheetViews>
    <sheetView topLeftCell="A27" workbookViewId="0">
      <selection activeCell="C53" sqref="C53"/>
    </sheetView>
  </sheetViews>
  <sheetFormatPr defaultColWidth="9" defaultRowHeight="14.4"/>
  <cols>
    <col min="1" max="1" width="5.33203125" style="47" customWidth="1"/>
    <col min="2" max="2" width="9.33203125" style="47" customWidth="1"/>
    <col min="3" max="3" width="10.6640625" style="47" bestFit="1" customWidth="1"/>
    <col min="4" max="4" width="9" style="47" customWidth="1"/>
    <col min="5" max="5" width="19.77734375" style="47" customWidth="1"/>
    <col min="6" max="6" width="10.21875" style="47" customWidth="1"/>
    <col min="7" max="7" width="19.88671875" style="47" bestFit="1" customWidth="1"/>
    <col min="8" max="8" width="19.77734375" style="47" bestFit="1" customWidth="1"/>
    <col min="9" max="9" width="18.109375" style="47" customWidth="1"/>
    <col min="10" max="10" width="16.109375" style="47" bestFit="1" customWidth="1"/>
    <col min="11" max="11" width="11.21875" style="47" customWidth="1"/>
    <col min="12" max="12" width="10.5546875" style="47" customWidth="1"/>
    <col min="13" max="13" width="6.5546875" style="47" customWidth="1"/>
    <col min="14" max="14" width="4.77734375" style="47" customWidth="1"/>
    <col min="15" max="16384" width="9" style="47"/>
  </cols>
  <sheetData>
    <row r="1" spans="1:14">
      <c r="A1" s="71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  <c r="J1" s="71" t="s">
        <v>9</v>
      </c>
      <c r="K1" s="71" t="s">
        <v>10</v>
      </c>
      <c r="L1" s="71" t="s">
        <v>11</v>
      </c>
      <c r="M1" s="71" t="s">
        <v>12</v>
      </c>
      <c r="N1" s="71" t="s">
        <v>13</v>
      </c>
    </row>
    <row r="2" spans="1:14">
      <c r="A2" s="50">
        <v>1</v>
      </c>
      <c r="B2" s="50" t="s">
        <v>33</v>
      </c>
      <c r="C2" s="50" t="s">
        <v>34</v>
      </c>
      <c r="D2" s="73" t="s">
        <v>61</v>
      </c>
      <c r="E2" s="50" t="s">
        <v>113</v>
      </c>
      <c r="F2" s="50"/>
      <c r="G2" s="50" t="s">
        <v>92</v>
      </c>
      <c r="H2" s="50" t="s">
        <v>114</v>
      </c>
      <c r="I2" s="55">
        <v>5370.9859154929582</v>
      </c>
      <c r="J2" s="50" t="s">
        <v>363</v>
      </c>
      <c r="K2" s="45">
        <v>45897</v>
      </c>
      <c r="L2" s="50" t="s">
        <v>14</v>
      </c>
      <c r="M2" s="50" t="s">
        <v>225</v>
      </c>
      <c r="N2" s="50">
        <v>2025</v>
      </c>
    </row>
    <row r="3" spans="1:14">
      <c r="A3" s="50">
        <v>2</v>
      </c>
      <c r="B3" s="50" t="s">
        <v>17</v>
      </c>
      <c r="C3" s="50" t="s">
        <v>26</v>
      </c>
      <c r="D3" s="73" t="s">
        <v>61</v>
      </c>
      <c r="E3" s="50" t="s">
        <v>113</v>
      </c>
      <c r="F3" s="50"/>
      <c r="G3" s="50" t="s">
        <v>92</v>
      </c>
      <c r="H3" s="50" t="s">
        <v>114</v>
      </c>
      <c r="I3" s="55">
        <v>1195.7746478873239</v>
      </c>
      <c r="J3" s="50" t="s">
        <v>363</v>
      </c>
      <c r="K3" s="45">
        <v>45897</v>
      </c>
      <c r="L3" s="50" t="s">
        <v>14</v>
      </c>
      <c r="M3" s="50" t="s">
        <v>225</v>
      </c>
      <c r="N3" s="50">
        <v>2025</v>
      </c>
    </row>
    <row r="4" spans="1:14">
      <c r="A4" s="50">
        <v>3</v>
      </c>
      <c r="B4" s="50" t="s">
        <v>17</v>
      </c>
      <c r="C4" s="50" t="s">
        <v>24</v>
      </c>
      <c r="D4" s="73" t="s">
        <v>61</v>
      </c>
      <c r="E4" s="50" t="s">
        <v>113</v>
      </c>
      <c r="F4" s="50"/>
      <c r="G4" s="50" t="s">
        <v>92</v>
      </c>
      <c r="H4" s="50" t="s">
        <v>114</v>
      </c>
      <c r="I4" s="55">
        <v>1036.6197183098591</v>
      </c>
      <c r="J4" s="50" t="s">
        <v>363</v>
      </c>
      <c r="K4" s="45">
        <v>45897</v>
      </c>
      <c r="L4" s="50" t="s">
        <v>14</v>
      </c>
      <c r="M4" s="50" t="s">
        <v>225</v>
      </c>
      <c r="N4" s="50">
        <v>2025</v>
      </c>
    </row>
    <row r="5" spans="1:14">
      <c r="A5" s="50">
        <v>4</v>
      </c>
      <c r="B5" s="50" t="s">
        <v>17</v>
      </c>
      <c r="C5" s="50" t="s">
        <v>22</v>
      </c>
      <c r="D5" s="73" t="s">
        <v>61</v>
      </c>
      <c r="E5" s="50" t="s">
        <v>113</v>
      </c>
      <c r="F5" s="50"/>
      <c r="G5" s="50" t="s">
        <v>92</v>
      </c>
      <c r="H5" s="50" t="s">
        <v>114</v>
      </c>
      <c r="I5" s="55">
        <v>1559.1549295774648</v>
      </c>
      <c r="J5" s="50" t="s">
        <v>363</v>
      </c>
      <c r="K5" s="45">
        <v>45897</v>
      </c>
      <c r="L5" s="50" t="s">
        <v>14</v>
      </c>
      <c r="M5" s="50" t="s">
        <v>225</v>
      </c>
      <c r="N5" s="50">
        <v>2025</v>
      </c>
    </row>
    <row r="6" spans="1:14">
      <c r="A6" s="50">
        <v>5</v>
      </c>
      <c r="B6" s="50" t="s">
        <v>59</v>
      </c>
      <c r="C6" s="50" t="s">
        <v>60</v>
      </c>
      <c r="D6" s="73" t="s">
        <v>61</v>
      </c>
      <c r="E6" s="50" t="s">
        <v>113</v>
      </c>
      <c r="F6" s="50"/>
      <c r="G6" s="50" t="s">
        <v>92</v>
      </c>
      <c r="H6" s="50" t="s">
        <v>114</v>
      </c>
      <c r="I6" s="55">
        <v>1139.5774647887324</v>
      </c>
      <c r="J6" s="50" t="s">
        <v>363</v>
      </c>
      <c r="K6" s="45">
        <v>45897</v>
      </c>
      <c r="L6" s="50" t="s">
        <v>14</v>
      </c>
      <c r="M6" s="50" t="s">
        <v>225</v>
      </c>
      <c r="N6" s="50">
        <v>2025</v>
      </c>
    </row>
    <row r="7" spans="1:14">
      <c r="A7" s="50">
        <v>6</v>
      </c>
      <c r="B7" s="50" t="s">
        <v>17</v>
      </c>
      <c r="C7" s="50" t="s">
        <v>25</v>
      </c>
      <c r="D7" s="73" t="s">
        <v>61</v>
      </c>
      <c r="E7" s="50" t="s">
        <v>113</v>
      </c>
      <c r="F7" s="50"/>
      <c r="G7" s="50" t="s">
        <v>92</v>
      </c>
      <c r="H7" s="50" t="s">
        <v>114</v>
      </c>
      <c r="I7" s="55">
        <v>8456.0563380281692</v>
      </c>
      <c r="J7" s="50" t="s">
        <v>363</v>
      </c>
      <c r="K7" s="45">
        <v>45897</v>
      </c>
      <c r="L7" s="50" t="s">
        <v>14</v>
      </c>
      <c r="M7" s="50" t="s">
        <v>225</v>
      </c>
      <c r="N7" s="50">
        <v>2025</v>
      </c>
    </row>
    <row r="8" spans="1:14">
      <c r="A8" s="50">
        <v>7</v>
      </c>
      <c r="B8" s="50" t="s">
        <v>55</v>
      </c>
      <c r="C8" s="50" t="s">
        <v>56</v>
      </c>
      <c r="D8" s="73" t="s">
        <v>61</v>
      </c>
      <c r="E8" s="50" t="s">
        <v>113</v>
      </c>
      <c r="F8" s="50"/>
      <c r="G8" s="50" t="s">
        <v>92</v>
      </c>
      <c r="H8" s="50" t="s">
        <v>114</v>
      </c>
      <c r="I8" s="55">
        <v>464.78873239436621</v>
      </c>
      <c r="J8" s="50" t="s">
        <v>363</v>
      </c>
      <c r="K8" s="45">
        <v>45897</v>
      </c>
      <c r="L8" s="50" t="s">
        <v>14</v>
      </c>
      <c r="M8" s="50" t="s">
        <v>225</v>
      </c>
      <c r="N8" s="50">
        <v>2025</v>
      </c>
    </row>
    <row r="9" spans="1:14">
      <c r="A9" s="50">
        <v>8</v>
      </c>
      <c r="B9" s="50" t="s">
        <v>43</v>
      </c>
      <c r="C9" s="50" t="s">
        <v>52</v>
      </c>
      <c r="D9" s="73" t="s">
        <v>61</v>
      </c>
      <c r="E9" s="50" t="s">
        <v>113</v>
      </c>
      <c r="F9" s="50"/>
      <c r="G9" s="50" t="s">
        <v>96</v>
      </c>
      <c r="H9" s="50" t="s">
        <v>114</v>
      </c>
      <c r="I9" s="55">
        <v>4330.9859154929582</v>
      </c>
      <c r="J9" s="50" t="s">
        <v>364</v>
      </c>
      <c r="K9" s="45">
        <v>45869</v>
      </c>
      <c r="L9" s="50" t="s">
        <v>14</v>
      </c>
      <c r="M9" s="50" t="s">
        <v>225</v>
      </c>
      <c r="N9" s="50">
        <v>2025</v>
      </c>
    </row>
    <row r="10" spans="1:14">
      <c r="A10" s="50">
        <v>10</v>
      </c>
      <c r="B10" s="50" t="s">
        <v>17</v>
      </c>
      <c r="C10" s="50" t="s">
        <v>26</v>
      </c>
      <c r="D10" s="73" t="s">
        <v>61</v>
      </c>
      <c r="E10" s="50" t="s">
        <v>113</v>
      </c>
      <c r="F10" s="50"/>
      <c r="G10" s="50" t="s">
        <v>92</v>
      </c>
      <c r="H10" s="50" t="s">
        <v>114</v>
      </c>
      <c r="I10" s="55">
        <v>735.21126760563379</v>
      </c>
      <c r="J10" s="50" t="s">
        <v>366</v>
      </c>
      <c r="K10" s="45">
        <v>45920</v>
      </c>
      <c r="L10" s="50" t="s">
        <v>14</v>
      </c>
      <c r="M10" s="50" t="s">
        <v>226</v>
      </c>
      <c r="N10" s="50">
        <v>2025</v>
      </c>
    </row>
    <row r="11" spans="1:14">
      <c r="A11" s="50">
        <v>11</v>
      </c>
      <c r="B11" s="50" t="s">
        <v>17</v>
      </c>
      <c r="C11" s="50" t="s">
        <v>24</v>
      </c>
      <c r="D11" s="73" t="s">
        <v>61</v>
      </c>
      <c r="E11" s="50" t="s">
        <v>113</v>
      </c>
      <c r="F11" s="50"/>
      <c r="G11" s="50" t="s">
        <v>92</v>
      </c>
      <c r="H11" s="50" t="s">
        <v>114</v>
      </c>
      <c r="I11" s="55">
        <v>950.70422535211264</v>
      </c>
      <c r="J11" s="50" t="s">
        <v>366</v>
      </c>
      <c r="K11" s="45">
        <v>45920</v>
      </c>
      <c r="L11" s="50" t="s">
        <v>14</v>
      </c>
      <c r="M11" s="50" t="s">
        <v>226</v>
      </c>
      <c r="N11" s="50">
        <v>2025</v>
      </c>
    </row>
    <row r="12" spans="1:14">
      <c r="A12" s="50">
        <v>12</v>
      </c>
      <c r="B12" s="50" t="s">
        <v>17</v>
      </c>
      <c r="C12" s="50" t="s">
        <v>22</v>
      </c>
      <c r="D12" s="73" t="s">
        <v>61</v>
      </c>
      <c r="E12" s="50" t="s">
        <v>113</v>
      </c>
      <c r="F12" s="50"/>
      <c r="G12" s="50" t="s">
        <v>92</v>
      </c>
      <c r="H12" s="50" t="s">
        <v>114</v>
      </c>
      <c r="I12" s="55">
        <v>408.45070422535213</v>
      </c>
      <c r="J12" s="50" t="s">
        <v>366</v>
      </c>
      <c r="K12" s="45">
        <v>45920</v>
      </c>
      <c r="L12" s="50" t="s">
        <v>14</v>
      </c>
      <c r="M12" s="50" t="s">
        <v>226</v>
      </c>
      <c r="N12" s="50">
        <v>2025</v>
      </c>
    </row>
    <row r="13" spans="1:14">
      <c r="A13" s="50">
        <v>13</v>
      </c>
      <c r="B13" s="50" t="s">
        <v>17</v>
      </c>
      <c r="C13" s="50" t="s">
        <v>25</v>
      </c>
      <c r="D13" s="73" t="s">
        <v>61</v>
      </c>
      <c r="E13" s="50" t="s">
        <v>113</v>
      </c>
      <c r="F13" s="50"/>
      <c r="G13" s="50" t="s">
        <v>92</v>
      </c>
      <c r="H13" s="50" t="s">
        <v>114</v>
      </c>
      <c r="I13" s="55">
        <v>19539.436619718308</v>
      </c>
      <c r="J13" s="50" t="s">
        <v>366</v>
      </c>
      <c r="K13" s="45">
        <v>45920</v>
      </c>
      <c r="L13" s="50" t="s">
        <v>14</v>
      </c>
      <c r="M13" s="50" t="s">
        <v>226</v>
      </c>
      <c r="N13" s="50">
        <v>2025</v>
      </c>
    </row>
    <row r="14" spans="1:14">
      <c r="A14" s="50">
        <v>14</v>
      </c>
      <c r="B14" s="50" t="s">
        <v>59</v>
      </c>
      <c r="C14" s="50" t="s">
        <v>60</v>
      </c>
      <c r="D14" s="73" t="s">
        <v>61</v>
      </c>
      <c r="E14" s="50" t="s">
        <v>113</v>
      </c>
      <c r="F14" s="50"/>
      <c r="G14" s="50" t="s">
        <v>92</v>
      </c>
      <c r="H14" s="50" t="s">
        <v>114</v>
      </c>
      <c r="I14" s="55">
        <v>1061.9718309859154</v>
      </c>
      <c r="J14" s="50" t="s">
        <v>366</v>
      </c>
      <c r="K14" s="45">
        <v>45920</v>
      </c>
      <c r="L14" s="50" t="s">
        <v>14</v>
      </c>
      <c r="M14" s="50" t="s">
        <v>226</v>
      </c>
      <c r="N14" s="50">
        <v>2025</v>
      </c>
    </row>
    <row r="15" spans="1:14">
      <c r="A15" s="50">
        <v>15</v>
      </c>
      <c r="B15" s="50" t="s">
        <v>55</v>
      </c>
      <c r="C15" s="50" t="s">
        <v>56</v>
      </c>
      <c r="D15" s="73" t="s">
        <v>61</v>
      </c>
      <c r="E15" s="50" t="s">
        <v>113</v>
      </c>
      <c r="F15" s="50"/>
      <c r="G15" s="50" t="s">
        <v>92</v>
      </c>
      <c r="H15" s="50" t="s">
        <v>114</v>
      </c>
      <c r="I15" s="55">
        <v>628.16901408450701</v>
      </c>
      <c r="J15" s="50" t="s">
        <v>366</v>
      </c>
      <c r="K15" s="45">
        <v>45920</v>
      </c>
      <c r="L15" s="50" t="s">
        <v>14</v>
      </c>
      <c r="M15" s="50" t="s">
        <v>226</v>
      </c>
      <c r="N15" s="50">
        <v>2025</v>
      </c>
    </row>
    <row r="16" spans="1:14">
      <c r="A16" s="50">
        <v>16</v>
      </c>
      <c r="B16" s="50" t="s">
        <v>43</v>
      </c>
      <c r="C16" s="50" t="s">
        <v>70</v>
      </c>
      <c r="D16" s="73" t="s">
        <v>61</v>
      </c>
      <c r="E16" s="50" t="s">
        <v>113</v>
      </c>
      <c r="F16" s="50"/>
      <c r="G16" s="50" t="s">
        <v>92</v>
      </c>
      <c r="H16" s="50" t="s">
        <v>114</v>
      </c>
      <c r="I16" s="55">
        <v>2209.7709736680958</v>
      </c>
      <c r="J16" s="50" t="s">
        <v>366</v>
      </c>
      <c r="K16" s="45">
        <v>45920</v>
      </c>
      <c r="L16" s="50" t="s">
        <v>14</v>
      </c>
      <c r="M16" s="50" t="s">
        <v>226</v>
      </c>
      <c r="N16" s="50">
        <v>2025</v>
      </c>
    </row>
    <row r="17" spans="1:14">
      <c r="A17" s="50">
        <v>17</v>
      </c>
      <c r="B17" s="50" t="s">
        <v>43</v>
      </c>
      <c r="C17" s="50" t="s">
        <v>49</v>
      </c>
      <c r="D17" s="73" t="s">
        <v>61</v>
      </c>
      <c r="E17" s="50" t="s">
        <v>113</v>
      </c>
      <c r="F17" s="50"/>
      <c r="G17" s="50" t="s">
        <v>92</v>
      </c>
      <c r="H17" s="50" t="s">
        <v>114</v>
      </c>
      <c r="I17" s="55">
        <v>1744.5560318432335</v>
      </c>
      <c r="J17" s="50" t="s">
        <v>366</v>
      </c>
      <c r="K17" s="45">
        <v>45920</v>
      </c>
      <c r="L17" s="50" t="s">
        <v>14</v>
      </c>
      <c r="M17" s="50" t="s">
        <v>226</v>
      </c>
      <c r="N17" s="50">
        <v>2025</v>
      </c>
    </row>
    <row r="18" spans="1:14">
      <c r="A18" s="50">
        <v>18</v>
      </c>
      <c r="B18" s="50" t="s">
        <v>33</v>
      </c>
      <c r="C18" s="50" t="s">
        <v>34</v>
      </c>
      <c r="D18" s="73" t="s">
        <v>61</v>
      </c>
      <c r="E18" s="50" t="s">
        <v>113</v>
      </c>
      <c r="F18" s="50"/>
      <c r="G18" s="50" t="s">
        <v>92</v>
      </c>
      <c r="H18" s="50" t="s">
        <v>114</v>
      </c>
      <c r="I18" s="55">
        <v>503.98285364360078</v>
      </c>
      <c r="J18" s="50" t="s">
        <v>366</v>
      </c>
      <c r="K18" s="45">
        <v>45920</v>
      </c>
      <c r="L18" s="50" t="s">
        <v>14</v>
      </c>
      <c r="M18" s="50" t="s">
        <v>226</v>
      </c>
      <c r="N18" s="50">
        <v>2025</v>
      </c>
    </row>
    <row r="19" spans="1:14">
      <c r="A19" s="50">
        <v>19</v>
      </c>
      <c r="B19" s="50" t="s">
        <v>43</v>
      </c>
      <c r="C19" s="50" t="s">
        <v>70</v>
      </c>
      <c r="D19" s="73" t="s">
        <v>61</v>
      </c>
      <c r="E19" s="50" t="s">
        <v>113</v>
      </c>
      <c r="F19" s="50"/>
      <c r="G19" s="50" t="s">
        <v>122</v>
      </c>
      <c r="H19" s="50" t="s">
        <v>113</v>
      </c>
      <c r="I19" s="55">
        <v>2588.5394736842104</v>
      </c>
      <c r="J19" s="50" t="s">
        <v>368</v>
      </c>
      <c r="K19" s="45">
        <v>45969</v>
      </c>
      <c r="L19" s="50" t="s">
        <v>14</v>
      </c>
      <c r="M19" s="50" t="s">
        <v>226</v>
      </c>
      <c r="N19" s="50">
        <v>2025</v>
      </c>
    </row>
    <row r="20" spans="1:14">
      <c r="A20" s="50">
        <v>20</v>
      </c>
      <c r="B20" s="50" t="s">
        <v>35</v>
      </c>
      <c r="C20" s="50" t="s">
        <v>367</v>
      </c>
      <c r="D20" s="73" t="s">
        <v>61</v>
      </c>
      <c r="E20" s="50" t="s">
        <v>113</v>
      </c>
      <c r="F20" s="50"/>
      <c r="G20" s="50" t="s">
        <v>122</v>
      </c>
      <c r="H20" s="50" t="s">
        <v>113</v>
      </c>
      <c r="I20" s="55">
        <v>8930.461184210526</v>
      </c>
      <c r="J20" s="50" t="s">
        <v>369</v>
      </c>
      <c r="K20" s="45">
        <v>45969</v>
      </c>
      <c r="L20" s="50" t="s">
        <v>14</v>
      </c>
      <c r="M20" s="50" t="s">
        <v>226</v>
      </c>
      <c r="N20" s="50">
        <v>2025</v>
      </c>
    </row>
    <row r="21" spans="1:14">
      <c r="A21" s="50">
        <v>21</v>
      </c>
      <c r="B21" s="50" t="s">
        <v>43</v>
      </c>
      <c r="C21" s="50" t="s">
        <v>44</v>
      </c>
      <c r="D21" s="73" t="s">
        <v>61</v>
      </c>
      <c r="E21" s="50" t="s">
        <v>113</v>
      </c>
      <c r="F21" s="50"/>
      <c r="G21" s="50" t="s">
        <v>122</v>
      </c>
      <c r="H21" s="50" t="s">
        <v>113</v>
      </c>
      <c r="I21" s="55">
        <v>71443.689473684208</v>
      </c>
      <c r="J21" s="73" t="s">
        <v>370</v>
      </c>
      <c r="K21" s="45">
        <v>45969</v>
      </c>
      <c r="L21" s="50" t="s">
        <v>14</v>
      </c>
      <c r="M21" s="50" t="s">
        <v>226</v>
      </c>
      <c r="N21" s="50">
        <v>2025</v>
      </c>
    </row>
    <row r="22" spans="1:14">
      <c r="A22" s="50">
        <v>22</v>
      </c>
      <c r="B22" s="50" t="s">
        <v>272</v>
      </c>
      <c r="C22" s="50" t="s">
        <v>32</v>
      </c>
      <c r="D22" s="73" t="s">
        <v>61</v>
      </c>
      <c r="E22" s="50" t="s">
        <v>113</v>
      </c>
      <c r="F22" s="50"/>
      <c r="G22" s="50" t="s">
        <v>122</v>
      </c>
      <c r="H22" s="50" t="s">
        <v>113</v>
      </c>
      <c r="I22" s="55">
        <v>14754.674999999999</v>
      </c>
      <c r="J22" s="50" t="s">
        <v>368</v>
      </c>
      <c r="K22" s="45">
        <v>45969</v>
      </c>
      <c r="L22" s="50" t="s">
        <v>14</v>
      </c>
      <c r="M22" s="50" t="s">
        <v>226</v>
      </c>
      <c r="N22" s="50">
        <v>2025</v>
      </c>
    </row>
    <row r="23" spans="1:14">
      <c r="A23" s="50">
        <v>23</v>
      </c>
      <c r="B23" s="50" t="s">
        <v>35</v>
      </c>
      <c r="C23" s="50" t="s">
        <v>37</v>
      </c>
      <c r="D23" s="73" t="s">
        <v>61</v>
      </c>
      <c r="E23" s="50" t="s">
        <v>113</v>
      </c>
      <c r="F23" s="50"/>
      <c r="G23" s="50" t="s">
        <v>122</v>
      </c>
      <c r="H23" s="50" t="s">
        <v>113</v>
      </c>
      <c r="I23" s="55">
        <v>13719.259210526316</v>
      </c>
      <c r="J23" s="50" t="s">
        <v>369</v>
      </c>
      <c r="K23" s="45">
        <v>45969</v>
      </c>
      <c r="L23" s="50" t="s">
        <v>14</v>
      </c>
      <c r="M23" s="50" t="s">
        <v>226</v>
      </c>
      <c r="N23" s="50">
        <v>2025</v>
      </c>
    </row>
    <row r="24" spans="1:14">
      <c r="A24" s="50">
        <v>24</v>
      </c>
      <c r="B24" s="50" t="s">
        <v>35</v>
      </c>
      <c r="C24" s="50" t="s">
        <v>38</v>
      </c>
      <c r="D24" s="73" t="s">
        <v>61</v>
      </c>
      <c r="E24" s="50" t="s">
        <v>113</v>
      </c>
      <c r="F24" s="50"/>
      <c r="G24" s="50" t="s">
        <v>122</v>
      </c>
      <c r="H24" s="50" t="s">
        <v>113</v>
      </c>
      <c r="I24" s="55">
        <v>16307.798684210526</v>
      </c>
      <c r="J24" s="73" t="s">
        <v>370</v>
      </c>
      <c r="K24" s="45">
        <v>45969</v>
      </c>
      <c r="L24" s="50" t="s">
        <v>14</v>
      </c>
      <c r="M24" s="50" t="s">
        <v>226</v>
      </c>
      <c r="N24" s="50">
        <v>2025</v>
      </c>
    </row>
    <row r="25" spans="1:14">
      <c r="A25" s="50">
        <v>25</v>
      </c>
      <c r="B25" s="50" t="s">
        <v>43</v>
      </c>
      <c r="C25" s="50" t="s">
        <v>45</v>
      </c>
      <c r="D25" s="73" t="s">
        <v>61</v>
      </c>
      <c r="E25" s="50" t="s">
        <v>113</v>
      </c>
      <c r="F25" s="50"/>
      <c r="G25" s="50" t="s">
        <v>122</v>
      </c>
      <c r="H25" s="50" t="s">
        <v>113</v>
      </c>
      <c r="I25" s="55">
        <v>15142.955921052633</v>
      </c>
      <c r="J25" s="50" t="s">
        <v>368</v>
      </c>
      <c r="K25" s="45">
        <v>45969</v>
      </c>
      <c r="L25" s="50" t="s">
        <v>14</v>
      </c>
      <c r="M25" s="50" t="s">
        <v>226</v>
      </c>
      <c r="N25" s="50">
        <v>2025</v>
      </c>
    </row>
    <row r="26" spans="1:14">
      <c r="A26" s="50">
        <v>26</v>
      </c>
      <c r="B26" s="50" t="s">
        <v>43</v>
      </c>
      <c r="C26" s="50" t="s">
        <v>46</v>
      </c>
      <c r="D26" s="73" t="s">
        <v>61</v>
      </c>
      <c r="E26" s="50" t="s">
        <v>113</v>
      </c>
      <c r="F26" s="50"/>
      <c r="G26" s="50" t="s">
        <v>122</v>
      </c>
      <c r="H26" s="50" t="s">
        <v>113</v>
      </c>
      <c r="I26" s="55">
        <v>9448.1690789473669</v>
      </c>
      <c r="J26" s="50" t="s">
        <v>369</v>
      </c>
      <c r="K26" s="45">
        <v>45969</v>
      </c>
      <c r="L26" s="50" t="s">
        <v>14</v>
      </c>
      <c r="M26" s="50" t="s">
        <v>226</v>
      </c>
      <c r="N26" s="50">
        <v>2025</v>
      </c>
    </row>
    <row r="27" spans="1:14">
      <c r="A27" s="50">
        <v>27</v>
      </c>
      <c r="B27" s="50" t="s">
        <v>27</v>
      </c>
      <c r="C27" s="50" t="s">
        <v>28</v>
      </c>
      <c r="D27" s="73" t="s">
        <v>61</v>
      </c>
      <c r="E27" s="50" t="s">
        <v>113</v>
      </c>
      <c r="F27" s="50"/>
      <c r="G27" s="50" t="s">
        <v>122</v>
      </c>
      <c r="H27" s="50" t="s">
        <v>113</v>
      </c>
      <c r="I27" s="55">
        <v>2976.820394736842</v>
      </c>
      <c r="J27" s="73" t="s">
        <v>370</v>
      </c>
      <c r="K27" s="45">
        <v>45969</v>
      </c>
      <c r="L27" s="50" t="s">
        <v>14</v>
      </c>
      <c r="M27" s="50" t="s">
        <v>226</v>
      </c>
      <c r="N27" s="50">
        <v>2025</v>
      </c>
    </row>
    <row r="28" spans="1:14">
      <c r="A28" s="50">
        <v>28</v>
      </c>
      <c r="B28" s="50" t="s">
        <v>33</v>
      </c>
      <c r="C28" s="50" t="s">
        <v>34</v>
      </c>
      <c r="D28" s="73" t="s">
        <v>61</v>
      </c>
      <c r="E28" s="50" t="s">
        <v>113</v>
      </c>
      <c r="F28" s="50"/>
      <c r="G28" s="50" t="s">
        <v>122</v>
      </c>
      <c r="H28" s="50" t="s">
        <v>113</v>
      </c>
      <c r="I28" s="55">
        <v>1811.9776315789472</v>
      </c>
      <c r="J28" s="50" t="s">
        <v>368</v>
      </c>
      <c r="K28" s="45">
        <v>45969</v>
      </c>
      <c r="L28" s="50" t="s">
        <v>14</v>
      </c>
      <c r="M28" s="50" t="s">
        <v>226</v>
      </c>
      <c r="N28" s="50">
        <v>2025</v>
      </c>
    </row>
    <row r="29" spans="1:14">
      <c r="A29" s="50">
        <v>29</v>
      </c>
      <c r="B29" s="50" t="s">
        <v>53</v>
      </c>
      <c r="C29" s="50" t="s">
        <v>62</v>
      </c>
      <c r="D29" s="73" t="s">
        <v>61</v>
      </c>
      <c r="E29" s="50" t="s">
        <v>113</v>
      </c>
      <c r="F29" s="50"/>
      <c r="G29" s="50" t="s">
        <v>122</v>
      </c>
      <c r="H29" s="50" t="s">
        <v>113</v>
      </c>
      <c r="I29" s="55">
        <v>67819.734210526323</v>
      </c>
      <c r="J29" s="50" t="s">
        <v>369</v>
      </c>
      <c r="K29" s="45">
        <v>45969</v>
      </c>
      <c r="L29" s="50" t="s">
        <v>14</v>
      </c>
      <c r="M29" s="50" t="s">
        <v>226</v>
      </c>
      <c r="N29" s="50">
        <v>2025</v>
      </c>
    </row>
    <row r="30" spans="1:14">
      <c r="A30" s="50">
        <v>30</v>
      </c>
      <c r="B30" s="50" t="s">
        <v>43</v>
      </c>
      <c r="C30" s="50" t="s">
        <v>47</v>
      </c>
      <c r="D30" s="73" t="s">
        <v>61</v>
      </c>
      <c r="E30" s="50" t="s">
        <v>113</v>
      </c>
      <c r="F30" s="50"/>
      <c r="G30" s="50" t="s">
        <v>122</v>
      </c>
      <c r="H30" s="50" t="s">
        <v>113</v>
      </c>
      <c r="I30" s="55">
        <v>7636.1914473684219</v>
      </c>
      <c r="J30" s="73" t="s">
        <v>370</v>
      </c>
      <c r="K30" s="45">
        <v>45969</v>
      </c>
      <c r="L30" s="50" t="s">
        <v>14</v>
      </c>
      <c r="M30" s="50" t="s">
        <v>226</v>
      </c>
      <c r="N30" s="50">
        <v>2025</v>
      </c>
    </row>
    <row r="31" spans="1:14">
      <c r="A31" s="50">
        <v>31</v>
      </c>
      <c r="B31" s="50" t="s">
        <v>35</v>
      </c>
      <c r="C31" s="50" t="s">
        <v>42</v>
      </c>
      <c r="D31" s="73" t="s">
        <v>61</v>
      </c>
      <c r="E31" s="50" t="s">
        <v>113</v>
      </c>
      <c r="F31" s="50"/>
      <c r="G31" s="50" t="s">
        <v>122</v>
      </c>
      <c r="H31" s="50" t="s">
        <v>113</v>
      </c>
      <c r="I31" s="55">
        <v>18378.630263157895</v>
      </c>
      <c r="J31" s="50" t="s">
        <v>368</v>
      </c>
      <c r="K31" s="45">
        <v>45969</v>
      </c>
      <c r="L31" s="50" t="s">
        <v>14</v>
      </c>
      <c r="M31" s="50" t="s">
        <v>226</v>
      </c>
      <c r="N31" s="50">
        <v>2025</v>
      </c>
    </row>
    <row r="32" spans="1:14">
      <c r="A32" s="50">
        <v>32</v>
      </c>
      <c r="B32" s="50" t="s">
        <v>43</v>
      </c>
      <c r="C32" s="50" t="s">
        <v>49</v>
      </c>
      <c r="D32" s="73" t="s">
        <v>61</v>
      </c>
      <c r="E32" s="50" t="s">
        <v>113</v>
      </c>
      <c r="F32" s="50"/>
      <c r="G32" s="50" t="s">
        <v>122</v>
      </c>
      <c r="H32" s="50" t="s">
        <v>113</v>
      </c>
      <c r="I32" s="55">
        <v>2588.5394736842104</v>
      </c>
      <c r="J32" s="50" t="s">
        <v>369</v>
      </c>
      <c r="K32" s="45">
        <v>45969</v>
      </c>
      <c r="L32" s="50" t="s">
        <v>14</v>
      </c>
      <c r="M32" s="50" t="s">
        <v>226</v>
      </c>
      <c r="N32" s="50">
        <v>2025</v>
      </c>
    </row>
    <row r="33" spans="1:14">
      <c r="A33" s="50">
        <v>33</v>
      </c>
      <c r="B33" s="50" t="s">
        <v>43</v>
      </c>
      <c r="C33" s="50" t="s">
        <v>50</v>
      </c>
      <c r="D33" s="73" t="s">
        <v>61</v>
      </c>
      <c r="E33" s="50" t="s">
        <v>113</v>
      </c>
      <c r="F33" s="50"/>
      <c r="G33" s="50" t="s">
        <v>122</v>
      </c>
      <c r="H33" s="50" t="s">
        <v>113</v>
      </c>
      <c r="I33" s="55">
        <v>26532.52960526316</v>
      </c>
      <c r="J33" s="73" t="s">
        <v>370</v>
      </c>
      <c r="K33" s="45">
        <v>45969</v>
      </c>
      <c r="L33" s="50" t="s">
        <v>14</v>
      </c>
      <c r="M33" s="50" t="s">
        <v>226</v>
      </c>
      <c r="N33" s="50">
        <v>2025</v>
      </c>
    </row>
    <row r="34" spans="1:14">
      <c r="A34" s="50">
        <v>34</v>
      </c>
      <c r="B34" s="50" t="s">
        <v>43</v>
      </c>
      <c r="C34" s="50" t="s">
        <v>51</v>
      </c>
      <c r="D34" s="73" t="s">
        <v>61</v>
      </c>
      <c r="E34" s="50" t="s">
        <v>113</v>
      </c>
      <c r="F34" s="50"/>
      <c r="G34" s="50" t="s">
        <v>122</v>
      </c>
      <c r="H34" s="50" t="s">
        <v>113</v>
      </c>
      <c r="I34" s="55">
        <v>108200.95000000001</v>
      </c>
      <c r="J34" s="50" t="s">
        <v>368</v>
      </c>
      <c r="K34" s="45">
        <v>45969</v>
      </c>
      <c r="L34" s="50" t="s">
        <v>14</v>
      </c>
      <c r="M34" s="50" t="s">
        <v>226</v>
      </c>
      <c r="N34" s="50">
        <v>2025</v>
      </c>
    </row>
    <row r="35" spans="1:14">
      <c r="A35" s="50">
        <v>35</v>
      </c>
      <c r="B35" s="50" t="s">
        <v>43</v>
      </c>
      <c r="C35" s="50" t="s">
        <v>52</v>
      </c>
      <c r="D35" s="73" t="s">
        <v>61</v>
      </c>
      <c r="E35" s="50" t="s">
        <v>113</v>
      </c>
      <c r="F35" s="50"/>
      <c r="G35" s="50" t="s">
        <v>122</v>
      </c>
      <c r="H35" s="50" t="s">
        <v>113</v>
      </c>
      <c r="I35" s="55">
        <v>2329.6855263157895</v>
      </c>
      <c r="J35" s="50" t="s">
        <v>369</v>
      </c>
      <c r="K35" s="45">
        <v>45969</v>
      </c>
      <c r="L35" s="50" t="s">
        <v>14</v>
      </c>
      <c r="M35" s="50" t="s">
        <v>226</v>
      </c>
      <c r="N35" s="50">
        <v>2025</v>
      </c>
    </row>
    <row r="36" spans="1:14">
      <c r="A36" s="50">
        <v>36</v>
      </c>
      <c r="B36" s="50" t="s">
        <v>17</v>
      </c>
      <c r="C36" s="50" t="s">
        <v>25</v>
      </c>
      <c r="D36" s="73" t="s">
        <v>61</v>
      </c>
      <c r="E36" s="50" t="s">
        <v>113</v>
      </c>
      <c r="F36" s="50"/>
      <c r="G36" s="50" t="s">
        <v>122</v>
      </c>
      <c r="H36" s="50" t="s">
        <v>113</v>
      </c>
      <c r="I36" s="55">
        <v>2847.3934210526318</v>
      </c>
      <c r="J36" s="73" t="s">
        <v>370</v>
      </c>
      <c r="K36" s="45">
        <v>45969</v>
      </c>
      <c r="L36" s="50" t="s">
        <v>14</v>
      </c>
      <c r="M36" s="50" t="s">
        <v>226</v>
      </c>
      <c r="N36" s="50">
        <v>2025</v>
      </c>
    </row>
    <row r="37" spans="1:14">
      <c r="A37" s="50">
        <v>37</v>
      </c>
      <c r="B37" s="50" t="s">
        <v>43</v>
      </c>
      <c r="C37" s="50" t="s">
        <v>70</v>
      </c>
      <c r="D37" s="73" t="s">
        <v>61</v>
      </c>
      <c r="E37" s="50" t="s">
        <v>113</v>
      </c>
      <c r="F37" s="50"/>
      <c r="G37" s="50" t="s">
        <v>122</v>
      </c>
      <c r="H37" s="50" t="s">
        <v>113</v>
      </c>
      <c r="I37" s="50">
        <v>2606.9733877068556</v>
      </c>
      <c r="J37" s="50" t="s">
        <v>476</v>
      </c>
      <c r="K37" s="45">
        <v>45942</v>
      </c>
      <c r="L37" s="50" t="s">
        <v>14</v>
      </c>
      <c r="M37" s="50" t="s">
        <v>225</v>
      </c>
      <c r="N37" s="50">
        <v>2025</v>
      </c>
    </row>
    <row r="38" spans="1:14">
      <c r="A38" s="50">
        <v>38</v>
      </c>
      <c r="B38" s="50" t="s">
        <v>35</v>
      </c>
      <c r="C38" s="50" t="s">
        <v>475</v>
      </c>
      <c r="D38" s="73" t="s">
        <v>61</v>
      </c>
      <c r="E38" s="50" t="s">
        <v>113</v>
      </c>
      <c r="F38" s="50"/>
      <c r="G38" s="50" t="s">
        <v>122</v>
      </c>
      <c r="H38" s="50" t="s">
        <v>113</v>
      </c>
      <c r="I38" s="50">
        <v>31170.333983451535</v>
      </c>
      <c r="J38" s="50" t="s">
        <v>477</v>
      </c>
      <c r="K38" s="45">
        <v>45942</v>
      </c>
      <c r="L38" s="50" t="s">
        <v>14</v>
      </c>
      <c r="M38" s="50" t="s">
        <v>225</v>
      </c>
      <c r="N38" s="50">
        <v>2025</v>
      </c>
    </row>
    <row r="39" spans="1:14">
      <c r="A39" s="50">
        <v>39</v>
      </c>
      <c r="B39" s="50" t="s">
        <v>43</v>
      </c>
      <c r="C39" s="50" t="s">
        <v>44</v>
      </c>
      <c r="D39" s="73" t="s">
        <v>61</v>
      </c>
      <c r="E39" s="50" t="s">
        <v>113</v>
      </c>
      <c r="F39" s="50"/>
      <c r="G39" s="50" t="s">
        <v>122</v>
      </c>
      <c r="H39" s="50" t="s">
        <v>113</v>
      </c>
      <c r="I39" s="50">
        <v>161972.39004491724</v>
      </c>
      <c r="J39" s="50" t="s">
        <v>478</v>
      </c>
      <c r="K39" s="45">
        <v>45942</v>
      </c>
      <c r="L39" s="50" t="s">
        <v>14</v>
      </c>
      <c r="M39" s="50" t="s">
        <v>225</v>
      </c>
      <c r="N39" s="50">
        <v>2025</v>
      </c>
    </row>
    <row r="40" spans="1:14">
      <c r="A40" s="50">
        <v>40</v>
      </c>
      <c r="B40" s="50" t="s">
        <v>272</v>
      </c>
      <c r="C40" s="50" t="s">
        <v>32</v>
      </c>
      <c r="D40" s="73" t="s">
        <v>61</v>
      </c>
      <c r="E40" s="50" t="s">
        <v>113</v>
      </c>
      <c r="F40" s="50"/>
      <c r="G40" s="50" t="s">
        <v>122</v>
      </c>
      <c r="H40" s="50" t="s">
        <v>113</v>
      </c>
      <c r="I40" s="50">
        <v>14961.760312056736</v>
      </c>
      <c r="J40" s="50" t="s">
        <v>476</v>
      </c>
      <c r="K40" s="45">
        <v>45942</v>
      </c>
      <c r="L40" s="50" t="s">
        <v>14</v>
      </c>
      <c r="M40" s="50" t="s">
        <v>225</v>
      </c>
      <c r="N40" s="50">
        <v>2025</v>
      </c>
    </row>
    <row r="41" spans="1:14">
      <c r="A41" s="50">
        <v>41</v>
      </c>
      <c r="B41" s="50" t="s">
        <v>35</v>
      </c>
      <c r="C41" s="50" t="s">
        <v>37</v>
      </c>
      <c r="D41" s="73" t="s">
        <v>61</v>
      </c>
      <c r="E41" s="50" t="s">
        <v>113</v>
      </c>
      <c r="F41" s="50"/>
      <c r="G41" s="50" t="s">
        <v>122</v>
      </c>
      <c r="H41" s="50" t="s">
        <v>113</v>
      </c>
      <c r="I41" s="50">
        <v>17228.693692671397</v>
      </c>
      <c r="J41" s="50" t="s">
        <v>477</v>
      </c>
      <c r="K41" s="45">
        <v>45942</v>
      </c>
      <c r="L41" s="50" t="s">
        <v>14</v>
      </c>
      <c r="M41" s="50" t="s">
        <v>225</v>
      </c>
      <c r="N41" s="50">
        <v>2025</v>
      </c>
    </row>
    <row r="42" spans="1:14">
      <c r="A42" s="50">
        <v>42</v>
      </c>
      <c r="B42" s="50" t="s">
        <v>35</v>
      </c>
      <c r="C42" s="50" t="s">
        <v>38</v>
      </c>
      <c r="D42" s="73" t="s">
        <v>61</v>
      </c>
      <c r="E42" s="50" t="s">
        <v>113</v>
      </c>
      <c r="F42" s="50"/>
      <c r="G42" s="50" t="s">
        <v>122</v>
      </c>
      <c r="H42" s="50" t="s">
        <v>113</v>
      </c>
      <c r="I42" s="50">
        <v>5440.6401134751777</v>
      </c>
      <c r="J42" s="50" t="s">
        <v>478</v>
      </c>
      <c r="K42" s="45">
        <v>45942</v>
      </c>
      <c r="L42" s="50" t="s">
        <v>14</v>
      </c>
      <c r="M42" s="50" t="s">
        <v>225</v>
      </c>
      <c r="N42" s="50">
        <v>2025</v>
      </c>
    </row>
    <row r="43" spans="1:14">
      <c r="A43" s="50">
        <v>43</v>
      </c>
      <c r="B43" s="50" t="s">
        <v>43</v>
      </c>
      <c r="C43" s="50" t="s">
        <v>45</v>
      </c>
      <c r="D43" s="73" t="s">
        <v>61</v>
      </c>
      <c r="E43" s="50" t="s">
        <v>113</v>
      </c>
      <c r="F43" s="50"/>
      <c r="G43" s="50" t="s">
        <v>122</v>
      </c>
      <c r="H43" s="50" t="s">
        <v>113</v>
      </c>
      <c r="I43" s="50">
        <v>8274.306839243498</v>
      </c>
      <c r="J43" s="62" t="s">
        <v>476</v>
      </c>
      <c r="K43" s="45">
        <v>45942</v>
      </c>
      <c r="L43" s="50" t="s">
        <v>14</v>
      </c>
      <c r="M43" s="50" t="s">
        <v>225</v>
      </c>
      <c r="N43" s="50">
        <v>2025</v>
      </c>
    </row>
    <row r="44" spans="1:14">
      <c r="A44" s="50">
        <v>44</v>
      </c>
      <c r="B44" s="50" t="s">
        <v>43</v>
      </c>
      <c r="C44" s="50" t="s">
        <v>46</v>
      </c>
      <c r="D44" s="73" t="s">
        <v>61</v>
      </c>
      <c r="E44" s="50" t="s">
        <v>113</v>
      </c>
      <c r="F44" s="50"/>
      <c r="G44" s="50" t="s">
        <v>122</v>
      </c>
      <c r="H44" s="50" t="s">
        <v>113</v>
      </c>
      <c r="I44" s="50">
        <v>14961.760312056736</v>
      </c>
      <c r="J44" s="62" t="s">
        <v>477</v>
      </c>
      <c r="K44" s="45">
        <v>45942</v>
      </c>
      <c r="L44" s="50" t="s">
        <v>14</v>
      </c>
      <c r="M44" s="50" t="s">
        <v>225</v>
      </c>
      <c r="N44" s="50">
        <v>2025</v>
      </c>
    </row>
    <row r="45" spans="1:14">
      <c r="A45" s="50">
        <v>45</v>
      </c>
      <c r="B45" s="50" t="s">
        <v>27</v>
      </c>
      <c r="C45" s="50" t="s">
        <v>28</v>
      </c>
      <c r="D45" s="73" t="s">
        <v>61</v>
      </c>
      <c r="E45" s="50" t="s">
        <v>113</v>
      </c>
      <c r="F45" s="50"/>
      <c r="G45" s="50" t="s">
        <v>122</v>
      </c>
      <c r="H45" s="50" t="s">
        <v>113</v>
      </c>
      <c r="I45" s="50">
        <v>793.42668321512997</v>
      </c>
      <c r="J45" s="62" t="s">
        <v>478</v>
      </c>
      <c r="K45" s="45">
        <v>45942</v>
      </c>
      <c r="L45" s="50" t="s">
        <v>14</v>
      </c>
      <c r="M45" s="50" t="s">
        <v>225</v>
      </c>
      <c r="N45" s="50">
        <v>2025</v>
      </c>
    </row>
    <row r="46" spans="1:14">
      <c r="A46" s="50">
        <v>46</v>
      </c>
      <c r="B46" s="50" t="s">
        <v>33</v>
      </c>
      <c r="C46" s="50" t="s">
        <v>34</v>
      </c>
      <c r="D46" s="73" t="s">
        <v>61</v>
      </c>
      <c r="E46" s="50" t="s">
        <v>113</v>
      </c>
      <c r="F46" s="50"/>
      <c r="G46" s="50" t="s">
        <v>122</v>
      </c>
      <c r="H46" s="50" t="s">
        <v>113</v>
      </c>
      <c r="I46" s="50">
        <v>1133.4666903073285</v>
      </c>
      <c r="J46" s="62" t="s">
        <v>476</v>
      </c>
      <c r="K46" s="45">
        <v>45942</v>
      </c>
      <c r="L46" s="50" t="s">
        <v>14</v>
      </c>
      <c r="M46" s="50" t="s">
        <v>225</v>
      </c>
      <c r="N46" s="50">
        <v>2025</v>
      </c>
    </row>
    <row r="47" spans="1:14">
      <c r="A47" s="50">
        <v>47</v>
      </c>
      <c r="B47" s="50" t="s">
        <v>53</v>
      </c>
      <c r="C47" s="50" t="s">
        <v>62</v>
      </c>
      <c r="D47" s="73" t="s">
        <v>61</v>
      </c>
      <c r="E47" s="50" t="s">
        <v>113</v>
      </c>
      <c r="F47" s="50"/>
      <c r="G47" s="50" t="s">
        <v>122</v>
      </c>
      <c r="H47" s="50" t="s">
        <v>113</v>
      </c>
      <c r="I47" s="50">
        <v>92604.228598108733</v>
      </c>
      <c r="J47" s="62" t="s">
        <v>477</v>
      </c>
      <c r="K47" s="45">
        <v>45942</v>
      </c>
      <c r="L47" s="50" t="s">
        <v>14</v>
      </c>
      <c r="M47" s="50" t="s">
        <v>225</v>
      </c>
      <c r="N47" s="50">
        <v>2025</v>
      </c>
    </row>
    <row r="48" spans="1:14">
      <c r="A48" s="50">
        <v>48</v>
      </c>
      <c r="B48" s="50" t="s">
        <v>43</v>
      </c>
      <c r="C48" s="50" t="s">
        <v>47</v>
      </c>
      <c r="D48" s="73" t="s">
        <v>61</v>
      </c>
      <c r="E48" s="50" t="s">
        <v>113</v>
      </c>
      <c r="F48" s="50"/>
      <c r="G48" s="50" t="s">
        <v>122</v>
      </c>
      <c r="H48" s="50" t="s">
        <v>113</v>
      </c>
      <c r="I48" s="50">
        <v>906.77335224586284</v>
      </c>
      <c r="J48" s="62" t="s">
        <v>478</v>
      </c>
      <c r="K48" s="45">
        <v>45942</v>
      </c>
      <c r="L48" s="50" t="s">
        <v>14</v>
      </c>
      <c r="M48" s="50" t="s">
        <v>225</v>
      </c>
      <c r="N48" s="50">
        <v>2025</v>
      </c>
    </row>
    <row r="49" spans="1:14">
      <c r="A49" s="50">
        <v>49</v>
      </c>
      <c r="B49" s="50" t="s">
        <v>43</v>
      </c>
      <c r="C49" s="50" t="s">
        <v>48</v>
      </c>
      <c r="D49" s="73" t="s">
        <v>61</v>
      </c>
      <c r="E49" s="50" t="s">
        <v>113</v>
      </c>
      <c r="F49" s="50"/>
      <c r="G49" s="50" t="s">
        <v>122</v>
      </c>
      <c r="H49" s="50" t="s">
        <v>113</v>
      </c>
      <c r="I49" s="50">
        <v>453.38667612293142</v>
      </c>
      <c r="J49" s="62" t="s">
        <v>476</v>
      </c>
      <c r="K49" s="45">
        <v>45942</v>
      </c>
      <c r="L49" s="50" t="s">
        <v>14</v>
      </c>
      <c r="M49" s="50" t="s">
        <v>225</v>
      </c>
      <c r="N49" s="50">
        <v>2025</v>
      </c>
    </row>
    <row r="50" spans="1:14">
      <c r="A50" s="50">
        <v>50</v>
      </c>
      <c r="B50" s="50" t="s">
        <v>43</v>
      </c>
      <c r="C50" s="50" t="s">
        <v>50</v>
      </c>
      <c r="D50" s="73" t="s">
        <v>61</v>
      </c>
      <c r="E50" s="50" t="s">
        <v>113</v>
      </c>
      <c r="F50" s="50"/>
      <c r="G50" s="50" t="s">
        <v>122</v>
      </c>
      <c r="H50" s="50" t="s">
        <v>113</v>
      </c>
      <c r="I50" s="50">
        <v>15868.533664302598</v>
      </c>
      <c r="J50" s="62" t="s">
        <v>477</v>
      </c>
      <c r="K50" s="45">
        <v>45942</v>
      </c>
      <c r="L50" s="50" t="s">
        <v>14</v>
      </c>
      <c r="M50" s="50" t="s">
        <v>225</v>
      </c>
      <c r="N50" s="50">
        <v>2025</v>
      </c>
    </row>
    <row r="51" spans="1:14">
      <c r="A51" s="50">
        <v>51</v>
      </c>
      <c r="B51" s="50" t="s">
        <v>43</v>
      </c>
      <c r="C51" s="50" t="s">
        <v>51</v>
      </c>
      <c r="D51" s="73" t="s">
        <v>61</v>
      </c>
      <c r="E51" s="50" t="s">
        <v>113</v>
      </c>
      <c r="F51" s="50"/>
      <c r="G51" s="50" t="s">
        <v>122</v>
      </c>
      <c r="H51" s="50" t="s">
        <v>113</v>
      </c>
      <c r="I51" s="50">
        <v>109492.88228368794</v>
      </c>
      <c r="J51" s="62" t="s">
        <v>478</v>
      </c>
      <c r="K51" s="45">
        <v>45942</v>
      </c>
      <c r="L51" s="50" t="s">
        <v>14</v>
      </c>
      <c r="M51" s="50" t="s">
        <v>225</v>
      </c>
      <c r="N51" s="50">
        <v>2025</v>
      </c>
    </row>
    <row r="52" spans="1:14">
      <c r="A52" s="50">
        <v>52</v>
      </c>
      <c r="B52" s="50" t="s">
        <v>17</v>
      </c>
      <c r="C52" s="50" t="s">
        <v>23</v>
      </c>
      <c r="D52" s="73" t="s">
        <v>61</v>
      </c>
      <c r="E52" s="50" t="s">
        <v>113</v>
      </c>
      <c r="F52" s="50"/>
      <c r="G52" s="50" t="s">
        <v>122</v>
      </c>
      <c r="H52" s="50" t="s">
        <v>113</v>
      </c>
      <c r="I52" s="50">
        <v>340.04000709219861</v>
      </c>
      <c r="J52" s="62" t="s">
        <v>476</v>
      </c>
      <c r="K52" s="45">
        <v>45942</v>
      </c>
      <c r="L52" s="50" t="s">
        <v>14</v>
      </c>
      <c r="M52" s="50" t="s">
        <v>225</v>
      </c>
      <c r="N52" s="50">
        <v>2025</v>
      </c>
    </row>
    <row r="53" spans="1:14">
      <c r="A53" s="50">
        <v>53</v>
      </c>
      <c r="B53" s="50" t="s">
        <v>33</v>
      </c>
      <c r="C53" s="50" t="s">
        <v>34</v>
      </c>
      <c r="D53" s="73" t="s">
        <v>61</v>
      </c>
      <c r="E53" s="50" t="s">
        <v>113</v>
      </c>
      <c r="F53" s="50"/>
      <c r="G53" s="50" t="s">
        <v>122</v>
      </c>
      <c r="H53" s="50" t="s">
        <v>113</v>
      </c>
      <c r="I53" s="50">
        <v>1246.8133593380614</v>
      </c>
      <c r="J53" s="62" t="s">
        <v>477</v>
      </c>
      <c r="K53" s="45">
        <v>45942</v>
      </c>
      <c r="L53" s="50" t="s">
        <v>14</v>
      </c>
      <c r="M53" s="50" t="s">
        <v>225</v>
      </c>
      <c r="N53" s="50">
        <v>2025</v>
      </c>
    </row>
    <row r="54" spans="1:14">
      <c r="J54" s="87"/>
    </row>
  </sheetData>
  <autoFilter ref="A1:N53" xr:uid="{00000000-0001-0000-0D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N663"/>
  <sheetViews>
    <sheetView workbookViewId="0">
      <selection activeCell="G24" sqref="G24"/>
    </sheetView>
  </sheetViews>
  <sheetFormatPr defaultColWidth="9" defaultRowHeight="14.4"/>
  <cols>
    <col min="1" max="1" width="5.33203125" customWidth="1"/>
    <col min="2" max="2" width="9.33203125" customWidth="1"/>
    <col min="3" max="3" width="9.44140625" customWidth="1"/>
    <col min="4" max="4" width="8.88671875" customWidth="1"/>
    <col min="5" max="5" width="29" customWidth="1"/>
    <col min="6" max="6" width="10.109375" customWidth="1"/>
    <col min="7" max="7" width="28.6640625" customWidth="1"/>
    <col min="8" max="8" width="17.88671875" bestFit="1" customWidth="1"/>
    <col min="9" max="9" width="15.44140625" style="8" customWidth="1"/>
    <col min="10" max="10" width="10.109375" customWidth="1"/>
    <col min="11" max="11" width="11.109375" customWidth="1"/>
    <col min="12" max="12" width="10.77734375" customWidth="1"/>
    <col min="13" max="13" width="6.44140625" customWidth="1"/>
    <col min="14" max="14" width="4.77734375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16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>
        <v>1</v>
      </c>
      <c r="B2" s="32" t="s">
        <v>53</v>
      </c>
      <c r="C2" s="32" t="s">
        <v>62</v>
      </c>
      <c r="D2" s="4" t="s">
        <v>19</v>
      </c>
      <c r="E2" s="4" t="s">
        <v>120</v>
      </c>
      <c r="F2" s="4"/>
      <c r="G2" s="4" t="s">
        <v>93</v>
      </c>
      <c r="H2" s="4" t="s">
        <v>267</v>
      </c>
      <c r="I2" s="122">
        <v>24994.29</v>
      </c>
      <c r="J2" s="4" t="s">
        <v>14</v>
      </c>
      <c r="K2" s="65" t="s">
        <v>14</v>
      </c>
      <c r="L2" s="4" t="s">
        <v>14</v>
      </c>
      <c r="M2" s="4" t="s">
        <v>225</v>
      </c>
      <c r="N2" s="4">
        <v>2025</v>
      </c>
    </row>
    <row r="3" spans="1:14">
      <c r="A3" s="4">
        <v>2</v>
      </c>
      <c r="B3" s="32" t="s">
        <v>53</v>
      </c>
      <c r="C3" s="32" t="s">
        <v>62</v>
      </c>
      <c r="D3" s="4" t="s">
        <v>19</v>
      </c>
      <c r="E3" s="4" t="s">
        <v>120</v>
      </c>
      <c r="F3" s="4"/>
      <c r="G3" s="4" t="s">
        <v>93</v>
      </c>
      <c r="H3" s="4" t="s">
        <v>267</v>
      </c>
      <c r="I3" s="122">
        <v>73035.710000000006</v>
      </c>
      <c r="J3" s="4" t="s">
        <v>14</v>
      </c>
      <c r="K3" s="65" t="s">
        <v>14</v>
      </c>
      <c r="L3" s="4" t="s">
        <v>14</v>
      </c>
      <c r="M3" s="4" t="s">
        <v>226</v>
      </c>
      <c r="N3" s="4">
        <v>2025</v>
      </c>
    </row>
    <row r="4" spans="1:14">
      <c r="A4" s="4">
        <v>3</v>
      </c>
      <c r="B4" s="32" t="s">
        <v>53</v>
      </c>
      <c r="C4" s="32" t="s">
        <v>62</v>
      </c>
      <c r="D4" s="4" t="s">
        <v>19</v>
      </c>
      <c r="E4" s="4" t="s">
        <v>120</v>
      </c>
      <c r="F4" s="4"/>
      <c r="G4" s="4" t="s">
        <v>92</v>
      </c>
      <c r="H4" s="4" t="s">
        <v>267</v>
      </c>
      <c r="I4" s="122">
        <v>12836.57</v>
      </c>
      <c r="J4" s="4" t="s">
        <v>14</v>
      </c>
      <c r="K4" s="65" t="s">
        <v>14</v>
      </c>
      <c r="L4" s="4" t="s">
        <v>14</v>
      </c>
      <c r="M4" s="4" t="s">
        <v>225</v>
      </c>
      <c r="N4" s="4">
        <v>2025</v>
      </c>
    </row>
    <row r="5" spans="1:14">
      <c r="A5" s="4">
        <v>4</v>
      </c>
      <c r="B5" s="32" t="s">
        <v>53</v>
      </c>
      <c r="C5" s="32" t="s">
        <v>62</v>
      </c>
      <c r="D5" s="4" t="s">
        <v>19</v>
      </c>
      <c r="E5" s="4" t="s">
        <v>120</v>
      </c>
      <c r="F5" s="4"/>
      <c r="G5" s="4" t="s">
        <v>92</v>
      </c>
      <c r="H5" s="4" t="s">
        <v>267</v>
      </c>
      <c r="I5" s="122">
        <v>65285.71</v>
      </c>
      <c r="J5" s="4" t="s">
        <v>14</v>
      </c>
      <c r="K5" s="65" t="s">
        <v>14</v>
      </c>
      <c r="L5" s="4" t="s">
        <v>14</v>
      </c>
      <c r="M5" s="4" t="s">
        <v>226</v>
      </c>
      <c r="N5" s="4">
        <v>2025</v>
      </c>
    </row>
    <row r="6" spans="1:14">
      <c r="A6" s="4">
        <v>5</v>
      </c>
      <c r="B6" t="s">
        <v>43</v>
      </c>
      <c r="C6" t="s">
        <v>50</v>
      </c>
      <c r="D6" s="121" t="s">
        <v>61</v>
      </c>
      <c r="E6" s="4" t="s">
        <v>120</v>
      </c>
      <c r="G6" t="s">
        <v>264</v>
      </c>
      <c r="H6" s="121" t="s">
        <v>266</v>
      </c>
      <c r="I6" s="36">
        <v>6305.7957746478869</v>
      </c>
      <c r="J6" t="s">
        <v>253</v>
      </c>
      <c r="K6" s="65">
        <v>45866</v>
      </c>
      <c r="L6">
        <v>2025402453</v>
      </c>
      <c r="M6" t="s">
        <v>225</v>
      </c>
      <c r="N6" s="4">
        <v>2025</v>
      </c>
    </row>
    <row r="7" spans="1:14">
      <c r="A7" s="4">
        <v>6</v>
      </c>
      <c r="B7" t="s">
        <v>17</v>
      </c>
      <c r="C7" t="s">
        <v>22</v>
      </c>
      <c r="D7" s="121" t="s">
        <v>61</v>
      </c>
      <c r="E7" s="4" t="s">
        <v>120</v>
      </c>
      <c r="G7" t="s">
        <v>1323</v>
      </c>
      <c r="H7" s="4" t="s">
        <v>123</v>
      </c>
      <c r="I7" s="36">
        <v>872.32605633802814</v>
      </c>
      <c r="J7" t="s">
        <v>1326</v>
      </c>
      <c r="K7" s="65">
        <v>45873</v>
      </c>
      <c r="L7">
        <v>2025402557</v>
      </c>
      <c r="M7" t="s">
        <v>225</v>
      </c>
      <c r="N7" s="4">
        <v>2025</v>
      </c>
    </row>
    <row r="8" spans="1:14">
      <c r="A8" s="4">
        <v>7</v>
      </c>
      <c r="B8" s="4" t="s">
        <v>43</v>
      </c>
      <c r="C8" s="4" t="s">
        <v>51</v>
      </c>
      <c r="D8" s="121" t="s">
        <v>61</v>
      </c>
      <c r="E8" s="4" t="s">
        <v>120</v>
      </c>
      <c r="F8" s="4"/>
      <c r="G8" s="4" t="s">
        <v>264</v>
      </c>
      <c r="H8" s="121" t="s">
        <v>266</v>
      </c>
      <c r="I8" s="36">
        <v>8899.4507042253517</v>
      </c>
      <c r="J8" s="4" t="s">
        <v>253</v>
      </c>
      <c r="K8" s="65">
        <v>45892</v>
      </c>
      <c r="L8" s="4">
        <v>2025402677</v>
      </c>
      <c r="M8" s="4" t="s">
        <v>225</v>
      </c>
      <c r="N8" s="4">
        <v>2025</v>
      </c>
    </row>
    <row r="9" spans="1:14">
      <c r="A9" s="4">
        <v>8</v>
      </c>
      <c r="B9" s="4" t="s">
        <v>43</v>
      </c>
      <c r="C9" s="4" t="s">
        <v>50</v>
      </c>
      <c r="D9" s="121" t="s">
        <v>61</v>
      </c>
      <c r="E9" s="4" t="s">
        <v>120</v>
      </c>
      <c r="F9" s="4"/>
      <c r="G9" s="4" t="s">
        <v>1323</v>
      </c>
      <c r="H9" s="4" t="s">
        <v>123</v>
      </c>
      <c r="I9" s="36">
        <v>14060.773330985914</v>
      </c>
      <c r="J9" s="4" t="s">
        <v>1327</v>
      </c>
      <c r="K9" s="65">
        <v>45900</v>
      </c>
      <c r="L9" s="4">
        <v>2025402899</v>
      </c>
      <c r="M9" s="4" t="s">
        <v>226</v>
      </c>
      <c r="N9" s="4">
        <v>2025</v>
      </c>
    </row>
    <row r="10" spans="1:14">
      <c r="A10" s="4">
        <v>9</v>
      </c>
      <c r="B10" s="4" t="s">
        <v>43</v>
      </c>
      <c r="C10" s="4" t="s">
        <v>50</v>
      </c>
      <c r="D10" s="121" t="s">
        <v>61</v>
      </c>
      <c r="E10" s="4" t="s">
        <v>120</v>
      </c>
      <c r="F10" s="4"/>
      <c r="G10" s="4" t="s">
        <v>1324</v>
      </c>
      <c r="H10" s="4" t="s">
        <v>120</v>
      </c>
      <c r="I10" s="36">
        <v>39467.21</v>
      </c>
      <c r="J10" s="4" t="s">
        <v>1328</v>
      </c>
      <c r="K10" s="65">
        <v>45868</v>
      </c>
      <c r="L10" s="120" t="s">
        <v>14</v>
      </c>
      <c r="M10" s="4" t="s">
        <v>225</v>
      </c>
      <c r="N10" s="4">
        <v>2025</v>
      </c>
    </row>
    <row r="11" spans="1:14">
      <c r="A11" s="4">
        <v>10</v>
      </c>
      <c r="B11" s="4" t="s">
        <v>43</v>
      </c>
      <c r="C11" s="4" t="s">
        <v>50</v>
      </c>
      <c r="D11" s="121" t="s">
        <v>61</v>
      </c>
      <c r="E11" s="4" t="s">
        <v>120</v>
      </c>
      <c r="F11" s="4"/>
      <c r="G11" s="4" t="s">
        <v>1325</v>
      </c>
      <c r="H11" s="120" t="s">
        <v>1334</v>
      </c>
      <c r="I11" s="36">
        <v>2000</v>
      </c>
      <c r="J11" s="4" t="s">
        <v>1329</v>
      </c>
      <c r="K11" s="65">
        <v>45890</v>
      </c>
      <c r="L11" s="4">
        <v>2025403323</v>
      </c>
      <c r="M11" s="4" t="s">
        <v>226</v>
      </c>
      <c r="N11" s="4">
        <v>2025</v>
      </c>
    </row>
    <row r="12" spans="1:14">
      <c r="A12" s="4">
        <v>11</v>
      </c>
      <c r="B12" s="4" t="s">
        <v>17</v>
      </c>
      <c r="C12" s="4" t="s">
        <v>23</v>
      </c>
      <c r="D12" s="121" t="s">
        <v>61</v>
      </c>
      <c r="E12" s="4" t="s">
        <v>120</v>
      </c>
      <c r="F12" s="4"/>
      <c r="G12" s="4" t="s">
        <v>1325</v>
      </c>
      <c r="H12" s="120" t="s">
        <v>1334</v>
      </c>
      <c r="I12" s="36">
        <v>10399</v>
      </c>
      <c r="J12" s="4" t="s">
        <v>1330</v>
      </c>
      <c r="K12" s="65">
        <v>45880</v>
      </c>
      <c r="L12" s="4">
        <v>2025403451</v>
      </c>
      <c r="M12" s="4" t="s">
        <v>226</v>
      </c>
      <c r="N12" s="4">
        <v>2025</v>
      </c>
    </row>
    <row r="13" spans="1:14">
      <c r="A13" s="4">
        <v>12</v>
      </c>
      <c r="B13" s="4" t="s">
        <v>43</v>
      </c>
      <c r="C13" s="4" t="s">
        <v>46</v>
      </c>
      <c r="D13" s="121" t="s">
        <v>61</v>
      </c>
      <c r="E13" s="4" t="s">
        <v>120</v>
      </c>
      <c r="F13" s="4"/>
      <c r="G13" s="4" t="s">
        <v>265</v>
      </c>
      <c r="H13" s="120" t="s">
        <v>121</v>
      </c>
      <c r="I13" s="36">
        <v>96000</v>
      </c>
      <c r="J13" s="4" t="s">
        <v>1331</v>
      </c>
      <c r="K13" s="65">
        <v>45873</v>
      </c>
      <c r="L13" s="4">
        <v>2025403736</v>
      </c>
      <c r="M13" s="4" t="s">
        <v>226</v>
      </c>
      <c r="N13" s="4">
        <v>2025</v>
      </c>
    </row>
    <row r="14" spans="1:14">
      <c r="A14" s="4">
        <v>13</v>
      </c>
      <c r="B14" s="4" t="s">
        <v>17</v>
      </c>
      <c r="C14" s="4" t="s">
        <v>25</v>
      </c>
      <c r="D14" s="121" t="s">
        <v>61</v>
      </c>
      <c r="E14" s="4" t="s">
        <v>120</v>
      </c>
      <c r="F14" s="4"/>
      <c r="G14" s="4" t="s">
        <v>1325</v>
      </c>
      <c r="H14" s="120" t="s">
        <v>1334</v>
      </c>
      <c r="I14" s="36">
        <v>9850</v>
      </c>
      <c r="J14" s="4" t="s">
        <v>1332</v>
      </c>
      <c r="K14" s="65">
        <v>45886</v>
      </c>
      <c r="L14" s="4">
        <v>2025403866</v>
      </c>
      <c r="M14" s="4" t="s">
        <v>226</v>
      </c>
      <c r="N14" s="4">
        <v>2025</v>
      </c>
    </row>
    <row r="15" spans="1:14">
      <c r="A15" s="4">
        <v>14</v>
      </c>
      <c r="B15" s="4" t="s">
        <v>17</v>
      </c>
      <c r="C15" s="4" t="s">
        <v>25</v>
      </c>
      <c r="D15" s="121" t="s">
        <v>61</v>
      </c>
      <c r="E15" s="4" t="s">
        <v>120</v>
      </c>
      <c r="F15" s="4"/>
      <c r="G15" s="4" t="s">
        <v>1325</v>
      </c>
      <c r="H15" s="120" t="s">
        <v>1334</v>
      </c>
      <c r="I15" s="36">
        <v>6010</v>
      </c>
      <c r="J15" s="4" t="s">
        <v>1333</v>
      </c>
      <c r="K15" s="65">
        <v>45889</v>
      </c>
      <c r="L15" s="4">
        <v>2025403911</v>
      </c>
      <c r="M15" s="4" t="s">
        <v>226</v>
      </c>
      <c r="N15" s="4">
        <v>2025</v>
      </c>
    </row>
    <row r="16" spans="1:14">
      <c r="A16" s="4">
        <v>15</v>
      </c>
      <c r="B16" s="4" t="s">
        <v>29</v>
      </c>
      <c r="C16" s="4" t="s">
        <v>237</v>
      </c>
      <c r="D16" s="121" t="s">
        <v>61</v>
      </c>
      <c r="E16" s="4" t="s">
        <v>120</v>
      </c>
      <c r="F16" s="4"/>
      <c r="G16" s="4" t="s">
        <v>122</v>
      </c>
      <c r="H16" s="4" t="s">
        <v>123</v>
      </c>
      <c r="I16" s="36">
        <v>19902.749295774647</v>
      </c>
      <c r="J16" s="4" t="s">
        <v>301</v>
      </c>
      <c r="K16" s="65">
        <v>45938</v>
      </c>
      <c r="L16" s="4">
        <v>2025404070</v>
      </c>
      <c r="M16" s="4" t="s">
        <v>226</v>
      </c>
      <c r="N16" s="4">
        <v>2025</v>
      </c>
    </row>
    <row r="17" spans="1:14">
      <c r="A17" s="4">
        <v>16</v>
      </c>
      <c r="B17" s="4" t="s">
        <v>43</v>
      </c>
      <c r="C17" s="4" t="s">
        <v>46</v>
      </c>
      <c r="D17" s="121" t="s">
        <v>61</v>
      </c>
      <c r="E17" s="4" t="s">
        <v>120</v>
      </c>
      <c r="F17" s="4"/>
      <c r="G17" s="4" t="s">
        <v>265</v>
      </c>
      <c r="H17" s="120" t="s">
        <v>121</v>
      </c>
      <c r="I17" s="8">
        <v>224000</v>
      </c>
      <c r="J17" s="4" t="s">
        <v>1335</v>
      </c>
      <c r="K17" s="65">
        <v>45913</v>
      </c>
      <c r="L17" s="4">
        <v>2025403713</v>
      </c>
      <c r="M17" s="4" t="s">
        <v>225</v>
      </c>
      <c r="N17" s="4">
        <v>2025</v>
      </c>
    </row>
    <row r="18" spans="1:14">
      <c r="A18" s="4">
        <v>17</v>
      </c>
      <c r="B18" s="32" t="s">
        <v>53</v>
      </c>
      <c r="C18" s="32" t="s">
        <v>62</v>
      </c>
      <c r="D18" s="4" t="s">
        <v>19</v>
      </c>
      <c r="E18" s="4" t="s">
        <v>120</v>
      </c>
      <c r="F18" s="4"/>
      <c r="G18" s="4" t="s">
        <v>265</v>
      </c>
      <c r="H18" s="120" t="s">
        <v>121</v>
      </c>
      <c r="I18" s="8">
        <v>108731</v>
      </c>
      <c r="J18" s="4" t="s">
        <v>14</v>
      </c>
      <c r="K18" s="4" t="s">
        <v>14</v>
      </c>
      <c r="L18" s="4" t="s">
        <v>14</v>
      </c>
      <c r="M18" s="4" t="s">
        <v>225</v>
      </c>
      <c r="N18" s="4">
        <v>2025</v>
      </c>
    </row>
    <row r="19" spans="1:14">
      <c r="A19" s="4">
        <v>18</v>
      </c>
      <c r="B19" s="32" t="s">
        <v>53</v>
      </c>
      <c r="C19" s="32" t="s">
        <v>62</v>
      </c>
      <c r="D19" s="4" t="s">
        <v>19</v>
      </c>
      <c r="E19" s="4" t="s">
        <v>120</v>
      </c>
      <c r="F19" s="4"/>
      <c r="G19" s="4" t="s">
        <v>265</v>
      </c>
      <c r="H19" s="120" t="s">
        <v>121</v>
      </c>
      <c r="I19" s="8">
        <v>299500</v>
      </c>
      <c r="J19" s="4" t="s">
        <v>14</v>
      </c>
      <c r="K19" s="4" t="s">
        <v>14</v>
      </c>
      <c r="L19" s="4" t="s">
        <v>14</v>
      </c>
      <c r="M19" s="4" t="s">
        <v>226</v>
      </c>
      <c r="N19" s="4">
        <v>2025</v>
      </c>
    </row>
    <row r="20" spans="1:14">
      <c r="A20" s="4"/>
      <c r="B20" s="4"/>
      <c r="C20" s="4"/>
      <c r="D20" s="4"/>
      <c r="E20" s="4"/>
      <c r="F20" s="4"/>
      <c r="G20" s="4"/>
      <c r="H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G595" s="4"/>
      <c r="H595" s="4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G596" s="4"/>
      <c r="H596" s="4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G597" s="4"/>
      <c r="H597" s="4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G598" s="4"/>
      <c r="H598" s="4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G599" s="4"/>
      <c r="H599" s="4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G600" s="4"/>
      <c r="H600" s="4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G601" s="4"/>
      <c r="H601" s="4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G602" s="4"/>
      <c r="H602" s="4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G603" s="4"/>
      <c r="H603" s="4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G604" s="4"/>
      <c r="H604" s="4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G605" s="4"/>
      <c r="H605" s="4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G606" s="4"/>
      <c r="H606" s="4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G607" s="4"/>
      <c r="H607" s="4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G608" s="4"/>
      <c r="H608" s="4"/>
      <c r="J608" s="4"/>
      <c r="K608" s="4"/>
      <c r="L608" s="4"/>
      <c r="M608" s="4"/>
      <c r="N608" s="4"/>
    </row>
    <row r="609" spans="1:14">
      <c r="A609" s="4"/>
      <c r="B609" s="4"/>
      <c r="C609" s="4"/>
      <c r="D609" s="4"/>
      <c r="E609" s="4"/>
      <c r="F609" s="4"/>
      <c r="G609" s="4"/>
      <c r="H609" s="4"/>
      <c r="J609" s="4"/>
      <c r="K609" s="4"/>
      <c r="L609" s="4"/>
      <c r="M609" s="4"/>
      <c r="N609" s="4"/>
    </row>
    <row r="610" spans="1:14">
      <c r="A610" s="4"/>
      <c r="B610" s="4"/>
      <c r="C610" s="4"/>
      <c r="D610" s="4"/>
      <c r="E610" s="4"/>
      <c r="F610" s="4"/>
      <c r="G610" s="4"/>
      <c r="H610" s="4"/>
      <c r="J610" s="4"/>
      <c r="K610" s="4"/>
      <c r="L610" s="4"/>
      <c r="M610" s="4"/>
      <c r="N610" s="4"/>
    </row>
    <row r="611" spans="1:14">
      <c r="A611" s="4"/>
      <c r="B611" s="4"/>
      <c r="C611" s="4"/>
      <c r="D611" s="4"/>
      <c r="E611" s="4"/>
      <c r="F611" s="4"/>
      <c r="G611" s="4"/>
      <c r="H611" s="4"/>
      <c r="J611" s="4"/>
      <c r="K611" s="4"/>
      <c r="L611" s="4"/>
      <c r="M611" s="4"/>
      <c r="N611" s="4"/>
    </row>
    <row r="612" spans="1:14">
      <c r="A612" s="4"/>
      <c r="B612" s="4"/>
      <c r="C612" s="4"/>
      <c r="D612" s="4"/>
      <c r="E612" s="4"/>
      <c r="F612" s="4"/>
      <c r="G612" s="4"/>
      <c r="H612" s="4"/>
      <c r="J612" s="4"/>
      <c r="K612" s="4"/>
      <c r="L612" s="4"/>
      <c r="M612" s="4"/>
      <c r="N612" s="4"/>
    </row>
    <row r="613" spans="1:14">
      <c r="A613" s="4"/>
      <c r="B613" s="4"/>
      <c r="C613" s="4"/>
      <c r="D613" s="4"/>
      <c r="E613" s="4"/>
      <c r="F613" s="4"/>
      <c r="G613" s="4"/>
      <c r="H613" s="4"/>
      <c r="J613" s="4"/>
      <c r="K613" s="4"/>
      <c r="L613" s="4"/>
      <c r="M613" s="4"/>
      <c r="N613" s="4"/>
    </row>
    <row r="614" spans="1:14">
      <c r="A614" s="4"/>
      <c r="B614" s="4"/>
      <c r="C614" s="4"/>
      <c r="D614" s="4"/>
      <c r="E614" s="4"/>
      <c r="F614" s="4"/>
      <c r="G614" s="4"/>
      <c r="H614" s="4"/>
      <c r="J614" s="4"/>
      <c r="K614" s="4"/>
      <c r="L614" s="4"/>
      <c r="M614" s="4"/>
      <c r="N614" s="4"/>
    </row>
    <row r="615" spans="1:14">
      <c r="A615" s="4"/>
      <c r="B615" s="4"/>
      <c r="C615" s="4"/>
      <c r="D615" s="4"/>
      <c r="E615" s="4"/>
      <c r="F615" s="4"/>
      <c r="G615" s="4"/>
      <c r="H615" s="4"/>
      <c r="J615" s="4"/>
      <c r="K615" s="4"/>
      <c r="L615" s="4"/>
      <c r="M615" s="4"/>
      <c r="N615" s="4"/>
    </row>
    <row r="616" spans="1:14">
      <c r="A616" s="4"/>
      <c r="B616" s="4"/>
      <c r="C616" s="4"/>
      <c r="D616" s="4"/>
      <c r="E616" s="4"/>
      <c r="F616" s="4"/>
      <c r="G616" s="4"/>
      <c r="H616" s="4"/>
      <c r="J616" s="4"/>
      <c r="K616" s="4"/>
      <c r="L616" s="4"/>
      <c r="M616" s="4"/>
      <c r="N616" s="4"/>
    </row>
    <row r="617" spans="1:14">
      <c r="A617" s="4"/>
      <c r="B617" s="4"/>
      <c r="C617" s="4"/>
      <c r="D617" s="4"/>
      <c r="E617" s="4"/>
      <c r="F617" s="4"/>
      <c r="G617" s="4"/>
      <c r="H617" s="4"/>
      <c r="J617" s="4"/>
      <c r="K617" s="4"/>
      <c r="L617" s="4"/>
      <c r="M617" s="4"/>
      <c r="N617" s="4"/>
    </row>
    <row r="618" spans="1:14">
      <c r="A618" s="4"/>
      <c r="B618" s="4"/>
      <c r="C618" s="4"/>
      <c r="D618" s="4"/>
      <c r="E618" s="4"/>
      <c r="F618" s="4"/>
      <c r="G618" s="4"/>
      <c r="H618" s="4"/>
      <c r="J618" s="4"/>
      <c r="K618" s="4"/>
      <c r="L618" s="4"/>
      <c r="M618" s="4"/>
      <c r="N618" s="4"/>
    </row>
    <row r="619" spans="1:14">
      <c r="A619" s="4"/>
      <c r="B619" s="4"/>
      <c r="C619" s="4"/>
      <c r="D619" s="4"/>
      <c r="E619" s="4"/>
      <c r="F619" s="4"/>
      <c r="G619" s="4"/>
      <c r="H619" s="4"/>
      <c r="J619" s="4"/>
      <c r="K619" s="4"/>
      <c r="L619" s="4"/>
      <c r="M619" s="4"/>
      <c r="N619" s="4"/>
    </row>
    <row r="620" spans="1:14">
      <c r="A620" s="4"/>
      <c r="B620" s="4"/>
      <c r="C620" s="4"/>
      <c r="D620" s="4"/>
      <c r="E620" s="4"/>
      <c r="F620" s="4"/>
      <c r="G620" s="4"/>
      <c r="H620" s="4"/>
      <c r="J620" s="4"/>
      <c r="K620" s="4"/>
      <c r="L620" s="4"/>
      <c r="M620" s="4"/>
      <c r="N620" s="4"/>
    </row>
    <row r="621" spans="1:14">
      <c r="A621" s="4"/>
      <c r="B621" s="4"/>
      <c r="C621" s="4"/>
      <c r="D621" s="4"/>
      <c r="E621" s="4"/>
      <c r="F621" s="4"/>
      <c r="G621" s="4"/>
      <c r="H621" s="4"/>
      <c r="J621" s="4"/>
      <c r="K621" s="4"/>
      <c r="L621" s="4"/>
      <c r="M621" s="4"/>
      <c r="N621" s="4"/>
    </row>
    <row r="622" spans="1:14">
      <c r="A622" s="4"/>
      <c r="B622" s="4"/>
      <c r="C622" s="4"/>
      <c r="D622" s="4"/>
      <c r="E622" s="4"/>
      <c r="F622" s="4"/>
      <c r="G622" s="4"/>
      <c r="H622" s="4"/>
      <c r="J622" s="4"/>
      <c r="K622" s="4"/>
      <c r="L622" s="4"/>
      <c r="M622" s="4"/>
      <c r="N622" s="4"/>
    </row>
    <row r="623" spans="1:14">
      <c r="A623" s="4"/>
      <c r="B623" s="4"/>
      <c r="C623" s="4"/>
      <c r="D623" s="4"/>
      <c r="E623" s="4"/>
      <c r="F623" s="4"/>
      <c r="G623" s="4"/>
      <c r="H623" s="4"/>
      <c r="J623" s="4"/>
      <c r="K623" s="4"/>
      <c r="L623" s="4"/>
      <c r="M623" s="4"/>
      <c r="N623" s="4"/>
    </row>
    <row r="624" spans="1:14">
      <c r="A624" s="4"/>
      <c r="B624" s="4"/>
      <c r="C624" s="4"/>
      <c r="D624" s="4"/>
      <c r="E624" s="4"/>
      <c r="F624" s="4"/>
      <c r="G624" s="4"/>
      <c r="H624" s="4"/>
      <c r="J624" s="4"/>
      <c r="K624" s="4"/>
      <c r="L624" s="4"/>
      <c r="M624" s="4"/>
      <c r="N624" s="4"/>
    </row>
    <row r="625" spans="1:14">
      <c r="A625" s="4"/>
      <c r="B625" s="4"/>
      <c r="C625" s="4"/>
      <c r="D625" s="4"/>
      <c r="E625" s="4"/>
      <c r="F625" s="4"/>
      <c r="G625" s="4"/>
      <c r="H625" s="4"/>
      <c r="J625" s="4"/>
      <c r="K625" s="4"/>
      <c r="L625" s="4"/>
      <c r="M625" s="4"/>
      <c r="N625" s="4"/>
    </row>
    <row r="626" spans="1:14">
      <c r="A626" s="4"/>
      <c r="B626" s="4"/>
      <c r="C626" s="4"/>
      <c r="D626" s="4"/>
      <c r="E626" s="4"/>
      <c r="F626" s="4"/>
      <c r="G626" s="4"/>
      <c r="H626" s="4"/>
      <c r="J626" s="4"/>
      <c r="K626" s="4"/>
      <c r="L626" s="4"/>
      <c r="M626" s="4"/>
      <c r="N626" s="4"/>
    </row>
    <row r="627" spans="1:14">
      <c r="A627" s="4"/>
      <c r="B627" s="4"/>
      <c r="C627" s="4"/>
      <c r="D627" s="4"/>
      <c r="E627" s="4"/>
      <c r="F627" s="4"/>
      <c r="G627" s="4"/>
      <c r="H627" s="4"/>
      <c r="J627" s="4"/>
      <c r="K627" s="4"/>
      <c r="L627" s="4"/>
      <c r="M627" s="4"/>
      <c r="N627" s="4"/>
    </row>
    <row r="628" spans="1:14">
      <c r="A628" s="4"/>
      <c r="B628" s="4"/>
      <c r="C628" s="4"/>
      <c r="D628" s="4"/>
      <c r="E628" s="4"/>
      <c r="F628" s="4"/>
      <c r="G628" s="4"/>
      <c r="H628" s="4"/>
      <c r="J628" s="4"/>
      <c r="K628" s="4"/>
      <c r="L628" s="4"/>
      <c r="M628" s="4"/>
      <c r="N628" s="4"/>
    </row>
    <row r="629" spans="1:14">
      <c r="A629" s="4"/>
      <c r="B629" s="4"/>
      <c r="C629" s="4"/>
      <c r="D629" s="4"/>
      <c r="E629" s="4"/>
      <c r="F629" s="4"/>
      <c r="G629" s="4"/>
      <c r="H629" s="4"/>
      <c r="J629" s="4"/>
      <c r="K629" s="4"/>
      <c r="L629" s="4"/>
      <c r="M629" s="4"/>
      <c r="N629" s="4"/>
    </row>
    <row r="630" spans="1:14">
      <c r="A630" s="4"/>
      <c r="B630" s="4"/>
      <c r="C630" s="4"/>
      <c r="D630" s="4"/>
      <c r="E630" s="4"/>
      <c r="F630" s="4"/>
      <c r="G630" s="4"/>
      <c r="H630" s="4"/>
      <c r="J630" s="4"/>
      <c r="K630" s="4"/>
      <c r="L630" s="4"/>
      <c r="M630" s="4"/>
      <c r="N630" s="4"/>
    </row>
    <row r="631" spans="1:14">
      <c r="A631" s="4"/>
      <c r="B631" s="4"/>
      <c r="C631" s="4"/>
      <c r="D631" s="4"/>
      <c r="E631" s="4"/>
      <c r="F631" s="4"/>
      <c r="G631" s="4"/>
      <c r="H631" s="4"/>
      <c r="J631" s="4"/>
      <c r="K631" s="4"/>
      <c r="L631" s="4"/>
      <c r="M631" s="4"/>
      <c r="N631" s="4"/>
    </row>
    <row r="632" spans="1:14">
      <c r="A632" s="4"/>
      <c r="B632" s="4"/>
      <c r="C632" s="4"/>
      <c r="D632" s="4"/>
      <c r="E632" s="4"/>
      <c r="F632" s="4"/>
      <c r="G632" s="4"/>
      <c r="H632" s="4"/>
      <c r="J632" s="4"/>
      <c r="K632" s="4"/>
      <c r="L632" s="4"/>
      <c r="M632" s="4"/>
      <c r="N632" s="4"/>
    </row>
    <row r="633" spans="1:14">
      <c r="A633" s="4"/>
      <c r="B633" s="4"/>
      <c r="C633" s="4"/>
      <c r="D633" s="4"/>
      <c r="E633" s="4"/>
      <c r="F633" s="4"/>
      <c r="G633" s="4"/>
      <c r="H633" s="4"/>
      <c r="J633" s="4"/>
      <c r="K633" s="4"/>
      <c r="L633" s="4"/>
      <c r="M633" s="4"/>
      <c r="N633" s="4"/>
    </row>
    <row r="634" spans="1:14">
      <c r="A634" s="4"/>
      <c r="B634" s="4"/>
      <c r="C634" s="4"/>
      <c r="D634" s="4"/>
      <c r="E634" s="4"/>
      <c r="F634" s="4"/>
      <c r="G634" s="4"/>
      <c r="H634" s="4"/>
      <c r="J634" s="4"/>
      <c r="K634" s="4"/>
      <c r="L634" s="4"/>
      <c r="M634" s="4"/>
      <c r="N634" s="4"/>
    </row>
    <row r="635" spans="1:14">
      <c r="A635" s="4"/>
      <c r="B635" s="4"/>
      <c r="C635" s="4"/>
      <c r="D635" s="4"/>
      <c r="E635" s="4"/>
      <c r="F635" s="4"/>
      <c r="G635" s="4"/>
      <c r="H635" s="4"/>
      <c r="J635" s="4"/>
      <c r="K635" s="4"/>
      <c r="L635" s="4"/>
      <c r="M635" s="4"/>
      <c r="N635" s="4"/>
    </row>
    <row r="636" spans="1:14">
      <c r="A636" s="4"/>
      <c r="B636" s="4"/>
      <c r="C636" s="4"/>
      <c r="D636" s="4"/>
      <c r="E636" s="4"/>
      <c r="F636" s="4"/>
      <c r="G636" s="4"/>
      <c r="H636" s="4"/>
      <c r="J636" s="4"/>
      <c r="K636" s="4"/>
      <c r="L636" s="4"/>
      <c r="M636" s="4"/>
      <c r="N636" s="4"/>
    </row>
    <row r="637" spans="1:14">
      <c r="A637" s="4"/>
      <c r="B637" s="4"/>
      <c r="C637" s="4"/>
      <c r="D637" s="4"/>
      <c r="E637" s="4"/>
      <c r="F637" s="4"/>
      <c r="G637" s="4"/>
      <c r="H637" s="4"/>
      <c r="J637" s="4"/>
      <c r="K637" s="4"/>
      <c r="L637" s="4"/>
      <c r="M637" s="4"/>
      <c r="N637" s="4"/>
    </row>
    <row r="638" spans="1:14">
      <c r="A638" s="4"/>
      <c r="B638" s="4"/>
      <c r="C638" s="4"/>
      <c r="D638" s="4"/>
      <c r="E638" s="4"/>
      <c r="F638" s="4"/>
      <c r="G638" s="4"/>
      <c r="H638" s="4"/>
      <c r="J638" s="4"/>
      <c r="K638" s="4"/>
      <c r="L638" s="4"/>
      <c r="M638" s="4"/>
      <c r="N638" s="4"/>
    </row>
    <row r="639" spans="1:14">
      <c r="A639" s="4"/>
      <c r="B639" s="4"/>
      <c r="C639" s="4"/>
      <c r="D639" s="4"/>
      <c r="E639" s="4"/>
      <c r="F639" s="4"/>
      <c r="G639" s="4"/>
      <c r="H639" s="4"/>
      <c r="J639" s="4"/>
      <c r="K639" s="4"/>
      <c r="L639" s="4"/>
      <c r="M639" s="4"/>
      <c r="N639" s="4"/>
    </row>
    <row r="640" spans="1:14">
      <c r="A640" s="4"/>
      <c r="B640" s="4"/>
      <c r="C640" s="4"/>
      <c r="D640" s="4"/>
      <c r="E640" s="4"/>
      <c r="F640" s="4"/>
      <c r="G640" s="4"/>
      <c r="H640" s="4"/>
      <c r="J640" s="4"/>
      <c r="K640" s="4"/>
      <c r="L640" s="4"/>
      <c r="M640" s="4"/>
      <c r="N640" s="4"/>
    </row>
    <row r="641" spans="1:14">
      <c r="A641" s="4"/>
      <c r="B641" s="4"/>
      <c r="C641" s="4"/>
      <c r="D641" s="4"/>
      <c r="E641" s="4"/>
      <c r="F641" s="4"/>
      <c r="G641" s="4"/>
      <c r="H641" s="4"/>
      <c r="J641" s="4"/>
      <c r="K641" s="4"/>
      <c r="L641" s="4"/>
      <c r="M641" s="4"/>
      <c r="N641" s="4"/>
    </row>
    <row r="642" spans="1:14">
      <c r="A642" s="4"/>
      <c r="B642" s="4"/>
      <c r="C642" s="4"/>
      <c r="D642" s="4"/>
      <c r="E642" s="4"/>
      <c r="F642" s="4"/>
      <c r="G642" s="4"/>
      <c r="H642" s="4"/>
      <c r="J642" s="4"/>
      <c r="K642" s="4"/>
      <c r="L642" s="4"/>
      <c r="M642" s="4"/>
      <c r="N642" s="4"/>
    </row>
    <row r="643" spans="1:14">
      <c r="A643" s="4"/>
      <c r="B643" s="4"/>
      <c r="C643" s="4"/>
      <c r="D643" s="4"/>
      <c r="E643" s="4"/>
      <c r="F643" s="4"/>
      <c r="G643" s="4"/>
      <c r="H643" s="4"/>
      <c r="J643" s="4"/>
      <c r="K643" s="4"/>
      <c r="L643" s="4"/>
      <c r="M643" s="4"/>
      <c r="N643" s="4"/>
    </row>
    <row r="644" spans="1:14">
      <c r="A644" s="4"/>
      <c r="B644" s="4"/>
      <c r="C644" s="4"/>
      <c r="D644" s="4"/>
      <c r="E644" s="4"/>
      <c r="F644" s="4"/>
      <c r="G644" s="4"/>
      <c r="H644" s="4"/>
      <c r="J644" s="4"/>
      <c r="K644" s="4"/>
      <c r="L644" s="4"/>
      <c r="M644" s="4"/>
      <c r="N644" s="4"/>
    </row>
    <row r="645" spans="1:14">
      <c r="A645" s="4"/>
      <c r="B645" s="4"/>
      <c r="C645" s="4"/>
      <c r="D645" s="4"/>
      <c r="E645" s="4"/>
      <c r="F645" s="4"/>
      <c r="G645" s="4"/>
      <c r="H645" s="4"/>
      <c r="J645" s="4"/>
      <c r="K645" s="4"/>
      <c r="L645" s="4"/>
      <c r="M645" s="4"/>
      <c r="N645" s="4"/>
    </row>
    <row r="646" spans="1:14">
      <c r="A646" s="4"/>
      <c r="B646" s="4"/>
      <c r="C646" s="4"/>
      <c r="D646" s="4"/>
      <c r="E646" s="4"/>
      <c r="F646" s="4"/>
      <c r="G646" s="4"/>
      <c r="H646" s="4"/>
      <c r="J646" s="4"/>
      <c r="K646" s="4"/>
      <c r="L646" s="4"/>
      <c r="M646" s="4"/>
      <c r="N646" s="4"/>
    </row>
    <row r="647" spans="1:14">
      <c r="A647" s="4"/>
      <c r="B647" s="4"/>
      <c r="C647" s="4"/>
      <c r="D647" s="4"/>
      <c r="E647" s="4"/>
      <c r="F647" s="4"/>
      <c r="G647" s="4"/>
      <c r="H647" s="4"/>
      <c r="J647" s="4"/>
      <c r="K647" s="4"/>
      <c r="L647" s="4"/>
      <c r="M647" s="4"/>
      <c r="N647" s="4"/>
    </row>
    <row r="648" spans="1:14">
      <c r="A648" s="4"/>
      <c r="B648" s="4"/>
      <c r="C648" s="4"/>
      <c r="D648" s="4"/>
      <c r="E648" s="4"/>
      <c r="F648" s="4"/>
      <c r="G648" s="4"/>
      <c r="H648" s="4"/>
      <c r="J648" s="4"/>
      <c r="K648" s="4"/>
      <c r="L648" s="4"/>
      <c r="M648" s="4"/>
      <c r="N648" s="4"/>
    </row>
    <row r="649" spans="1:14">
      <c r="A649" s="4"/>
      <c r="B649" s="4"/>
      <c r="C649" s="4"/>
      <c r="D649" s="4"/>
      <c r="E649" s="4"/>
      <c r="F649" s="4"/>
      <c r="G649" s="4"/>
      <c r="H649" s="4"/>
      <c r="J649" s="4"/>
      <c r="K649" s="4"/>
      <c r="L649" s="4"/>
      <c r="M649" s="4"/>
      <c r="N649" s="4"/>
    </row>
    <row r="650" spans="1:14">
      <c r="A650" s="4"/>
      <c r="B650" s="4"/>
      <c r="C650" s="4"/>
      <c r="D650" s="4"/>
      <c r="E650" s="4"/>
      <c r="F650" s="4"/>
      <c r="G650" s="4"/>
      <c r="H650" s="4"/>
      <c r="J650" s="4"/>
      <c r="K650" s="4"/>
      <c r="L650" s="4"/>
      <c r="M650" s="4"/>
      <c r="N650" s="4"/>
    </row>
    <row r="651" spans="1:14">
      <c r="A651" s="4"/>
      <c r="B651" s="4"/>
      <c r="C651" s="4"/>
      <c r="D651" s="4"/>
      <c r="E651" s="4"/>
      <c r="F651" s="4"/>
      <c r="G651" s="4"/>
      <c r="H651" s="4"/>
      <c r="J651" s="4"/>
      <c r="K651" s="4"/>
      <c r="L651" s="4"/>
      <c r="M651" s="4"/>
      <c r="N651" s="4"/>
    </row>
    <row r="652" spans="1:14">
      <c r="A652" s="4"/>
      <c r="B652" s="4"/>
      <c r="C652" s="4"/>
      <c r="D652" s="4"/>
      <c r="E652" s="4"/>
      <c r="F652" s="4"/>
      <c r="G652" s="4"/>
      <c r="H652" s="4"/>
      <c r="J652" s="4"/>
      <c r="K652" s="4"/>
      <c r="L652" s="4"/>
      <c r="M652" s="4"/>
      <c r="N652" s="4"/>
    </row>
    <row r="653" spans="1:14">
      <c r="A653" s="4"/>
      <c r="B653" s="4"/>
      <c r="C653" s="4"/>
      <c r="D653" s="4"/>
      <c r="E653" s="4"/>
      <c r="F653" s="4"/>
      <c r="G653" s="4"/>
      <c r="H653" s="4"/>
      <c r="J653" s="4"/>
      <c r="K653" s="4"/>
      <c r="L653" s="4"/>
      <c r="M653" s="4"/>
      <c r="N653" s="4"/>
    </row>
    <row r="654" spans="1:14">
      <c r="A654" s="4"/>
      <c r="B654" s="4"/>
      <c r="C654" s="4"/>
      <c r="D654" s="4"/>
      <c r="E654" s="4"/>
      <c r="F654" s="4"/>
      <c r="G654" s="4"/>
      <c r="H654" s="4"/>
      <c r="J654" s="4"/>
      <c r="K654" s="4"/>
      <c r="L654" s="4"/>
      <c r="M654" s="4"/>
      <c r="N654" s="4"/>
    </row>
    <row r="655" spans="1:14">
      <c r="A655" s="4"/>
      <c r="B655" s="4"/>
      <c r="C655" s="4"/>
      <c r="D655" s="4"/>
      <c r="E655" s="4"/>
      <c r="F655" s="4"/>
      <c r="G655" s="4"/>
      <c r="H655" s="4"/>
      <c r="J655" s="4"/>
      <c r="K655" s="4"/>
      <c r="L655" s="4"/>
      <c r="M655" s="4"/>
      <c r="N655" s="4"/>
    </row>
    <row r="656" spans="1:14">
      <c r="A656" s="4"/>
      <c r="B656" s="4"/>
      <c r="C656" s="4"/>
      <c r="D656" s="4"/>
      <c r="E656" s="4"/>
      <c r="F656" s="4"/>
      <c r="G656" s="4"/>
      <c r="H656" s="4"/>
      <c r="J656" s="4"/>
      <c r="K656" s="4"/>
      <c r="L656" s="4"/>
      <c r="M656" s="4"/>
      <c r="N656" s="4"/>
    </row>
    <row r="657" spans="1:14">
      <c r="A657" s="4"/>
      <c r="B657" s="4"/>
      <c r="C657" s="4"/>
      <c r="D657" s="4"/>
      <c r="E657" s="4"/>
      <c r="F657" s="4"/>
      <c r="G657" s="4"/>
      <c r="H657" s="4"/>
      <c r="J657" s="4"/>
      <c r="K657" s="4"/>
      <c r="L657" s="4"/>
      <c r="M657" s="4"/>
      <c r="N657" s="4"/>
    </row>
    <row r="658" spans="1:14">
      <c r="A658" s="4"/>
      <c r="B658" s="4"/>
      <c r="C658" s="4"/>
      <c r="D658" s="4"/>
      <c r="E658" s="4"/>
      <c r="F658" s="4"/>
      <c r="G658" s="4"/>
      <c r="H658" s="4"/>
      <c r="J658" s="4"/>
      <c r="K658" s="4"/>
      <c r="L658" s="4"/>
      <c r="M658" s="4"/>
      <c r="N658" s="4"/>
    </row>
    <row r="659" spans="1:14">
      <c r="A659" s="4"/>
      <c r="B659" s="4"/>
      <c r="C659" s="4"/>
      <c r="D659" s="4"/>
      <c r="E659" s="4"/>
      <c r="F659" s="4"/>
      <c r="G659" s="4"/>
      <c r="H659" s="4"/>
      <c r="J659" s="4"/>
      <c r="K659" s="4"/>
      <c r="L659" s="4"/>
      <c r="M659" s="4"/>
      <c r="N659" s="4"/>
    </row>
    <row r="660" spans="1:14">
      <c r="A660" s="4"/>
      <c r="B660" s="4"/>
      <c r="C660" s="4"/>
      <c r="D660" s="4"/>
      <c r="E660" s="4"/>
      <c r="F660" s="4"/>
      <c r="G660" s="4"/>
      <c r="H660" s="4"/>
      <c r="J660" s="4"/>
      <c r="K660" s="4"/>
      <c r="L660" s="4"/>
      <c r="M660" s="4"/>
      <c r="N660" s="4"/>
    </row>
    <row r="661" spans="1:14">
      <c r="A661" s="4"/>
      <c r="B661" s="4"/>
      <c r="C661" s="4"/>
      <c r="D661" s="4"/>
      <c r="E661" s="4"/>
      <c r="F661" s="4"/>
      <c r="G661" s="4"/>
      <c r="H661" s="4"/>
      <c r="J661" s="4"/>
      <c r="K661" s="4"/>
      <c r="L661" s="4"/>
      <c r="M661" s="4"/>
      <c r="N661" s="4"/>
    </row>
    <row r="662" spans="1:14">
      <c r="A662" s="4"/>
      <c r="B662" s="4"/>
      <c r="C662" s="4"/>
      <c r="D662" s="4"/>
      <c r="E662" s="4"/>
      <c r="F662" s="4"/>
      <c r="G662" s="4"/>
      <c r="H662" s="4"/>
      <c r="J662" s="4"/>
      <c r="K662" s="4"/>
      <c r="L662" s="4"/>
      <c r="M662" s="4"/>
      <c r="N662" s="4"/>
    </row>
    <row r="663" spans="1:14">
      <c r="A663" s="4"/>
      <c r="B663" s="4"/>
      <c r="C663" s="4"/>
      <c r="D663" s="4"/>
      <c r="E663" s="4"/>
      <c r="F663" s="4"/>
      <c r="G663" s="4"/>
      <c r="H663" s="4"/>
      <c r="J663" s="4"/>
      <c r="K663" s="4"/>
      <c r="L663" s="4"/>
      <c r="M663" s="4"/>
      <c r="N663" s="4"/>
    </row>
  </sheetData>
  <phoneticPr fontId="16" type="noConversion"/>
  <dataValidations count="1">
    <dataValidation type="list" allowBlank="1" showInputMessage="1" showErrorMessage="1" sqref="C8:C17 C20:C663" xr:uid="{00000000-0002-0000-1000-000001000000}">
      <formula1>INDIRECT(B8)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B8:B17 B20:B663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D2:D5 D18:D663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E2:E663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M2:M5 M8:M663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N2:N663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4"/>
  <cols>
    <col min="1" max="1" width="5.33203125" customWidth="1"/>
    <col min="2" max="2" width="6.88671875" customWidth="1"/>
    <col min="3" max="3" width="6.44140625" customWidth="1"/>
    <col min="4" max="4" width="11.44140625" customWidth="1"/>
    <col min="5" max="5" width="8.88671875" customWidth="1"/>
    <col min="6" max="6" width="8.21875" customWidth="1"/>
    <col min="7" max="7" width="10.109375" customWidth="1"/>
    <col min="8" max="8" width="6.88671875" customWidth="1"/>
    <col min="9" max="9" width="10.21875" customWidth="1"/>
    <col min="10" max="10" width="10.109375" customWidth="1"/>
    <col min="11" max="11" width="11.109375" customWidth="1"/>
    <col min="12" max="12" width="10.44140625" customWidth="1"/>
    <col min="13" max="13" width="6.44140625" customWidth="1"/>
    <col min="14" max="14" width="4.554687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workbookViewId="0">
      <selection activeCell="A15" sqref="A15"/>
    </sheetView>
  </sheetViews>
  <sheetFormatPr defaultColWidth="9" defaultRowHeight="14.4"/>
  <cols>
    <col min="1" max="1" width="19.44140625" customWidth="1"/>
    <col min="2" max="9" width="16.88671875" customWidth="1"/>
    <col min="10" max="11" width="13.88671875" customWidth="1"/>
    <col min="12" max="12" width="12.77734375" customWidth="1"/>
    <col min="13" max="13" width="20.5546875" customWidth="1"/>
    <col min="14" max="14" width="18.21875" customWidth="1"/>
    <col min="15" max="15" width="15.109375" customWidth="1"/>
  </cols>
  <sheetData>
    <row r="1" spans="1:16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79</v>
      </c>
      <c r="G1" s="1" t="s">
        <v>83</v>
      </c>
      <c r="H1" s="1" t="s">
        <v>112</v>
      </c>
      <c r="I1" s="1" t="s">
        <v>140</v>
      </c>
      <c r="J1" s="1" t="s">
        <v>99</v>
      </c>
      <c r="K1" s="1" t="s">
        <v>58</v>
      </c>
      <c r="L1" s="1" t="s">
        <v>141</v>
      </c>
      <c r="M1" s="1" t="s">
        <v>89</v>
      </c>
      <c r="N1" s="1" t="s">
        <v>142</v>
      </c>
      <c r="O1" s="1" t="s">
        <v>143</v>
      </c>
      <c r="P1" s="1" t="s">
        <v>144</v>
      </c>
    </row>
    <row r="2" spans="1:16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150</v>
      </c>
      <c r="G2" s="2" t="s">
        <v>151</v>
      </c>
      <c r="H2" s="3" t="s">
        <v>152</v>
      </c>
      <c r="I2" s="2" t="s">
        <v>153</v>
      </c>
      <c r="J2" s="2" t="s">
        <v>154</v>
      </c>
      <c r="K2" s="2" t="s">
        <v>155</v>
      </c>
      <c r="L2" s="2" t="s">
        <v>156</v>
      </c>
      <c r="M2" s="2" t="s">
        <v>157</v>
      </c>
      <c r="N2" s="2" t="s">
        <v>158</v>
      </c>
      <c r="O2" s="2" t="s">
        <v>159</v>
      </c>
      <c r="P2" s="2" t="s">
        <v>160</v>
      </c>
    </row>
    <row r="3" spans="1:16">
      <c r="A3" s="2" t="s">
        <v>161</v>
      </c>
      <c r="B3" s="49" t="s">
        <v>162</v>
      </c>
      <c r="C3" s="2" t="s">
        <v>163</v>
      </c>
      <c r="D3" s="2" t="s">
        <v>164</v>
      </c>
      <c r="E3" s="2" t="s">
        <v>165</v>
      </c>
      <c r="F3" s="2" t="s">
        <v>166</v>
      </c>
      <c r="G3" s="2" t="s">
        <v>167</v>
      </c>
      <c r="I3" s="2" t="s">
        <v>168</v>
      </c>
      <c r="J3" s="2" t="s">
        <v>169</v>
      </c>
      <c r="K3" s="2" t="s">
        <v>170</v>
      </c>
      <c r="L3" s="2" t="s">
        <v>171</v>
      </c>
      <c r="M3" s="5" t="s">
        <v>90</v>
      </c>
      <c r="N3" s="2"/>
    </row>
    <row r="4" spans="1:16">
      <c r="A4" s="2" t="s">
        <v>172</v>
      </c>
      <c r="B4" s="2" t="s">
        <v>173</v>
      </c>
      <c r="C4" s="2" t="s">
        <v>174</v>
      </c>
      <c r="D4" s="2" t="s">
        <v>175</v>
      </c>
      <c r="F4" s="2" t="s">
        <v>176</v>
      </c>
      <c r="G4" s="2" t="s">
        <v>177</v>
      </c>
      <c r="I4" s="2" t="s">
        <v>178</v>
      </c>
      <c r="J4" s="2" t="s">
        <v>179</v>
      </c>
      <c r="K4" s="2" t="s">
        <v>180</v>
      </c>
      <c r="L4" s="2" t="s">
        <v>181</v>
      </c>
    </row>
    <row r="5" spans="1:16">
      <c r="A5" s="2" t="s">
        <v>182</v>
      </c>
      <c r="B5" s="2" t="s">
        <v>183</v>
      </c>
      <c r="C5" s="2"/>
      <c r="D5" s="2" t="s">
        <v>184</v>
      </c>
      <c r="J5" s="2" t="s">
        <v>176</v>
      </c>
      <c r="K5" s="2" t="s">
        <v>185</v>
      </c>
      <c r="L5" s="2" t="s">
        <v>186</v>
      </c>
    </row>
    <row r="6" spans="1:16">
      <c r="A6" s="2" t="s">
        <v>187</v>
      </c>
      <c r="B6" s="2" t="s">
        <v>188</v>
      </c>
      <c r="D6" s="2" t="s">
        <v>189</v>
      </c>
      <c r="L6" s="2" t="s">
        <v>190</v>
      </c>
    </row>
    <row r="7" spans="1:16">
      <c r="A7" s="2" t="s">
        <v>191</v>
      </c>
      <c r="B7" s="2" t="s">
        <v>192</v>
      </c>
      <c r="D7" s="2" t="s">
        <v>193</v>
      </c>
    </row>
    <row r="8" spans="1:16">
      <c r="A8" s="2" t="s">
        <v>194</v>
      </c>
      <c r="B8" s="2" t="s">
        <v>195</v>
      </c>
      <c r="D8" s="2" t="s">
        <v>196</v>
      </c>
    </row>
    <row r="9" spans="1:16">
      <c r="A9" s="2" t="s">
        <v>197</v>
      </c>
      <c r="B9" s="5" t="s">
        <v>119</v>
      </c>
      <c r="C9" s="4"/>
      <c r="D9" s="2" t="s">
        <v>198</v>
      </c>
      <c r="E9" s="4"/>
    </row>
    <row r="10" spans="1:16">
      <c r="A10" s="2" t="s">
        <v>199</v>
      </c>
      <c r="B10" s="5" t="s">
        <v>200</v>
      </c>
      <c r="C10" s="4"/>
      <c r="D10" s="2" t="s">
        <v>201</v>
      </c>
      <c r="E10" s="4"/>
    </row>
    <row r="11" spans="1:16">
      <c r="B11" s="5" t="s">
        <v>202</v>
      </c>
      <c r="C11" s="4"/>
      <c r="D11" s="2" t="s">
        <v>203</v>
      </c>
      <c r="E11" s="4"/>
      <c r="I11" s="4"/>
      <c r="J11" s="4"/>
      <c r="K11" s="4"/>
    </row>
    <row r="12" spans="1:16">
      <c r="B12" s="5" t="s">
        <v>204</v>
      </c>
      <c r="C12" s="4"/>
      <c r="D12" s="2" t="s">
        <v>205</v>
      </c>
      <c r="E12" s="4"/>
      <c r="I12" s="4"/>
      <c r="J12" s="4"/>
      <c r="K12" s="4"/>
    </row>
    <row r="13" spans="1:16">
      <c r="B13" s="5" t="s">
        <v>206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207</v>
      </c>
      <c r="I14" s="4"/>
      <c r="J14" s="4"/>
      <c r="K14" s="4"/>
    </row>
    <row r="15" spans="1:16">
      <c r="B15" s="5" t="s">
        <v>208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4"/>
  <cols>
    <col min="1" max="1" width="11.109375" customWidth="1"/>
    <col min="2" max="2" width="18.109375" customWidth="1"/>
    <col min="3" max="3" width="12.33203125" customWidth="1"/>
    <col min="4" max="4" width="3.5546875" customWidth="1"/>
    <col min="5" max="5" width="31.44140625" customWidth="1"/>
    <col min="6" max="7" width="3.5546875" customWidth="1"/>
    <col min="8" max="8" width="9.109375" customWidth="1"/>
    <col min="9" max="9" width="3.5546875" customWidth="1"/>
    <col min="10" max="10" width="7.109375" customWidth="1"/>
    <col min="16" max="16" width="11.109375" customWidth="1"/>
    <col min="18" max="18" width="12.33203125" customWidth="1"/>
    <col min="19" max="19" width="3.5546875" customWidth="1"/>
    <col min="20" max="20" width="12.33203125" customWidth="1"/>
    <col min="21" max="21" width="3.5546875" customWidth="1"/>
    <col min="22" max="22" width="12.33203125" customWidth="1"/>
    <col min="23" max="23" width="3.5546875" customWidth="1"/>
    <col min="24" max="24" width="12.33203125" customWidth="1"/>
    <col min="25" max="25" width="3.5546875" customWidth="1"/>
    <col min="26" max="26" width="12.33203125" customWidth="1"/>
    <col min="27" max="27" width="3.5546875" customWidth="1"/>
    <col min="28" max="28" width="12.33203125" customWidth="1"/>
    <col min="29" max="29" width="3.5546875" customWidth="1"/>
    <col min="30" max="30" width="12.33203125" customWidth="1"/>
    <col min="31" max="31" width="3.5546875" customWidth="1"/>
    <col min="32" max="32" width="12.33203125" customWidth="1"/>
    <col min="33" max="33" width="3.5546875" customWidth="1"/>
    <col min="34" max="34" width="12.33203125" customWidth="1"/>
  </cols>
  <sheetData>
    <row r="1" spans="1:34">
      <c r="A1" t="s">
        <v>209</v>
      </c>
      <c r="B1" t="s">
        <v>210</v>
      </c>
      <c r="C1" t="s">
        <v>211</v>
      </c>
      <c r="E1" t="s">
        <v>212</v>
      </c>
      <c r="H1" t="s">
        <v>12</v>
      </c>
      <c r="J1" t="s">
        <v>13</v>
      </c>
      <c r="P1" t="s">
        <v>213</v>
      </c>
      <c r="R1" t="s">
        <v>27</v>
      </c>
      <c r="T1" t="s">
        <v>17</v>
      </c>
      <c r="V1" t="s">
        <v>33</v>
      </c>
      <c r="X1" t="s">
        <v>35</v>
      </c>
      <c r="Z1" t="s">
        <v>31</v>
      </c>
      <c r="AB1" t="s">
        <v>43</v>
      </c>
      <c r="AD1" t="s">
        <v>55</v>
      </c>
      <c r="AF1" t="s">
        <v>59</v>
      </c>
      <c r="AH1" t="s">
        <v>80</v>
      </c>
    </row>
    <row r="2" spans="1:34">
      <c r="A2" t="s">
        <v>27</v>
      </c>
      <c r="C2" t="s">
        <v>61</v>
      </c>
      <c r="E2" t="s">
        <v>20</v>
      </c>
      <c r="H2" t="s">
        <v>214</v>
      </c>
      <c r="J2">
        <v>2023</v>
      </c>
      <c r="P2" t="s">
        <v>27</v>
      </c>
      <c r="R2" t="s">
        <v>28</v>
      </c>
      <c r="T2" t="s">
        <v>26</v>
      </c>
      <c r="V2" t="s">
        <v>34</v>
      </c>
      <c r="X2" t="s">
        <v>39</v>
      </c>
      <c r="Z2" t="s">
        <v>32</v>
      </c>
      <c r="AB2" t="s">
        <v>50</v>
      </c>
      <c r="AD2" t="s">
        <v>56</v>
      </c>
      <c r="AF2" t="s">
        <v>60</v>
      </c>
      <c r="AH2" t="s">
        <v>81</v>
      </c>
    </row>
    <row r="3" spans="1:34">
      <c r="A3" t="s">
        <v>17</v>
      </c>
      <c r="C3" t="s">
        <v>19</v>
      </c>
      <c r="E3" t="s">
        <v>215</v>
      </c>
      <c r="H3" t="s">
        <v>216</v>
      </c>
      <c r="J3">
        <v>2024</v>
      </c>
      <c r="P3" t="s">
        <v>17</v>
      </c>
      <c r="T3" t="s">
        <v>22</v>
      </c>
      <c r="X3" t="s">
        <v>42</v>
      </c>
      <c r="AB3" t="s">
        <v>51</v>
      </c>
      <c r="AD3" t="s">
        <v>98</v>
      </c>
    </row>
    <row r="4" spans="1:34">
      <c r="A4" t="s">
        <v>33</v>
      </c>
      <c r="E4" t="s">
        <v>91</v>
      </c>
      <c r="H4" t="s">
        <v>217</v>
      </c>
      <c r="J4">
        <v>2025</v>
      </c>
      <c r="P4" t="s">
        <v>33</v>
      </c>
      <c r="T4" t="s">
        <v>25</v>
      </c>
      <c r="X4" t="s">
        <v>38</v>
      </c>
      <c r="AB4" t="s">
        <v>218</v>
      </c>
    </row>
    <row r="5" spans="1:34">
      <c r="A5" t="s">
        <v>35</v>
      </c>
      <c r="E5" t="s">
        <v>120</v>
      </c>
      <c r="H5" t="s">
        <v>219</v>
      </c>
      <c r="P5" t="s">
        <v>35</v>
      </c>
      <c r="T5" t="s">
        <v>95</v>
      </c>
      <c r="X5" t="s">
        <v>41</v>
      </c>
      <c r="AB5" t="s">
        <v>52</v>
      </c>
    </row>
    <row r="6" spans="1:34">
      <c r="A6" t="s">
        <v>31</v>
      </c>
      <c r="E6" t="s">
        <v>87</v>
      </c>
      <c r="H6" t="s">
        <v>220</v>
      </c>
      <c r="P6" t="s">
        <v>31</v>
      </c>
      <c r="T6" t="s">
        <v>24</v>
      </c>
      <c r="X6" t="s">
        <v>40</v>
      </c>
      <c r="AB6" t="s">
        <v>48</v>
      </c>
    </row>
    <row r="7" spans="1:34">
      <c r="A7" t="s">
        <v>43</v>
      </c>
      <c r="E7" t="s">
        <v>221</v>
      </c>
      <c r="H7" t="s">
        <v>222</v>
      </c>
      <c r="P7" t="s">
        <v>43</v>
      </c>
      <c r="T7" t="s">
        <v>74</v>
      </c>
      <c r="X7" t="s">
        <v>223</v>
      </c>
      <c r="AB7" t="s">
        <v>45</v>
      </c>
    </row>
    <row r="8" spans="1:34">
      <c r="A8" t="s">
        <v>55</v>
      </c>
      <c r="E8" t="s">
        <v>224</v>
      </c>
      <c r="H8" t="s">
        <v>225</v>
      </c>
      <c r="P8" t="s">
        <v>55</v>
      </c>
      <c r="T8" t="s">
        <v>23</v>
      </c>
      <c r="X8" t="s">
        <v>37</v>
      </c>
      <c r="AB8" t="s">
        <v>70</v>
      </c>
    </row>
    <row r="9" spans="1:34">
      <c r="A9" t="s">
        <v>55</v>
      </c>
      <c r="E9" t="s">
        <v>103</v>
      </c>
      <c r="H9" t="s">
        <v>226</v>
      </c>
      <c r="P9" t="s">
        <v>55</v>
      </c>
      <c r="AB9" t="s">
        <v>46</v>
      </c>
    </row>
    <row r="10" spans="1:34">
      <c r="A10" t="s">
        <v>59</v>
      </c>
      <c r="E10" t="s">
        <v>71</v>
      </c>
      <c r="H10" t="s">
        <v>15</v>
      </c>
      <c r="P10" t="s">
        <v>59</v>
      </c>
      <c r="AB10" t="s">
        <v>77</v>
      </c>
    </row>
    <row r="11" spans="1:34">
      <c r="A11" t="s">
        <v>80</v>
      </c>
      <c r="E11" t="s">
        <v>227</v>
      </c>
      <c r="H11" t="s">
        <v>228</v>
      </c>
      <c r="P11" t="s">
        <v>80</v>
      </c>
      <c r="AB11" t="s">
        <v>229</v>
      </c>
    </row>
    <row r="12" spans="1:34">
      <c r="E12" t="s">
        <v>57</v>
      </c>
      <c r="H12" t="s">
        <v>230</v>
      </c>
      <c r="AB12" t="s">
        <v>47</v>
      </c>
    </row>
    <row r="13" spans="1:34">
      <c r="E13" t="s">
        <v>83</v>
      </c>
      <c r="H13" t="s">
        <v>231</v>
      </c>
      <c r="AB13" t="s">
        <v>73</v>
      </c>
    </row>
    <row r="14" spans="1:34">
      <c r="E14" t="s">
        <v>232</v>
      </c>
      <c r="AB14" t="s">
        <v>233</v>
      </c>
    </row>
    <row r="15" spans="1:34">
      <c r="E15" t="s">
        <v>234</v>
      </c>
    </row>
    <row r="16" spans="1:34">
      <c r="E16" t="s">
        <v>99</v>
      </c>
    </row>
    <row r="17" spans="5:5">
      <c r="E17" t="s">
        <v>112</v>
      </c>
    </row>
    <row r="18" spans="5:5">
      <c r="E18" t="s">
        <v>235</v>
      </c>
    </row>
    <row r="19" spans="5:5">
      <c r="E19" t="s">
        <v>236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Master</vt:lpstr>
      <vt:lpstr>Payroll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Ali Abdulamir </cp:lastModifiedBy>
  <cp:lastPrinted>2024-10-13T07:54:00Z</cp:lastPrinted>
  <dcterms:created xsi:type="dcterms:W3CDTF">2024-10-13T06:49:00Z</dcterms:created>
  <dcterms:modified xsi:type="dcterms:W3CDTF">2026-02-15T09:20:09Z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